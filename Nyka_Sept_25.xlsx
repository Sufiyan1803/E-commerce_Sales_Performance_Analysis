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commerce\"/>
    </mc:Choice>
  </mc:AlternateContent>
  <xr:revisionPtr revIDLastSave="0" documentId="13_ncr:1_{52A15EF2-AAA7-4F29-B05E-C30148FC25D9}" xr6:coauthVersionLast="47" xr6:coauthVersionMax="47" xr10:uidLastSave="{00000000-0000-0000-0000-000000000000}"/>
  <bookViews>
    <workbookView xWindow="-108" yWindow="-108" windowWidth="23256" windowHeight="12456" firstSheet="1" activeTab="1" xr2:uid="{8C0D296F-3778-4F6F-AC69-D2B7D5E99EB4}"/>
  </bookViews>
  <sheets>
    <sheet name="Sales_Sept_25" sheetId="2" state="hidden" r:id="rId1"/>
    <sheet name="Sept Insights" sheetId="5" r:id="rId2"/>
    <sheet name="Sept_25_All" sheetId="6" r:id="rId3"/>
    <sheet name="Sept_25_Completed" sheetId="7" r:id="rId4"/>
    <sheet name="Sept_25_Return" sheetId="8" r:id="rId5"/>
    <sheet name="Sept_25_RTO" sheetId="10" r:id="rId6"/>
    <sheet name="Sept_25_Cancelled" sheetId="9" r:id="rId7"/>
    <sheet name="Sales_Oct_25" sheetId="3" state="hidden" r:id="rId8"/>
  </sheets>
  <definedNames>
    <definedName name="_xlnm._FilterDatabase" localSheetId="2" hidden="1">Sept_25_All!$A$1:$E$234</definedName>
    <definedName name="_xlnm._FilterDatabase" localSheetId="4" hidden="1">Sept_25_Return!$A$1:$F$82</definedName>
    <definedName name="ExternalData_1" localSheetId="7" hidden="1">Sales_Oct_25!$A$1:$BC$292</definedName>
    <definedName name="ExternalData_1" localSheetId="0" hidden="1">Sales_Sept_25!$A$1:$AF$234</definedName>
    <definedName name="SeptSales">MarketPlace_Order_Report[]</definedName>
  </definedNames>
  <calcPr calcId="191029"/>
  <pivotCaches>
    <pivotCache cacheId="10" r:id="rId9"/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BF2" i="3"/>
  <c r="BF3" i="3"/>
  <c r="BF4" i="3"/>
  <c r="BF5" i="3"/>
  <c r="BF6" i="3"/>
  <c r="BF7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F70" i="3"/>
  <c r="BF71" i="3"/>
  <c r="BF72" i="3"/>
  <c r="BF73" i="3"/>
  <c r="BF74" i="3"/>
  <c r="BF75" i="3"/>
  <c r="BF76" i="3"/>
  <c r="BF77" i="3"/>
  <c r="BF78" i="3"/>
  <c r="BF79" i="3"/>
  <c r="BF80" i="3"/>
  <c r="BF81" i="3"/>
  <c r="BF82" i="3"/>
  <c r="BF83" i="3"/>
  <c r="BF84" i="3"/>
  <c r="BF85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F99" i="3"/>
  <c r="BF100" i="3"/>
  <c r="BF101" i="3"/>
  <c r="BF102" i="3"/>
  <c r="BF103" i="3"/>
  <c r="BF104" i="3"/>
  <c r="BF105" i="3"/>
  <c r="BF106" i="3"/>
  <c r="BF107" i="3"/>
  <c r="BF108" i="3"/>
  <c r="BF109" i="3"/>
  <c r="BF110" i="3"/>
  <c r="BF111" i="3"/>
  <c r="BF112" i="3"/>
  <c r="BF113" i="3"/>
  <c r="BF114" i="3"/>
  <c r="BF115" i="3"/>
  <c r="BF116" i="3"/>
  <c r="BF117" i="3"/>
  <c r="BF118" i="3"/>
  <c r="BF119" i="3"/>
  <c r="BF120" i="3"/>
  <c r="BF121" i="3"/>
  <c r="BF122" i="3"/>
  <c r="BF123" i="3"/>
  <c r="BF124" i="3"/>
  <c r="BF125" i="3"/>
  <c r="BF126" i="3"/>
  <c r="BF127" i="3"/>
  <c r="BF128" i="3"/>
  <c r="BF129" i="3"/>
  <c r="BF130" i="3"/>
  <c r="BF131" i="3"/>
  <c r="BF132" i="3"/>
  <c r="BF133" i="3"/>
  <c r="BF134" i="3"/>
  <c r="BF135" i="3"/>
  <c r="BF136" i="3"/>
  <c r="BF137" i="3"/>
  <c r="BF138" i="3"/>
  <c r="BF139" i="3"/>
  <c r="BF140" i="3"/>
  <c r="BF141" i="3"/>
  <c r="BF142" i="3"/>
  <c r="BF143" i="3"/>
  <c r="BF144" i="3"/>
  <c r="BF145" i="3"/>
  <c r="BF146" i="3"/>
  <c r="BF147" i="3"/>
  <c r="BF148" i="3"/>
  <c r="BF149" i="3"/>
  <c r="BF150" i="3"/>
  <c r="BF151" i="3"/>
  <c r="BF152" i="3"/>
  <c r="BF153" i="3"/>
  <c r="BF154" i="3"/>
  <c r="BF155" i="3"/>
  <c r="BF156" i="3"/>
  <c r="BF157" i="3"/>
  <c r="BF158" i="3"/>
  <c r="BF159" i="3"/>
  <c r="BF160" i="3"/>
  <c r="BF161" i="3"/>
  <c r="BF162" i="3"/>
  <c r="BF163" i="3"/>
  <c r="BF164" i="3"/>
  <c r="BF165" i="3"/>
  <c r="BF166" i="3"/>
  <c r="BF167" i="3"/>
  <c r="BF168" i="3"/>
  <c r="BF169" i="3"/>
  <c r="BF170" i="3"/>
  <c r="BF171" i="3"/>
  <c r="BF172" i="3"/>
  <c r="BF173" i="3"/>
  <c r="BF174" i="3"/>
  <c r="BF175" i="3"/>
  <c r="BF176" i="3"/>
  <c r="BF177" i="3"/>
  <c r="BF178" i="3"/>
  <c r="BF179" i="3"/>
  <c r="BF180" i="3"/>
  <c r="BF181" i="3"/>
  <c r="BF182" i="3"/>
  <c r="BF183" i="3"/>
  <c r="BF184" i="3"/>
  <c r="BF185" i="3"/>
  <c r="BF186" i="3"/>
  <c r="BF187" i="3"/>
  <c r="BF188" i="3"/>
  <c r="BF189" i="3"/>
  <c r="BF190" i="3"/>
  <c r="BF191" i="3"/>
  <c r="BF192" i="3"/>
  <c r="BF193" i="3"/>
  <c r="BF194" i="3"/>
  <c r="BF195" i="3"/>
  <c r="BF196" i="3"/>
  <c r="BF197" i="3"/>
  <c r="BF198" i="3"/>
  <c r="BF199" i="3"/>
  <c r="BF200" i="3"/>
  <c r="BF201" i="3"/>
  <c r="BF202" i="3"/>
  <c r="BF203" i="3"/>
  <c r="BF204" i="3"/>
  <c r="BF205" i="3"/>
  <c r="BF206" i="3"/>
  <c r="BF207" i="3"/>
  <c r="BF208" i="3"/>
  <c r="BF209" i="3"/>
  <c r="BF210" i="3"/>
  <c r="BF211" i="3"/>
  <c r="BF212" i="3"/>
  <c r="BF213" i="3"/>
  <c r="BF214" i="3"/>
  <c r="BF215" i="3"/>
  <c r="BF216" i="3"/>
  <c r="BF217" i="3"/>
  <c r="BF218" i="3"/>
  <c r="BF219" i="3"/>
  <c r="BF220" i="3"/>
  <c r="BF221" i="3"/>
  <c r="BF222" i="3"/>
  <c r="BF223" i="3"/>
  <c r="BF224" i="3"/>
  <c r="BF225" i="3"/>
  <c r="BF226" i="3"/>
  <c r="BF227" i="3"/>
  <c r="BF228" i="3"/>
  <c r="BF229" i="3"/>
  <c r="BF230" i="3"/>
  <c r="BF231" i="3"/>
  <c r="BF232" i="3"/>
  <c r="BF233" i="3"/>
  <c r="BF234" i="3"/>
  <c r="BF235" i="3"/>
  <c r="BF236" i="3"/>
  <c r="BF237" i="3"/>
  <c r="BF238" i="3"/>
  <c r="BF239" i="3"/>
  <c r="BF240" i="3"/>
  <c r="BF241" i="3"/>
  <c r="BF242" i="3"/>
  <c r="BF243" i="3"/>
  <c r="BF244" i="3"/>
  <c r="BF245" i="3"/>
  <c r="BF246" i="3"/>
  <c r="BF247" i="3"/>
  <c r="BF248" i="3"/>
  <c r="BF249" i="3"/>
  <c r="BF250" i="3"/>
  <c r="BF251" i="3"/>
  <c r="BF252" i="3"/>
  <c r="BF253" i="3"/>
  <c r="BF254" i="3"/>
  <c r="BF255" i="3"/>
  <c r="BF256" i="3"/>
  <c r="BF257" i="3"/>
  <c r="BF258" i="3"/>
  <c r="BF259" i="3"/>
  <c r="BF260" i="3"/>
  <c r="BF261" i="3"/>
  <c r="BF262" i="3"/>
  <c r="BF263" i="3"/>
  <c r="BF264" i="3"/>
  <c r="BF265" i="3"/>
  <c r="BF266" i="3"/>
  <c r="BF267" i="3"/>
  <c r="BF268" i="3"/>
  <c r="BF269" i="3"/>
  <c r="BF270" i="3"/>
  <c r="BF271" i="3"/>
  <c r="BF272" i="3"/>
  <c r="BF273" i="3"/>
  <c r="BF274" i="3"/>
  <c r="BF275" i="3"/>
  <c r="BF276" i="3"/>
  <c r="BF277" i="3"/>
  <c r="BF278" i="3"/>
  <c r="BF279" i="3"/>
  <c r="BF280" i="3"/>
  <c r="BF281" i="3"/>
  <c r="BF282" i="3"/>
  <c r="BF283" i="3"/>
  <c r="BF284" i="3"/>
  <c r="BF285" i="3"/>
  <c r="BF286" i="3"/>
  <c r="BF287" i="3"/>
  <c r="BF288" i="3"/>
  <c r="BF289" i="3"/>
  <c r="BF290" i="3"/>
  <c r="BF291" i="3"/>
  <c r="BF292" i="3"/>
  <c r="BE2" i="3"/>
  <c r="BE3" i="3"/>
  <c r="BE4" i="3"/>
  <c r="BE5" i="3"/>
  <c r="BE6" i="3"/>
  <c r="BE7" i="3"/>
  <c r="BE8" i="3"/>
  <c r="BE9" i="3"/>
  <c r="BE10" i="3"/>
  <c r="BE11" i="3"/>
  <c r="BE12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59" i="3"/>
  <c r="BE60" i="3"/>
  <c r="BE61" i="3"/>
  <c r="BE62" i="3"/>
  <c r="BE63" i="3"/>
  <c r="BE64" i="3"/>
  <c r="BE65" i="3"/>
  <c r="BE66" i="3"/>
  <c r="BE67" i="3"/>
  <c r="BE68" i="3"/>
  <c r="BE69" i="3"/>
  <c r="BE70" i="3"/>
  <c r="BE71" i="3"/>
  <c r="BE72" i="3"/>
  <c r="BE73" i="3"/>
  <c r="BE74" i="3"/>
  <c r="BE75" i="3"/>
  <c r="BE76" i="3"/>
  <c r="BE77" i="3"/>
  <c r="BE78" i="3"/>
  <c r="BE79" i="3"/>
  <c r="BE80" i="3"/>
  <c r="BE81" i="3"/>
  <c r="BE82" i="3"/>
  <c r="BE83" i="3"/>
  <c r="BE84" i="3"/>
  <c r="BE85" i="3"/>
  <c r="BE86" i="3"/>
  <c r="BE87" i="3"/>
  <c r="BE88" i="3"/>
  <c r="BE89" i="3"/>
  <c r="BE90" i="3"/>
  <c r="BE91" i="3"/>
  <c r="BE92" i="3"/>
  <c r="BE93" i="3"/>
  <c r="BE94" i="3"/>
  <c r="BE95" i="3"/>
  <c r="BE96" i="3"/>
  <c r="BE97" i="3"/>
  <c r="BE98" i="3"/>
  <c r="BE99" i="3"/>
  <c r="BE100" i="3"/>
  <c r="BE101" i="3"/>
  <c r="BE102" i="3"/>
  <c r="BE103" i="3"/>
  <c r="BE104" i="3"/>
  <c r="BE105" i="3"/>
  <c r="BE106" i="3"/>
  <c r="BE107" i="3"/>
  <c r="BE108" i="3"/>
  <c r="BE109" i="3"/>
  <c r="BE110" i="3"/>
  <c r="BE111" i="3"/>
  <c r="BE112" i="3"/>
  <c r="BE113" i="3"/>
  <c r="BE114" i="3"/>
  <c r="BE115" i="3"/>
  <c r="BE116" i="3"/>
  <c r="BE117" i="3"/>
  <c r="BE118" i="3"/>
  <c r="BE119" i="3"/>
  <c r="BE120" i="3"/>
  <c r="BE121" i="3"/>
  <c r="BE122" i="3"/>
  <c r="BE123" i="3"/>
  <c r="BE124" i="3"/>
  <c r="BE125" i="3"/>
  <c r="BE126" i="3"/>
  <c r="BE127" i="3"/>
  <c r="BE128" i="3"/>
  <c r="BE129" i="3"/>
  <c r="BE130" i="3"/>
  <c r="BE131" i="3"/>
  <c r="BE132" i="3"/>
  <c r="BE133" i="3"/>
  <c r="BE134" i="3"/>
  <c r="BE135" i="3"/>
  <c r="BE136" i="3"/>
  <c r="BE137" i="3"/>
  <c r="BE138" i="3"/>
  <c r="BE139" i="3"/>
  <c r="BE140" i="3"/>
  <c r="BE141" i="3"/>
  <c r="BE142" i="3"/>
  <c r="BE143" i="3"/>
  <c r="BE144" i="3"/>
  <c r="BE145" i="3"/>
  <c r="BE146" i="3"/>
  <c r="BE147" i="3"/>
  <c r="BE148" i="3"/>
  <c r="BE149" i="3"/>
  <c r="BE150" i="3"/>
  <c r="BE151" i="3"/>
  <c r="BE152" i="3"/>
  <c r="BE153" i="3"/>
  <c r="BE154" i="3"/>
  <c r="BE155" i="3"/>
  <c r="BE156" i="3"/>
  <c r="BE157" i="3"/>
  <c r="BE158" i="3"/>
  <c r="BE159" i="3"/>
  <c r="BE160" i="3"/>
  <c r="BE161" i="3"/>
  <c r="BE162" i="3"/>
  <c r="BE163" i="3"/>
  <c r="BE164" i="3"/>
  <c r="BE165" i="3"/>
  <c r="BE166" i="3"/>
  <c r="BE167" i="3"/>
  <c r="BE168" i="3"/>
  <c r="BE169" i="3"/>
  <c r="BE170" i="3"/>
  <c r="BE171" i="3"/>
  <c r="BE172" i="3"/>
  <c r="BE173" i="3"/>
  <c r="BE174" i="3"/>
  <c r="BE175" i="3"/>
  <c r="BE176" i="3"/>
  <c r="BE177" i="3"/>
  <c r="BE178" i="3"/>
  <c r="BE179" i="3"/>
  <c r="BE180" i="3"/>
  <c r="BE181" i="3"/>
  <c r="BE182" i="3"/>
  <c r="BE183" i="3"/>
  <c r="BE184" i="3"/>
  <c r="BE185" i="3"/>
  <c r="BE186" i="3"/>
  <c r="BE187" i="3"/>
  <c r="BE188" i="3"/>
  <c r="BE189" i="3"/>
  <c r="BE190" i="3"/>
  <c r="BE191" i="3"/>
  <c r="BE192" i="3"/>
  <c r="BE193" i="3"/>
  <c r="BE194" i="3"/>
  <c r="BE195" i="3"/>
  <c r="BE196" i="3"/>
  <c r="BE197" i="3"/>
  <c r="BE198" i="3"/>
  <c r="BE199" i="3"/>
  <c r="BE200" i="3"/>
  <c r="BE201" i="3"/>
  <c r="BE202" i="3"/>
  <c r="BE203" i="3"/>
  <c r="BE204" i="3"/>
  <c r="BE205" i="3"/>
  <c r="BE206" i="3"/>
  <c r="BE207" i="3"/>
  <c r="BE208" i="3"/>
  <c r="BE209" i="3"/>
  <c r="BE210" i="3"/>
  <c r="BE211" i="3"/>
  <c r="BE212" i="3"/>
  <c r="BE213" i="3"/>
  <c r="BE214" i="3"/>
  <c r="BE215" i="3"/>
  <c r="BE216" i="3"/>
  <c r="BE217" i="3"/>
  <c r="BE218" i="3"/>
  <c r="BE219" i="3"/>
  <c r="BE220" i="3"/>
  <c r="BE221" i="3"/>
  <c r="BE222" i="3"/>
  <c r="BE223" i="3"/>
  <c r="BE224" i="3"/>
  <c r="BE225" i="3"/>
  <c r="BE226" i="3"/>
  <c r="BE227" i="3"/>
  <c r="BE228" i="3"/>
  <c r="BE229" i="3"/>
  <c r="BE230" i="3"/>
  <c r="BE231" i="3"/>
  <c r="BE232" i="3"/>
  <c r="BE233" i="3"/>
  <c r="BE234" i="3"/>
  <c r="BE235" i="3"/>
  <c r="BE236" i="3"/>
  <c r="BE237" i="3"/>
  <c r="BE238" i="3"/>
  <c r="BE239" i="3"/>
  <c r="BE240" i="3"/>
  <c r="BE241" i="3"/>
  <c r="BE242" i="3"/>
  <c r="BE243" i="3"/>
  <c r="BE244" i="3"/>
  <c r="BE245" i="3"/>
  <c r="BE246" i="3"/>
  <c r="BE247" i="3"/>
  <c r="BE248" i="3"/>
  <c r="BE249" i="3"/>
  <c r="BE250" i="3"/>
  <c r="BE251" i="3"/>
  <c r="BE252" i="3"/>
  <c r="BE253" i="3"/>
  <c r="BE254" i="3"/>
  <c r="BE255" i="3"/>
  <c r="BE256" i="3"/>
  <c r="BE257" i="3"/>
  <c r="BE258" i="3"/>
  <c r="BE259" i="3"/>
  <c r="BE260" i="3"/>
  <c r="BE261" i="3"/>
  <c r="BE262" i="3"/>
  <c r="BE263" i="3"/>
  <c r="BE264" i="3"/>
  <c r="BE265" i="3"/>
  <c r="BE266" i="3"/>
  <c r="BE267" i="3"/>
  <c r="BE268" i="3"/>
  <c r="BE269" i="3"/>
  <c r="BE270" i="3"/>
  <c r="BE271" i="3"/>
  <c r="BE272" i="3"/>
  <c r="BE273" i="3"/>
  <c r="BE274" i="3"/>
  <c r="BE275" i="3"/>
  <c r="BE276" i="3"/>
  <c r="BE277" i="3"/>
  <c r="BE278" i="3"/>
  <c r="BE279" i="3"/>
  <c r="BE280" i="3"/>
  <c r="BE281" i="3"/>
  <c r="BE282" i="3"/>
  <c r="BE283" i="3"/>
  <c r="BE284" i="3"/>
  <c r="BE285" i="3"/>
  <c r="BE286" i="3"/>
  <c r="BE287" i="3"/>
  <c r="BE288" i="3"/>
  <c r="BE289" i="3"/>
  <c r="BE290" i="3"/>
  <c r="BE291" i="3"/>
  <c r="BE292" i="3"/>
  <c r="BD2" i="3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103" i="3"/>
  <c r="BD104" i="3"/>
  <c r="BD105" i="3"/>
  <c r="BD106" i="3"/>
  <c r="BD107" i="3"/>
  <c r="BD108" i="3"/>
  <c r="BD109" i="3"/>
  <c r="BD110" i="3"/>
  <c r="BD111" i="3"/>
  <c r="BD112" i="3"/>
  <c r="BD113" i="3"/>
  <c r="BD114" i="3"/>
  <c r="BD115" i="3"/>
  <c r="BD116" i="3"/>
  <c r="BD117" i="3"/>
  <c r="BD118" i="3"/>
  <c r="BD119" i="3"/>
  <c r="BD120" i="3"/>
  <c r="BD121" i="3"/>
  <c r="BD122" i="3"/>
  <c r="BD123" i="3"/>
  <c r="BD124" i="3"/>
  <c r="BD125" i="3"/>
  <c r="BD126" i="3"/>
  <c r="BD127" i="3"/>
  <c r="BD128" i="3"/>
  <c r="BD129" i="3"/>
  <c r="BD130" i="3"/>
  <c r="BD131" i="3"/>
  <c r="BD132" i="3"/>
  <c r="BD133" i="3"/>
  <c r="BD134" i="3"/>
  <c r="BD135" i="3"/>
  <c r="BD136" i="3"/>
  <c r="BD137" i="3"/>
  <c r="BD138" i="3"/>
  <c r="BD139" i="3"/>
  <c r="BD140" i="3"/>
  <c r="BD141" i="3"/>
  <c r="BD142" i="3"/>
  <c r="BD143" i="3"/>
  <c r="BD144" i="3"/>
  <c r="BD145" i="3"/>
  <c r="BD146" i="3"/>
  <c r="BD147" i="3"/>
  <c r="BD148" i="3"/>
  <c r="BD149" i="3"/>
  <c r="BD150" i="3"/>
  <c r="BD151" i="3"/>
  <c r="BD152" i="3"/>
  <c r="BD153" i="3"/>
  <c r="BD154" i="3"/>
  <c r="BD155" i="3"/>
  <c r="BD156" i="3"/>
  <c r="BD157" i="3"/>
  <c r="BD158" i="3"/>
  <c r="BD159" i="3"/>
  <c r="BD160" i="3"/>
  <c r="BD161" i="3"/>
  <c r="BD162" i="3"/>
  <c r="BD163" i="3"/>
  <c r="BD164" i="3"/>
  <c r="BD165" i="3"/>
  <c r="BD166" i="3"/>
  <c r="BD167" i="3"/>
  <c r="BD168" i="3"/>
  <c r="BD169" i="3"/>
  <c r="BD170" i="3"/>
  <c r="BD171" i="3"/>
  <c r="BD172" i="3"/>
  <c r="BD173" i="3"/>
  <c r="BD174" i="3"/>
  <c r="BD175" i="3"/>
  <c r="BD176" i="3"/>
  <c r="BD177" i="3"/>
  <c r="BD178" i="3"/>
  <c r="BD179" i="3"/>
  <c r="BD180" i="3"/>
  <c r="BD181" i="3"/>
  <c r="BD182" i="3"/>
  <c r="BD183" i="3"/>
  <c r="BD184" i="3"/>
  <c r="BD185" i="3"/>
  <c r="BD186" i="3"/>
  <c r="BD187" i="3"/>
  <c r="BD188" i="3"/>
  <c r="BD189" i="3"/>
  <c r="BD190" i="3"/>
  <c r="BD191" i="3"/>
  <c r="BD192" i="3"/>
  <c r="BD193" i="3"/>
  <c r="BD194" i="3"/>
  <c r="BD195" i="3"/>
  <c r="BD196" i="3"/>
  <c r="BD197" i="3"/>
  <c r="BD198" i="3"/>
  <c r="BD199" i="3"/>
  <c r="BD200" i="3"/>
  <c r="BD201" i="3"/>
  <c r="BD202" i="3"/>
  <c r="BD203" i="3"/>
  <c r="BD204" i="3"/>
  <c r="BD205" i="3"/>
  <c r="BD206" i="3"/>
  <c r="BD207" i="3"/>
  <c r="BD208" i="3"/>
  <c r="BD209" i="3"/>
  <c r="BD210" i="3"/>
  <c r="BD211" i="3"/>
  <c r="BD212" i="3"/>
  <c r="BD213" i="3"/>
  <c r="BD214" i="3"/>
  <c r="BD215" i="3"/>
  <c r="BD216" i="3"/>
  <c r="BD217" i="3"/>
  <c r="BD218" i="3"/>
  <c r="BD219" i="3"/>
  <c r="BD220" i="3"/>
  <c r="BD221" i="3"/>
  <c r="BD222" i="3"/>
  <c r="BD223" i="3"/>
  <c r="BD224" i="3"/>
  <c r="BD225" i="3"/>
  <c r="BD226" i="3"/>
  <c r="BD227" i="3"/>
  <c r="BD228" i="3"/>
  <c r="BD229" i="3"/>
  <c r="BD230" i="3"/>
  <c r="BD231" i="3"/>
  <c r="BD232" i="3"/>
  <c r="BD233" i="3"/>
  <c r="BD234" i="3"/>
  <c r="BD235" i="3"/>
  <c r="BD236" i="3"/>
  <c r="BD237" i="3"/>
  <c r="BD238" i="3"/>
  <c r="BD239" i="3"/>
  <c r="BD240" i="3"/>
  <c r="BD241" i="3"/>
  <c r="BD242" i="3"/>
  <c r="BD243" i="3"/>
  <c r="BD244" i="3"/>
  <c r="BD245" i="3"/>
  <c r="BD246" i="3"/>
  <c r="BD247" i="3"/>
  <c r="BD248" i="3"/>
  <c r="BD249" i="3"/>
  <c r="BD250" i="3"/>
  <c r="BD251" i="3"/>
  <c r="BD252" i="3"/>
  <c r="BD253" i="3"/>
  <c r="BD254" i="3"/>
  <c r="BD255" i="3"/>
  <c r="BD256" i="3"/>
  <c r="BD257" i="3"/>
  <c r="BD258" i="3"/>
  <c r="BD259" i="3"/>
  <c r="BD260" i="3"/>
  <c r="BD261" i="3"/>
  <c r="BD262" i="3"/>
  <c r="BD263" i="3"/>
  <c r="BD264" i="3"/>
  <c r="BD265" i="3"/>
  <c r="BD266" i="3"/>
  <c r="BD267" i="3"/>
  <c r="BD268" i="3"/>
  <c r="BD269" i="3"/>
  <c r="BD270" i="3"/>
  <c r="BD271" i="3"/>
  <c r="BD272" i="3"/>
  <c r="BD273" i="3"/>
  <c r="BD274" i="3"/>
  <c r="BD275" i="3"/>
  <c r="BD276" i="3"/>
  <c r="BD277" i="3"/>
  <c r="BD278" i="3"/>
  <c r="BD279" i="3"/>
  <c r="BD280" i="3"/>
  <c r="BD281" i="3"/>
  <c r="BD282" i="3"/>
  <c r="BD283" i="3"/>
  <c r="BD284" i="3"/>
  <c r="BD285" i="3"/>
  <c r="BD286" i="3"/>
  <c r="BD287" i="3"/>
  <c r="BD288" i="3"/>
  <c r="BD289" i="3"/>
  <c r="BD290" i="3"/>
  <c r="BD291" i="3"/>
  <c r="BD292" i="3"/>
  <c r="F3" i="9"/>
  <c r="F4" i="9"/>
  <c r="F5" i="9"/>
  <c r="F6" i="9"/>
  <c r="F7" i="9"/>
  <c r="F8" i="9"/>
  <c r="F9" i="9"/>
  <c r="F10" i="9"/>
  <c r="F11" i="9"/>
  <c r="F12" i="9"/>
  <c r="F13" i="9"/>
  <c r="F2" i="9"/>
  <c r="D234" i="6"/>
  <c r="C234" i="6"/>
  <c r="D233" i="6"/>
  <c r="C233" i="6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C214" i="6"/>
  <c r="D213" i="6"/>
  <c r="C213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  <c r="C9" i="5"/>
  <c r="C7" i="5"/>
  <c r="C6" i="5"/>
  <c r="C5" i="5"/>
  <c r="C3" i="5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E222" i="6" s="1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G2" i="2"/>
  <c r="AG3" i="2"/>
  <c r="AG4" i="2"/>
  <c r="E4" i="6" s="1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E116" i="6" s="1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E132" i="6" s="1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E225" i="6" l="1"/>
  <c r="E209" i="6"/>
  <c r="E193" i="6"/>
  <c r="E177" i="6"/>
  <c r="E161" i="6"/>
  <c r="E145" i="6"/>
  <c r="E129" i="6"/>
  <c r="E113" i="6"/>
  <c r="E97" i="6"/>
  <c r="E81" i="6"/>
  <c r="E65" i="6"/>
  <c r="E49" i="6"/>
  <c r="E33" i="6"/>
  <c r="E17" i="6"/>
  <c r="E138" i="6"/>
  <c r="E10" i="6"/>
  <c r="E9" i="6"/>
  <c r="E217" i="6"/>
  <c r="E201" i="6"/>
  <c r="E137" i="6"/>
  <c r="E89" i="6"/>
  <c r="E73" i="6"/>
  <c r="E25" i="6"/>
  <c r="E153" i="6"/>
  <c r="E190" i="6"/>
  <c r="E174" i="6"/>
  <c r="E158" i="6"/>
  <c r="E142" i="6"/>
  <c r="E126" i="6"/>
  <c r="E110" i="6"/>
  <c r="E94" i="6"/>
  <c r="E62" i="6"/>
  <c r="E46" i="6"/>
  <c r="E30" i="6"/>
  <c r="E14" i="6"/>
  <c r="E221" i="6"/>
  <c r="E189" i="6"/>
  <c r="E173" i="6"/>
  <c r="E157" i="6"/>
  <c r="E141" i="6"/>
  <c r="E125" i="6"/>
  <c r="E93" i="6"/>
  <c r="E77" i="6"/>
  <c r="E61" i="6"/>
  <c r="E45" i="6"/>
  <c r="E29" i="6"/>
  <c r="E13" i="6"/>
  <c r="E220" i="6"/>
  <c r="E204" i="6"/>
  <c r="E188" i="6"/>
  <c r="E156" i="6"/>
  <c r="E76" i="6"/>
  <c r="E186" i="6"/>
  <c r="E154" i="6"/>
  <c r="E106" i="6"/>
  <c r="E42" i="6"/>
  <c r="E206" i="6"/>
  <c r="E78" i="6"/>
  <c r="E205" i="6"/>
  <c r="E109" i="6"/>
  <c r="E172" i="6"/>
  <c r="E140" i="6"/>
  <c r="E124" i="6"/>
  <c r="E108" i="6"/>
  <c r="E92" i="6"/>
  <c r="E60" i="6"/>
  <c r="E44" i="6"/>
  <c r="E28" i="6"/>
  <c r="E12" i="6"/>
  <c r="E212" i="6"/>
  <c r="E196" i="6"/>
  <c r="E180" i="6"/>
  <c r="E148" i="6"/>
  <c r="E84" i="6"/>
  <c r="E68" i="6"/>
  <c r="E52" i="6"/>
  <c r="E20" i="6"/>
  <c r="E234" i="6"/>
  <c r="E218" i="6"/>
  <c r="E202" i="6"/>
  <c r="E170" i="6"/>
  <c r="E122" i="6"/>
  <c r="E90" i="6"/>
  <c r="E74" i="6"/>
  <c r="E58" i="6"/>
  <c r="E26" i="6"/>
  <c r="E169" i="6"/>
  <c r="E121" i="6"/>
  <c r="E105" i="6"/>
  <c r="E41" i="6"/>
  <c r="E185" i="6"/>
  <c r="E164" i="6"/>
  <c r="E100" i="6"/>
  <c r="E36" i="6"/>
  <c r="E57" i="6"/>
  <c r="C11" i="5"/>
  <c r="E168" i="6"/>
  <c r="E24" i="6"/>
  <c r="E231" i="6"/>
  <c r="E199" i="6"/>
  <c r="E183" i="6"/>
  <c r="E151" i="6"/>
  <c r="E119" i="6"/>
  <c r="E87" i="6"/>
  <c r="E55" i="6"/>
  <c r="E7" i="6"/>
  <c r="E224" i="6"/>
  <c r="E208" i="6"/>
  <c r="E160" i="6"/>
  <c r="E112" i="6"/>
  <c r="E198" i="6"/>
  <c r="E182" i="6"/>
  <c r="E150" i="6"/>
  <c r="E134" i="6"/>
  <c r="E118" i="6"/>
  <c r="E102" i="6"/>
  <c r="E70" i="6"/>
  <c r="E38" i="6"/>
  <c r="E223" i="6"/>
  <c r="E207" i="6"/>
  <c r="E159" i="6"/>
  <c r="E143" i="6"/>
  <c r="E63" i="6"/>
  <c r="E31" i="6"/>
  <c r="E229" i="6"/>
  <c r="E213" i="6"/>
  <c r="E197" i="6"/>
  <c r="E181" i="6"/>
  <c r="E165" i="6"/>
  <c r="E149" i="6"/>
  <c r="E133" i="6"/>
  <c r="E117" i="6"/>
  <c r="E101" i="6"/>
  <c r="E85" i="6"/>
  <c r="E69" i="6"/>
  <c r="E53" i="6"/>
  <c r="E37" i="6"/>
  <c r="E21" i="6"/>
  <c r="E5" i="6"/>
  <c r="E215" i="6"/>
  <c r="E32" i="6"/>
  <c r="E86" i="6"/>
  <c r="E191" i="6"/>
  <c r="E127" i="6"/>
  <c r="E79" i="6"/>
  <c r="E47" i="6"/>
  <c r="E15" i="6"/>
  <c r="E228" i="6"/>
  <c r="E176" i="6"/>
  <c r="E230" i="6"/>
  <c r="E175" i="6"/>
  <c r="E95" i="6"/>
  <c r="E147" i="6"/>
  <c r="E115" i="6"/>
  <c r="E83" i="6"/>
  <c r="E51" i="6"/>
  <c r="E35" i="6"/>
  <c r="E19" i="6"/>
  <c r="E3" i="6"/>
  <c r="E233" i="6"/>
  <c r="E232" i="6"/>
  <c r="E216" i="6"/>
  <c r="E200" i="6"/>
  <c r="E184" i="6"/>
  <c r="E152" i="6"/>
  <c r="E136" i="6"/>
  <c r="E120" i="6"/>
  <c r="E104" i="6"/>
  <c r="E88" i="6"/>
  <c r="E72" i="6"/>
  <c r="E56" i="6"/>
  <c r="E40" i="6"/>
  <c r="E8" i="6"/>
  <c r="E167" i="6"/>
  <c r="E135" i="6"/>
  <c r="E103" i="6"/>
  <c r="E71" i="6"/>
  <c r="E39" i="6"/>
  <c r="E23" i="6"/>
  <c r="E192" i="6"/>
  <c r="E144" i="6"/>
  <c r="E128" i="6"/>
  <c r="E96" i="6"/>
  <c r="E80" i="6"/>
  <c r="E64" i="6"/>
  <c r="E48" i="6"/>
  <c r="E16" i="6"/>
  <c r="E214" i="6"/>
  <c r="E166" i="6"/>
  <c r="E54" i="6"/>
  <c r="E22" i="6"/>
  <c r="E6" i="6"/>
  <c r="E111" i="6"/>
  <c r="C8" i="5"/>
  <c r="E227" i="6"/>
  <c r="E211" i="6"/>
  <c r="E195" i="6"/>
  <c r="E179" i="6"/>
  <c r="E163" i="6"/>
  <c r="E131" i="6"/>
  <c r="E99" i="6"/>
  <c r="E67" i="6"/>
  <c r="E226" i="6"/>
  <c r="E210" i="6"/>
  <c r="E194" i="6"/>
  <c r="E178" i="6"/>
  <c r="E162" i="6"/>
  <c r="E146" i="6"/>
  <c r="E130" i="6"/>
  <c r="E114" i="6"/>
  <c r="E98" i="6"/>
  <c r="E82" i="6"/>
  <c r="E66" i="6"/>
  <c r="E50" i="6"/>
  <c r="E34" i="6"/>
  <c r="E18" i="6"/>
  <c r="C10" i="5"/>
  <c r="E219" i="6"/>
  <c r="E203" i="6"/>
  <c r="E187" i="6"/>
  <c r="E171" i="6"/>
  <c r="E155" i="6"/>
  <c r="E139" i="6"/>
  <c r="E123" i="6"/>
  <c r="E107" i="6"/>
  <c r="E91" i="6"/>
  <c r="E75" i="6"/>
  <c r="E59" i="6"/>
  <c r="E43" i="6"/>
  <c r="E27" i="6"/>
  <c r="E11" i="6"/>
  <c r="E2" i="6"/>
  <c r="AI157" i="2"/>
  <c r="AI29" i="2"/>
  <c r="AI154" i="2"/>
  <c r="AI58" i="2"/>
  <c r="AI206" i="2"/>
  <c r="AI30" i="2"/>
  <c r="AI205" i="2"/>
  <c r="AI220" i="2"/>
  <c r="AI156" i="2"/>
  <c r="AI28" i="2"/>
  <c r="AI230" i="2"/>
  <c r="AI182" i="2"/>
  <c r="AI134" i="2"/>
  <c r="AI102" i="2"/>
  <c r="AI54" i="2"/>
  <c r="AI181" i="2"/>
  <c r="AI149" i="2"/>
  <c r="AI69" i="2"/>
  <c r="AI21" i="2"/>
  <c r="AI148" i="2"/>
  <c r="AI84" i="2"/>
  <c r="AI36" i="2"/>
  <c r="AI173" i="2"/>
  <c r="AI125" i="2"/>
  <c r="AI219" i="2"/>
  <c r="AI123" i="2"/>
  <c r="AI107" i="2"/>
  <c r="AI91" i="2"/>
  <c r="AI27" i="2"/>
  <c r="AI11" i="2"/>
  <c r="AI198" i="2"/>
  <c r="AI150" i="2"/>
  <c r="AI118" i="2"/>
  <c r="AI70" i="2"/>
  <c r="AI38" i="2"/>
  <c r="AI6" i="2"/>
  <c r="AI229" i="2"/>
  <c r="AI197" i="2"/>
  <c r="AI165" i="2"/>
  <c r="AI133" i="2"/>
  <c r="AI117" i="2"/>
  <c r="AI85" i="2"/>
  <c r="AI53" i="2"/>
  <c r="AI5" i="2"/>
  <c r="AI190" i="2"/>
  <c r="AI142" i="2"/>
  <c r="AI228" i="2"/>
  <c r="AI180" i="2"/>
  <c r="AI100" i="2"/>
  <c r="AI20" i="2"/>
  <c r="AI93" i="2"/>
  <c r="AI45" i="2"/>
  <c r="AI92" i="2"/>
  <c r="AI106" i="2"/>
  <c r="AI214" i="2"/>
  <c r="AI166" i="2"/>
  <c r="AI86" i="2"/>
  <c r="AI22" i="2"/>
  <c r="AI213" i="2"/>
  <c r="AI101" i="2"/>
  <c r="AI37" i="2"/>
  <c r="AI126" i="2"/>
  <c r="AI46" i="2"/>
  <c r="AI212" i="2"/>
  <c r="AI196" i="2"/>
  <c r="AI164" i="2"/>
  <c r="AI132" i="2"/>
  <c r="AI116" i="2"/>
  <c r="AI68" i="2"/>
  <c r="AI52" i="2"/>
  <c r="AI4" i="2"/>
  <c r="AI189" i="2"/>
  <c r="AI141" i="2"/>
  <c r="AI13" i="2"/>
  <c r="AI222" i="2"/>
  <c r="AI174" i="2"/>
  <c r="AI158" i="2"/>
  <c r="AI110" i="2"/>
  <c r="AI94" i="2"/>
  <c r="AI78" i="2"/>
  <c r="AI62" i="2"/>
  <c r="AI14" i="2"/>
  <c r="AI221" i="2"/>
  <c r="AI109" i="2"/>
  <c r="AI61" i="2"/>
  <c r="AI204" i="2"/>
  <c r="AI188" i="2"/>
  <c r="AI172" i="2"/>
  <c r="AI140" i="2"/>
  <c r="AI124" i="2"/>
  <c r="AI108" i="2"/>
  <c r="AI76" i="2"/>
  <c r="AI60" i="2"/>
  <c r="AI44" i="2"/>
  <c r="AI12" i="2"/>
  <c r="AI187" i="2"/>
  <c r="AI171" i="2"/>
  <c r="AI155" i="2"/>
  <c r="AI139" i="2"/>
  <c r="AI75" i="2"/>
  <c r="AI59" i="2"/>
  <c r="AI77" i="2"/>
  <c r="AI234" i="2"/>
  <c r="AI218" i="2"/>
  <c r="AI186" i="2"/>
  <c r="AI170" i="2"/>
  <c r="AI138" i="2"/>
  <c r="AI122" i="2"/>
  <c r="AI90" i="2"/>
  <c r="AI74" i="2"/>
  <c r="AI26" i="2"/>
  <c r="AI10" i="2"/>
  <c r="AI227" i="2"/>
  <c r="AI211" i="2"/>
  <c r="AI195" i="2"/>
  <c r="AI179" i="2"/>
  <c r="AI163" i="2"/>
  <c r="AI147" i="2"/>
  <c r="AI131" i="2"/>
  <c r="AI115" i="2"/>
  <c r="AI99" i="2"/>
  <c r="AI83" i="2"/>
  <c r="AI67" i="2"/>
  <c r="AI51" i="2"/>
  <c r="AI35" i="2"/>
  <c r="AI19" i="2"/>
  <c r="AI3" i="2"/>
  <c r="AI203" i="2"/>
  <c r="AI43" i="2"/>
  <c r="AI233" i="2"/>
  <c r="AI185" i="2"/>
  <c r="AI137" i="2"/>
  <c r="AI105" i="2"/>
  <c r="AI73" i="2"/>
  <c r="AI57" i="2"/>
  <c r="AI9" i="2"/>
  <c r="AI232" i="2"/>
  <c r="AI216" i="2"/>
  <c r="AI200" i="2"/>
  <c r="AI184" i="2"/>
  <c r="AI168" i="2"/>
  <c r="AI152" i="2"/>
  <c r="AI136" i="2"/>
  <c r="AI120" i="2"/>
  <c r="AI104" i="2"/>
  <c r="AI88" i="2"/>
  <c r="AI72" i="2"/>
  <c r="AI56" i="2"/>
  <c r="AI40" i="2"/>
  <c r="AI24" i="2"/>
  <c r="AI8" i="2"/>
  <c r="AI217" i="2"/>
  <c r="AI169" i="2"/>
  <c r="AI25" i="2"/>
  <c r="AI231" i="2"/>
  <c r="AI215" i="2"/>
  <c r="AI199" i="2"/>
  <c r="AI183" i="2"/>
  <c r="AI167" i="2"/>
  <c r="AI151" i="2"/>
  <c r="AI135" i="2"/>
  <c r="AI119" i="2"/>
  <c r="AI103" i="2"/>
  <c r="AI87" i="2"/>
  <c r="AI71" i="2"/>
  <c r="AI55" i="2"/>
  <c r="AI39" i="2"/>
  <c r="AI23" i="2"/>
  <c r="AI7" i="2"/>
  <c r="AI202" i="2"/>
  <c r="AI42" i="2"/>
  <c r="AI201" i="2"/>
  <c r="AI153" i="2"/>
  <c r="AI121" i="2"/>
  <c r="AI89" i="2"/>
  <c r="AI41" i="2"/>
  <c r="AI226" i="2"/>
  <c r="AI210" i="2"/>
  <c r="AI194" i="2"/>
  <c r="AI178" i="2"/>
  <c r="AI162" i="2"/>
  <c r="AI146" i="2"/>
  <c r="AI130" i="2"/>
  <c r="AI114" i="2"/>
  <c r="AI98" i="2"/>
  <c r="AI82" i="2"/>
  <c r="AI66" i="2"/>
  <c r="AI50" i="2"/>
  <c r="AI34" i="2"/>
  <c r="AI18" i="2"/>
  <c r="AI2" i="2"/>
  <c r="AI225" i="2"/>
  <c r="AI209" i="2"/>
  <c r="AI193" i="2"/>
  <c r="AI177" i="2"/>
  <c r="AI161" i="2"/>
  <c r="AI145" i="2"/>
  <c r="AI129" i="2"/>
  <c r="AI113" i="2"/>
  <c r="AI97" i="2"/>
  <c r="AI81" i="2"/>
  <c r="AI65" i="2"/>
  <c r="AI49" i="2"/>
  <c r="AI33" i="2"/>
  <c r="AI17" i="2"/>
  <c r="AI224" i="2"/>
  <c r="AI208" i="2"/>
  <c r="AI192" i="2"/>
  <c r="AI176" i="2"/>
  <c r="AI160" i="2"/>
  <c r="AI144" i="2"/>
  <c r="AI128" i="2"/>
  <c r="AI112" i="2"/>
  <c r="AI96" i="2"/>
  <c r="AI80" i="2"/>
  <c r="AI64" i="2"/>
  <c r="AI48" i="2"/>
  <c r="AI32" i="2"/>
  <c r="AI16" i="2"/>
  <c r="AI223" i="2"/>
  <c r="AI207" i="2"/>
  <c r="AI191" i="2"/>
  <c r="AI175" i="2"/>
  <c r="AI159" i="2"/>
  <c r="AI143" i="2"/>
  <c r="AI127" i="2"/>
  <c r="AI111" i="2"/>
  <c r="AI95" i="2"/>
  <c r="AI79" i="2"/>
  <c r="AI63" i="2"/>
  <c r="AI47" i="2"/>
  <c r="AI31" i="2"/>
  <c r="AI15" i="2"/>
  <c r="C12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BEA21E-96A4-456C-B3AD-C6DA602B22F0}" keepAlive="1" name="Query - MarketPlace Order Report" description="Connection to the 'MarketPlace Order Report' query in the workbook." type="5" refreshedVersion="8" background="1" saveData="1">
    <dbPr connection="Provider=Microsoft.Mashup.OleDb.1;Data Source=$Workbook$;Location=&quot;MarketPlace Order Report&quot;;Extended Properties=&quot;&quot;" command="SELECT * FROM [MarketPlace Order Report]"/>
  </connection>
  <connection id="2" xr16:uid="{8A54EE03-5ED4-499C-93D0-20BAD2F8F281}" keepAlive="1" name="Query - MarketPlace Order Report (2)" description="Connection to the 'MarketPlace Order Report (2)' query in the workbook." type="5" refreshedVersion="8" background="1" saveData="1">
    <dbPr connection="Provider=Microsoft.Mashup.OleDb.1;Data Source=$Workbook$;Location=&quot;MarketPlace Order Report (2)&quot;;Extended Properties=&quot;&quot;" command="SELECT * FROM [MarketPlace Order Report (2)]"/>
  </connection>
  <connection id="3" xr16:uid="{BB7BF1EA-E365-4778-BE55-52E7CCFD98F0}" keepAlive="1" name="Query - SellerPanel_Return" description="Connection to the 'SellerPanel_Return' query in the workbook." type="5" refreshedVersion="0" background="1">
    <dbPr connection="Provider=Microsoft.Mashup.OleDb.1;Data Source=$Workbook$;Location=SellerPanel_Return;Extended Properties=&quot;&quot;" command="SELECT * FROM [SellerPanel_Return]"/>
  </connection>
</connections>
</file>

<file path=xl/sharedStrings.xml><?xml version="1.0" encoding="utf-8"?>
<sst xmlns="http://schemas.openxmlformats.org/spreadsheetml/2006/main" count="12040" uniqueCount="2478">
  <si>
    <t>MagentoOrderNo</t>
  </si>
  <si>
    <t>orderno</t>
  </si>
  <si>
    <t>SKUCode</t>
  </si>
  <si>
    <t>Design No.</t>
  </si>
  <si>
    <t>EXTLINENO</t>
  </si>
  <si>
    <t>Status</t>
  </si>
  <si>
    <t>OrderQty</t>
  </si>
  <si>
    <t>ShippedQty</t>
  </si>
  <si>
    <t>Mrp</t>
  </si>
  <si>
    <t>UnitPrice</t>
  </si>
  <si>
    <t>DiscountAmount</t>
  </si>
  <si>
    <t>LineItemTotal</t>
  </si>
  <si>
    <t>ShippingCharge</t>
  </si>
  <si>
    <t>Mode</t>
  </si>
  <si>
    <t>OrderDate</t>
  </si>
  <si>
    <t>ShippedDate</t>
  </si>
  <si>
    <t>DeliveredDate</t>
  </si>
  <si>
    <t>AWBNo</t>
  </si>
  <si>
    <t>TransName</t>
  </si>
  <si>
    <t>Invoicedate</t>
  </si>
  <si>
    <t>ReasonForCancellation</t>
  </si>
  <si>
    <t>Brand</t>
  </si>
  <si>
    <t>CancelRemark</t>
  </si>
  <si>
    <t>CommentHistory</t>
  </si>
  <si>
    <t>Return Code</t>
  </si>
  <si>
    <t>Return Type</t>
  </si>
  <si>
    <t>Return Status</t>
  </si>
  <si>
    <t>Return Create Reason</t>
  </si>
  <si>
    <t>OrderSource</t>
  </si>
  <si>
    <t>upddate</t>
  </si>
  <si>
    <t>Is Replacement</t>
  </si>
  <si>
    <t>Original OrderNo</t>
  </si>
  <si>
    <t xml:space="preserve">city
</t>
  </si>
  <si>
    <t>State</t>
  </si>
  <si>
    <t>Pincode</t>
  </si>
  <si>
    <t>Country</t>
  </si>
  <si>
    <t>Currency</t>
  </si>
  <si>
    <t>HSNCode</t>
  </si>
  <si>
    <t>CancelledDate</t>
  </si>
  <si>
    <t>SellingPrice</t>
  </si>
  <si>
    <t>InvoiceNo</t>
  </si>
  <si>
    <t>Discount code</t>
  </si>
  <si>
    <t>Order Tag</t>
  </si>
  <si>
    <t>OnHold</t>
  </si>
  <si>
    <t>TaxPercent</t>
  </si>
  <si>
    <t>CGSTTaxPercent</t>
  </si>
  <si>
    <t>SGSTTaxPercent</t>
  </si>
  <si>
    <t>IGSTTaxPercent</t>
  </si>
  <si>
    <t>TaxAmount</t>
  </si>
  <si>
    <t>CGSTAmount</t>
  </si>
  <si>
    <t>SGSTAmount</t>
  </si>
  <si>
    <t>IGSTAmount</t>
  </si>
  <si>
    <t>Unhold Date</t>
  </si>
  <si>
    <t>Weight</t>
  </si>
  <si>
    <t>ShipByDate</t>
  </si>
  <si>
    <t>NYK-31902275-9589869-1-1</t>
  </si>
  <si>
    <t>NYKF35274843</t>
  </si>
  <si>
    <t>1143-Cream-32</t>
  </si>
  <si>
    <t>Delivered</t>
  </si>
  <si>
    <t>Prepaid</t>
  </si>
  <si>
    <t>DelhiverySurface</t>
  </si>
  <si>
    <t/>
  </si>
  <si>
    <t>Tiny Kingdom</t>
  </si>
  <si>
    <t>No</t>
  </si>
  <si>
    <t>Mangalore</t>
  </si>
  <si>
    <t>Karnataka</t>
  </si>
  <si>
    <t>India</t>
  </si>
  <si>
    <t>Indian Rupee</t>
  </si>
  <si>
    <t>NYK-31867866-5644421-1-1</t>
  </si>
  <si>
    <t>NYKF35236807</t>
  </si>
  <si>
    <t>1143-Cream-36</t>
  </si>
  <si>
    <t>Returned</t>
  </si>
  <si>
    <t>COD</t>
  </si>
  <si>
    <t>Shadowfax</t>
  </si>
  <si>
    <t>Raise Return</t>
  </si>
  <si>
    <t>Reverse PickUP Delivered</t>
  </si>
  <si>
    <t>Ghaziabad</t>
  </si>
  <si>
    <t>Uttar Pradesh</t>
  </si>
  <si>
    <t>NFBACK20</t>
  </si>
  <si>
    <t>NYK-31121937-3023273-1-1</t>
  </si>
  <si>
    <t>NYKF34426514</t>
  </si>
  <si>
    <t>1180-Blue-28</t>
  </si>
  <si>
    <t>Sherghati</t>
  </si>
  <si>
    <t>Bihar</t>
  </si>
  <si>
    <t>NYK-31709729-8268799-2-1</t>
  </si>
  <si>
    <t>NYKF35063585</t>
  </si>
  <si>
    <t>1209-Orange-20</t>
  </si>
  <si>
    <t>Ganj Basoda</t>
  </si>
  <si>
    <t>Madhya Pradesh</t>
  </si>
  <si>
    <t>NFESTIVE15</t>
  </si>
  <si>
    <t>NYK-31736264-0796601-2-1</t>
  </si>
  <si>
    <t>NYKF35092648</t>
  </si>
  <si>
    <t>CUTAB00000407</t>
  </si>
  <si>
    <t>1209-Orange-22</t>
  </si>
  <si>
    <t>Kanpur</t>
  </si>
  <si>
    <t>NYK-31488583-6576727-1-1</t>
  </si>
  <si>
    <t>NYKF34822150</t>
  </si>
  <si>
    <t>1209-Orange-24</t>
  </si>
  <si>
    <t>Gurugram</t>
  </si>
  <si>
    <t>Haryana</t>
  </si>
  <si>
    <t>NYK-31139193-9537143-1-1</t>
  </si>
  <si>
    <t>NYKF34444865</t>
  </si>
  <si>
    <t>RTO Delivered</t>
  </si>
  <si>
    <t>RTO</t>
  </si>
  <si>
    <t>NYK-31627638-9795060-2-1</t>
  </si>
  <si>
    <t>NYKF34972918</t>
  </si>
  <si>
    <t>1209-Orange-28</t>
  </si>
  <si>
    <t>BLUEDART</t>
  </si>
  <si>
    <t>Hyderabad</t>
  </si>
  <si>
    <t>Telangana</t>
  </si>
  <si>
    <t>NYK-31809224-9003300-1-1</t>
  </si>
  <si>
    <t>NYKF35172859</t>
  </si>
  <si>
    <t>CUTAB00000419</t>
  </si>
  <si>
    <t>1212-Multi-24</t>
  </si>
  <si>
    <t>Tirunelveli</t>
  </si>
  <si>
    <t>Tamil Nadu</t>
  </si>
  <si>
    <t>NYK-31924788-7373075-2-1</t>
  </si>
  <si>
    <t>NYKF35299332</t>
  </si>
  <si>
    <t>1212-Multi-26</t>
  </si>
  <si>
    <t>Jaipur</t>
  </si>
  <si>
    <t>Rajasthan</t>
  </si>
  <si>
    <t>NYK-31505342-7129980-2-1</t>
  </si>
  <si>
    <t>NYKF34840505</t>
  </si>
  <si>
    <t>1212-Multi-28</t>
  </si>
  <si>
    <t>Gurgaon</t>
  </si>
  <si>
    <t>NFESTIVE1O</t>
  </si>
  <si>
    <t>NYK-31864776-8041314-2-1</t>
  </si>
  <si>
    <t>NYKF35233250</t>
  </si>
  <si>
    <t>CUTAB00000511</t>
  </si>
  <si>
    <t>1221-Rani-30</t>
  </si>
  <si>
    <t>Pithoragarh</t>
  </si>
  <si>
    <t>Uttarakhand</t>
  </si>
  <si>
    <t>NYK-31889316-2835948-2-1</t>
  </si>
  <si>
    <t>NYKF35259941</t>
  </si>
  <si>
    <t>CUTAB00000513</t>
  </si>
  <si>
    <t>1221-Rani-34</t>
  </si>
  <si>
    <t>Noida</t>
  </si>
  <si>
    <t>NFSDS10</t>
  </si>
  <si>
    <t>NYK-31913686-8806740-1-1</t>
  </si>
  <si>
    <t>NYKF35287395</t>
  </si>
  <si>
    <t>1222-SeaGreen-24</t>
  </si>
  <si>
    <t>Sandila</t>
  </si>
  <si>
    <t>NYK-31636332-0375595-1-1</t>
  </si>
  <si>
    <t>NYKF34982404</t>
  </si>
  <si>
    <t>1233-Grey-28</t>
  </si>
  <si>
    <t>NFFLAT10</t>
  </si>
  <si>
    <t>NYK-31177835-7193663-1-1</t>
  </si>
  <si>
    <t>NYKF34486144</t>
  </si>
  <si>
    <t>1235-Blue-28</t>
  </si>
  <si>
    <t>Pondicherry</t>
  </si>
  <si>
    <t>pondicherry</t>
  </si>
  <si>
    <t>NYK-31909923-7825439-1-1</t>
  </si>
  <si>
    <t>NYKF35283538</t>
  </si>
  <si>
    <t>1238-Lilac-28</t>
  </si>
  <si>
    <t>1238-Lilac-38</t>
  </si>
  <si>
    <t>NYK-31230380-8834715-1-1</t>
  </si>
  <si>
    <t>NYKF34542398</t>
  </si>
  <si>
    <t>1245-Pink-36</t>
  </si>
  <si>
    <t>NFESTIVE10</t>
  </si>
  <si>
    <t>NYK-31899770-5045088-1-1</t>
  </si>
  <si>
    <t>NYKF35271906</t>
  </si>
  <si>
    <t>1252-Green-32</t>
  </si>
  <si>
    <t>NYK-31582387-2673727-1-1</t>
  </si>
  <si>
    <t>NYKF34923947</t>
  </si>
  <si>
    <t>1253-P.Blue-34</t>
  </si>
  <si>
    <t>Lucknow</t>
  </si>
  <si>
    <t>NYK-31674400-5103210-1-1</t>
  </si>
  <si>
    <t>NYKF35023206</t>
  </si>
  <si>
    <t>1254-Rani-32</t>
  </si>
  <si>
    <t>NYK-31466487-1128798-1-1</t>
  </si>
  <si>
    <t>NYKF34798179</t>
  </si>
  <si>
    <t>1255-Peach-26</t>
  </si>
  <si>
    <t>Gwalior</t>
  </si>
  <si>
    <t>NYK-31132163-0388050-1-1</t>
  </si>
  <si>
    <t>NYKF34437172</t>
  </si>
  <si>
    <t>1255-Peach-38</t>
  </si>
  <si>
    <t>Haflong</t>
  </si>
  <si>
    <t>Assam</t>
  </si>
  <si>
    <t>NYK-31881459-6728296-1-1</t>
  </si>
  <si>
    <t>NYKF35251683</t>
  </si>
  <si>
    <t>CUTAB00000773</t>
  </si>
  <si>
    <t>1258-Multi-24</t>
  </si>
  <si>
    <t>New Delhi</t>
  </si>
  <si>
    <t>Delhi</t>
  </si>
  <si>
    <t>NYK-31839456-7702528-1-1</t>
  </si>
  <si>
    <t>NYKF35205728</t>
  </si>
  <si>
    <t>1258-Multi-26</t>
  </si>
  <si>
    <t>Cancelled</t>
  </si>
  <si>
    <t>Found a better price somewhere else</t>
  </si>
  <si>
    <t>NYK-31802321-1812651-2-1</t>
  </si>
  <si>
    <t>NYKF35165079</t>
  </si>
  <si>
    <t>CUTAB00000776</t>
  </si>
  <si>
    <t>1258-Multi-30</t>
  </si>
  <si>
    <t>NYK-31719755-8789426-1-1</t>
  </si>
  <si>
    <t>NYKF35074809</t>
  </si>
  <si>
    <t>CUTAB00000777</t>
  </si>
  <si>
    <t>1258-Multi-32</t>
  </si>
  <si>
    <t>Bangalore</t>
  </si>
  <si>
    <t>NYK-31650388-2516316-1-1</t>
  </si>
  <si>
    <t>NYKF34997095</t>
  </si>
  <si>
    <t>1263-Lilac-28</t>
  </si>
  <si>
    <t>NYK-31921355-8223647-1-1</t>
  </si>
  <si>
    <t>NYKF35295607</t>
  </si>
  <si>
    <t>1265-Rani-38</t>
  </si>
  <si>
    <t>Jamui</t>
  </si>
  <si>
    <t>NYK-31747284-4401517-1-1</t>
  </si>
  <si>
    <t>NYKF35104901</t>
  </si>
  <si>
    <t>CUTAB00000057</t>
  </si>
  <si>
    <t>1266-Rani-28</t>
  </si>
  <si>
    <t>NFSDS15</t>
  </si>
  <si>
    <t>NYK-31392302-0126578-1-1</t>
  </si>
  <si>
    <t>NYKF34718113</t>
  </si>
  <si>
    <t>CUTAB00000061</t>
  </si>
  <si>
    <t>1266-Rani-36</t>
  </si>
  <si>
    <t>Behrampur</t>
  </si>
  <si>
    <t>orissa</t>
  </si>
  <si>
    <t>NYK-31465207-4564045-1-1</t>
  </si>
  <si>
    <t>NYKF34796817</t>
  </si>
  <si>
    <t>CUTAB00000062</t>
  </si>
  <si>
    <t>1266-Rani-38</t>
  </si>
  <si>
    <t>NYK-31913736-8938850-1-1</t>
  </si>
  <si>
    <t>NYKF35287462</t>
  </si>
  <si>
    <t>1267-Rani-24</t>
  </si>
  <si>
    <t>Tekari</t>
  </si>
  <si>
    <t>NYK-31485903-1729268-1-1</t>
  </si>
  <si>
    <t>NYKF34819127</t>
  </si>
  <si>
    <t>1275-Lavender-28</t>
  </si>
  <si>
    <t>NYK-31630972-6435094-1-1</t>
  </si>
  <si>
    <t>NYKF34976746</t>
  </si>
  <si>
    <t>1275-Lavender-36</t>
  </si>
  <si>
    <t>Bokaro</t>
  </si>
  <si>
    <t>Jharkhand</t>
  </si>
  <si>
    <t>1275-Lavender-38</t>
  </si>
  <si>
    <t>NYK-31268795-2049824-1-1</t>
  </si>
  <si>
    <t>NYKF34583908</t>
  </si>
  <si>
    <t>Visakhapatnam</t>
  </si>
  <si>
    <t>Andhra Pradesh</t>
  </si>
  <si>
    <t>NYK-31474025-8096330-1-1</t>
  </si>
  <si>
    <t>NYKF34806094</t>
  </si>
  <si>
    <t>1276-L.Blue-38</t>
  </si>
  <si>
    <t>Varanasi</t>
  </si>
  <si>
    <t>NYK-31242921-6913651-1-1</t>
  </si>
  <si>
    <t>NYKF34555745</t>
  </si>
  <si>
    <t>1277-Rose-26</t>
  </si>
  <si>
    <t>NYK-31306216-3204897-1-1</t>
  </si>
  <si>
    <t>NYKF34624631</t>
  </si>
  <si>
    <t>1277-Wine-20</t>
  </si>
  <si>
    <t>Muzaffarpur</t>
  </si>
  <si>
    <t>NYK-31865124-9005726-1-1</t>
  </si>
  <si>
    <t>NYKF35233693</t>
  </si>
  <si>
    <t>1278-Multicolor-26</t>
  </si>
  <si>
    <t>Puttur-Ap</t>
  </si>
  <si>
    <t>NYK-31568773-1341731-1-1</t>
  </si>
  <si>
    <t>NYKF34909227</t>
  </si>
  <si>
    <t>Madikeri</t>
  </si>
  <si>
    <t>NYK-31865292-9445829-1-1</t>
  </si>
  <si>
    <t>NYKF35233896</t>
  </si>
  <si>
    <t>1281-Orchid-28</t>
  </si>
  <si>
    <t>Hindupur</t>
  </si>
  <si>
    <t>NYK-31253849-0496206-1-1</t>
  </si>
  <si>
    <t>NYKF34567686</t>
  </si>
  <si>
    <t>1281-Pink-24</t>
  </si>
  <si>
    <t>Ballia</t>
  </si>
  <si>
    <t>NYK-31441538-7193404-4-1</t>
  </si>
  <si>
    <t>NYKF34770335</t>
  </si>
  <si>
    <t>1283-Blue-20</t>
  </si>
  <si>
    <t>Sarjapura</t>
  </si>
  <si>
    <t>NYK-31716843-3422799-1-1</t>
  </si>
  <si>
    <t>NYKF35071403</t>
  </si>
  <si>
    <t>1283-Blue-22</t>
  </si>
  <si>
    <t>NYK-31428799-7416205-1-1</t>
  </si>
  <si>
    <t>NYKF34757545</t>
  </si>
  <si>
    <t>1284-Blue-28</t>
  </si>
  <si>
    <t>Change payment method</t>
  </si>
  <si>
    <t>Murshidabad</t>
  </si>
  <si>
    <t>West Bengal</t>
  </si>
  <si>
    <t>NYK-31547702-8688337-1-1</t>
  </si>
  <si>
    <t>NYKF34887030</t>
  </si>
  <si>
    <t>CUTAB00000616</t>
  </si>
  <si>
    <t>1284-Blue-30</t>
  </si>
  <si>
    <t>NYK-31431282-2567660-1-1</t>
  </si>
  <si>
    <t>NYKF34760264</t>
  </si>
  <si>
    <t>NYK-31434940-9930787-1-1</t>
  </si>
  <si>
    <t>NYKF34763830</t>
  </si>
  <si>
    <t>1284-Blue-32</t>
  </si>
  <si>
    <t>NYK-31926074-0353317-1-1</t>
  </si>
  <si>
    <t>NYKF35300615</t>
  </si>
  <si>
    <t>1284-Blue-34</t>
  </si>
  <si>
    <t>NYK-31493662-5239740-1-1</t>
  </si>
  <si>
    <t>NYKF34828106</t>
  </si>
  <si>
    <t>Kolar Gold Fields</t>
  </si>
  <si>
    <t>NYK-31465612-7402138-1-1</t>
  </si>
  <si>
    <t>NYKF34797258</t>
  </si>
  <si>
    <t>NYK-31474790-9395926-1-1</t>
  </si>
  <si>
    <t>NYKF34806796</t>
  </si>
  <si>
    <t>1284-Blue-38</t>
  </si>
  <si>
    <t>Sangareddy</t>
  </si>
  <si>
    <t>NYK-31800157-7011058-1-1</t>
  </si>
  <si>
    <t>NYKF35162864</t>
  </si>
  <si>
    <t>1288-Rani-34</t>
  </si>
  <si>
    <t>Indore</t>
  </si>
  <si>
    <t>mob_with_gt10000_spend</t>
  </si>
  <si>
    <t>NYK-31803269-4078260-1-1</t>
  </si>
  <si>
    <t>NYKF35166151</t>
  </si>
  <si>
    <t>1290-Purple-30</t>
  </si>
  <si>
    <t>Bhubaneshwar</t>
  </si>
  <si>
    <t>NYK-31862850-3058163-4-1</t>
  </si>
  <si>
    <t>NYKF35231138</t>
  </si>
  <si>
    <t>CUTAB00000633</t>
  </si>
  <si>
    <t>1290-Purple-32</t>
  </si>
  <si>
    <t>NFLIW10</t>
  </si>
  <si>
    <t>NYK-31657852-8565949-1-1</t>
  </si>
  <si>
    <t>NYKF35005424</t>
  </si>
  <si>
    <t>CUTAB00000635</t>
  </si>
  <si>
    <t>1290-Purple-36</t>
  </si>
  <si>
    <t>Product won’t reach on time</t>
  </si>
  <si>
    <t>Roll back cancellation</t>
  </si>
  <si>
    <t>Navi Mumbai</t>
  </si>
  <si>
    <t>Maharashtra</t>
  </si>
  <si>
    <t>NYK-31479508-8753331-1-1</t>
  </si>
  <si>
    <t>NYKF34812008</t>
  </si>
  <si>
    <t>CUTAB00000636</t>
  </si>
  <si>
    <t>1290-Purple-38</t>
  </si>
  <si>
    <t>Delivery date is too late</t>
  </si>
  <si>
    <t>Pune</t>
  </si>
  <si>
    <t>NYK-31879825-2632629-1-1</t>
  </si>
  <si>
    <t>NYKF35250091</t>
  </si>
  <si>
    <t>Kushkhera</t>
  </si>
  <si>
    <t>NYK-31857522-0603828-1-1</t>
  </si>
  <si>
    <t>NYKF35225361</t>
  </si>
  <si>
    <t>NYK-31419066-4609227-1-1</t>
  </si>
  <si>
    <t>NYKF34746801</t>
  </si>
  <si>
    <t>CUTAB00000621</t>
  </si>
  <si>
    <t>1290-Red-24</t>
  </si>
  <si>
    <t>NYK-31104937-2747904-1-1</t>
  </si>
  <si>
    <t>NYKF34408529</t>
  </si>
  <si>
    <t>1290-Red-28</t>
  </si>
  <si>
    <t>Srinagar</t>
  </si>
  <si>
    <t>jammu and kashmir</t>
  </si>
  <si>
    <t>City level RTO reduction</t>
  </si>
  <si>
    <t>NYK-31948428-5807456-3-1</t>
  </si>
  <si>
    <t>NYKF35324534</t>
  </si>
  <si>
    <t>CUTAB00000627</t>
  </si>
  <si>
    <t>1290-Red-36</t>
  </si>
  <si>
    <t>NYK-31469372-8399507-1-1</t>
  </si>
  <si>
    <t>NYKF34800854</t>
  </si>
  <si>
    <t>CUTAB00000628</t>
  </si>
  <si>
    <t>1290-Red-38</t>
  </si>
  <si>
    <t>Rohtak</t>
  </si>
  <si>
    <t>NYK-31386959-6119809-1-1</t>
  </si>
  <si>
    <t>NYKF34712252</t>
  </si>
  <si>
    <t>Nykaa Fashion surface</t>
  </si>
  <si>
    <t>Nagpur</t>
  </si>
  <si>
    <t>NYK-31309372-1091620-1-1</t>
  </si>
  <si>
    <t>NYKF34628127</t>
  </si>
  <si>
    <t>1291-Yellow-28</t>
  </si>
  <si>
    <t>A - N Islands</t>
  </si>
  <si>
    <t>Andaman and Nicobar Islands</t>
  </si>
  <si>
    <t>NYK-31115996-6929406-1-1</t>
  </si>
  <si>
    <t>NYKF34419917</t>
  </si>
  <si>
    <t>1291-Yellow-30</t>
  </si>
  <si>
    <t>NYK-31668616-3415223-1-1</t>
  </si>
  <si>
    <t>NYKF35016966</t>
  </si>
  <si>
    <t>1292-Rani-24</t>
  </si>
  <si>
    <t>Bidar</t>
  </si>
  <si>
    <t>NYK-31629152-2815106-1-1</t>
  </si>
  <si>
    <t>NYKF34974645</t>
  </si>
  <si>
    <t>1293-Orange-30</t>
  </si>
  <si>
    <t>Dharamapuri</t>
  </si>
  <si>
    <t>NYK-31428440-6788562-1-1</t>
  </si>
  <si>
    <t>NYKF34774719</t>
  </si>
  <si>
    <t>1293-Orange-34</t>
  </si>
  <si>
    <t>Hubli</t>
  </si>
  <si>
    <t>replacement_order</t>
  </si>
  <si>
    <t>NYK-31315036-5475093-1-1</t>
  </si>
  <si>
    <t>NYKF34634301</t>
  </si>
  <si>
    <t>CUTAB00000611</t>
  </si>
  <si>
    <t>1293-Orange-36</t>
  </si>
  <si>
    <t>NYK-31167314-5802636-2-1</t>
  </si>
  <si>
    <t>NYKF34474911</t>
  </si>
  <si>
    <t>1295-Blue-32</t>
  </si>
  <si>
    <t>NFNEW15</t>
  </si>
  <si>
    <t>NYK-31750875-1966224-2-1</t>
  </si>
  <si>
    <t>NYKF35108984</t>
  </si>
  <si>
    <t>CUTAB00000549</t>
  </si>
  <si>
    <t>1295-Maroon-20</t>
  </si>
  <si>
    <t>Change address/ phone number</t>
  </si>
  <si>
    <t>Ambernath</t>
  </si>
  <si>
    <t>NYK-31708149-4913354-2-1</t>
  </si>
  <si>
    <t>NYKF35061756</t>
  </si>
  <si>
    <t>CUTAB00000551</t>
  </si>
  <si>
    <t>1295-Maroon-24</t>
  </si>
  <si>
    <t>Shirur</t>
  </si>
  <si>
    <t>NYK-31460483-6720553-1-1</t>
  </si>
  <si>
    <t>NYKF34791547</t>
  </si>
  <si>
    <t>CUTAB00000553</t>
  </si>
  <si>
    <t>1295-Maroon-28</t>
  </si>
  <si>
    <t>NYK-31595716-4412952-1-1</t>
  </si>
  <si>
    <t>NYKF34938404</t>
  </si>
  <si>
    <t>CUTAB00000555</t>
  </si>
  <si>
    <t>1295-Maroon-32</t>
  </si>
  <si>
    <t>NYK-31249732-1591957-7-1</t>
  </si>
  <si>
    <t>NYKF34563169</t>
  </si>
  <si>
    <t>CUTAB00000556</t>
  </si>
  <si>
    <t>1295-Maroon-34</t>
  </si>
  <si>
    <t>NYK-31187748-0210894-1-1</t>
  </si>
  <si>
    <t>NYKF34496352</t>
  </si>
  <si>
    <t>1296-Lavender-30</t>
  </si>
  <si>
    <t>Mumbai</t>
  </si>
  <si>
    <t>NFNEXT10</t>
  </si>
  <si>
    <t>NYK-31270452-6115336-1-1</t>
  </si>
  <si>
    <t>NYKF34585714</t>
  </si>
  <si>
    <t>1296-Lavender-36</t>
  </si>
  <si>
    <t>Shipped</t>
  </si>
  <si>
    <t>Confirmed</t>
  </si>
  <si>
    <t>NYK-31492755-3489673-1-1</t>
  </si>
  <si>
    <t>NYKF34826992</t>
  </si>
  <si>
    <t>1296-Lavender-38</t>
  </si>
  <si>
    <t>NYK-31714149-7845325-1-1</t>
  </si>
  <si>
    <t>NYKF35068274</t>
  </si>
  <si>
    <t>1298-Magenta-32</t>
  </si>
  <si>
    <t>Sahranpur</t>
  </si>
  <si>
    <t>NYK-31607592-0245863-1-1</t>
  </si>
  <si>
    <t>NYKF34951860</t>
  </si>
  <si>
    <t>1298-Magenta-38</t>
  </si>
  <si>
    <t>Ambala</t>
  </si>
  <si>
    <t>NYK-31653284-9255067-1-1</t>
  </si>
  <si>
    <t>NYKF35000375</t>
  </si>
  <si>
    <t>1300-Green-28</t>
  </si>
  <si>
    <t>Dumka</t>
  </si>
  <si>
    <t>NYK-31766459-2986994-1-1</t>
  </si>
  <si>
    <t>NYKF35125631</t>
  </si>
  <si>
    <t>1300-Green-30</t>
  </si>
  <si>
    <t>Jamnagar</t>
  </si>
  <si>
    <t>Gujarat</t>
  </si>
  <si>
    <t>NYK-31717624-4882971-2-1</t>
  </si>
  <si>
    <t>NYKF35072254</t>
  </si>
  <si>
    <t>Ahmedabad</t>
  </si>
  <si>
    <t>NYK-31618103-6608718-1-1</t>
  </si>
  <si>
    <t>NYKF34962614</t>
  </si>
  <si>
    <t>1300-Green-36</t>
  </si>
  <si>
    <t>MUMBAI</t>
  </si>
  <si>
    <t>NYK-31868651-7429006-1-1</t>
  </si>
  <si>
    <t>NYKF35237628</t>
  </si>
  <si>
    <t>1300-Green-38</t>
  </si>
  <si>
    <t>NYK-31662330-6964550-1-1</t>
  </si>
  <si>
    <t>NYKF35010271</t>
  </si>
  <si>
    <t>1301-Black-24</t>
  </si>
  <si>
    <t>Raipur</t>
  </si>
  <si>
    <t>Chhattisgarh</t>
  </si>
  <si>
    <t>NYK-31694871-6839380-1-1</t>
  </si>
  <si>
    <t>NYKF35047250</t>
  </si>
  <si>
    <t>1301-Black-26</t>
  </si>
  <si>
    <t>NYK-31886077-6347957-1-1</t>
  </si>
  <si>
    <t>NYKF35256578</t>
  </si>
  <si>
    <t>1301-Black-34</t>
  </si>
  <si>
    <t>Patna</t>
  </si>
  <si>
    <t>NYK-31347508-8364900-2-1</t>
  </si>
  <si>
    <t>NYKF34669648</t>
  </si>
  <si>
    <t>Rajkot</t>
  </si>
  <si>
    <t>NYK-31283011-1757487-1-1</t>
  </si>
  <si>
    <t>NYKF34599674</t>
  </si>
  <si>
    <t>Gulbarga</t>
  </si>
  <si>
    <t>NYK-31499640-2616619-1-1</t>
  </si>
  <si>
    <t>NYKF34834478</t>
  </si>
  <si>
    <t>1301-Black-36</t>
  </si>
  <si>
    <t>NYK-31429148-8045001-1-1</t>
  </si>
  <si>
    <t>NYKF34757915</t>
  </si>
  <si>
    <t>1301-Black-38</t>
  </si>
  <si>
    <t>NYK-31561969-4371133-1-1</t>
  </si>
  <si>
    <t>NYKF34901739</t>
  </si>
  <si>
    <t>CUTAB00000808</t>
  </si>
  <si>
    <t>1305-Sky Blue-26</t>
  </si>
  <si>
    <t>NAVI MUMBAI</t>
  </si>
  <si>
    <t>NYK-31888589-1260469-1-1</t>
  </si>
  <si>
    <t>NYKF35259192</t>
  </si>
  <si>
    <t>CUTAB00000809</t>
  </si>
  <si>
    <t>1305-Sky Blue-28</t>
  </si>
  <si>
    <t>Greater Thane</t>
  </si>
  <si>
    <t>NYK-31677921-2330968-1-1</t>
  </si>
  <si>
    <t>NYKF35027201</t>
  </si>
  <si>
    <t>CUTAB00000812</t>
  </si>
  <si>
    <t>1305-Sky Blue-34</t>
  </si>
  <si>
    <t>NYK-31787713-8512967-3-1</t>
  </si>
  <si>
    <t>NYKF35149181</t>
  </si>
  <si>
    <t>CUTAB00000813</t>
  </si>
  <si>
    <t>1305-Sky Blue-36</t>
  </si>
  <si>
    <t>Bareilly</t>
  </si>
  <si>
    <t>NYK-31777046-7319477-1-1</t>
  </si>
  <si>
    <t>NYKF35137283</t>
  </si>
  <si>
    <t>1306-Sea Green-32</t>
  </si>
  <si>
    <t>Nipani</t>
  </si>
  <si>
    <t>NYK-31359099-7298263-5-1</t>
  </si>
  <si>
    <t>NYKF34682049</t>
  </si>
  <si>
    <t>1306-Sea Green-36</t>
  </si>
  <si>
    <t>NYK-31798982-4363940-3-1</t>
  </si>
  <si>
    <t>NYKF35161577</t>
  </si>
  <si>
    <t>1307-Firozi-38</t>
  </si>
  <si>
    <t>NYK-31895493-6114566-3-1</t>
  </si>
  <si>
    <t>NYKF35267002</t>
  </si>
  <si>
    <t>CUTAB00000835</t>
  </si>
  <si>
    <t>1308-Cream-34</t>
  </si>
  <si>
    <t>Malout</t>
  </si>
  <si>
    <t>Punjab</t>
  </si>
  <si>
    <t>NYK-31904124-2720620-3-1</t>
  </si>
  <si>
    <t>NYKF35277055</t>
  </si>
  <si>
    <t>CUTAB00000836</t>
  </si>
  <si>
    <t>1308-Cream-36</t>
  </si>
  <si>
    <t>NYK-31555794-9864111-1-1</t>
  </si>
  <si>
    <t>NYKF34895357</t>
  </si>
  <si>
    <t>NYK-31182257-5627184-1-1</t>
  </si>
  <si>
    <t>NYKF34490495</t>
  </si>
  <si>
    <t>Khalilabad</t>
  </si>
  <si>
    <t>NYK-31499737-2907983-1-1</t>
  </si>
  <si>
    <t>NYKF34834589</t>
  </si>
  <si>
    <t>CUTAB00000837</t>
  </si>
  <si>
    <t>1308-Cream-38</t>
  </si>
  <si>
    <t>NYK-31233401-1484894-2-1</t>
  </si>
  <si>
    <t>NYKF34545654</t>
  </si>
  <si>
    <t>Guwahati</t>
  </si>
  <si>
    <t>NYK-31720011-9201255-1-1</t>
  </si>
  <si>
    <t>NYKF35075032</t>
  </si>
  <si>
    <t>CUTAB00000854</t>
  </si>
  <si>
    <t>1311-Pink-24</t>
  </si>
  <si>
    <t>Gola</t>
  </si>
  <si>
    <t>NYK-31880375-3998795-1-1</t>
  </si>
  <si>
    <t>NYKF35264925</t>
  </si>
  <si>
    <t>CUTAB00000855</t>
  </si>
  <si>
    <t>1311-Pink-26</t>
  </si>
  <si>
    <t>NYK-31910453-9810715-1-1</t>
  </si>
  <si>
    <t>NYKF35284142</t>
  </si>
  <si>
    <t>CUTAB00000857</t>
  </si>
  <si>
    <t>1311-Pink-30</t>
  </si>
  <si>
    <t>Gajraula</t>
  </si>
  <si>
    <t>NYK-31705601-9785728-1-1</t>
  </si>
  <si>
    <t>NYKF35059052</t>
  </si>
  <si>
    <t>1311-Pink-34</t>
  </si>
  <si>
    <t>Mohiuddin Nagar</t>
  </si>
  <si>
    <t>NYK-31674274-4845196-1-1</t>
  </si>
  <si>
    <t>NYKF35023092</t>
  </si>
  <si>
    <t>NYK-31626873-8264589-1-1</t>
  </si>
  <si>
    <t>NYKF34972048</t>
  </si>
  <si>
    <t>CUTAB00000860</t>
  </si>
  <si>
    <t>1311-Pink-36</t>
  </si>
  <si>
    <t>NYK-31800365-7536903-1-1</t>
  </si>
  <si>
    <t>NYKF35163103</t>
  </si>
  <si>
    <t>Vikas Nagar</t>
  </si>
  <si>
    <t>NYK-31763834-7494212-1-1</t>
  </si>
  <si>
    <t>NYKF35123176</t>
  </si>
  <si>
    <t>Raigarh</t>
  </si>
  <si>
    <t>NYK-31629958-4317763-1-1</t>
  </si>
  <si>
    <t>NYKF34975517</t>
  </si>
  <si>
    <t>Kharagpur</t>
  </si>
  <si>
    <t>NYK-31832259-9519883-1-1</t>
  </si>
  <si>
    <t>NYKF35197741</t>
  </si>
  <si>
    <t>CUTAB00000861</t>
  </si>
  <si>
    <t>1311-Pink-38</t>
  </si>
  <si>
    <t>Bahraich</t>
  </si>
  <si>
    <t>NYK-31229329-6464710-1-1</t>
  </si>
  <si>
    <t>NYKF34541228</t>
  </si>
  <si>
    <t>1313-Yellow-34</t>
  </si>
  <si>
    <t>NYK-31462639-1367697-1-1</t>
  </si>
  <si>
    <t>NYKF34794032</t>
  </si>
  <si>
    <t>1313-Yellow-36</t>
  </si>
  <si>
    <t>NFNIGHT20</t>
  </si>
  <si>
    <t>NYK-31525645-8429071-1-1</t>
  </si>
  <si>
    <t>NYKF34862634</t>
  </si>
  <si>
    <t>1317-White-16</t>
  </si>
  <si>
    <t>NYK-31435390-2024207-3-1</t>
  </si>
  <si>
    <t>NYKF34764318</t>
  </si>
  <si>
    <t>1317-White-26</t>
  </si>
  <si>
    <t>NYK-31497082-3871784-1-1</t>
  </si>
  <si>
    <t>NYKF34831891</t>
  </si>
  <si>
    <t>1318-Yellow-30</t>
  </si>
  <si>
    <t>Ballinga</t>
  </si>
  <si>
    <t>NYK-31722596-3134200-1-1</t>
  </si>
  <si>
    <t>NYKF35078084</t>
  </si>
  <si>
    <t>CUTAB00001072</t>
  </si>
  <si>
    <t>1318-Yellow-38</t>
  </si>
  <si>
    <t>Ranchi</t>
  </si>
  <si>
    <t>NYK-31841604-2502436-1-1</t>
  </si>
  <si>
    <t>NYKF35208121</t>
  </si>
  <si>
    <t>1319-Grey-24</t>
  </si>
  <si>
    <t>NYK-31620805-3394006-2-1</t>
  </si>
  <si>
    <t>NYKF34965512</t>
  </si>
  <si>
    <t>1319-Grey-36</t>
  </si>
  <si>
    <t>NYK-31828679-1196208-1-1</t>
  </si>
  <si>
    <t>NYKF35193995</t>
  </si>
  <si>
    <t>1320-Yellow-24</t>
  </si>
  <si>
    <t>Agra</t>
  </si>
  <si>
    <t>NYK-31761496-9594469-1-1</t>
  </si>
  <si>
    <t>NYKF35120602</t>
  </si>
  <si>
    <t>1321-Wine-38</t>
  </si>
  <si>
    <t>NYK-31273407-2220646-2-1</t>
  </si>
  <si>
    <t>NYKF34588901</t>
  </si>
  <si>
    <t>1323-Cream-28</t>
  </si>
  <si>
    <t>NYK-31598932-1344166-2-1</t>
  </si>
  <si>
    <t>NYKF34942104</t>
  </si>
  <si>
    <t>CUTAB00000978</t>
  </si>
  <si>
    <t>1323-Cream-38</t>
  </si>
  <si>
    <t>NYK-31124556-8548390-1-1</t>
  </si>
  <si>
    <t>NYKF34429291</t>
  </si>
  <si>
    <t>Pathankot</t>
  </si>
  <si>
    <t>NYK-31356146-9532018-1-1</t>
  </si>
  <si>
    <t>NYKF34678773</t>
  </si>
  <si>
    <t>1326-Pink-26</t>
  </si>
  <si>
    <t>NYK-31456870-0331850-1-1</t>
  </si>
  <si>
    <t>NYKF34787416</t>
  </si>
  <si>
    <t>1326-Pink-28</t>
  </si>
  <si>
    <t>NYK-31894453-3885723-4-1</t>
  </si>
  <si>
    <t>NYKF35265763</t>
  </si>
  <si>
    <t>1326-Pink-30</t>
  </si>
  <si>
    <t>NYK-31406091-8261348-1-1</t>
  </si>
  <si>
    <t>NYKF34733253</t>
  </si>
  <si>
    <t>CUTAB00001080</t>
  </si>
  <si>
    <t>1326-Pink-38</t>
  </si>
  <si>
    <t>Khanapur</t>
  </si>
  <si>
    <t>NYK-31887295-8600129-1-1</t>
  </si>
  <si>
    <t>NYKF35257763</t>
  </si>
  <si>
    <t>1327-Pista Green-34</t>
  </si>
  <si>
    <t>NYK-31754627-8007910-1-1</t>
  </si>
  <si>
    <t>NYKF35113315</t>
  </si>
  <si>
    <t>2321-Fawn-34</t>
  </si>
  <si>
    <t>TINY BABY</t>
  </si>
  <si>
    <t>Dehradun</t>
  </si>
  <si>
    <t>NYK-31442695-9517703-2-1</t>
  </si>
  <si>
    <t>NYKF34771666</t>
  </si>
  <si>
    <t>2328-Orange-32</t>
  </si>
  <si>
    <t>NYK-31598836-1157666-1-1</t>
  </si>
  <si>
    <t>NYKF34941988</t>
  </si>
  <si>
    <t>2360-SkyBlue-22</t>
  </si>
  <si>
    <t>Maheshtala</t>
  </si>
  <si>
    <t>NYK-31926188-0586931-1-1</t>
  </si>
  <si>
    <t>NYKF35300754</t>
  </si>
  <si>
    <t>2362-White-30</t>
  </si>
  <si>
    <t>Mirzapur</t>
  </si>
  <si>
    <t>NYK-31617881-6065113-1-1</t>
  </si>
  <si>
    <t>NYKF34962381</t>
  </si>
  <si>
    <t>2362-White-32</t>
  </si>
  <si>
    <t>NYK-31187780-0305679-1-1</t>
  </si>
  <si>
    <t>NYKF34496368</t>
  </si>
  <si>
    <t>2362-White-38</t>
  </si>
  <si>
    <t>NYK-31407049-4508935-1-1</t>
  </si>
  <si>
    <t>NYKF34734257</t>
  </si>
  <si>
    <t>2366-M.Blue-30</t>
  </si>
  <si>
    <t>Sagar</t>
  </si>
  <si>
    <t>NYK-31953839-8762006-1-1</t>
  </si>
  <si>
    <t>NYKF35330661</t>
  </si>
  <si>
    <t>2366-M.Blue-32</t>
  </si>
  <si>
    <t>Barasat</t>
  </si>
  <si>
    <t>NFJOY15</t>
  </si>
  <si>
    <t>NYK-31932645-4823425-2-1</t>
  </si>
  <si>
    <t>NYKF35308044</t>
  </si>
  <si>
    <t>2366-Peach-22</t>
  </si>
  <si>
    <t>NYK-31458318-2930623-1-1</t>
  </si>
  <si>
    <t>NYKF34789110</t>
  </si>
  <si>
    <t>2366-Peach-26</t>
  </si>
  <si>
    <t>NYK-31428779-7389868-1-1</t>
  </si>
  <si>
    <t>NYKF34757547</t>
  </si>
  <si>
    <t>2366-Peach-28</t>
  </si>
  <si>
    <t>NYK-31818836-8334750-2-1</t>
  </si>
  <si>
    <t>NYKF35183615</t>
  </si>
  <si>
    <t>2366-Peach-32</t>
  </si>
  <si>
    <t>Perumbavoor</t>
  </si>
  <si>
    <t>Kerala</t>
  </si>
  <si>
    <t>NYK-31390982-6502598-1-1</t>
  </si>
  <si>
    <t>NYKF34716555</t>
  </si>
  <si>
    <t>NYK-31233598-3281228-4-1</t>
  </si>
  <si>
    <t>NYKF34545860</t>
  </si>
  <si>
    <t>TINAD00000085</t>
  </si>
  <si>
    <t>2366-Peach-34</t>
  </si>
  <si>
    <t>NYK-31560583-1028959-1-1</t>
  </si>
  <si>
    <t>NYKF34900236</t>
  </si>
  <si>
    <t>TINAD00000086</t>
  </si>
  <si>
    <t>2366-Peach-36</t>
  </si>
  <si>
    <t>NYK-31430825-1496106-1-1</t>
  </si>
  <si>
    <t>NYKF34759776</t>
  </si>
  <si>
    <t>2367-Blue-36</t>
  </si>
  <si>
    <t>NYK-31793412-1444463-1-1</t>
  </si>
  <si>
    <t>NYKF35155492</t>
  </si>
  <si>
    <t>2377-NeonYellow-20</t>
  </si>
  <si>
    <t>Sirsa</t>
  </si>
  <si>
    <t>NYK-31628925-2346748-1-1</t>
  </si>
  <si>
    <t>NYKF34974383</t>
  </si>
  <si>
    <t>TINAD00000211</t>
  </si>
  <si>
    <t>2377-NeonYellow-32</t>
  </si>
  <si>
    <t>Jaunpur</t>
  </si>
  <si>
    <t>NYK-31132402-1044484-1-1</t>
  </si>
  <si>
    <t>NYKF34437436</t>
  </si>
  <si>
    <t>2377-NeonYellow-34</t>
  </si>
  <si>
    <t>2380-Mustard-32</t>
  </si>
  <si>
    <t>NYK-31360624-1451798-1-1</t>
  </si>
  <si>
    <t>NYKF34683715</t>
  </si>
  <si>
    <t>2394-Green-30</t>
  </si>
  <si>
    <t>2394-Green-32</t>
  </si>
  <si>
    <t>Reverse PickUP Done</t>
  </si>
  <si>
    <t>NYK-31811211-3314271-2-1</t>
  </si>
  <si>
    <t>NYKF35175013</t>
  </si>
  <si>
    <t>2405-Lavender-30</t>
  </si>
  <si>
    <t>Purnia</t>
  </si>
  <si>
    <t>2407-SkyBlue-32</t>
  </si>
  <si>
    <t>2408-Pink-20</t>
  </si>
  <si>
    <t>NYK-31339915-2903347-1-1</t>
  </si>
  <si>
    <t>NYKF34661200</t>
  </si>
  <si>
    <t>2408-Pink-28</t>
  </si>
  <si>
    <t>2408-Pink-30</t>
  </si>
  <si>
    <t>NYK-31248590-8773922-1-1</t>
  </si>
  <si>
    <t>NYKF34561830</t>
  </si>
  <si>
    <t>2408-Pink-32</t>
  </si>
  <si>
    <t>NYK-31103383-1253828-1-1</t>
  </si>
  <si>
    <t>NYKF34406912</t>
  </si>
  <si>
    <t>TINAD00000115</t>
  </si>
  <si>
    <t>2408-Pink-34</t>
  </si>
  <si>
    <t>NYK-31643892-7480367-2-1</t>
  </si>
  <si>
    <t>NYKF34990036</t>
  </si>
  <si>
    <t>TINAD00000116</t>
  </si>
  <si>
    <t>2408-Pink-36</t>
  </si>
  <si>
    <t>Rewa</t>
  </si>
  <si>
    <t>NYK-31326660-2224732-2-1</t>
  </si>
  <si>
    <t>NYKF34646938</t>
  </si>
  <si>
    <t>TINAD00000256</t>
  </si>
  <si>
    <t>2410-Fuchsia-24</t>
  </si>
  <si>
    <t>NYK-31614771-8712561-1-1</t>
  </si>
  <si>
    <t>NYKF34959251</t>
  </si>
  <si>
    <t>2410-Fuchsia-26</t>
  </si>
  <si>
    <t>NYK-31621872-6205969-2-1</t>
  </si>
  <si>
    <t>NYKF34966624</t>
  </si>
  <si>
    <t>TINAD00000259</t>
  </si>
  <si>
    <t>2410-Fuchsia-30</t>
  </si>
  <si>
    <t>NYK-31635777-8413097-1-1</t>
  </si>
  <si>
    <t>NYKF34981795</t>
  </si>
  <si>
    <t>TINAD00000263</t>
  </si>
  <si>
    <t>2410-Fuchsia-38</t>
  </si>
  <si>
    <t>Khammam</t>
  </si>
  <si>
    <t>NYK-31658648-9934718-1-1</t>
  </si>
  <si>
    <t>NYKF35006316</t>
  </si>
  <si>
    <t>2414-Lavender-36</t>
  </si>
  <si>
    <t>Fatehabad</t>
  </si>
  <si>
    <t>2425-Pink-20</t>
  </si>
  <si>
    <t>NYK-31363930-0488471-1-1</t>
  </si>
  <si>
    <t>NYKF34687232</t>
  </si>
  <si>
    <t>2433-Cream-20</t>
  </si>
  <si>
    <t>Saharanpur</t>
  </si>
  <si>
    <t>NYK-31719729-8748167-1-1</t>
  </si>
  <si>
    <t>NYKF35074737</t>
  </si>
  <si>
    <t>2433-Cream-22</t>
  </si>
  <si>
    <t>Chennai</t>
  </si>
  <si>
    <t>NYK-31250794-4057016-1-1</t>
  </si>
  <si>
    <t>NYKF34564301</t>
  </si>
  <si>
    <t>TINAD00000269</t>
  </si>
  <si>
    <t>2433-Cream-30</t>
  </si>
  <si>
    <t>Kolkata</t>
  </si>
  <si>
    <t>NYK-31161812-0233907-1-1</t>
  </si>
  <si>
    <t>NYKF34468967</t>
  </si>
  <si>
    <t>2433-Cream-34</t>
  </si>
  <si>
    <t>NYK-31736410-1067072-6-1</t>
  </si>
  <si>
    <t>NYKF35092877</t>
  </si>
  <si>
    <t>TINAD00000272</t>
  </si>
  <si>
    <t>2433-Cream-36</t>
  </si>
  <si>
    <t>NYK-31793370-1336364-2-1</t>
  </si>
  <si>
    <t>NYKF35155455</t>
  </si>
  <si>
    <t>2441-N.Green-36</t>
  </si>
  <si>
    <t>NYK-31910269-9146435-3-1</t>
  </si>
  <si>
    <t>NYKF35283943</t>
  </si>
  <si>
    <t>2443-Mustard-28</t>
  </si>
  <si>
    <t>NYK-31107514-2951721-4-1</t>
  </si>
  <si>
    <t>NYKF34410918</t>
  </si>
  <si>
    <t>2445-Pink-26</t>
  </si>
  <si>
    <t>Roorkee</t>
  </si>
  <si>
    <t>NYK-31768131-6496664-1-1</t>
  </si>
  <si>
    <t>NYKF35127454</t>
  </si>
  <si>
    <t>2467-Cream-20</t>
  </si>
  <si>
    <t>Change style/color</t>
  </si>
  <si>
    <t>NYK-31601977-7300514-1-1</t>
  </si>
  <si>
    <t>NYKF34945504</t>
  </si>
  <si>
    <t>2467-Cream-22</t>
  </si>
  <si>
    <t>Madanapalle</t>
  </si>
  <si>
    <t>NYK-31277861-1135817-2-1</t>
  </si>
  <si>
    <t>NYKF34593755</t>
  </si>
  <si>
    <t>TINAD00000281</t>
  </si>
  <si>
    <t>2467-Cream-34</t>
  </si>
  <si>
    <t>NYK-31201027-4582017-2-1</t>
  </si>
  <si>
    <t>NYKF34510790</t>
  </si>
  <si>
    <t>2467-Cream-36</t>
  </si>
  <si>
    <t>Sawantwadi</t>
  </si>
  <si>
    <t>2470-Green-28</t>
  </si>
  <si>
    <t>NYK-31405533-6950633-1-1</t>
  </si>
  <si>
    <t>NYKF34732674</t>
  </si>
  <si>
    <t>4278-Biscuit-22</t>
  </si>
  <si>
    <t>BETTY</t>
  </si>
  <si>
    <t>NYK-31611576-1333839-1-1</t>
  </si>
  <si>
    <t>NYKF34955800</t>
  </si>
  <si>
    <t>4288-Lilac-28</t>
  </si>
  <si>
    <t>4306-Blue-26</t>
  </si>
  <si>
    <t>NYK-31822107-5090484-1-1</t>
  </si>
  <si>
    <t>NYKF35187103</t>
  </si>
  <si>
    <t>4485-Wine-34</t>
  </si>
  <si>
    <t>NYK-31168472-8950402-1-1</t>
  </si>
  <si>
    <t>NYKF34476166</t>
  </si>
  <si>
    <t>4485-Wine-36</t>
  </si>
  <si>
    <t>Bheemunipatnam</t>
  </si>
  <si>
    <t>4507-Mustard-26</t>
  </si>
  <si>
    <t>NYK-31917116-6760216-3-1</t>
  </si>
  <si>
    <t>NYKF35290909</t>
  </si>
  <si>
    <t>4507-Rani-32</t>
  </si>
  <si>
    <t>NYK-31549007-3430099-1-1</t>
  </si>
  <si>
    <t>NYKF34888563</t>
  </si>
  <si>
    <t>4538-D.Rose-40</t>
  </si>
  <si>
    <t>NYK-31349897-2781504-1-1</t>
  </si>
  <si>
    <t>NYKF34672312</t>
  </si>
  <si>
    <t>4585-Orchid-28</t>
  </si>
  <si>
    <t>NYK-31168865-0045079-2-1</t>
  </si>
  <si>
    <t>NYKF34476626</t>
  </si>
  <si>
    <t>Zirakpur</t>
  </si>
  <si>
    <t>NYK-31724720-6657321-1-1</t>
  </si>
  <si>
    <t>NYKF35080481</t>
  </si>
  <si>
    <t>BETAE00000278</t>
  </si>
  <si>
    <t>4585-Orchid-30</t>
  </si>
  <si>
    <t>NYK-31696742-7413251-1-1</t>
  </si>
  <si>
    <t>NYKF35049430</t>
  </si>
  <si>
    <t>NYK-31689592-5232178-2-1</t>
  </si>
  <si>
    <t>NYKF35040340</t>
  </si>
  <si>
    <t>4606-Mustard-40</t>
  </si>
  <si>
    <t>Udakishanganj</t>
  </si>
  <si>
    <t>4676-Rust-26</t>
  </si>
  <si>
    <t>NYK-31929215-6876636-1-1</t>
  </si>
  <si>
    <t>NYKF35304192</t>
  </si>
  <si>
    <t>4718-Orchid-32</t>
  </si>
  <si>
    <t>NYK-31578782-1043441-1-1</t>
  </si>
  <si>
    <t>NYKF34920284</t>
  </si>
  <si>
    <t>4718-Orchid-40</t>
  </si>
  <si>
    <t>Change size</t>
  </si>
  <si>
    <t>Blacklisted Customer</t>
  </si>
  <si>
    <t>Yes</t>
  </si>
  <si>
    <t>NYK-31332584-5461792-1-1</t>
  </si>
  <si>
    <t>NYKF34653165</t>
  </si>
  <si>
    <t>7928-Rani-32</t>
  </si>
  <si>
    <t>NYK-31756001-9972058-1-1</t>
  </si>
  <si>
    <t>NYKF35114853</t>
  </si>
  <si>
    <t>Tk-1001-Purple-30</t>
  </si>
  <si>
    <t>Motihari</t>
  </si>
  <si>
    <t>NYK-31325558-8637151-3-1</t>
  </si>
  <si>
    <t>NYKF34645709</t>
  </si>
  <si>
    <t>TK-1002-Purple-28</t>
  </si>
  <si>
    <t>Hisar</t>
  </si>
  <si>
    <t>NYK-31406525-2024343-1-1</t>
  </si>
  <si>
    <t>NYKF34733705</t>
  </si>
  <si>
    <t>TK-1002-Purple-32</t>
  </si>
  <si>
    <t>Proddatur</t>
  </si>
  <si>
    <t>NYK-31143152-0758448-2-1</t>
  </si>
  <si>
    <t>NYKF34449053</t>
  </si>
  <si>
    <t>TK-1002-Purple-34</t>
  </si>
  <si>
    <t>Begusarai</t>
  </si>
  <si>
    <t>NFPRIVEDEAL</t>
  </si>
  <si>
    <t>NYK-31225565-9703099-1-1</t>
  </si>
  <si>
    <t>NYKF34536982</t>
  </si>
  <si>
    <t>TK-1003-Purple-24</t>
  </si>
  <si>
    <t>NYK-31668484-3065085-1-1</t>
  </si>
  <si>
    <t>NYKF35016756</t>
  </si>
  <si>
    <t>TK-1003-Purple-28</t>
  </si>
  <si>
    <t>NYK-31654022-0919818-2-1</t>
  </si>
  <si>
    <t>NYKF35001194</t>
  </si>
  <si>
    <t>Godda</t>
  </si>
  <si>
    <t>NYK-31557862-4736273-3-1</t>
  </si>
  <si>
    <t>NYKF34897475</t>
  </si>
  <si>
    <t>Goa</t>
  </si>
  <si>
    <t>CUTAB00000744</t>
  </si>
  <si>
    <t>TK-1003-Purple-30</t>
  </si>
  <si>
    <t>NYK-31851747-6752753-1-1</t>
  </si>
  <si>
    <t>NYKF35219280</t>
  </si>
  <si>
    <t>CUTAB00000745</t>
  </si>
  <si>
    <t>TK-1003-Purple-32</t>
  </si>
  <si>
    <t>NYK-31388002-8680045-1-1</t>
  </si>
  <si>
    <t>NYKF34713448</t>
  </si>
  <si>
    <t>NYK-31515973-4208651-1-1</t>
  </si>
  <si>
    <t>NYKF34852274</t>
  </si>
  <si>
    <t>TK-1003-Purple-34</t>
  </si>
  <si>
    <t>NYK-31169324-1208881-1-1</t>
  </si>
  <si>
    <t>NYKF34477161</t>
  </si>
  <si>
    <t>Madurai</t>
  </si>
  <si>
    <t>NYK-31905570-5898213-3-1</t>
  </si>
  <si>
    <t>NYKF35278848</t>
  </si>
  <si>
    <t>TK-1003-Purple-36</t>
  </si>
  <si>
    <t>NYK-31553759-4986884-2-1</t>
  </si>
  <si>
    <t>NYKF34893208</t>
  </si>
  <si>
    <t>TK-1004-Red-28</t>
  </si>
  <si>
    <t>NYK-31795752-7519084-1-1</t>
  </si>
  <si>
    <t>NYKF35157929</t>
  </si>
  <si>
    <t>CUTAB00001132</t>
  </si>
  <si>
    <t>TK-1005-Green-30</t>
  </si>
  <si>
    <t>NYK-31799422-5264303-1-1</t>
  </si>
  <si>
    <t>NYKF35162061</t>
  </si>
  <si>
    <t>CUTAB00001136</t>
  </si>
  <si>
    <t>TK-1005-Green-38</t>
  </si>
  <si>
    <t>Ludhiana</t>
  </si>
  <si>
    <t>TK-1005-Orange-28</t>
  </si>
  <si>
    <t>NYK-31573263-0331618-1-1</t>
  </si>
  <si>
    <t>NYKF34914190</t>
  </si>
  <si>
    <t>CUTAB00001126</t>
  </si>
  <si>
    <t>TK-1005-Orange-34</t>
  </si>
  <si>
    <t>Dhanbad</t>
  </si>
  <si>
    <t>NYK-31788819-0787813-1-1</t>
  </si>
  <si>
    <t>NYKF35150401</t>
  </si>
  <si>
    <t>CUTAB00001128</t>
  </si>
  <si>
    <t>TK-1005-Orange-38</t>
  </si>
  <si>
    <t>NYK-31907074-0824688-1-1</t>
  </si>
  <si>
    <t>NYKF35280614</t>
  </si>
  <si>
    <t>CUTAB00000988</t>
  </si>
  <si>
    <t>TK-1006-Cream-26</t>
  </si>
  <si>
    <t>Buldhana</t>
  </si>
  <si>
    <t>TK-1006-Cream-30</t>
  </si>
  <si>
    <t>NYK-31184224-0792300-1-1</t>
  </si>
  <si>
    <t>NYKF34492632</t>
  </si>
  <si>
    <t>NYK-31304330-8816102-4-1</t>
  </si>
  <si>
    <t>NYKF34622798</t>
  </si>
  <si>
    <t>CUTAB00000991</t>
  </si>
  <si>
    <t>TK-1006-Cream-32</t>
  </si>
  <si>
    <t>NYK-31459966-5800223-1-1</t>
  </si>
  <si>
    <t>NYKF34790974</t>
  </si>
  <si>
    <t>CUTAB00000992</t>
  </si>
  <si>
    <t>TK-1006-Cream-34</t>
  </si>
  <si>
    <t>NYK-31240240-1641781-2-1</t>
  </si>
  <si>
    <t>NYKF34552725</t>
  </si>
  <si>
    <t>NYK-31138601-7805963-1-1</t>
  </si>
  <si>
    <t>NYKF34444162</t>
  </si>
  <si>
    <t>CUTAB00000993</t>
  </si>
  <si>
    <t>TK-1006-Cream-36</t>
  </si>
  <si>
    <t>NEW DELHI</t>
  </si>
  <si>
    <t>Design no.</t>
  </si>
  <si>
    <t>NYK-32366739-2647158-1-1</t>
  </si>
  <si>
    <t>NYKF35791502</t>
  </si>
  <si>
    <t>CUTAB00000465</t>
  </si>
  <si>
    <t>1180-Blue-18</t>
  </si>
  <si>
    <t>28449520862321</t>
  </si>
  <si>
    <t>TINYK12106506</t>
  </si>
  <si>
    <t>Udaipur</t>
  </si>
  <si>
    <t>TINYK2627100336</t>
  </si>
  <si>
    <t>NFDIWALI20</t>
  </si>
  <si>
    <t>NYK-32364434-8518550-1-1</t>
  </si>
  <si>
    <t>NYKF35788913</t>
  </si>
  <si>
    <t>CUTAB00000466</t>
  </si>
  <si>
    <t>1180-Blue-20</t>
  </si>
  <si>
    <t>28449520858563</t>
  </si>
  <si>
    <t>TINYK2627100333</t>
  </si>
  <si>
    <t>NYK-32090378-4276500-1-1</t>
  </si>
  <si>
    <t>NYKF35480453</t>
  </si>
  <si>
    <t>SF2167300523NYK</t>
  </si>
  <si>
    <t>TINYK2627100240</t>
  </si>
  <si>
    <t>NYK-32816018-2428554-1-1</t>
  </si>
  <si>
    <t>NYKF36266397</t>
  </si>
  <si>
    <t>Ready for Ship</t>
  </si>
  <si>
    <t>28449526126634</t>
  </si>
  <si>
    <t>Chomu</t>
  </si>
  <si>
    <t>TINYK2627100441</t>
  </si>
  <si>
    <t>NYK-32802929-1898698-1-1</t>
  </si>
  <si>
    <t>NYKF36252249</t>
  </si>
  <si>
    <t>CUTAB00000423</t>
  </si>
  <si>
    <t>1212-Multi-32</t>
  </si>
  <si>
    <t>SF2167391473NYK</t>
  </si>
  <si>
    <t>TINYK2627100438</t>
  </si>
  <si>
    <t>NYK-32471793-1031123-3-1</t>
  </si>
  <si>
    <t>NYKF35907116</t>
  </si>
  <si>
    <t>28449521339146</t>
  </si>
  <si>
    <t>TINYK2627100375</t>
  </si>
  <si>
    <t>NYK-32602175-8183755-1-1</t>
  </si>
  <si>
    <t>NYKF36040593</t>
  </si>
  <si>
    <t>CUTAB00000509</t>
  </si>
  <si>
    <t>1221-Rani-26</t>
  </si>
  <si>
    <t>SF2167346979NYK</t>
  </si>
  <si>
    <t>TINYK2627100392</t>
  </si>
  <si>
    <t>NFDR15</t>
  </si>
  <si>
    <t>NYK-32403335-4829423-1-1</t>
  </si>
  <si>
    <t>NYKF35832606</t>
  </si>
  <si>
    <t>28449522526081</t>
  </si>
  <si>
    <t>TINYK12146909</t>
  </si>
  <si>
    <t>TINYK2627100362</t>
  </si>
  <si>
    <t>NYK-32657318-1140390-2-1</t>
  </si>
  <si>
    <t>NYKF36098147</t>
  </si>
  <si>
    <t>28449527104976</t>
  </si>
  <si>
    <t>Allahabad</t>
  </si>
  <si>
    <t>TINYK2627100400</t>
  </si>
  <si>
    <t>NYK-32610977-3136875-1-1</t>
  </si>
  <si>
    <t>NYKF36050064</t>
  </si>
  <si>
    <t>CUTAB00000512</t>
  </si>
  <si>
    <t>1221-Rani-32</t>
  </si>
  <si>
    <t>NYK-32760144-5308628-1-1</t>
  </si>
  <si>
    <t>NYKF36207492</t>
  </si>
  <si>
    <t>NKFP0000002107</t>
  </si>
  <si>
    <t>Ekart Surface</t>
  </si>
  <si>
    <t>Vasai</t>
  </si>
  <si>
    <t>TINYK2627100425</t>
  </si>
  <si>
    <t>NYK-32494958-9918109-1-1</t>
  </si>
  <si>
    <t>NYKF35931524</t>
  </si>
  <si>
    <t>Chandrapur</t>
  </si>
  <si>
    <t>NYK-32151266-0552868-1-1</t>
  </si>
  <si>
    <t>NYKF35549473</t>
  </si>
  <si>
    <t>CUTAB00000514</t>
  </si>
  <si>
    <t>1221-Rani-36</t>
  </si>
  <si>
    <t>28449520196643</t>
  </si>
  <si>
    <t>Bihta</t>
  </si>
  <si>
    <t>TINYK2627100272</t>
  </si>
  <si>
    <t>NYK-32146272-9178363-4-1</t>
  </si>
  <si>
    <t>NYKF35544010</t>
  </si>
  <si>
    <t>237943173096010</t>
  </si>
  <si>
    <t>TINYK11990210</t>
  </si>
  <si>
    <t>Bilaspur</t>
  </si>
  <si>
    <t>TINYK2627100266</t>
  </si>
  <si>
    <t>NTBBI10</t>
  </si>
  <si>
    <t>NYK-32261033-2939840-2-1</t>
  </si>
  <si>
    <t>NYKF35671410</t>
  </si>
  <si>
    <t>CUTAB00000710</t>
  </si>
  <si>
    <t>1230-Yellow-20</t>
  </si>
  <si>
    <t>28449520509252</t>
  </si>
  <si>
    <t>TINYK2627100299</t>
  </si>
  <si>
    <t>NF1010</t>
  </si>
  <si>
    <t>NYK-32395425-8594656-1-1</t>
  </si>
  <si>
    <t>NYKF35824052</t>
  </si>
  <si>
    <t>CUTAB00000713</t>
  </si>
  <si>
    <t>1230-Yellow-26</t>
  </si>
  <si>
    <t>237943173358554</t>
  </si>
  <si>
    <t>Vadodara</t>
  </si>
  <si>
    <t>TINYK2627100361</t>
  </si>
  <si>
    <t>NYK-32503677-2066628-2-1</t>
  </si>
  <si>
    <t>NYKF35940896</t>
  </si>
  <si>
    <t>CUTAB00000715</t>
  </si>
  <si>
    <t>1230-Yellow-30</t>
  </si>
  <si>
    <t>NKFP0000000559</t>
  </si>
  <si>
    <t>TINYK2627100381</t>
  </si>
  <si>
    <t>NYK-32326589-0202527-4-1</t>
  </si>
  <si>
    <t>NYKF35745378</t>
  </si>
  <si>
    <t>59497050546</t>
  </si>
  <si>
    <t>TINYK2627100324</t>
  </si>
  <si>
    <t>NYK-32315581-3461533-4-1</t>
  </si>
  <si>
    <t>NYKF35733185</t>
  </si>
  <si>
    <t>NYK-32162149-2794653-2-1</t>
  </si>
  <si>
    <t>NYKF35561135</t>
  </si>
  <si>
    <t>CUTAB00000716</t>
  </si>
  <si>
    <t>1230-Yellow-32</t>
  </si>
  <si>
    <t>237943173101735</t>
  </si>
  <si>
    <t>Thane</t>
  </si>
  <si>
    <t>TINYK2627100270</t>
  </si>
  <si>
    <t>NYK-31973998-0698299-1-1</t>
  </si>
  <si>
    <t>NYKF35352112</t>
  </si>
  <si>
    <t>CUTAB00000690</t>
  </si>
  <si>
    <t>1231-Tomato-34</t>
  </si>
  <si>
    <t>28449519371936</t>
  </si>
  <si>
    <t>TINYK2627100206</t>
  </si>
  <si>
    <t>NYK-32436420-2359330-2-1</t>
  </si>
  <si>
    <t>NYKF35869195</t>
  </si>
  <si>
    <t>CUTAB00000717</t>
  </si>
  <si>
    <t>1233-Grey-18</t>
  </si>
  <si>
    <t>28449525004372</t>
  </si>
  <si>
    <t>TINYK12111404</t>
  </si>
  <si>
    <t>Gorakhpur</t>
  </si>
  <si>
    <t>TINYK2627100371</t>
  </si>
  <si>
    <t>NYK-32364699-8980413-1-1</t>
  </si>
  <si>
    <t>NYKF35789199</t>
  </si>
  <si>
    <t>28449520863216</t>
  </si>
  <si>
    <t>TINYK2627100330</t>
  </si>
  <si>
    <t>NYK-32342201-2761782-4-1</t>
  </si>
  <si>
    <t>NYKF35763602</t>
  </si>
  <si>
    <t>237943173311256</t>
  </si>
  <si>
    <t>Kolhapur</t>
  </si>
  <si>
    <t>TINYK2627100340</t>
  </si>
  <si>
    <t>NYK-31976662-8133615-4-1</t>
  </si>
  <si>
    <t>NYKF35355032</t>
  </si>
  <si>
    <t>CUTAB00000756</t>
  </si>
  <si>
    <t>1235-Blue-38</t>
  </si>
  <si>
    <t>88281854824</t>
  </si>
  <si>
    <t>TINYK11947090</t>
  </si>
  <si>
    <t>Coimbatore</t>
  </si>
  <si>
    <t>TINYK2627100208</t>
  </si>
  <si>
    <t>NYK-32017379-7625520-1-1</t>
  </si>
  <si>
    <t>NYKF35399370</t>
  </si>
  <si>
    <t>CUTAB00000086</t>
  </si>
  <si>
    <t>1241-Red-38</t>
  </si>
  <si>
    <t>Lost In Transit</t>
  </si>
  <si>
    <t>SF1835855777NYK</t>
  </si>
  <si>
    <t>TINYK2627100223</t>
  </si>
  <si>
    <t>NYK-32066839-9427040-1-1</t>
  </si>
  <si>
    <t>NYKF35454335</t>
  </si>
  <si>
    <t>CUTAB00000001</t>
  </si>
  <si>
    <t>1245-Pink-20</t>
  </si>
  <si>
    <t>SF2167352648NYK</t>
  </si>
  <si>
    <t>TINYK11983303</t>
  </si>
  <si>
    <t>Akola</t>
  </si>
  <si>
    <t>TINYK2627100246</t>
  </si>
  <si>
    <t>NYK-32719508-7418532-1-1</t>
  </si>
  <si>
    <t>NYKF36163710</t>
  </si>
  <si>
    <t>CUTAB00000008</t>
  </si>
  <si>
    <t>1245-Pink-34</t>
  </si>
  <si>
    <t>NYK-32652039-9543776-1-1</t>
  </si>
  <si>
    <t>NYKF36092618</t>
  </si>
  <si>
    <t>CUTAB00000010</t>
  </si>
  <si>
    <t>1246-Green-20</t>
  </si>
  <si>
    <t>28449527097792</t>
  </si>
  <si>
    <t>Bathinda</t>
  </si>
  <si>
    <t>TINYK2627100409</t>
  </si>
  <si>
    <t>NYK-32033651-8685411-1-1</t>
  </si>
  <si>
    <t>NYKF35417399</t>
  </si>
  <si>
    <t>CUTAB00000068</t>
  </si>
  <si>
    <t>1250-Blue-34</t>
  </si>
  <si>
    <t>237943174848600</t>
  </si>
  <si>
    <t>Baroda</t>
  </si>
  <si>
    <t>TINYK2627100210</t>
  </si>
  <si>
    <t>NFDR10</t>
  </si>
  <si>
    <t>NYK-32007874-0266599-1-1</t>
  </si>
  <si>
    <t>NYKF35388698</t>
  </si>
  <si>
    <t>CUTAB00000134</t>
  </si>
  <si>
    <t>1253-P.Blue-38</t>
  </si>
  <si>
    <t>SF1835855588NYK</t>
  </si>
  <si>
    <t>TINYK2627100216</t>
  </si>
  <si>
    <t>NYK-32802928-1894823-1-1</t>
  </si>
  <si>
    <t>NYKF36252248</t>
  </si>
  <si>
    <t>SF2167391487NYK</t>
  </si>
  <si>
    <t>TINYK2627100436</t>
  </si>
  <si>
    <t>NYK-32767553-5282462-1-1</t>
  </si>
  <si>
    <t>NYKF36215461</t>
  </si>
  <si>
    <t>28449527462120</t>
  </si>
  <si>
    <t>TINYK2627100430</t>
  </si>
  <si>
    <t>NYK-32314688-1542630-1-1</t>
  </si>
  <si>
    <t>NYKF35732207</t>
  </si>
  <si>
    <t>237943173263520</t>
  </si>
  <si>
    <t>Ambikapur</t>
  </si>
  <si>
    <t>TINYK2627100314</t>
  </si>
  <si>
    <t>NYK-32153170-4319140-1-1</t>
  </si>
  <si>
    <t>NYKF35551320</t>
  </si>
  <si>
    <t>28449521953761</t>
  </si>
  <si>
    <t>TINYK12100500</t>
  </si>
  <si>
    <t>Shahjahanpur</t>
  </si>
  <si>
    <t>TINYK2627100280</t>
  </si>
  <si>
    <t>NYK-32093970-0835450-1-1</t>
  </si>
  <si>
    <t>NYKF35484548</t>
  </si>
  <si>
    <t>bulk cancellation by verification team</t>
  </si>
  <si>
    <t>Bulk Cancellation - Blacklisted COD</t>
  </si>
  <si>
    <t>NYK-32764035-6249327-2-1</t>
  </si>
  <si>
    <t>NYKF36211743</t>
  </si>
  <si>
    <t>CUTAB00000344</t>
  </si>
  <si>
    <t>1262-Green-26</t>
  </si>
  <si>
    <t>28449527459180</t>
  </si>
  <si>
    <t>TINYK2627100426</t>
  </si>
  <si>
    <t>NYK-32356595-2556873-1-1</t>
  </si>
  <si>
    <t>NYKF35780231</t>
  </si>
  <si>
    <t>CUTAB00000196</t>
  </si>
  <si>
    <t>1263-Lilac-38</t>
  </si>
  <si>
    <t>28449520863986</t>
  </si>
  <si>
    <t>TINYK12150999</t>
  </si>
  <si>
    <t>Hanumangarh</t>
  </si>
  <si>
    <t>TINYK2627100328</t>
  </si>
  <si>
    <t>NYK-32076897-8309454-1-1</t>
  </si>
  <si>
    <t>NYKF35465806</t>
  </si>
  <si>
    <t>Jhansi</t>
  </si>
  <si>
    <t>NYK-32323231-5132074-1-1</t>
  </si>
  <si>
    <t>NYKF35741805</t>
  </si>
  <si>
    <t>237943173264710</t>
  </si>
  <si>
    <t>TINYK2627100318</t>
  </si>
  <si>
    <t>NFSD5OO</t>
  </si>
  <si>
    <t>NYK-32228673-1492245-1-1</t>
  </si>
  <si>
    <t>NYKF35634848</t>
  </si>
  <si>
    <t>28449522045273</t>
  </si>
  <si>
    <t>TINYK2627100295</t>
  </si>
  <si>
    <t>NYK-32633940-9183304-1-1</t>
  </si>
  <si>
    <t>NYKF36074077</t>
  </si>
  <si>
    <t>CUTAB00000220</t>
  </si>
  <si>
    <t>1267-Rani-38</t>
  </si>
  <si>
    <t>28449527103661</t>
  </si>
  <si>
    <t>TINYK2627100403</t>
  </si>
  <si>
    <t>NYK-32103741-8046267-10-1</t>
  </si>
  <si>
    <t>NYKF35495972</t>
  </si>
  <si>
    <t>CUTAB00000243</t>
  </si>
  <si>
    <t>1271-Blue-36</t>
  </si>
  <si>
    <t>28449520084735</t>
  </si>
  <si>
    <t>TINYK11992172</t>
  </si>
  <si>
    <t>TINYK2627100256</t>
  </si>
  <si>
    <t>NYK-32065093-5820157-2-1</t>
  </si>
  <si>
    <t>NYKF35452310</t>
  </si>
  <si>
    <t>CUTAB00000285</t>
  </si>
  <si>
    <t>1276-L.Blue-24</t>
  </si>
  <si>
    <t>237943172999071</t>
  </si>
  <si>
    <t>TINYK12003543</t>
  </si>
  <si>
    <t>Bhopal</t>
  </si>
  <si>
    <t>TINYK2627100228</t>
  </si>
  <si>
    <t>NYK-32752308-6029961-2-1</t>
  </si>
  <si>
    <t>NYKF36198893</t>
  </si>
  <si>
    <t>CUTAB00000279</t>
  </si>
  <si>
    <t>1276-N.Blue-28</t>
  </si>
  <si>
    <t>NYK-32044543-1362242-3-1</t>
  </si>
  <si>
    <t>NYKF35429762</t>
  </si>
  <si>
    <t>CUTAB00000280</t>
  </si>
  <si>
    <t>1276-N.Blue-30</t>
  </si>
  <si>
    <t>28449521600040</t>
  </si>
  <si>
    <t>TINYK11943914</t>
  </si>
  <si>
    <t>TINYK2627100232</t>
  </si>
  <si>
    <t>NYK-32040988-2970821-5-1</t>
  </si>
  <si>
    <t>NYKF35425691</t>
  </si>
  <si>
    <t>CUTAB00000326</t>
  </si>
  <si>
    <t>1278-Multicolor-22</t>
  </si>
  <si>
    <t>237943173003024</t>
  </si>
  <si>
    <t>TINYK11946498</t>
  </si>
  <si>
    <t>TINYK2627100237</t>
  </si>
  <si>
    <t>CUTAB00000330</t>
  </si>
  <si>
    <t>1278-Multicolor-30</t>
  </si>
  <si>
    <t>CUTAB00000332</t>
  </si>
  <si>
    <t>1278-Multicolor-34</t>
  </si>
  <si>
    <t>TINYK12115179</t>
  </si>
  <si>
    <t>NYK-32093710-0419079-1-1</t>
  </si>
  <si>
    <t>NYKF35484262</t>
  </si>
  <si>
    <t>NYK-31991908-6213118-1-1</t>
  </si>
  <si>
    <t>NYKF35371258</t>
  </si>
  <si>
    <t>CUTAB00000490</t>
  </si>
  <si>
    <t>1280-Green-24</t>
  </si>
  <si>
    <t>28449519747976</t>
  </si>
  <si>
    <t>TINYK2627100209</t>
  </si>
  <si>
    <t>NYK-32315949-3753080-1-1</t>
  </si>
  <si>
    <t>NYKF35733352</t>
  </si>
  <si>
    <t>CUTAB00000798</t>
  </si>
  <si>
    <t>1280-Pink-24</t>
  </si>
  <si>
    <t>28449522282120</t>
  </si>
  <si>
    <t>TINYK12139332</t>
  </si>
  <si>
    <t>TINYK2627100320</t>
  </si>
  <si>
    <t>NYK-31996311-5116477-3-1</t>
  </si>
  <si>
    <t>NYKF35375861</t>
  </si>
  <si>
    <t>CUTAB00000907</t>
  </si>
  <si>
    <t>1283-Blue-16</t>
  </si>
  <si>
    <t>237943172972176</t>
  </si>
  <si>
    <t>TINYK11964654</t>
  </si>
  <si>
    <t>TINYK2627100218</t>
  </si>
  <si>
    <t>NYK-32160803-9807227-3-1</t>
  </si>
  <si>
    <t>NYKF35559589</t>
  </si>
  <si>
    <t>28449520195733</t>
  </si>
  <si>
    <t>TINYK11983201</t>
  </si>
  <si>
    <t>TINYK2627100264</t>
  </si>
  <si>
    <t>NYK-32151452-1011051-1-1</t>
  </si>
  <si>
    <t>NYKF35549676</t>
  </si>
  <si>
    <t>CUTAB00000619</t>
  </si>
  <si>
    <t>1284-Blue-36</t>
  </si>
  <si>
    <t>28449521860016</t>
  </si>
  <si>
    <t>TINYK2627100267</t>
  </si>
  <si>
    <t>NYK-32100795-3101191-1-1</t>
  </si>
  <si>
    <t>NYKF35492409</t>
  </si>
  <si>
    <t>NFDIWALI10</t>
  </si>
  <si>
    <t>NYK-32185493-9565900-1-1</t>
  </si>
  <si>
    <t>NYKF35586815</t>
  </si>
  <si>
    <t>CUTAB00000643</t>
  </si>
  <si>
    <t>1285-Wine-36</t>
  </si>
  <si>
    <t>28449521942782</t>
  </si>
  <si>
    <t>TINYK2627100284</t>
  </si>
  <si>
    <t>NYK-32002898-9869984-3-1</t>
  </si>
  <si>
    <t>NYKF35383191</t>
  </si>
  <si>
    <t>CUTAB00000566</t>
  </si>
  <si>
    <t>1287-Rani-26</t>
  </si>
  <si>
    <t>SF1835855802NYK</t>
  </si>
  <si>
    <t>TINYK2627100225</t>
  </si>
  <si>
    <t>NYK-32316605-4944698-1-1</t>
  </si>
  <si>
    <t>NYKF35734102</t>
  </si>
  <si>
    <t>CUTAB00000576</t>
  </si>
  <si>
    <t>1288-Rani-30</t>
  </si>
  <si>
    <t>28449522286272</t>
  </si>
  <si>
    <t>TINYK12137580</t>
  </si>
  <si>
    <t>Aligarh</t>
  </si>
  <si>
    <t>TINYK2627100312</t>
  </si>
  <si>
    <t>NYK-32071160-7302384-1-1</t>
  </si>
  <si>
    <t>NYKF35459197</t>
  </si>
  <si>
    <t>SF2167352793NYK</t>
  </si>
  <si>
    <t>TINYK11999349</t>
  </si>
  <si>
    <t>TINYK2627100239</t>
  </si>
  <si>
    <t>NYK-32363379-6649727-1-1</t>
  </si>
  <si>
    <t>NYKF35787723</t>
  </si>
  <si>
    <t>CUTAB00000579</t>
  </si>
  <si>
    <t>1288-Rani-36</t>
  </si>
  <si>
    <t>28449522423435</t>
  </si>
  <si>
    <t>TINYK2627100351</t>
  </si>
  <si>
    <t>NYK-32362664-5459583-1-1</t>
  </si>
  <si>
    <t>NYKF35786944</t>
  </si>
  <si>
    <t>28449520854680</t>
  </si>
  <si>
    <t>Alandurai</t>
  </si>
  <si>
    <t>TINYK2627100339</t>
  </si>
  <si>
    <t>NYK-32487937-6183751-2-1</t>
  </si>
  <si>
    <t>NYKF35923856</t>
  </si>
  <si>
    <t>CUTAB00000580</t>
  </si>
  <si>
    <t>1288-Rani-38</t>
  </si>
  <si>
    <t>28449521341191</t>
  </si>
  <si>
    <t>TINYK12152675</t>
  </si>
  <si>
    <t>TINYK2627100377</t>
  </si>
  <si>
    <t>NYK-32343383-4220110-1-1</t>
  </si>
  <si>
    <t>NYKF35764830</t>
  </si>
  <si>
    <t>CUTAB00000629</t>
  </si>
  <si>
    <t>1290-Purple-24</t>
  </si>
  <si>
    <t>28449522412600</t>
  </si>
  <si>
    <t>Mathura</t>
  </si>
  <si>
    <t>TINYK2627100349</t>
  </si>
  <si>
    <t>NYK-32362041-4303100-1-1</t>
  </si>
  <si>
    <t>NYKF35786230</t>
  </si>
  <si>
    <t>237943175110643</t>
  </si>
  <si>
    <t>TINYK2627100334</t>
  </si>
  <si>
    <t>NYK-32791214-4068814-1-1</t>
  </si>
  <si>
    <t>NYKF36240102</t>
  </si>
  <si>
    <t>CUTAB00000634</t>
  </si>
  <si>
    <t>1290-Purple-34</t>
  </si>
  <si>
    <t>NKFP0000002870</t>
  </si>
  <si>
    <t>TINYK2627100432</t>
  </si>
  <si>
    <t>NFNEXT1O</t>
  </si>
  <si>
    <t>NYK-32642110-3420788-3-1</t>
  </si>
  <si>
    <t>NYKF36082214</t>
  </si>
  <si>
    <t>NKFP0000001616</t>
  </si>
  <si>
    <t>TINYK2627100398</t>
  </si>
  <si>
    <t>NYK-32373098-4244321-1-1</t>
  </si>
  <si>
    <t>NYKF35798843</t>
  </si>
  <si>
    <t>88282040674</t>
  </si>
  <si>
    <t>TINYK2627100335</t>
  </si>
  <si>
    <t>NYK-32348645-2049554-2-1</t>
  </si>
  <si>
    <t>NYKF35770657</t>
  </si>
  <si>
    <t>237943173318750</t>
  </si>
  <si>
    <t>TINYK12037751</t>
  </si>
  <si>
    <t>TINYK2627100353</t>
  </si>
  <si>
    <t>TINYK12165576</t>
  </si>
  <si>
    <t>NYK-32763986-5881580-2-1</t>
  </si>
  <si>
    <t>NYKF36211671</t>
  </si>
  <si>
    <t>28449527460101</t>
  </si>
  <si>
    <t>TINYK2627100429</t>
  </si>
  <si>
    <t>NTBB10</t>
  </si>
  <si>
    <t>NYK-32020015-6430505-5-1</t>
  </si>
  <si>
    <t>NYKF35402109</t>
  </si>
  <si>
    <t>CUTAB00000624</t>
  </si>
  <si>
    <t>1290-Red-30</t>
  </si>
  <si>
    <t>SF1835855633NYK</t>
  </si>
  <si>
    <t>TINYK2627100221</t>
  </si>
  <si>
    <t>NYK-32822790-1107015-1-1</t>
  </si>
  <si>
    <t>NYKF36273184</t>
  </si>
  <si>
    <t>28449527691473</t>
  </si>
  <si>
    <t>TINYK2627100442</t>
  </si>
  <si>
    <t>NYK-32145530-7259390-2-1</t>
  </si>
  <si>
    <t>NYKF35543172</t>
  </si>
  <si>
    <t>237943173099252</t>
  </si>
  <si>
    <t>TINYK2627100269</t>
  </si>
  <si>
    <t>NFRUSH10</t>
  </si>
  <si>
    <t>NYK-32161818-2076057-1-1</t>
  </si>
  <si>
    <t>NYKF35560845</t>
  </si>
  <si>
    <t>CUTAB00000596</t>
  </si>
  <si>
    <t>1291-Yellow-38</t>
  </si>
  <si>
    <t>28449520197041</t>
  </si>
  <si>
    <t>Dhenkanal</t>
  </si>
  <si>
    <t>TINYK2627100268</t>
  </si>
  <si>
    <t>NYK-32332070-8458643-1-1</t>
  </si>
  <si>
    <t>NYKF35751918</t>
  </si>
  <si>
    <t>28449520860350</t>
  </si>
  <si>
    <t>TINYK12060111</t>
  </si>
  <si>
    <t>TINYK2627100354</t>
  </si>
  <si>
    <t>NYK-32369286-6960867-1-1</t>
  </si>
  <si>
    <t>NYKF35794294</t>
  </si>
  <si>
    <t>CUTAB00000612</t>
  </si>
  <si>
    <t>1293-Orange-38</t>
  </si>
  <si>
    <t>28449520863850</t>
  </si>
  <si>
    <t>TINYK2627100346</t>
  </si>
  <si>
    <t>NYK-32135510-0586705-2-1</t>
  </si>
  <si>
    <t>NYKF35531762</t>
  </si>
  <si>
    <t>28449520199266</t>
  </si>
  <si>
    <t>TINYK2627100276</t>
  </si>
  <si>
    <t>NYK-32083918-3180940-1-1</t>
  </si>
  <si>
    <t>NYKF35473447</t>
  </si>
  <si>
    <t>NYK-32219769-0649414-1-1</t>
  </si>
  <si>
    <t>NYKF35624488</t>
  </si>
  <si>
    <t>CUTAB00000545</t>
  </si>
  <si>
    <t>1294-Black-28</t>
  </si>
  <si>
    <t>Mysore</t>
  </si>
  <si>
    <t>NYK-32793521-8022650-1-1</t>
  </si>
  <si>
    <t>NYKF36242736</t>
  </si>
  <si>
    <t>CUTAB00000814</t>
  </si>
  <si>
    <t>1295-Blue-20</t>
  </si>
  <si>
    <t>28449527523624</t>
  </si>
  <si>
    <t>TINYK2627100434</t>
  </si>
  <si>
    <t>NYK-32469518-5262792-1-1</t>
  </si>
  <si>
    <t>NYKF35904626</t>
  </si>
  <si>
    <t>CUTAB00000816</t>
  </si>
  <si>
    <t>1295-Blue-24</t>
  </si>
  <si>
    <t>28449525194595</t>
  </si>
  <si>
    <t>TINYK12155123</t>
  </si>
  <si>
    <t>TINYK2627100374</t>
  </si>
  <si>
    <t>NYK-32519877-2724512-1-1</t>
  </si>
  <si>
    <t>NYKF35957261</t>
  </si>
  <si>
    <t>CUTAB00000817</t>
  </si>
  <si>
    <t>1295-Blue-26</t>
  </si>
  <si>
    <t>28449521423124</t>
  </si>
  <si>
    <t>TINYK2627100383</t>
  </si>
  <si>
    <t>NYK-32619910-1415097-1-1</t>
  </si>
  <si>
    <t>NYKF36059112</t>
  </si>
  <si>
    <t>28449525579820</t>
  </si>
  <si>
    <t>Gaya</t>
  </si>
  <si>
    <t>TINYK2627100397</t>
  </si>
  <si>
    <t>CUTAB00000550</t>
  </si>
  <si>
    <t>1295-Maroon-22</t>
  </si>
  <si>
    <t>NYK-32344119-5144661-1-1</t>
  </si>
  <si>
    <t>NYKF35765619</t>
  </si>
  <si>
    <t>28449522419611</t>
  </si>
  <si>
    <t>TINYK12123006</t>
  </si>
  <si>
    <t>TINYK2627100348</t>
  </si>
  <si>
    <t>NYK-32563125-6478654-1-1</t>
  </si>
  <si>
    <t>NYKF36000337</t>
  </si>
  <si>
    <t>NYK-32109356-5845996-1-1</t>
  </si>
  <si>
    <t>NYKF35502487</t>
  </si>
  <si>
    <t>28449521771691</t>
  </si>
  <si>
    <t>TINYK11947513</t>
  </si>
  <si>
    <t>TINYK2627100258</t>
  </si>
  <si>
    <t>NYK-32047154-5971578-2-1</t>
  </si>
  <si>
    <t>NYKF35432590</t>
  </si>
  <si>
    <t>CUTAB00000554</t>
  </si>
  <si>
    <t>1295-Maroon-30</t>
  </si>
  <si>
    <t>28449521584194</t>
  </si>
  <si>
    <t>TINYK11946517</t>
  </si>
  <si>
    <t>TINYK2627100230</t>
  </si>
  <si>
    <t>NYK-32718648-5450766-1-1</t>
  </si>
  <si>
    <t>NYKF36162833</t>
  </si>
  <si>
    <t>28449527396353</t>
  </si>
  <si>
    <t>TINYK2627100416</t>
  </si>
  <si>
    <t>NYK-32160012-8271138-3-1</t>
  </si>
  <si>
    <t>NYKF35558716</t>
  </si>
  <si>
    <t>28449520198706</t>
  </si>
  <si>
    <t>TINYK11991683</t>
  </si>
  <si>
    <t>TINYK2627100265</t>
  </si>
  <si>
    <t>NYK-32199223-8670853-1-1</t>
  </si>
  <si>
    <t>NYKF35601816</t>
  </si>
  <si>
    <t>CUTAB00000655</t>
  </si>
  <si>
    <t>1298-Magenta-28</t>
  </si>
  <si>
    <t>237943173170361</t>
  </si>
  <si>
    <t>TINYK12147023</t>
  </si>
  <si>
    <t>Kotma</t>
  </si>
  <si>
    <t>TINYK2627100294</t>
  </si>
  <si>
    <t>NYK-32434290-6902989-1-1</t>
  </si>
  <si>
    <t>NYKF35866886</t>
  </si>
  <si>
    <t>CUTAB00001025</t>
  </si>
  <si>
    <t>1300-Black-24</t>
  </si>
  <si>
    <t>28449525009073</t>
  </si>
  <si>
    <t>TINYK2627100372</t>
  </si>
  <si>
    <t>NYK-32101638-4592239-1-1</t>
  </si>
  <si>
    <t>NYKF35493433</t>
  </si>
  <si>
    <t>CUTAB00001032</t>
  </si>
  <si>
    <t>1300-Black-38</t>
  </si>
  <si>
    <t>SF2167355725NYK</t>
  </si>
  <si>
    <t>TINYK2627100253</t>
  </si>
  <si>
    <t>NYK-32569750-7129572-1-1</t>
  </si>
  <si>
    <t>NYKF36007480</t>
  </si>
  <si>
    <t>CUTAB00001249</t>
  </si>
  <si>
    <t>1305-Grey-34</t>
  </si>
  <si>
    <t>28449525579245</t>
  </si>
  <si>
    <t>TINYK2627100402</t>
  </si>
  <si>
    <t>CUTAB00000805</t>
  </si>
  <si>
    <t>1305-Sky Blue-20</t>
  </si>
  <si>
    <t>NYK-32578098-3297097-1-1</t>
  </si>
  <si>
    <t>NYKF36015702</t>
  </si>
  <si>
    <t>28449525582130</t>
  </si>
  <si>
    <t>Kauriram</t>
  </si>
  <si>
    <t>TINYK2627100407</t>
  </si>
  <si>
    <t>NYK-32093478-9951546-1-1</t>
  </si>
  <si>
    <t>NYKF35483988</t>
  </si>
  <si>
    <t>CUTAB00000806</t>
  </si>
  <si>
    <t>1305-Sky Blue-22</t>
  </si>
  <si>
    <t>28449521665066</t>
  </si>
  <si>
    <t>TINYK2627100245</t>
  </si>
  <si>
    <t>NYK-32130889-0273399-1-1</t>
  </si>
  <si>
    <t>NYKF35526424</t>
  </si>
  <si>
    <t>CUTAB00000807</t>
  </si>
  <si>
    <t>1305-Sky Blue-24</t>
  </si>
  <si>
    <t>28449521770383</t>
  </si>
  <si>
    <t>Aurangabad-Br</t>
  </si>
  <si>
    <t>TINYK2627100260</t>
  </si>
  <si>
    <t>NYK-32630382-8138549-1-1</t>
  </si>
  <si>
    <t>NYKF36070346</t>
  </si>
  <si>
    <t>28449527102493</t>
  </si>
  <si>
    <t>TINYK2627100391</t>
  </si>
  <si>
    <t>NYK-32491152-2699460-1-1</t>
  </si>
  <si>
    <t>NYKF35927249</t>
  </si>
  <si>
    <t>28449525197760</t>
  </si>
  <si>
    <t>TINYK12158383</t>
  </si>
  <si>
    <t>Bongaigaon</t>
  </si>
  <si>
    <t>TINYK2627100378</t>
  </si>
  <si>
    <t>NYK-32182276-0991355-1-1</t>
  </si>
  <si>
    <t>NYKF35583518</t>
  </si>
  <si>
    <t>28449520302450</t>
  </si>
  <si>
    <t>TINYK2627100281</t>
  </si>
  <si>
    <t>NYK-32288582-6003557-1-1</t>
  </si>
  <si>
    <t>NYKF35702194</t>
  </si>
  <si>
    <t>28449522217720</t>
  </si>
  <si>
    <t>TINYK12079454</t>
  </si>
  <si>
    <t>Simri Bakthiyarpur</t>
  </si>
  <si>
    <t>TINYK2627100308</t>
  </si>
  <si>
    <t>NYK-32157259-2807901-1-1</t>
  </si>
  <si>
    <t>NYKF35555816</t>
  </si>
  <si>
    <t>28449521862326</t>
  </si>
  <si>
    <t>TINYK11970555</t>
  </si>
  <si>
    <t>TINYK2627100274</t>
  </si>
  <si>
    <t>NYK-32629076-4918810-4-1</t>
  </si>
  <si>
    <t>NYKF36068940</t>
  </si>
  <si>
    <t>CUTAB00000810</t>
  </si>
  <si>
    <t>1305-Sky Blue-30</t>
  </si>
  <si>
    <t>28449527096716</t>
  </si>
  <si>
    <t>TINYK12177754</t>
  </si>
  <si>
    <t>TINYK2627100393</t>
  </si>
  <si>
    <t>NYK-32129664-7490745-1-1</t>
  </si>
  <si>
    <t>NYKF35525088</t>
  </si>
  <si>
    <t>28449520086835</t>
  </si>
  <si>
    <t>TINYK11989337</t>
  </si>
  <si>
    <t>TINYK2627100257</t>
  </si>
  <si>
    <t>NYK-32394707-5650782-1-1</t>
  </si>
  <si>
    <t>NYKF35823306</t>
  </si>
  <si>
    <t>CUTAB00000811</t>
  </si>
  <si>
    <t>1305-Sky Blue-32</t>
  </si>
  <si>
    <t>Alwar</t>
  </si>
  <si>
    <t>NYK-32345179-6486467-2-1</t>
  </si>
  <si>
    <t>NYKF35766849</t>
  </si>
  <si>
    <t>237943175110470</t>
  </si>
  <si>
    <t>Durg</t>
  </si>
  <si>
    <t>TINYK2627100337</t>
  </si>
  <si>
    <t>NYK-32313368-8164526-1-1</t>
  </si>
  <si>
    <t>NYKF35730681</t>
  </si>
  <si>
    <t>28449520692921</t>
  </si>
  <si>
    <t>TINYK12081371</t>
  </si>
  <si>
    <t>Asansol</t>
  </si>
  <si>
    <t>TINYK2627100323</t>
  </si>
  <si>
    <t>NYK-32103884-8258750-2-1</t>
  </si>
  <si>
    <t>NYKF35496099</t>
  </si>
  <si>
    <t>28449521767373</t>
  </si>
  <si>
    <t>TINYK12014011</t>
  </si>
  <si>
    <t>Sirohi</t>
  </si>
  <si>
    <t>TINYK2627100251</t>
  </si>
  <si>
    <t>NYK-32101334-4082801-1-1</t>
  </si>
  <si>
    <t>NYKF35493072</t>
  </si>
  <si>
    <t>SF2167305866NYK</t>
  </si>
  <si>
    <t>TINYK12001863</t>
  </si>
  <si>
    <t>TINYK2627100249</t>
  </si>
  <si>
    <t>NYK-32586485-7978568-2-1</t>
  </si>
  <si>
    <t>NYKF36024593</t>
  </si>
  <si>
    <t>28449527101093</t>
  </si>
  <si>
    <t>Rajpura</t>
  </si>
  <si>
    <t>TINYK2627100395</t>
  </si>
  <si>
    <t>NYK-32308486-9900482-1-1</t>
  </si>
  <si>
    <t>NYKF35725025</t>
  </si>
  <si>
    <t>Forgot to apply coupon/offers</t>
  </si>
  <si>
    <t>NYK-32247696-2640768-1-1</t>
  </si>
  <si>
    <t>NYKF35656381</t>
  </si>
  <si>
    <t>28449520508795</t>
  </si>
  <si>
    <t>Kakinada</t>
  </si>
  <si>
    <t>TINYK2627100300</t>
  </si>
  <si>
    <t>NYK-32803920-4508592-1-1</t>
  </si>
  <si>
    <t>NYKF36253370</t>
  </si>
  <si>
    <t>CUTAB00000828</t>
  </si>
  <si>
    <t>1307-Firozi-36</t>
  </si>
  <si>
    <t>SF2188138696NYK</t>
  </si>
  <si>
    <t>TINYK2627100439</t>
  </si>
  <si>
    <t>NYK-32201789-4160140-2-1</t>
  </si>
  <si>
    <t>NYKF35604657</t>
  </si>
  <si>
    <t>237943173167863</t>
  </si>
  <si>
    <t>TINYK2627100289</t>
  </si>
  <si>
    <t>NFSD50O</t>
  </si>
  <si>
    <t>NYK-32274440-7678852-1-1</t>
  </si>
  <si>
    <t>NYKF35686672</t>
  </si>
  <si>
    <t>CUTAB00000832</t>
  </si>
  <si>
    <t>1308-Cream-28</t>
  </si>
  <si>
    <t>28449520589402</t>
  </si>
  <si>
    <t>TINYK2627100302</t>
  </si>
  <si>
    <t>NYK-32289130-7004935-3-1</t>
  </si>
  <si>
    <t>NYKF35702787</t>
  </si>
  <si>
    <t>CUTAB00000834</t>
  </si>
  <si>
    <t>1308-Cream-32</t>
  </si>
  <si>
    <t>28449522218431</t>
  </si>
  <si>
    <t>TINYK12054265</t>
  </si>
  <si>
    <t>TINYK2627100307</t>
  </si>
  <si>
    <t>NYK-32562765-5576489-1-1</t>
  </si>
  <si>
    <t>NYKF36273260</t>
  </si>
  <si>
    <t>SF2188142027NYK</t>
  </si>
  <si>
    <t>Satara</t>
  </si>
  <si>
    <t>TINYK2627100440</t>
  </si>
  <si>
    <t>NYK-32383960-3307873-1-1</t>
  </si>
  <si>
    <t>NYKF35810927</t>
  </si>
  <si>
    <t>28449522522360</t>
  </si>
  <si>
    <t>TINYK12132795</t>
  </si>
  <si>
    <t>TINYK2627100357</t>
  </si>
  <si>
    <t>NYK-32100329-2337696-1-1</t>
  </si>
  <si>
    <t>NYKF35491846</t>
  </si>
  <si>
    <t>SF2167305892NYK</t>
  </si>
  <si>
    <t>TINYK12100838</t>
  </si>
  <si>
    <t>TINYK2627100250</t>
  </si>
  <si>
    <t>NYK-31993957-0377773-1-1</t>
  </si>
  <si>
    <t>NYKF35373403</t>
  </si>
  <si>
    <t>Rourkela</t>
  </si>
  <si>
    <t>NYK-32407548-2665267-1-1</t>
  </si>
  <si>
    <t>NYKF35837141</t>
  </si>
  <si>
    <t>237943173346481</t>
  </si>
  <si>
    <t>TINYK12196889</t>
  </si>
  <si>
    <t>TINYK2627100366</t>
  </si>
  <si>
    <t>NYK-32301251-8851100-1-1</t>
  </si>
  <si>
    <t>NYKF35716801</t>
  </si>
  <si>
    <t>28449520693562</t>
  </si>
  <si>
    <t>TINYK2627100325</t>
  </si>
  <si>
    <t>NYK-32266476-4884047-1-1</t>
  </si>
  <si>
    <t>NYKF35677545</t>
  </si>
  <si>
    <t>NYK-32264915-1747727-1-1</t>
  </si>
  <si>
    <t>NYKF35675894</t>
  </si>
  <si>
    <t>28449520593381</t>
  </si>
  <si>
    <t>TINYK2627100305</t>
  </si>
  <si>
    <t>NYK-32185097-8714148-1-1</t>
  </si>
  <si>
    <t>NYKF35586421</t>
  </si>
  <si>
    <t>237943173135630</t>
  </si>
  <si>
    <t>TINYK2627100278</t>
  </si>
  <si>
    <t>NYK-32364231-8149782-1-1</t>
  </si>
  <si>
    <t>NYKF35788691</t>
  </si>
  <si>
    <t>28449520862822</t>
  </si>
  <si>
    <t>TINYK12062739</t>
  </si>
  <si>
    <t>TINYK2627100344</t>
  </si>
  <si>
    <t>NYK-32097877-7850955-1-1</t>
  </si>
  <si>
    <t>NYKF35489021</t>
  </si>
  <si>
    <t>CUTAB00000840</t>
  </si>
  <si>
    <t>1310-Purple-28</t>
  </si>
  <si>
    <t>237943173064882</t>
  </si>
  <si>
    <t>TINYK2627100252</t>
  </si>
  <si>
    <t>NYK-32413768-4547603-1-1</t>
  </si>
  <si>
    <t>NYKF35844000</t>
  </si>
  <si>
    <t>CUTAB00000844</t>
  </si>
  <si>
    <t>1310-Purple-36</t>
  </si>
  <si>
    <t>28449522526560</t>
  </si>
  <si>
    <t>TINYK2627100360</t>
  </si>
  <si>
    <t>NFSD500</t>
  </si>
  <si>
    <t>NYK-32262475-6219677-1-1</t>
  </si>
  <si>
    <t>NYKF35673027</t>
  </si>
  <si>
    <t>237943173230082</t>
  </si>
  <si>
    <t>TINYK12119176</t>
  </si>
  <si>
    <t>TINYK2627100303</t>
  </si>
  <si>
    <t>NYK-32220090-1314062-1-1</t>
  </si>
  <si>
    <t>NYKF35624874</t>
  </si>
  <si>
    <t>237943175000360</t>
  </si>
  <si>
    <t>TINYK12044179</t>
  </si>
  <si>
    <t>TINYK2627100290</t>
  </si>
  <si>
    <t>NYK-32203238-7053158-1-1</t>
  </si>
  <si>
    <t>NYKF35606279</t>
  </si>
  <si>
    <t>28449520406046</t>
  </si>
  <si>
    <t>TINYK12074744</t>
  </si>
  <si>
    <t>Hathras</t>
  </si>
  <si>
    <t>TINYK2627100291</t>
  </si>
  <si>
    <t>NYK-32128409-4675756-1-1</t>
  </si>
  <si>
    <t>NYKF35523625</t>
  </si>
  <si>
    <t>28449520088353</t>
  </si>
  <si>
    <t>Jamshedpur</t>
  </si>
  <si>
    <t>TINYK2627100255</t>
  </si>
  <si>
    <t>NYK-32053030-0849122-1-1</t>
  </si>
  <si>
    <t>NYKF35438895</t>
  </si>
  <si>
    <t>SF2167350780NYK</t>
  </si>
  <si>
    <t>TINYK2627100229</t>
  </si>
  <si>
    <t>NFSAVE</t>
  </si>
  <si>
    <t>NYK-32026145-0043220-3-1</t>
  </si>
  <si>
    <t>NYKF35409123</t>
  </si>
  <si>
    <t>SF1835856014NYK</t>
  </si>
  <si>
    <t>TINYK2627100214</t>
  </si>
  <si>
    <t>NYK-32117512-0789296-1-1</t>
  </si>
  <si>
    <t>NYKF35511877</t>
  </si>
  <si>
    <t>CUTAB00000856</t>
  </si>
  <si>
    <t>1311-Pink-28</t>
  </si>
  <si>
    <t>28449521772111</t>
  </si>
  <si>
    <t>TINYK2627100254</t>
  </si>
  <si>
    <t>NYK-32071361-7607520-1-1</t>
  </si>
  <si>
    <t>NYKF35459465</t>
  </si>
  <si>
    <t>28449521664311</t>
  </si>
  <si>
    <t>TINYK2627100247</t>
  </si>
  <si>
    <t>NYK-32541732-5862604-1-1</t>
  </si>
  <si>
    <t>NYKF35978933</t>
  </si>
  <si>
    <t>28449525300612</t>
  </si>
  <si>
    <t>TINYK12207740</t>
  </si>
  <si>
    <t>Dhampur</t>
  </si>
  <si>
    <t>TINYK2627100388</t>
  </si>
  <si>
    <t>NYK-32200886-2181503-2-1</t>
  </si>
  <si>
    <t>NYKF35603566</t>
  </si>
  <si>
    <t>28449522046570</t>
  </si>
  <si>
    <t>TINYK2627100285</t>
  </si>
  <si>
    <t>NYK-32058987-2730324-1-1</t>
  </si>
  <si>
    <t>NYKF35445263</t>
  </si>
  <si>
    <t>CUTAB00000858</t>
  </si>
  <si>
    <t>1311-Pink-32</t>
  </si>
  <si>
    <t>SF2167350459NYK</t>
  </si>
  <si>
    <t>Rajura</t>
  </si>
  <si>
    <t>TINYK2627100235</t>
  </si>
  <si>
    <t>NYK-32033906-9239748-8-1</t>
  </si>
  <si>
    <t>NYKF35417701</t>
  </si>
  <si>
    <t>SF1835855950NYK</t>
  </si>
  <si>
    <t>TINYK2627100227</t>
  </si>
  <si>
    <t>NYK-32013425-0494829-1-1</t>
  </si>
  <si>
    <t>NYKF35394965</t>
  </si>
  <si>
    <t>28449519516070</t>
  </si>
  <si>
    <t>TINYK11988483</t>
  </si>
  <si>
    <t>TINYK2627100220</t>
  </si>
  <si>
    <t>NYK-32049810-3825208-1-1</t>
  </si>
  <si>
    <t>NYKF35435342</t>
  </si>
  <si>
    <t>28449521599384</t>
  </si>
  <si>
    <t>TINYK12034208</t>
  </si>
  <si>
    <t>Dibrugarh</t>
  </si>
  <si>
    <t>TINYK2627100234</t>
  </si>
  <si>
    <t>NYK-32030741-9835552-1-1</t>
  </si>
  <si>
    <t>NYKF35414101</t>
  </si>
  <si>
    <t>28449519514084</t>
  </si>
  <si>
    <t>Karnal</t>
  </si>
  <si>
    <t>TINYK2627100211</t>
  </si>
  <si>
    <t>NYK-32012391-8472897-1-1</t>
  </si>
  <si>
    <t>NYKF35393801</t>
  </si>
  <si>
    <t>SF1835855963NYK</t>
  </si>
  <si>
    <t>TINYK2627100212</t>
  </si>
  <si>
    <t>NYK-32010985-5999021-1-1</t>
  </si>
  <si>
    <t>NYKF35392223</t>
  </si>
  <si>
    <t>Gopalganj</t>
  </si>
  <si>
    <t>NYK-32116585-7238100-1-1</t>
  </si>
  <si>
    <t>NYKF35510875</t>
  </si>
  <si>
    <t>NYK-32071871-8350454-2-1</t>
  </si>
  <si>
    <t>NYKF35460061</t>
  </si>
  <si>
    <t>28449521664576</t>
  </si>
  <si>
    <t>Basti</t>
  </si>
  <si>
    <t>TINYK2627100241</t>
  </si>
  <si>
    <t>NYK-32023446-4400900-1-1</t>
  </si>
  <si>
    <t>NYKF35406105</t>
  </si>
  <si>
    <t>SF1835856350NYK</t>
  </si>
  <si>
    <t>TINYK2627100226</t>
  </si>
  <si>
    <t>NYK-31981984-0737396-1-1</t>
  </si>
  <si>
    <t>NYKF35360875</t>
  </si>
  <si>
    <t>28449519748212</t>
  </si>
  <si>
    <t>TINYK11983719</t>
  </si>
  <si>
    <t>TINYK2627100207</t>
  </si>
  <si>
    <t>NYK-32103277-7298210-1-1</t>
  </si>
  <si>
    <t>NYKF35495329</t>
  </si>
  <si>
    <t>CUTAB00000872</t>
  </si>
  <si>
    <t>1313-Yellow-28</t>
  </si>
  <si>
    <t>28449521766216</t>
  </si>
  <si>
    <t>TINYK2627100248</t>
  </si>
  <si>
    <t>NYK-32042946-6725129-3-1</t>
  </si>
  <si>
    <t>NYKF35427934</t>
  </si>
  <si>
    <t>CUTAB00000916</t>
  </si>
  <si>
    <t>1316-Pink-22</t>
  </si>
  <si>
    <t>237943174868966</t>
  </si>
  <si>
    <t>TINYK12023700</t>
  </si>
  <si>
    <t>TINYK2627100238</t>
  </si>
  <si>
    <t>NYK-32084133-3585100-3-1</t>
  </si>
  <si>
    <t>NYKF35473695</t>
  </si>
  <si>
    <t>CUTAB00000920</t>
  </si>
  <si>
    <t>1317-White-18</t>
  </si>
  <si>
    <t>88281886162</t>
  </si>
  <si>
    <t>TINYK11932768</t>
  </si>
  <si>
    <t>TINYK2627100242</t>
  </si>
  <si>
    <t>NYK-32499929-1340661-1-1</t>
  </si>
  <si>
    <t>NYKF35936811</t>
  </si>
  <si>
    <t>28449521349834</t>
  </si>
  <si>
    <t>TINYK2627100380</t>
  </si>
  <si>
    <t>NYK-32740079-7994424-1-1</t>
  </si>
  <si>
    <t>NYKF36186067</t>
  </si>
  <si>
    <t>CUTAB00000886</t>
  </si>
  <si>
    <t>1321-Wine-24</t>
  </si>
  <si>
    <t>28449527398044</t>
  </si>
  <si>
    <t>TINYK2627100419</t>
  </si>
  <si>
    <t>NYK-32742922-1236946-1-1</t>
  </si>
  <si>
    <t>NYKF36188945</t>
  </si>
  <si>
    <t>CUTAB00000888</t>
  </si>
  <si>
    <t>1321-Wine-28</t>
  </si>
  <si>
    <t>28449527398291</t>
  </si>
  <si>
    <t>TINYK2627100422</t>
  </si>
  <si>
    <t>NYK-32763348-2759836-2-1</t>
  </si>
  <si>
    <t>NYKF36210987</t>
  </si>
  <si>
    <t>CUTAB00000892</t>
  </si>
  <si>
    <t>1321-Wine-36</t>
  </si>
  <si>
    <t>28449527462175</t>
  </si>
  <si>
    <t>Kapurthala</t>
  </si>
  <si>
    <t>TINYK2627100427</t>
  </si>
  <si>
    <t>NYK-32656103-2579191-1-1</t>
  </si>
  <si>
    <t>NYKF36097037</t>
  </si>
  <si>
    <t>CUTAB00000974</t>
  </si>
  <si>
    <t>1323-Cream-30</t>
  </si>
  <si>
    <t>28449525579864</t>
  </si>
  <si>
    <t>Nizamabad</t>
  </si>
  <si>
    <t>TINYK2627100405</t>
  </si>
  <si>
    <t>NFDN15</t>
  </si>
  <si>
    <t>NYK-32257503-4030247-1-1</t>
  </si>
  <si>
    <t>NYKF35667284</t>
  </si>
  <si>
    <t>CUTAB00000976</t>
  </si>
  <si>
    <t>1323-Cream-34</t>
  </si>
  <si>
    <t>237943173195200</t>
  </si>
  <si>
    <t>TINYK2627100301</t>
  </si>
  <si>
    <t>CUTAB00000977</t>
  </si>
  <si>
    <t>1323-Cream-36</t>
  </si>
  <si>
    <t>NYK-32334974-2835686-1-1</t>
  </si>
  <si>
    <t>NYKF35755206</t>
  </si>
  <si>
    <t>237943175109582</t>
  </si>
  <si>
    <t>Ratlam</t>
  </si>
  <si>
    <t>TINYK2627100332</t>
  </si>
  <si>
    <t>NYK-32332425-8763194-1-1</t>
  </si>
  <si>
    <t>NYKF35752199</t>
  </si>
  <si>
    <t>237943173317475</t>
  </si>
  <si>
    <t>TINYK12090323</t>
  </si>
  <si>
    <t>TINYK2627100350</t>
  </si>
  <si>
    <t>NYK-32305000-4269490-4-1</t>
  </si>
  <si>
    <t>NYKF35721112</t>
  </si>
  <si>
    <t>88282000461</t>
  </si>
  <si>
    <t>TINYK2627100319</t>
  </si>
  <si>
    <t>NYK-32341942-2437776-1-1</t>
  </si>
  <si>
    <t>NYKF35763247</t>
  </si>
  <si>
    <t>CUTAB00001073</t>
  </si>
  <si>
    <t>1326-Pink-24</t>
  </si>
  <si>
    <t>NYK-32320642-1335453-1-1</t>
  </si>
  <si>
    <t>NYKF35738808</t>
  </si>
  <si>
    <t>CUTAB00001078</t>
  </si>
  <si>
    <t>1326-Pink-34</t>
  </si>
  <si>
    <t>28449520694520</t>
  </si>
  <si>
    <t>TINYK12142744</t>
  </si>
  <si>
    <t>Haridwar</t>
  </si>
  <si>
    <t>TINYK2627100322</t>
  </si>
  <si>
    <t>NYK-32384772-4272833-1-1</t>
  </si>
  <si>
    <t>NYKF35811861</t>
  </si>
  <si>
    <t>28449520981240</t>
  </si>
  <si>
    <t>TINYK12092857</t>
  </si>
  <si>
    <t>TINYK2627100355</t>
  </si>
  <si>
    <t>NFDNXT10</t>
  </si>
  <si>
    <t>NYK-32289409-7532618-1-1</t>
  </si>
  <si>
    <t>NYKF35703099</t>
  </si>
  <si>
    <t>CUTAB00001087</t>
  </si>
  <si>
    <t>1327-Pista Green-36</t>
  </si>
  <si>
    <t>28449522218206</t>
  </si>
  <si>
    <t>TINYK2627100309</t>
  </si>
  <si>
    <t>CUTAB00001088</t>
  </si>
  <si>
    <t>1327-Pista Green-38</t>
  </si>
  <si>
    <t>NYK-32350553-4222086-1-1</t>
  </si>
  <si>
    <t>NYKF35772981</t>
  </si>
  <si>
    <t>CUTAB00001176</t>
  </si>
  <si>
    <t>1333-Pink-24</t>
  </si>
  <si>
    <t>237943175108764</t>
  </si>
  <si>
    <t>TINYK2627100343</t>
  </si>
  <si>
    <t>NYK-32118387-3441148-2-1</t>
  </si>
  <si>
    <t>NYKF35512843</t>
  </si>
  <si>
    <t>CUTAB00001187</t>
  </si>
  <si>
    <t>1334-Yellow-30</t>
  </si>
  <si>
    <t>28449520090873</t>
  </si>
  <si>
    <t>TINYK2627100259</t>
  </si>
  <si>
    <t>NYK-32652682-0894288-1-1</t>
  </si>
  <si>
    <t>NYKF36093334</t>
  </si>
  <si>
    <t>CUTAB00001188</t>
  </si>
  <si>
    <t>1334-Yellow-32</t>
  </si>
  <si>
    <t>88282169054</t>
  </si>
  <si>
    <t>TINYK2627100406</t>
  </si>
  <si>
    <t>NFPRIVE300</t>
  </si>
  <si>
    <t>NYK-32657322-1151108-5-1</t>
  </si>
  <si>
    <t>NYKF36098149</t>
  </si>
  <si>
    <t>CUTAB00001189</t>
  </si>
  <si>
    <t>1334-Yellow-34</t>
  </si>
  <si>
    <t>28449527102740</t>
  </si>
  <si>
    <t>TINYK12184153</t>
  </si>
  <si>
    <t>TINYK2627100408</t>
  </si>
  <si>
    <t>PKIDS300</t>
  </si>
  <si>
    <t>NYK-32159289-6761809-1-1</t>
  </si>
  <si>
    <t>NYKF35557928</t>
  </si>
  <si>
    <t>CUTAB00001196</t>
  </si>
  <si>
    <t>1335-Blue-32</t>
  </si>
  <si>
    <t>237943173099366</t>
  </si>
  <si>
    <t>TINYK2627100271</t>
  </si>
  <si>
    <t>NYK-32311571-6211906-2-1</t>
  </si>
  <si>
    <t>NYKF35728653</t>
  </si>
  <si>
    <t>CUTAB00001202</t>
  </si>
  <si>
    <t>1335-Pink-28</t>
  </si>
  <si>
    <t>28449522286762</t>
  </si>
  <si>
    <t>TINYK12068109</t>
  </si>
  <si>
    <t>TINYK2627100311</t>
  </si>
  <si>
    <t>NYK-32314225-0489465-1-1</t>
  </si>
  <si>
    <t>NYKF35731664</t>
  </si>
  <si>
    <t>CUTAB00001205</t>
  </si>
  <si>
    <t>1335-Pink-34</t>
  </si>
  <si>
    <t>237943175066005</t>
  </si>
  <si>
    <t>TINYK2627100326</t>
  </si>
  <si>
    <t>CUTAB00001207</t>
  </si>
  <si>
    <t>1335-Pink-38</t>
  </si>
  <si>
    <t>NYK-32769889-0520664-1-1</t>
  </si>
  <si>
    <t>NYKF36217547</t>
  </si>
  <si>
    <t>CUTAB00001210</t>
  </si>
  <si>
    <t>1336-Rani-28</t>
  </si>
  <si>
    <t>28449527456273</t>
  </si>
  <si>
    <t>TINYK2627100428</t>
  </si>
  <si>
    <t>NYK-32527107-3642468-1-1</t>
  </si>
  <si>
    <t>NYKF35964262</t>
  </si>
  <si>
    <t>CUTAB00001212</t>
  </si>
  <si>
    <t>1336-Rani-32</t>
  </si>
  <si>
    <t>28449521421750</t>
  </si>
  <si>
    <t>Karauli</t>
  </si>
  <si>
    <t>TINYK2627100385</t>
  </si>
  <si>
    <t>NYK-32413668-4351550-1-1</t>
  </si>
  <si>
    <t>NYKF35843959</t>
  </si>
  <si>
    <t>CUTAB00001213</t>
  </si>
  <si>
    <t>1336-Rani-34</t>
  </si>
  <si>
    <t>237943173358904</t>
  </si>
  <si>
    <t>TINYK2627100364</t>
  </si>
  <si>
    <t>NYK-32397240-3700736-1-1</t>
  </si>
  <si>
    <t>NYKF35826127</t>
  </si>
  <si>
    <t>237943173355496</t>
  </si>
  <si>
    <t>TINYK2627100365</t>
  </si>
  <si>
    <t>NYK-32285125-0110600-2-1</t>
  </si>
  <si>
    <t>NYKF35698434</t>
  </si>
  <si>
    <t>28449520588444</t>
  </si>
  <si>
    <t>TINYK12035667</t>
  </si>
  <si>
    <t>TINYK2627100306</t>
  </si>
  <si>
    <t>NYK-32346845-9590228-1-1</t>
  </si>
  <si>
    <t>NYKF35768786</t>
  </si>
  <si>
    <t>CUTAB00001215</t>
  </si>
  <si>
    <t>1336-Rani-38</t>
  </si>
  <si>
    <t>88282038751</t>
  </si>
  <si>
    <t>TINYK2627100331</t>
  </si>
  <si>
    <t>NYK-32392126-4703941-1-1</t>
  </si>
  <si>
    <t>NYKF35820288</t>
  </si>
  <si>
    <t>CUTAB00001219</t>
  </si>
  <si>
    <t>1337-Cream-30</t>
  </si>
  <si>
    <t>28449520983211</t>
  </si>
  <si>
    <t>TINYK12093963</t>
  </si>
  <si>
    <t>TINYK2627100363</t>
  </si>
  <si>
    <t>NYK-32393348-9873814-1-1</t>
  </si>
  <si>
    <t>NYKF35821724</t>
  </si>
  <si>
    <t>CUTAB00001220</t>
  </si>
  <si>
    <t>1337-Cream-32</t>
  </si>
  <si>
    <t>Verification Cancelled</t>
  </si>
  <si>
    <t xml:space="preserve">Address check - Incomplete address updated
</t>
  </si>
  <si>
    <t>Porbandar</t>
  </si>
  <si>
    <t>Verification-Adress Check,Add check</t>
  </si>
  <si>
    <t>NYK-32224583-1086419-1-1</t>
  </si>
  <si>
    <t>NYKF35629962</t>
  </si>
  <si>
    <t>237943173169963</t>
  </si>
  <si>
    <t>TINYK2627100288</t>
  </si>
  <si>
    <t>NYK-32409883-7186888-1-1</t>
  </si>
  <si>
    <t>NYKF35839732</t>
  </si>
  <si>
    <t>CUTAB00001221</t>
  </si>
  <si>
    <t>1337-Cream-34</t>
  </si>
  <si>
    <t>237943175135364</t>
  </si>
  <si>
    <t>TINYK12097715</t>
  </si>
  <si>
    <t>TINYK2627100356</t>
  </si>
  <si>
    <t>NYK-32520549-4218404-1-1</t>
  </si>
  <si>
    <t>NYKF35957938</t>
  </si>
  <si>
    <t>CUTAB00001223</t>
  </si>
  <si>
    <t>1337-Cream-38</t>
  </si>
  <si>
    <t>28449525265321</t>
  </si>
  <si>
    <t>Mau</t>
  </si>
  <si>
    <t>TINYK2627100382</t>
  </si>
  <si>
    <t>TINYK12044790</t>
  </si>
  <si>
    <t>NYK-32291129-0651827-2-1</t>
  </si>
  <si>
    <t>NYKF35705175</t>
  </si>
  <si>
    <t>28449520606261</t>
  </si>
  <si>
    <t>TINYK2627100310</t>
  </si>
  <si>
    <t>NYK-32140158-8877227-3-1</t>
  </si>
  <si>
    <t>NYKF35537037</t>
  </si>
  <si>
    <t>28449520198581</t>
  </si>
  <si>
    <t>TINYK2627100263</t>
  </si>
  <si>
    <t>NYK-32735375-0543963-3-1</t>
  </si>
  <si>
    <t>NYKF36180923</t>
  </si>
  <si>
    <t>TINAD00000008</t>
  </si>
  <si>
    <t>2366-M.Blue-34</t>
  </si>
  <si>
    <t>28449525843720</t>
  </si>
  <si>
    <t>TINYK2627100424</t>
  </si>
  <si>
    <t>NYK-32164401-7676333-1-1</t>
  </si>
  <si>
    <t>NYKF35563658</t>
  </si>
  <si>
    <t>TINAD00000080</t>
  </si>
  <si>
    <t>2366-Peach-24</t>
  </si>
  <si>
    <t>28449521932190</t>
  </si>
  <si>
    <t>TINYK2627100277</t>
  </si>
  <si>
    <t>NYK-32255483-9312759-2-1</t>
  </si>
  <si>
    <t>NYKF35664912</t>
  </si>
  <si>
    <t>28449520501946</t>
  </si>
  <si>
    <t>TINYK12033035</t>
  </si>
  <si>
    <t>Ghatal</t>
  </si>
  <si>
    <t>TINYK2627100297</t>
  </si>
  <si>
    <t>NYK-32726961-4518314-2-1</t>
  </si>
  <si>
    <t>NYKF36171760</t>
  </si>
  <si>
    <t>28449527397775</t>
  </si>
  <si>
    <t>TINYK2627100420</t>
  </si>
  <si>
    <t>NFOFF15</t>
  </si>
  <si>
    <t>NYK-32426933-4933097-3-1</t>
  </si>
  <si>
    <t>NYKF35858702</t>
  </si>
  <si>
    <t>TINAD00000170</t>
  </si>
  <si>
    <t>2367-Blue-30</t>
  </si>
  <si>
    <t>28449521154615</t>
  </si>
  <si>
    <t>TINYK2627100368</t>
  </si>
  <si>
    <t>NYK-32048316-0083109-1-1</t>
  </si>
  <si>
    <t>NYKF35433862</t>
  </si>
  <si>
    <t>TINAD00000203</t>
  </si>
  <si>
    <t>2377-Lavender-36</t>
  </si>
  <si>
    <t>28449519874610</t>
  </si>
  <si>
    <t>TINYK11977995</t>
  </si>
  <si>
    <t>TINYK2627100233</t>
  </si>
  <si>
    <t>NYK-32706961-5186780-1-1</t>
  </si>
  <si>
    <t>NYKF36150547</t>
  </si>
  <si>
    <t>NYK-32459689-7416566-1-1</t>
  </si>
  <si>
    <t>NYKF35893896</t>
  </si>
  <si>
    <t>TINAD00000213</t>
  </si>
  <si>
    <t>2377-NeonYellow-36</t>
  </si>
  <si>
    <t>28449525193685</t>
  </si>
  <si>
    <t>Sikandarpur</t>
  </si>
  <si>
    <t>TINYK2627100373</t>
  </si>
  <si>
    <t>NYK-32683979-8822403-1-1</t>
  </si>
  <si>
    <t>NYKF36125959</t>
  </si>
  <si>
    <t>TINAD00000231</t>
  </si>
  <si>
    <t>2391-Purple-32</t>
  </si>
  <si>
    <t>88282187232</t>
  </si>
  <si>
    <t>TINYK2627100414</t>
  </si>
  <si>
    <t>NFSTYLE</t>
  </si>
  <si>
    <t>TINAD00000302</t>
  </si>
  <si>
    <t>2404-Black-34</t>
  </si>
  <si>
    <t>NYK-32660860-4093560-1-1</t>
  </si>
  <si>
    <t>NYKF36101591</t>
  </si>
  <si>
    <t>TINAD00000511</t>
  </si>
  <si>
    <t>2407-SkyBlue-26</t>
  </si>
  <si>
    <t>28449527105514</t>
  </si>
  <si>
    <t>TINYK12202496</t>
  </si>
  <si>
    <t>Faridabad</t>
  </si>
  <si>
    <t>TINYK2627100399</t>
  </si>
  <si>
    <t>NYK-32018098-0668323-1-1</t>
  </si>
  <si>
    <t>NYKF35400164</t>
  </si>
  <si>
    <t>28449519514994</t>
  </si>
  <si>
    <t>Amritsar</t>
  </si>
  <si>
    <t>TINYK2627100217</t>
  </si>
  <si>
    <t>NYK-32733197-6690468-1-1</t>
  </si>
  <si>
    <t>NYKF36178533</t>
  </si>
  <si>
    <t>28449525843926</t>
  </si>
  <si>
    <t>Bijainagar</t>
  </si>
  <si>
    <t>TINYK2627100421</t>
  </si>
  <si>
    <t>NYK-32047794-8474444-1-1</t>
  </si>
  <si>
    <t>NYKF35433281</t>
  </si>
  <si>
    <t>28449519870771</t>
  </si>
  <si>
    <t>TINYK12043131</t>
  </si>
  <si>
    <t>Bargarh</t>
  </si>
  <si>
    <t>TINYK2627100231</t>
  </si>
  <si>
    <t>NYK-32706661-4579006-1-1</t>
  </si>
  <si>
    <t>NYKF36150204</t>
  </si>
  <si>
    <t>NYK-32618471-6738610-1-1</t>
  </si>
  <si>
    <t>NYKF36057578</t>
  </si>
  <si>
    <t>28449525582314</t>
  </si>
  <si>
    <t>TINYK12203197</t>
  </si>
  <si>
    <t>TINYK2627100411</t>
  </si>
  <si>
    <t>NYK-32553369-8910454-1-1</t>
  </si>
  <si>
    <t>NYKF35990394</t>
  </si>
  <si>
    <t>TINAD00000260</t>
  </si>
  <si>
    <t>2410-Fuchsia-32</t>
  </si>
  <si>
    <t>59497120745</t>
  </si>
  <si>
    <t>TINYK12177961</t>
  </si>
  <si>
    <t>TINYK2627100387</t>
  </si>
  <si>
    <t>NYK-32768021-6005536-1-1</t>
  </si>
  <si>
    <t>NYKF36229657</t>
  </si>
  <si>
    <t>TINAD00000261</t>
  </si>
  <si>
    <t>2410-Fuchsia-34</t>
  </si>
  <si>
    <t>SF2188137319NYK</t>
  </si>
  <si>
    <t>TINYK2627100433</t>
  </si>
  <si>
    <t>NYK-32733953-8101789-4-1</t>
  </si>
  <si>
    <t>NYKF36179425</t>
  </si>
  <si>
    <t>88282202691</t>
  </si>
  <si>
    <t>TINYK2627100415</t>
  </si>
  <si>
    <t>NTBKF10</t>
  </si>
  <si>
    <t>NYK-32701183-3361730-1-1</t>
  </si>
  <si>
    <t>NYKF36144363</t>
  </si>
  <si>
    <t>28449527396191</t>
  </si>
  <si>
    <t>TINYK2627100417</t>
  </si>
  <si>
    <t>NYK-32630126-7399169-1-1</t>
  </si>
  <si>
    <t>NYKF36070076</t>
  </si>
  <si>
    <t>28449527104232</t>
  </si>
  <si>
    <t>TINYK2627100412</t>
  </si>
  <si>
    <t>NYK-32030101-8465440-1-1</t>
  </si>
  <si>
    <t>NYKF35413340</t>
  </si>
  <si>
    <t>SF1835856296NYK</t>
  </si>
  <si>
    <t>TINYK12038957</t>
  </si>
  <si>
    <t>TINYK2627100213</t>
  </si>
  <si>
    <t>NYK-32614490-4896846-4-1</t>
  </si>
  <si>
    <t>NYKF36053486</t>
  </si>
  <si>
    <t>TINAD00000262</t>
  </si>
  <si>
    <t>2410-Fuchsia-36</t>
  </si>
  <si>
    <t>28449527103963</t>
  </si>
  <si>
    <t>TINYK12187186</t>
  </si>
  <si>
    <t>TINYK2627100410</t>
  </si>
  <si>
    <t>NYK-32499144-8063121-1-1</t>
  </si>
  <si>
    <t>NYKF35935950</t>
  </si>
  <si>
    <t>28449521353706</t>
  </si>
  <si>
    <t>TINYK12103919</t>
  </si>
  <si>
    <t>TINYK2627100379</t>
  </si>
  <si>
    <t>NYK-32359824-0156457-2-1</t>
  </si>
  <si>
    <t>NYKF35783681</t>
  </si>
  <si>
    <t>28449520861271</t>
  </si>
  <si>
    <t>TINYK2627100347</t>
  </si>
  <si>
    <t>NYK-32320008-0448539-2-1</t>
  </si>
  <si>
    <t>NYKF35738082</t>
  </si>
  <si>
    <t>28449522285023</t>
  </si>
  <si>
    <t>TINYK12041143</t>
  </si>
  <si>
    <t>Yamuna Nagar</t>
  </si>
  <si>
    <t>TINYK2627100313</t>
  </si>
  <si>
    <t>NYK-32258554-6428980-1-1</t>
  </si>
  <si>
    <t>NYKF35668512</t>
  </si>
  <si>
    <t>28449522126274</t>
  </si>
  <si>
    <t>TINYK2627100298</t>
  </si>
  <si>
    <t>NYK-32247778-2847338-4-1</t>
  </si>
  <si>
    <t>NYKF35656463</t>
  </si>
  <si>
    <t>28449520507222</t>
  </si>
  <si>
    <t>TINYK12023783</t>
  </si>
  <si>
    <t>TINYK2627100296</t>
  </si>
  <si>
    <t>NYK-32735847-1337213-1-1</t>
  </si>
  <si>
    <t>NYKF36181438</t>
  </si>
  <si>
    <t>TINAD00000680</t>
  </si>
  <si>
    <t>2410-Pista Green-28</t>
  </si>
  <si>
    <t>28449525840570</t>
  </si>
  <si>
    <t>TINYK2627100418</t>
  </si>
  <si>
    <t>NYK-32707024-5341863-1-1</t>
  </si>
  <si>
    <t>NYKF36150628</t>
  </si>
  <si>
    <t>TINAD00000681</t>
  </si>
  <si>
    <t>2410-Pista Green-30</t>
  </si>
  <si>
    <t>NYK-32055251-5141451-3-1</t>
  </si>
  <si>
    <t>NYKF35441293</t>
  </si>
  <si>
    <t>TINAD00000267</t>
  </si>
  <si>
    <t>2433-Cream-26</t>
  </si>
  <si>
    <t>SF1835859838NYK</t>
  </si>
  <si>
    <t>TINYK12007813</t>
  </si>
  <si>
    <t>TINYK2627100236</t>
  </si>
  <si>
    <t>NYK-32547708-7582242-5-1</t>
  </si>
  <si>
    <t>NYKF35984994</t>
  </si>
  <si>
    <t>28449521464940</t>
  </si>
  <si>
    <t>TINYK12201262</t>
  </si>
  <si>
    <t>TINYK2627100389</t>
  </si>
  <si>
    <t>NYK-32315357-3060538-1-1</t>
  </si>
  <si>
    <t>NYKF35733038</t>
  </si>
  <si>
    <t>TINAD00000270</t>
  </si>
  <si>
    <t>2433-Cream-32</t>
  </si>
  <si>
    <t>237943173256203</t>
  </si>
  <si>
    <t>Yavatmal</t>
  </si>
  <si>
    <t>TINYK2627100316</t>
  </si>
  <si>
    <t>NYK-32018969-3729000-1-1</t>
  </si>
  <si>
    <t>NYKF35401120</t>
  </si>
  <si>
    <t>SF1835871963NYK</t>
  </si>
  <si>
    <t>TINYK2627100219</t>
  </si>
  <si>
    <t>NYK-32315064-2439405-1-1</t>
  </si>
  <si>
    <t>NYKF35732633</t>
  </si>
  <si>
    <t>TINAD00000102</t>
  </si>
  <si>
    <t>2445-Pink-28</t>
  </si>
  <si>
    <t>28449520681581</t>
  </si>
  <si>
    <t>Kota</t>
  </si>
  <si>
    <t>TINYK2627100315</t>
  </si>
  <si>
    <t>NYK-32649288-3346117-1-1</t>
  </si>
  <si>
    <t>NYKF36089795</t>
  </si>
  <si>
    <t>TINAD00000290</t>
  </si>
  <si>
    <t>2451-Yellow-32</t>
  </si>
  <si>
    <t>28449525581802</t>
  </si>
  <si>
    <t>Vizag</t>
  </si>
  <si>
    <t>TINYK2627100390</t>
  </si>
  <si>
    <t>NYK-32660196-2260320-1-1</t>
  </si>
  <si>
    <t>NYKF36100895</t>
  </si>
  <si>
    <t>TINAD00000602</t>
  </si>
  <si>
    <t>2458-Fawn-28</t>
  </si>
  <si>
    <t>NKFP0000001648</t>
  </si>
  <si>
    <t>TINYK2627100401</t>
  </si>
  <si>
    <t>NYK-32149690-5827160-1-1</t>
  </si>
  <si>
    <t>NYKF35547656</t>
  </si>
  <si>
    <t>28449521848750</t>
  </si>
  <si>
    <t>TINYK12040248</t>
  </si>
  <si>
    <t>Angul</t>
  </si>
  <si>
    <t>TINYK2627100275</t>
  </si>
  <si>
    <t>NYK-32144171-4739451-1-1</t>
  </si>
  <si>
    <t>NYKF35541582</t>
  </si>
  <si>
    <t>TINAD00000696</t>
  </si>
  <si>
    <t>2461-Blue-28</t>
  </si>
  <si>
    <t>28449521862363</t>
  </si>
  <si>
    <t>TINYK12065509</t>
  </si>
  <si>
    <t>Jalalabadup</t>
  </si>
  <si>
    <t>TINYK2627100273</t>
  </si>
  <si>
    <t>TINAD00000697</t>
  </si>
  <si>
    <t>2461-Blue-30</t>
  </si>
  <si>
    <t>TINAD00000279</t>
  </si>
  <si>
    <t>2467-Cream-30</t>
  </si>
  <si>
    <t>TINYK12201529</t>
  </si>
  <si>
    <t>NYK-32082377-9828971-1-1</t>
  </si>
  <si>
    <t>NYKF35471654</t>
  </si>
  <si>
    <t>TINAD00000280</t>
  </si>
  <si>
    <t>2467-Cream-32</t>
  </si>
  <si>
    <t>28449521660310</t>
  </si>
  <si>
    <t>Munger</t>
  </si>
  <si>
    <t>TINYK2627100244</t>
  </si>
  <si>
    <t>NYK-32603161-1020831-1-1</t>
  </si>
  <si>
    <t>NYKF36041673</t>
  </si>
  <si>
    <t>28449527096845</t>
  </si>
  <si>
    <t>BANGALORE</t>
  </si>
  <si>
    <t>TINYK2627100394</t>
  </si>
  <si>
    <t>TINAD00000740</t>
  </si>
  <si>
    <t>2468-Maroon-30</t>
  </si>
  <si>
    <t>NYK-32168665-7276554-1-1</t>
  </si>
  <si>
    <t>NYKF35568369</t>
  </si>
  <si>
    <t>BETAE00000328</t>
  </si>
  <si>
    <t>4066-Blue-40</t>
  </si>
  <si>
    <t>Chitrakoot</t>
  </si>
  <si>
    <t>NYK-32668405-3326976-1-1</t>
  </si>
  <si>
    <t>NYKF36109503</t>
  </si>
  <si>
    <t>BETAE00000402</t>
  </si>
  <si>
    <t>4409-Grey-38</t>
  </si>
  <si>
    <t>88282185025</t>
  </si>
  <si>
    <t>TINYK2627100413</t>
  </si>
  <si>
    <t>NYK-32350388-3972620-1-1</t>
  </si>
  <si>
    <t>NYKF35772767</t>
  </si>
  <si>
    <t>BETAE00000238</t>
  </si>
  <si>
    <t>4455-Rasberry-20</t>
  </si>
  <si>
    <t>237943175108484</t>
  </si>
  <si>
    <t>TINYK2627100342</t>
  </si>
  <si>
    <t>NYK-32153685-5409393-1-1</t>
  </si>
  <si>
    <t>NYKF35551888</t>
  </si>
  <si>
    <t>BETAE00000247</t>
  </si>
  <si>
    <t>4455-Rasberry-38</t>
  </si>
  <si>
    <t>237943174947053</t>
  </si>
  <si>
    <t>TINYK12142242</t>
  </si>
  <si>
    <t>Satna</t>
  </si>
  <si>
    <t>TINYK2627100262</t>
  </si>
  <si>
    <t>NYK-32627701-1785642-3-1</t>
  </si>
  <si>
    <t>NYKF36067489</t>
  </si>
  <si>
    <t>BETAE00000212</t>
  </si>
  <si>
    <t>4507-Mustard-38</t>
  </si>
  <si>
    <t>NYK-32168444-6797570-2-1</t>
  </si>
  <si>
    <t>NYKF35568088</t>
  </si>
  <si>
    <t>28449520403401</t>
  </si>
  <si>
    <t>TINYK12050782</t>
  </si>
  <si>
    <t>Chikkamagalur</t>
  </si>
  <si>
    <t>TINYK2627100287</t>
  </si>
  <si>
    <t>NYK-32479200-5788339-1-1</t>
  </si>
  <si>
    <t>NYKF35914506</t>
  </si>
  <si>
    <t>BETAE00000047</t>
  </si>
  <si>
    <t>4594-R.Green-24</t>
  </si>
  <si>
    <t>28449521349554</t>
  </si>
  <si>
    <t>Betty Ethnic</t>
  </si>
  <si>
    <t>TINYK12154520</t>
  </si>
  <si>
    <t>Kashipur</t>
  </si>
  <si>
    <t>TINYK2627100376</t>
  </si>
  <si>
    <t>NYK-32445058-9420637-1-1</t>
  </si>
  <si>
    <t>NYKF35878324</t>
  </si>
  <si>
    <t>BETAE00000033</t>
  </si>
  <si>
    <t>4676-Rust-40</t>
  </si>
  <si>
    <t>BETAE00000186</t>
  </si>
  <si>
    <t>4733-Carrot-40</t>
  </si>
  <si>
    <t>NYK-32309239-1472492-1-1</t>
  </si>
  <si>
    <t>NYKF35725923</t>
  </si>
  <si>
    <t>28449522278653</t>
  </si>
  <si>
    <t>TINYK2627100317</t>
  </si>
  <si>
    <t>NYK-32227801-9343664-1-1</t>
  </si>
  <si>
    <t>NYKF35633900</t>
  </si>
  <si>
    <t>BETAE00000010</t>
  </si>
  <si>
    <t>7863-Black-38</t>
  </si>
  <si>
    <t>59497021776</t>
  </si>
  <si>
    <t>Phulwarisharif</t>
  </si>
  <si>
    <t>TINYK2627100293</t>
  </si>
  <si>
    <t>NYK-32006071-6637145-2-1</t>
  </si>
  <si>
    <t>NYKF35386752</t>
  </si>
  <si>
    <t>BETAE00000105</t>
  </si>
  <si>
    <t>7908-Neon Lemon-40</t>
  </si>
  <si>
    <t>SF1835855465NYK</t>
  </si>
  <si>
    <t>TINYK2627100222</t>
  </si>
  <si>
    <t>NYK-32174799-7615725-2-1</t>
  </si>
  <si>
    <t>NYKF35575248</t>
  </si>
  <si>
    <t>BETAE00000197</t>
  </si>
  <si>
    <t>7928-Rani-30</t>
  </si>
  <si>
    <t>237943173133272</t>
  </si>
  <si>
    <t>TINYK2627100279</t>
  </si>
  <si>
    <t>NYK-32226811-6848074-1-1</t>
  </si>
  <si>
    <t>NYKF35632751</t>
  </si>
  <si>
    <t>BETAE00000116</t>
  </si>
  <si>
    <t>9005-Fawn-40</t>
  </si>
  <si>
    <t>28449520407575</t>
  </si>
  <si>
    <t>TINYK12036834</t>
  </si>
  <si>
    <t>Siliguri</t>
  </si>
  <si>
    <t>TINYK2627100286</t>
  </si>
  <si>
    <t>NYK-32191598-2178095-1-1</t>
  </si>
  <si>
    <t>NYKF35593504</t>
  </si>
  <si>
    <t>BETAE00000120</t>
  </si>
  <si>
    <t>9021-D.Rose-26</t>
  </si>
  <si>
    <t>28449520304395</t>
  </si>
  <si>
    <t>TINYK2627100282</t>
  </si>
  <si>
    <t>NYK-32364328-8302608-1-1</t>
  </si>
  <si>
    <t>NYKF35788782</t>
  </si>
  <si>
    <t>CUTAB00000765</t>
  </si>
  <si>
    <t>Tk-1001-Purple-22</t>
  </si>
  <si>
    <t>237943175108716</t>
  </si>
  <si>
    <t>Dhule</t>
  </si>
  <si>
    <t>TINYK2627100327</t>
  </si>
  <si>
    <t>NYK-31969926-0178192-5-1</t>
  </si>
  <si>
    <t>NYKF35347775</t>
  </si>
  <si>
    <t>CUTAB00000733</t>
  </si>
  <si>
    <t>TK-1002-Purple-24</t>
  </si>
  <si>
    <t>SF1835839658NYK</t>
  </si>
  <si>
    <t>TINYK11905377</t>
  </si>
  <si>
    <t>TINYK2627100205</t>
  </si>
  <si>
    <t>NYK-32076920-8406556-1-1</t>
  </si>
  <si>
    <t>NYKF35466028</t>
  </si>
  <si>
    <t>CUTAB00000734</t>
  </si>
  <si>
    <t>TK-1002-Purple-26</t>
  </si>
  <si>
    <t>NYK-31959067-0449307-1-1</t>
  </si>
  <si>
    <t>NYKF35336562</t>
  </si>
  <si>
    <t>CUTAB00000736</t>
  </si>
  <si>
    <t>TK-1002-Purple-30</t>
  </si>
  <si>
    <t>SF1835838610NYK</t>
  </si>
  <si>
    <t>TINYK11924265</t>
  </si>
  <si>
    <t>TINYK2627100203</t>
  </si>
  <si>
    <t>NYK-32432358-5054631-2-1</t>
  </si>
  <si>
    <t>NYKF35864803</t>
  </si>
  <si>
    <t>28449525008255</t>
  </si>
  <si>
    <t>TINYK12200658</t>
  </si>
  <si>
    <t>TINYK2627100369</t>
  </si>
  <si>
    <t>NYK-32388099-8099749-1-1</t>
  </si>
  <si>
    <t>NYKF35815623</t>
  </si>
  <si>
    <t>28449520985064</t>
  </si>
  <si>
    <t>TINYK2627100359</t>
  </si>
  <si>
    <t>NYK-32733783-7784748-1-1</t>
  </si>
  <si>
    <t>NYKF36179205</t>
  </si>
  <si>
    <t>CUTAB00000748</t>
  </si>
  <si>
    <t>TK-1003-Purple-38</t>
  </si>
  <si>
    <t>28449527398280</t>
  </si>
  <si>
    <t>TINYK2627100423</t>
  </si>
  <si>
    <t>NYK-32146701-0587693-3-1</t>
  </si>
  <si>
    <t>NYKF35544479</t>
  </si>
  <si>
    <t>CUTAB00001003</t>
  </si>
  <si>
    <t>TK-1004-Blue-22</t>
  </si>
  <si>
    <t>237943173100221</t>
  </si>
  <si>
    <t>TINYK11977585</t>
  </si>
  <si>
    <t>TINYK2627100261</t>
  </si>
  <si>
    <t>CUTAB00000995</t>
  </si>
  <si>
    <t>TK-1004-Red-20</t>
  </si>
  <si>
    <t>NYK-32356081-0529117-2-1</t>
  </si>
  <si>
    <t>NYKF35779611</t>
  </si>
  <si>
    <t>CUTAB00001000</t>
  </si>
  <si>
    <t>TK-1004-Red-30</t>
  </si>
  <si>
    <t>28449520863651</t>
  </si>
  <si>
    <t>TINYK12107621</t>
  </si>
  <si>
    <t>Neemrana</t>
  </si>
  <si>
    <t>TINYK2627100352</t>
  </si>
  <si>
    <t>NYK-31994672-1879540-2-1</t>
  </si>
  <si>
    <t>NYKF35374159</t>
  </si>
  <si>
    <t>28449519778474</t>
  </si>
  <si>
    <t>Karaikal</t>
  </si>
  <si>
    <t>TINYK2627100224</t>
  </si>
  <si>
    <t>NYK-32806875-2141744-1-1</t>
  </si>
  <si>
    <t>NYKF36256597</t>
  </si>
  <si>
    <t>28449526000203</t>
  </si>
  <si>
    <t>TINYK2627100437</t>
  </si>
  <si>
    <t>NFCARTO10</t>
  </si>
  <si>
    <t>NYK-32599366-0349062-1-1</t>
  </si>
  <si>
    <t>NYKF36037564</t>
  </si>
  <si>
    <t>28449525580111</t>
  </si>
  <si>
    <t>TINYK2627100404</t>
  </si>
  <si>
    <t>NYK-32515905-3498940-1-1</t>
  </si>
  <si>
    <t>NYKF35953164</t>
  </si>
  <si>
    <t>CUTAB00001124</t>
  </si>
  <si>
    <t>TK-1005-Orange-30</t>
  </si>
  <si>
    <t>28449521425865</t>
  </si>
  <si>
    <t>TINYK2627100386</t>
  </si>
  <si>
    <t>NFDIWALI1O</t>
  </si>
  <si>
    <t>NYK-32368002-4692261-1-1</t>
  </si>
  <si>
    <t>NYKF35792846</t>
  </si>
  <si>
    <t>28449520865143</t>
  </si>
  <si>
    <t>TINYK12120472</t>
  </si>
  <si>
    <t>Virudhunagar</t>
  </si>
  <si>
    <t>TINYK2627100345</t>
  </si>
  <si>
    <t>NYK-32184393-7488202-2-1</t>
  </si>
  <si>
    <t>NYKF35585840</t>
  </si>
  <si>
    <t>28449520303334</t>
  </si>
  <si>
    <t>Moradabad</t>
  </si>
  <si>
    <t>TINYK2627100283</t>
  </si>
  <si>
    <t>NYK-32069514-4571698-1-1</t>
  </si>
  <si>
    <t>NYKF35457493</t>
  </si>
  <si>
    <t>SF2167301184NYK</t>
  </si>
  <si>
    <t>TINYK2627100243</t>
  </si>
  <si>
    <t>NYK-32434532-7727847-9-1</t>
  </si>
  <si>
    <t>NYKF35867194</t>
  </si>
  <si>
    <t>28449521151292</t>
  </si>
  <si>
    <t>Bilimora</t>
  </si>
  <si>
    <t>TINYK2627100367</t>
  </si>
  <si>
    <t>NYK-32440765-0552166-1-1</t>
  </si>
  <si>
    <t>NYKF35873696</t>
  </si>
  <si>
    <t>28449521149844</t>
  </si>
  <si>
    <t>TINYK12150222</t>
  </si>
  <si>
    <t>Tohana</t>
  </si>
  <si>
    <t>TINYK2627100370</t>
  </si>
  <si>
    <t>NYK-32270140-1371945-1-1</t>
  </si>
  <si>
    <t>NYKF35681761</t>
  </si>
  <si>
    <t>28449520588234</t>
  </si>
  <si>
    <t>TINYK12049138</t>
  </si>
  <si>
    <t>Mandi</t>
  </si>
  <si>
    <t>Himachal Pradesh</t>
  </si>
  <si>
    <t>TINYK2627100304</t>
  </si>
  <si>
    <t>NYK-32551097-2496512-2-1</t>
  </si>
  <si>
    <t>NYKF35988154</t>
  </si>
  <si>
    <t>28449525580203</t>
  </si>
  <si>
    <t>Tirupati</t>
  </si>
  <si>
    <t>TINYK2627100396</t>
  </si>
  <si>
    <t>NYK-32537429-3884150-1-1</t>
  </si>
  <si>
    <t>NYKF35974533</t>
  </si>
  <si>
    <t>NYK-32803668-3872608-3-1</t>
  </si>
  <si>
    <t>NYKF36253089</t>
  </si>
  <si>
    <t>28449527560050</t>
  </si>
  <si>
    <t>TINYK2627100435</t>
  </si>
  <si>
    <t>NYK-32530489-2641343-1-1</t>
  </si>
  <si>
    <t>NYKF35967396</t>
  </si>
  <si>
    <t>28449521425703</t>
  </si>
  <si>
    <t>Shimoga</t>
  </si>
  <si>
    <t>TINYK2627100384</t>
  </si>
  <si>
    <t>NYK-32325570-8592173-1-1</t>
  </si>
  <si>
    <t>NYKF35744228</t>
  </si>
  <si>
    <t>28449520690994</t>
  </si>
  <si>
    <t>TINYK2627100321</t>
  </si>
  <si>
    <t>NYK-32757489-9490689-2-1</t>
  </si>
  <si>
    <t>NYKF36204611</t>
  </si>
  <si>
    <t>CUTAB00000994</t>
  </si>
  <si>
    <t>TK-1006-Cream-38</t>
  </si>
  <si>
    <t>237943173662726</t>
  </si>
  <si>
    <t>TINYK2627100431</t>
  </si>
  <si>
    <t>NYK-32205637-1481602-2-1</t>
  </si>
  <si>
    <t>NYKF35608958</t>
  </si>
  <si>
    <t>28449522045586</t>
  </si>
  <si>
    <t>TINYK2627100292</t>
  </si>
  <si>
    <t>NYK-32390930-2154052-1-1</t>
  </si>
  <si>
    <t>NYKF35818921</t>
  </si>
  <si>
    <t>CUTAB00001158</t>
  </si>
  <si>
    <t>TK-1007-Green-36</t>
  </si>
  <si>
    <t>28449522528041</t>
  </si>
  <si>
    <t>TINYK2627100358</t>
  </si>
  <si>
    <t>NYK-32358464-7475621-1-1</t>
  </si>
  <si>
    <t>NYKF35782386</t>
  </si>
  <si>
    <t>CUTAB00001159</t>
  </si>
  <si>
    <t>TK-1007-Green-38</t>
  </si>
  <si>
    <t>28449522418664</t>
  </si>
  <si>
    <t>TINYK12131525</t>
  </si>
  <si>
    <t>Chhabra</t>
  </si>
  <si>
    <t>TINYK2627100341</t>
  </si>
  <si>
    <t>NYK-32611697-6511652-1-1</t>
  </si>
  <si>
    <t>NYKF36050837</t>
  </si>
  <si>
    <t>CUTAB00001160</t>
  </si>
  <si>
    <t>TK-1007-Purple-24</t>
  </si>
  <si>
    <t xml:space="preserve">Bad Return history
</t>
  </si>
  <si>
    <t>NYK-31996528-5584003-1-1</t>
  </si>
  <si>
    <t>NYKF35376117</t>
  </si>
  <si>
    <t>CUTAB00001167</t>
  </si>
  <si>
    <t>TK-1007-Purple-38</t>
  </si>
  <si>
    <t>28449519779664</t>
  </si>
  <si>
    <t>TINYK2627100215</t>
  </si>
  <si>
    <t>NYK-32353741-0279376-5-1</t>
  </si>
  <si>
    <t>NYKF35776826</t>
  </si>
  <si>
    <t>CUTAB00001169</t>
  </si>
  <si>
    <t>TK-1008-Purple-26</t>
  </si>
  <si>
    <t>28449520862682</t>
  </si>
  <si>
    <t>TINYK2627100329</t>
  </si>
  <si>
    <t>CUTAB00001172</t>
  </si>
  <si>
    <t>TK-1008-Purple-32</t>
  </si>
  <si>
    <t>NYK-32362722-5554338-2-1</t>
  </si>
  <si>
    <t>NYKF35787026</t>
  </si>
  <si>
    <t>CUTAB00001173</t>
  </si>
  <si>
    <t>TK-1008-Purple-34</t>
  </si>
  <si>
    <t>28449520864583</t>
  </si>
  <si>
    <t>TINYK2627100338</t>
  </si>
  <si>
    <t>Reason</t>
  </si>
  <si>
    <t>OrderNo</t>
  </si>
  <si>
    <t>Product didn't fit- Too Small</t>
  </si>
  <si>
    <t>Product didn't fit</t>
  </si>
  <si>
    <t>Product didn't fit- Too Large</t>
  </si>
  <si>
    <t>Didn't like the quality of product</t>
  </si>
  <si>
    <t>Didn’t like the quality of product</t>
  </si>
  <si>
    <t>Don't need it anymore</t>
  </si>
  <si>
    <t>Received wrong size</t>
  </si>
  <si>
    <t>Gross Amount (Before Tax)</t>
  </si>
  <si>
    <t>Total GST Amount</t>
  </si>
  <si>
    <t>Net Sale (After Tax)</t>
  </si>
  <si>
    <t>KPI</t>
  </si>
  <si>
    <t>Total Orders</t>
  </si>
  <si>
    <t>Total Returned Orders</t>
  </si>
  <si>
    <t>Return %</t>
  </si>
  <si>
    <t>Total Quantity</t>
  </si>
  <si>
    <t>Total Gross Sales</t>
  </si>
  <si>
    <t>Total GST</t>
  </si>
  <si>
    <t>Total Net Sales</t>
  </si>
  <si>
    <t>Value</t>
  </si>
  <si>
    <t>Total RTO Delivered Orders</t>
  </si>
  <si>
    <t>Total Cancelled Orders</t>
  </si>
  <si>
    <t>Order_id</t>
  </si>
  <si>
    <t>Row Labels</t>
  </si>
  <si>
    <t>Grand Total</t>
  </si>
  <si>
    <t>Sum of Net Sale (After Tax)</t>
  </si>
  <si>
    <t>Return Reason</t>
  </si>
  <si>
    <t>Count of Return Reason</t>
  </si>
  <si>
    <t>Dislike Product Quality</t>
  </si>
  <si>
    <t>Size Issue</t>
  </si>
  <si>
    <t>Completed</t>
  </si>
  <si>
    <t>Count of Status</t>
  </si>
  <si>
    <t>Total Completed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</si>
</sst>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-0.499984740745262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5" tint="-0.249977111117893"/>
        <bgColor theme="9"/>
      </patternFill>
    </fill>
    <fill>
      <patternFill patternType="solid">
        <fgColor rgb="FFC00000"/>
        <bgColor theme="9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NumberFormat="1"/>
    <xf numFmtId="22" fontId="0" fillId="0" borderId="0" xfId="0" applyNumberFormat="1"/>
    <xf numFmtId="0" fontId="2" fillId="4" borderId="1" xfId="0" applyFont="1" applyFill="1" applyBorder="1"/>
    <xf numFmtId="0" fontId="0" fillId="5" borderId="1" xfId="0" applyNumberFormat="1" applyFont="1" applyFill="1" applyBorder="1"/>
    <xf numFmtId="0" fontId="0" fillId="5" borderId="1" xfId="0" applyFont="1" applyFill="1" applyBorder="1"/>
    <xf numFmtId="0" fontId="0" fillId="5" borderId="1" xfId="0" applyFill="1" applyBorder="1"/>
    <xf numFmtId="0" fontId="0" fillId="6" borderId="1" xfId="0" applyNumberFormat="1" applyFont="1" applyFill="1" applyBorder="1"/>
    <xf numFmtId="0" fontId="0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2" borderId="1" xfId="0" applyFont="1" applyFill="1" applyBorder="1"/>
    <xf numFmtId="0" fontId="0" fillId="3" borderId="1" xfId="0" applyNumberFormat="1" applyFont="1" applyFill="1" applyBorder="1"/>
    <xf numFmtId="0" fontId="0" fillId="3" borderId="1" xfId="0" applyFont="1" applyFill="1" applyBorder="1"/>
    <xf numFmtId="0" fontId="0" fillId="0" borderId="1" xfId="0" applyNumberFormat="1" applyFont="1" applyBorder="1"/>
    <xf numFmtId="0" fontId="0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  <xf numFmtId="0" fontId="3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NumberFormat="1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1" fontId="5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58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</dxf>
    <dxf>
      <numFmt numFmtId="0" formatCode="General"/>
    </dxf>
    <dxf>
      <numFmt numFmtId="171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B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[Nyka_sheet.xlsx]Sales_Sept_25!PivotTable1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Sales_Sept_25!$C$250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458-4A07-A457-CFCD20B4FE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458-4A07-A457-CFCD20B4FE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458-4A07-A457-CFCD20B4FE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458-4A07-A457-CFCD20B4FE17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458-4A07-A457-CFCD20B4FE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Sales_Sept_25!$B$251:$B$256</c:f>
              <c:strCache>
                <c:ptCount val="5"/>
                <c:pt idx="0">
                  <c:v>Delivered</c:v>
                </c:pt>
                <c:pt idx="1">
                  <c:v>Returned</c:v>
                </c:pt>
                <c:pt idx="2">
                  <c:v>RTO Delivered</c:v>
                </c:pt>
                <c:pt idx="3">
                  <c:v>Cancelled</c:v>
                </c:pt>
                <c:pt idx="4">
                  <c:v>Shipped</c:v>
                </c:pt>
              </c:strCache>
            </c:strRef>
          </c:cat>
          <c:val>
            <c:numRef>
              <c:f>Sales_Sept_25!$C$251:$C$256</c:f>
              <c:numCache>
                <c:formatCode>General</c:formatCode>
                <c:ptCount val="5"/>
                <c:pt idx="0">
                  <c:v>408518.17100000003</c:v>
                </c:pt>
                <c:pt idx="1">
                  <c:v>282126.16100000008</c:v>
                </c:pt>
                <c:pt idx="2">
                  <c:v>77916.108000000007</c:v>
                </c:pt>
                <c:pt idx="3">
                  <c:v>46759.280999999995</c:v>
                </c:pt>
                <c:pt idx="4">
                  <c:v>9775.344000000001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58-4A07-A457-CFCD20B4FE1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[Nyka_sheet.xlsx]Sales_Sept_25!PivotTable3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Sales_Sept_25!$K$250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Sales_Sept_25!$J$251:$J$261</c:f>
              <c:strCache>
                <c:ptCount val="10"/>
                <c:pt idx="0">
                  <c:v>1311-Pink-36</c:v>
                </c:pt>
                <c:pt idx="1">
                  <c:v>1284-Blue-34</c:v>
                </c:pt>
                <c:pt idx="2">
                  <c:v>1290-Purple-38</c:v>
                </c:pt>
                <c:pt idx="3">
                  <c:v>1308-Cream-36</c:v>
                </c:pt>
                <c:pt idx="4">
                  <c:v>1301-Black-34</c:v>
                </c:pt>
                <c:pt idx="5">
                  <c:v>1311-Pink-34</c:v>
                </c:pt>
                <c:pt idx="6">
                  <c:v>TK-1003-Purple-28</c:v>
                </c:pt>
                <c:pt idx="7">
                  <c:v>4585-Orchid-30</c:v>
                </c:pt>
                <c:pt idx="8">
                  <c:v>TK-1003-Purple-34</c:v>
                </c:pt>
                <c:pt idx="9">
                  <c:v>4585-Orchid-28</c:v>
                </c:pt>
              </c:strCache>
            </c:strRef>
          </c:cat>
          <c:val>
            <c:numRef>
              <c:f>Sales_Sept_25!$K$251:$K$261</c:f>
              <c:numCache>
                <c:formatCode>_ [$₹-4009]\ * #,##0.00_ ;_ [$₹-4009]\ * \-#,##0.00_ ;_ [$₹-4009]\ * "-"??_ ;_ @_ </c:formatCode>
                <c:ptCount val="10"/>
                <c:pt idx="0">
                  <c:v>14379.023999999999</c:v>
                </c:pt>
                <c:pt idx="1">
                  <c:v>12639.225</c:v>
                </c:pt>
                <c:pt idx="2">
                  <c:v>12284.02</c:v>
                </c:pt>
                <c:pt idx="3">
                  <c:v>11677.725</c:v>
                </c:pt>
                <c:pt idx="4">
                  <c:v>11677.725</c:v>
                </c:pt>
                <c:pt idx="5">
                  <c:v>10748.516</c:v>
                </c:pt>
                <c:pt idx="6">
                  <c:v>10554.766</c:v>
                </c:pt>
                <c:pt idx="7">
                  <c:v>10372.882</c:v>
                </c:pt>
                <c:pt idx="8">
                  <c:v>9881.25</c:v>
                </c:pt>
                <c:pt idx="9">
                  <c:v>8303.5720000000001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3-4662-8DD2-3102DD1BDD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69134847"/>
        <c:axId val="469138207"/>
      </c:barChart>
      <c:catAx>
        <c:axId val="4691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38207"/>
        <c:crosses val="autoZero"/>
        <c:auto val="1"/>
        <c:lblAlgn val="ctr"/>
        <c:lblOffset val="100"/>
        <c:noMultiLvlLbl val="0"/>
      </c:catAx>
      <c:valAx>
        <c:axId val="46913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0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/>
              <a:t>Return</a:t>
            </a:r>
            <a:r>
              <a:rPr lang="en-IN" b="1" baseline="0"/>
              <a:t> Reason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2C-439A-B45F-FF02AA735D6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2C-439A-B45F-FF02AA735D6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2C-439A-B45F-FF02AA735D67}"/>
              </c:ext>
            </c:extLst>
          </c:dPt>
          <c:dLbls>
            <c:dLbl>
              <c:idx val="0"/>
              <c:layout>
                <c:manualLayout>
                  <c:x val="-2.777777777777803E-3"/>
                  <c:y val="5.578885972586674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2C-439A-B45F-FF02AA735D67}"/>
                </c:ext>
              </c:extLst>
            </c:dLbl>
            <c:dLbl>
              <c:idx val="1"/>
              <c:layout>
                <c:manualLayout>
                  <c:x val="2.7777777777777779E-3"/>
                  <c:y val="-3.68037328667252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2C-439A-B45F-FF02AA735D67}"/>
                </c:ext>
              </c:extLst>
            </c:dLbl>
            <c:dLbl>
              <c:idx val="2"/>
              <c:layout>
                <c:manualLayout>
                  <c:x val="4.7654194083830859E-3"/>
                  <c:y val="4.218810249433916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2C-439A-B45F-FF02AA735D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'Sept Insights'!$XEU$1048552:$XEU$1048554</c:f>
              <c:strCache>
                <c:ptCount val="3"/>
                <c:pt idx="0">
                  <c:v>Dislike Product Quality</c:v>
                </c:pt>
                <c:pt idx="1">
                  <c:v>Size Issue</c:v>
                </c:pt>
                <c:pt idx="2">
                  <c:v>Don't need it anymore</c:v>
                </c:pt>
              </c:strCache>
            </c:strRef>
          </c:cat>
          <c:val>
            <c:numRef>
              <c:f>'Sept Insights'!$XEV$1048552:$XEV$1048554</c:f>
              <c:numCache>
                <c:formatCode>General</c:formatCode>
                <c:ptCount val="3"/>
                <c:pt idx="0">
                  <c:v>22</c:v>
                </c:pt>
                <c:pt idx="1">
                  <c:v>56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2C-439A-B45F-FF02AA735D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97515967"/>
        <c:axId val="1292150879"/>
      </c:barChart>
      <c:catAx>
        <c:axId val="139751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50879"/>
        <c:crosses val="autoZero"/>
        <c:auto val="1"/>
        <c:lblAlgn val="ctr"/>
        <c:lblOffset val="100"/>
        <c:noMultiLvlLbl val="0"/>
      </c:catAx>
      <c:valAx>
        <c:axId val="12921508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751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455122</xdr:colOff>
      <xdr:row>0</xdr:row>
      <xdr:rowOff>147551</xdr:rowOff>
    </xdr:from>
    <xdr:to>
      <xdr:col>12</xdr:col>
      <xdr:colOff>607522</xdr:colOff>
      <xdr:row>19</xdr:row>
      <xdr:rowOff>2771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AFA73-293A-4DB2-BC08-780C15F0F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27709</xdr:rowOff>
    </xdr:from>
    <xdr:to>
      <xdr:col>19</xdr:col>
      <xdr:colOff>401783</xdr:colOff>
      <xdr:row>47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AE5E6-8CFC-4071-A803-8F6FC9218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272143</xdr:colOff>
      <xdr:row>0</xdr:row>
      <xdr:rowOff>119742</xdr:rowOff>
    </xdr:from>
    <xdr:to>
      <xdr:col>21</xdr:col>
      <xdr:colOff>446315</xdr:colOff>
      <xdr:row>18</xdr:row>
      <xdr:rowOff>141514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A2FDBA-60E0-48ED-B2EC-703BC96D5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Sufiyan Mujawar" refreshedDate="45976.78601585648" createdVersion="8" refreshedVersion="8" minRefreshableVersion="3" recordCount="233" xr:uid="{29ADAEFF-1F1F-41CD-B55E-B14CB1B59D16}">
  <cacheSource type="worksheet">
    <worksheetSource name="MarketPlace_Order_Report"/>
  </cacheSource>
  <cacheFields count="35">
    <cacheField name="MagentoOrderNo" numFmtId="0">
      <sharedItems/>
    </cacheField>
    <cacheField name="Design No." numFmtId="0">
      <sharedItems count="201">
        <s v="1143-Cream-32"/>
        <s v="1143-Cream-36"/>
        <s v="1180-Blue-28"/>
        <s v="1209-Orange-20"/>
        <s v="1209-Orange-22"/>
        <s v="1209-Orange-24"/>
        <s v="1209-Orange-28"/>
        <s v="1212-Multi-24"/>
        <s v="1212-Multi-26"/>
        <s v="1212-Multi-28"/>
        <s v="1221-Rani-30"/>
        <s v="1221-Rani-34"/>
        <s v="1222-SeaGreen-24"/>
        <s v="1233-Grey-28"/>
        <s v="1235-Blue-28"/>
        <s v="1238-Lilac-28"/>
        <s v="1238-Lilac-38"/>
        <s v="1245-Pink-36"/>
        <s v="1252-Green-32"/>
        <s v="1253-P.Blue-34"/>
        <s v="1254-Rani-32"/>
        <s v="1255-Peach-26"/>
        <s v="1255-Peach-38"/>
        <s v="1258-Multi-24"/>
        <s v="1258-Multi-26"/>
        <s v="1258-Multi-30"/>
        <s v="1258-Multi-32"/>
        <s v="1263-Lilac-28"/>
        <s v="1265-Rani-38"/>
        <s v="1266-Rani-28"/>
        <s v="1266-Rani-36"/>
        <s v="1266-Rani-38"/>
        <s v="1267-Rani-24"/>
        <s v="1275-Lavender-28"/>
        <s v="1275-Lavender-36"/>
        <s v="1275-Lavender-38"/>
        <s v="1276-L.Blue-38"/>
        <s v="1277-Rose-26"/>
        <s v="1277-Wine-20"/>
        <s v="1278-Multicolor-26"/>
        <s v="1281-Orchid-28"/>
        <s v="1281-Pink-24"/>
        <s v="1283-Blue-20"/>
        <s v="1283-Blue-22"/>
        <s v="1284-Blue-28"/>
        <s v="1284-Blue-30"/>
        <s v="1284-Blue-32"/>
        <s v="1284-Blue-34"/>
        <s v="1284-Blue-38"/>
        <s v="1288-Rani-34"/>
        <s v="1290-Purple-30"/>
        <s v="1290-Purple-32"/>
        <s v="1290-Purple-36"/>
        <s v="1290-Purple-38"/>
        <s v="1290-Red-24"/>
        <s v="1290-Red-28"/>
        <s v="1290-Red-36"/>
        <s v="1290-Red-38"/>
        <s v="1291-Yellow-28"/>
        <s v="1291-Yellow-30"/>
        <s v="1292-Rani-24"/>
        <s v="1293-Orange-30"/>
        <s v="1293-Orange-34"/>
        <s v="1293-Orange-36"/>
        <s v="1295-Blue-32"/>
        <s v="1295-Maroon-20"/>
        <s v="1295-Maroon-24"/>
        <s v="1295-Maroon-28"/>
        <s v="1295-Maroon-32"/>
        <s v="1295-Maroon-34"/>
        <s v="1296-Lavender-30"/>
        <s v="1296-Lavender-36"/>
        <s v="1296-Lavender-38"/>
        <s v="1298-Magenta-32"/>
        <s v="1298-Magenta-38"/>
        <s v="1300-Green-28"/>
        <s v="1300-Green-30"/>
        <s v="1300-Green-36"/>
        <s v="1300-Green-38"/>
        <s v="1301-Black-24"/>
        <s v="1301-Black-26"/>
        <s v="1301-Black-34"/>
        <s v="1301-Black-36"/>
        <s v="1301-Black-38"/>
        <s v="1305-Sky Blue-26"/>
        <s v="1305-Sky Blue-28"/>
        <s v="1305-Sky Blue-34"/>
        <s v="1305-Sky Blue-36"/>
        <s v="1306-Sea Green-32"/>
        <s v="1306-Sea Green-36"/>
        <s v="1307-Firozi-38"/>
        <s v="1308-Cream-34"/>
        <s v="1308-Cream-36"/>
        <s v="1308-Cream-38"/>
        <s v="1311-Pink-24"/>
        <s v="1311-Pink-26"/>
        <s v="1311-Pink-30"/>
        <s v="1311-Pink-34"/>
        <s v="1311-Pink-36"/>
        <s v="1311-Pink-38"/>
        <s v="1313-Yellow-34"/>
        <s v="1313-Yellow-36"/>
        <s v="1317-White-16"/>
        <s v="1317-White-26"/>
        <s v="1318-Yellow-30"/>
        <s v="1318-Yellow-38"/>
        <s v="1319-Grey-24"/>
        <s v="1319-Grey-36"/>
        <s v="1320-Yellow-24"/>
        <s v="1321-Wine-38"/>
        <s v="1323-Cream-28"/>
        <s v="1323-Cream-38"/>
        <s v="1326-Pink-26"/>
        <s v="1326-Pink-28"/>
        <s v="1326-Pink-30"/>
        <s v="1326-Pink-38"/>
        <s v="1327-Pista Green-34"/>
        <s v="2321-Fawn-34"/>
        <s v="2328-Orange-32"/>
        <s v="2360-SkyBlue-22"/>
        <s v="2362-White-30"/>
        <s v="2362-White-32"/>
        <s v="2362-White-38"/>
        <s v="2366-M.Blue-30"/>
        <s v="2366-M.Blue-32"/>
        <s v="2366-Peach-22"/>
        <s v="2366-Peach-26"/>
        <s v="2366-Peach-28"/>
        <s v="2366-Peach-32"/>
        <s v="2366-Peach-34"/>
        <s v="2366-Peach-36"/>
        <s v="2367-Blue-36"/>
        <s v="2377-NeonYellow-20"/>
        <s v="2377-NeonYellow-32"/>
        <s v="2377-NeonYellow-34"/>
        <s v="2380-Mustard-32"/>
        <s v="2394-Green-30"/>
        <s v="2394-Green-32"/>
        <s v="2405-Lavender-30"/>
        <s v="2407-SkyBlue-32"/>
        <s v="2408-Pink-20"/>
        <s v="2408-Pink-28"/>
        <s v="2408-Pink-30"/>
        <s v="2408-Pink-32"/>
        <s v="2408-Pink-34"/>
        <s v="2408-Pink-36"/>
        <s v="2410-Fuchsia-24"/>
        <s v="2410-Fuchsia-26"/>
        <s v="2410-Fuchsia-30"/>
        <s v="2410-Fuchsia-38"/>
        <s v="2414-Lavender-36"/>
        <s v="2425-Pink-20"/>
        <s v="2433-Cream-20"/>
        <s v="2433-Cream-22"/>
        <s v="2433-Cream-30"/>
        <s v="2433-Cream-34"/>
        <s v="2433-Cream-36"/>
        <s v="2441-N.Green-36"/>
        <s v="2443-Mustard-28"/>
        <s v="2445-Pink-26"/>
        <s v="2467-Cream-20"/>
        <s v="2467-Cream-22"/>
        <s v="2467-Cream-34"/>
        <s v="2467-Cream-36"/>
        <s v="2470-Green-28"/>
        <s v="4278-Biscuit-22"/>
        <s v="4288-Lilac-28"/>
        <s v="4306-Blue-26"/>
        <s v="4485-Wine-34"/>
        <s v="4485-Wine-36"/>
        <s v="4507-Mustard-26"/>
        <s v="4507-Rani-32"/>
        <s v="4538-D.Rose-40"/>
        <s v="4585-Orchid-28"/>
        <s v="4585-Orchid-30"/>
        <s v="4606-Mustard-40"/>
        <s v="4676-Rust-26"/>
        <s v="4718-Orchid-32"/>
        <s v="4718-Orchid-40"/>
        <s v="7928-Rani-32"/>
        <s v="Tk-1001-Purple-30"/>
        <s v="TK-1002-Purple-28"/>
        <s v="TK-1002-Purple-32"/>
        <s v="TK-1002-Purple-34"/>
        <s v="TK-1003-Purple-24"/>
        <s v="TK-1003-Purple-28"/>
        <s v="TK-1003-Purple-30"/>
        <s v="TK-1003-Purple-32"/>
        <s v="TK-1003-Purple-34"/>
        <s v="TK-1003-Purple-36"/>
        <s v="TK-1004-Red-28"/>
        <s v="TK-1005-Green-30"/>
        <s v="TK-1005-Green-38"/>
        <s v="TK-1005-Orange-28"/>
        <s v="TK-1005-Orange-34"/>
        <s v="TK-1005-Orange-38"/>
        <s v="TK-1006-Cream-26"/>
        <s v="TK-1006-Cream-30"/>
        <s v="TK-1006-Cream-32"/>
        <s v="TK-1006-Cream-34"/>
        <s v="TK-1006-Cream-36"/>
      </sharedItems>
    </cacheField>
    <cacheField name="Status" numFmtId="0">
      <sharedItems count="5">
        <s v="Delivered"/>
        <s v="Returned"/>
        <s v="RTO Delivered"/>
        <s v="Cancelled"/>
        <s v="Shipped"/>
      </sharedItems>
    </cacheField>
    <cacheField name="OrderQty" numFmtId="0">
      <sharedItems containsSemiMixedTypes="0" containsString="0" containsNumber="1" containsInteger="1" minValue="1" maxValue="2"/>
    </cacheField>
    <cacheField name="ShippedQty" numFmtId="0">
      <sharedItems containsSemiMixedTypes="0" containsString="0" containsNumber="1" containsInteger="1" minValue="0" maxValue="2"/>
    </cacheField>
    <cacheField name="Mrp" numFmtId="0">
      <sharedItems containsSemiMixedTypes="0" containsString="0" containsNumber="1" containsInteger="1" minValue="1750" maxValue="6950"/>
    </cacheField>
    <cacheField name="UnitPrice" numFmtId="0">
      <sharedItems containsSemiMixedTypes="0" containsString="0" containsNumber="1" containsInteger="1" minValue="1000" maxValue="5908"/>
    </cacheField>
    <cacheField name="LineItemTotal" numFmtId="0">
      <sharedItems containsSemiMixedTypes="0" containsString="0" containsNumber="1" minValue="1000" maxValue="5957"/>
    </cacheField>
    <cacheField name="ShippingCharge" numFmtId="0">
      <sharedItems containsSemiMixedTypes="0" containsString="0" containsNumber="1" minValue="0" maxValue="99"/>
    </cacheField>
    <cacheField name="Mode" numFmtId="0">
      <sharedItems/>
    </cacheField>
    <cacheField name="OrderDate" numFmtId="22">
      <sharedItems containsSemiMixedTypes="0" containsNonDate="0" containsDate="1" containsString="0" minDate="2025-09-01T01:44:14" maxDate="2025-09-30T21:42:42"/>
    </cacheField>
    <cacheField name="ShippedDate" numFmtId="22">
      <sharedItems containsNonDate="0" containsDate="1" containsString="0" containsBlank="1" minDate="2025-09-01T16:40:42" maxDate="2025-10-01T18:48:02"/>
    </cacheField>
    <cacheField name="DeliveredDate" numFmtId="22">
      <sharedItems containsNonDate="0" containsDate="1" containsString="0" containsBlank="1" minDate="2025-09-03T15:18:00" maxDate="2025-10-11T13:39:48"/>
    </cacheField>
    <cacheField name="ReasonForCancellation" numFmtId="0">
      <sharedItems/>
    </cacheField>
    <cacheField name="Brand" numFmtId="0">
      <sharedItems/>
    </cacheField>
    <cacheField name="CancelRemark" numFmtId="0">
      <sharedItems/>
    </cacheField>
    <cacheField name="Return Type" numFmtId="0">
      <sharedItems/>
    </cacheField>
    <cacheField name="upddate" numFmtId="22">
      <sharedItems containsSemiMixedTypes="0" containsNonDate="0" containsDate="1" containsString="0" minDate="2025-09-06T12:36:05" maxDate="2025-10-30T18:46:07"/>
    </cacheField>
    <cacheField name="city_x000a_" numFmtId="0">
      <sharedItems/>
    </cacheField>
    <cacheField name="State" numFmtId="0">
      <sharedItems/>
    </cacheField>
    <cacheField name="Pincode" numFmtId="0">
      <sharedItems containsSemiMixedTypes="0" containsString="0" containsNumber="1" containsInteger="1" minValue="110015" maxValue="854303"/>
    </cacheField>
    <cacheField name="Country" numFmtId="0">
      <sharedItems/>
    </cacheField>
    <cacheField name="SellingPrice" numFmtId="0">
      <sharedItems containsSemiMixedTypes="0" containsString="0" containsNumber="1" containsInteger="1" minValue="1000" maxValue="5908"/>
    </cacheField>
    <cacheField name="TaxPercent" numFmtId="0">
      <sharedItems containsSemiMixedTypes="0" containsString="0" containsNumber="1" containsInteger="1" minValue="5" maxValue="18"/>
    </cacheField>
    <cacheField name="CGSTTaxPercent" numFmtId="0">
      <sharedItems containsSemiMixedTypes="0" containsString="0" containsNumber="1" minValue="0" maxValue="9"/>
    </cacheField>
    <cacheField name="SGSTTaxPercent" numFmtId="0">
      <sharedItems containsSemiMixedTypes="0" containsString="0" containsNumber="1" minValue="0" maxValue="9"/>
    </cacheField>
    <cacheField name="IGSTTaxPercent" numFmtId="0">
      <sharedItems containsSemiMixedTypes="0" containsString="0" containsNumber="1" containsInteger="1" minValue="0" maxValue="18"/>
    </cacheField>
    <cacheField name="TaxAmount" numFmtId="0">
      <sharedItems containsSemiMixedTypes="0" containsString="0" containsNumber="1" minValue="47.619" maxValue="823.72900000000004"/>
    </cacheField>
    <cacheField name="CGSTAmount" numFmtId="0">
      <sharedItems containsSemiMixedTypes="0" containsString="0" containsNumber="1" minValue="0" maxValue="316.5"/>
    </cacheField>
    <cacheField name="SGSTAmount" numFmtId="0">
      <sharedItems containsSemiMixedTypes="0" containsString="0" containsNumber="1" minValue="0" maxValue="316.5"/>
    </cacheField>
    <cacheField name="IGSTAmount" numFmtId="0">
      <sharedItems containsSemiMixedTypes="0" containsString="0" containsNumber="1" minValue="0" maxValue="823.72900000000004"/>
    </cacheField>
    <cacheField name="Weight" numFmtId="0">
      <sharedItems containsString="0" containsBlank="1" containsNumber="1" minValue="0.5" maxValue="1.4"/>
    </cacheField>
    <cacheField name="Gross Amount (Before Tax)" numFmtId="0">
      <sharedItems containsSemiMixedTypes="0" containsString="0" containsNumber="1" containsInteger="1" minValue="1000" maxValue="5908"/>
    </cacheField>
    <cacheField name="Total GST Amount" numFmtId="0">
      <sharedItems containsSemiMixedTypes="0" containsString="0" containsNumber="1" minValue="47.619" maxValue="823.72900000000004"/>
    </cacheField>
    <cacheField name="Net Sale (After Tax)" numFmtId="0">
      <sharedItems containsSemiMixedTypes="0" containsString="0" containsNumber="1" minValue="1047.6189999999999" maxValue="65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Sufiyan Mujawar" refreshedDate="45979.729419907409" createdVersion="8" refreshedVersion="8" minRefreshableVersion="3" recordCount="81" xr:uid="{5B99E96E-2BAC-4EA3-A383-5F857990EB3E}">
  <cacheSource type="worksheet">
    <worksheetSource ref="A1:F82" sheet="Sept_25_Return"/>
  </cacheSource>
  <cacheFields count="7">
    <cacheField name="Order_id" numFmtId="0">
      <sharedItems/>
    </cacheField>
    <cacheField name="OrderNO" numFmtId="0">
      <sharedItems/>
    </cacheField>
    <cacheField name="Design No." numFmtId="0">
      <sharedItems/>
    </cacheField>
    <cacheField name="Gross Amount (Before Tax)" numFmtId="0">
      <sharedItems containsSemiMixedTypes="0" containsString="0" containsNumber="1" containsInteger="1" minValue="1125" maxValue="5908"/>
    </cacheField>
    <cacheField name="Total GST Amount" numFmtId="0">
      <sharedItems containsSemiMixedTypes="0" containsString="0" containsNumber="1" minValue="66.667000000000002" maxValue="686.44100000000003"/>
    </cacheField>
    <cacheField name="Net Sale (After Tax)" numFmtId="0">
      <sharedItems containsSemiMixedTypes="0" containsString="0" containsNumber="1" minValue="1245.5360000000001" maxValue="6541"/>
    </cacheField>
    <cacheField name="Return Reason" numFmtId="0">
      <sharedItems count="7">
        <s v="Product didn't fit"/>
        <s v="Didn't like the quality of product"/>
        <s v="Didn’t like the quality of product"/>
        <s v="Don't need it anymore"/>
        <s v="Product didn't fit- Too Large"/>
        <s v="Received wrong size"/>
        <s v="Product didn't fit- Too Sma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s v="NYK-31902275-9589869-1-1"/>
    <x v="0"/>
    <x v="0"/>
    <n v="1"/>
    <n v="1"/>
    <n v="4500"/>
    <n v="3150"/>
    <n v="3179"/>
    <n v="29"/>
    <s v="Prepaid"/>
    <d v="2025-09-28T22:43:10"/>
    <d v="2025-09-30T17:00:31"/>
    <d v="2025-10-06T12:04:08"/>
    <s v=""/>
    <s v="Tiny Kingdom"/>
    <s v=""/>
    <s v=""/>
    <d v="2025-10-06T12:51:07"/>
    <s v="Mangalore"/>
    <s v="Karnataka"/>
    <n v="575003"/>
    <s v="India"/>
    <n v="3150"/>
    <n v="18"/>
    <n v="0"/>
    <n v="0"/>
    <n v="18"/>
    <n v="480.50799999999998"/>
    <n v="0"/>
    <n v="0"/>
    <n v="480.50799999999998"/>
    <n v="0.75"/>
    <n v="3150"/>
    <n v="480.50799999999998"/>
    <n v="3630.5079999999998"/>
  </r>
  <r>
    <s v="NYK-31867866-5644421-1-1"/>
    <x v="1"/>
    <x v="1"/>
    <n v="1"/>
    <n v="1"/>
    <n v="4500"/>
    <n v="3150"/>
    <n v="3173.2109999999998"/>
    <n v="23.210999999999999"/>
    <s v="COD"/>
    <d v="2025-09-27T20:37:24"/>
    <d v="2025-09-30T15:34:10"/>
    <d v="2025-10-05T13:55:44"/>
    <s v=""/>
    <s v="Tiny Kingdom"/>
    <s v=""/>
    <s v="Raise Return"/>
    <d v="2025-10-11T20:06:24"/>
    <s v="Ghaziabad"/>
    <s v="Uttar Pradesh"/>
    <n v="201014"/>
    <s v="India"/>
    <n v="3150"/>
    <n v="18"/>
    <n v="0"/>
    <n v="0"/>
    <n v="18"/>
    <n v="480.50799999999998"/>
    <n v="0"/>
    <n v="0"/>
    <n v="480.50799999999998"/>
    <n v="1"/>
    <n v="3150"/>
    <n v="480.50799999999998"/>
    <n v="3630.5079999999998"/>
  </r>
  <r>
    <s v="NYK-31121937-3023273-1-1"/>
    <x v="2"/>
    <x v="0"/>
    <n v="1"/>
    <n v="1"/>
    <n v="2250"/>
    <n v="1688"/>
    <n v="1737"/>
    <n v="49"/>
    <s v="COD"/>
    <d v="2025-09-01T21:40:23"/>
    <d v="2025-09-02T16:04:26"/>
    <d v="2025-09-07T14:52:46"/>
    <s v=""/>
    <s v="Tiny Kingdom"/>
    <s v=""/>
    <s v=""/>
    <d v="2025-09-07T14:55:51"/>
    <s v="Sherghati"/>
    <s v="Bihar"/>
    <n v="824205"/>
    <s v="India"/>
    <n v="1688"/>
    <n v="12"/>
    <n v="0"/>
    <n v="0"/>
    <n v="12"/>
    <n v="180.857"/>
    <n v="0"/>
    <n v="0"/>
    <n v="180.857"/>
    <n v="0.75"/>
    <n v="1688"/>
    <n v="180.857"/>
    <n v="1868.857"/>
  </r>
  <r>
    <s v="NYK-31709729-8268799-2-1"/>
    <x v="3"/>
    <x v="0"/>
    <n v="1"/>
    <n v="1"/>
    <n v="2250"/>
    <n v="1125"/>
    <n v="1125"/>
    <n v="0"/>
    <s v="Prepaid"/>
    <d v="2025-09-22T16:21:09"/>
    <d v="2025-09-25T14:47:53"/>
    <d v="2025-10-03T11:11:42"/>
    <s v=""/>
    <s v="Tiny Kingdom"/>
    <s v=""/>
    <s v=""/>
    <d v="2025-10-03T11:16:27"/>
    <s v="Ganj Basoda"/>
    <s v="Madhya Pradesh"/>
    <n v="464221"/>
    <s v="India"/>
    <n v="1125"/>
    <n v="5"/>
    <n v="0"/>
    <n v="0"/>
    <n v="5"/>
    <n v="53.570999999999998"/>
    <n v="0"/>
    <n v="0"/>
    <n v="53.570999999999998"/>
    <n v="0.5"/>
    <n v="1125"/>
    <n v="53.570999999999998"/>
    <n v="1178.5709999999999"/>
  </r>
  <r>
    <s v="NYK-31736264-0796601-2-1"/>
    <x v="4"/>
    <x v="0"/>
    <n v="1"/>
    <n v="1"/>
    <n v="2250"/>
    <n v="1125"/>
    <n v="1139.1500000000001"/>
    <n v="14.15"/>
    <s v="Prepaid"/>
    <d v="2025-09-23T12:29:57"/>
    <d v="2025-09-24T16:46:43"/>
    <d v="2025-09-27T12:43:31"/>
    <s v=""/>
    <s v="Tiny Kingdom"/>
    <s v=""/>
    <s v=""/>
    <d v="2025-09-27T12:46:20"/>
    <s v="Kanpur"/>
    <s v="Uttar Pradesh"/>
    <n v="208024"/>
    <s v="India"/>
    <n v="1125"/>
    <n v="5"/>
    <n v="0"/>
    <n v="0"/>
    <n v="5"/>
    <n v="53.570999999999998"/>
    <n v="0"/>
    <n v="0"/>
    <n v="53.570999999999998"/>
    <n v="0.7"/>
    <n v="1125"/>
    <n v="53.570999999999998"/>
    <n v="1178.5709999999999"/>
  </r>
  <r>
    <s v="NYK-31488583-6576727-1-1"/>
    <x v="5"/>
    <x v="0"/>
    <n v="1"/>
    <n v="1"/>
    <n v="2250"/>
    <n v="1688"/>
    <n v="1717"/>
    <n v="29"/>
    <s v="Prepaid"/>
    <d v="2025-09-14T21:46:17"/>
    <d v="2025-09-17T15:13:14"/>
    <d v="2025-09-21T09:58:34"/>
    <s v=""/>
    <s v="Tiny Kingdom"/>
    <s v=""/>
    <s v=""/>
    <d v="2025-09-21T10:01:37"/>
    <s v="Gurugram"/>
    <s v="Haryana"/>
    <n v="122001"/>
    <s v="India"/>
    <n v="1688"/>
    <n v="12"/>
    <n v="0"/>
    <n v="0"/>
    <n v="12"/>
    <n v="180.857"/>
    <n v="0"/>
    <n v="0"/>
    <n v="180.857"/>
    <n v="0.7"/>
    <n v="1688"/>
    <n v="180.857"/>
    <n v="1868.857"/>
  </r>
  <r>
    <s v="NYK-31139193-9537143-1-1"/>
    <x v="5"/>
    <x v="2"/>
    <n v="1"/>
    <n v="1"/>
    <n v="2250"/>
    <n v="1688"/>
    <n v="1737"/>
    <n v="49"/>
    <s v="COD"/>
    <d v="2025-09-02T16:08:57"/>
    <d v="2025-09-03T14:44:40"/>
    <m/>
    <s v=""/>
    <s v="Tiny Kingdom"/>
    <s v=""/>
    <s v="RTO"/>
    <d v="2025-09-19T14:20:52"/>
    <s v="Gurugram"/>
    <s v="Haryana"/>
    <n v="122001"/>
    <s v="India"/>
    <n v="1688"/>
    <n v="12"/>
    <n v="0"/>
    <n v="0"/>
    <n v="12"/>
    <n v="180.857"/>
    <n v="0"/>
    <n v="0"/>
    <n v="180.857"/>
    <n v="0.7"/>
    <n v="1688"/>
    <n v="180.857"/>
    <n v="1868.857"/>
  </r>
  <r>
    <s v="NYK-31627638-9795060-2-1"/>
    <x v="6"/>
    <x v="1"/>
    <n v="1"/>
    <n v="1"/>
    <n v="2250"/>
    <n v="1125"/>
    <n v="1146.1199999999999"/>
    <n v="21.12"/>
    <s v="COD"/>
    <d v="2025-09-19T22:06:35"/>
    <d v="2025-09-20T16:34:00"/>
    <d v="2025-09-23T13:37:00"/>
    <s v=""/>
    <s v="Tiny Kingdom"/>
    <s v=""/>
    <s v="Raise Return"/>
    <d v="2025-09-29T21:06:26"/>
    <s v="Hyderabad"/>
    <s v="Telangana"/>
    <n v="500018"/>
    <s v="India"/>
    <n v="1125"/>
    <n v="12"/>
    <n v="0"/>
    <n v="0"/>
    <n v="12"/>
    <n v="120.536"/>
    <n v="0"/>
    <n v="0"/>
    <n v="120.536"/>
    <n v="0.7"/>
    <n v="1125"/>
    <n v="120.536"/>
    <n v="1245.5360000000001"/>
  </r>
  <r>
    <s v="NYK-31809224-9003300-1-1"/>
    <x v="7"/>
    <x v="1"/>
    <n v="1"/>
    <n v="1"/>
    <n v="4000"/>
    <n v="3600"/>
    <n v="3649"/>
    <n v="49"/>
    <s v="COD"/>
    <d v="2025-09-25T19:33:23"/>
    <d v="2025-09-26T17:16:10"/>
    <d v="2025-09-30T12:30:12"/>
    <s v=""/>
    <s v="Tiny Kingdom"/>
    <s v=""/>
    <s v="Raise Return"/>
    <d v="2025-10-14T15:26:16"/>
    <s v="Tirunelveli"/>
    <s v="Tamil Nadu"/>
    <n v="627006"/>
    <s v="India"/>
    <n v="3600"/>
    <n v="18"/>
    <n v="0"/>
    <n v="0"/>
    <n v="18"/>
    <n v="549.15300000000002"/>
    <n v="0"/>
    <n v="0"/>
    <n v="549.15300000000002"/>
    <n v="0.75"/>
    <n v="3600"/>
    <n v="549.15300000000002"/>
    <n v="4149.1530000000002"/>
  </r>
  <r>
    <s v="NYK-31924788-7373075-2-1"/>
    <x v="8"/>
    <x v="1"/>
    <n v="1"/>
    <n v="1"/>
    <n v="4000"/>
    <n v="3600"/>
    <n v="3605.86"/>
    <n v="5.86"/>
    <s v="Prepaid"/>
    <d v="2025-09-29T20:19:33"/>
    <d v="2025-10-01T18:48:02"/>
    <d v="2025-10-06T10:42:47"/>
    <s v=""/>
    <s v="Tiny Kingdom"/>
    <s v=""/>
    <s v="Raise Return"/>
    <d v="2025-10-24T15:06:22"/>
    <s v="Jaipur"/>
    <s v="Rajasthan"/>
    <n v="302023"/>
    <s v="India"/>
    <n v="3600"/>
    <n v="18"/>
    <n v="0"/>
    <n v="0"/>
    <n v="18"/>
    <n v="549.15300000000002"/>
    <n v="0"/>
    <n v="0"/>
    <n v="549.15300000000002"/>
    <n v="0.75"/>
    <n v="3600"/>
    <n v="549.15300000000002"/>
    <n v="4149.1530000000002"/>
  </r>
  <r>
    <s v="NYK-31505342-7129980-2-1"/>
    <x v="9"/>
    <x v="1"/>
    <n v="1"/>
    <n v="1"/>
    <n v="4000"/>
    <n v="3200"/>
    <n v="3219.02"/>
    <n v="19.02"/>
    <s v="Prepaid"/>
    <d v="2025-09-15T14:35:30"/>
    <d v="2025-09-17T15:13:14"/>
    <d v="2025-09-21T11:02:56"/>
    <s v=""/>
    <s v="Tiny Kingdom"/>
    <s v=""/>
    <s v="Raise Return"/>
    <d v="2025-09-27T20:11:20"/>
    <s v="Gurgaon"/>
    <s v="Haryana"/>
    <n v="122018"/>
    <s v="India"/>
    <n v="3200"/>
    <n v="12"/>
    <n v="0"/>
    <n v="0"/>
    <n v="12"/>
    <n v="342.85700000000003"/>
    <n v="0"/>
    <n v="0"/>
    <n v="342.85700000000003"/>
    <n v="0.5"/>
    <n v="3200"/>
    <n v="342.85700000000003"/>
    <n v="3542.857"/>
  </r>
  <r>
    <s v="NYK-31864776-8041314-2-1"/>
    <x v="10"/>
    <x v="0"/>
    <n v="1"/>
    <n v="1"/>
    <n v="4000"/>
    <n v="3200"/>
    <n v="3214.99"/>
    <n v="14.99"/>
    <s v="COD"/>
    <d v="2025-09-27T18:30:41"/>
    <d v="2025-09-29T17:00:16"/>
    <d v="2025-10-04T09:34:09"/>
    <s v=""/>
    <s v="Tiny Kingdom"/>
    <s v=""/>
    <s v=""/>
    <d v="2025-10-04T09:36:22"/>
    <s v="Pithoragarh"/>
    <s v="Uttarakhand"/>
    <n v="262501"/>
    <s v="India"/>
    <n v="3200"/>
    <n v="18"/>
    <n v="0"/>
    <n v="0"/>
    <n v="18"/>
    <n v="488.13600000000002"/>
    <n v="0"/>
    <n v="0"/>
    <n v="488.13600000000002"/>
    <n v="0.85"/>
    <n v="3200"/>
    <n v="488.13600000000002"/>
    <n v="3688.136"/>
  </r>
  <r>
    <s v="NYK-31889316-2835948-2-1"/>
    <x v="11"/>
    <x v="2"/>
    <n v="1"/>
    <n v="1"/>
    <n v="4000"/>
    <n v="3200"/>
    <n v="3214.41"/>
    <n v="14.41"/>
    <s v="COD"/>
    <d v="2025-09-28T15:17:16"/>
    <d v="2025-09-30T15:34:10"/>
    <m/>
    <s v=""/>
    <s v="Tiny Kingdom"/>
    <s v=""/>
    <s v="RTO"/>
    <d v="2025-10-14T15:26:11"/>
    <s v="Noida"/>
    <s v="Uttar Pradesh"/>
    <n v="201301"/>
    <s v="India"/>
    <n v="3200"/>
    <n v="18"/>
    <n v="0"/>
    <n v="0"/>
    <n v="18"/>
    <n v="488.13600000000002"/>
    <n v="0"/>
    <n v="0"/>
    <n v="488.13600000000002"/>
    <n v="0.85"/>
    <n v="3200"/>
    <n v="488.13600000000002"/>
    <n v="3688.136"/>
  </r>
  <r>
    <s v="NYK-31913686-8806740-1-1"/>
    <x v="12"/>
    <x v="1"/>
    <n v="1"/>
    <n v="1"/>
    <n v="3500"/>
    <n v="2450"/>
    <n v="2470"/>
    <n v="20"/>
    <s v="COD"/>
    <d v="2025-09-29T12:23:27"/>
    <d v="2025-09-30T17:00:07"/>
    <d v="2025-10-05T10:17:15"/>
    <s v=""/>
    <s v="Tiny Kingdom"/>
    <s v=""/>
    <s v="Raise Return"/>
    <d v="2025-10-24T15:06:22"/>
    <s v="Sandila"/>
    <s v="Uttar Pradesh"/>
    <n v="241126"/>
    <s v="India"/>
    <n v="2450"/>
    <n v="5"/>
    <n v="0"/>
    <n v="0"/>
    <n v="5"/>
    <n v="116.667"/>
    <n v="0"/>
    <n v="0"/>
    <n v="116.667"/>
    <n v="0.85"/>
    <n v="2450"/>
    <n v="116.667"/>
    <n v="2566.6669999999999"/>
  </r>
  <r>
    <s v="NYK-31636332-0375595-1-1"/>
    <x v="13"/>
    <x v="0"/>
    <n v="1"/>
    <n v="1"/>
    <n v="2000"/>
    <n v="1000"/>
    <n v="1000"/>
    <n v="0"/>
    <s v="Prepaid"/>
    <d v="2025-09-20T09:22:56"/>
    <d v="2025-09-20T14:44:01"/>
    <d v="2025-09-25T15:18:41"/>
    <s v=""/>
    <s v="Tiny Kingdom"/>
    <s v=""/>
    <s v=""/>
    <d v="2025-09-25T15:36:03"/>
    <s v="Noida"/>
    <s v="Uttar Pradesh"/>
    <n v="201308"/>
    <s v="India"/>
    <n v="1000"/>
    <n v="5"/>
    <n v="0"/>
    <n v="0"/>
    <n v="5"/>
    <n v="47.619"/>
    <n v="0"/>
    <n v="0"/>
    <n v="47.619"/>
    <n v="0.501"/>
    <n v="1000"/>
    <n v="47.619"/>
    <n v="1047.6189999999999"/>
  </r>
  <r>
    <s v="NYK-31177835-7193663-1-1"/>
    <x v="14"/>
    <x v="1"/>
    <n v="1"/>
    <n v="1"/>
    <n v="4000"/>
    <n v="3000"/>
    <n v="3014.2719999999999"/>
    <n v="14.272"/>
    <s v="COD"/>
    <d v="2025-09-04T06:23:14"/>
    <d v="2025-09-04T17:48:42"/>
    <d v="2025-09-11T19:53:58"/>
    <s v=""/>
    <s v="Tiny Kingdom"/>
    <s v=""/>
    <s v="Raise Return"/>
    <d v="2025-09-25T15:16:15"/>
    <s v="Pondicherry"/>
    <s v="pondicherry"/>
    <n v="605111"/>
    <s v="India"/>
    <n v="3000"/>
    <n v="12"/>
    <n v="0"/>
    <n v="0"/>
    <n v="12"/>
    <n v="321.42899999999997"/>
    <n v="0"/>
    <n v="0"/>
    <n v="321.42899999999997"/>
    <n v="1.4"/>
    <n v="3000"/>
    <n v="321.42899999999997"/>
    <n v="3321.4290000000001"/>
  </r>
  <r>
    <s v="NYK-31909923-7825439-1-1"/>
    <x v="15"/>
    <x v="1"/>
    <n v="1"/>
    <n v="1"/>
    <n v="5000"/>
    <n v="3500"/>
    <n v="3529"/>
    <n v="29"/>
    <s v="Prepaid"/>
    <d v="2025-09-29T09:20:25"/>
    <d v="2025-09-30T15:34:10"/>
    <d v="2025-10-08T11:41:56"/>
    <s v=""/>
    <s v="Tiny Kingdom"/>
    <s v=""/>
    <s v="Raise Return"/>
    <d v="2025-10-17T20:41:19"/>
    <s v="Noida"/>
    <s v="Uttar Pradesh"/>
    <n v="201303"/>
    <s v="India"/>
    <n v="3500"/>
    <n v="18"/>
    <n v="0"/>
    <n v="0"/>
    <n v="18"/>
    <n v="533.89800000000002"/>
    <n v="0"/>
    <n v="0"/>
    <n v="533.89800000000002"/>
    <n v="0.75"/>
    <n v="3500"/>
    <n v="533.89800000000002"/>
    <n v="4033.8980000000001"/>
  </r>
  <r>
    <s v="NYK-31867866-5644421-1-1"/>
    <x v="16"/>
    <x v="0"/>
    <n v="1"/>
    <n v="1"/>
    <n v="5000"/>
    <n v="3500"/>
    <n v="3525.79"/>
    <n v="25.79"/>
    <s v="COD"/>
    <d v="2025-09-27T20:37:24"/>
    <d v="2025-09-30T15:34:10"/>
    <d v="2025-10-05T13:55:44"/>
    <s v=""/>
    <s v="Tiny Kingdom"/>
    <s v=""/>
    <s v=""/>
    <d v="2025-10-05T14:01:00"/>
    <s v="Ghaziabad"/>
    <s v="Uttar Pradesh"/>
    <n v="201014"/>
    <s v="India"/>
    <n v="3500"/>
    <n v="18"/>
    <n v="0"/>
    <n v="0"/>
    <n v="18"/>
    <n v="533.89800000000002"/>
    <n v="0"/>
    <n v="0"/>
    <n v="533.89800000000002"/>
    <n v="1"/>
    <n v="3500"/>
    <n v="533.89800000000002"/>
    <n v="4033.8980000000001"/>
  </r>
  <r>
    <s v="NYK-31230380-8834715-1-1"/>
    <x v="17"/>
    <x v="2"/>
    <n v="1"/>
    <n v="1"/>
    <n v="3500"/>
    <n v="3150"/>
    <n v="3199"/>
    <n v="49"/>
    <s v="COD"/>
    <d v="2025-09-06T00:30:35"/>
    <d v="2025-09-08T18:20:00"/>
    <m/>
    <s v=""/>
    <s v="Tiny Kingdom"/>
    <s v=""/>
    <s v="RTO"/>
    <d v="2025-09-20T16:26:14"/>
    <s v="Hyderabad"/>
    <s v="Telangana"/>
    <n v="500084"/>
    <s v="India"/>
    <n v="3150"/>
    <n v="12"/>
    <n v="0"/>
    <n v="0"/>
    <n v="12"/>
    <n v="337.5"/>
    <n v="0"/>
    <n v="0"/>
    <n v="337.5"/>
    <n v="0.75"/>
    <n v="3150"/>
    <n v="337.5"/>
    <n v="3487.5"/>
  </r>
  <r>
    <s v="NYK-31899770-5045088-1-1"/>
    <x v="18"/>
    <x v="1"/>
    <n v="1"/>
    <n v="1"/>
    <n v="4500"/>
    <n v="3150"/>
    <n v="3170"/>
    <n v="20"/>
    <s v="COD"/>
    <d v="2025-09-28T21:27:25"/>
    <d v="2025-09-30T17:01:12"/>
    <d v="2025-10-03T16:56:24"/>
    <s v=""/>
    <s v="Tiny Kingdom"/>
    <s v=""/>
    <s v="Raise Return"/>
    <d v="2025-10-13T20:46:29"/>
    <s v="Jaipur"/>
    <s v="Rajasthan"/>
    <n v="302019"/>
    <s v="India"/>
    <n v="3150"/>
    <n v="18"/>
    <n v="0"/>
    <n v="0"/>
    <n v="18"/>
    <n v="480.50799999999998"/>
    <n v="0"/>
    <n v="0"/>
    <n v="480.50799999999998"/>
    <n v="0.75"/>
    <n v="3150"/>
    <n v="480.50799999999998"/>
    <n v="3630.5079999999998"/>
  </r>
  <r>
    <s v="NYK-31582387-2673727-1-1"/>
    <x v="19"/>
    <x v="1"/>
    <n v="1"/>
    <n v="1"/>
    <n v="5000"/>
    <n v="4000"/>
    <n v="4028.1"/>
    <n v="28.1"/>
    <s v="COD"/>
    <d v="2025-09-18T10:47:54"/>
    <d v="2025-09-18T16:48:28"/>
    <d v="2025-09-21T13:01:37"/>
    <s v=""/>
    <s v="Tiny Kingdom"/>
    <s v=""/>
    <s v="Raise Return"/>
    <d v="2025-10-07T14:50:54"/>
    <s v="Lucknow"/>
    <s v="Uttar Pradesh"/>
    <n v="226012"/>
    <s v="India"/>
    <n v="4000"/>
    <n v="12"/>
    <n v="0"/>
    <n v="0"/>
    <n v="12"/>
    <n v="428.57100000000003"/>
    <n v="0"/>
    <n v="0"/>
    <n v="428.57100000000003"/>
    <n v="1.1000000000000001"/>
    <n v="4000"/>
    <n v="428.57100000000003"/>
    <n v="4428.5709999999999"/>
  </r>
  <r>
    <s v="NYK-31674400-5103210-1-1"/>
    <x v="20"/>
    <x v="0"/>
    <n v="1"/>
    <n v="1"/>
    <n v="5000"/>
    <n v="4000"/>
    <n v="4034.33"/>
    <n v="34.33"/>
    <s v="COD"/>
    <d v="2025-09-21T14:28:23"/>
    <d v="2025-09-22T18:23:00"/>
    <d v="2025-09-24T12:13:00"/>
    <s v=""/>
    <s v="Tiny Kingdom"/>
    <s v=""/>
    <s v=""/>
    <d v="2025-10-01T23:55:32"/>
    <s v="Hyderabad"/>
    <s v="Telangana"/>
    <n v="500004"/>
    <s v="India"/>
    <n v="4000"/>
    <n v="18"/>
    <n v="0"/>
    <n v="0"/>
    <n v="18"/>
    <n v="610.16899999999998"/>
    <n v="0"/>
    <n v="0"/>
    <n v="610.16899999999998"/>
    <n v="0.75"/>
    <n v="4000"/>
    <n v="610.16899999999998"/>
    <n v="4610.1689999999999"/>
  </r>
  <r>
    <s v="NYK-31466487-1128798-1-1"/>
    <x v="21"/>
    <x v="2"/>
    <n v="1"/>
    <n v="1"/>
    <n v="5000"/>
    <n v="3750"/>
    <n v="3799"/>
    <n v="49"/>
    <s v="COD"/>
    <d v="2025-09-14T09:08:49"/>
    <d v="2025-09-17T15:13:14"/>
    <m/>
    <s v=""/>
    <s v="Tiny Kingdom"/>
    <s v=""/>
    <s v="RTO"/>
    <d v="2025-10-03T15:21:15"/>
    <s v="Gwalior"/>
    <s v="Madhya Pradesh"/>
    <n v="474006"/>
    <s v="India"/>
    <n v="3750"/>
    <n v="12"/>
    <n v="0"/>
    <n v="0"/>
    <n v="12"/>
    <n v="401.786"/>
    <n v="0"/>
    <n v="0"/>
    <n v="401.786"/>
    <n v="0.75"/>
    <n v="3750"/>
    <n v="401.786"/>
    <n v="4151.7860000000001"/>
  </r>
  <r>
    <s v="NYK-31132163-0388050-1-1"/>
    <x v="22"/>
    <x v="2"/>
    <n v="1"/>
    <n v="1"/>
    <n v="5000"/>
    <n v="3750"/>
    <n v="3770"/>
    <n v="20"/>
    <s v="COD"/>
    <d v="2025-09-02T10:49:48"/>
    <d v="2025-09-02T16:04:30"/>
    <m/>
    <s v=""/>
    <s v="Tiny Kingdom"/>
    <s v=""/>
    <s v="RTO"/>
    <d v="2025-09-13T20:11:13"/>
    <s v="Haflong"/>
    <s v="Assam"/>
    <n v="788819"/>
    <s v="India"/>
    <n v="3750"/>
    <n v="12"/>
    <n v="0"/>
    <n v="0"/>
    <n v="12"/>
    <n v="401.786"/>
    <n v="0"/>
    <n v="0"/>
    <n v="401.786"/>
    <n v="0.75"/>
    <n v="3750"/>
    <n v="401.786"/>
    <n v="4151.7860000000001"/>
  </r>
  <r>
    <s v="NYK-31881459-6728296-1-1"/>
    <x v="23"/>
    <x v="0"/>
    <n v="1"/>
    <n v="1"/>
    <n v="3850"/>
    <n v="3465"/>
    <n v="3494"/>
    <n v="29"/>
    <s v="Prepaid"/>
    <d v="2025-09-28T10:48:48"/>
    <d v="2025-09-30T15:34:10"/>
    <d v="2025-10-04T15:16:20"/>
    <s v=""/>
    <s v="Tiny Kingdom"/>
    <s v=""/>
    <s v=""/>
    <d v="2025-10-04T15:21:07"/>
    <s v="New Delhi"/>
    <s v="Delhi"/>
    <n v="110092"/>
    <s v="India"/>
    <n v="3465"/>
    <n v="18"/>
    <n v="0"/>
    <n v="0"/>
    <n v="18"/>
    <n v="528.55899999999997"/>
    <n v="0"/>
    <n v="0"/>
    <n v="528.55899999999997"/>
    <n v="0.75"/>
    <n v="3465"/>
    <n v="528.55899999999997"/>
    <n v="3993.5590000000002"/>
  </r>
  <r>
    <s v="NYK-31839456-7702528-1-1"/>
    <x v="24"/>
    <x v="3"/>
    <n v="1"/>
    <n v="0"/>
    <n v="3850"/>
    <n v="3465"/>
    <n v="3514"/>
    <n v="49"/>
    <s v="COD"/>
    <d v="2025-09-26T20:11:43"/>
    <m/>
    <m/>
    <s v="Found a better price somewhere else"/>
    <s v="Tiny Kingdom"/>
    <s v=""/>
    <s v=""/>
    <d v="2025-09-26T20:20:34"/>
    <s v="Noida"/>
    <s v="Uttar Pradesh"/>
    <n v="201301"/>
    <s v="India"/>
    <n v="3465"/>
    <n v="18"/>
    <n v="0"/>
    <n v="0"/>
    <n v="18"/>
    <n v="528.55899999999997"/>
    <n v="0"/>
    <n v="0"/>
    <n v="528.55899999999997"/>
    <m/>
    <n v="3465"/>
    <n v="528.55899999999997"/>
    <n v="3993.5590000000002"/>
  </r>
  <r>
    <s v="NYK-31802321-1812651-2-1"/>
    <x v="25"/>
    <x v="1"/>
    <n v="1"/>
    <n v="1"/>
    <n v="3850"/>
    <n v="3465"/>
    <n v="3475.95"/>
    <n v="10.95"/>
    <s v="Prepaid"/>
    <d v="2025-09-25T14:46:53"/>
    <d v="2025-09-26T15:10:28"/>
    <d v="2025-10-01T12:26:32"/>
    <s v=""/>
    <s v="Tiny Kingdom"/>
    <s v=""/>
    <s v="Raise Return"/>
    <d v="2025-10-08T20:41:13"/>
    <s v="New Delhi"/>
    <s v="Delhi"/>
    <n v="110091"/>
    <s v="India"/>
    <n v="3465"/>
    <n v="18"/>
    <n v="0"/>
    <n v="0"/>
    <n v="18"/>
    <n v="528.55899999999997"/>
    <n v="0"/>
    <n v="0"/>
    <n v="528.55899999999997"/>
    <n v="0.75"/>
    <n v="3465"/>
    <n v="528.55899999999997"/>
    <n v="3993.5590000000002"/>
  </r>
  <r>
    <s v="NYK-31719755-8789426-1-1"/>
    <x v="26"/>
    <x v="1"/>
    <n v="1"/>
    <n v="1"/>
    <n v="3850"/>
    <n v="3465"/>
    <n v="3484.28"/>
    <n v="19.28"/>
    <s v="Prepaid"/>
    <d v="2025-09-22T22:03:09"/>
    <d v="2025-09-24T15:00:36"/>
    <d v="2025-09-27T15:15:15"/>
    <s v=""/>
    <s v="Tiny Kingdom"/>
    <s v=""/>
    <s v="Raise Return"/>
    <d v="2025-10-07T14:50:54"/>
    <s v="Bangalore"/>
    <s v="Karnataka"/>
    <n v="560102"/>
    <s v="India"/>
    <n v="3465"/>
    <n v="18"/>
    <n v="0"/>
    <n v="0"/>
    <n v="18"/>
    <n v="528.55899999999997"/>
    <n v="0"/>
    <n v="0"/>
    <n v="528.55899999999997"/>
    <n v="0.75"/>
    <n v="3465"/>
    <n v="528.55899999999997"/>
    <n v="3993.5590000000002"/>
  </r>
  <r>
    <s v="NYK-31650388-2516316-1-1"/>
    <x v="27"/>
    <x v="0"/>
    <n v="1"/>
    <n v="1"/>
    <n v="4500"/>
    <n v="3600"/>
    <n v="3649"/>
    <n v="49"/>
    <s v="COD"/>
    <d v="2025-09-20T18:18:36"/>
    <d v="2025-09-22T18:23:00"/>
    <d v="2025-09-24T18:17:00"/>
    <s v=""/>
    <s v="Tiny Kingdom"/>
    <s v=""/>
    <s v=""/>
    <d v="2025-10-01T23:55:32"/>
    <s v="Hyderabad"/>
    <s v="Telangana"/>
    <n v="500064"/>
    <s v="India"/>
    <n v="3600"/>
    <n v="18"/>
    <n v="0"/>
    <n v="0"/>
    <n v="18"/>
    <n v="549.15300000000002"/>
    <n v="0"/>
    <n v="0"/>
    <n v="549.15300000000002"/>
    <n v="0.75"/>
    <n v="3600"/>
    <n v="549.15300000000002"/>
    <n v="4149.1530000000002"/>
  </r>
  <r>
    <s v="NYK-31921355-8223647-1-1"/>
    <x v="28"/>
    <x v="0"/>
    <n v="1"/>
    <n v="1"/>
    <n v="4500"/>
    <n v="4050"/>
    <n v="4070"/>
    <n v="20"/>
    <s v="COD"/>
    <d v="2025-09-29T17:47:04"/>
    <d v="2025-09-30T17:00:23"/>
    <d v="2025-10-10T14:06:13"/>
    <s v=""/>
    <s v="Tiny Kingdom"/>
    <s v=""/>
    <s v=""/>
    <d v="2025-10-10T14:10:46"/>
    <s v="Jamui"/>
    <s v="Bihar"/>
    <n v="811307"/>
    <s v="India"/>
    <n v="4050"/>
    <n v="18"/>
    <n v="0"/>
    <n v="0"/>
    <n v="18"/>
    <n v="617.79700000000003"/>
    <n v="0"/>
    <n v="0"/>
    <n v="617.79700000000003"/>
    <n v="0.75"/>
    <n v="4050"/>
    <n v="617.79700000000003"/>
    <n v="4667.7970000000005"/>
  </r>
  <r>
    <s v="NYK-31747284-4401517-1-1"/>
    <x v="29"/>
    <x v="1"/>
    <n v="1"/>
    <n v="1"/>
    <n v="4500"/>
    <n v="4050"/>
    <n v="4079"/>
    <n v="29"/>
    <s v="Prepaid"/>
    <d v="2025-09-23T19:03:22"/>
    <d v="2025-09-24T15:00:36"/>
    <d v="2025-09-27T15:03:16"/>
    <s v=""/>
    <s v="Tiny Kingdom"/>
    <s v=""/>
    <s v="Raise Return"/>
    <d v="2025-10-07T14:50:54"/>
    <s v="Bangalore"/>
    <s v="Karnataka"/>
    <n v="560076"/>
    <s v="India"/>
    <n v="4050"/>
    <n v="18"/>
    <n v="0"/>
    <n v="0"/>
    <n v="18"/>
    <n v="617.79700000000003"/>
    <n v="0"/>
    <n v="0"/>
    <n v="617.79700000000003"/>
    <n v="0.85"/>
    <n v="4050"/>
    <n v="617.79700000000003"/>
    <n v="4667.7970000000005"/>
  </r>
  <r>
    <s v="NYK-31392302-0126578-1-1"/>
    <x v="30"/>
    <x v="1"/>
    <n v="1"/>
    <n v="1"/>
    <n v="4500"/>
    <n v="4050"/>
    <n v="4079"/>
    <n v="29"/>
    <s v="Prepaid"/>
    <d v="2025-09-11T16:58:47"/>
    <d v="2025-09-12T17:12:13"/>
    <d v="2025-09-16T19:42:09"/>
    <s v=""/>
    <s v="Tiny Kingdom"/>
    <s v=""/>
    <s v="Raise Return"/>
    <d v="2025-09-27T20:11:20"/>
    <s v="Behrampur"/>
    <s v="orissa"/>
    <n v="760001"/>
    <s v="India"/>
    <n v="4050"/>
    <n v="12"/>
    <n v="0"/>
    <n v="0"/>
    <n v="12"/>
    <n v="433.92899999999997"/>
    <n v="0"/>
    <n v="0"/>
    <n v="433.92899999999997"/>
    <n v="0.85"/>
    <n v="4050"/>
    <n v="433.92899999999997"/>
    <n v="4483.9290000000001"/>
  </r>
  <r>
    <s v="NYK-31465207-4564045-1-1"/>
    <x v="31"/>
    <x v="1"/>
    <n v="1"/>
    <n v="1"/>
    <n v="4500"/>
    <n v="4050"/>
    <n v="4079"/>
    <n v="29"/>
    <s v="Prepaid"/>
    <d v="2025-09-14T07:19:24"/>
    <d v="2025-09-17T15:13:14"/>
    <d v="2025-09-20T19:42:44"/>
    <s v=""/>
    <s v="Tiny Kingdom"/>
    <s v=""/>
    <s v="Raise Return"/>
    <d v="2025-09-27T20:11:20"/>
    <s v="Bangalore"/>
    <s v="Karnataka"/>
    <n v="560067"/>
    <s v="India"/>
    <n v="4050"/>
    <n v="12"/>
    <n v="0"/>
    <n v="0"/>
    <n v="12"/>
    <n v="433.92899999999997"/>
    <n v="0"/>
    <n v="0"/>
    <n v="433.92899999999997"/>
    <n v="0.85"/>
    <n v="4050"/>
    <n v="433.92899999999997"/>
    <n v="4483.9290000000001"/>
  </r>
  <r>
    <s v="NYK-31913736-8938850-1-1"/>
    <x v="32"/>
    <x v="0"/>
    <n v="1"/>
    <n v="1"/>
    <n v="5000"/>
    <n v="4500"/>
    <n v="4549"/>
    <n v="49"/>
    <s v="COD"/>
    <d v="2025-09-29T12:25:39"/>
    <d v="2025-09-30T17:00:13"/>
    <d v="2025-10-11T13:39:48"/>
    <s v=""/>
    <s v="Tiny Kingdom"/>
    <s v=""/>
    <s v=""/>
    <d v="2025-10-11T13:41:32"/>
    <s v="Tekari"/>
    <s v="Bihar"/>
    <n v="804403"/>
    <s v="India"/>
    <n v="4500"/>
    <n v="18"/>
    <n v="0"/>
    <n v="0"/>
    <n v="18"/>
    <n v="686.44100000000003"/>
    <n v="0"/>
    <n v="0"/>
    <n v="686.44100000000003"/>
    <n v="0.85"/>
    <n v="4500"/>
    <n v="686.44100000000003"/>
    <n v="5186.4409999999998"/>
  </r>
  <r>
    <s v="NYK-31485903-1729268-1-1"/>
    <x v="33"/>
    <x v="0"/>
    <n v="1"/>
    <n v="1"/>
    <n v="3750"/>
    <n v="3000"/>
    <n v="3049"/>
    <n v="49"/>
    <s v="COD"/>
    <d v="2025-09-14T20:25:29"/>
    <d v="2025-09-17T15:13:14"/>
    <d v="2025-09-21T17:23:10"/>
    <s v=""/>
    <s v="Tiny Kingdom"/>
    <s v=""/>
    <s v=""/>
    <d v="2025-09-21T17:26:13"/>
    <s v="New Delhi"/>
    <s v="Delhi"/>
    <n v="110091"/>
    <s v="India"/>
    <n v="3000"/>
    <n v="12"/>
    <n v="0"/>
    <n v="0"/>
    <n v="12"/>
    <n v="321.42899999999997"/>
    <n v="0"/>
    <n v="0"/>
    <n v="321.42899999999997"/>
    <n v="0.85"/>
    <n v="3000"/>
    <n v="321.42899999999997"/>
    <n v="3321.4290000000001"/>
  </r>
  <r>
    <s v="NYK-31630972-6435094-1-1"/>
    <x v="34"/>
    <x v="1"/>
    <n v="1"/>
    <n v="1"/>
    <n v="3750"/>
    <n v="3375"/>
    <n v="3389.5"/>
    <n v="14.5"/>
    <s v="Prepaid"/>
    <d v="2025-09-19T23:57:15"/>
    <d v="2025-09-20T16:47:14"/>
    <d v="2025-09-23T13:22:09"/>
    <s v=""/>
    <s v="Tiny Kingdom"/>
    <s v=""/>
    <s v="Raise Return"/>
    <d v="2025-10-06T15:46:27"/>
    <s v="Bokaro"/>
    <s v="Jharkhand"/>
    <n v="827004"/>
    <s v="India"/>
    <n v="3375"/>
    <n v="12"/>
    <n v="0"/>
    <n v="0"/>
    <n v="12"/>
    <n v="361.60700000000003"/>
    <n v="0"/>
    <n v="0"/>
    <n v="361.60700000000003"/>
    <n v="1.2"/>
    <n v="3375"/>
    <n v="361.60700000000003"/>
    <n v="3736.607"/>
  </r>
  <r>
    <s v="NYK-31630972-6435094-1-1"/>
    <x v="35"/>
    <x v="1"/>
    <n v="1"/>
    <n v="1"/>
    <n v="3750"/>
    <n v="3375"/>
    <n v="3389.5"/>
    <n v="14.5"/>
    <s v="Prepaid"/>
    <d v="2025-09-19T23:57:15"/>
    <d v="2025-09-20T16:47:14"/>
    <d v="2025-09-23T13:22:09"/>
    <s v=""/>
    <s v="Tiny Kingdom"/>
    <s v=""/>
    <s v="Raise Return"/>
    <d v="2025-10-06T15:46:27"/>
    <s v="Bokaro"/>
    <s v="Jharkhand"/>
    <n v="827004"/>
    <s v="India"/>
    <n v="3375"/>
    <n v="12"/>
    <n v="0"/>
    <n v="0"/>
    <n v="12"/>
    <n v="361.60700000000003"/>
    <n v="0"/>
    <n v="0"/>
    <n v="361.60700000000003"/>
    <n v="1.2"/>
    <n v="3375"/>
    <n v="361.60700000000003"/>
    <n v="3736.607"/>
  </r>
  <r>
    <s v="NYK-31268795-2049824-1-1"/>
    <x v="35"/>
    <x v="0"/>
    <n v="1"/>
    <n v="1"/>
    <n v="3750"/>
    <n v="3000"/>
    <n v="3029"/>
    <n v="29"/>
    <s v="Prepaid"/>
    <d v="2025-09-07T10:44:10"/>
    <d v="2025-09-09T18:16:29"/>
    <d v="2025-09-11T10:30:36"/>
    <s v=""/>
    <s v="Tiny Kingdom"/>
    <s v=""/>
    <s v=""/>
    <d v="2025-09-11T10:36:12"/>
    <s v="Visakhapatnam"/>
    <s v="Andhra Pradesh"/>
    <n v="530017"/>
    <s v="India"/>
    <n v="3000"/>
    <n v="12"/>
    <n v="0"/>
    <n v="0"/>
    <n v="12"/>
    <n v="321.42899999999997"/>
    <n v="0"/>
    <n v="0"/>
    <n v="321.42899999999997"/>
    <n v="0.85"/>
    <n v="3000"/>
    <n v="321.42899999999997"/>
    <n v="3321.4290000000001"/>
  </r>
  <r>
    <s v="NYK-31474025-8096330-1-1"/>
    <x v="36"/>
    <x v="1"/>
    <n v="1"/>
    <n v="1"/>
    <n v="3500"/>
    <n v="2800"/>
    <n v="2833.79"/>
    <n v="33.79"/>
    <s v="COD"/>
    <d v="2025-09-14T13:51:36"/>
    <d v="2025-09-15T16:31:47"/>
    <d v="2025-09-18T14:28:22"/>
    <s v=""/>
    <s v="Tiny Kingdom"/>
    <s v=""/>
    <s v="Raise Return"/>
    <d v="2025-09-27T20:11:20"/>
    <s v="Varanasi"/>
    <s v="Uttar Pradesh"/>
    <n v="221010"/>
    <s v="India"/>
    <n v="2800"/>
    <n v="12"/>
    <n v="0"/>
    <n v="0"/>
    <n v="12"/>
    <n v="300"/>
    <n v="0"/>
    <n v="0"/>
    <n v="300"/>
    <n v="0.85"/>
    <n v="2800"/>
    <n v="300"/>
    <n v="3100"/>
  </r>
  <r>
    <s v="NYK-31242921-6913651-1-1"/>
    <x v="37"/>
    <x v="0"/>
    <n v="2"/>
    <n v="2"/>
    <n v="3500"/>
    <n v="2800"/>
    <n v="5649"/>
    <n v="49"/>
    <s v="COD"/>
    <d v="2025-09-06T13:51:54"/>
    <d v="2025-09-08T17:30:31"/>
    <d v="2025-09-11T11:25:31"/>
    <s v=""/>
    <s v="Tiny Kingdom"/>
    <s v=""/>
    <s v=""/>
    <d v="2025-09-11T11:26:11"/>
    <s v="Lucknow"/>
    <s v="Uttar Pradesh"/>
    <n v="226010"/>
    <s v="India"/>
    <n v="2800"/>
    <n v="12"/>
    <n v="0"/>
    <n v="0"/>
    <n v="12"/>
    <n v="600"/>
    <n v="0"/>
    <n v="0"/>
    <n v="600"/>
    <n v="1.2"/>
    <n v="5600"/>
    <n v="600"/>
    <n v="6200"/>
  </r>
  <r>
    <s v="NYK-31306216-3204897-1-1"/>
    <x v="38"/>
    <x v="0"/>
    <n v="1"/>
    <n v="1"/>
    <n v="3500"/>
    <n v="2800"/>
    <n v="2849"/>
    <n v="49"/>
    <s v="COD"/>
    <d v="2025-09-08T14:50:05"/>
    <d v="2025-09-09T18:16:04"/>
    <d v="2025-09-15T13:44:22"/>
    <s v=""/>
    <s v="Tiny Kingdom"/>
    <s v=""/>
    <s v=""/>
    <d v="2025-09-15T13:45:46"/>
    <s v="Muzaffarpur"/>
    <s v="Bihar"/>
    <n v="842002"/>
    <s v="India"/>
    <n v="2800"/>
    <n v="12"/>
    <n v="0"/>
    <n v="0"/>
    <n v="12"/>
    <n v="300"/>
    <n v="0"/>
    <n v="0"/>
    <n v="300"/>
    <n v="0.85"/>
    <n v="2800"/>
    <n v="300"/>
    <n v="3100"/>
  </r>
  <r>
    <s v="NYK-31865124-9005726-1-1"/>
    <x v="39"/>
    <x v="1"/>
    <n v="1"/>
    <n v="1"/>
    <n v="3750"/>
    <n v="3375"/>
    <n v="3395"/>
    <n v="20"/>
    <s v="COD"/>
    <d v="2025-09-27T18:46:46"/>
    <d v="2025-09-29T17:00:22"/>
    <d v="2025-10-02T12:52:11"/>
    <s v=""/>
    <s v="Tiny Kingdom"/>
    <s v=""/>
    <s v="Raise Return"/>
    <d v="2025-10-15T20:41:25"/>
    <s v="Puttur-Ap"/>
    <s v="Andhra Pradesh"/>
    <n v="517583"/>
    <s v="India"/>
    <n v="3375"/>
    <n v="18"/>
    <n v="0"/>
    <n v="0"/>
    <n v="18"/>
    <n v="514.83100000000002"/>
    <n v="0"/>
    <n v="0"/>
    <n v="514.83100000000002"/>
    <n v="0.85"/>
    <n v="3375"/>
    <n v="514.83100000000002"/>
    <n v="3889.8310000000001"/>
  </r>
  <r>
    <s v="NYK-31568773-1341731-1-1"/>
    <x v="39"/>
    <x v="0"/>
    <n v="1"/>
    <n v="1"/>
    <n v="3750"/>
    <n v="3375"/>
    <n v="3390.26"/>
    <n v="15.26"/>
    <s v="Prepaid"/>
    <d v="2025-09-17T20:32:22"/>
    <d v="2025-09-18T16:48:16"/>
    <d v="2025-09-21T09:30:39"/>
    <s v=""/>
    <s v="Tiny Kingdom"/>
    <s v=""/>
    <s v=""/>
    <d v="2025-09-21T09:31:37"/>
    <s v="Madikeri"/>
    <s v="Karnataka"/>
    <n v="571201"/>
    <s v="India"/>
    <n v="3375"/>
    <n v="12"/>
    <n v="0"/>
    <n v="0"/>
    <n v="12"/>
    <n v="361.60700000000003"/>
    <n v="0"/>
    <n v="0"/>
    <n v="361.60700000000003"/>
    <n v="0.85"/>
    <n v="3375"/>
    <n v="361.60700000000003"/>
    <n v="3736.607"/>
  </r>
  <r>
    <s v="NYK-31865292-9445829-1-1"/>
    <x v="40"/>
    <x v="1"/>
    <n v="1"/>
    <n v="1"/>
    <n v="3500"/>
    <n v="2800"/>
    <n v="2829"/>
    <n v="29"/>
    <s v="Prepaid"/>
    <d v="2025-09-27T18:54:06"/>
    <d v="2025-09-29T17:00:11"/>
    <d v="2025-10-06T13:09:22"/>
    <s v=""/>
    <s v="Tiny Kingdom"/>
    <s v=""/>
    <s v="Raise Return"/>
    <d v="2025-10-24T15:06:22"/>
    <s v="Hindupur"/>
    <s v="Andhra Pradesh"/>
    <n v="515201"/>
    <s v="India"/>
    <n v="2800"/>
    <n v="18"/>
    <n v="0"/>
    <n v="0"/>
    <n v="18"/>
    <n v="427.11900000000003"/>
    <n v="0"/>
    <n v="0"/>
    <n v="427.11900000000003"/>
    <n v="0.85"/>
    <n v="2800"/>
    <n v="427.11900000000003"/>
    <n v="3227.1190000000001"/>
  </r>
  <r>
    <s v="NYK-31253849-0496206-1-1"/>
    <x v="41"/>
    <x v="0"/>
    <n v="1"/>
    <n v="1"/>
    <n v="3500"/>
    <n v="2800"/>
    <n v="2809.41"/>
    <n v="9.41"/>
    <s v="COD"/>
    <d v="2025-09-06T20:24:56"/>
    <d v="2025-09-09T18:16:09"/>
    <d v="2025-09-13T16:20:33"/>
    <s v=""/>
    <s v="Tiny Kingdom"/>
    <s v=""/>
    <s v=""/>
    <d v="2025-09-13T16:21:12"/>
    <s v="Ballia"/>
    <s v="Uttar Pradesh"/>
    <n v="277001"/>
    <s v="India"/>
    <n v="2800"/>
    <n v="12"/>
    <n v="0"/>
    <n v="0"/>
    <n v="12"/>
    <n v="300"/>
    <n v="0"/>
    <n v="0"/>
    <n v="300"/>
    <n v="0.85"/>
    <n v="2800"/>
    <n v="300"/>
    <n v="3100"/>
  </r>
  <r>
    <s v="NYK-31441538-7193404-4-1"/>
    <x v="42"/>
    <x v="1"/>
    <n v="1"/>
    <n v="1"/>
    <n v="1750"/>
    <n v="1400"/>
    <n v="1405.49"/>
    <n v="5.49"/>
    <s v="Prepaid"/>
    <d v="2025-09-13T12:36:33"/>
    <d v="2025-09-17T15:13:14"/>
    <d v="2025-09-22T15:11:20"/>
    <s v=""/>
    <s v="Tiny Kingdom"/>
    <s v=""/>
    <s v="Raise Return"/>
    <d v="2025-09-27T20:11:20"/>
    <s v="Sarjapura"/>
    <s v="Karnataka"/>
    <n v="562125"/>
    <s v="India"/>
    <n v="1400"/>
    <n v="12"/>
    <n v="0"/>
    <n v="0"/>
    <n v="12"/>
    <n v="150"/>
    <n v="0"/>
    <n v="0"/>
    <n v="150"/>
    <n v="0.75"/>
    <n v="1400"/>
    <n v="150"/>
    <n v="1550"/>
  </r>
  <r>
    <s v="NYK-31716843-3422799-1-1"/>
    <x v="43"/>
    <x v="1"/>
    <n v="1"/>
    <n v="1"/>
    <n v="1750"/>
    <n v="1400"/>
    <n v="1404.81"/>
    <n v="4.8099999999999996"/>
    <s v="Prepaid"/>
    <d v="2025-09-22T20:33:43"/>
    <d v="2025-09-24T15:00:36"/>
    <d v="2025-09-29T16:56:59"/>
    <s v=""/>
    <s v="Tiny Kingdom"/>
    <s v=""/>
    <s v="Raise Return"/>
    <d v="2025-10-07T21:35:56"/>
    <s v="Sarjapura"/>
    <s v="Karnataka"/>
    <n v="562125"/>
    <s v="India"/>
    <n v="1400"/>
    <n v="5"/>
    <n v="0"/>
    <n v="0"/>
    <n v="5"/>
    <n v="66.667000000000002"/>
    <n v="0"/>
    <n v="0"/>
    <n v="66.667000000000002"/>
    <n v="0.75"/>
    <n v="1400"/>
    <n v="66.667000000000002"/>
    <n v="1466.6669999999999"/>
  </r>
  <r>
    <s v="NYK-31428799-7416205-1-1"/>
    <x v="44"/>
    <x v="3"/>
    <n v="1"/>
    <n v="0"/>
    <n v="4500"/>
    <n v="3600"/>
    <n v="3649"/>
    <n v="49"/>
    <s v="COD"/>
    <d v="2025-09-12T22:46:56"/>
    <m/>
    <m/>
    <s v="Change payment method"/>
    <s v="Tiny Kingdom"/>
    <s v=""/>
    <s v=""/>
    <d v="2025-09-12T22:47:55"/>
    <s v="Murshidabad"/>
    <s v="West Bengal"/>
    <n v="742123"/>
    <s v="India"/>
    <n v="3600"/>
    <n v="12"/>
    <n v="0"/>
    <n v="0"/>
    <n v="12"/>
    <n v="385.714"/>
    <n v="0"/>
    <n v="0"/>
    <n v="385.714"/>
    <m/>
    <n v="3600"/>
    <n v="385.714"/>
    <n v="3985.7139999999999"/>
  </r>
  <r>
    <s v="NYK-31547702-8688337-1-1"/>
    <x v="45"/>
    <x v="0"/>
    <n v="1"/>
    <n v="1"/>
    <n v="4500"/>
    <n v="3600"/>
    <n v="3649"/>
    <n v="49"/>
    <s v="COD"/>
    <d v="2025-09-17T00:21:28"/>
    <d v="2025-09-18T15:31:00"/>
    <d v="2025-09-20T15:48:00"/>
    <s v=""/>
    <s v="Tiny Kingdom"/>
    <s v=""/>
    <s v=""/>
    <d v="2025-09-20T16:01:15"/>
    <s v="Hyderabad"/>
    <s v="Telangana"/>
    <n v="500064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431282-2567660-1-1"/>
    <x v="45"/>
    <x v="1"/>
    <n v="1"/>
    <n v="1"/>
    <n v="4500"/>
    <n v="3600"/>
    <n v="3649"/>
    <n v="49"/>
    <s v="COD"/>
    <d v="2025-09-13T00:12:48"/>
    <d v="2025-09-15T16:30:23"/>
    <d v="2025-09-19T13:35:50"/>
    <s v=""/>
    <s v="Tiny Kingdom"/>
    <s v=""/>
    <s v="Raise Return"/>
    <d v="2025-10-03T15:21:24"/>
    <s v="Murshidabad"/>
    <s v="West Bengal"/>
    <n v="742123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434940-9930787-1-1"/>
    <x v="46"/>
    <x v="0"/>
    <n v="1"/>
    <n v="1"/>
    <n v="4500"/>
    <n v="3600"/>
    <n v="3649"/>
    <n v="49"/>
    <s v="COD"/>
    <d v="2025-09-13T07:48:51"/>
    <d v="2025-09-17T15:13:14"/>
    <d v="2025-09-20T18:50:13"/>
    <s v=""/>
    <s v="Tiny Kingdom"/>
    <s v=""/>
    <s v=""/>
    <d v="2025-09-20T18:51:13"/>
    <s v="Bangalore"/>
    <s v="Karnataka"/>
    <n v="560087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926074-0353317-1-1"/>
    <x v="47"/>
    <x v="1"/>
    <n v="1"/>
    <n v="1"/>
    <n v="4500"/>
    <n v="4050"/>
    <n v="4099"/>
    <n v="49"/>
    <s v="COD"/>
    <d v="2025-09-29T21:09:13"/>
    <d v="2025-10-01T15:19:00"/>
    <d v="2025-10-06T10:24:39"/>
    <s v=""/>
    <s v="Tiny Kingdom"/>
    <s v=""/>
    <s v="Raise Return"/>
    <d v="2025-10-13T20:46:29"/>
    <s v="Delhi"/>
    <s v="Delhi"/>
    <n v="110051"/>
    <s v="India"/>
    <n v="4050"/>
    <n v="18"/>
    <n v="0"/>
    <n v="0"/>
    <n v="18"/>
    <n v="617.79700000000003"/>
    <n v="0"/>
    <n v="0"/>
    <n v="617.79700000000003"/>
    <n v="0.85"/>
    <n v="4050"/>
    <n v="617.79700000000003"/>
    <n v="4667.7970000000005"/>
  </r>
  <r>
    <s v="NYK-31493662-5239740-1-1"/>
    <x v="47"/>
    <x v="0"/>
    <n v="1"/>
    <n v="1"/>
    <n v="4500"/>
    <n v="3600"/>
    <n v="3649"/>
    <n v="49"/>
    <s v="COD"/>
    <d v="2025-09-15T00:10:40"/>
    <d v="2025-09-15T16:31:40"/>
    <d v="2025-09-18T14:03:13"/>
    <s v=""/>
    <s v="Tiny Kingdom"/>
    <s v=""/>
    <s v=""/>
    <d v="2025-09-18T14:06:29"/>
    <s v="Kolar Gold Fields"/>
    <s v="Karnataka"/>
    <n v="563115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465612-7402138-1-1"/>
    <x v="47"/>
    <x v="1"/>
    <n v="1"/>
    <n v="1"/>
    <n v="4500"/>
    <n v="3600"/>
    <n v="3600"/>
    <n v="0"/>
    <s v="Prepaid"/>
    <d v="2025-09-14T08:06:42"/>
    <d v="2025-09-17T15:13:14"/>
    <d v="2025-09-20T20:34:44"/>
    <s v=""/>
    <s v="Tiny Kingdom"/>
    <s v=""/>
    <s v="Raise Return"/>
    <d v="2025-09-29T14:21:18"/>
    <s v="Bangalore"/>
    <s v="Karnataka"/>
    <n v="560037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474790-9395926-1-1"/>
    <x v="48"/>
    <x v="0"/>
    <n v="1"/>
    <n v="1"/>
    <n v="4500"/>
    <n v="3600"/>
    <n v="3620"/>
    <n v="20"/>
    <s v="COD"/>
    <d v="2025-09-14T14:13:16"/>
    <d v="2025-09-15T16:31:43"/>
    <d v="2025-09-18T13:15:33"/>
    <s v=""/>
    <s v="Tiny Kingdom"/>
    <s v=""/>
    <s v=""/>
    <d v="2025-09-18T13:21:28"/>
    <s v="Sangareddy"/>
    <s v="Telangana"/>
    <n v="502001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800157-7011058-1-1"/>
    <x v="49"/>
    <x v="2"/>
    <n v="1"/>
    <n v="1"/>
    <n v="3750"/>
    <n v="3375"/>
    <n v="3424"/>
    <n v="49"/>
    <s v="COD"/>
    <d v="2025-09-25T13:26:51"/>
    <d v="2025-09-26T15:10:28"/>
    <m/>
    <s v=""/>
    <s v="Tiny Kingdom"/>
    <s v=""/>
    <s v="RTO"/>
    <d v="2025-10-24T15:06:17"/>
    <s v="Indore"/>
    <s v="Madhya Pradesh"/>
    <n v="452014"/>
    <s v="India"/>
    <n v="3375"/>
    <n v="18"/>
    <n v="0"/>
    <n v="0"/>
    <n v="18"/>
    <n v="514.83100000000002"/>
    <n v="0"/>
    <n v="0"/>
    <n v="514.83100000000002"/>
    <n v="0.85"/>
    <n v="3375"/>
    <n v="514.83100000000002"/>
    <n v="3889.8310000000001"/>
  </r>
  <r>
    <s v="NYK-31803269-4078260-1-1"/>
    <x v="50"/>
    <x v="0"/>
    <n v="1"/>
    <n v="1"/>
    <n v="4000"/>
    <n v="3600"/>
    <n v="3620"/>
    <n v="20"/>
    <s v="COD"/>
    <d v="2025-09-25T15:24:38"/>
    <d v="2025-09-26T17:16:08"/>
    <d v="2025-09-28T12:47:52"/>
    <s v=""/>
    <s v="Tiny Kingdom"/>
    <s v=""/>
    <s v=""/>
    <d v="2025-09-28T12:51:14"/>
    <s v="Bhubaneshwar"/>
    <s v="orissa"/>
    <n v="751006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862850-3058163-4-1"/>
    <x v="51"/>
    <x v="0"/>
    <n v="1"/>
    <n v="1"/>
    <n v="4000"/>
    <n v="3600"/>
    <n v="3608.84"/>
    <n v="8.84"/>
    <s v="Prepaid"/>
    <d v="2025-09-27T17:07:38"/>
    <d v="2025-09-29T14:22:52"/>
    <d v="2025-10-01T17:49:37"/>
    <s v=""/>
    <s v="Tiny Kingdom"/>
    <s v=""/>
    <s v=""/>
    <d v="2025-10-01T17:51:21"/>
    <s v="New Delhi"/>
    <s v="Delhi"/>
    <n v="110015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657852-8565949-1-1"/>
    <x v="52"/>
    <x v="3"/>
    <n v="1"/>
    <n v="0"/>
    <n v="4000"/>
    <n v="3600"/>
    <n v="3611.66"/>
    <n v="11.66"/>
    <s v="COD"/>
    <d v="2025-09-20T22:46:06"/>
    <m/>
    <m/>
    <s v="Product won’t reach on time"/>
    <s v="Tiny Kingdom"/>
    <s v="Roll back cancellation"/>
    <s v=""/>
    <d v="2025-09-23T11:04:47"/>
    <s v="Navi Mumbai"/>
    <s v="Maharashtra"/>
    <n v="400705"/>
    <s v="India"/>
    <n v="3600"/>
    <n v="12"/>
    <n v="6"/>
    <n v="6"/>
    <n v="0"/>
    <n v="385.714"/>
    <n v="192.857"/>
    <n v="192.857"/>
    <n v="0"/>
    <m/>
    <n v="3600"/>
    <n v="385.714"/>
    <n v="3985.7139999999999"/>
  </r>
  <r>
    <s v="NYK-31479508-8753331-1-1"/>
    <x v="53"/>
    <x v="3"/>
    <n v="1"/>
    <n v="0"/>
    <n v="4000"/>
    <n v="3600"/>
    <n v="3629"/>
    <n v="29"/>
    <s v="Prepaid"/>
    <d v="2025-09-14T16:49:13"/>
    <m/>
    <m/>
    <s v="Delivery date is too late"/>
    <s v="Tiny Kingdom"/>
    <s v=""/>
    <s v=""/>
    <d v="2025-09-14T20:13:39"/>
    <s v="Pune"/>
    <s v="Maharashtra"/>
    <n v="411057"/>
    <s v="India"/>
    <n v="3600"/>
    <n v="12"/>
    <n v="6"/>
    <n v="6"/>
    <n v="0"/>
    <n v="385.714"/>
    <n v="192.857"/>
    <n v="192.857"/>
    <n v="0"/>
    <m/>
    <n v="3600"/>
    <n v="385.714"/>
    <n v="3985.7139999999999"/>
  </r>
  <r>
    <s v="NYK-31879825-2632629-1-1"/>
    <x v="53"/>
    <x v="0"/>
    <n v="1"/>
    <n v="1"/>
    <n v="4000"/>
    <n v="3600"/>
    <n v="3649"/>
    <n v="49"/>
    <s v="COD"/>
    <d v="2025-09-28T09:40:33"/>
    <d v="2025-09-30T17:00:45"/>
    <d v="2025-10-04T10:51:56"/>
    <s v=""/>
    <s v="Tiny Kingdom"/>
    <s v=""/>
    <s v=""/>
    <d v="2025-10-04T10:56:22"/>
    <s v="Kushkhera"/>
    <s v="Rajasthan"/>
    <n v="301019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857522-0603828-1-1"/>
    <x v="53"/>
    <x v="0"/>
    <n v="1"/>
    <n v="1"/>
    <n v="4000"/>
    <n v="3600"/>
    <n v="3629"/>
    <n v="29"/>
    <s v="Prepaid"/>
    <d v="2025-09-27T13:40:04"/>
    <d v="2025-09-29T16:12:00"/>
    <d v="2025-10-01T15:01:00"/>
    <s v=""/>
    <s v="Tiny Kingdom"/>
    <s v=""/>
    <s v=""/>
    <d v="2025-10-01T15:16:23"/>
    <s v="Hyderabad"/>
    <s v="Telangana"/>
    <n v="500089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419066-4609227-1-1"/>
    <x v="54"/>
    <x v="0"/>
    <n v="1"/>
    <n v="1"/>
    <n v="4000"/>
    <n v="3600"/>
    <n v="3629"/>
    <n v="29"/>
    <s v="Prepaid"/>
    <d v="2025-09-12T16:26:49"/>
    <d v="2025-09-13T16:44:20"/>
    <d v="2025-09-17T13:22:01"/>
    <s v=""/>
    <s v="Tiny Kingdom"/>
    <s v=""/>
    <s v=""/>
    <d v="2025-09-17T13:26:21"/>
    <s v="Noida"/>
    <s v="Uttar Pradesh"/>
    <n v="201301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104937-2747904-1-1"/>
    <x v="55"/>
    <x v="2"/>
    <n v="1"/>
    <n v="1"/>
    <n v="4000"/>
    <n v="3600"/>
    <n v="3649"/>
    <n v="49"/>
    <s v="COD"/>
    <d v="2025-09-01T07:42:28"/>
    <d v="2025-09-08T17:30:27"/>
    <m/>
    <s v=""/>
    <s v="Tiny Kingdom"/>
    <s v=""/>
    <s v="RTO"/>
    <d v="2025-09-11T20:31:07"/>
    <s v="Srinagar"/>
    <s v="jammu and kashmir"/>
    <n v="190015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948428-5807456-3-1"/>
    <x v="56"/>
    <x v="1"/>
    <n v="1"/>
    <n v="1"/>
    <n v="4000"/>
    <n v="3600"/>
    <n v="3616.3"/>
    <n v="16.3"/>
    <s v="Prepaid"/>
    <d v="2025-09-30T18:06:47"/>
    <d v="2025-10-01T18:37:53"/>
    <d v="2025-10-04T09:14:45"/>
    <s v=""/>
    <s v="Tiny Kingdom"/>
    <s v=""/>
    <s v="Raise Return"/>
    <d v="2025-10-10T21:01:06"/>
    <s v="New Delhi"/>
    <s v="Delhi"/>
    <n v="110043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469372-8399507-1-1"/>
    <x v="57"/>
    <x v="0"/>
    <n v="1"/>
    <n v="1"/>
    <n v="4000"/>
    <n v="3600"/>
    <n v="3649"/>
    <n v="49"/>
    <s v="COD"/>
    <d v="2025-09-14T11:09:59"/>
    <d v="2025-09-15T16:31:52"/>
    <d v="2025-09-18T13:54:42"/>
    <s v=""/>
    <s v="Tiny Kingdom"/>
    <s v=""/>
    <s v=""/>
    <d v="2025-09-18T13:56:30"/>
    <s v="Rohtak"/>
    <s v="Haryana"/>
    <n v="124001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386959-6119809-1-1"/>
    <x v="57"/>
    <x v="0"/>
    <n v="1"/>
    <n v="1"/>
    <n v="4000"/>
    <n v="3600"/>
    <n v="3626.8290000000002"/>
    <n v="26.829000000000001"/>
    <s v="COD"/>
    <d v="2025-09-11T13:05:20"/>
    <d v="2025-09-12T17:12:29"/>
    <d v="2025-09-15T16:17:19"/>
    <s v=""/>
    <s v="Tiny Kingdom"/>
    <s v=""/>
    <s v=""/>
    <d v="2025-09-15T16:21:00"/>
    <s v="Nagpur"/>
    <s v="Maharashtra"/>
    <n v="440024"/>
    <s v="India"/>
    <n v="3600"/>
    <n v="12"/>
    <n v="6"/>
    <n v="6"/>
    <n v="0"/>
    <n v="385.714"/>
    <n v="192.857"/>
    <n v="192.857"/>
    <n v="0"/>
    <n v="1.2"/>
    <n v="3600"/>
    <n v="385.714"/>
    <n v="3985.7139999999999"/>
  </r>
  <r>
    <s v="NYK-31309372-1091620-1-1"/>
    <x v="58"/>
    <x v="0"/>
    <n v="1"/>
    <n v="1"/>
    <n v="4000"/>
    <n v="3200"/>
    <n v="3229"/>
    <n v="29"/>
    <s v="Prepaid"/>
    <d v="2025-09-08T17:01:32"/>
    <d v="2025-09-09T18:12:56"/>
    <d v="2025-09-16T11:08:07"/>
    <s v=""/>
    <s v="Tiny Kingdom"/>
    <s v=""/>
    <s v=""/>
    <d v="2025-09-16T12:26:15"/>
    <s v="A - N Islands"/>
    <s v="Andaman and Nicobar Islands"/>
    <n v="744105"/>
    <s v="India"/>
    <n v="3200"/>
    <n v="12"/>
    <n v="0"/>
    <n v="0"/>
    <n v="12"/>
    <n v="342.85700000000003"/>
    <n v="0"/>
    <n v="0"/>
    <n v="342.85700000000003"/>
    <n v="0.85"/>
    <n v="3200"/>
    <n v="342.85700000000003"/>
    <n v="3542.857"/>
  </r>
  <r>
    <s v="NYK-31115996-6929406-1-1"/>
    <x v="59"/>
    <x v="1"/>
    <n v="1"/>
    <n v="1"/>
    <n v="4000"/>
    <n v="3200"/>
    <n v="3200"/>
    <n v="0"/>
    <s v="Prepaid"/>
    <d v="2025-09-01T17:12:09"/>
    <d v="2025-09-02T14:35:00"/>
    <d v="2025-09-06T18:47:00"/>
    <s v=""/>
    <s v="Tiny Kingdom"/>
    <s v=""/>
    <s v="Raise Return"/>
    <d v="2025-10-16T14:36:18"/>
    <s v="A - N Islands"/>
    <s v="Andaman and Nicobar Islands"/>
    <n v="744105"/>
    <s v="India"/>
    <n v="3200"/>
    <n v="12"/>
    <n v="0"/>
    <n v="0"/>
    <n v="12"/>
    <n v="342.85700000000003"/>
    <n v="0"/>
    <n v="0"/>
    <n v="342.85700000000003"/>
    <n v="0.85"/>
    <n v="3200"/>
    <n v="342.85700000000003"/>
    <n v="3542.857"/>
  </r>
  <r>
    <s v="NYK-31668616-3415223-1-1"/>
    <x v="60"/>
    <x v="0"/>
    <n v="1"/>
    <n v="1"/>
    <n v="4250"/>
    <n v="3825"/>
    <n v="3854"/>
    <n v="29"/>
    <s v="Prepaid"/>
    <d v="2025-09-21T11:13:35"/>
    <d v="2025-09-22T17:48:14"/>
    <d v="2025-09-25T13:27:35"/>
    <s v=""/>
    <s v="Tiny Kingdom"/>
    <s v=""/>
    <s v=""/>
    <d v="2025-10-01T23:55:32"/>
    <s v="Bidar"/>
    <s v="Karnataka"/>
    <n v="585401"/>
    <s v="India"/>
    <n v="3825"/>
    <n v="18"/>
    <n v="0"/>
    <n v="0"/>
    <n v="18"/>
    <n v="583.47500000000002"/>
    <n v="0"/>
    <n v="0"/>
    <n v="583.47500000000002"/>
    <n v="0.85"/>
    <n v="3825"/>
    <n v="583.47500000000002"/>
    <n v="4408.4750000000004"/>
  </r>
  <r>
    <s v="NYK-31629152-2815106-1-1"/>
    <x v="61"/>
    <x v="0"/>
    <n v="1"/>
    <n v="1"/>
    <n v="4000"/>
    <n v="3600"/>
    <n v="3629"/>
    <n v="29"/>
    <s v="Prepaid"/>
    <d v="2025-09-19T22:56:55"/>
    <d v="2025-09-20T16:47:19"/>
    <d v="2025-09-24T16:52:45"/>
    <s v=""/>
    <s v="Tiny Kingdom"/>
    <s v=""/>
    <s v=""/>
    <d v="2025-09-24T16:56:08"/>
    <s v="Dharamapuri"/>
    <s v="Tamil Nadu"/>
    <n v="636701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428440-6788562-1-1"/>
    <x v="62"/>
    <x v="0"/>
    <n v="1"/>
    <n v="1"/>
    <n v="4000"/>
    <n v="3600"/>
    <n v="3600"/>
    <n v="0"/>
    <s v="Prepaid"/>
    <d v="2025-09-12T22:36:29"/>
    <d v="2025-09-15T16:30:36"/>
    <d v="2025-09-18T16:34:21"/>
    <s v=""/>
    <s v="Tiny Kingdom"/>
    <s v=""/>
    <s v=""/>
    <d v="2025-09-18T16:35:49"/>
    <s v="Hubli"/>
    <s v="Karnataka"/>
    <n v="580021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315036-5475093-1-1"/>
    <x v="63"/>
    <x v="1"/>
    <n v="1"/>
    <n v="1"/>
    <n v="4000"/>
    <n v="3600"/>
    <n v="3649"/>
    <n v="49"/>
    <s v="COD"/>
    <d v="2025-09-08T21:01:15"/>
    <d v="2025-09-09T18:16:38"/>
    <d v="2025-09-12T17:07:56"/>
    <s v=""/>
    <s v="Tiny Kingdom"/>
    <s v=""/>
    <s v="Raise Return"/>
    <d v="2025-09-25T15:16:15"/>
    <s v="Hubli"/>
    <s v="Karnataka"/>
    <n v="580021"/>
    <s v="India"/>
    <n v="3600"/>
    <n v="12"/>
    <n v="0"/>
    <n v="0"/>
    <n v="12"/>
    <n v="385.714"/>
    <n v="0"/>
    <n v="0"/>
    <n v="385.714"/>
    <n v="0.85"/>
    <n v="3600"/>
    <n v="385.714"/>
    <n v="3985.7139999999999"/>
  </r>
  <r>
    <s v="NYK-31167314-5802636-2-1"/>
    <x v="64"/>
    <x v="0"/>
    <n v="1"/>
    <n v="1"/>
    <n v="3750"/>
    <n v="3375"/>
    <n v="3375"/>
    <n v="0"/>
    <s v="Prepaid"/>
    <d v="2025-09-03T18:53:23"/>
    <d v="2025-09-09T17:13:30"/>
    <d v="2025-09-12T16:03:33"/>
    <s v=""/>
    <s v="Tiny Kingdom"/>
    <s v=""/>
    <s v=""/>
    <d v="2025-09-12T16:06:34"/>
    <s v="Pune"/>
    <s v="Maharashtra"/>
    <n v="411014"/>
    <s v="India"/>
    <n v="3375"/>
    <n v="12"/>
    <n v="6"/>
    <n v="6"/>
    <n v="0"/>
    <n v="361.60700000000003"/>
    <n v="180.804"/>
    <n v="180.804"/>
    <n v="0"/>
    <n v="0.75"/>
    <n v="3375"/>
    <n v="361.608"/>
    <n v="3736.6080000000002"/>
  </r>
  <r>
    <s v="NYK-31750875-1966224-2-1"/>
    <x v="65"/>
    <x v="3"/>
    <n v="1"/>
    <n v="0"/>
    <n v="3750"/>
    <n v="3375"/>
    <n v="3408.24"/>
    <n v="33.24"/>
    <s v="COD"/>
    <d v="2025-09-23T21:09:26"/>
    <m/>
    <m/>
    <s v="Change address/ phone number"/>
    <s v="Tiny Kingdom"/>
    <s v=""/>
    <s v=""/>
    <d v="2025-09-23T21:10:12"/>
    <s v="Ambernath"/>
    <s v="Maharashtra"/>
    <n v="421001"/>
    <s v="India"/>
    <n v="3375"/>
    <n v="18"/>
    <n v="9"/>
    <n v="9"/>
    <n v="0"/>
    <n v="514.83100000000002"/>
    <n v="257.416"/>
    <n v="257.416"/>
    <n v="0"/>
    <m/>
    <n v="3375"/>
    <n v="514.83199999999999"/>
    <n v="3889.8319999999999"/>
  </r>
  <r>
    <s v="NYK-31708149-4913354-2-1"/>
    <x v="66"/>
    <x v="3"/>
    <n v="1"/>
    <n v="0"/>
    <n v="3750"/>
    <n v="3375"/>
    <n v="3388.04"/>
    <n v="13.04"/>
    <s v="COD"/>
    <d v="2025-09-22T15:25:13"/>
    <m/>
    <m/>
    <s v="Found a better price somewhere else"/>
    <s v="Tiny Kingdom"/>
    <s v=""/>
    <s v=""/>
    <d v="2025-10-01T23:44:28"/>
    <s v="Shirur"/>
    <s v="Maharashtra"/>
    <n v="412211"/>
    <s v="India"/>
    <n v="3375"/>
    <n v="18"/>
    <n v="9"/>
    <n v="9"/>
    <n v="0"/>
    <n v="514.83100000000002"/>
    <n v="257.416"/>
    <n v="257.416"/>
    <n v="0"/>
    <m/>
    <n v="3375"/>
    <n v="514.83199999999999"/>
    <n v="3889.8319999999999"/>
  </r>
  <r>
    <s v="NYK-31460483-6720553-1-1"/>
    <x v="67"/>
    <x v="0"/>
    <n v="1"/>
    <n v="1"/>
    <n v="3750"/>
    <n v="3375"/>
    <n v="3375"/>
    <n v="0"/>
    <s v="Prepaid"/>
    <d v="2025-09-13T23:35:21"/>
    <d v="2025-09-15T17:05:00"/>
    <d v="2025-09-17T14:20:00"/>
    <s v=""/>
    <s v="Tiny Kingdom"/>
    <s v=""/>
    <s v=""/>
    <d v="2025-09-17T14:31:22"/>
    <s v="Hyderabad"/>
    <s v="Telangana"/>
    <n v="500009"/>
    <s v="India"/>
    <n v="3375"/>
    <n v="12"/>
    <n v="0"/>
    <n v="0"/>
    <n v="12"/>
    <n v="361.60700000000003"/>
    <n v="0"/>
    <n v="0"/>
    <n v="361.60700000000003"/>
    <n v="0.85"/>
    <n v="3375"/>
    <n v="361.60700000000003"/>
    <n v="3736.607"/>
  </r>
  <r>
    <s v="NYK-31595716-4412952-1-1"/>
    <x v="68"/>
    <x v="0"/>
    <n v="1"/>
    <n v="1"/>
    <n v="3750"/>
    <n v="3375"/>
    <n v="3389.4470000000001"/>
    <n v="14.446999999999999"/>
    <s v="Prepaid"/>
    <d v="2025-09-18T19:36:53"/>
    <d v="2025-09-19T16:43:02"/>
    <d v="2025-09-21T17:03:59"/>
    <s v=""/>
    <s v="Tiny Kingdom"/>
    <s v=""/>
    <s v=""/>
    <d v="2025-09-21T17:06:13"/>
    <s v="Kanpur"/>
    <s v="Uttar Pradesh"/>
    <n v="208001"/>
    <s v="India"/>
    <n v="3375"/>
    <n v="12"/>
    <n v="0"/>
    <n v="0"/>
    <n v="12"/>
    <n v="361.60700000000003"/>
    <n v="0"/>
    <n v="0"/>
    <n v="361.60700000000003"/>
    <n v="1.2"/>
    <n v="3375"/>
    <n v="361.60700000000003"/>
    <n v="3736.607"/>
  </r>
  <r>
    <s v="NYK-31249732-1591957-7-1"/>
    <x v="69"/>
    <x v="0"/>
    <n v="1"/>
    <n v="1"/>
    <n v="3750"/>
    <n v="3375"/>
    <n v="3379.31"/>
    <n v="4.3099999999999996"/>
    <s v="Prepaid"/>
    <d v="2025-09-06T17:56:32"/>
    <d v="2025-09-09T17:13:31"/>
    <d v="2025-09-14T14:58:01"/>
    <s v=""/>
    <s v="Tiny Kingdom"/>
    <s v=""/>
    <s v=""/>
    <d v="2025-09-14T15:01:17"/>
    <s v="Gurugram"/>
    <s v="Haryana"/>
    <n v="122003"/>
    <s v="India"/>
    <n v="3375"/>
    <n v="12"/>
    <n v="0"/>
    <n v="0"/>
    <n v="12"/>
    <n v="361.60700000000003"/>
    <n v="0"/>
    <n v="0"/>
    <n v="361.60700000000003"/>
    <n v="0.85"/>
    <n v="3375"/>
    <n v="361.60700000000003"/>
    <n v="3736.607"/>
  </r>
  <r>
    <s v="NYK-31187748-0210894-1-1"/>
    <x v="70"/>
    <x v="0"/>
    <n v="1"/>
    <n v="1"/>
    <n v="3750"/>
    <n v="3000"/>
    <n v="3029"/>
    <n v="29"/>
    <s v="Prepaid"/>
    <d v="2025-09-04T15:33:31"/>
    <d v="2025-09-05T17:47:33"/>
    <d v="2025-09-09T14:51:07"/>
    <s v=""/>
    <s v="Tiny Kingdom"/>
    <s v=""/>
    <s v=""/>
    <d v="2025-09-09T14:51:25"/>
    <s v="Mumbai"/>
    <s v="Maharashtra"/>
    <n v="400064"/>
    <s v="India"/>
    <n v="3000"/>
    <n v="12"/>
    <n v="6"/>
    <n v="6"/>
    <n v="0"/>
    <n v="321.42899999999997"/>
    <n v="160.715"/>
    <n v="160.715"/>
    <n v="0"/>
    <n v="0.85"/>
    <n v="3000"/>
    <n v="321.43"/>
    <n v="3321.43"/>
  </r>
  <r>
    <s v="NYK-31270452-6115336-1-1"/>
    <x v="71"/>
    <x v="4"/>
    <n v="1"/>
    <n v="1"/>
    <n v="3750"/>
    <n v="3000"/>
    <n v="3029"/>
    <n v="29"/>
    <s v="Prepaid"/>
    <d v="2025-09-07T11:51:55"/>
    <d v="2025-09-09T17:13:31"/>
    <m/>
    <s v=""/>
    <s v="Tiny Kingdom"/>
    <s v=""/>
    <s v="RTO"/>
    <d v="2025-10-30T18:46:07"/>
    <s v="Bangalore"/>
    <s v="Karnataka"/>
    <n v="562157"/>
    <s v="India"/>
    <n v="3000"/>
    <n v="12"/>
    <n v="0"/>
    <n v="0"/>
    <n v="12"/>
    <n v="321.42899999999997"/>
    <n v="0"/>
    <n v="0"/>
    <n v="321.42899999999997"/>
    <n v="0.85"/>
    <n v="3000"/>
    <n v="321.42899999999997"/>
    <n v="3321.4290000000001"/>
  </r>
  <r>
    <s v="NYK-31492755-3489673-1-1"/>
    <x v="72"/>
    <x v="0"/>
    <n v="1"/>
    <n v="1"/>
    <n v="3750"/>
    <n v="3000"/>
    <n v="3000"/>
    <n v="0"/>
    <s v="Prepaid"/>
    <d v="2025-09-14T23:41:30"/>
    <d v="2025-09-17T15:13:14"/>
    <d v="2025-09-18T18:49:50"/>
    <s v=""/>
    <s v="Tiny Kingdom"/>
    <s v=""/>
    <s v=""/>
    <d v="2025-09-18T18:51:20"/>
    <s v="Navi Mumbai"/>
    <s v="Maharashtra"/>
    <n v="400706"/>
    <s v="India"/>
    <n v="3000"/>
    <n v="12"/>
    <n v="6"/>
    <n v="6"/>
    <n v="0"/>
    <n v="321.42899999999997"/>
    <n v="160.715"/>
    <n v="160.715"/>
    <n v="0"/>
    <n v="0.85"/>
    <n v="3000"/>
    <n v="321.43"/>
    <n v="3321.43"/>
  </r>
  <r>
    <s v="NYK-31714149-7845325-1-1"/>
    <x v="73"/>
    <x v="0"/>
    <n v="1"/>
    <n v="1"/>
    <n v="4750"/>
    <n v="4275"/>
    <n v="4324"/>
    <n v="49"/>
    <s v="COD"/>
    <d v="2025-09-22T19:00:45"/>
    <d v="2025-09-25T17:20:57"/>
    <d v="2025-09-28T12:11:56"/>
    <s v=""/>
    <s v="Tiny Kingdom"/>
    <s v=""/>
    <s v=""/>
    <d v="2025-09-28T12:16:19"/>
    <s v="Sahranpur"/>
    <s v="Uttar Pradesh"/>
    <n v="247001"/>
    <s v="India"/>
    <n v="4275"/>
    <n v="18"/>
    <n v="0"/>
    <n v="0"/>
    <n v="18"/>
    <n v="652.11900000000003"/>
    <n v="0"/>
    <n v="0"/>
    <n v="652.11900000000003"/>
    <n v="0.5"/>
    <n v="4275"/>
    <n v="652.11900000000003"/>
    <n v="4927.1189999999997"/>
  </r>
  <r>
    <s v="NYK-31607592-0245863-1-1"/>
    <x v="74"/>
    <x v="0"/>
    <n v="1"/>
    <n v="1"/>
    <n v="4750"/>
    <n v="4275"/>
    <n v="4275"/>
    <n v="0"/>
    <s v="Prepaid"/>
    <d v="2025-09-19T08:20:46"/>
    <d v="2025-09-19T15:39:00"/>
    <d v="2025-09-21T14:03:00"/>
    <s v=""/>
    <s v="Tiny Kingdom"/>
    <s v=""/>
    <s v=""/>
    <d v="2025-09-21T14:11:21"/>
    <s v="Ambala"/>
    <s v="Haryana"/>
    <n v="133001"/>
    <s v="India"/>
    <n v="4275"/>
    <n v="12"/>
    <n v="0"/>
    <n v="0"/>
    <n v="12"/>
    <n v="458.036"/>
    <n v="0"/>
    <n v="0"/>
    <n v="458.036"/>
    <n v="0.85"/>
    <n v="4275"/>
    <n v="458.036"/>
    <n v="4733.0360000000001"/>
  </r>
  <r>
    <s v="NYK-31653284-9255067-1-1"/>
    <x v="75"/>
    <x v="3"/>
    <n v="1"/>
    <n v="0"/>
    <n v="4000"/>
    <n v="3600"/>
    <n v="3649"/>
    <n v="49"/>
    <s v="COD"/>
    <d v="2025-09-20T20:10:55"/>
    <m/>
    <m/>
    <s v="Change address/ phone number"/>
    <s v="Tiny Kingdom"/>
    <s v=""/>
    <s v=""/>
    <d v="2025-09-20T20:11:39"/>
    <s v="Dumka"/>
    <s v="Jharkhand"/>
    <n v="814145"/>
    <s v="India"/>
    <n v="3600"/>
    <n v="12"/>
    <n v="0"/>
    <n v="0"/>
    <n v="12"/>
    <n v="385.714"/>
    <n v="0"/>
    <n v="0"/>
    <n v="385.714"/>
    <m/>
    <n v="3600"/>
    <n v="385.714"/>
    <n v="3985.7139999999999"/>
  </r>
  <r>
    <s v="NYK-31766459-2986994-1-1"/>
    <x v="76"/>
    <x v="2"/>
    <n v="1"/>
    <n v="1"/>
    <n v="4000"/>
    <n v="3600"/>
    <n v="3628.96"/>
    <n v="28.96"/>
    <s v="COD"/>
    <d v="2025-09-24T11:19:47"/>
    <d v="2025-09-25T14:47:53"/>
    <m/>
    <s v=""/>
    <s v="Tiny Kingdom"/>
    <s v=""/>
    <s v="RTO"/>
    <d v="2025-10-16T14:36:13"/>
    <s v="Jamnagar"/>
    <s v="Gujarat"/>
    <n v="361305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717624-4882971-2-1"/>
    <x v="76"/>
    <x v="0"/>
    <n v="1"/>
    <n v="1"/>
    <n v="4000"/>
    <n v="3600"/>
    <n v="3632.06"/>
    <n v="32.06"/>
    <s v="COD"/>
    <d v="2025-09-22T20:58:03"/>
    <d v="2025-09-24T15:00:36"/>
    <d v="2025-10-01T14:15:53"/>
    <s v=""/>
    <s v="Tiny Kingdom"/>
    <s v=""/>
    <s v=""/>
    <d v="2025-10-01T14:20:56"/>
    <s v="Ahmedabad"/>
    <s v="Gujarat"/>
    <n v="380059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618103-6608718-1-1"/>
    <x v="77"/>
    <x v="0"/>
    <n v="1"/>
    <n v="1"/>
    <n v="4000"/>
    <n v="3600"/>
    <n v="3649"/>
    <n v="49"/>
    <s v="COD"/>
    <d v="2025-09-19T15:40:09"/>
    <d v="2025-09-20T14:44:01"/>
    <d v="2025-09-22T19:24:22"/>
    <s v=""/>
    <s v="Tiny Kingdom"/>
    <s v=""/>
    <s v=""/>
    <d v="2025-09-22T19:26:13"/>
    <s v="MUMBAI"/>
    <s v="Maharashtra"/>
    <n v="400067"/>
    <s v="India"/>
    <n v="3600"/>
    <n v="12"/>
    <n v="6"/>
    <n v="6"/>
    <n v="0"/>
    <n v="385.714"/>
    <n v="192.857"/>
    <n v="192.857"/>
    <n v="0"/>
    <n v="0.85"/>
    <n v="3600"/>
    <n v="385.714"/>
    <n v="3985.7139999999999"/>
  </r>
  <r>
    <s v="NYK-31868651-7429006-1-1"/>
    <x v="78"/>
    <x v="1"/>
    <n v="1"/>
    <n v="1"/>
    <n v="4000"/>
    <n v="3600"/>
    <n v="3629"/>
    <n v="29"/>
    <s v="Prepaid"/>
    <d v="2025-09-27T21:07:09"/>
    <d v="2025-09-30T15:34:10"/>
    <d v="2025-10-08T15:35:32"/>
    <s v=""/>
    <s v="Tiny Kingdom"/>
    <s v=""/>
    <s v="Raise Return"/>
    <d v="2025-10-18T19:46:18"/>
    <s v="Noida"/>
    <s v="Uttar Pradesh"/>
    <n v="201301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662330-6964550-1-1"/>
    <x v="79"/>
    <x v="4"/>
    <n v="1"/>
    <n v="1"/>
    <n v="4000"/>
    <n v="3600"/>
    <n v="3649"/>
    <n v="49"/>
    <s v="COD"/>
    <d v="2025-09-21T01:06:05"/>
    <d v="2025-09-24T15:00:36"/>
    <m/>
    <s v=""/>
    <s v="Tiny Kingdom"/>
    <s v=""/>
    <s v="RTO"/>
    <d v="2025-10-25T14:16:21"/>
    <s v="Raipur"/>
    <s v="Chhattisgarh"/>
    <n v="492001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694871-6839380-1-1"/>
    <x v="80"/>
    <x v="0"/>
    <n v="1"/>
    <n v="1"/>
    <n v="4000"/>
    <n v="3600"/>
    <n v="3649"/>
    <n v="49"/>
    <s v="COD"/>
    <d v="2025-09-22T02:03:59"/>
    <d v="2025-09-24T15:00:36"/>
    <d v="2025-09-28T20:27:47"/>
    <s v=""/>
    <s v="Tiny Kingdom"/>
    <s v=""/>
    <s v=""/>
    <d v="2025-09-28T20:31:05"/>
    <s v="Raipur"/>
    <s v="Chhattisgarh"/>
    <n v="492001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886077-6347957-1-1"/>
    <x v="81"/>
    <x v="0"/>
    <n v="1"/>
    <n v="1"/>
    <n v="4000"/>
    <n v="3600"/>
    <n v="3615.4670000000001"/>
    <n v="15.467000000000001"/>
    <s v="Prepaid"/>
    <d v="2025-09-28T13:29:08"/>
    <d v="2025-09-30T17:01:15"/>
    <d v="2025-10-09T12:06:24"/>
    <s v=""/>
    <s v="Tiny Kingdom"/>
    <s v=""/>
    <s v=""/>
    <d v="2025-10-09T12:21:20"/>
    <s v="Patna"/>
    <s v="Bihar"/>
    <n v="800020"/>
    <s v="India"/>
    <n v="3600"/>
    <n v="18"/>
    <n v="0"/>
    <n v="0"/>
    <n v="18"/>
    <n v="549.15300000000002"/>
    <n v="0"/>
    <n v="0"/>
    <n v="549.15300000000002"/>
    <n v="1.2"/>
    <n v="3600"/>
    <n v="549.15300000000002"/>
    <n v="4149.1530000000002"/>
  </r>
  <r>
    <s v="NYK-31347508-8364900-2-1"/>
    <x v="81"/>
    <x v="1"/>
    <n v="1"/>
    <n v="1"/>
    <n v="4000"/>
    <n v="3400"/>
    <n v="3424.26"/>
    <n v="24.26"/>
    <s v="Prepaid"/>
    <d v="2025-09-09T22:49:25"/>
    <d v="2025-09-10T18:10:02"/>
    <d v="2025-09-13T19:16:24"/>
    <s v=""/>
    <s v="Tiny Kingdom"/>
    <s v=""/>
    <s v="Raise Return"/>
    <d v="2025-09-25T15:16:15"/>
    <s v="Rajkot"/>
    <s v="Gujarat"/>
    <n v="360005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283011-1757487-1-1"/>
    <x v="81"/>
    <x v="0"/>
    <n v="1"/>
    <n v="1"/>
    <n v="4000"/>
    <n v="3400"/>
    <n v="3429"/>
    <n v="29"/>
    <s v="Prepaid"/>
    <d v="2025-09-07T18:59:17"/>
    <d v="2025-09-09T18:16:13"/>
    <d v="2025-09-15T11:43:00"/>
    <s v=""/>
    <s v="Tiny Kingdom"/>
    <s v=""/>
    <s v=""/>
    <d v="2025-09-15T11:46:28"/>
    <s v="Gulbarga"/>
    <s v="Karnataka"/>
    <n v="585105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499640-2616619-1-1"/>
    <x v="82"/>
    <x v="2"/>
    <n v="1"/>
    <n v="1"/>
    <n v="4000"/>
    <n v="3400"/>
    <n v="3443.85"/>
    <n v="43.85"/>
    <s v="COD"/>
    <d v="2025-09-15T10:33:37"/>
    <d v="2025-09-17T15:13:14"/>
    <m/>
    <s v=""/>
    <s v="Tiny Kingdom"/>
    <s v=""/>
    <s v="RTO"/>
    <d v="2025-10-06T15:46:21"/>
    <s v="Mumbai"/>
    <s v="Maharashtra"/>
    <n v="400026"/>
    <s v="India"/>
    <n v="3400"/>
    <n v="12"/>
    <n v="6"/>
    <n v="6"/>
    <n v="0"/>
    <n v="364.286"/>
    <n v="182.143"/>
    <n v="182.143"/>
    <n v="0"/>
    <n v="0.85"/>
    <n v="3400"/>
    <n v="364.286"/>
    <n v="3764.2860000000001"/>
  </r>
  <r>
    <s v="NYK-31429148-8045001-1-1"/>
    <x v="83"/>
    <x v="1"/>
    <n v="1"/>
    <n v="1"/>
    <n v="4000"/>
    <n v="3400"/>
    <n v="3499"/>
    <n v="99"/>
    <s v="Prepaid"/>
    <d v="2025-09-12T22:57:25"/>
    <d v="2025-09-17T15:13:14"/>
    <d v="2025-09-20T20:43:45"/>
    <s v=""/>
    <s v="Tiny Kingdom"/>
    <s v=""/>
    <s v="Raise Return"/>
    <d v="2025-10-01T15:16:30"/>
    <s v="Bangalore"/>
    <s v="Karnataka"/>
    <n v="560102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561969-4371133-1-1"/>
    <x v="84"/>
    <x v="1"/>
    <n v="1"/>
    <n v="1"/>
    <n v="3750"/>
    <n v="3188"/>
    <n v="3207.56"/>
    <n v="19.559999999999999"/>
    <s v="COD"/>
    <d v="2025-09-17T15:49:31"/>
    <d v="2025-09-18T16:48:43"/>
    <d v="2025-09-20T12:43:11"/>
    <s v=""/>
    <s v="Tiny Kingdom"/>
    <s v=""/>
    <s v="Raise Return"/>
    <d v="2025-10-24T15:06:22"/>
    <s v="NAVI MUMBAI"/>
    <s v="Maharashtra"/>
    <n v="410206"/>
    <s v="India"/>
    <n v="3188"/>
    <n v="12"/>
    <n v="6"/>
    <n v="6"/>
    <n v="0"/>
    <n v="341.57100000000003"/>
    <n v="170.786"/>
    <n v="170.786"/>
    <n v="0"/>
    <n v="0.75"/>
    <n v="3188"/>
    <n v="341.572"/>
    <n v="3529.5720000000001"/>
  </r>
  <r>
    <s v="NYK-31888589-1260469-1-1"/>
    <x v="85"/>
    <x v="0"/>
    <n v="1"/>
    <n v="1"/>
    <n v="3750"/>
    <n v="3563"/>
    <n v="3592"/>
    <n v="29"/>
    <s v="Prepaid"/>
    <d v="2025-09-28T14:51:00"/>
    <d v="2025-09-30T15:34:10"/>
    <d v="2025-10-02T12:13:58"/>
    <s v=""/>
    <s v="Tiny Kingdom"/>
    <s v=""/>
    <s v=""/>
    <d v="2025-10-02T12:16:21"/>
    <s v="Greater Thane"/>
    <s v="Maharashtra"/>
    <n v="421204"/>
    <s v="India"/>
    <n v="3563"/>
    <n v="18"/>
    <n v="9"/>
    <n v="9"/>
    <n v="0"/>
    <n v="543.50800000000004"/>
    <n v="271.75400000000002"/>
    <n v="271.75400000000002"/>
    <n v="0"/>
    <n v="0.75"/>
    <n v="3563"/>
    <n v="543.50800000000004"/>
    <n v="4106.5079999999998"/>
  </r>
  <r>
    <s v="NYK-31677921-2330968-1-1"/>
    <x v="86"/>
    <x v="1"/>
    <n v="1"/>
    <n v="1"/>
    <n v="3750"/>
    <n v="3563"/>
    <n v="3592"/>
    <n v="29"/>
    <s v="Prepaid"/>
    <d v="2025-09-21T16:28:51"/>
    <d v="2025-09-24T15:00:36"/>
    <d v="2025-09-25T18:12:17"/>
    <s v=""/>
    <s v="Tiny Kingdom"/>
    <s v=""/>
    <s v="Raise Return"/>
    <d v="2025-09-30T15:35:57"/>
    <s v="Greater Thane"/>
    <s v="Maharashtra"/>
    <n v="421005"/>
    <s v="India"/>
    <n v="3563"/>
    <n v="18"/>
    <n v="9"/>
    <n v="9"/>
    <n v="0"/>
    <n v="543.50800000000004"/>
    <n v="271.75400000000002"/>
    <n v="271.75400000000002"/>
    <n v="0"/>
    <n v="0.75"/>
    <n v="3563"/>
    <n v="543.50800000000004"/>
    <n v="4106.5079999999998"/>
  </r>
  <r>
    <s v="NYK-31787713-8512967-3-1"/>
    <x v="87"/>
    <x v="1"/>
    <n v="1"/>
    <n v="1"/>
    <n v="3750"/>
    <n v="3563"/>
    <n v="3582.92"/>
    <n v="19.920000000000002"/>
    <s v="Prepaid"/>
    <d v="2025-09-24T23:58:33"/>
    <d v="2025-09-25T17:20:26"/>
    <d v="2025-09-30T14:03:47"/>
    <s v=""/>
    <s v="Tiny Kingdom"/>
    <s v=""/>
    <s v="Raise Return"/>
    <d v="2025-10-15T20:41:25"/>
    <s v="Bareilly"/>
    <s v="Uttar Pradesh"/>
    <n v="243001"/>
    <s v="India"/>
    <n v="3563"/>
    <n v="18"/>
    <n v="0"/>
    <n v="0"/>
    <n v="18"/>
    <n v="543.50800000000004"/>
    <n v="0"/>
    <n v="0"/>
    <n v="543.50800000000004"/>
    <n v="0.75"/>
    <n v="3563"/>
    <n v="543.50800000000004"/>
    <n v="4106.5079999999998"/>
  </r>
  <r>
    <s v="NYK-31777046-7319477-1-1"/>
    <x v="88"/>
    <x v="0"/>
    <n v="1"/>
    <n v="1"/>
    <n v="3500"/>
    <n v="3150"/>
    <n v="3150"/>
    <n v="0"/>
    <s v="Prepaid"/>
    <d v="2025-09-24T18:05:19"/>
    <d v="2025-09-25T17:20:14"/>
    <d v="2025-09-28T13:28:07"/>
    <s v=""/>
    <s v="Tiny Kingdom"/>
    <s v=""/>
    <s v=""/>
    <d v="2025-09-28T13:31:14"/>
    <s v="Nipani"/>
    <s v="Karnataka"/>
    <n v="591237"/>
    <s v="India"/>
    <n v="3150"/>
    <n v="18"/>
    <n v="0"/>
    <n v="0"/>
    <n v="18"/>
    <n v="480.50799999999998"/>
    <n v="0"/>
    <n v="0"/>
    <n v="480.50799999999998"/>
    <n v="0.85"/>
    <n v="3150"/>
    <n v="480.50799999999998"/>
    <n v="3630.5079999999998"/>
  </r>
  <r>
    <s v="NYK-31359099-7298263-5-1"/>
    <x v="89"/>
    <x v="1"/>
    <n v="1"/>
    <n v="1"/>
    <n v="3500"/>
    <n v="2975"/>
    <n v="2979.1"/>
    <n v="4.0999999999999996"/>
    <s v="Prepaid"/>
    <d v="2025-09-10T12:24:58"/>
    <d v="2025-09-11T14:54:18"/>
    <d v="2025-09-15T11:39:46"/>
    <s v=""/>
    <s v="Tiny Kingdom"/>
    <s v=""/>
    <s v="Raise Return"/>
    <d v="2025-09-22T19:56:16"/>
    <s v="Noida"/>
    <s v="Uttar Pradesh"/>
    <n v="201301"/>
    <s v="India"/>
    <n v="2975"/>
    <n v="12"/>
    <n v="0"/>
    <n v="0"/>
    <n v="12"/>
    <n v="318.75"/>
    <n v="0"/>
    <n v="0"/>
    <n v="318.75"/>
    <n v="0.85"/>
    <n v="2975"/>
    <n v="318.75"/>
    <n v="3293.75"/>
  </r>
  <r>
    <s v="NYK-31798982-4363940-3-1"/>
    <x v="90"/>
    <x v="0"/>
    <n v="1"/>
    <n v="1"/>
    <n v="4000"/>
    <n v="3600"/>
    <n v="3626.18"/>
    <n v="26.18"/>
    <s v="COD"/>
    <d v="2025-09-25T12:42:44"/>
    <d v="2025-09-25T14:47:53"/>
    <d v="2025-09-27T17:59:56"/>
    <s v=""/>
    <s v="Tiny Kingdom"/>
    <s v=""/>
    <s v=""/>
    <d v="2025-09-27T18:01:27"/>
    <s v="Gurugram"/>
    <s v="Haryana"/>
    <n v="122017"/>
    <s v="India"/>
    <n v="3600"/>
    <n v="18"/>
    <n v="0"/>
    <n v="0"/>
    <n v="18"/>
    <n v="549.15300000000002"/>
    <n v="0"/>
    <n v="0"/>
    <n v="549.15300000000002"/>
    <n v="0.75"/>
    <n v="3600"/>
    <n v="549.15300000000002"/>
    <n v="4149.1530000000002"/>
  </r>
  <r>
    <s v="NYK-31895493-6114566-3-1"/>
    <x v="91"/>
    <x v="0"/>
    <n v="1"/>
    <n v="1"/>
    <n v="4000"/>
    <n v="3600"/>
    <n v="3615.73"/>
    <n v="15.73"/>
    <s v="Prepaid"/>
    <d v="2025-09-28T18:58:35"/>
    <d v="2025-09-30T17:00:35"/>
    <d v="2025-10-05T12:09:51"/>
    <s v=""/>
    <s v="Tiny Kingdom"/>
    <s v=""/>
    <s v=""/>
    <d v="2025-10-05T12:16:05"/>
    <s v="Malout"/>
    <s v="Punjab"/>
    <n v="152107"/>
    <s v="India"/>
    <n v="3600"/>
    <n v="18"/>
    <n v="0"/>
    <n v="0"/>
    <n v="18"/>
    <n v="549.15300000000002"/>
    <n v="0"/>
    <n v="0"/>
    <n v="549.15300000000002"/>
    <n v="0.75"/>
    <n v="3600"/>
    <n v="549.15300000000002"/>
    <n v="4149.1530000000002"/>
  </r>
  <r>
    <s v="NYK-31904124-2720620-3-1"/>
    <x v="92"/>
    <x v="1"/>
    <n v="1"/>
    <n v="1"/>
    <n v="4000"/>
    <n v="3600"/>
    <n v="3615.1149999999998"/>
    <n v="15.115"/>
    <s v="COD"/>
    <d v="2025-09-28T23:35:21"/>
    <d v="2025-09-30T17:00:42"/>
    <d v="2025-10-03T16:41:30"/>
    <s v=""/>
    <s v="Tiny Kingdom"/>
    <s v=""/>
    <s v="Raise Return"/>
    <d v="2025-10-13T20:46:29"/>
    <s v="Indore"/>
    <s v="Madhya Pradesh"/>
    <n v="452001"/>
    <s v="India"/>
    <n v="3600"/>
    <n v="18"/>
    <n v="0"/>
    <n v="0"/>
    <n v="18"/>
    <n v="549.15300000000002"/>
    <n v="0"/>
    <n v="0"/>
    <n v="549.15300000000002"/>
    <n v="1"/>
    <n v="3600"/>
    <n v="549.15300000000002"/>
    <n v="4149.1530000000002"/>
  </r>
  <r>
    <s v="NYK-31555794-9864111-1-1"/>
    <x v="92"/>
    <x v="0"/>
    <n v="1"/>
    <n v="1"/>
    <n v="4000"/>
    <n v="3400"/>
    <n v="3449"/>
    <n v="49"/>
    <s v="COD"/>
    <d v="2025-09-17T11:47:44"/>
    <d v="2025-09-18T15:01:22"/>
    <d v="2025-09-19T20:57:47"/>
    <s v=""/>
    <s v="Tiny Kingdom"/>
    <s v=""/>
    <s v=""/>
    <d v="2025-09-19T21:01:18"/>
    <s v="Mumbai"/>
    <s v="Maharashtra"/>
    <n v="400074"/>
    <s v="India"/>
    <n v="3400"/>
    <n v="12"/>
    <n v="6"/>
    <n v="6"/>
    <n v="0"/>
    <n v="364.286"/>
    <n v="182.143"/>
    <n v="182.143"/>
    <n v="0"/>
    <n v="0.75"/>
    <n v="3400"/>
    <n v="364.286"/>
    <n v="3764.2860000000001"/>
  </r>
  <r>
    <s v="NYK-31182257-5627184-1-1"/>
    <x v="92"/>
    <x v="0"/>
    <n v="1"/>
    <n v="1"/>
    <n v="4000"/>
    <n v="3400"/>
    <n v="3449"/>
    <n v="49"/>
    <s v="COD"/>
    <d v="2025-09-04T11:30:27"/>
    <d v="2025-09-04T17:49:00"/>
    <d v="2025-09-07T11:04:59"/>
    <s v=""/>
    <s v="Tiny Kingdom"/>
    <s v=""/>
    <s v=""/>
    <d v="2025-09-07T11:06:40"/>
    <s v="Khalilabad"/>
    <s v="Uttar Pradesh"/>
    <n v="272175"/>
    <s v="India"/>
    <n v="3400"/>
    <n v="12"/>
    <n v="0"/>
    <n v="0"/>
    <n v="12"/>
    <n v="364.286"/>
    <n v="0"/>
    <n v="0"/>
    <n v="364.286"/>
    <n v="0.75"/>
    <n v="3400"/>
    <n v="364.286"/>
    <n v="3764.2860000000001"/>
  </r>
  <r>
    <s v="NYK-31499737-2907983-1-1"/>
    <x v="93"/>
    <x v="0"/>
    <n v="1"/>
    <n v="1"/>
    <n v="4000"/>
    <n v="3400"/>
    <n v="3449"/>
    <n v="49"/>
    <s v="COD"/>
    <d v="2025-09-15T10:38:28"/>
    <d v="2025-09-17T15:13:14"/>
    <d v="2025-09-22T15:34:25"/>
    <s v=""/>
    <s v="Tiny Kingdom"/>
    <s v=""/>
    <s v=""/>
    <d v="2025-09-22T15:51:14"/>
    <s v="New Delhi"/>
    <s v="Delhi"/>
    <n v="110070"/>
    <s v="India"/>
    <n v="3400"/>
    <n v="12"/>
    <n v="0"/>
    <n v="0"/>
    <n v="12"/>
    <n v="364.286"/>
    <n v="0"/>
    <n v="0"/>
    <n v="364.286"/>
    <n v="0.75"/>
    <n v="3400"/>
    <n v="364.286"/>
    <n v="3764.2860000000001"/>
  </r>
  <r>
    <s v="NYK-31233401-1484894-2-1"/>
    <x v="93"/>
    <x v="1"/>
    <n v="1"/>
    <n v="1"/>
    <n v="4000"/>
    <n v="3400"/>
    <n v="3426.5"/>
    <n v="26.5"/>
    <s v="COD"/>
    <d v="2025-09-06T06:48:05"/>
    <d v="2025-09-08T17:30:37"/>
    <d v="2025-09-16T12:46:49"/>
    <s v=""/>
    <s v="Tiny Kingdom"/>
    <s v=""/>
    <s v="Raise Return"/>
    <d v="2025-09-30T20:51:17"/>
    <s v="Guwahati"/>
    <s v="Assam"/>
    <n v="781026"/>
    <s v="India"/>
    <n v="3400"/>
    <n v="12"/>
    <n v="0"/>
    <n v="0"/>
    <n v="12"/>
    <n v="364.286"/>
    <n v="0"/>
    <n v="0"/>
    <n v="364.286"/>
    <n v="0.75"/>
    <n v="3400"/>
    <n v="364.286"/>
    <n v="3764.2860000000001"/>
  </r>
  <r>
    <s v="NYK-31720011-9201255-1-1"/>
    <x v="94"/>
    <x v="1"/>
    <n v="1"/>
    <n v="1"/>
    <n v="3500"/>
    <n v="3150"/>
    <n v="3150"/>
    <n v="0"/>
    <s v="Prepaid"/>
    <d v="2025-09-22T22:10:01"/>
    <d v="2025-09-23T17:22:30"/>
    <d v="2025-09-26T09:47:20"/>
    <s v=""/>
    <s v="Tiny Kingdom"/>
    <s v=""/>
    <s v="Raise Return"/>
    <d v="2025-10-09T15:01:23"/>
    <s v="Gola"/>
    <s v="Uttar Pradesh"/>
    <n v="262802"/>
    <s v="India"/>
    <n v="3150"/>
    <n v="18"/>
    <n v="0"/>
    <n v="0"/>
    <n v="18"/>
    <n v="480.50799999999998"/>
    <n v="0"/>
    <n v="0"/>
    <n v="480.50799999999998"/>
    <n v="0.75"/>
    <n v="3150"/>
    <n v="480.50799999999998"/>
    <n v="3630.5079999999998"/>
  </r>
  <r>
    <s v="NYK-31880375-3998795-1-1"/>
    <x v="95"/>
    <x v="0"/>
    <n v="1"/>
    <n v="1"/>
    <n v="3500"/>
    <n v="3150"/>
    <n v="3150"/>
    <n v="0"/>
    <s v="Prepaid"/>
    <d v="2025-09-28T10:03:19"/>
    <d v="2025-09-30T17:00:34"/>
    <d v="2025-10-05T12:33:17"/>
    <s v=""/>
    <s v="Tiny Kingdom"/>
    <s v=""/>
    <s v=""/>
    <d v="2025-10-05T12:36:00"/>
    <s v="Gola"/>
    <s v="Uttar Pradesh"/>
    <n v="262802"/>
    <s v="India"/>
    <n v="3150"/>
    <n v="18"/>
    <n v="0"/>
    <n v="0"/>
    <n v="18"/>
    <n v="480.50799999999998"/>
    <n v="0"/>
    <n v="0"/>
    <n v="480.50799999999998"/>
    <n v="0.75"/>
    <n v="3150"/>
    <n v="480.50799999999998"/>
    <n v="3630.5079999999998"/>
  </r>
  <r>
    <s v="NYK-31910453-9810715-1-1"/>
    <x v="96"/>
    <x v="0"/>
    <n v="1"/>
    <n v="1"/>
    <n v="3500"/>
    <n v="3150"/>
    <n v="3199"/>
    <n v="49"/>
    <s v="COD"/>
    <d v="2025-09-29T09:53:31"/>
    <d v="2025-09-30T17:00:32"/>
    <d v="2025-10-04T14:26:47"/>
    <s v=""/>
    <s v="Tiny Kingdom"/>
    <s v=""/>
    <s v=""/>
    <d v="2025-10-04T14:31:12"/>
    <s v="Gajraula"/>
    <s v="Uttar Pradesh"/>
    <n v="244235"/>
    <s v="India"/>
    <n v="3150"/>
    <n v="18"/>
    <n v="0"/>
    <n v="0"/>
    <n v="18"/>
    <n v="480.50799999999998"/>
    <n v="0"/>
    <n v="0"/>
    <n v="480.50799999999998"/>
    <n v="0.75"/>
    <n v="3150"/>
    <n v="480.50799999999998"/>
    <n v="3630.5079999999998"/>
  </r>
  <r>
    <s v="NYK-31705601-9785728-1-1"/>
    <x v="97"/>
    <x v="1"/>
    <n v="1"/>
    <n v="1"/>
    <n v="3500"/>
    <n v="3150"/>
    <n v="3179"/>
    <n v="29"/>
    <s v="Prepaid"/>
    <d v="2025-09-22T13:59:46"/>
    <d v="2025-09-22T17:48:18"/>
    <d v="2025-09-25T14:02:17"/>
    <s v=""/>
    <s v="Tiny Kingdom"/>
    <s v=""/>
    <s v="Raise Return"/>
    <d v="2025-10-09T15:01:23"/>
    <s v="Mohiuddin Nagar"/>
    <s v="Bihar"/>
    <n v="848502"/>
    <s v="India"/>
    <n v="3150"/>
    <n v="18"/>
    <n v="0"/>
    <n v="0"/>
    <n v="18"/>
    <n v="480.50799999999998"/>
    <n v="0"/>
    <n v="0"/>
    <n v="480.50799999999998"/>
    <n v="0.75"/>
    <n v="3150"/>
    <n v="480.50799999999998"/>
    <n v="3630.5079999999998"/>
  </r>
  <r>
    <s v="NYK-31674274-4845196-1-1"/>
    <x v="97"/>
    <x v="2"/>
    <n v="1"/>
    <n v="1"/>
    <n v="3500"/>
    <n v="3150"/>
    <n v="3170"/>
    <n v="20"/>
    <s v="COD"/>
    <d v="2025-09-21T14:24:05"/>
    <d v="2025-09-24T15:00:36"/>
    <m/>
    <s v=""/>
    <s v="Tiny Kingdom"/>
    <s v=""/>
    <s v="RTO"/>
    <d v="2025-09-30T15:35:51"/>
    <s v="Greater Thane"/>
    <s v="Maharashtra"/>
    <n v="421501"/>
    <s v="India"/>
    <n v="3150"/>
    <n v="18"/>
    <n v="9"/>
    <n v="9"/>
    <n v="0"/>
    <n v="480.50799999999998"/>
    <n v="240.25399999999999"/>
    <n v="240.25399999999999"/>
    <n v="0"/>
    <n v="0.75"/>
    <n v="3150"/>
    <n v="480.50799999999998"/>
    <n v="3630.5079999999998"/>
  </r>
  <r>
    <s v="NYK-31626873-8264589-1-1"/>
    <x v="97"/>
    <x v="0"/>
    <n v="1"/>
    <n v="1"/>
    <n v="3500"/>
    <n v="3150"/>
    <n v="3170"/>
    <n v="20"/>
    <s v="COD"/>
    <d v="2025-09-19T21:41:05"/>
    <d v="2025-09-20T16:47:10"/>
    <d v="2025-09-24T11:27:10"/>
    <s v=""/>
    <s v="Tiny Kingdom"/>
    <s v=""/>
    <s v=""/>
    <d v="2025-09-24T12:21:23"/>
    <s v="Rajkot"/>
    <s v="Gujarat"/>
    <n v="360005"/>
    <s v="India"/>
    <n v="3150"/>
    <n v="12"/>
    <n v="0"/>
    <n v="0"/>
    <n v="12"/>
    <n v="337.5"/>
    <n v="0"/>
    <n v="0"/>
    <n v="337.5"/>
    <n v="0.75"/>
    <n v="3150"/>
    <n v="337.5"/>
    <n v="3487.5"/>
  </r>
  <r>
    <s v="NYK-31904124-2720620-3-1"/>
    <x v="98"/>
    <x v="1"/>
    <n v="1"/>
    <n v="1"/>
    <n v="3500"/>
    <n v="3150"/>
    <n v="3163.2249999999999"/>
    <n v="13.225"/>
    <s v="COD"/>
    <d v="2025-09-28T23:35:21"/>
    <d v="2025-09-30T17:00:42"/>
    <d v="2025-10-03T16:41:30"/>
    <s v=""/>
    <s v="Tiny Kingdom"/>
    <s v=""/>
    <s v="Raise Return"/>
    <d v="2025-10-09T20:46:29"/>
    <s v="Indore"/>
    <s v="Madhya Pradesh"/>
    <n v="452001"/>
    <s v="India"/>
    <n v="3150"/>
    <n v="18"/>
    <n v="0"/>
    <n v="0"/>
    <n v="18"/>
    <n v="480.50799999999998"/>
    <n v="0"/>
    <n v="0"/>
    <n v="480.50799999999998"/>
    <n v="1"/>
    <n v="3150"/>
    <n v="480.50799999999998"/>
    <n v="3630.5079999999998"/>
  </r>
  <r>
    <s v="NYK-31800365-7536903-1-1"/>
    <x v="98"/>
    <x v="0"/>
    <n v="1"/>
    <n v="1"/>
    <n v="3500"/>
    <n v="3150"/>
    <n v="3179.63"/>
    <n v="29.63"/>
    <s v="COD"/>
    <d v="2025-09-25T13:35:37"/>
    <d v="2025-09-25T17:20:44"/>
    <d v="2025-09-28T16:31:42"/>
    <s v=""/>
    <s v="Tiny Kingdom"/>
    <s v=""/>
    <s v=""/>
    <d v="2025-09-28T16:36:05"/>
    <s v="Vikas Nagar"/>
    <s v="Uttarakhand"/>
    <n v="248198"/>
    <s v="India"/>
    <n v="3150"/>
    <n v="18"/>
    <n v="0"/>
    <n v="0"/>
    <n v="18"/>
    <n v="480.50799999999998"/>
    <n v="0"/>
    <n v="0"/>
    <n v="480.50799999999998"/>
    <n v="0.75"/>
    <n v="3150"/>
    <n v="480.50799999999998"/>
    <n v="3630.5079999999998"/>
  </r>
  <r>
    <s v="NYK-31763834-7494212-1-1"/>
    <x v="98"/>
    <x v="1"/>
    <n v="1"/>
    <n v="1"/>
    <n v="3500"/>
    <n v="3150"/>
    <n v="3176.38"/>
    <n v="26.38"/>
    <s v="COD"/>
    <d v="2025-09-24T09:48:14"/>
    <d v="2025-09-24T15:00:36"/>
    <d v="2025-09-29T14:55:41"/>
    <s v=""/>
    <s v="Tiny Kingdom"/>
    <s v=""/>
    <s v="Raise Return"/>
    <d v="2025-10-16T14:36:18"/>
    <s v="Raigarh"/>
    <s v="Chhattisgarh"/>
    <n v="496001"/>
    <s v="India"/>
    <n v="3150"/>
    <n v="18"/>
    <n v="0"/>
    <n v="0"/>
    <n v="18"/>
    <n v="480.50799999999998"/>
    <n v="0"/>
    <n v="0"/>
    <n v="480.50799999999998"/>
    <n v="0.75"/>
    <n v="3150"/>
    <n v="480.50799999999998"/>
    <n v="3630.5079999999998"/>
  </r>
  <r>
    <s v="NYK-31629958-4317763-1-1"/>
    <x v="98"/>
    <x v="2"/>
    <n v="1"/>
    <n v="1"/>
    <n v="3500"/>
    <n v="3150"/>
    <n v="3199"/>
    <n v="49"/>
    <s v="COD"/>
    <d v="2025-09-19T23:21:58"/>
    <d v="2025-09-20T16:47:20"/>
    <m/>
    <s v=""/>
    <s v="Tiny Kingdom"/>
    <s v=""/>
    <s v="RTO"/>
    <d v="2025-10-03T21:16:09"/>
    <s v="Kharagpur"/>
    <s v="West Bengal"/>
    <n v="721301"/>
    <s v="India"/>
    <n v="3150"/>
    <n v="12"/>
    <n v="0"/>
    <n v="0"/>
    <n v="12"/>
    <n v="337.5"/>
    <n v="0"/>
    <n v="0"/>
    <n v="337.5"/>
    <n v="0.75"/>
    <n v="3150"/>
    <n v="337.5"/>
    <n v="3487.5"/>
  </r>
  <r>
    <s v="NYK-31832259-9519883-1-1"/>
    <x v="99"/>
    <x v="2"/>
    <n v="1"/>
    <n v="1"/>
    <n v="3500"/>
    <n v="3150"/>
    <n v="3199"/>
    <n v="49"/>
    <s v="COD"/>
    <d v="2025-09-26T15:08:40"/>
    <d v="2025-09-29T17:00:09"/>
    <m/>
    <s v=""/>
    <s v="Tiny Kingdom"/>
    <s v=""/>
    <s v="RTO"/>
    <d v="2025-10-08T20:41:11"/>
    <s v="Bahraich"/>
    <s v="Uttar Pradesh"/>
    <n v="271865"/>
    <s v="India"/>
    <n v="3150"/>
    <n v="18"/>
    <n v="0"/>
    <n v="0"/>
    <n v="18"/>
    <n v="480.50799999999998"/>
    <n v="0"/>
    <n v="0"/>
    <n v="480.50799999999998"/>
    <n v="0.75"/>
    <n v="3150"/>
    <n v="480.50799999999998"/>
    <n v="3630.5079999999998"/>
  </r>
  <r>
    <s v="NYK-31229329-6464710-1-1"/>
    <x v="100"/>
    <x v="0"/>
    <n v="1"/>
    <n v="1"/>
    <n v="4000"/>
    <n v="3400"/>
    <n v="3429"/>
    <n v="29"/>
    <s v="Prepaid"/>
    <d v="2025-09-05T23:51:05"/>
    <d v="2025-09-09T17:13:30"/>
    <d v="2025-09-14T15:35:17"/>
    <s v=""/>
    <s v="Tiny Kingdom"/>
    <s v=""/>
    <s v=""/>
    <d v="2025-09-14T15:36:12"/>
    <s v="New Delhi"/>
    <s v="Delhi"/>
    <n v="110075"/>
    <s v="India"/>
    <n v="3400"/>
    <n v="12"/>
    <n v="0"/>
    <n v="0"/>
    <n v="12"/>
    <n v="364.286"/>
    <n v="0"/>
    <n v="0"/>
    <n v="364.286"/>
    <n v="0.75"/>
    <n v="3400"/>
    <n v="364.286"/>
    <n v="3764.2860000000001"/>
  </r>
  <r>
    <s v="NYK-31462639-1367697-1-1"/>
    <x v="101"/>
    <x v="0"/>
    <n v="1"/>
    <n v="1"/>
    <n v="4000"/>
    <n v="3400"/>
    <n v="3423.5"/>
    <n v="23.5"/>
    <s v="COD"/>
    <d v="2025-09-14T00:52:48"/>
    <d v="2025-09-17T15:13:14"/>
    <d v="2025-09-19T20:20:22"/>
    <s v=""/>
    <s v="Tiny Kingdom"/>
    <s v=""/>
    <s v=""/>
    <d v="2025-09-19T20:31:18"/>
    <s v="Gurgaon"/>
    <s v="Haryana"/>
    <n v="122004"/>
    <s v="India"/>
    <n v="3400"/>
    <n v="12"/>
    <n v="0"/>
    <n v="0"/>
    <n v="12"/>
    <n v="364.286"/>
    <n v="0"/>
    <n v="0"/>
    <n v="364.286"/>
    <n v="0.75"/>
    <n v="3400"/>
    <n v="364.286"/>
    <n v="3764.2860000000001"/>
  </r>
  <r>
    <s v="NYK-31525645-8429071-1-1"/>
    <x v="102"/>
    <x v="2"/>
    <n v="1"/>
    <n v="1"/>
    <n v="2000"/>
    <n v="1600"/>
    <n v="1649"/>
    <n v="49"/>
    <s v="COD"/>
    <d v="2025-09-16T10:23:49"/>
    <d v="2025-09-17T15:13:14"/>
    <m/>
    <s v=""/>
    <s v="Tiny Kingdom"/>
    <s v=""/>
    <s v="RTO"/>
    <d v="2025-10-03T15:21:15"/>
    <s v="Noida"/>
    <s v="Uttar Pradesh"/>
    <n v="201301"/>
    <s v="India"/>
    <n v="1600"/>
    <n v="12"/>
    <n v="0"/>
    <n v="0"/>
    <n v="12"/>
    <n v="171.429"/>
    <n v="0"/>
    <n v="0"/>
    <n v="171.429"/>
    <n v="0.75"/>
    <n v="1600"/>
    <n v="171.429"/>
    <n v="1771.4290000000001"/>
  </r>
  <r>
    <s v="NYK-31435390-2024207-3-1"/>
    <x v="103"/>
    <x v="1"/>
    <n v="1"/>
    <n v="1"/>
    <n v="2000"/>
    <n v="1600"/>
    <n v="1605"/>
    <n v="5"/>
    <s v="COD"/>
    <d v="2025-09-13T08:23:44"/>
    <d v="2025-09-17T15:13:14"/>
    <d v="2025-09-23T13:30:55"/>
    <s v=""/>
    <s v="Tiny Kingdom"/>
    <s v=""/>
    <s v="Raise Return"/>
    <d v="2025-10-04T14:56:16"/>
    <s v="Noida"/>
    <s v="Uttar Pradesh"/>
    <n v="201306"/>
    <s v="India"/>
    <n v="1600"/>
    <n v="12"/>
    <n v="0"/>
    <n v="0"/>
    <n v="12"/>
    <n v="171.429"/>
    <n v="0"/>
    <n v="0"/>
    <n v="171.429"/>
    <n v="0.75"/>
    <n v="1600"/>
    <n v="171.429"/>
    <n v="1771.4290000000001"/>
  </r>
  <r>
    <s v="NYK-31497082-3871784-1-1"/>
    <x v="104"/>
    <x v="0"/>
    <n v="1"/>
    <n v="1"/>
    <n v="4000"/>
    <n v="3400"/>
    <n v="3449"/>
    <n v="49"/>
    <s v="COD"/>
    <d v="2025-09-15T08:07:52"/>
    <d v="2025-09-15T16:31:56"/>
    <d v="2025-09-19T11:49:28"/>
    <s v=""/>
    <s v="Tiny Kingdom"/>
    <s v=""/>
    <s v=""/>
    <d v="2025-09-19T11:51:00"/>
    <s v="Ballinga"/>
    <s v="orissa"/>
    <n v="770076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722596-3134200-1-1"/>
    <x v="105"/>
    <x v="1"/>
    <n v="1"/>
    <n v="1"/>
    <n v="4000"/>
    <n v="3600"/>
    <n v="3629"/>
    <n v="29"/>
    <s v="Prepaid"/>
    <d v="2025-09-22T23:15:34"/>
    <d v="2025-09-23T17:22:33"/>
    <d v="2025-09-25T15:59:15"/>
    <s v=""/>
    <s v="Tiny Kingdom"/>
    <s v=""/>
    <s v="Raise Return"/>
    <d v="2025-10-03T21:16:15"/>
    <s v="Ranchi"/>
    <s v="Jharkhand"/>
    <n v="834008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841604-2502436-1-1"/>
    <x v="106"/>
    <x v="0"/>
    <n v="1"/>
    <n v="1"/>
    <n v="3250"/>
    <n v="2600"/>
    <n v="2629"/>
    <n v="29"/>
    <s v="Prepaid"/>
    <d v="2025-09-26T21:31:42"/>
    <d v="2025-09-29T17:00:14"/>
    <d v="2025-10-01T12:47:46"/>
    <s v=""/>
    <s v="Tiny Kingdom"/>
    <s v=""/>
    <s v=""/>
    <d v="2025-10-01T12:50:56"/>
    <s v="Mumbai"/>
    <s v="Maharashtra"/>
    <n v="401107"/>
    <s v="India"/>
    <n v="2600"/>
    <n v="5"/>
    <n v="2.5"/>
    <n v="2.5"/>
    <n v="0"/>
    <n v="123.81"/>
    <n v="61.905000000000001"/>
    <n v="61.905000000000001"/>
    <n v="0"/>
    <n v="0.75"/>
    <n v="2600"/>
    <n v="123.81"/>
    <n v="2723.81"/>
  </r>
  <r>
    <s v="NYK-31620805-3394006-2-1"/>
    <x v="107"/>
    <x v="1"/>
    <n v="1"/>
    <n v="1"/>
    <n v="3250"/>
    <n v="2600"/>
    <n v="2617.33"/>
    <n v="17.329999999999998"/>
    <s v="Prepaid"/>
    <d v="2025-09-19T17:33:14"/>
    <d v="2025-09-20T16:47:17"/>
    <d v="2025-09-22T14:52:13"/>
    <s v=""/>
    <s v="Tiny Kingdom"/>
    <s v=""/>
    <s v="Raise Return"/>
    <d v="2025-10-07T21:35:56"/>
    <s v="Jaipur"/>
    <s v="Rajasthan"/>
    <n v="302018"/>
    <s v="India"/>
    <n v="2600"/>
    <n v="12"/>
    <n v="0"/>
    <n v="0"/>
    <n v="12"/>
    <n v="278.57100000000003"/>
    <n v="0"/>
    <n v="0"/>
    <n v="278.57100000000003"/>
    <n v="0.75"/>
    <n v="2600"/>
    <n v="278.57100000000003"/>
    <n v="2878.5709999999999"/>
  </r>
  <r>
    <s v="NYK-31828679-1196208-1-1"/>
    <x v="108"/>
    <x v="0"/>
    <n v="1"/>
    <n v="1"/>
    <n v="3750"/>
    <n v="3375"/>
    <n v="3375"/>
    <n v="0"/>
    <s v="Prepaid"/>
    <d v="2025-09-26T12:49:56"/>
    <d v="2025-09-26T17:16:05"/>
    <d v="2025-09-30T12:26:13"/>
    <s v=""/>
    <s v="Tiny Kingdom"/>
    <s v=""/>
    <s v=""/>
    <d v="2025-09-30T12:26:25"/>
    <s v="Agra"/>
    <s v="Uttar Pradesh"/>
    <n v="282010"/>
    <s v="India"/>
    <n v="3375"/>
    <n v="18"/>
    <n v="0"/>
    <n v="0"/>
    <n v="18"/>
    <n v="514.83100000000002"/>
    <n v="0"/>
    <n v="0"/>
    <n v="514.83100000000002"/>
    <n v="0.85"/>
    <n v="3375"/>
    <n v="514.83100000000002"/>
    <n v="3889.8310000000001"/>
  </r>
  <r>
    <s v="NYK-31761496-9594469-1-1"/>
    <x v="109"/>
    <x v="0"/>
    <n v="1"/>
    <n v="1"/>
    <n v="3750"/>
    <n v="3375"/>
    <n v="3404"/>
    <n v="29"/>
    <s v="Prepaid"/>
    <d v="2025-09-24T07:36:34"/>
    <d v="2025-09-24T15:00:36"/>
    <d v="2025-09-27T13:40:25"/>
    <s v=""/>
    <s v="Tiny Kingdom"/>
    <s v=""/>
    <s v=""/>
    <d v="2025-09-27T13:41:20"/>
    <s v="Bangalore"/>
    <s v="Karnataka"/>
    <n v="560072"/>
    <s v="India"/>
    <n v="3375"/>
    <n v="18"/>
    <n v="0"/>
    <n v="0"/>
    <n v="18"/>
    <n v="514.83100000000002"/>
    <n v="0"/>
    <n v="0"/>
    <n v="514.83100000000002"/>
    <n v="0.75"/>
    <n v="3375"/>
    <n v="514.83100000000002"/>
    <n v="3889.8310000000001"/>
  </r>
  <r>
    <s v="NYK-31273407-2220646-2-1"/>
    <x v="110"/>
    <x v="0"/>
    <n v="1"/>
    <n v="1"/>
    <n v="3750"/>
    <n v="3188"/>
    <n v="3199.72"/>
    <n v="11.72"/>
    <s v="Prepaid"/>
    <d v="2025-09-07T13:33:41"/>
    <d v="2025-09-09T17:13:30"/>
    <d v="2025-09-13T12:58:48"/>
    <s v=""/>
    <s v="Tiny Kingdom"/>
    <s v=""/>
    <s v=""/>
    <d v="2025-09-13T13:26:08"/>
    <s v="Bangalore"/>
    <s v="Karnataka"/>
    <n v="560100"/>
    <s v="India"/>
    <n v="3188"/>
    <n v="12"/>
    <n v="0"/>
    <n v="0"/>
    <n v="12"/>
    <n v="341.57100000000003"/>
    <n v="0"/>
    <n v="0"/>
    <n v="341.57100000000003"/>
    <n v="0.75"/>
    <n v="3188"/>
    <n v="341.57100000000003"/>
    <n v="3529.5709999999999"/>
  </r>
  <r>
    <s v="NYK-31598932-1344166-2-1"/>
    <x v="111"/>
    <x v="0"/>
    <n v="1"/>
    <n v="1"/>
    <n v="3750"/>
    <n v="3188"/>
    <n v="3203.44"/>
    <n v="15.44"/>
    <s v="Prepaid"/>
    <d v="2025-09-18T21:32:24"/>
    <d v="2025-09-19T16:43:00"/>
    <d v="2025-09-22T11:52:06"/>
    <s v=""/>
    <s v="Tiny Kingdom"/>
    <s v=""/>
    <s v=""/>
    <d v="2025-09-22T12:21:10"/>
    <s v="Lucknow"/>
    <s v="Uttar Pradesh"/>
    <n v="226025"/>
    <s v="India"/>
    <n v="3188"/>
    <n v="12"/>
    <n v="0"/>
    <n v="0"/>
    <n v="12"/>
    <n v="341.57100000000003"/>
    <n v="0"/>
    <n v="0"/>
    <n v="341.57100000000003"/>
    <n v="0.75"/>
    <n v="3188"/>
    <n v="341.57100000000003"/>
    <n v="3529.5709999999999"/>
  </r>
  <r>
    <s v="NYK-31124556-8548390-1-1"/>
    <x v="111"/>
    <x v="0"/>
    <n v="1"/>
    <n v="1"/>
    <n v="3750"/>
    <n v="3188"/>
    <n v="3237"/>
    <n v="49"/>
    <s v="COD"/>
    <d v="2025-09-01T23:12:28"/>
    <d v="2025-09-02T16:04:46"/>
    <d v="2025-09-09T15:35:32"/>
    <s v=""/>
    <s v="Tiny Kingdom"/>
    <s v=""/>
    <s v=""/>
    <d v="2025-09-09T15:36:19"/>
    <s v="Pathankot"/>
    <s v="Punjab"/>
    <n v="145001"/>
    <s v="India"/>
    <n v="3188"/>
    <n v="12"/>
    <n v="0"/>
    <n v="0"/>
    <n v="12"/>
    <n v="341.57100000000003"/>
    <n v="0"/>
    <n v="0"/>
    <n v="341.57100000000003"/>
    <n v="0.75"/>
    <n v="3188"/>
    <n v="341.57100000000003"/>
    <n v="3529.5709999999999"/>
  </r>
  <r>
    <s v="NYK-31356146-9532018-1-1"/>
    <x v="112"/>
    <x v="0"/>
    <n v="1"/>
    <n v="1"/>
    <n v="4000"/>
    <n v="3400"/>
    <n v="3400"/>
    <n v="0"/>
    <s v="Prepaid"/>
    <d v="2025-09-10T10:15:32"/>
    <d v="2025-09-10T15:10:29"/>
    <d v="2025-09-14T18:08:41"/>
    <s v=""/>
    <s v="Tiny Kingdom"/>
    <s v=""/>
    <s v=""/>
    <d v="2025-09-14T18:16:16"/>
    <s v="Noida"/>
    <s v="Uttar Pradesh"/>
    <n v="201301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456870-0331850-1-1"/>
    <x v="113"/>
    <x v="1"/>
    <n v="1"/>
    <n v="1"/>
    <n v="4000"/>
    <n v="3400"/>
    <n v="3420"/>
    <n v="20"/>
    <s v="COD"/>
    <d v="2025-09-13T21:48:52"/>
    <d v="2025-09-17T16:38:20"/>
    <d v="2025-09-19T16:07:59"/>
    <s v=""/>
    <s v="Tiny Kingdom"/>
    <s v=""/>
    <s v="Raise Return"/>
    <d v="2025-09-25T20:36:21"/>
    <s v="Jaipur"/>
    <s v="Rajasthan"/>
    <n v="302020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894453-3885723-4-1"/>
    <x v="114"/>
    <x v="1"/>
    <n v="1"/>
    <n v="1"/>
    <n v="4000"/>
    <n v="3600"/>
    <n v="3609.08"/>
    <n v="9.08"/>
    <s v="Prepaid"/>
    <d v="2025-09-28T18:21:26"/>
    <d v="2025-09-30T15:34:10"/>
    <d v="2025-10-04T16:13:16"/>
    <s v=""/>
    <s v="Tiny Kingdom"/>
    <s v=""/>
    <s v="Raise Return"/>
    <d v="2025-10-11T20:06:24"/>
    <s v="Noida"/>
    <s v="Uttar Pradesh"/>
    <n v="201304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406091-8261348-1-1"/>
    <x v="115"/>
    <x v="0"/>
    <n v="1"/>
    <n v="1"/>
    <n v="4000"/>
    <n v="3400"/>
    <n v="3449"/>
    <n v="49"/>
    <s v="COD"/>
    <d v="2025-09-12T06:21:01"/>
    <d v="2025-09-12T17:12:38"/>
    <d v="2025-09-18T18:25:40"/>
    <s v=""/>
    <s v="Tiny Kingdom"/>
    <s v=""/>
    <s v=""/>
    <d v="2025-09-18T18:26:20"/>
    <s v="Khanapur"/>
    <s v="Karnataka"/>
    <n v="591302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887295-8600129-1-1"/>
    <x v="116"/>
    <x v="1"/>
    <n v="1"/>
    <n v="1"/>
    <n v="4250"/>
    <n v="3825"/>
    <n v="3850.95"/>
    <n v="25.95"/>
    <s v="Prepaid"/>
    <d v="2025-09-28T14:06:40"/>
    <d v="2025-09-30T15:34:10"/>
    <d v="2025-10-04T12:49:03"/>
    <s v=""/>
    <s v="Tiny Kingdom"/>
    <s v=""/>
    <s v="Raise Return"/>
    <d v="2025-10-13T20:46:29"/>
    <s v="New Delhi"/>
    <s v="Delhi"/>
    <n v="110085"/>
    <s v="India"/>
    <n v="3825"/>
    <n v="18"/>
    <n v="0"/>
    <n v="0"/>
    <n v="18"/>
    <n v="583.47500000000002"/>
    <n v="0"/>
    <n v="0"/>
    <n v="583.47500000000002"/>
    <n v="0.75"/>
    <n v="3825"/>
    <n v="583.47500000000002"/>
    <n v="4408.4750000000004"/>
  </r>
  <r>
    <s v="NYK-31754627-8007910-1-1"/>
    <x v="117"/>
    <x v="1"/>
    <n v="1"/>
    <n v="1"/>
    <n v="3000"/>
    <n v="2100"/>
    <n v="2100"/>
    <n v="0"/>
    <s v="Prepaid"/>
    <d v="2025-09-23T22:50:08"/>
    <d v="2025-09-24T16:46:38"/>
    <d v="2025-09-27T12:57:13"/>
    <s v=""/>
    <s v="TINY BABY"/>
    <s v=""/>
    <s v="Raise Return"/>
    <d v="2025-10-06T20:55:56"/>
    <s v="Dehradun"/>
    <s v="Uttarakhand"/>
    <n v="248001"/>
    <s v="India"/>
    <n v="2100"/>
    <n v="5"/>
    <n v="0"/>
    <n v="0"/>
    <n v="5"/>
    <n v="100"/>
    <n v="0"/>
    <n v="0"/>
    <n v="100"/>
    <n v="0.7"/>
    <n v="2100"/>
    <n v="100"/>
    <n v="2200"/>
  </r>
  <r>
    <s v="NYK-31442695-9517703-2-1"/>
    <x v="118"/>
    <x v="1"/>
    <n v="1"/>
    <n v="1"/>
    <n v="2500"/>
    <n v="2250"/>
    <n v="2263.04"/>
    <n v="13.04"/>
    <s v="COD"/>
    <d v="2025-09-13T13:15:18"/>
    <d v="2025-09-15T17:05:00"/>
    <d v="2025-09-17T18:33:00"/>
    <s v=""/>
    <s v="TINY BABY"/>
    <s v=""/>
    <s v="Raise Return"/>
    <d v="2025-09-26T22:41:17"/>
    <s v="Hyderabad"/>
    <s v="Telangana"/>
    <n v="500014"/>
    <s v="India"/>
    <n v="2250"/>
    <n v="12"/>
    <n v="0"/>
    <n v="0"/>
    <n v="12"/>
    <n v="241.071"/>
    <n v="0"/>
    <n v="0"/>
    <n v="241.071"/>
    <n v="0.65"/>
    <n v="2250"/>
    <n v="241.071"/>
    <n v="2491.0709999999999"/>
  </r>
  <r>
    <s v="NYK-31598836-1157666-1-1"/>
    <x v="119"/>
    <x v="0"/>
    <n v="1"/>
    <n v="1"/>
    <n v="2250"/>
    <n v="2025"/>
    <n v="2045"/>
    <n v="20"/>
    <s v="COD"/>
    <d v="2025-09-18T21:29:18"/>
    <d v="2025-09-19T14:22:07"/>
    <d v="2025-09-23T15:15:31"/>
    <s v=""/>
    <s v="TINY BABY"/>
    <s v=""/>
    <s v=""/>
    <d v="2025-09-23T15:21:03"/>
    <s v="Maheshtala"/>
    <s v="West Bengal"/>
    <n v="700141"/>
    <s v="India"/>
    <n v="2025"/>
    <n v="12"/>
    <n v="0"/>
    <n v="0"/>
    <n v="12"/>
    <n v="216.964"/>
    <n v="0"/>
    <n v="0"/>
    <n v="216.964"/>
    <n v="0.65"/>
    <n v="2025"/>
    <n v="216.964"/>
    <n v="2241.9639999999999"/>
  </r>
  <r>
    <s v="NYK-31926188-0586931-1-1"/>
    <x v="120"/>
    <x v="0"/>
    <n v="1"/>
    <n v="1"/>
    <n v="3250"/>
    <n v="2275"/>
    <n v="2301.076"/>
    <n v="26.076000000000001"/>
    <s v="COD"/>
    <d v="2025-09-29T21:13:07"/>
    <d v="2025-10-01T18:48:02"/>
    <d v="2025-10-07T17:10:56"/>
    <s v=""/>
    <s v="TINY BABY"/>
    <s v=""/>
    <s v=""/>
    <d v="2025-10-07T17:16:12"/>
    <s v="Mirzapur"/>
    <s v="Uttar Pradesh"/>
    <n v="231001"/>
    <s v="India"/>
    <n v="2275"/>
    <n v="5"/>
    <n v="0"/>
    <n v="0"/>
    <n v="5"/>
    <n v="108.333"/>
    <n v="0"/>
    <n v="0"/>
    <n v="108.333"/>
    <n v="1"/>
    <n v="2275"/>
    <n v="108.333"/>
    <n v="2383.3330000000001"/>
  </r>
  <r>
    <s v="NYK-31617881-6065113-1-1"/>
    <x v="121"/>
    <x v="1"/>
    <n v="1"/>
    <n v="1"/>
    <n v="3250"/>
    <n v="2275"/>
    <n v="2298.5929999999998"/>
    <n v="23.593"/>
    <s v="COD"/>
    <d v="2025-09-19T15:31:05"/>
    <d v="2025-09-20T16:47:41"/>
    <d v="2025-09-27T11:17:39"/>
    <s v=""/>
    <s v="TINY BABY"/>
    <s v=""/>
    <s v="Raise Return"/>
    <d v="2025-10-07T14:50:54"/>
    <s v="Mirzapur"/>
    <s v="Uttar Pradesh"/>
    <n v="231001"/>
    <s v="India"/>
    <n v="2275"/>
    <n v="12"/>
    <n v="0"/>
    <n v="0"/>
    <n v="12"/>
    <n v="243.75"/>
    <n v="0"/>
    <n v="0"/>
    <n v="243.75"/>
    <n v="1"/>
    <n v="2275"/>
    <n v="243.75"/>
    <n v="2518.75"/>
  </r>
  <r>
    <s v="NYK-31187780-0305679-1-1"/>
    <x v="122"/>
    <x v="0"/>
    <n v="1"/>
    <n v="1"/>
    <n v="3250"/>
    <n v="2763"/>
    <n v="2788.25"/>
    <n v="25.25"/>
    <s v="COD"/>
    <d v="2025-09-04T15:35:06"/>
    <d v="2025-09-05T17:31:00"/>
    <d v="2025-09-06T14:58:00"/>
    <s v=""/>
    <s v="TINY BABY"/>
    <s v=""/>
    <s v=""/>
    <d v="2025-09-06T16:11:14"/>
    <s v="Hyderabad"/>
    <s v="Telangana"/>
    <n v="500014"/>
    <s v="India"/>
    <n v="2763"/>
    <n v="12"/>
    <n v="0"/>
    <n v="0"/>
    <n v="12"/>
    <n v="296.036"/>
    <n v="0"/>
    <n v="0"/>
    <n v="296.036"/>
    <n v="0.75"/>
    <n v="2763"/>
    <n v="296.036"/>
    <n v="3059.0360000000001"/>
  </r>
  <r>
    <s v="NYK-31407049-4508935-1-1"/>
    <x v="123"/>
    <x v="0"/>
    <n v="1"/>
    <n v="1"/>
    <n v="2500"/>
    <n v="2125"/>
    <n v="2138.1819999999998"/>
    <n v="13.182"/>
    <s v="Prepaid"/>
    <d v="2025-09-12T08:05:09"/>
    <d v="2025-09-12T15:15:02"/>
    <d v="2025-09-17T12:11:41"/>
    <s v=""/>
    <s v="TINY BABY"/>
    <s v=""/>
    <s v=""/>
    <d v="2025-09-17T12:16:23"/>
    <s v="Sagar"/>
    <s v="Madhya Pradesh"/>
    <n v="470004"/>
    <s v="India"/>
    <n v="2125"/>
    <n v="12"/>
    <n v="0"/>
    <n v="0"/>
    <n v="12"/>
    <n v="227.679"/>
    <n v="0"/>
    <n v="0"/>
    <n v="227.679"/>
    <n v="1"/>
    <n v="2125"/>
    <n v="227.679"/>
    <n v="2352.6790000000001"/>
  </r>
  <r>
    <s v="NYK-31953839-8762006-1-1"/>
    <x v="124"/>
    <x v="0"/>
    <n v="1"/>
    <n v="1"/>
    <n v="2500"/>
    <n v="2000"/>
    <n v="2049"/>
    <n v="49"/>
    <s v="COD"/>
    <d v="2025-09-30T21:42:42"/>
    <d v="2025-10-01T18:37:52"/>
    <d v="2025-10-06T16:10:20"/>
    <s v=""/>
    <s v="TINY BABY"/>
    <s v=""/>
    <s v=""/>
    <d v="2025-10-06T16:26:23"/>
    <s v="Barasat"/>
    <s v="West Bengal"/>
    <n v="743235"/>
    <s v="India"/>
    <n v="2000"/>
    <n v="5"/>
    <n v="0"/>
    <n v="0"/>
    <n v="5"/>
    <n v="95.238"/>
    <n v="0"/>
    <n v="0"/>
    <n v="95.238"/>
    <n v="0.75"/>
    <n v="2000"/>
    <n v="95.238"/>
    <n v="2095.2379999999998"/>
  </r>
  <r>
    <s v="NYK-31932645-4823425-2-1"/>
    <x v="125"/>
    <x v="2"/>
    <n v="1"/>
    <n v="1"/>
    <n v="2500"/>
    <n v="2000"/>
    <n v="2018.28"/>
    <n v="18.28"/>
    <s v="COD"/>
    <d v="2025-09-30T01:10:23"/>
    <d v="2025-10-01T15:19:00"/>
    <m/>
    <s v=""/>
    <s v="TINY BABY"/>
    <s v=""/>
    <s v="RTO"/>
    <d v="2025-10-24T15:16:04"/>
    <s v="Gurgaon"/>
    <s v="Haryana"/>
    <n v="122017"/>
    <s v="India"/>
    <n v="2000"/>
    <n v="5"/>
    <n v="0"/>
    <n v="0"/>
    <n v="5"/>
    <n v="95.238"/>
    <n v="0"/>
    <n v="0"/>
    <n v="95.238"/>
    <n v="0.75"/>
    <n v="2000"/>
    <n v="95.238"/>
    <n v="2095.2379999999998"/>
  </r>
  <r>
    <s v="NYK-31458318-2930623-1-1"/>
    <x v="126"/>
    <x v="0"/>
    <n v="1"/>
    <n v="1"/>
    <n v="2500"/>
    <n v="2125"/>
    <n v="2125"/>
    <n v="0"/>
    <s v="Prepaid"/>
    <d v="2025-09-13T22:32:11"/>
    <d v="2025-09-17T15:13:14"/>
    <d v="2025-09-18T18:18:59"/>
    <s v=""/>
    <s v="TINY BABY"/>
    <s v=""/>
    <s v=""/>
    <d v="2025-09-18T18:21:21"/>
    <s v="Greater Thane"/>
    <s v="Maharashtra"/>
    <n v="421204"/>
    <s v="India"/>
    <n v="2125"/>
    <n v="12"/>
    <n v="6"/>
    <n v="6"/>
    <n v="0"/>
    <n v="227.679"/>
    <n v="113.84"/>
    <n v="113.84"/>
    <n v="0"/>
    <n v="0.75"/>
    <n v="2125"/>
    <n v="227.68"/>
    <n v="2352.6799999999998"/>
  </r>
  <r>
    <s v="NYK-31428779-7389868-1-1"/>
    <x v="127"/>
    <x v="0"/>
    <n v="1"/>
    <n v="1"/>
    <n v="2500"/>
    <n v="2125"/>
    <n v="2154"/>
    <n v="29"/>
    <s v="Prepaid"/>
    <d v="2025-09-12T22:46:30"/>
    <d v="2025-09-15T16:30:31"/>
    <d v="2025-09-19T16:51:24"/>
    <s v=""/>
    <s v="TINY BABY"/>
    <s v=""/>
    <s v=""/>
    <d v="2025-09-19T16:56:12"/>
    <s v="Guwahati"/>
    <s v="Assam"/>
    <n v="781034"/>
    <s v="India"/>
    <n v="2125"/>
    <n v="12"/>
    <n v="0"/>
    <n v="0"/>
    <n v="12"/>
    <n v="227.679"/>
    <n v="0"/>
    <n v="0"/>
    <n v="227.679"/>
    <n v="0.75"/>
    <n v="2125"/>
    <n v="227.679"/>
    <n v="2352.6790000000001"/>
  </r>
  <r>
    <s v="NYK-31818836-8334750-2-1"/>
    <x v="128"/>
    <x v="0"/>
    <n v="1"/>
    <n v="1"/>
    <n v="2500"/>
    <n v="2000"/>
    <n v="2006.75"/>
    <n v="6.75"/>
    <s v="Prepaid"/>
    <d v="2025-09-26T00:55:35"/>
    <d v="2025-09-26T17:16:02"/>
    <d v="2025-09-29T12:30:09"/>
    <s v=""/>
    <s v="TINY BABY"/>
    <s v=""/>
    <s v=""/>
    <d v="2025-09-29T13:06:13"/>
    <s v="Perumbavoor"/>
    <s v="Kerala"/>
    <n v="683556"/>
    <s v="India"/>
    <n v="2000"/>
    <n v="5"/>
    <n v="0"/>
    <n v="0"/>
    <n v="5"/>
    <n v="95.238"/>
    <n v="0"/>
    <n v="0"/>
    <n v="95.238"/>
    <n v="0.75"/>
    <n v="2000"/>
    <n v="95.238"/>
    <n v="2095.2379999999998"/>
  </r>
  <r>
    <s v="NYK-31390982-6502598-1-1"/>
    <x v="128"/>
    <x v="1"/>
    <n v="1"/>
    <n v="1"/>
    <n v="2500"/>
    <n v="2125"/>
    <n v="2154"/>
    <n v="29"/>
    <s v="Prepaid"/>
    <d v="2025-09-11T15:58:23"/>
    <d v="2025-09-12T17:11:57"/>
    <d v="2025-09-15T18:23:09"/>
    <s v=""/>
    <s v="TINY BABY"/>
    <s v=""/>
    <s v="Raise Return"/>
    <d v="2025-10-09T15:01:23"/>
    <s v="Guwahati"/>
    <s v="Assam"/>
    <n v="781034"/>
    <s v="India"/>
    <n v="2125"/>
    <n v="12"/>
    <n v="0"/>
    <n v="0"/>
    <n v="12"/>
    <n v="227.679"/>
    <n v="0"/>
    <n v="0"/>
    <n v="227.679"/>
    <n v="0.75"/>
    <n v="2125"/>
    <n v="227.679"/>
    <n v="2352.6790000000001"/>
  </r>
  <r>
    <s v="NYK-31233598-3281228-4-1"/>
    <x v="129"/>
    <x v="1"/>
    <n v="1"/>
    <n v="1"/>
    <n v="2500"/>
    <n v="2125"/>
    <n v="2132.42"/>
    <n v="7.42"/>
    <s v="Prepaid"/>
    <d v="2025-09-06T07:18:01"/>
    <d v="2025-09-09T17:13:30"/>
    <d v="2025-09-12T15:49:26"/>
    <s v=""/>
    <s v="TINY BABY"/>
    <s v=""/>
    <s v="Raise Return"/>
    <d v="2025-09-29T14:21:18"/>
    <s v="Bangalore"/>
    <s v="Karnataka"/>
    <n v="560037"/>
    <s v="India"/>
    <n v="2125"/>
    <n v="12"/>
    <n v="0"/>
    <n v="0"/>
    <n v="12"/>
    <n v="227.679"/>
    <n v="0"/>
    <n v="0"/>
    <n v="227.679"/>
    <n v="0.75"/>
    <n v="2125"/>
    <n v="227.679"/>
    <n v="2352.6790000000001"/>
  </r>
  <r>
    <s v="NYK-31560583-1028959-1-1"/>
    <x v="130"/>
    <x v="3"/>
    <n v="1"/>
    <n v="0"/>
    <n v="2500"/>
    <n v="2125"/>
    <n v="2174"/>
    <n v="49"/>
    <s v="COD"/>
    <d v="2025-09-17T14:53:49"/>
    <m/>
    <m/>
    <s v="Delivery date is too late"/>
    <s v="TINY BABY"/>
    <s v=""/>
    <s v=""/>
    <d v="2025-09-17T14:55:34"/>
    <s v="Muzaffarpur"/>
    <s v="Bihar"/>
    <n v="842001"/>
    <s v="India"/>
    <n v="2125"/>
    <n v="12"/>
    <n v="0"/>
    <n v="0"/>
    <n v="12"/>
    <n v="227.679"/>
    <n v="0"/>
    <n v="0"/>
    <n v="227.679"/>
    <m/>
    <n v="2125"/>
    <n v="227.679"/>
    <n v="2352.6790000000001"/>
  </r>
  <r>
    <s v="NYK-31430825-1496106-1-1"/>
    <x v="131"/>
    <x v="0"/>
    <n v="1"/>
    <n v="1"/>
    <n v="2750"/>
    <n v="2338"/>
    <n v="2367"/>
    <n v="29"/>
    <s v="Prepaid"/>
    <d v="2025-09-12T23:54:56"/>
    <d v="2025-09-15T16:30:49"/>
    <d v="2025-09-17T12:48:57"/>
    <s v=""/>
    <s v="TINY BABY"/>
    <s v=""/>
    <s v=""/>
    <d v="2025-09-17T12:51:22"/>
    <s v="Ranchi"/>
    <s v="Jharkhand"/>
    <n v="834001"/>
    <s v="India"/>
    <n v="2338"/>
    <n v="12"/>
    <n v="0"/>
    <n v="0"/>
    <n v="12"/>
    <n v="250.5"/>
    <n v="0"/>
    <n v="0"/>
    <n v="250.5"/>
    <n v="0.75"/>
    <n v="2338"/>
    <n v="250.5"/>
    <n v="2588.5"/>
  </r>
  <r>
    <s v="NYK-31793412-1444463-1-1"/>
    <x v="132"/>
    <x v="1"/>
    <n v="1"/>
    <n v="1"/>
    <n v="3250"/>
    <n v="2275"/>
    <n v="2292.2159999999999"/>
    <n v="17.216000000000001"/>
    <s v="COD"/>
    <d v="2025-09-25T09:07:24"/>
    <d v="2025-09-25T17:20:38"/>
    <d v="2025-10-04T17:46:29"/>
    <s v=""/>
    <s v="TINY BABY"/>
    <s v=""/>
    <s v="Raise Return"/>
    <d v="2025-10-11T20:06:24"/>
    <s v="Sirsa"/>
    <s v="Haryana"/>
    <n v="125055"/>
    <s v="India"/>
    <n v="2275"/>
    <n v="5"/>
    <n v="0"/>
    <n v="0"/>
    <n v="5"/>
    <n v="108.333"/>
    <n v="0"/>
    <n v="0"/>
    <n v="108.333"/>
    <n v="1.25"/>
    <n v="2275"/>
    <n v="108.333"/>
    <n v="2383.3330000000001"/>
  </r>
  <r>
    <s v="NYK-31628925-2346748-1-1"/>
    <x v="133"/>
    <x v="1"/>
    <n v="1"/>
    <n v="1"/>
    <n v="3250"/>
    <n v="2275"/>
    <n v="2304"/>
    <n v="29"/>
    <s v="Prepaid"/>
    <d v="2025-09-19T22:49:07"/>
    <d v="2025-09-20T16:47:23"/>
    <d v="2025-09-23T12:17:50"/>
    <s v=""/>
    <s v="TINY BABY"/>
    <s v=""/>
    <s v="Raise Return"/>
    <d v="2025-10-04T14:56:16"/>
    <s v="Jaunpur"/>
    <s v="Uttar Pradesh"/>
    <n v="222001"/>
    <s v="India"/>
    <n v="2275"/>
    <n v="12"/>
    <n v="0"/>
    <n v="0"/>
    <n v="12"/>
    <n v="243.75"/>
    <n v="0"/>
    <n v="0"/>
    <n v="243.75"/>
    <n v="0.75"/>
    <n v="2275"/>
    <n v="243.75"/>
    <n v="2518.75"/>
  </r>
  <r>
    <s v="NYK-31132402-1044484-1-1"/>
    <x v="134"/>
    <x v="1"/>
    <n v="1"/>
    <n v="1"/>
    <n v="3250"/>
    <n v="2763"/>
    <n v="2812"/>
    <n v="49"/>
    <s v="COD"/>
    <d v="2025-09-02T11:00:44"/>
    <d v="2025-09-02T14:35:00"/>
    <d v="2025-09-03T15:18:00"/>
    <s v=""/>
    <s v="TINY BABY"/>
    <s v=""/>
    <s v="Raise Return"/>
    <d v="2025-09-11T20:31:09"/>
    <s v="New Delhi"/>
    <s v="Delhi"/>
    <n v="110062"/>
    <s v="India"/>
    <n v="2763"/>
    <n v="12"/>
    <n v="0"/>
    <n v="0"/>
    <n v="12"/>
    <n v="296.036"/>
    <n v="0"/>
    <n v="0"/>
    <n v="296.036"/>
    <n v="0.75"/>
    <n v="2763"/>
    <n v="296.036"/>
    <n v="3059.0360000000001"/>
  </r>
  <r>
    <s v="NYK-31926188-0586931-1-1"/>
    <x v="135"/>
    <x v="0"/>
    <n v="1"/>
    <n v="1"/>
    <n v="2500"/>
    <n v="2000"/>
    <n v="2022.924"/>
    <n v="22.923999999999999"/>
    <s v="COD"/>
    <d v="2025-09-29T21:13:07"/>
    <d v="2025-10-01T18:48:02"/>
    <d v="2025-10-07T17:10:56"/>
    <s v=""/>
    <s v="TINY BABY"/>
    <s v=""/>
    <s v=""/>
    <d v="2025-10-07T17:16:12"/>
    <s v="Mirzapur"/>
    <s v="Uttar Pradesh"/>
    <n v="231001"/>
    <s v="India"/>
    <n v="2000"/>
    <n v="5"/>
    <n v="0"/>
    <n v="0"/>
    <n v="5"/>
    <n v="95.238"/>
    <n v="0"/>
    <n v="0"/>
    <n v="95.238"/>
    <n v="1"/>
    <n v="2000"/>
    <n v="95.238"/>
    <n v="2095.2379999999998"/>
  </r>
  <r>
    <s v="NYK-31360624-1451798-1-1"/>
    <x v="136"/>
    <x v="2"/>
    <n v="1"/>
    <n v="1"/>
    <n v="3500"/>
    <n v="3150"/>
    <n v="3175.4070000000002"/>
    <n v="25.407"/>
    <s v="COD"/>
    <d v="2025-09-10T13:34:12"/>
    <d v="2025-09-11T17:46:12"/>
    <m/>
    <s v=""/>
    <s v="TINY BABY"/>
    <s v=""/>
    <s v="RTO"/>
    <d v="2025-09-24T19:26:14"/>
    <s v="Mirzapur"/>
    <s v="Uttar Pradesh"/>
    <n v="231001"/>
    <s v="India"/>
    <n v="3150"/>
    <n v="12"/>
    <n v="0"/>
    <n v="0"/>
    <n v="12"/>
    <n v="337.5"/>
    <n v="0"/>
    <n v="0"/>
    <n v="337.5"/>
    <n v="1"/>
    <n v="3150"/>
    <n v="337.5"/>
    <n v="3487.5"/>
  </r>
  <r>
    <s v="NYK-31617881-6065113-1-1"/>
    <x v="137"/>
    <x v="1"/>
    <n v="1"/>
    <n v="1"/>
    <n v="3500"/>
    <n v="2450"/>
    <n v="2475.4070000000002"/>
    <n v="25.407"/>
    <s v="COD"/>
    <d v="2025-09-19T15:31:05"/>
    <d v="2025-09-20T16:47:41"/>
    <d v="2025-09-27T11:17:39"/>
    <s v=""/>
    <s v="TINY BABY"/>
    <s v=""/>
    <s v="Raise Return"/>
    <d v="2025-10-02T18:20:56"/>
    <s v="Mirzapur"/>
    <s v="Uttar Pradesh"/>
    <n v="231001"/>
    <s v="India"/>
    <n v="2450"/>
    <n v="12"/>
    <n v="0"/>
    <n v="0"/>
    <n v="12"/>
    <n v="262.5"/>
    <n v="0"/>
    <n v="0"/>
    <n v="262.5"/>
    <n v="1"/>
    <n v="2450"/>
    <n v="262.5"/>
    <n v="2712.5"/>
  </r>
  <r>
    <s v="NYK-31811211-3314271-2-1"/>
    <x v="138"/>
    <x v="0"/>
    <n v="1"/>
    <n v="1"/>
    <n v="3000"/>
    <n v="2100"/>
    <n v="2159.27"/>
    <n v="59.27"/>
    <s v="Prepaid"/>
    <d v="2025-09-25T20:45:14"/>
    <d v="2025-09-26T17:16:04"/>
    <d v="2025-09-30T16:23:23"/>
    <s v=""/>
    <s v="TINY BABY"/>
    <s v=""/>
    <s v=""/>
    <d v="2025-09-30T16:25:52"/>
    <s v="Purnia"/>
    <s v="Bihar"/>
    <n v="854303"/>
    <s v="India"/>
    <n v="2100"/>
    <n v="5"/>
    <n v="0"/>
    <n v="0"/>
    <n v="5"/>
    <n v="100"/>
    <n v="0"/>
    <n v="0"/>
    <n v="100"/>
    <n v="0.75"/>
    <n v="2100"/>
    <n v="100"/>
    <n v="2200"/>
  </r>
  <r>
    <s v="NYK-31360624-1451798-1-1"/>
    <x v="139"/>
    <x v="2"/>
    <n v="1"/>
    <n v="1"/>
    <n v="3250"/>
    <n v="2925"/>
    <n v="2948.5929999999998"/>
    <n v="23.593"/>
    <s v="COD"/>
    <d v="2025-09-10T13:34:12"/>
    <d v="2025-09-11T17:46:12"/>
    <m/>
    <s v=""/>
    <s v="TINY BABY"/>
    <s v=""/>
    <s v="RTO"/>
    <d v="2025-09-24T19:26:14"/>
    <s v="Mirzapur"/>
    <s v="Uttar Pradesh"/>
    <n v="231001"/>
    <s v="India"/>
    <n v="2925"/>
    <n v="12"/>
    <n v="0"/>
    <n v="0"/>
    <n v="12"/>
    <n v="313.39299999999997"/>
    <n v="0"/>
    <n v="0"/>
    <n v="313.39299999999997"/>
    <n v="1"/>
    <n v="2925"/>
    <n v="313.39299999999997"/>
    <n v="3238.393"/>
  </r>
  <r>
    <s v="NYK-31793412-1444463-1-1"/>
    <x v="140"/>
    <x v="1"/>
    <n v="1"/>
    <n v="1"/>
    <n v="3000"/>
    <n v="2100"/>
    <n v="2115.8919999999998"/>
    <n v="15.891999999999999"/>
    <s v="COD"/>
    <d v="2025-09-25T09:07:24"/>
    <d v="2025-09-25T17:20:38"/>
    <d v="2025-10-04T17:46:29"/>
    <s v=""/>
    <s v="TINY BABY"/>
    <s v=""/>
    <s v="Raise Return"/>
    <d v="2025-10-13T20:46:29"/>
    <s v="Sirsa"/>
    <s v="Haryana"/>
    <n v="125055"/>
    <s v="India"/>
    <n v="2100"/>
    <n v="5"/>
    <n v="0"/>
    <n v="0"/>
    <n v="5"/>
    <n v="100"/>
    <n v="0"/>
    <n v="0"/>
    <n v="100"/>
    <n v="1.25"/>
    <n v="2100"/>
    <n v="100"/>
    <n v="2200"/>
  </r>
  <r>
    <s v="NYK-31339915-2903347-1-1"/>
    <x v="141"/>
    <x v="1"/>
    <n v="1"/>
    <n v="1"/>
    <n v="3000"/>
    <n v="2550"/>
    <n v="2579"/>
    <n v="29"/>
    <s v="Prepaid"/>
    <d v="2025-09-09T18:31:43"/>
    <d v="2025-09-10T15:10:29"/>
    <d v="2025-09-13T10:44:31"/>
    <s v=""/>
    <s v="TINY BABY"/>
    <s v=""/>
    <s v="Raise Return"/>
    <d v="2025-09-22T19:56:16"/>
    <s v="Bangalore"/>
    <s v="Karnataka"/>
    <n v="560099"/>
    <s v="India"/>
    <n v="2550"/>
    <n v="12"/>
    <n v="0"/>
    <n v="0"/>
    <n v="12"/>
    <n v="273.214"/>
    <n v="0"/>
    <n v="0"/>
    <n v="273.214"/>
    <n v="0.75"/>
    <n v="2550"/>
    <n v="273.214"/>
    <n v="2823.2139999999999"/>
  </r>
  <r>
    <s v="NYK-31407049-4508935-1-1"/>
    <x v="142"/>
    <x v="0"/>
    <n v="1"/>
    <n v="1"/>
    <n v="3000"/>
    <n v="2550"/>
    <n v="2565.8180000000002"/>
    <n v="15.818"/>
    <s v="Prepaid"/>
    <d v="2025-09-12T08:05:09"/>
    <d v="2025-09-12T15:15:02"/>
    <d v="2025-09-17T12:11:41"/>
    <s v=""/>
    <s v="TINY BABY"/>
    <s v=""/>
    <s v=""/>
    <d v="2025-09-17T12:16:23"/>
    <s v="Sagar"/>
    <s v="Madhya Pradesh"/>
    <n v="470004"/>
    <s v="India"/>
    <n v="2550"/>
    <n v="12"/>
    <n v="0"/>
    <n v="0"/>
    <n v="12"/>
    <n v="273.214"/>
    <n v="0"/>
    <n v="0"/>
    <n v="273.214"/>
    <n v="1"/>
    <n v="2550"/>
    <n v="273.214"/>
    <n v="2823.2139999999999"/>
  </r>
  <r>
    <s v="NYK-31248590-8773922-1-1"/>
    <x v="143"/>
    <x v="1"/>
    <n v="1"/>
    <n v="1"/>
    <n v="3000"/>
    <n v="2550"/>
    <n v="2599"/>
    <n v="49"/>
    <s v="COD"/>
    <d v="2025-09-06T17:09:34"/>
    <d v="2025-09-09T17:13:31"/>
    <d v="2025-09-14T11:05:13"/>
    <s v=""/>
    <s v="TINY BABY"/>
    <s v=""/>
    <s v="Raise Return"/>
    <d v="2025-09-20T20:46:15"/>
    <s v="Ghaziabad"/>
    <s v="Uttar Pradesh"/>
    <n v="201009"/>
    <s v="India"/>
    <n v="2550"/>
    <n v="12"/>
    <n v="0"/>
    <n v="0"/>
    <n v="12"/>
    <n v="273.214"/>
    <n v="0"/>
    <n v="0"/>
    <n v="273.214"/>
    <n v="0.75"/>
    <n v="2550"/>
    <n v="273.214"/>
    <n v="2823.2139999999999"/>
  </r>
  <r>
    <s v="NYK-31103383-1253828-1-1"/>
    <x v="144"/>
    <x v="1"/>
    <n v="1"/>
    <n v="1"/>
    <n v="3000"/>
    <n v="2550"/>
    <n v="2550"/>
    <n v="0"/>
    <s v="Prepaid"/>
    <d v="2025-09-01T01:44:14"/>
    <d v="2025-09-01T18:56:00"/>
    <d v="2025-09-03T18:00:00"/>
    <s v=""/>
    <s v="TINY BABY"/>
    <s v=""/>
    <s v="Raise Return"/>
    <d v="2025-09-12T20:46:07"/>
    <s v="Hyderabad"/>
    <s v="Telangana"/>
    <n v="500052"/>
    <s v="India"/>
    <n v="2550"/>
    <n v="12"/>
    <n v="0"/>
    <n v="0"/>
    <n v="12"/>
    <n v="273.214"/>
    <n v="0"/>
    <n v="0"/>
    <n v="273.214"/>
    <n v="0.75"/>
    <n v="2550"/>
    <n v="273.214"/>
    <n v="2823.2139999999999"/>
  </r>
  <r>
    <s v="NYK-31643892-7480367-2-1"/>
    <x v="145"/>
    <x v="1"/>
    <n v="1"/>
    <n v="1"/>
    <n v="3000"/>
    <n v="2100"/>
    <n v="2129.4"/>
    <n v="29.4"/>
    <s v="COD"/>
    <d v="2025-09-20T14:08:00"/>
    <d v="2025-09-24T15:00:36"/>
    <d v="2025-10-02T13:32:07"/>
    <s v=""/>
    <s v="TINY BABY"/>
    <s v=""/>
    <s v="Raise Return"/>
    <d v="2025-10-16T14:36:18"/>
    <s v="Rewa"/>
    <s v="Madhya Pradesh"/>
    <n v="486001"/>
    <s v="India"/>
    <n v="2100"/>
    <n v="5"/>
    <n v="0"/>
    <n v="0"/>
    <n v="5"/>
    <n v="100"/>
    <n v="0"/>
    <n v="0"/>
    <n v="100"/>
    <n v="0.75"/>
    <n v="2100"/>
    <n v="100"/>
    <n v="2200"/>
  </r>
  <r>
    <s v="NYK-31326660-2224732-2-1"/>
    <x v="146"/>
    <x v="0"/>
    <n v="1"/>
    <n v="1"/>
    <n v="3250"/>
    <n v="2763"/>
    <n v="2780.65"/>
    <n v="17.649999999999999"/>
    <s v="COD"/>
    <d v="2025-09-09T10:00:25"/>
    <d v="2025-09-10T15:10:29"/>
    <d v="2025-09-13T18:17:43"/>
    <s v=""/>
    <s v="TINY BABY"/>
    <s v=""/>
    <s v=""/>
    <d v="2025-09-13T18:21:14"/>
    <s v="Raipur"/>
    <s v="Chhattisgarh"/>
    <n v="492014"/>
    <s v="India"/>
    <n v="2763"/>
    <n v="12"/>
    <n v="0"/>
    <n v="0"/>
    <n v="12"/>
    <n v="296.036"/>
    <n v="0"/>
    <n v="0"/>
    <n v="296.036"/>
    <n v="0.75"/>
    <n v="2763"/>
    <n v="296.036"/>
    <n v="3059.0360000000001"/>
  </r>
  <r>
    <s v="NYK-31614771-8712561-1-1"/>
    <x v="147"/>
    <x v="1"/>
    <n v="1"/>
    <n v="1"/>
    <n v="3250"/>
    <n v="2275"/>
    <n v="2304"/>
    <n v="29"/>
    <s v="Prepaid"/>
    <d v="2025-09-19T13:28:33"/>
    <d v="2025-09-20T16:47:21"/>
    <d v="2025-09-22T19:36:57"/>
    <s v=""/>
    <s v="TINY BABY"/>
    <s v=""/>
    <s v="Raise Return"/>
    <d v="2025-10-03T15:21:24"/>
    <s v="Hyderabad"/>
    <s v="Telangana"/>
    <n v="500003"/>
    <s v="India"/>
    <n v="2275"/>
    <n v="12"/>
    <n v="0"/>
    <n v="0"/>
    <n v="12"/>
    <n v="243.75"/>
    <n v="0"/>
    <n v="0"/>
    <n v="243.75"/>
    <n v="0.75"/>
    <n v="2275"/>
    <n v="243.75"/>
    <n v="2518.75"/>
  </r>
  <r>
    <s v="NYK-31621872-6205969-2-1"/>
    <x v="148"/>
    <x v="2"/>
    <n v="1"/>
    <n v="1"/>
    <n v="3250"/>
    <n v="2275"/>
    <n v="2280.25"/>
    <n v="5.25"/>
    <s v="Prepaid"/>
    <d v="2025-09-19T18:20:06"/>
    <d v="2025-09-20T14:44:01"/>
    <m/>
    <s v=""/>
    <s v="TINY BABY"/>
    <s v=""/>
    <s v="RTO"/>
    <d v="2025-10-14T15:26:11"/>
    <s v="Noida"/>
    <s v="Uttar Pradesh"/>
    <n v="201301"/>
    <s v="India"/>
    <n v="2275"/>
    <n v="12"/>
    <n v="0"/>
    <n v="0"/>
    <n v="12"/>
    <n v="243.75"/>
    <n v="0"/>
    <n v="0"/>
    <n v="243.75"/>
    <n v="0.75"/>
    <n v="2275"/>
    <n v="243.75"/>
    <n v="2518.75"/>
  </r>
  <r>
    <s v="NYK-31635777-8413097-1-1"/>
    <x v="149"/>
    <x v="0"/>
    <n v="1"/>
    <n v="1"/>
    <n v="3250"/>
    <n v="2275"/>
    <n v="2295"/>
    <n v="20"/>
    <s v="COD"/>
    <d v="2025-09-20T08:50:13"/>
    <d v="2025-09-20T16:47:26"/>
    <d v="2025-09-23T11:49:41"/>
    <s v=""/>
    <s v="TINY BABY"/>
    <s v=""/>
    <s v=""/>
    <d v="2025-09-23T11:51:19"/>
    <s v="Khammam"/>
    <s v="Telangana"/>
    <n v="507001"/>
    <s v="India"/>
    <n v="2275"/>
    <n v="12"/>
    <n v="0"/>
    <n v="0"/>
    <n v="12"/>
    <n v="243.75"/>
    <n v="0"/>
    <n v="0"/>
    <n v="243.75"/>
    <n v="0.75"/>
    <n v="2275"/>
    <n v="243.75"/>
    <n v="2518.75"/>
  </r>
  <r>
    <s v="NYK-31658648-9934718-1-1"/>
    <x v="150"/>
    <x v="0"/>
    <n v="1"/>
    <n v="1"/>
    <n v="3000"/>
    <n v="2100"/>
    <n v="2149"/>
    <n v="49"/>
    <s v="COD"/>
    <d v="2025-09-20T23:08:55"/>
    <d v="2025-09-22T17:48:20"/>
    <d v="2025-09-26T16:34:19"/>
    <s v=""/>
    <s v="TINY BABY"/>
    <s v=""/>
    <s v=""/>
    <d v="2025-10-01T23:48:19"/>
    <s v="Fatehabad"/>
    <s v="Haryana"/>
    <n v="125050"/>
    <s v="India"/>
    <n v="2100"/>
    <n v="5"/>
    <n v="0"/>
    <n v="0"/>
    <n v="5"/>
    <n v="100"/>
    <n v="0"/>
    <n v="0"/>
    <n v="100"/>
    <n v="0.75"/>
    <n v="2100"/>
    <n v="100"/>
    <n v="2200"/>
  </r>
  <r>
    <s v="NYK-31793412-1444463-1-1"/>
    <x v="151"/>
    <x v="1"/>
    <n v="1"/>
    <n v="1"/>
    <n v="3000"/>
    <n v="2100"/>
    <n v="2115.8919999999998"/>
    <n v="15.891999999999999"/>
    <s v="COD"/>
    <d v="2025-09-25T09:07:24"/>
    <d v="2025-09-25T17:20:38"/>
    <d v="2025-10-04T17:46:29"/>
    <s v=""/>
    <s v="TINY BABY"/>
    <s v=""/>
    <s v="Raise Return"/>
    <d v="2025-10-13T20:46:29"/>
    <s v="Sirsa"/>
    <s v="Haryana"/>
    <n v="125055"/>
    <s v="India"/>
    <n v="2100"/>
    <n v="5"/>
    <n v="0"/>
    <n v="0"/>
    <n v="5"/>
    <n v="100"/>
    <n v="0"/>
    <n v="0"/>
    <n v="100"/>
    <n v="1.25"/>
    <n v="2100"/>
    <n v="100"/>
    <n v="2200"/>
  </r>
  <r>
    <s v="NYK-31363930-0488471-1-1"/>
    <x v="152"/>
    <x v="0"/>
    <n v="1"/>
    <n v="1"/>
    <n v="2800"/>
    <n v="2380"/>
    <n v="2391.34"/>
    <n v="11.34"/>
    <s v="Prepaid"/>
    <d v="2025-09-10T16:04:48"/>
    <d v="2025-09-11T17:45:41"/>
    <d v="2025-09-14T12:53:08"/>
    <s v=""/>
    <s v="TINY BABY"/>
    <s v=""/>
    <s v=""/>
    <d v="2025-09-14T12:56:16"/>
    <s v="Saharanpur"/>
    <s v="Uttar Pradesh"/>
    <n v="247001"/>
    <s v="India"/>
    <n v="2380"/>
    <n v="12"/>
    <n v="0"/>
    <n v="0"/>
    <n v="12"/>
    <n v="255"/>
    <n v="0"/>
    <n v="0"/>
    <n v="255"/>
    <n v="0.75"/>
    <n v="2380"/>
    <n v="255"/>
    <n v="2635"/>
  </r>
  <r>
    <s v="NYK-31719729-8748167-1-1"/>
    <x v="153"/>
    <x v="0"/>
    <n v="1"/>
    <n v="1"/>
    <n v="2800"/>
    <n v="2240"/>
    <n v="2269"/>
    <n v="29"/>
    <s v="Prepaid"/>
    <d v="2025-09-22T22:02:28"/>
    <d v="2025-09-23T15:49:00"/>
    <d v="2025-09-25T10:29:00"/>
    <s v=""/>
    <s v="TINY BABY"/>
    <s v=""/>
    <s v=""/>
    <d v="2025-09-25T12:36:13"/>
    <s v="Chennai"/>
    <s v="Tamil Nadu"/>
    <n v="600119"/>
    <s v="India"/>
    <n v="2240"/>
    <n v="5"/>
    <n v="0"/>
    <n v="0"/>
    <n v="5"/>
    <n v="106.667"/>
    <n v="0"/>
    <n v="0"/>
    <n v="106.667"/>
    <n v="0.75"/>
    <n v="2240"/>
    <n v="106.667"/>
    <n v="2346.6669999999999"/>
  </r>
  <r>
    <s v="NYK-31250794-4057016-1-1"/>
    <x v="154"/>
    <x v="0"/>
    <n v="1"/>
    <n v="1"/>
    <n v="2800"/>
    <n v="2380"/>
    <n v="2397.2600000000002"/>
    <n v="17.260000000000002"/>
    <s v="Prepaid"/>
    <d v="2025-09-06T18:37:37"/>
    <d v="2025-09-09T18:16:16"/>
    <d v="2025-09-15T13:39:08"/>
    <s v=""/>
    <s v="TINY BABY"/>
    <s v=""/>
    <s v=""/>
    <d v="2025-09-15T13:40:46"/>
    <s v="Kolkata"/>
    <s v="West Bengal"/>
    <n v="700135"/>
    <s v="India"/>
    <n v="2380"/>
    <n v="12"/>
    <n v="0"/>
    <n v="0"/>
    <n v="12"/>
    <n v="255"/>
    <n v="0"/>
    <n v="0"/>
    <n v="255"/>
    <n v="0.75"/>
    <n v="2380"/>
    <n v="255"/>
    <n v="2635"/>
  </r>
  <r>
    <s v="NYK-31161812-0233907-1-1"/>
    <x v="155"/>
    <x v="2"/>
    <n v="1"/>
    <n v="1"/>
    <n v="2800"/>
    <n v="2380"/>
    <n v="2429"/>
    <n v="49"/>
    <s v="COD"/>
    <d v="2025-09-03T14:33:54"/>
    <d v="2025-09-04T15:16:04"/>
    <m/>
    <s v=""/>
    <s v="TINY BABY"/>
    <s v=""/>
    <s v="RTO"/>
    <d v="2025-09-20T14:46:37"/>
    <s v="New Delhi"/>
    <s v="Delhi"/>
    <n v="110062"/>
    <s v="India"/>
    <n v="2380"/>
    <n v="12"/>
    <n v="0"/>
    <n v="0"/>
    <n v="12"/>
    <n v="255"/>
    <n v="0"/>
    <n v="0"/>
    <n v="255"/>
    <n v="0.75"/>
    <n v="2380"/>
    <n v="255"/>
    <n v="2635"/>
  </r>
  <r>
    <s v="NYK-31736410-1067072-6-1"/>
    <x v="156"/>
    <x v="1"/>
    <n v="1"/>
    <n v="1"/>
    <n v="2800"/>
    <n v="2240"/>
    <n v="2242.1999999999998"/>
    <n v="2.2000000000000002"/>
    <s v="Prepaid"/>
    <d v="2025-09-23T12:34:27"/>
    <d v="2025-09-24T15:00:36"/>
    <d v="2025-09-27T20:50:02"/>
    <s v=""/>
    <s v="TINY BABY"/>
    <s v=""/>
    <s v="Raise Return"/>
    <d v="2025-10-11T15:31:03"/>
    <s v="Navi Mumbai"/>
    <s v="Maharashtra"/>
    <n v="410221"/>
    <s v="India"/>
    <n v="2240"/>
    <n v="5"/>
    <n v="2.5"/>
    <n v="2.5"/>
    <n v="0"/>
    <n v="106.667"/>
    <n v="53.334000000000003"/>
    <n v="53.334000000000003"/>
    <n v="0"/>
    <n v="0.75"/>
    <n v="2240"/>
    <n v="106.66800000000001"/>
    <n v="2346.6680000000001"/>
  </r>
  <r>
    <s v="NYK-31793370-1336364-2-1"/>
    <x v="157"/>
    <x v="4"/>
    <n v="1"/>
    <n v="1"/>
    <n v="2750"/>
    <n v="2200"/>
    <n v="2237.1999999999998"/>
    <n v="37.200000000000003"/>
    <s v="COD"/>
    <d v="2025-09-25T09:05:36"/>
    <d v="2025-09-26T15:10:28"/>
    <m/>
    <s v=""/>
    <s v="TINY BABY"/>
    <s v=""/>
    <s v="RTO"/>
    <d v="2025-10-30T15:16:06"/>
    <s v="Kolkata"/>
    <s v="West Bengal"/>
    <n v="700047"/>
    <s v="India"/>
    <n v="2200"/>
    <n v="5"/>
    <n v="0"/>
    <n v="0"/>
    <n v="5"/>
    <n v="104.762"/>
    <n v="0"/>
    <n v="0"/>
    <n v="104.762"/>
    <n v="0.75"/>
    <n v="2200"/>
    <n v="104.762"/>
    <n v="2304.7620000000002"/>
  </r>
  <r>
    <s v="NYK-31910269-9146435-3-1"/>
    <x v="158"/>
    <x v="0"/>
    <n v="1"/>
    <n v="1"/>
    <n v="3000"/>
    <n v="2100"/>
    <n v="2106.0700000000002"/>
    <n v="6.07"/>
    <s v="Prepaid"/>
    <d v="2025-09-29T09:42:26"/>
    <d v="2025-09-30T15:34:10"/>
    <d v="2025-10-04T19:47:56"/>
    <s v=""/>
    <s v="TINY BABY"/>
    <s v=""/>
    <s v=""/>
    <d v="2025-10-04T19:51:32"/>
    <s v="Mumbai"/>
    <s v="Maharashtra"/>
    <n v="400071"/>
    <s v="India"/>
    <n v="2100"/>
    <n v="5"/>
    <n v="2.5"/>
    <n v="2.5"/>
    <n v="0"/>
    <n v="100"/>
    <n v="50"/>
    <n v="50"/>
    <n v="0"/>
    <n v="1"/>
    <n v="2100"/>
    <n v="100"/>
    <n v="2200"/>
  </r>
  <r>
    <s v="NYK-31107514-2951721-4-1"/>
    <x v="159"/>
    <x v="0"/>
    <n v="1"/>
    <n v="1"/>
    <n v="3000"/>
    <n v="2550"/>
    <n v="2565.66"/>
    <n v="15.66"/>
    <s v="COD"/>
    <d v="2025-09-01T10:32:32"/>
    <d v="2025-09-01T16:40:42"/>
    <d v="2025-09-07T10:20:15"/>
    <s v=""/>
    <s v="TINY BABY"/>
    <s v=""/>
    <s v=""/>
    <d v="2025-09-07T10:21:42"/>
    <s v="Roorkee"/>
    <s v="Uttarakhand"/>
    <n v="247667"/>
    <s v="India"/>
    <n v="2550"/>
    <n v="12"/>
    <n v="0"/>
    <n v="0"/>
    <n v="12"/>
    <n v="273.214"/>
    <n v="0"/>
    <n v="0"/>
    <n v="273.214"/>
    <n v="0.75"/>
    <n v="2550"/>
    <n v="273.214"/>
    <n v="2823.2139999999999"/>
  </r>
  <r>
    <s v="NYK-31768131-6496664-1-1"/>
    <x v="160"/>
    <x v="3"/>
    <n v="1"/>
    <n v="0"/>
    <n v="3250"/>
    <n v="2275"/>
    <n v="2295"/>
    <n v="20"/>
    <s v="COD"/>
    <d v="2025-09-24T12:18:17"/>
    <m/>
    <m/>
    <s v="Change style/color"/>
    <s v="TINY BABY"/>
    <s v=""/>
    <s v=""/>
    <d v="2025-09-24T20:30:28"/>
    <s v="Sirsa"/>
    <s v="Haryana"/>
    <n v="125055"/>
    <s v="India"/>
    <n v="2275"/>
    <n v="5"/>
    <n v="0"/>
    <n v="0"/>
    <n v="5"/>
    <n v="108.333"/>
    <n v="0"/>
    <n v="0"/>
    <n v="108.333"/>
    <m/>
    <n v="2275"/>
    <n v="108.333"/>
    <n v="2383.3330000000001"/>
  </r>
  <r>
    <s v="NYK-31601977-7300514-1-1"/>
    <x v="161"/>
    <x v="0"/>
    <n v="1"/>
    <n v="1"/>
    <n v="3250"/>
    <n v="2275"/>
    <n v="2275"/>
    <n v="0"/>
    <s v="Prepaid"/>
    <d v="2025-09-18T23:11:41"/>
    <d v="2025-09-19T16:42:57"/>
    <d v="2025-09-22T14:15:12"/>
    <s v=""/>
    <s v="TINY BABY"/>
    <s v=""/>
    <s v=""/>
    <d v="2025-09-22T15:06:17"/>
    <s v="Madanapalle"/>
    <s v="Andhra Pradesh"/>
    <n v="517325"/>
    <s v="India"/>
    <n v="2275"/>
    <n v="12"/>
    <n v="0"/>
    <n v="0"/>
    <n v="12"/>
    <n v="243.75"/>
    <n v="0"/>
    <n v="0"/>
    <n v="243.75"/>
    <n v="0.75"/>
    <n v="2275"/>
    <n v="243.75"/>
    <n v="2518.75"/>
  </r>
  <r>
    <s v="NYK-31277861-1135817-2-1"/>
    <x v="162"/>
    <x v="2"/>
    <n v="1"/>
    <n v="1"/>
    <n v="3250"/>
    <n v="2763"/>
    <n v="2788.69"/>
    <n v="25.69"/>
    <s v="COD"/>
    <d v="2025-09-07T16:02:16"/>
    <d v="2025-09-09T18:16:20"/>
    <m/>
    <s v=""/>
    <s v="TINY BABY"/>
    <s v=""/>
    <s v="RTO"/>
    <d v="2025-09-22T19:56:13"/>
    <s v="Agra"/>
    <s v="Uttar Pradesh"/>
    <n v="282002"/>
    <s v="India"/>
    <n v="2763"/>
    <n v="12"/>
    <n v="0"/>
    <n v="0"/>
    <n v="12"/>
    <n v="296.036"/>
    <n v="0"/>
    <n v="0"/>
    <n v="296.036"/>
    <n v="0.75"/>
    <n v="2763"/>
    <n v="296.036"/>
    <n v="3059.0360000000001"/>
  </r>
  <r>
    <s v="NYK-31201027-4582017-2-1"/>
    <x v="163"/>
    <x v="0"/>
    <n v="1"/>
    <n v="1"/>
    <n v="3250"/>
    <n v="2763"/>
    <n v="2773.87"/>
    <n v="10.87"/>
    <s v="COD"/>
    <d v="2025-09-05T01:06:22"/>
    <d v="2025-09-08T17:30:22"/>
    <d v="2025-09-11T15:26:56"/>
    <s v=""/>
    <s v="TINY BABY"/>
    <s v=""/>
    <s v=""/>
    <d v="2025-09-11T15:31:12"/>
    <s v="Sawantwadi"/>
    <s v="Maharashtra"/>
    <n v="416510"/>
    <s v="India"/>
    <n v="2763"/>
    <n v="12"/>
    <n v="6"/>
    <n v="6"/>
    <n v="0"/>
    <n v="296.036"/>
    <n v="148.018"/>
    <n v="148.018"/>
    <n v="0"/>
    <n v="0.75"/>
    <n v="2763"/>
    <n v="296.036"/>
    <n v="3059.0360000000001"/>
  </r>
  <r>
    <s v="NYK-31910269-9146435-3-1"/>
    <x v="164"/>
    <x v="1"/>
    <n v="1"/>
    <n v="1"/>
    <n v="2750"/>
    <n v="2200"/>
    <n v="2206.36"/>
    <n v="6.36"/>
    <s v="Prepaid"/>
    <d v="2025-09-29T09:42:26"/>
    <d v="2025-09-30T15:34:10"/>
    <d v="2025-10-04T19:47:56"/>
    <s v=""/>
    <s v="TINY BABY"/>
    <s v=""/>
    <s v="Raise Return"/>
    <d v="2025-10-10T14:35:49"/>
    <s v="Mumbai"/>
    <s v="Maharashtra"/>
    <n v="400071"/>
    <s v="India"/>
    <n v="2200"/>
    <n v="5"/>
    <n v="2.5"/>
    <n v="2.5"/>
    <n v="0"/>
    <n v="104.762"/>
    <n v="52.381"/>
    <n v="52.381"/>
    <n v="0"/>
    <n v="1"/>
    <n v="2200"/>
    <n v="104.762"/>
    <n v="2304.7620000000002"/>
  </r>
  <r>
    <s v="NYK-31405533-6950633-1-1"/>
    <x v="165"/>
    <x v="0"/>
    <n v="1"/>
    <n v="1"/>
    <n v="4500"/>
    <n v="3375"/>
    <n v="3386.549"/>
    <n v="11.548999999999999"/>
    <s v="Prepaid"/>
    <d v="2025-09-12T03:12:31"/>
    <d v="2025-09-12T17:12:17"/>
    <d v="2025-09-14T16:55:55"/>
    <s v=""/>
    <s v="BETTY"/>
    <s v=""/>
    <s v=""/>
    <d v="2025-09-14T16:56:12"/>
    <s v="Chennai"/>
    <s v="Tamil Nadu"/>
    <n v="600130"/>
    <s v="India"/>
    <n v="3375"/>
    <n v="12"/>
    <n v="0"/>
    <n v="0"/>
    <n v="12"/>
    <n v="361.60700000000003"/>
    <n v="0"/>
    <n v="0"/>
    <n v="361.60700000000003"/>
    <n v="1.1000000000000001"/>
    <n v="3375"/>
    <n v="361.60700000000003"/>
    <n v="3736.607"/>
  </r>
  <r>
    <s v="NYK-31611576-1333839-1-1"/>
    <x v="166"/>
    <x v="1"/>
    <n v="1"/>
    <n v="1"/>
    <n v="4500"/>
    <n v="4050"/>
    <n v="4070"/>
    <n v="20"/>
    <s v="COD"/>
    <d v="2025-09-19T11:25:34"/>
    <d v="2025-09-19T14:22:07"/>
    <d v="2025-09-23T16:38:09"/>
    <s v=""/>
    <s v="BETTY"/>
    <s v=""/>
    <s v="Raise Return"/>
    <d v="2025-10-04T14:56:16"/>
    <s v="Gurgaon"/>
    <s v="Haryana"/>
    <n v="122001"/>
    <s v="India"/>
    <n v="4050"/>
    <n v="12"/>
    <n v="0"/>
    <n v="0"/>
    <n v="12"/>
    <n v="433.92899999999997"/>
    <n v="0"/>
    <n v="0"/>
    <n v="433.92899999999997"/>
    <n v="0.85"/>
    <n v="4050"/>
    <n v="433.92899999999997"/>
    <n v="4483.9290000000001"/>
  </r>
  <r>
    <s v="NYK-31177835-7193663-1-1"/>
    <x v="167"/>
    <x v="1"/>
    <n v="1"/>
    <n v="1"/>
    <n v="3500"/>
    <n v="2625"/>
    <n v="2637.4879999999998"/>
    <n v="12.488"/>
    <s v="COD"/>
    <d v="2025-09-04T06:23:14"/>
    <d v="2025-09-04T17:48:42"/>
    <d v="2025-09-11T19:53:58"/>
    <s v=""/>
    <s v="BETTY"/>
    <s v=""/>
    <s v="Raise Return"/>
    <d v="2025-09-25T15:16:15"/>
    <s v="Pondicherry"/>
    <s v="pondicherry"/>
    <n v="605111"/>
    <s v="India"/>
    <n v="2625"/>
    <n v="12"/>
    <n v="0"/>
    <n v="0"/>
    <n v="12"/>
    <n v="281.25"/>
    <n v="0"/>
    <n v="0"/>
    <n v="281.25"/>
    <n v="1.4"/>
    <n v="2625"/>
    <n v="281.25"/>
    <n v="2906.25"/>
  </r>
  <r>
    <s v="NYK-31822107-5090484-1-1"/>
    <x v="168"/>
    <x v="0"/>
    <n v="1"/>
    <n v="1"/>
    <n v="5500"/>
    <n v="4950"/>
    <n v="4950"/>
    <n v="0"/>
    <s v="Prepaid"/>
    <d v="2025-09-26T08:21:30"/>
    <d v="2025-09-26T16:10:00"/>
    <d v="2025-09-29T16:05:00"/>
    <s v=""/>
    <s v="BETTY"/>
    <s v=""/>
    <s v=""/>
    <d v="2025-09-29T16:21:10"/>
    <s v="Hyderabad"/>
    <s v="Telangana"/>
    <n v="500084"/>
    <s v="India"/>
    <n v="4950"/>
    <n v="18"/>
    <n v="0"/>
    <n v="0"/>
    <n v="18"/>
    <n v="755.08500000000004"/>
    <n v="0"/>
    <n v="0"/>
    <n v="755.08500000000004"/>
    <n v="0.85"/>
    <n v="4950"/>
    <n v="755.08500000000004"/>
    <n v="5705.085"/>
  </r>
  <r>
    <s v="NYK-31168472-8950402-1-1"/>
    <x v="169"/>
    <x v="0"/>
    <n v="1"/>
    <n v="1"/>
    <n v="5500"/>
    <n v="4125"/>
    <n v="4125"/>
    <n v="0"/>
    <s v="Prepaid"/>
    <d v="2025-09-03T19:45:50"/>
    <d v="2025-09-04T17:49:12"/>
    <d v="2025-09-08T08:59:27"/>
    <s v=""/>
    <s v="BETTY"/>
    <s v=""/>
    <s v=""/>
    <d v="2025-09-08T09:01:17"/>
    <s v="Bheemunipatnam"/>
    <s v="Andhra Pradesh"/>
    <n v="531162"/>
    <s v="India"/>
    <n v="4125"/>
    <n v="12"/>
    <n v="0"/>
    <n v="0"/>
    <n v="12"/>
    <n v="441.964"/>
    <n v="0"/>
    <n v="0"/>
    <n v="441.964"/>
    <n v="0.85"/>
    <n v="4125"/>
    <n v="441.964"/>
    <n v="4566.9639999999999"/>
  </r>
  <r>
    <s v="NYK-31177835-7193663-1-1"/>
    <x v="170"/>
    <x v="1"/>
    <n v="1"/>
    <n v="1"/>
    <n v="5500"/>
    <n v="4675"/>
    <n v="4697.24"/>
    <n v="22.24"/>
    <s v="COD"/>
    <d v="2025-09-04T06:23:14"/>
    <d v="2025-09-04T17:48:42"/>
    <d v="2025-09-11T19:53:58"/>
    <s v=""/>
    <s v="BETTY"/>
    <s v=""/>
    <s v="Raise Return"/>
    <d v="2025-09-25T15:16:15"/>
    <s v="Pondicherry"/>
    <s v="pondicherry"/>
    <n v="605111"/>
    <s v="India"/>
    <n v="4675"/>
    <n v="12"/>
    <n v="0"/>
    <n v="0"/>
    <n v="12"/>
    <n v="500.89299999999997"/>
    <n v="0"/>
    <n v="0"/>
    <n v="500.89299999999997"/>
    <n v="1.4"/>
    <n v="4675"/>
    <n v="500.89299999999997"/>
    <n v="5175.893"/>
  </r>
  <r>
    <s v="NYK-31917116-6760216-3-1"/>
    <x v="171"/>
    <x v="0"/>
    <n v="1"/>
    <n v="1"/>
    <n v="5500"/>
    <n v="4950"/>
    <n v="4979.03"/>
    <n v="29.03"/>
    <s v="COD"/>
    <d v="2025-09-29T14:36:00"/>
    <d v="2025-09-30T17:00:38"/>
    <d v="2025-10-04T14:51:34"/>
    <s v=""/>
    <s v="BETTY"/>
    <s v=""/>
    <s v=""/>
    <d v="2025-10-04T14:56:12"/>
    <s v="Agra"/>
    <s v="Uttar Pradesh"/>
    <n v="282007"/>
    <s v="India"/>
    <n v="4950"/>
    <n v="18"/>
    <n v="0"/>
    <n v="0"/>
    <n v="18"/>
    <n v="755.08500000000004"/>
    <n v="0"/>
    <n v="0"/>
    <n v="755.08500000000004"/>
    <n v="0.85"/>
    <n v="4950"/>
    <n v="755.08500000000004"/>
    <n v="5705.085"/>
  </r>
  <r>
    <s v="NYK-31549007-3430099-1-1"/>
    <x v="172"/>
    <x v="3"/>
    <n v="1"/>
    <n v="0"/>
    <n v="6000"/>
    <n v="4500"/>
    <n v="4549"/>
    <n v="49"/>
    <s v="COD"/>
    <d v="2025-09-17T01:40:30"/>
    <m/>
    <m/>
    <s v="Delivery date is too late"/>
    <s v="BETTY"/>
    <s v=""/>
    <s v=""/>
    <d v="2025-09-17T16:59:30"/>
    <s v="Bangalore"/>
    <s v="Karnataka"/>
    <n v="560032"/>
    <s v="India"/>
    <n v="4500"/>
    <n v="12"/>
    <n v="0"/>
    <n v="0"/>
    <n v="12"/>
    <n v="482.14299999999997"/>
    <n v="0"/>
    <n v="0"/>
    <n v="482.14299999999997"/>
    <m/>
    <n v="4500"/>
    <n v="482.14299999999997"/>
    <n v="4982.143"/>
  </r>
  <r>
    <s v="NYK-31349897-2781504-1-1"/>
    <x v="173"/>
    <x v="2"/>
    <n v="1"/>
    <n v="1"/>
    <n v="5000"/>
    <n v="3750"/>
    <n v="3799"/>
    <n v="49"/>
    <s v="COD"/>
    <d v="2025-09-10T00:03:01"/>
    <d v="2025-09-10T15:10:29"/>
    <m/>
    <s v=""/>
    <s v="BETTY"/>
    <s v=""/>
    <s v="RTO"/>
    <d v="2025-09-26T22:41:14"/>
    <s v="New Delhi"/>
    <s v="Delhi"/>
    <n v="110063"/>
    <s v="India"/>
    <n v="3750"/>
    <n v="12"/>
    <n v="0"/>
    <n v="0"/>
    <n v="12"/>
    <n v="401.786"/>
    <n v="0"/>
    <n v="0"/>
    <n v="401.786"/>
    <n v="0.7"/>
    <n v="3750"/>
    <n v="401.786"/>
    <n v="4151.7860000000001"/>
  </r>
  <r>
    <s v="NYK-31168865-0045079-2-1"/>
    <x v="173"/>
    <x v="1"/>
    <n v="1"/>
    <n v="1"/>
    <n v="5000"/>
    <n v="3750"/>
    <n v="3762.18"/>
    <n v="12.18"/>
    <s v="Prepaid"/>
    <d v="2025-09-03T20:04:05"/>
    <d v="2025-09-04T17:49:05"/>
    <d v="2025-09-07T15:17:36"/>
    <s v=""/>
    <s v="BETTY"/>
    <s v=""/>
    <s v="Raise Return"/>
    <d v="2025-09-15T22:16:28"/>
    <s v="Zirakpur"/>
    <s v="Punjab"/>
    <n v="140603"/>
    <s v="India"/>
    <n v="3750"/>
    <n v="12"/>
    <n v="0"/>
    <n v="0"/>
    <n v="12"/>
    <n v="401.786"/>
    <n v="0"/>
    <n v="0"/>
    <n v="401.786"/>
    <n v="0.7"/>
    <n v="3750"/>
    <n v="401.786"/>
    <n v="4151.7860000000001"/>
  </r>
  <r>
    <s v="NYK-31724720-6657321-1-1"/>
    <x v="174"/>
    <x v="0"/>
    <n v="1"/>
    <n v="1"/>
    <n v="5000"/>
    <n v="4500"/>
    <n v="4516.88"/>
    <n v="16.88"/>
    <s v="Prepaid"/>
    <d v="2025-09-23T00:14:17"/>
    <d v="2025-09-24T15:00:36"/>
    <d v="2025-09-29T17:20:46"/>
    <s v=""/>
    <s v="BETTY"/>
    <s v=""/>
    <s v=""/>
    <d v="2025-09-29T17:21:10"/>
    <s v="Ghaziabad"/>
    <s v="Uttar Pradesh"/>
    <n v="201010"/>
    <s v="India"/>
    <n v="4500"/>
    <n v="18"/>
    <n v="0"/>
    <n v="0"/>
    <n v="18"/>
    <n v="686.44100000000003"/>
    <n v="0"/>
    <n v="0"/>
    <n v="686.44100000000003"/>
    <n v="0.7"/>
    <n v="4500"/>
    <n v="686.44100000000003"/>
    <n v="5186.4409999999998"/>
  </r>
  <r>
    <s v="NYK-31696742-7413251-1-1"/>
    <x v="174"/>
    <x v="1"/>
    <n v="1"/>
    <n v="1"/>
    <n v="5000"/>
    <n v="4500"/>
    <n v="4549"/>
    <n v="49"/>
    <s v="COD"/>
    <d v="2025-09-22T07:46:53"/>
    <d v="2025-09-22T17:48:11"/>
    <d v="2025-09-24T17:25:22"/>
    <s v=""/>
    <s v="BETTY"/>
    <s v=""/>
    <s v="Raise Return"/>
    <d v="2025-10-06T20:55:56"/>
    <s v="Patna"/>
    <s v="Bihar"/>
    <n v="801503"/>
    <s v="India"/>
    <n v="4500"/>
    <n v="18"/>
    <n v="0"/>
    <n v="0"/>
    <n v="18"/>
    <n v="686.44100000000003"/>
    <n v="0"/>
    <n v="0"/>
    <n v="686.44100000000003"/>
    <n v="0.7"/>
    <n v="4500"/>
    <n v="686.44100000000003"/>
    <n v="5186.4409999999998"/>
  </r>
  <r>
    <s v="NYK-31689592-5232178-2-1"/>
    <x v="175"/>
    <x v="0"/>
    <n v="1"/>
    <n v="1"/>
    <n v="6000"/>
    <n v="5400"/>
    <n v="5416.39"/>
    <n v="16.39"/>
    <s v="COD"/>
    <d v="2025-09-21T22:50:32"/>
    <d v="2025-09-22T17:48:16"/>
    <d v="2025-09-27T16:03:55"/>
    <s v=""/>
    <s v="BETTY"/>
    <s v=""/>
    <s v=""/>
    <d v="2025-09-27T16:06:28"/>
    <s v="Udakishanganj"/>
    <s v="Bihar"/>
    <n v="852219"/>
    <s v="India"/>
    <n v="5400"/>
    <n v="18"/>
    <n v="0"/>
    <n v="0"/>
    <n v="18"/>
    <n v="823.72900000000004"/>
    <n v="0"/>
    <n v="0"/>
    <n v="823.72900000000004"/>
    <n v="0.75"/>
    <n v="5400"/>
    <n v="823.72900000000004"/>
    <n v="6223.7290000000003"/>
  </r>
  <r>
    <s v="NYK-31405533-6950633-1-1"/>
    <x v="176"/>
    <x v="0"/>
    <n v="1"/>
    <n v="1"/>
    <n v="6000"/>
    <n v="5100"/>
    <n v="5117.451"/>
    <n v="17.451000000000001"/>
    <s v="Prepaid"/>
    <d v="2025-09-12T03:12:31"/>
    <d v="2025-09-12T17:12:17"/>
    <d v="2025-09-14T16:55:55"/>
    <s v=""/>
    <s v="BETTY"/>
    <s v=""/>
    <s v=""/>
    <d v="2025-09-14T16:56:12"/>
    <s v="Chennai"/>
    <s v="Tamil Nadu"/>
    <n v="600130"/>
    <s v="India"/>
    <n v="5100"/>
    <n v="12"/>
    <n v="0"/>
    <n v="0"/>
    <n v="12"/>
    <n v="546.42899999999997"/>
    <n v="0"/>
    <n v="0"/>
    <n v="546.42899999999997"/>
    <n v="1.1000000000000001"/>
    <n v="5100"/>
    <n v="546.42899999999997"/>
    <n v="5646.4290000000001"/>
  </r>
  <r>
    <s v="NYK-31929215-6876636-1-1"/>
    <x v="177"/>
    <x v="0"/>
    <n v="1"/>
    <n v="1"/>
    <n v="5500"/>
    <n v="4950"/>
    <n v="4979"/>
    <n v="29"/>
    <s v="Prepaid"/>
    <d v="2025-09-29T22:57:57"/>
    <d v="2025-10-01T15:19:00"/>
    <d v="2025-10-07T13:02:21"/>
    <s v=""/>
    <s v="BETTY"/>
    <s v=""/>
    <s v=""/>
    <d v="2025-10-07T13:05:51"/>
    <s v="Raipur"/>
    <s v="Chhattisgarh"/>
    <n v="492001"/>
    <s v="India"/>
    <n v="4950"/>
    <n v="18"/>
    <n v="0"/>
    <n v="0"/>
    <n v="18"/>
    <n v="755.08500000000004"/>
    <n v="0"/>
    <n v="0"/>
    <n v="755.08500000000004"/>
    <n v="0.85"/>
    <n v="4950"/>
    <n v="755.08500000000004"/>
    <n v="5705.085"/>
  </r>
  <r>
    <s v="NYK-31578782-1043441-1-1"/>
    <x v="178"/>
    <x v="3"/>
    <n v="1"/>
    <n v="0"/>
    <n v="5500"/>
    <n v="4675"/>
    <n v="4687.24"/>
    <n v="12.24"/>
    <s v="Prepaid"/>
    <d v="2025-09-18T07:34:03"/>
    <m/>
    <m/>
    <s v="Change size"/>
    <s v="BETTY"/>
    <s v=""/>
    <s v=""/>
    <d v="2025-09-18T08:14:14"/>
    <s v="Pune"/>
    <s v="Maharashtra"/>
    <n v="411021"/>
    <s v="India"/>
    <n v="4675"/>
    <n v="12"/>
    <n v="6"/>
    <n v="6"/>
    <n v="0"/>
    <n v="500.89299999999997"/>
    <n v="250.447"/>
    <n v="250.447"/>
    <n v="0"/>
    <m/>
    <n v="4675"/>
    <n v="500.89400000000001"/>
    <n v="5175.8940000000002"/>
  </r>
  <r>
    <s v="NYK-31332584-5461792-1-1"/>
    <x v="179"/>
    <x v="1"/>
    <n v="1"/>
    <n v="1"/>
    <n v="6950"/>
    <n v="5908"/>
    <n v="5957"/>
    <n v="49"/>
    <s v="COD"/>
    <d v="2025-09-09T13:41:02"/>
    <d v="2025-09-10T15:10:29"/>
    <d v="2025-09-13T13:06:06"/>
    <s v=""/>
    <s v="BETTY"/>
    <s v=""/>
    <s v="Raise Return"/>
    <d v="2025-09-19T14:20:55"/>
    <s v="Mumbai"/>
    <s v="Maharashtra"/>
    <n v="400097"/>
    <s v="India"/>
    <n v="5908"/>
    <n v="12"/>
    <n v="6"/>
    <n v="6"/>
    <n v="0"/>
    <n v="633"/>
    <n v="316.5"/>
    <n v="316.5"/>
    <n v="0"/>
    <n v="0.85"/>
    <n v="5908"/>
    <n v="633"/>
    <n v="6541"/>
  </r>
  <r>
    <s v="NYK-31756001-9972058-1-1"/>
    <x v="180"/>
    <x v="0"/>
    <n v="1"/>
    <n v="1"/>
    <n v="3250"/>
    <n v="2925"/>
    <n v="2954"/>
    <n v="29"/>
    <s v="Prepaid"/>
    <d v="2025-09-23T23:22:52"/>
    <d v="2025-09-24T16:46:36"/>
    <d v="2025-09-30T14:34:39"/>
    <s v=""/>
    <s v="Tiny Kingdom"/>
    <s v=""/>
    <s v=""/>
    <d v="2025-09-30T14:36:32"/>
    <s v="Motihari"/>
    <s v="Bihar"/>
    <n v="845401"/>
    <s v="India"/>
    <n v="2925"/>
    <n v="18"/>
    <n v="0"/>
    <n v="0"/>
    <n v="18"/>
    <n v="446.18599999999998"/>
    <n v="0"/>
    <n v="0"/>
    <n v="446.18599999999998"/>
    <n v="0.85"/>
    <n v="2925"/>
    <n v="446.18599999999998"/>
    <n v="3371.1860000000001"/>
  </r>
  <r>
    <s v="NYK-31325558-8637151-3-1"/>
    <x v="181"/>
    <x v="1"/>
    <n v="1"/>
    <n v="1"/>
    <n v="4000"/>
    <n v="3400"/>
    <n v="3405.48"/>
    <n v="5.48"/>
    <s v="Prepaid"/>
    <d v="2025-09-09T09:00:37"/>
    <d v="2025-09-09T18:16:32"/>
    <d v="2025-09-14T14:30:33"/>
    <s v=""/>
    <s v="Tiny Kingdom"/>
    <s v=""/>
    <s v="Raise Return"/>
    <d v="2025-09-25T15:16:15"/>
    <s v="Hisar"/>
    <s v="Haryana"/>
    <n v="125001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406525-2024343-1-1"/>
    <x v="182"/>
    <x v="1"/>
    <n v="1"/>
    <n v="1"/>
    <n v="4000"/>
    <n v="3400"/>
    <n v="3429"/>
    <n v="29"/>
    <s v="Prepaid"/>
    <d v="2025-09-12T07:23:44"/>
    <d v="2025-09-12T17:12:05"/>
    <d v="2025-09-15T10:57:57"/>
    <s v=""/>
    <s v="Tiny Kingdom"/>
    <s v=""/>
    <s v="Raise Return"/>
    <d v="2025-09-25T15:16:15"/>
    <s v="Proddatur"/>
    <s v="Andhra Pradesh"/>
    <n v="516310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143152-0758448-2-1"/>
    <x v="183"/>
    <x v="0"/>
    <n v="1"/>
    <n v="1"/>
    <n v="4000"/>
    <n v="3400"/>
    <n v="3435.14"/>
    <n v="35.14"/>
    <s v="COD"/>
    <d v="2025-09-02T19:15:58"/>
    <d v="2025-09-03T17:13:44"/>
    <d v="2025-09-07T13:52:18"/>
    <s v=""/>
    <s v="Tiny Kingdom"/>
    <s v=""/>
    <s v=""/>
    <d v="2025-09-07T13:55:51"/>
    <s v="Begusarai"/>
    <s v="Bihar"/>
    <n v="851101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225565-9703099-1-1"/>
    <x v="184"/>
    <x v="1"/>
    <n v="1"/>
    <n v="1"/>
    <n v="3500"/>
    <n v="2975"/>
    <n v="3024"/>
    <n v="49"/>
    <s v="COD"/>
    <d v="2025-09-05T21:58:23"/>
    <d v="2025-09-08T17:30:42"/>
    <d v="2025-09-11T13:00:00"/>
    <s v=""/>
    <s v="Tiny Kingdom"/>
    <s v=""/>
    <s v="Raise Return"/>
    <d v="2025-09-20T14:46:39"/>
    <s v="Rajkot"/>
    <s v="Gujarat"/>
    <n v="360007"/>
    <s v="India"/>
    <n v="2975"/>
    <n v="12"/>
    <n v="0"/>
    <n v="0"/>
    <n v="12"/>
    <n v="318.75"/>
    <n v="0"/>
    <n v="0"/>
    <n v="318.75"/>
    <n v="0.85"/>
    <n v="2975"/>
    <n v="318.75"/>
    <n v="3293.75"/>
  </r>
  <r>
    <s v="NYK-31668484-3065085-1-1"/>
    <x v="185"/>
    <x v="2"/>
    <n v="1"/>
    <n v="1"/>
    <n v="3500"/>
    <n v="3150"/>
    <n v="3199"/>
    <n v="49"/>
    <s v="COD"/>
    <d v="2025-09-21T11:07:45"/>
    <d v="2025-09-22T17:48:10"/>
    <m/>
    <s v=""/>
    <s v="Tiny Kingdom"/>
    <s v=""/>
    <s v="RTO"/>
    <d v="2025-10-03T21:16:09"/>
    <s v="Ranchi"/>
    <s v="Jharkhand"/>
    <n v="834002"/>
    <s v="India"/>
    <n v="3150"/>
    <n v="18"/>
    <n v="0"/>
    <n v="0"/>
    <n v="18"/>
    <n v="480.50799999999998"/>
    <n v="0"/>
    <n v="0"/>
    <n v="480.50799999999998"/>
    <n v="0.85"/>
    <n v="3150"/>
    <n v="480.50799999999998"/>
    <n v="3630.5079999999998"/>
  </r>
  <r>
    <s v="NYK-31654022-0919818-2-1"/>
    <x v="185"/>
    <x v="0"/>
    <n v="1"/>
    <n v="1"/>
    <n v="3500"/>
    <n v="3150"/>
    <n v="3185.61"/>
    <n v="35.61"/>
    <s v="COD"/>
    <d v="2025-09-20T20:38:40"/>
    <d v="2025-09-22T17:48:12"/>
    <d v="2025-09-25T16:08:21"/>
    <s v=""/>
    <s v="Tiny Kingdom"/>
    <s v=""/>
    <s v=""/>
    <d v="2025-09-25T16:11:02"/>
    <s v="Godda"/>
    <s v="Jharkhand"/>
    <n v="814133"/>
    <s v="India"/>
    <n v="3150"/>
    <n v="18"/>
    <n v="0"/>
    <n v="0"/>
    <n v="18"/>
    <n v="480.50799999999998"/>
    <n v="0"/>
    <n v="0"/>
    <n v="480.50799999999998"/>
    <n v="0.85"/>
    <n v="3150"/>
    <n v="480.50799999999998"/>
    <n v="3630.5079999999998"/>
  </r>
  <r>
    <s v="NYK-31557862-4736273-3-1"/>
    <x v="185"/>
    <x v="0"/>
    <n v="1"/>
    <n v="1"/>
    <n v="3500"/>
    <n v="2975"/>
    <n v="2987.81"/>
    <n v="12.81"/>
    <s v="Prepaid"/>
    <d v="2025-09-17T13:08:56"/>
    <d v="2025-09-18T16:48:49"/>
    <d v="2025-09-21T11:59:09"/>
    <s v=""/>
    <s v="Tiny Kingdom"/>
    <s v=""/>
    <s v=""/>
    <d v="2025-09-21T12:01:37"/>
    <s v="Goa"/>
    <s v="Goa"/>
    <n v="403110"/>
    <s v="India"/>
    <n v="2975"/>
    <n v="12"/>
    <n v="0"/>
    <n v="0"/>
    <n v="12"/>
    <n v="318.75"/>
    <n v="0"/>
    <n v="0"/>
    <n v="318.75"/>
    <n v="0.85"/>
    <n v="2975"/>
    <n v="318.75"/>
    <n v="3293.75"/>
  </r>
  <r>
    <s v="NYK-31582387-2673727-1-1"/>
    <x v="186"/>
    <x v="1"/>
    <n v="1"/>
    <n v="1"/>
    <n v="3500"/>
    <n v="2975"/>
    <n v="2995.9"/>
    <n v="20.9"/>
    <s v="COD"/>
    <d v="2025-09-18T10:47:54"/>
    <d v="2025-09-18T16:48:28"/>
    <d v="2025-09-21T13:01:37"/>
    <s v=""/>
    <s v="Tiny Kingdom"/>
    <s v=""/>
    <s v="Raise Return"/>
    <d v="2025-10-01T18:36:30"/>
    <s v="Lucknow"/>
    <s v="Uttar Pradesh"/>
    <n v="226012"/>
    <s v="India"/>
    <n v="2975"/>
    <n v="12"/>
    <n v="0"/>
    <n v="0"/>
    <n v="12"/>
    <n v="318.75"/>
    <n v="0"/>
    <n v="0"/>
    <n v="318.75"/>
    <n v="1.1000000000000001"/>
    <n v="2975"/>
    <n v="318.75"/>
    <n v="3293.75"/>
  </r>
  <r>
    <s v="NYK-31851747-6752753-1-1"/>
    <x v="187"/>
    <x v="0"/>
    <n v="1"/>
    <n v="1"/>
    <n v="3500"/>
    <n v="3150"/>
    <n v="3150"/>
    <n v="0"/>
    <s v="Prepaid"/>
    <d v="2025-09-27T09:49:13"/>
    <d v="2025-09-29T14:22:52"/>
    <d v="2025-10-01T17:49:55"/>
    <s v=""/>
    <s v="Tiny Kingdom"/>
    <s v=""/>
    <s v=""/>
    <d v="2025-10-01T17:51:21"/>
    <s v="Pune"/>
    <s v="Maharashtra"/>
    <n v="411019"/>
    <s v="India"/>
    <n v="3150"/>
    <n v="18"/>
    <n v="9"/>
    <n v="9"/>
    <n v="0"/>
    <n v="480.50799999999998"/>
    <n v="240.25399999999999"/>
    <n v="240.25399999999999"/>
    <n v="0"/>
    <n v="0.85"/>
    <n v="3150"/>
    <n v="480.50799999999998"/>
    <n v="3630.5079999999998"/>
  </r>
  <r>
    <s v="NYK-31388002-8680045-1-1"/>
    <x v="187"/>
    <x v="0"/>
    <n v="1"/>
    <n v="1"/>
    <n v="3500"/>
    <n v="2975"/>
    <n v="2975"/>
    <n v="0"/>
    <s v="Prepaid"/>
    <d v="2025-09-11T13:48:00"/>
    <d v="2025-09-12T17:12:10"/>
    <d v="2025-09-15T10:58:20"/>
    <s v=""/>
    <s v="Tiny Kingdom"/>
    <s v=""/>
    <s v=""/>
    <d v="2025-09-15T11:01:27"/>
    <s v="Proddatur"/>
    <s v="Andhra Pradesh"/>
    <n v="516310"/>
    <s v="India"/>
    <n v="2975"/>
    <n v="12"/>
    <n v="0"/>
    <n v="0"/>
    <n v="12"/>
    <n v="318.75"/>
    <n v="0"/>
    <n v="0"/>
    <n v="318.75"/>
    <n v="0.85"/>
    <n v="2975"/>
    <n v="318.75"/>
    <n v="3293.75"/>
  </r>
  <r>
    <s v="NYK-31515973-4208651-1-1"/>
    <x v="188"/>
    <x v="2"/>
    <n v="1"/>
    <n v="1"/>
    <n v="3500"/>
    <n v="2975"/>
    <n v="3004"/>
    <n v="29"/>
    <s v="Prepaid"/>
    <d v="2025-09-15T22:06:49"/>
    <d v="2025-09-16T17:30:53"/>
    <m/>
    <s v=""/>
    <s v="Tiny Kingdom"/>
    <s v=""/>
    <s v="RTO"/>
    <d v="2025-09-27T20:11:18"/>
    <s v="Proddatur"/>
    <s v="Andhra Pradesh"/>
    <n v="516310"/>
    <s v="India"/>
    <n v="2975"/>
    <n v="12"/>
    <n v="0"/>
    <n v="0"/>
    <n v="12"/>
    <n v="318.75"/>
    <n v="0"/>
    <n v="0"/>
    <n v="318.75"/>
    <n v="0.85"/>
    <n v="2975"/>
    <n v="318.75"/>
    <n v="3293.75"/>
  </r>
  <r>
    <s v="NYK-31386959-6119809-1-1"/>
    <x v="188"/>
    <x v="0"/>
    <n v="1"/>
    <n v="1"/>
    <n v="3500"/>
    <n v="2975"/>
    <n v="2997.1709999999998"/>
    <n v="22.170999999999999"/>
    <s v="COD"/>
    <d v="2025-09-11T13:05:20"/>
    <d v="2025-09-12T17:12:29"/>
    <d v="2025-09-15T16:17:19"/>
    <s v=""/>
    <s v="Tiny Kingdom"/>
    <s v=""/>
    <s v=""/>
    <d v="2025-09-15T16:21:00"/>
    <s v="Nagpur"/>
    <s v="Maharashtra"/>
    <n v="440024"/>
    <s v="India"/>
    <n v="2975"/>
    <n v="12"/>
    <n v="6"/>
    <n v="6"/>
    <n v="0"/>
    <n v="318.75"/>
    <n v="159.375"/>
    <n v="159.375"/>
    <n v="0"/>
    <n v="1.2"/>
    <n v="2975"/>
    <n v="318.75"/>
    <n v="3293.75"/>
  </r>
  <r>
    <s v="NYK-31169324-1208881-1-1"/>
    <x v="188"/>
    <x v="0"/>
    <n v="1"/>
    <n v="1"/>
    <n v="3500"/>
    <n v="2975"/>
    <n v="3004"/>
    <n v="29"/>
    <s v="Prepaid"/>
    <d v="2025-09-03T20:23:29"/>
    <d v="2025-09-04T17:49:17"/>
    <d v="2025-09-08T14:56:08"/>
    <s v=""/>
    <s v="Tiny Kingdom"/>
    <s v=""/>
    <s v=""/>
    <d v="2025-09-08T15:01:02"/>
    <s v="Madurai"/>
    <s v="Tamil Nadu"/>
    <n v="625018"/>
    <s v="India"/>
    <n v="2975"/>
    <n v="12"/>
    <n v="0"/>
    <n v="0"/>
    <n v="12"/>
    <n v="318.75"/>
    <n v="0"/>
    <n v="0"/>
    <n v="318.75"/>
    <n v="0.85"/>
    <n v="2975"/>
    <n v="318.75"/>
    <n v="3293.75"/>
  </r>
  <r>
    <s v="NYK-31905570-5898213-3-1"/>
    <x v="189"/>
    <x v="0"/>
    <n v="1"/>
    <n v="1"/>
    <n v="3500"/>
    <n v="3150"/>
    <n v="3159.76"/>
    <n v="9.76"/>
    <s v="Prepaid"/>
    <d v="2025-09-29T00:28:18"/>
    <d v="2025-09-30T15:55:00"/>
    <d v="2025-10-01T13:09:00"/>
    <s v=""/>
    <s v="Tiny Kingdom"/>
    <s v=""/>
    <s v=""/>
    <d v="2025-10-01T13:20:56"/>
    <s v="Hyderabad"/>
    <s v="Telangana"/>
    <n v="500047"/>
    <s v="India"/>
    <n v="3150"/>
    <n v="18"/>
    <n v="0"/>
    <n v="0"/>
    <n v="18"/>
    <n v="480.50799999999998"/>
    <n v="0"/>
    <n v="0"/>
    <n v="480.50799999999998"/>
    <n v="0.85"/>
    <n v="3150"/>
    <n v="480.50799999999998"/>
    <n v="3630.5079999999998"/>
  </r>
  <r>
    <s v="NYK-31886077-6347957-1-1"/>
    <x v="189"/>
    <x v="0"/>
    <n v="1"/>
    <n v="1"/>
    <n v="3500"/>
    <n v="3150"/>
    <n v="3163.5329999999999"/>
    <n v="13.532999999999999"/>
    <s v="Prepaid"/>
    <d v="2025-09-28T13:29:08"/>
    <d v="2025-09-30T17:01:15"/>
    <d v="2025-10-09T12:06:24"/>
    <s v=""/>
    <s v="Tiny Kingdom"/>
    <s v=""/>
    <s v=""/>
    <d v="2025-10-09T12:21:20"/>
    <s v="Patna"/>
    <s v="Bihar"/>
    <n v="800020"/>
    <s v="India"/>
    <n v="3150"/>
    <n v="18"/>
    <n v="0"/>
    <n v="0"/>
    <n v="18"/>
    <n v="480.50799999999998"/>
    <n v="0"/>
    <n v="0"/>
    <n v="480.50799999999998"/>
    <n v="1.2"/>
    <n v="3150"/>
    <n v="480.50799999999998"/>
    <n v="3630.5079999999998"/>
  </r>
  <r>
    <s v="NYK-31553759-4986884-2-1"/>
    <x v="190"/>
    <x v="1"/>
    <n v="1"/>
    <n v="1"/>
    <n v="3750"/>
    <n v="3188"/>
    <n v="3188"/>
    <n v="0"/>
    <s v="Prepaid"/>
    <d v="2025-09-17T10:26:27"/>
    <d v="2025-09-18T16:48:37"/>
    <d v="2025-09-20T12:14:36"/>
    <s v=""/>
    <s v="Tiny Kingdom"/>
    <s v=""/>
    <s v="Raise Return"/>
    <d v="2025-10-03T11:51:22"/>
    <s v="Jaipur"/>
    <s v="Rajasthan"/>
    <n v="302001"/>
    <s v="India"/>
    <n v="3188"/>
    <n v="12"/>
    <n v="0"/>
    <n v="0"/>
    <n v="12"/>
    <n v="341.57100000000003"/>
    <n v="0"/>
    <n v="0"/>
    <n v="341.57100000000003"/>
    <n v="0.85"/>
    <n v="3188"/>
    <n v="341.57100000000003"/>
    <n v="3529.5709999999999"/>
  </r>
  <r>
    <s v="NYK-31795752-7519084-1-1"/>
    <x v="191"/>
    <x v="0"/>
    <n v="1"/>
    <n v="1"/>
    <n v="4000"/>
    <n v="3600"/>
    <n v="3614.5"/>
    <n v="14.5"/>
    <s v="Prepaid"/>
    <d v="2025-09-25T10:48:39"/>
    <d v="2025-09-25T17:20:49"/>
    <d v="2025-09-30T14:56:20"/>
    <s v=""/>
    <s v="Tiny Kingdom"/>
    <s v=""/>
    <s v=""/>
    <d v="2025-09-30T15:01:31"/>
    <s v="Ranchi"/>
    <s v="Jharkhand"/>
    <n v="834009"/>
    <s v="India"/>
    <n v="3600"/>
    <n v="18"/>
    <n v="0"/>
    <n v="0"/>
    <n v="18"/>
    <n v="549.15300000000002"/>
    <n v="0"/>
    <n v="0"/>
    <n v="549.15300000000002"/>
    <n v="1.2"/>
    <n v="3600"/>
    <n v="549.15300000000002"/>
    <n v="4149.1530000000002"/>
  </r>
  <r>
    <s v="NYK-31799422-5264303-1-1"/>
    <x v="192"/>
    <x v="3"/>
    <n v="1"/>
    <n v="0"/>
    <n v="4000"/>
    <n v="3600"/>
    <n v="3649"/>
    <n v="49"/>
    <s v="COD"/>
    <d v="2025-09-25T12:57:44"/>
    <m/>
    <m/>
    <s v="Change size"/>
    <s v="Tiny Kingdom"/>
    <s v=""/>
    <s v=""/>
    <d v="2025-09-25T12:58:46"/>
    <s v="Ludhiana"/>
    <s v="Punjab"/>
    <n v="141001"/>
    <s v="India"/>
    <n v="3600"/>
    <n v="18"/>
    <n v="0"/>
    <n v="0"/>
    <n v="18"/>
    <n v="549.15300000000002"/>
    <n v="0"/>
    <n v="0"/>
    <n v="549.15300000000002"/>
    <m/>
    <n v="3600"/>
    <n v="549.15300000000002"/>
    <n v="4149.1530000000002"/>
  </r>
  <r>
    <s v="NYK-31795752-7519084-1-1"/>
    <x v="193"/>
    <x v="1"/>
    <n v="1"/>
    <n v="1"/>
    <n v="4000"/>
    <n v="3600"/>
    <n v="3614.5"/>
    <n v="14.5"/>
    <s v="Prepaid"/>
    <d v="2025-09-25T10:48:39"/>
    <d v="2025-09-25T17:20:49"/>
    <d v="2025-09-30T14:56:20"/>
    <s v=""/>
    <s v="Tiny Kingdom"/>
    <s v=""/>
    <s v="Raise Return"/>
    <d v="2025-10-07T21:35:56"/>
    <s v="Ranchi"/>
    <s v="Jharkhand"/>
    <n v="834009"/>
    <s v="India"/>
    <n v="3600"/>
    <n v="18"/>
    <n v="0"/>
    <n v="0"/>
    <n v="18"/>
    <n v="549.15300000000002"/>
    <n v="0"/>
    <n v="0"/>
    <n v="549.15300000000002"/>
    <n v="1.2"/>
    <n v="3600"/>
    <n v="549.15300000000002"/>
    <n v="4149.1530000000002"/>
  </r>
  <r>
    <s v="NYK-31573263-0331618-1-1"/>
    <x v="194"/>
    <x v="1"/>
    <n v="1"/>
    <n v="1"/>
    <n v="4000"/>
    <n v="3400"/>
    <n v="3449"/>
    <n v="49"/>
    <s v="COD"/>
    <d v="2025-09-17T23:02:12"/>
    <d v="2025-09-18T16:48:23"/>
    <d v="2025-09-23T17:19:19"/>
    <s v=""/>
    <s v="Tiny Kingdom"/>
    <s v=""/>
    <s v="Raise Return"/>
    <d v="2025-10-09T15:01:23"/>
    <s v="Dhanbad"/>
    <s v="Jharkhand"/>
    <n v="828106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788819-0787813-1-1"/>
    <x v="195"/>
    <x v="2"/>
    <n v="1"/>
    <n v="1"/>
    <n v="4000"/>
    <n v="3600"/>
    <n v="3649"/>
    <n v="49"/>
    <s v="COD"/>
    <d v="2025-09-25T00:36:28"/>
    <d v="2025-09-25T14:47:53"/>
    <m/>
    <s v=""/>
    <s v="Tiny Kingdom"/>
    <s v=""/>
    <s v="RTO"/>
    <d v="2025-10-24T15:06:17"/>
    <s v="Gurugram"/>
    <s v="Haryana"/>
    <n v="122050"/>
    <s v="India"/>
    <n v="3600"/>
    <n v="18"/>
    <n v="0"/>
    <n v="0"/>
    <n v="18"/>
    <n v="549.15300000000002"/>
    <n v="0"/>
    <n v="0"/>
    <n v="549.15300000000002"/>
    <n v="0.85"/>
    <n v="3600"/>
    <n v="549.15300000000002"/>
    <n v="4149.1530000000002"/>
  </r>
  <r>
    <s v="NYK-31907074-0824688-1-1"/>
    <x v="196"/>
    <x v="1"/>
    <n v="1"/>
    <n v="1"/>
    <n v="4000"/>
    <n v="3600"/>
    <n v="3649"/>
    <n v="49"/>
    <s v="COD"/>
    <d v="2025-09-29T01:50:25"/>
    <d v="2025-09-30T17:01:17"/>
    <d v="2025-10-03T14:24:19"/>
    <s v=""/>
    <s v="Tiny Kingdom"/>
    <s v=""/>
    <s v="Raise Return"/>
    <d v="2025-10-11T20:06:24"/>
    <s v="Buldhana"/>
    <s v="Maharashtra"/>
    <n v="443101"/>
    <s v="India"/>
    <n v="3600"/>
    <n v="18"/>
    <n v="9"/>
    <n v="9"/>
    <n v="0"/>
    <n v="549.15300000000002"/>
    <n v="274.577"/>
    <n v="274.577"/>
    <n v="0"/>
    <n v="0.85"/>
    <n v="3600"/>
    <n v="549.154"/>
    <n v="4149.1540000000005"/>
  </r>
  <r>
    <s v="NYK-31595716-4412952-1-1"/>
    <x v="197"/>
    <x v="0"/>
    <n v="1"/>
    <n v="1"/>
    <n v="4000"/>
    <n v="3400"/>
    <n v="3414.5540000000001"/>
    <n v="14.554"/>
    <s v="Prepaid"/>
    <d v="2025-09-18T19:36:53"/>
    <d v="2025-09-19T16:42:59"/>
    <d v="2025-09-21T15:05:14"/>
    <s v=""/>
    <s v="Tiny Kingdom"/>
    <s v=""/>
    <s v=""/>
    <d v="2025-09-21T15:16:16"/>
    <s v="Kanpur"/>
    <s v="Uttar Pradesh"/>
    <n v="208001"/>
    <s v="India"/>
    <n v="3400"/>
    <n v="12"/>
    <n v="0"/>
    <n v="0"/>
    <n v="12"/>
    <n v="364.286"/>
    <n v="0"/>
    <n v="0"/>
    <n v="364.286"/>
    <n v="1.2"/>
    <n v="3400"/>
    <n v="364.286"/>
    <n v="3764.2860000000001"/>
  </r>
  <r>
    <s v="NYK-31184224-0792300-1-1"/>
    <x v="197"/>
    <x v="0"/>
    <n v="1"/>
    <n v="1"/>
    <n v="4000"/>
    <n v="3400"/>
    <n v="3417.3"/>
    <n v="17.3"/>
    <s v="Prepaid"/>
    <d v="2025-09-04T12:56:32"/>
    <d v="2025-09-04T15:16:04"/>
    <d v="2025-09-06T12:23:48"/>
    <s v=""/>
    <s v="Tiny Kingdom"/>
    <s v=""/>
    <s v=""/>
    <d v="2025-09-06T12:36:05"/>
    <s v="Pune"/>
    <s v="Maharashtra"/>
    <n v="411007"/>
    <s v="India"/>
    <n v="3400"/>
    <n v="12"/>
    <n v="6"/>
    <n v="6"/>
    <n v="0"/>
    <n v="364.286"/>
    <n v="182.143"/>
    <n v="182.143"/>
    <n v="0"/>
    <n v="0.85"/>
    <n v="3400"/>
    <n v="364.286"/>
    <n v="3764.2860000000001"/>
  </r>
  <r>
    <s v="NYK-31304330-8816102-4-1"/>
    <x v="198"/>
    <x v="0"/>
    <n v="1"/>
    <n v="1"/>
    <n v="4000"/>
    <n v="3400"/>
    <n v="3400"/>
    <n v="0"/>
    <s v="Prepaid"/>
    <d v="2025-09-08T13:36:56"/>
    <d v="2025-09-09T17:13:31"/>
    <d v="2025-09-13T15:30:32"/>
    <s v=""/>
    <s v="Tiny Kingdom"/>
    <s v=""/>
    <s v=""/>
    <d v="2025-09-13T15:31:11"/>
    <s v="Noida"/>
    <s v="Uttar Pradesh"/>
    <n v="201301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459966-5800223-1-1"/>
    <x v="199"/>
    <x v="1"/>
    <n v="1"/>
    <n v="1"/>
    <n v="4000"/>
    <n v="3400"/>
    <n v="3411.58"/>
    <n v="11.58"/>
    <s v="Prepaid"/>
    <d v="2025-09-13T23:20:00"/>
    <d v="2025-09-17T15:13:14"/>
    <d v="2025-09-21T16:18:18"/>
    <s v=""/>
    <s v="Tiny Kingdom"/>
    <s v=""/>
    <s v="Raise Return"/>
    <d v="2025-09-29T14:21:18"/>
    <s v="Bangalore"/>
    <s v="Karnataka"/>
    <n v="560005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240240-1641781-2-1"/>
    <x v="199"/>
    <x v="1"/>
    <n v="1"/>
    <n v="1"/>
    <n v="4000"/>
    <n v="3400"/>
    <n v="3425.44"/>
    <n v="25.44"/>
    <s v="COD"/>
    <d v="2025-09-06T12:24:02"/>
    <d v="2025-09-09T17:13:31"/>
    <d v="2025-09-12T12:02:03"/>
    <s v=""/>
    <s v="Tiny Kingdom"/>
    <s v=""/>
    <s v="Raise Return"/>
    <d v="2025-09-18T18:56:21"/>
    <s v="Bangalore"/>
    <s v="Karnataka"/>
    <n v="560010"/>
    <s v="India"/>
    <n v="3400"/>
    <n v="12"/>
    <n v="0"/>
    <n v="0"/>
    <n v="12"/>
    <n v="364.286"/>
    <n v="0"/>
    <n v="0"/>
    <n v="364.286"/>
    <n v="0.85"/>
    <n v="3400"/>
    <n v="364.286"/>
    <n v="3764.2860000000001"/>
  </r>
  <r>
    <s v="NYK-31138601-7805963-1-1"/>
    <x v="200"/>
    <x v="0"/>
    <n v="1"/>
    <n v="1"/>
    <n v="4000"/>
    <n v="3400"/>
    <n v="3449"/>
    <n v="49"/>
    <s v="COD"/>
    <d v="2025-09-02T15:40:06"/>
    <d v="2025-09-03T14:45:52"/>
    <d v="2025-09-09T12:38:42"/>
    <s v=""/>
    <s v="Tiny Kingdom"/>
    <s v=""/>
    <s v=""/>
    <d v="2025-09-09T13:06:25"/>
    <s v="NEW DELHI"/>
    <s v="Delhi"/>
    <n v="110026"/>
    <s v="India"/>
    <n v="3400"/>
    <n v="12"/>
    <n v="0"/>
    <n v="0"/>
    <n v="12"/>
    <n v="364.286"/>
    <n v="0"/>
    <n v="0"/>
    <n v="364.286"/>
    <n v="0.85"/>
    <n v="3400"/>
    <n v="364.286"/>
    <n v="3764.286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NYK-31867866-5644421-1-1"/>
    <s v="NYKF35236807"/>
    <s v="1143-Cream-36"/>
    <n v="3150"/>
    <n v="480.50799999999998"/>
    <n v="3630.5079999999998"/>
    <x v="0"/>
  </r>
  <r>
    <s v="NYK-31627638-9795060-2-1"/>
    <s v="NYKF34972918"/>
    <s v="1209-Orange-28"/>
    <n v="1125"/>
    <n v="120.536"/>
    <n v="1245.5360000000001"/>
    <x v="1"/>
  </r>
  <r>
    <s v="NYK-31809224-9003300-1-1"/>
    <s v="NYKF35172859"/>
    <s v="1212-Multi-24"/>
    <n v="3600"/>
    <n v="549.15300000000002"/>
    <n v="4149.1530000000002"/>
    <x v="1"/>
  </r>
  <r>
    <s v="NYK-31924788-7373075-2-1"/>
    <s v="NYKF35299332"/>
    <s v="1212-Multi-26"/>
    <n v="3600"/>
    <n v="549.15300000000002"/>
    <n v="4149.1530000000002"/>
    <x v="2"/>
  </r>
  <r>
    <s v="NYK-31505342-7129980-2-1"/>
    <s v="NYKF34840505"/>
    <s v="1212-Multi-28"/>
    <n v="3200"/>
    <n v="342.85700000000003"/>
    <n v="3542.857"/>
    <x v="0"/>
  </r>
  <r>
    <s v="NYK-31913686-8806740-1-1"/>
    <s v="NYKF35287395"/>
    <s v="1222-SeaGreen-24"/>
    <n v="2450"/>
    <n v="116.667"/>
    <n v="2566.6669999999999"/>
    <x v="3"/>
  </r>
  <r>
    <s v="NYK-31177835-7193663-1-1"/>
    <s v="NYKF34486144"/>
    <s v="1235-Blue-28"/>
    <n v="3000"/>
    <n v="321.42899999999997"/>
    <n v="3321.4290000000001"/>
    <x v="1"/>
  </r>
  <r>
    <s v="NYK-31909923-7825439-1-1"/>
    <s v="NYKF35283538"/>
    <s v="1238-Lilac-28"/>
    <n v="3500"/>
    <n v="533.89800000000002"/>
    <n v="4033.8980000000001"/>
    <x v="0"/>
  </r>
  <r>
    <s v="NYK-31899770-5045088-1-1"/>
    <s v="NYKF35271906"/>
    <s v="1252-Green-32"/>
    <n v="3150"/>
    <n v="480.50799999999998"/>
    <n v="3630.5079999999998"/>
    <x v="1"/>
  </r>
  <r>
    <s v="NYK-31582387-2673727-1-1"/>
    <s v="NYKF34923947"/>
    <s v="1253-P.Blue-34"/>
    <n v="4000"/>
    <n v="428.57100000000003"/>
    <n v="4428.5709999999999"/>
    <x v="1"/>
  </r>
  <r>
    <s v="NYK-31802321-1812651-2-1"/>
    <s v="NYKF35165079"/>
    <s v="1258-Multi-30"/>
    <n v="3465"/>
    <n v="528.55899999999997"/>
    <n v="3993.5590000000002"/>
    <x v="0"/>
  </r>
  <r>
    <s v="NYK-31719755-8789426-1-1"/>
    <s v="NYKF35074809"/>
    <s v="1258-Multi-32"/>
    <n v="3465"/>
    <n v="528.55899999999997"/>
    <n v="3993.5590000000002"/>
    <x v="1"/>
  </r>
  <r>
    <s v="NYK-31747284-4401517-1-1"/>
    <s v="NYKF35104901"/>
    <s v="1266-Rani-28"/>
    <n v="4050"/>
    <n v="617.79700000000003"/>
    <n v="4667.7970000000005"/>
    <x v="1"/>
  </r>
  <r>
    <s v="NYK-31392302-0126578-1-1"/>
    <s v="NYKF34718113"/>
    <s v="1266-Rani-36"/>
    <n v="4050"/>
    <n v="433.92899999999997"/>
    <n v="4483.9290000000001"/>
    <x v="0"/>
  </r>
  <r>
    <s v="NYK-31465207-4564045-1-1"/>
    <s v="NYKF34796817"/>
    <s v="1266-Rani-38"/>
    <n v="4050"/>
    <n v="433.92899999999997"/>
    <n v="4483.9290000000001"/>
    <x v="0"/>
  </r>
  <r>
    <s v="NYK-31630972-6435094-1-1"/>
    <s v="NYKF34976746"/>
    <s v="1275-Lavender-36"/>
    <n v="3375"/>
    <n v="361.60700000000003"/>
    <n v="3736.607"/>
    <x v="0"/>
  </r>
  <r>
    <s v="NYK-31630972-6435094-1-1"/>
    <s v="NYKF34976746"/>
    <s v="1275-Lavender-38"/>
    <n v="3375"/>
    <n v="361.60700000000003"/>
    <n v="3736.607"/>
    <x v="0"/>
  </r>
  <r>
    <s v="NYK-31474025-8096330-1-1"/>
    <s v="NYKF34806094"/>
    <s v="1276-L.Blue-38"/>
    <n v="2800"/>
    <n v="300"/>
    <n v="3100"/>
    <x v="0"/>
  </r>
  <r>
    <s v="NYK-31865124-9005726-1-1"/>
    <s v="NYKF35233693"/>
    <s v="1278-Multicolor-26"/>
    <n v="3375"/>
    <n v="514.83100000000002"/>
    <n v="3889.8310000000001"/>
    <x v="0"/>
  </r>
  <r>
    <s v="NYK-31865292-9445829-1-1"/>
    <s v="NYKF35233896"/>
    <s v="1281-Orchid-28"/>
    <n v="2800"/>
    <n v="427.11900000000003"/>
    <n v="3227.1190000000001"/>
    <x v="3"/>
  </r>
  <r>
    <s v="NYK-31441538-7193404-4-1"/>
    <s v="NYKF34770335"/>
    <s v="1283-Blue-20"/>
    <n v="1400"/>
    <n v="150"/>
    <n v="1550"/>
    <x v="0"/>
  </r>
  <r>
    <s v="NYK-31716843-3422799-1-1"/>
    <s v="NYKF35071403"/>
    <s v="1283-Blue-22"/>
    <n v="1400"/>
    <n v="66.667000000000002"/>
    <n v="1466.6669999999999"/>
    <x v="0"/>
  </r>
  <r>
    <s v="NYK-31431282-2567660-1-1"/>
    <s v="NYKF34760264"/>
    <s v="1284-Blue-30"/>
    <n v="3600"/>
    <n v="385.714"/>
    <n v="3985.7139999999999"/>
    <x v="0"/>
  </r>
  <r>
    <s v="NYK-31926074-0353317-1-1"/>
    <s v="NYKF35300615"/>
    <s v="1284-Blue-34"/>
    <n v="4050"/>
    <n v="617.79700000000003"/>
    <n v="4667.7970000000005"/>
    <x v="0"/>
  </r>
  <r>
    <s v="NYK-31465612-7402138-1-1"/>
    <s v="NYKF34797258"/>
    <s v="1284-Blue-34"/>
    <n v="3600"/>
    <n v="385.714"/>
    <n v="3985.7139999999999"/>
    <x v="0"/>
  </r>
  <r>
    <s v="NYK-31948428-5807456-3-1"/>
    <s v="NYKF35324534"/>
    <s v="1290-Red-36"/>
    <n v="3600"/>
    <n v="549.15300000000002"/>
    <n v="4149.1530000000002"/>
    <x v="0"/>
  </r>
  <r>
    <s v="NYK-31115996-6929406-1-1"/>
    <s v="NYKF34419917"/>
    <s v="1291-Yellow-30"/>
    <n v="3200"/>
    <n v="342.85700000000003"/>
    <n v="3542.857"/>
    <x v="4"/>
  </r>
  <r>
    <s v="NYK-31315036-5475093-1-1"/>
    <s v="NYKF34634301"/>
    <s v="1293-Orange-36"/>
    <n v="3600"/>
    <n v="385.714"/>
    <n v="3985.7139999999999"/>
    <x v="0"/>
  </r>
  <r>
    <s v="NYK-31868651-7429006-1-1"/>
    <s v="NYKF35237628"/>
    <s v="1300-Green-38"/>
    <n v="3600"/>
    <n v="549.15300000000002"/>
    <n v="4149.1530000000002"/>
    <x v="1"/>
  </r>
  <r>
    <s v="NYK-31347508-8364900-2-1"/>
    <s v="NYKF34669648"/>
    <s v="1301-Black-34"/>
    <n v="3400"/>
    <n v="364.286"/>
    <n v="3764.2860000000001"/>
    <x v="0"/>
  </r>
  <r>
    <s v="NYK-31429148-8045001-1-1"/>
    <s v="NYKF34757915"/>
    <s v="1301-Black-38"/>
    <n v="3400"/>
    <n v="364.286"/>
    <n v="3764.2860000000001"/>
    <x v="0"/>
  </r>
  <r>
    <s v="NYK-31561969-4371133-1-1"/>
    <s v="NYKF34901739"/>
    <s v="1305-Sky Blue-26"/>
    <n v="3188"/>
    <n v="341.572"/>
    <n v="3529.5720000000001"/>
    <x v="0"/>
  </r>
  <r>
    <s v="NYK-31677921-2330968-1-1"/>
    <s v="NYKF35027201"/>
    <s v="1305-Sky Blue-34"/>
    <n v="3563"/>
    <n v="543.50800000000004"/>
    <n v="4106.5079999999998"/>
    <x v="0"/>
  </r>
  <r>
    <s v="NYK-31787713-8512967-3-1"/>
    <s v="NYKF35149181"/>
    <s v="1305-Sky Blue-36"/>
    <n v="3563"/>
    <n v="543.50800000000004"/>
    <n v="4106.5079999999998"/>
    <x v="0"/>
  </r>
  <r>
    <s v="NYK-31359099-7298263-5-1"/>
    <s v="NYKF34682049"/>
    <s v="1306-Sea Green-36"/>
    <n v="2975"/>
    <n v="318.75"/>
    <n v="3293.75"/>
    <x v="0"/>
  </r>
  <r>
    <s v="NYK-31904124-2720620-3-1"/>
    <s v="NYKF35277055"/>
    <s v="1308-Cream-36"/>
    <n v="3600"/>
    <n v="549.15300000000002"/>
    <n v="4149.1530000000002"/>
    <x v="0"/>
  </r>
  <r>
    <s v="NYK-31233401-1484894-2-1"/>
    <s v="NYKF34545654"/>
    <s v="1308-Cream-38"/>
    <n v="3400"/>
    <n v="364.286"/>
    <n v="3764.2860000000001"/>
    <x v="0"/>
  </r>
  <r>
    <s v="NYK-31720011-9201255-1-1"/>
    <s v="NYKF35075032"/>
    <s v="1311-Pink-24"/>
    <n v="3150"/>
    <n v="480.50799999999998"/>
    <n v="3630.5079999999998"/>
    <x v="0"/>
  </r>
  <r>
    <s v="NYK-31705601-9785728-1-1"/>
    <s v="NYKF35059052"/>
    <s v="1311-Pink-34"/>
    <n v="3150"/>
    <n v="480.50799999999998"/>
    <n v="3630.5079999999998"/>
    <x v="1"/>
  </r>
  <r>
    <s v="NYK-31904124-2720620-3-1"/>
    <s v="NYKF35277055"/>
    <s v="1311-Pink-36"/>
    <n v="3150"/>
    <n v="480.50799999999998"/>
    <n v="3630.5079999999998"/>
    <x v="0"/>
  </r>
  <r>
    <s v="NYK-31763834-7494212-1-1"/>
    <s v="NYKF35123176"/>
    <s v="1311-Pink-36"/>
    <n v="3150"/>
    <n v="480.50799999999998"/>
    <n v="3630.5079999999998"/>
    <x v="0"/>
  </r>
  <r>
    <s v="NYK-31435390-2024207-3-1"/>
    <s v="NYKF34764318"/>
    <s v="1317-White-26"/>
    <n v="1600"/>
    <n v="171.429"/>
    <n v="1771.4290000000001"/>
    <x v="0"/>
  </r>
  <r>
    <s v="NYK-31722596-3134200-1-1"/>
    <s v="NYKF35078084"/>
    <s v="1318-Yellow-38"/>
    <n v="3600"/>
    <n v="549.15300000000002"/>
    <n v="4149.1530000000002"/>
    <x v="0"/>
  </r>
  <r>
    <s v="NYK-31620805-3394006-2-1"/>
    <s v="NYKF34965512"/>
    <s v="1319-Grey-36"/>
    <n v="2600"/>
    <n v="278.57100000000003"/>
    <n v="2878.5709999999999"/>
    <x v="0"/>
  </r>
  <r>
    <s v="NYK-31456870-0331850-1-1"/>
    <s v="NYKF34787416"/>
    <s v="1326-Pink-28"/>
    <n v="3400"/>
    <n v="364.286"/>
    <n v="3764.2860000000001"/>
    <x v="0"/>
  </r>
  <r>
    <s v="NYK-31894453-3885723-4-1"/>
    <s v="NYKF35265763"/>
    <s v="1326-Pink-30"/>
    <n v="3600"/>
    <n v="549.15300000000002"/>
    <n v="4149.1530000000002"/>
    <x v="0"/>
  </r>
  <r>
    <s v="NYK-31887295-8600129-1-1"/>
    <s v="NYKF35257763"/>
    <s v="1327-Pista Green-34"/>
    <n v="3825"/>
    <n v="583.47500000000002"/>
    <n v="4408.4750000000004"/>
    <x v="0"/>
  </r>
  <r>
    <s v="NYK-31754627-8007910-1-1"/>
    <s v="NYKF35113315"/>
    <s v="2321-Fawn-34"/>
    <n v="2100"/>
    <n v="100"/>
    <n v="2200"/>
    <x v="1"/>
  </r>
  <r>
    <s v="NYK-31442695-9517703-2-1"/>
    <s v="NYKF34771666"/>
    <s v="2328-Orange-32"/>
    <n v="2250"/>
    <n v="241.071"/>
    <n v="2491.0709999999999"/>
    <x v="1"/>
  </r>
  <r>
    <s v="NYK-31617881-6065113-1-1"/>
    <s v="NYKF34962381"/>
    <s v="2362-White-32"/>
    <n v="2275"/>
    <n v="243.75"/>
    <n v="2518.75"/>
    <x v="0"/>
  </r>
  <r>
    <s v="NYK-31390982-6502598-1-1"/>
    <s v="NYKF34716555"/>
    <s v="2366-Peach-32"/>
    <n v="2125"/>
    <n v="227.679"/>
    <n v="2352.6790000000001"/>
    <x v="0"/>
  </r>
  <r>
    <s v="NYK-31233598-3281228-4-1"/>
    <s v="NYKF34545860"/>
    <s v="2366-Peach-34"/>
    <n v="2125"/>
    <n v="227.679"/>
    <n v="2352.6790000000001"/>
    <x v="1"/>
  </r>
  <r>
    <s v="NYK-31793412-1444463-1-1"/>
    <s v="NYKF35155492"/>
    <s v="2377-NeonYellow-20"/>
    <n v="2275"/>
    <n v="108.333"/>
    <n v="2383.3330000000001"/>
    <x v="0"/>
  </r>
  <r>
    <s v="NYK-31628925-2346748-1-1"/>
    <s v="NYKF34974383"/>
    <s v="2377-NeonYellow-32"/>
    <n v="2275"/>
    <n v="243.75"/>
    <n v="2518.75"/>
    <x v="0"/>
  </r>
  <r>
    <s v="NYK-31132402-1044484-1-1"/>
    <s v="NYKF34437436"/>
    <s v="2377-NeonYellow-34"/>
    <n v="2763"/>
    <n v="296.036"/>
    <n v="3059.0360000000001"/>
    <x v="1"/>
  </r>
  <r>
    <s v="NYK-31617881-6065113-1-1"/>
    <s v="NYKF34962381"/>
    <s v="2394-Green-32"/>
    <n v="2450"/>
    <n v="262.5"/>
    <n v="2712.5"/>
    <x v="0"/>
  </r>
  <r>
    <s v="NYK-31793412-1444463-1-1"/>
    <s v="NYKF35155492"/>
    <s v="2408-Pink-20"/>
    <n v="2100"/>
    <n v="100"/>
    <n v="2200"/>
    <x v="0"/>
  </r>
  <r>
    <s v="NYK-31339915-2903347-1-1"/>
    <s v="NYKF34661200"/>
    <s v="2408-Pink-28"/>
    <n v="2550"/>
    <n v="273.214"/>
    <n v="2823.2139999999999"/>
    <x v="0"/>
  </r>
  <r>
    <s v="NYK-31248590-8773922-1-1"/>
    <s v="NYKF34561830"/>
    <s v="2408-Pink-32"/>
    <n v="2550"/>
    <n v="273.214"/>
    <n v="2823.2139999999999"/>
    <x v="1"/>
  </r>
  <r>
    <s v="NYK-31103383-1253828-1-1"/>
    <s v="NYKF34406912"/>
    <s v="2408-Pink-34"/>
    <n v="2550"/>
    <n v="273.214"/>
    <n v="2823.2139999999999"/>
    <x v="1"/>
  </r>
  <r>
    <s v="NYK-31643892-7480367-2-1"/>
    <s v="NYKF34990036"/>
    <s v="2408-Pink-36"/>
    <n v="2100"/>
    <n v="100"/>
    <n v="2200"/>
    <x v="1"/>
  </r>
  <r>
    <s v="NYK-31614771-8712561-1-1"/>
    <s v="NYKF34959251"/>
    <s v="2410-Fuchsia-26"/>
    <n v="2275"/>
    <n v="243.75"/>
    <n v="2518.75"/>
    <x v="0"/>
  </r>
  <r>
    <s v="NYK-31793412-1444463-1-1"/>
    <s v="NYKF35155492"/>
    <s v="2425-Pink-20"/>
    <n v="2100"/>
    <n v="100"/>
    <n v="2200"/>
    <x v="0"/>
  </r>
  <r>
    <s v="NYK-31736410-1067072-6-1"/>
    <s v="NYKF35092877"/>
    <s v="2433-Cream-36"/>
    <n v="2240"/>
    <n v="106.66800000000001"/>
    <n v="2346.6680000000001"/>
    <x v="0"/>
  </r>
  <r>
    <s v="NYK-31910269-9146435-3-1"/>
    <s v="NYKF35283943"/>
    <s v="2470-Green-28"/>
    <n v="2200"/>
    <n v="104.762"/>
    <n v="2304.7620000000002"/>
    <x v="3"/>
  </r>
  <r>
    <s v="NYK-31611576-1333839-1-1"/>
    <s v="NYKF34955800"/>
    <s v="4288-Lilac-28"/>
    <n v="4050"/>
    <n v="433.92899999999997"/>
    <n v="4483.9290000000001"/>
    <x v="5"/>
  </r>
  <r>
    <s v="NYK-31177835-7193663-1-1"/>
    <s v="NYKF34486144"/>
    <s v="4306-Blue-26"/>
    <n v="2625"/>
    <n v="281.25"/>
    <n v="2906.25"/>
    <x v="1"/>
  </r>
  <r>
    <s v="NYK-31177835-7193663-1-1"/>
    <s v="NYKF34486144"/>
    <s v="4507-Mustard-26"/>
    <n v="4675"/>
    <n v="500.89299999999997"/>
    <n v="5175.893"/>
    <x v="1"/>
  </r>
  <r>
    <s v="NYK-31168865-0045079-2-1"/>
    <s v="NYKF34476626"/>
    <s v="4585-Orchid-28"/>
    <n v="3750"/>
    <n v="401.786"/>
    <n v="4151.7860000000001"/>
    <x v="1"/>
  </r>
  <r>
    <s v="NYK-31696742-7413251-1-1"/>
    <s v="NYKF35049430"/>
    <s v="4585-Orchid-30"/>
    <n v="4500"/>
    <n v="686.44100000000003"/>
    <n v="5186.4409999999998"/>
    <x v="0"/>
  </r>
  <r>
    <s v="NYK-31332584-5461792-1-1"/>
    <s v="NYKF34653165"/>
    <s v="7928-Rani-32"/>
    <n v="5908"/>
    <n v="633"/>
    <n v="6541"/>
    <x v="0"/>
  </r>
  <r>
    <s v="NYK-31325558-8637151-3-1"/>
    <s v="NYKF34645709"/>
    <s v="TK-1002-Purple-28"/>
    <n v="3400"/>
    <n v="364.286"/>
    <n v="3764.2860000000001"/>
    <x v="0"/>
  </r>
  <r>
    <s v="NYK-31406525-2024343-1-1"/>
    <s v="NYKF34733705"/>
    <s v="TK-1002-Purple-32"/>
    <n v="3400"/>
    <n v="364.286"/>
    <n v="3764.2860000000001"/>
    <x v="0"/>
  </r>
  <r>
    <s v="NYK-31225565-9703099-1-1"/>
    <s v="NYKF34536982"/>
    <s v="TK-1003-Purple-24"/>
    <n v="2975"/>
    <n v="318.75"/>
    <n v="3293.75"/>
    <x v="0"/>
  </r>
  <r>
    <s v="NYK-31582387-2673727-1-1"/>
    <s v="NYKF34923947"/>
    <s v="TK-1003-Purple-30"/>
    <n v="2975"/>
    <n v="318.75"/>
    <n v="3293.75"/>
    <x v="1"/>
  </r>
  <r>
    <s v="NYK-31553759-4986884-2-1"/>
    <s v="NYKF34893208"/>
    <s v="TK-1004-Red-28"/>
    <n v="3188"/>
    <n v="341.57100000000003"/>
    <n v="3529.5709999999999"/>
    <x v="6"/>
  </r>
  <r>
    <s v="NYK-31795752-7519084-1-1"/>
    <s v="NYKF35157929"/>
    <s v="TK-1005-Orange-28"/>
    <n v="3600"/>
    <n v="549.15300000000002"/>
    <n v="4149.1530000000002"/>
    <x v="0"/>
  </r>
  <r>
    <s v="NYK-31573263-0331618-1-1"/>
    <s v="NYKF34914190"/>
    <s v="TK-1005-Orange-34"/>
    <n v="3400"/>
    <n v="364.286"/>
    <n v="3764.2860000000001"/>
    <x v="0"/>
  </r>
  <r>
    <s v="NYK-31907074-0824688-1-1"/>
    <s v="NYKF35280614"/>
    <s v="TK-1006-Cream-26"/>
    <n v="3600"/>
    <n v="549.154"/>
    <n v="4149.1540000000005"/>
    <x v="2"/>
  </r>
  <r>
    <s v="NYK-31459966-5800223-1-1"/>
    <s v="NYKF34790974"/>
    <s v="TK-1006-Cream-34"/>
    <n v="3400"/>
    <n v="364.286"/>
    <n v="3764.2860000000001"/>
    <x v="0"/>
  </r>
  <r>
    <s v="NYK-31240240-1641781-2-1"/>
    <s v="NYKF34552725"/>
    <s v="TK-1006-Cream-34"/>
    <n v="3400"/>
    <n v="364.286"/>
    <n v="3764.2860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ADD8E-14C0-4000-9D6A-80923F685F74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250:K261" firstHeaderRow="1" firstDataRow="1" firstDataCol="1"/>
  <pivotFields count="35">
    <pivotField showAll="0"/>
    <pivotField axis="axisRow" showAll="0" measureFilter="1" sortType="descending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98"/>
    </i>
    <i>
      <x v="47"/>
    </i>
    <i>
      <x v="53"/>
    </i>
    <i>
      <x v="92"/>
    </i>
    <i>
      <x v="81"/>
    </i>
    <i>
      <x v="97"/>
    </i>
    <i>
      <x v="185"/>
    </i>
    <i>
      <x v="174"/>
    </i>
    <i>
      <x v="188"/>
    </i>
    <i>
      <x v="173"/>
    </i>
    <i t="grand">
      <x/>
    </i>
  </rowItems>
  <colItems count="1">
    <i/>
  </colItems>
  <dataFields count="1">
    <dataField name="Sum of Net Sale (After Tax)" fld="34" baseField="0" baseItem="0" numFmtId="171"/>
  </dataFields>
  <formats count="1">
    <format dxfId="5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51F93-0715-42B0-B907-2DC6B956EF6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50:H452" firstHeaderRow="1" firstDataRow="1" firstDataCol="1"/>
  <pivotFields count="35">
    <pivotField showAll="0"/>
    <pivotField axis="axisRow" showAll="0" sortType="descending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02">
    <i>
      <x v="98"/>
    </i>
    <i>
      <x v="47"/>
    </i>
    <i>
      <x v="53"/>
    </i>
    <i>
      <x v="92"/>
    </i>
    <i>
      <x v="81"/>
    </i>
    <i>
      <x v="97"/>
    </i>
    <i>
      <x v="185"/>
    </i>
    <i>
      <x v="174"/>
    </i>
    <i>
      <x v="188"/>
    </i>
    <i>
      <x v="173"/>
    </i>
    <i>
      <x v="76"/>
    </i>
    <i>
      <x v="45"/>
    </i>
    <i>
      <x v="57"/>
    </i>
    <i>
      <x v="39"/>
    </i>
    <i>
      <x v="93"/>
    </i>
    <i>
      <x v="199"/>
    </i>
    <i>
      <x v="197"/>
    </i>
    <i>
      <x v="189"/>
    </i>
    <i>
      <x v="111"/>
    </i>
    <i>
      <x v="35"/>
    </i>
    <i>
      <x v="187"/>
    </i>
    <i>
      <x v="179"/>
    </i>
    <i>
      <x v="175"/>
    </i>
    <i>
      <x v="37"/>
    </i>
    <i>
      <x v="168"/>
    </i>
    <i>
      <x v="177"/>
    </i>
    <i>
      <x v="171"/>
    </i>
    <i>
      <x v="176"/>
    </i>
    <i>
      <x v="32"/>
    </i>
    <i>
      <x v="178"/>
    </i>
    <i>
      <x v="170"/>
    </i>
    <i>
      <x v="172"/>
    </i>
    <i>
      <x v="73"/>
    </i>
    <i>
      <x v="74"/>
    </i>
    <i>
      <x v="29"/>
    </i>
    <i>
      <x v="28"/>
    </i>
    <i>
      <x v="20"/>
    </i>
    <i>
      <x v="169"/>
    </i>
    <i>
      <x v="166"/>
    </i>
    <i>
      <x v="31"/>
    </i>
    <i>
      <x v="30"/>
    </i>
    <i>
      <x v="128"/>
    </i>
    <i>
      <x v="19"/>
    </i>
    <i>
      <x v="116"/>
    </i>
    <i>
      <x v="60"/>
    </i>
    <i>
      <x v="21"/>
    </i>
    <i>
      <x v="22"/>
    </i>
    <i>
      <x v="196"/>
    </i>
    <i>
      <x v="8"/>
    </i>
    <i>
      <x v="79"/>
    </i>
    <i>
      <x v="91"/>
    </i>
    <i>
      <x v="192"/>
    </i>
    <i>
      <x v="80"/>
    </i>
    <i>
      <x v="193"/>
    </i>
    <i>
      <x v="105"/>
    </i>
    <i>
      <x v="195"/>
    </i>
    <i>
      <x v="90"/>
    </i>
    <i>
      <x v="78"/>
    </i>
    <i>
      <x v="27"/>
    </i>
    <i>
      <x v="191"/>
    </i>
    <i>
      <x v="50"/>
    </i>
    <i>
      <x v="56"/>
    </i>
    <i>
      <x v="51"/>
    </i>
    <i>
      <x v="7"/>
    </i>
    <i>
      <x v="114"/>
    </i>
    <i>
      <x v="86"/>
    </i>
    <i>
      <x v="87"/>
    </i>
    <i>
      <x v="85"/>
    </i>
    <i>
      <x v="15"/>
    </i>
    <i>
      <x v="16"/>
    </i>
    <i>
      <x v="25"/>
    </i>
    <i>
      <x v="24"/>
    </i>
    <i>
      <x v="26"/>
    </i>
    <i>
      <x v="23"/>
    </i>
    <i>
      <x v="55"/>
    </i>
    <i>
      <x v="75"/>
    </i>
    <i>
      <x v="77"/>
    </i>
    <i>
      <x v="48"/>
    </i>
    <i>
      <x v="61"/>
    </i>
    <i>
      <x v="52"/>
    </i>
    <i>
      <x v="62"/>
    </i>
    <i>
      <x v="63"/>
    </i>
    <i>
      <x v="54"/>
    </i>
    <i>
      <x v="44"/>
    </i>
    <i>
      <x v="46"/>
    </i>
    <i>
      <x v="66"/>
    </i>
    <i>
      <x v="65"/>
    </i>
    <i>
      <x v="109"/>
    </i>
    <i>
      <x v="108"/>
    </i>
    <i>
      <x v="49"/>
    </i>
    <i>
      <x v="194"/>
    </i>
    <i>
      <x v="83"/>
    </i>
    <i>
      <x v="182"/>
    </i>
    <i>
      <x v="115"/>
    </i>
    <i>
      <x v="200"/>
    </i>
    <i>
      <x v="198"/>
    </i>
    <i>
      <x v="181"/>
    </i>
    <i>
      <x v="113"/>
    </i>
    <i>
      <x v="183"/>
    </i>
    <i>
      <x v="101"/>
    </i>
    <i>
      <x v="104"/>
    </i>
    <i>
      <x v="112"/>
    </i>
    <i>
      <x v="82"/>
    </i>
    <i>
      <x v="100"/>
    </i>
    <i>
      <x v="5"/>
    </i>
    <i>
      <x v="64"/>
    </i>
    <i>
      <x v="69"/>
    </i>
    <i>
      <x v="165"/>
    </i>
    <i>
      <x v="34"/>
    </i>
    <i>
      <x v="67"/>
    </i>
    <i>
      <x v="68"/>
    </i>
    <i>
      <x v="11"/>
    </i>
    <i>
      <x v="10"/>
    </i>
    <i>
      <x v="96"/>
    </i>
    <i>
      <x v="94"/>
    </i>
    <i>
      <x v="99"/>
    </i>
    <i>
      <x v="1"/>
    </i>
    <i>
      <x v="95"/>
    </i>
    <i>
      <x/>
    </i>
    <i>
      <x v="18"/>
    </i>
    <i>
      <x v="88"/>
    </i>
    <i>
      <x v="58"/>
    </i>
    <i>
      <x v="9"/>
    </i>
    <i>
      <x v="59"/>
    </i>
    <i>
      <x v="84"/>
    </i>
    <i>
      <x v="110"/>
    </i>
    <i>
      <x v="190"/>
    </i>
    <i>
      <x v="136"/>
    </i>
    <i>
      <x v="17"/>
    </i>
    <i>
      <x v="180"/>
    </i>
    <i>
      <x v="72"/>
    </i>
    <i>
      <x v="70"/>
    </i>
    <i>
      <x v="71"/>
    </i>
    <i>
      <x v="33"/>
    </i>
    <i>
      <x v="14"/>
    </i>
    <i>
      <x v="184"/>
    </i>
    <i>
      <x v="89"/>
    </i>
    <i>
      <x v="186"/>
    </i>
    <i>
      <x v="139"/>
    </i>
    <i>
      <x v="40"/>
    </i>
    <i>
      <x v="36"/>
    </i>
    <i>
      <x v="41"/>
    </i>
    <i>
      <x v="38"/>
    </i>
    <i>
      <x v="122"/>
    </i>
    <i>
      <x v="134"/>
    </i>
    <i>
      <x v="163"/>
    </i>
    <i>
      <x v="146"/>
    </i>
    <i>
      <x v="162"/>
    </i>
    <i>
      <x v="167"/>
    </i>
    <i>
      <x v="107"/>
    </i>
    <i>
      <x v="159"/>
    </i>
    <i>
      <x v="142"/>
    </i>
    <i>
      <x v="143"/>
    </i>
    <i>
      <x v="144"/>
    </i>
    <i>
      <x v="141"/>
    </i>
    <i>
      <x v="106"/>
    </i>
    <i>
      <x v="137"/>
    </i>
    <i>
      <x v="154"/>
    </i>
    <i>
      <x v="155"/>
    </i>
    <i>
      <x v="152"/>
    </i>
    <i>
      <x v="131"/>
    </i>
    <i>
      <x v="12"/>
    </i>
    <i>
      <x v="147"/>
    </i>
    <i>
      <x v="149"/>
    </i>
    <i>
      <x v="148"/>
    </i>
    <i>
      <x v="133"/>
    </i>
    <i>
      <x v="161"/>
    </i>
    <i>
      <x v="121"/>
    </i>
    <i>
      <x v="118"/>
    </i>
    <i>
      <x v="132"/>
    </i>
    <i>
      <x v="160"/>
    </i>
    <i>
      <x v="120"/>
    </i>
    <i>
      <x v="126"/>
    </i>
    <i>
      <x v="127"/>
    </i>
    <i>
      <x v="129"/>
    </i>
    <i>
      <x v="130"/>
    </i>
    <i>
      <x v="123"/>
    </i>
    <i>
      <x v="156"/>
    </i>
    <i>
      <x v="153"/>
    </i>
    <i>
      <x v="157"/>
    </i>
    <i>
      <x v="164"/>
    </i>
    <i>
      <x v="119"/>
    </i>
    <i>
      <x v="117"/>
    </i>
    <i>
      <x v="140"/>
    </i>
    <i>
      <x v="158"/>
    </i>
    <i>
      <x v="145"/>
    </i>
    <i>
      <x v="151"/>
    </i>
    <i>
      <x v="138"/>
    </i>
    <i>
      <x v="150"/>
    </i>
    <i>
      <x v="124"/>
    </i>
    <i>
      <x v="135"/>
    </i>
    <i>
      <x v="125"/>
    </i>
    <i>
      <x v="2"/>
    </i>
    <i>
      <x v="102"/>
    </i>
    <i>
      <x v="103"/>
    </i>
    <i>
      <x v="42"/>
    </i>
    <i>
      <x v="43"/>
    </i>
    <i>
      <x v="6"/>
    </i>
    <i>
      <x v="3"/>
    </i>
    <i>
      <x v="4"/>
    </i>
    <i>
      <x v="13"/>
    </i>
    <i t="grand">
      <x/>
    </i>
  </rowItems>
  <colItems count="1">
    <i/>
  </colItems>
  <dataFields count="1">
    <dataField name="Sum of Net Sale (After Tax)" fld="3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1824E-AEF0-4FAA-B506-2505ED5CD7E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250:C256" firstHeaderRow="1" firstDataRow="1" firstDataCol="1"/>
  <pivotFields count="35">
    <pivotField showAll="0"/>
    <pivotField showAll="0"/>
    <pivotField axis="axisRow" showAll="0" sortType="de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name="Sum of Net Sale (After Tax)" fld="34" baseField="0" baseItem="0"/>
  </dataFields>
  <chartFormats count="6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03792-9DF7-4629-A64A-6E6BE945EF89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ER1048564:XET1048570" firstHeaderRow="0" firstDataRow="1" firstDataCol="1"/>
  <pivotFields count="35">
    <pivotField showAll="0"/>
    <pivotField showAll="0"/>
    <pivotField axis="axisRow" dataField="1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tus" fld="2" subtotal="count" baseField="0" baseItem="0"/>
    <dataField name="Sum of Net Sale (After Tax)" fld="3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1433A-4AB6-48A6-8C8A-A819EEB7A285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EP1048552:XEQ1048560" firstHeaderRow="1" firstDataRow="1" firstDataCol="1"/>
  <pivotFields count="7"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2"/>
        <item x="1"/>
        <item x="3"/>
        <item x="0"/>
        <item x="4"/>
        <item x="6"/>
        <item x="5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eturn Reaso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BCF18D-451D-4086-8E72-E00F40C4716D}" autoFormatId="16" applyNumberFormats="0" applyBorderFormats="0" applyFontFormats="0" applyPatternFormats="0" applyAlignmentFormats="0" applyWidthHeightFormats="0">
  <queryTableRefresh nextId="60" unboundColumnsRight="4">
    <queryTableFields count="36">
      <queryTableField id="1" name="MagentoOrderNo" tableColumnId="1"/>
      <queryTableField id="4" name="Design No." tableColumnId="4"/>
      <queryTableField id="6" name="Status" tableColumnId="6"/>
      <queryTableField id="7" name="OrderQty" tableColumnId="7"/>
      <queryTableField id="8" name="ShippedQty" tableColumnId="8"/>
      <queryTableField id="9" name="Mrp" tableColumnId="9"/>
      <queryTableField id="10" name="UnitPrice" tableColumnId="10"/>
      <queryTableField id="12" name="LineItemTotal" tableColumnId="12"/>
      <queryTableField id="13" name="ShippingCharge" tableColumnId="13"/>
      <queryTableField id="14" name="Mode" tableColumnId="14"/>
      <queryTableField id="15" name="OrderDate" tableColumnId="15"/>
      <queryTableField id="16" name="ShippedDate" tableColumnId="16"/>
      <queryTableField id="17" name="DeliveredDate" tableColumnId="17"/>
      <queryTableField id="21" name="ReasonForCancellation" tableColumnId="21"/>
      <queryTableField id="22" name="Brand" tableColumnId="22"/>
      <queryTableField id="23" name="CancelRemark" tableColumnId="23"/>
      <queryTableField id="26" name="Return Type" tableColumnId="26"/>
      <queryTableField id="30" name="upddate" tableColumnId="30"/>
      <queryTableField id="33" name="city_x000a_" tableColumnId="33"/>
      <queryTableField id="34" name="State" tableColumnId="34"/>
      <queryTableField id="35" name="Pincode" tableColumnId="35"/>
      <queryTableField id="36" name="Country" tableColumnId="36"/>
      <queryTableField id="40" name="SellingPrice" tableColumnId="40"/>
      <queryTableField id="45" name="TaxPercent" tableColumnId="45"/>
      <queryTableField id="46" name="CGSTTaxPercent" tableColumnId="46"/>
      <queryTableField id="47" name="SGSTTaxPercent" tableColumnId="47"/>
      <queryTableField id="48" name="IGSTTaxPercent" tableColumnId="48"/>
      <queryTableField id="49" name="TaxAmount" tableColumnId="49"/>
      <queryTableField id="50" name="CGSTAmount" tableColumnId="50"/>
      <queryTableField id="51" name="SGSTAmount" tableColumnId="51"/>
      <queryTableField id="52" name="IGSTAmount" tableColumnId="52"/>
      <queryTableField id="54" name="Weight" tableColumnId="54"/>
      <queryTableField id="56" dataBound="0" tableColumnId="56"/>
      <queryTableField id="57" dataBound="0" tableColumnId="57"/>
      <queryTableField id="58" dataBound="0" tableColumnId="58"/>
      <queryTableField id="59" dataBound="0" tableColumnId="59"/>
    </queryTableFields>
    <queryTableDeletedFields count="23">
      <deletedField name="orderno"/>
      <deletedField name="SKUCode"/>
      <deletedField name="EXTLINENO"/>
      <deletedField name="DiscountAmount"/>
      <deletedField name="AWBNo"/>
      <deletedField name="TransName"/>
      <deletedField name="Invoicedate"/>
      <deletedField name="CommentHistory"/>
      <deletedField name="Return Code"/>
      <deletedField name="Return Status"/>
      <deletedField name="Return Create Reason"/>
      <deletedField name="OrderSource"/>
      <deletedField name="Is Replacement"/>
      <deletedField name="Original OrderNo"/>
      <deletedField name="Currency"/>
      <deletedField name="HSNCode"/>
      <deletedField name="CancelledDate"/>
      <deletedField name="InvoiceNo"/>
      <deletedField name="Discount code"/>
      <deletedField name="Order Tag"/>
      <deletedField name="OnHold"/>
      <deletedField name="Unhold Date"/>
      <deletedField name="ShipByDat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A1EBD98-92D9-49E1-9A88-1C54EB2017FE}" autoFormatId="16" applyNumberFormats="0" applyBorderFormats="0" applyFontFormats="0" applyPatternFormats="0" applyAlignmentFormats="0" applyWidthHeightFormats="0">
  <queryTableRefresh nextId="59" unboundColumnsRight="3">
    <queryTableFields count="58">
      <queryTableField id="1" name="MagentoOrderNo" tableColumnId="1"/>
      <queryTableField id="2" name="orderno" tableColumnId="2"/>
      <queryTableField id="3" name="SKUCode" tableColumnId="3"/>
      <queryTableField id="4" name="Design no." tableColumnId="4"/>
      <queryTableField id="5" name="EXTLINENO" tableColumnId="5"/>
      <queryTableField id="6" name="Status" tableColumnId="6"/>
      <queryTableField id="7" name="OrderQty" tableColumnId="7"/>
      <queryTableField id="8" name="ShippedQty" tableColumnId="8"/>
      <queryTableField id="9" name="Mrp" tableColumnId="9"/>
      <queryTableField id="10" name="UnitPrice" tableColumnId="10"/>
      <queryTableField id="11" name="DiscountAmount" tableColumnId="11"/>
      <queryTableField id="12" name="LineItemTotal" tableColumnId="12"/>
      <queryTableField id="13" name="ShippingCharge" tableColumnId="13"/>
      <queryTableField id="14" name="Mode" tableColumnId="14"/>
      <queryTableField id="15" name="OrderDate" tableColumnId="15"/>
      <queryTableField id="16" name="ShippedDate" tableColumnId="16"/>
      <queryTableField id="17" name="DeliveredDate" tableColumnId="17"/>
      <queryTableField id="18" name="AWBNo" tableColumnId="18"/>
      <queryTableField id="19" name="TransName" tableColumnId="19"/>
      <queryTableField id="20" name="Invoicedate" tableColumnId="20"/>
      <queryTableField id="21" name="ReasonForCancellation" tableColumnId="21"/>
      <queryTableField id="22" name="Brand" tableColumnId="22"/>
      <queryTableField id="23" name="CancelRemark" tableColumnId="23"/>
      <queryTableField id="24" name="CommentHistory" tableColumnId="24"/>
      <queryTableField id="25" name="Return Code" tableColumnId="25"/>
      <queryTableField id="26" name="Return Type" tableColumnId="26"/>
      <queryTableField id="27" name="Return Status" tableColumnId="27"/>
      <queryTableField id="28" name="Return Create Reason" tableColumnId="28"/>
      <queryTableField id="29" name="OrderSource" tableColumnId="29"/>
      <queryTableField id="30" name="upddate" tableColumnId="30"/>
      <queryTableField id="31" name="Is Replacement" tableColumnId="31"/>
      <queryTableField id="32" name="Original OrderNo" tableColumnId="32"/>
      <queryTableField id="33" name="city_x000a_" tableColumnId="33"/>
      <queryTableField id="34" name="State" tableColumnId="34"/>
      <queryTableField id="35" name="Pincode" tableColumnId="35"/>
      <queryTableField id="36" name="Country" tableColumnId="36"/>
      <queryTableField id="37" name="Currency" tableColumnId="37"/>
      <queryTableField id="38" name="HSNCode" tableColumnId="38"/>
      <queryTableField id="39" name="CancelledDate" tableColumnId="39"/>
      <queryTableField id="40" name="SellingPrice" tableColumnId="40"/>
      <queryTableField id="41" name="InvoiceNo" tableColumnId="41"/>
      <queryTableField id="42" name="Discount code" tableColumnId="42"/>
      <queryTableField id="43" name="Order Tag" tableColumnId="43"/>
      <queryTableField id="44" name="OnHold" tableColumnId="44"/>
      <queryTableField id="45" name="TaxPercent" tableColumnId="45"/>
      <queryTableField id="46" name="CGSTTaxPercent" tableColumnId="46"/>
      <queryTableField id="47" name="SGSTTaxPercent" tableColumnId="47"/>
      <queryTableField id="48" name="IGSTTaxPercent" tableColumnId="48"/>
      <queryTableField id="49" name="TaxAmount" tableColumnId="49"/>
      <queryTableField id="50" name="CGSTAmount" tableColumnId="50"/>
      <queryTableField id="51" name="SGSTAmount" tableColumnId="51"/>
      <queryTableField id="52" name="IGSTAmount" tableColumnId="52"/>
      <queryTableField id="53" name="Unhold Date" tableColumnId="53"/>
      <queryTableField id="54" name="Weight" tableColumnId="54"/>
      <queryTableField id="55" name="ShipByDate" tableColumnId="55"/>
      <queryTableField id="56" dataBound="0" tableColumnId="56"/>
      <queryTableField id="57" dataBound="0" tableColumnId="57"/>
      <queryTableField id="58" dataBound="0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1E8F5-12BB-4D22-9D2B-79F0A65ED82F}" name="MarketPlace_Order_Report" displayName="MarketPlace_Order_Report" ref="A1:AJ234" tableType="queryTable" totalsRowShown="0">
  <autoFilter ref="A1:AJ234" xr:uid="{3511E8F5-12BB-4D22-9D2B-79F0A65ED82F}">
    <filterColumn colId="2">
      <filters>
        <filter val="Delivered"/>
      </filters>
    </filterColumn>
  </autoFilter>
  <tableColumns count="36">
    <tableColumn id="1" xr3:uid="{5A9C8AD3-D700-4ADF-ABA0-7FF1242E9575}" uniqueName="1" name="MagentoOrderNo" queryTableFieldId="1" dataDxfId="57"/>
    <tableColumn id="4" xr3:uid="{3721356B-8B47-4815-BC49-72D142D05183}" uniqueName="4" name="Design No." queryTableFieldId="4" dataDxfId="56"/>
    <tableColumn id="6" xr3:uid="{6BE26291-6B19-4B43-A9DB-6ABF6CF1C59B}" uniqueName="6" name="Status" queryTableFieldId="6" dataDxfId="55"/>
    <tableColumn id="7" xr3:uid="{1A1FBB1C-EB5E-4F66-B9A8-D6FAFD404A0F}" uniqueName="7" name="OrderQty" queryTableFieldId="7"/>
    <tableColumn id="8" xr3:uid="{72347171-F575-4DCF-9AC8-F7EF397F52ED}" uniqueName="8" name="ShippedQty" queryTableFieldId="8"/>
    <tableColumn id="9" xr3:uid="{825E40BC-65C2-4CF0-B91E-5CDE51BF88B0}" uniqueName="9" name="Mrp" queryTableFieldId="9"/>
    <tableColumn id="10" xr3:uid="{411B9D6F-BE3C-47AE-99A6-05B41FD73229}" uniqueName="10" name="UnitPrice" queryTableFieldId="10"/>
    <tableColumn id="12" xr3:uid="{1F1AEBD9-C222-4810-8C83-C8B3BB83B2E7}" uniqueName="12" name="LineItemTotal" queryTableFieldId="12"/>
    <tableColumn id="13" xr3:uid="{760207CE-78BC-407E-916B-AA4CF22700F0}" uniqueName="13" name="ShippingCharge" queryTableFieldId="13"/>
    <tableColumn id="14" xr3:uid="{EBC68763-C4C6-4F47-9676-2F2C60FFBB77}" uniqueName="14" name="Mode" queryTableFieldId="14" dataDxfId="54"/>
    <tableColumn id="15" xr3:uid="{BF9BD4D9-CA19-4A2F-9101-2A79DD265B4C}" uniqueName="15" name="OrderDate" queryTableFieldId="15" dataDxfId="53"/>
    <tableColumn id="16" xr3:uid="{F67658A8-2432-4133-9E32-2BB33CA66464}" uniqueName="16" name="ShippedDate" queryTableFieldId="16" dataDxfId="52"/>
    <tableColumn id="17" xr3:uid="{B2332407-2109-4623-9BFB-CF9EF7BC5E7D}" uniqueName="17" name="DeliveredDate" queryTableFieldId="17" dataDxfId="51"/>
    <tableColumn id="21" xr3:uid="{95FF037E-6EAA-4960-B70D-4C7EB0E017E1}" uniqueName="21" name="ReasonForCancellation" queryTableFieldId="21" dataDxfId="50"/>
    <tableColumn id="22" xr3:uid="{D52EF0B3-84B2-4AFC-87F3-822FA6343842}" uniqueName="22" name="Brand" queryTableFieldId="22" dataDxfId="9"/>
    <tableColumn id="23" xr3:uid="{6C0C269E-B555-43B8-9A1D-B88D0A50E825}" uniqueName="23" name="CancelRemark" queryTableFieldId="23" dataDxfId="49"/>
    <tableColumn id="26" xr3:uid="{F2395665-CFAD-4500-8CBD-CBF254971C32}" uniqueName="26" name="Return Type" queryTableFieldId="26" dataDxfId="48"/>
    <tableColumn id="30" xr3:uid="{1D7CF57D-568B-4331-95FE-D84237244625}" uniqueName="30" name="upddate" queryTableFieldId="30" dataDxfId="47"/>
    <tableColumn id="33" xr3:uid="{D3873CC2-9613-4F8D-A02B-1B7E8771BFA5}" uniqueName="33" name="city_x000a_" queryTableFieldId="33" dataDxfId="46"/>
    <tableColumn id="34" xr3:uid="{22593E50-8A11-43D1-8939-9075227C4C31}" uniqueName="34" name="State" queryTableFieldId="34" dataDxfId="45"/>
    <tableColumn id="35" xr3:uid="{97761856-CF1F-4F0D-99AF-9554386F3487}" uniqueName="35" name="Pincode" queryTableFieldId="35"/>
    <tableColumn id="36" xr3:uid="{31046130-BE55-4F75-97E4-DAD0C89E3191}" uniqueName="36" name="Country" queryTableFieldId="36" dataDxfId="44"/>
    <tableColumn id="40" xr3:uid="{8D03A5E3-5347-4828-ADA5-CF740F7A5C08}" uniqueName="40" name="SellingPrice" queryTableFieldId="40"/>
    <tableColumn id="45" xr3:uid="{A94C679B-65C4-4B43-983B-66901ED88342}" uniqueName="45" name="TaxPercent" queryTableFieldId="45"/>
    <tableColumn id="46" xr3:uid="{A21A838F-7E01-4308-8E02-FE3784A3D8D8}" uniqueName="46" name="CGSTTaxPercent" queryTableFieldId="46"/>
    <tableColumn id="47" xr3:uid="{23F7BD95-7E5C-48D6-8903-C866E82B99AB}" uniqueName="47" name="SGSTTaxPercent" queryTableFieldId="47"/>
    <tableColumn id="48" xr3:uid="{F5C77792-18BF-4BDD-93F5-DC3637A4D814}" uniqueName="48" name="IGSTTaxPercent" queryTableFieldId="48"/>
    <tableColumn id="49" xr3:uid="{D111E704-10DA-46F2-A444-6EDABDF8C7BD}" uniqueName="49" name="TaxAmount" queryTableFieldId="49"/>
    <tableColumn id="50" xr3:uid="{ADAE341A-46CA-4FFD-9051-56D35AA96D47}" uniqueName="50" name="CGSTAmount" queryTableFieldId="50"/>
    <tableColumn id="51" xr3:uid="{4C3D3718-8C66-46D4-BA23-F94370E381FE}" uniqueName="51" name="SGSTAmount" queryTableFieldId="51"/>
    <tableColumn id="52" xr3:uid="{4E570B75-E2F7-4A36-9AD9-B9E475D20F6E}" uniqueName="52" name="IGSTAmount" queryTableFieldId="52"/>
    <tableColumn id="54" xr3:uid="{5CC9337A-E858-4110-9950-915233F71544}" uniqueName="54" name="Weight" queryTableFieldId="54"/>
    <tableColumn id="56" xr3:uid="{7F2F7A56-2532-41FE-9228-5580A4D264BD}" uniqueName="56" name="Gross Amount (Before Tax)" queryTableFieldId="56" dataDxfId="8">
      <calculatedColumnFormula>MarketPlace_Order_Report[[#This Row],[UnitPrice]]*MarketPlace_Order_Report[[#This Row],[OrderQty]]</calculatedColumnFormula>
    </tableColumn>
    <tableColumn id="57" xr3:uid="{23C9B6D7-57B2-4353-BDAB-1ACAAAFB54EE}" uniqueName="57" name="Total GST Amount" queryTableFieldId="57" dataDxfId="7">
      <calculatedColumnFormula>IFERROR(MarketPlace_Order_Report[[#This Row],[CGSTAmount]]+MarketPlace_Order_Report[[#This Row],[SGSTAmount]]+MarketPlace_Order_Report[[#This Row],[IGSTAmount]],MarketPlace_Order_Report[[#This Row],[TaxAmount]])</calculatedColumnFormula>
    </tableColumn>
    <tableColumn id="58" xr3:uid="{BB5E2751-22C0-4849-8FDA-B02B2AD02904}" uniqueName="58" name="Net Sale (After Tax)" queryTableFieldId="58" dataDxfId="6">
      <calculatedColumnFormula>MarketPlace_Order_Report[[#This Row],[Gross Amount (Before Tax)]]+MarketPlace_Order_Report[[#This Row],[Total GST Amount]]</calculatedColumnFormula>
    </tableColumn>
    <tableColumn id="59" xr3:uid="{599C0494-32DE-4787-A812-FE8FEA58F301}" uniqueName="59" name="OrderNo" queryTableFieldId="59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877C84-CE09-4E40-ACE7-512AEDBF624D}" name="MarketPlace_Order_Report__2" displayName="MarketPlace_Order_Report__2" ref="A1:BF292" tableType="queryTable" totalsRowShown="0">
  <autoFilter ref="A1:BF292" xr:uid="{CE877C84-CE09-4E40-ACE7-512AEDBF624D}"/>
  <tableColumns count="58">
    <tableColumn id="1" xr3:uid="{04963512-6B10-4FB0-B20C-BE07C51289AF}" uniqueName="1" name="MagentoOrderNo" queryTableFieldId="1" dataDxfId="43"/>
    <tableColumn id="2" xr3:uid="{C8F873C0-CA14-4454-9EE6-339DA35ECEE2}" uniqueName="2" name="orderno" queryTableFieldId="2" dataDxfId="42"/>
    <tableColumn id="3" xr3:uid="{A4326F0F-D87B-477E-850A-50C4A9A5590E}" uniqueName="3" name="SKUCode" queryTableFieldId="3" dataDxfId="41"/>
    <tableColumn id="4" xr3:uid="{4E4E4BC2-020B-4C4C-8603-274E361A1BF9}" uniqueName="4" name="Design no." queryTableFieldId="4" dataDxfId="40"/>
    <tableColumn id="5" xr3:uid="{16BF86B2-9E61-45F9-9589-AA4CE2857B3A}" uniqueName="5" name="EXTLINENO" queryTableFieldId="5"/>
    <tableColumn id="6" xr3:uid="{39C3D607-D171-47F9-8C60-1638F4F16C82}" uniqueName="6" name="Status" queryTableFieldId="6" dataDxfId="39"/>
    <tableColumn id="7" xr3:uid="{21EA98A6-BD21-4FA9-9DB5-9C87FD8EAC25}" uniqueName="7" name="OrderQty" queryTableFieldId="7"/>
    <tableColumn id="8" xr3:uid="{6B4C5E5F-2E89-4323-85B3-40504750E0F6}" uniqueName="8" name="ShippedQty" queryTableFieldId="8"/>
    <tableColumn id="9" xr3:uid="{A07D3C3C-92BC-4BC9-8BD3-F6D99DDC5646}" uniqueName="9" name="Mrp" queryTableFieldId="9"/>
    <tableColumn id="10" xr3:uid="{DCB45AD6-B48F-4AB1-872D-8F0DB1CBEBE9}" uniqueName="10" name="UnitPrice" queryTableFieldId="10"/>
    <tableColumn id="11" xr3:uid="{0C33DFEA-B925-471E-B930-0CF9B14E4248}" uniqueName="11" name="DiscountAmount" queryTableFieldId="11"/>
    <tableColumn id="12" xr3:uid="{DA3E1A7F-4D71-4900-9E22-E3C8684326C8}" uniqueName="12" name="LineItemTotal" queryTableFieldId="12"/>
    <tableColumn id="13" xr3:uid="{0FC0BC15-1F39-4BE0-B3A1-A10E470F1763}" uniqueName="13" name="ShippingCharge" queryTableFieldId="13"/>
    <tableColumn id="14" xr3:uid="{039167C1-7EA5-420B-BFCC-5AAA78BE23F1}" uniqueName="14" name="Mode" queryTableFieldId="14" dataDxfId="38"/>
    <tableColumn id="15" xr3:uid="{25870288-6083-4AA0-8C6E-481F88628EB5}" uniqueName="15" name="OrderDate" queryTableFieldId="15" dataDxfId="37"/>
    <tableColumn id="16" xr3:uid="{2BC07A4E-78A1-474D-B361-F6A5811EA190}" uniqueName="16" name="ShippedDate" queryTableFieldId="16" dataDxfId="36"/>
    <tableColumn id="17" xr3:uid="{212DC24D-776F-49CD-B957-873C174ED6E7}" uniqueName="17" name="DeliveredDate" queryTableFieldId="17" dataDxfId="35"/>
    <tableColumn id="18" xr3:uid="{7E43A5C1-32A8-47C1-A9EF-1D93B79CAAA7}" uniqueName="18" name="AWBNo" queryTableFieldId="18" dataDxfId="34"/>
    <tableColumn id="19" xr3:uid="{E3738960-2488-4816-8136-9ADDFC212D41}" uniqueName="19" name="TransName" queryTableFieldId="19" dataDxfId="33"/>
    <tableColumn id="20" xr3:uid="{0A63279E-343C-4F13-888B-7CCF8424EB63}" uniqueName="20" name="Invoicedate" queryTableFieldId="20" dataDxfId="32"/>
    <tableColumn id="21" xr3:uid="{1BF7CBE4-9E4E-44B6-8ACE-7D05B0DD2EB2}" uniqueName="21" name="ReasonForCancellation" queryTableFieldId="21" dataDxfId="31"/>
    <tableColumn id="22" xr3:uid="{4FBFD4D6-A01C-4EC3-BB7A-8446C4C1D437}" uniqueName="22" name="Brand" queryTableFieldId="22" dataDxfId="30"/>
    <tableColumn id="23" xr3:uid="{0732ABA0-F1CE-471B-A101-ACCBEB2A88DC}" uniqueName="23" name="CancelRemark" queryTableFieldId="23" dataDxfId="29"/>
    <tableColumn id="24" xr3:uid="{2736D257-A913-49FD-B7B2-3B21FF68AD7E}" uniqueName="24" name="CommentHistory" queryTableFieldId="24" dataDxfId="28"/>
    <tableColumn id="25" xr3:uid="{5563860C-5E54-46B6-B2FE-71573FC5957D}" uniqueName="25" name="Return Code" queryTableFieldId="25" dataDxfId="27"/>
    <tableColumn id="26" xr3:uid="{84DCACB2-1434-415F-A2C0-E1FC046744AC}" uniqueName="26" name="Return Type" queryTableFieldId="26" dataDxfId="26"/>
    <tableColumn id="27" xr3:uid="{84E9016A-FAD3-4B23-839D-83825E0C5C02}" uniqueName="27" name="Return Status" queryTableFieldId="27" dataDxfId="25"/>
    <tableColumn id="28" xr3:uid="{9D18C44C-AF7F-4649-B7C7-4892E205C578}" uniqueName="28" name="Return Create Reason" queryTableFieldId="28" dataDxfId="24"/>
    <tableColumn id="29" xr3:uid="{418E4169-D6EC-4A88-BFC4-D5C142532088}" uniqueName="29" name="OrderSource" queryTableFieldId="29" dataDxfId="23"/>
    <tableColumn id="30" xr3:uid="{546C1D70-F384-46DF-AFA2-4D2B7CD2431F}" uniqueName="30" name="upddate" queryTableFieldId="30" dataDxfId="22"/>
    <tableColumn id="31" xr3:uid="{8592CDEE-1EC3-409A-AEAF-DDD72095CE46}" uniqueName="31" name="Is Replacement" queryTableFieldId="31" dataDxfId="21"/>
    <tableColumn id="32" xr3:uid="{A2830036-22F2-4F83-862C-20EBE70D415B}" uniqueName="32" name="Original OrderNo" queryTableFieldId="32" dataDxfId="20"/>
    <tableColumn id="33" xr3:uid="{313947E4-A015-4CE2-949D-2EAD6B078131}" uniqueName="33" name="city_x000a_" queryTableFieldId="33" dataDxfId="19"/>
    <tableColumn id="34" xr3:uid="{04EBC55F-9133-4B93-998F-298D1A7C475E}" uniqueName="34" name="State" queryTableFieldId="34" dataDxfId="18"/>
    <tableColumn id="35" xr3:uid="{D6CF1EAA-5D76-4E66-AB60-28F89DC13DEA}" uniqueName="35" name="Pincode" queryTableFieldId="35"/>
    <tableColumn id="36" xr3:uid="{0B43B37A-5645-4D86-B3D0-5C38DF69861B}" uniqueName="36" name="Country" queryTableFieldId="36" dataDxfId="17"/>
    <tableColumn id="37" xr3:uid="{6BCD7584-0B9E-4F8C-B515-F2C0E5455409}" uniqueName="37" name="Currency" queryTableFieldId="37" dataDxfId="16"/>
    <tableColumn id="38" xr3:uid="{280DE07B-91EC-4C5C-8C04-21E26170CE9C}" uniqueName="38" name="HSNCode" queryTableFieldId="38"/>
    <tableColumn id="39" xr3:uid="{239AA137-607B-4A25-A526-FBAB1436F5DA}" uniqueName="39" name="CancelledDate" queryTableFieldId="39" dataDxfId="15"/>
    <tableColumn id="40" xr3:uid="{FEDD7038-74BB-49C7-ACC1-EF2086848DD0}" uniqueName="40" name="SellingPrice" queryTableFieldId="40"/>
    <tableColumn id="41" xr3:uid="{2652951B-EB5A-4B49-82F2-79F035E83AB2}" uniqueName="41" name="InvoiceNo" queryTableFieldId="41" dataDxfId="14"/>
    <tableColumn id="42" xr3:uid="{0A97DF6E-A15F-4BD6-8024-9B202F005C40}" uniqueName="42" name="Discount code" queryTableFieldId="42" dataDxfId="13"/>
    <tableColumn id="43" xr3:uid="{FFF4C42D-5830-437E-A8ED-7F2FDC67D13D}" uniqueName="43" name="Order Tag" queryTableFieldId="43" dataDxfId="12"/>
    <tableColumn id="44" xr3:uid="{002A31A7-72B7-4D87-874F-8CDAD85D8BE3}" uniqueName="44" name="OnHold" queryTableFieldId="44" dataDxfId="11"/>
    <tableColumn id="45" xr3:uid="{231EA538-93A8-462A-89FE-39F484A00F07}" uniqueName="45" name="TaxPercent" queryTableFieldId="45"/>
    <tableColumn id="46" xr3:uid="{F0B49775-178A-4FA6-8163-FEF4C606F1D1}" uniqueName="46" name="CGSTTaxPercent" queryTableFieldId="46"/>
    <tableColumn id="47" xr3:uid="{F5FE92D5-2791-4633-810C-0345F240EC3A}" uniqueName="47" name="SGSTTaxPercent" queryTableFieldId="47"/>
    <tableColumn id="48" xr3:uid="{8FD75198-DDCB-4046-92AD-009414ABA6FF}" uniqueName="48" name="IGSTTaxPercent" queryTableFieldId="48"/>
    <tableColumn id="49" xr3:uid="{2DD6AE9B-A35D-4576-A648-AD3CC2067696}" uniqueName="49" name="TaxAmount" queryTableFieldId="49"/>
    <tableColumn id="50" xr3:uid="{12D59538-055D-4778-A48D-DAB06135525E}" uniqueName="50" name="CGSTAmount" queryTableFieldId="50"/>
    <tableColumn id="51" xr3:uid="{C9E62DEE-DEFE-4F2E-9AC3-321EBF5758E4}" uniqueName="51" name="SGSTAmount" queryTableFieldId="51"/>
    <tableColumn id="52" xr3:uid="{B6F625D5-EEE6-4B24-8CD6-44F8107C0180}" uniqueName="52" name="IGSTAmount" queryTableFieldId="52"/>
    <tableColumn id="53" xr3:uid="{B48CE448-ECEE-4057-B469-F82397E472FA}" uniqueName="53" name="Unhold Date" queryTableFieldId="53" dataDxfId="10"/>
    <tableColumn id="54" xr3:uid="{D9F85848-7D88-43ED-A1E5-246433C658D9}" uniqueName="54" name="Weight" queryTableFieldId="54"/>
    <tableColumn id="55" xr3:uid="{A88FB78F-EAB9-43CC-951D-BE54D8019DD3}" uniqueName="55" name="ShipByDate" queryTableFieldId="55" dataDxfId="3"/>
    <tableColumn id="56" xr3:uid="{71F2EA16-E257-45EE-8B5D-B6EB326AF70C}" uniqueName="56" name="Gross Amount (Before Tax)" queryTableFieldId="56" dataDxfId="2">
      <calculatedColumnFormula>MarketPlace_Order_Report__2[[#This Row],[UnitPrice]]*MarketPlace_Order_Report__2[[#This Row],[OrderQty]]</calculatedColumnFormula>
    </tableColumn>
    <tableColumn id="57" xr3:uid="{B222CC78-5B44-42FB-BD8F-3EF4D5A8AAC8}" uniqueName="57" name="Total GST Amount" queryTableFieldId="57" dataDxfId="1">
      <calculatedColumnFormula>IFERROR(MarketPlace_Order_Report__2[[#This Row],[CGSTAmount]]+MarketPlace_Order_Report__2[[#This Row],[SGSTAmount]]+MarketPlace_Order_Report__2[[#This Row],[IGSTAmount]],MarketPlace_Order_Report__2[[#This Row],[TaxAmount]])</calculatedColumnFormula>
    </tableColumn>
    <tableColumn id="58" xr3:uid="{22A758A2-14CB-4589-B755-0A2BFB7B5115}" uniqueName="58" name="Net Sale (After Tax)" queryTableFieldId="58" dataDxfId="0">
      <calculatedColumnFormula>MarketPlace_Order_Report__2[[#This Row],[Gross Amount (Before Tax)]]+MarketPlace_Order_Report__2[[#This Row],[Total GST Amount]]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0A86-18B2-46BA-B1E6-5F3C2E05046E}">
  <dimension ref="A1:AJ452"/>
  <sheetViews>
    <sheetView topLeftCell="A4" workbookViewId="0">
      <selection activeCell="C4" sqref="C4"/>
    </sheetView>
  </sheetViews>
  <sheetFormatPr defaultRowHeight="14.4"/>
  <cols>
    <col min="1" max="1" width="18.21875" bestFit="1" customWidth="1"/>
    <col min="2" max="2" width="12.5546875" bestFit="1" customWidth="1"/>
    <col min="3" max="3" width="24" bestFit="1" customWidth="1"/>
    <col min="4" max="4" width="11" bestFit="1" customWidth="1"/>
    <col min="5" max="5" width="13.109375" bestFit="1" customWidth="1"/>
    <col min="6" max="6" width="6.77734375" bestFit="1" customWidth="1"/>
    <col min="7" max="7" width="18.44140625" bestFit="1" customWidth="1"/>
    <col min="8" max="8" width="24" bestFit="1" customWidth="1"/>
    <col min="9" max="9" width="16.5546875" bestFit="1" customWidth="1"/>
    <col min="10" max="10" width="16.21875" bestFit="1" customWidth="1"/>
    <col min="11" max="11" width="24" bestFit="1" customWidth="1"/>
    <col min="12" max="12" width="14" bestFit="1" customWidth="1"/>
    <col min="13" max="13" width="15" bestFit="1" customWidth="1"/>
    <col min="14" max="14" width="22.5546875" bestFit="1" customWidth="1"/>
    <col min="15" max="15" width="8.21875" bestFit="1" customWidth="1"/>
    <col min="16" max="16" width="15.33203125" bestFit="1" customWidth="1"/>
    <col min="17" max="17" width="13.44140625" bestFit="1" customWidth="1"/>
    <col min="18" max="18" width="10.33203125" bestFit="1" customWidth="1"/>
    <col min="19" max="19" width="7.21875" bestFit="1" customWidth="1"/>
    <col min="20" max="20" width="7.5546875" bestFit="1" customWidth="1"/>
    <col min="21" max="22" width="10" bestFit="1" customWidth="1"/>
    <col min="23" max="23" width="12.77734375" bestFit="1" customWidth="1"/>
    <col min="24" max="24" width="12.5546875" bestFit="1" customWidth="1"/>
    <col min="25" max="25" width="17" bestFit="1" customWidth="1"/>
    <col min="26" max="26" width="16.88671875" bestFit="1" customWidth="1"/>
    <col min="27" max="27" width="16.44140625" bestFit="1" customWidth="1"/>
    <col min="28" max="28" width="13" bestFit="1" customWidth="1"/>
    <col min="29" max="29" width="14.44140625" bestFit="1" customWidth="1"/>
    <col min="30" max="30" width="14.33203125" bestFit="1" customWidth="1"/>
    <col min="31" max="31" width="13.88671875" bestFit="1" customWidth="1"/>
    <col min="32" max="32" width="9.21875" bestFit="1" customWidth="1"/>
    <col min="33" max="33" width="26.109375" bestFit="1" customWidth="1"/>
    <col min="34" max="34" width="18.5546875" bestFit="1" customWidth="1"/>
    <col min="35" max="35" width="19.6640625" bestFit="1" customWidth="1"/>
    <col min="36" max="36" width="13.33203125" bestFit="1" customWidth="1"/>
    <col min="37" max="37" width="11.5546875" bestFit="1" customWidth="1"/>
    <col min="38" max="38" width="11.109375" bestFit="1" customWidth="1"/>
    <col min="39" max="39" width="15.44140625" bestFit="1" customWidth="1"/>
    <col min="40" max="40" width="12.77734375" bestFit="1" customWidth="1"/>
    <col min="41" max="41" width="16" bestFit="1" customWidth="1"/>
    <col min="42" max="42" width="15.109375" bestFit="1" customWidth="1"/>
    <col min="43" max="43" width="22.88671875" bestFit="1" customWidth="1"/>
    <col min="44" max="44" width="9.5546875" bestFit="1" customWidth="1"/>
    <col min="45" max="45" width="12.5546875" bestFit="1" customWidth="1"/>
    <col min="46" max="46" width="17" bestFit="1" customWidth="1"/>
    <col min="47" max="47" width="16.88671875" bestFit="1" customWidth="1"/>
    <col min="48" max="48" width="16.44140625" bestFit="1" customWidth="1"/>
    <col min="49" max="49" width="13" bestFit="1" customWidth="1"/>
    <col min="50" max="50" width="14.44140625" bestFit="1" customWidth="1"/>
    <col min="51" max="51" width="14.33203125" bestFit="1" customWidth="1"/>
    <col min="52" max="52" width="13.88671875" bestFit="1" customWidth="1"/>
    <col min="53" max="53" width="15.44140625" bestFit="1" customWidth="1"/>
    <col min="54" max="54" width="9.21875" bestFit="1" customWidth="1"/>
    <col min="55" max="55" width="15.44140625" bestFit="1" customWidth="1"/>
  </cols>
  <sheetData>
    <row r="1" spans="1:36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20</v>
      </c>
      <c r="O1" t="s">
        <v>21</v>
      </c>
      <c r="P1" t="s">
        <v>22</v>
      </c>
      <c r="Q1" t="s">
        <v>25</v>
      </c>
      <c r="R1" t="s">
        <v>29</v>
      </c>
      <c r="S1" t="s">
        <v>32</v>
      </c>
      <c r="T1" t="s">
        <v>33</v>
      </c>
      <c r="U1" t="s">
        <v>34</v>
      </c>
      <c r="V1" t="s">
        <v>35</v>
      </c>
      <c r="W1" t="s">
        <v>39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53</v>
      </c>
      <c r="AG1" t="s">
        <v>2453</v>
      </c>
      <c r="AH1" t="s">
        <v>2454</v>
      </c>
      <c r="AI1" t="s">
        <v>2455</v>
      </c>
      <c r="AJ1" t="s">
        <v>2445</v>
      </c>
    </row>
    <row r="2" spans="1:36">
      <c r="A2" s="1" t="s">
        <v>55</v>
      </c>
      <c r="B2" s="1" t="s">
        <v>57</v>
      </c>
      <c r="C2" s="1" t="s">
        <v>2475</v>
      </c>
      <c r="D2">
        <v>1</v>
      </c>
      <c r="E2">
        <v>1</v>
      </c>
      <c r="F2">
        <v>4500</v>
      </c>
      <c r="G2">
        <v>3150</v>
      </c>
      <c r="H2">
        <v>3179</v>
      </c>
      <c r="I2">
        <v>29</v>
      </c>
      <c r="J2" s="1" t="s">
        <v>59</v>
      </c>
      <c r="K2" s="2">
        <v>45928.946643518517</v>
      </c>
      <c r="L2" s="2">
        <v>45930.708692129629</v>
      </c>
      <c r="M2" s="2">
        <v>45936.502870370372</v>
      </c>
      <c r="N2" s="1" t="s">
        <v>61</v>
      </c>
      <c r="O2" s="1" t="s">
        <v>62</v>
      </c>
      <c r="P2" s="1" t="s">
        <v>61</v>
      </c>
      <c r="Q2" s="1" t="s">
        <v>61</v>
      </c>
      <c r="R2" s="2">
        <v>45936.535497685189</v>
      </c>
      <c r="S2" s="1" t="s">
        <v>64</v>
      </c>
      <c r="T2" s="1" t="s">
        <v>65</v>
      </c>
      <c r="U2">
        <v>575003</v>
      </c>
      <c r="V2" s="1" t="s">
        <v>66</v>
      </c>
      <c r="W2">
        <v>3150</v>
      </c>
      <c r="X2">
        <v>18</v>
      </c>
      <c r="Y2">
        <v>0</v>
      </c>
      <c r="Z2">
        <v>0</v>
      </c>
      <c r="AA2">
        <v>18</v>
      </c>
      <c r="AB2">
        <v>480.50799999999998</v>
      </c>
      <c r="AC2">
        <v>0</v>
      </c>
      <c r="AD2">
        <v>0</v>
      </c>
      <c r="AE2">
        <v>480.50799999999998</v>
      </c>
      <c r="AF2">
        <v>0.75</v>
      </c>
      <c r="AG2">
        <f>MarketPlace_Order_Report[[#This Row],[UnitPrice]]*MarketPlace_Order_Report[[#This Row],[OrderQty]]</f>
        <v>3150</v>
      </c>
      <c r="AH2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2">
        <f>MarketPlace_Order_Report[[#This Row],[Gross Amount (Before Tax)]]+MarketPlace_Order_Report[[#This Row],[Total GST Amount]]</f>
        <v>3630.5079999999998</v>
      </c>
      <c r="AJ2" s="1" t="s">
        <v>56</v>
      </c>
    </row>
    <row r="3" spans="1:36" hidden="1">
      <c r="A3" s="1" t="s">
        <v>68</v>
      </c>
      <c r="B3" s="1" t="s">
        <v>70</v>
      </c>
      <c r="C3" s="1" t="s">
        <v>71</v>
      </c>
      <c r="D3">
        <v>1</v>
      </c>
      <c r="E3">
        <v>1</v>
      </c>
      <c r="F3">
        <v>4500</v>
      </c>
      <c r="G3">
        <v>3150</v>
      </c>
      <c r="H3">
        <v>3173.2109999999998</v>
      </c>
      <c r="I3">
        <v>23.210999999999999</v>
      </c>
      <c r="J3" s="1" t="s">
        <v>72</v>
      </c>
      <c r="K3" s="2">
        <v>45927.859305555554</v>
      </c>
      <c r="L3" s="2">
        <v>45930.648726851854</v>
      </c>
      <c r="M3" s="2">
        <v>45935.580370370371</v>
      </c>
      <c r="N3" s="1" t="s">
        <v>61</v>
      </c>
      <c r="O3" s="1" t="s">
        <v>62</v>
      </c>
      <c r="P3" s="1" t="s">
        <v>61</v>
      </c>
      <c r="Q3" s="1" t="s">
        <v>74</v>
      </c>
      <c r="R3" s="2">
        <v>45941.837777777779</v>
      </c>
      <c r="S3" s="1" t="s">
        <v>76</v>
      </c>
      <c r="T3" s="1" t="s">
        <v>77</v>
      </c>
      <c r="U3">
        <v>201014</v>
      </c>
      <c r="V3" s="1" t="s">
        <v>66</v>
      </c>
      <c r="W3">
        <v>3150</v>
      </c>
      <c r="X3">
        <v>18</v>
      </c>
      <c r="Y3">
        <v>0</v>
      </c>
      <c r="Z3">
        <v>0</v>
      </c>
      <c r="AA3">
        <v>18</v>
      </c>
      <c r="AB3">
        <v>480.50799999999998</v>
      </c>
      <c r="AC3">
        <v>0</v>
      </c>
      <c r="AD3">
        <v>0</v>
      </c>
      <c r="AE3">
        <v>480.50799999999998</v>
      </c>
      <c r="AF3">
        <v>1</v>
      </c>
      <c r="AG3">
        <f>MarketPlace_Order_Report[[#This Row],[UnitPrice]]*MarketPlace_Order_Report[[#This Row],[OrderQty]]</f>
        <v>3150</v>
      </c>
      <c r="AH3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3">
        <f>MarketPlace_Order_Report[[#This Row],[Gross Amount (Before Tax)]]+MarketPlace_Order_Report[[#This Row],[Total GST Amount]]</f>
        <v>3630.5079999999998</v>
      </c>
      <c r="AJ3" s="1" t="s">
        <v>69</v>
      </c>
    </row>
    <row r="4" spans="1:36">
      <c r="A4" s="1" t="s">
        <v>79</v>
      </c>
      <c r="B4" s="1" t="s">
        <v>81</v>
      </c>
      <c r="C4" s="1" t="s">
        <v>2475</v>
      </c>
      <c r="D4">
        <v>1</v>
      </c>
      <c r="E4">
        <v>1</v>
      </c>
      <c r="F4">
        <v>2250</v>
      </c>
      <c r="G4">
        <v>1688</v>
      </c>
      <c r="H4">
        <v>1737</v>
      </c>
      <c r="I4">
        <v>49</v>
      </c>
      <c r="J4" s="1" t="s">
        <v>72</v>
      </c>
      <c r="K4" s="2">
        <v>45901.903043981481</v>
      </c>
      <c r="L4" s="2">
        <v>45902.669745370367</v>
      </c>
      <c r="M4" s="2">
        <v>45907.619976851849</v>
      </c>
      <c r="N4" s="1" t="s">
        <v>61</v>
      </c>
      <c r="O4" s="1" t="s">
        <v>62</v>
      </c>
      <c r="P4" s="1" t="s">
        <v>61</v>
      </c>
      <c r="Q4" s="1" t="s">
        <v>61</v>
      </c>
      <c r="R4" s="2">
        <v>45907.622118055559</v>
      </c>
      <c r="S4" s="1" t="s">
        <v>82</v>
      </c>
      <c r="T4" s="1" t="s">
        <v>83</v>
      </c>
      <c r="U4">
        <v>824205</v>
      </c>
      <c r="V4" s="1" t="s">
        <v>66</v>
      </c>
      <c r="W4">
        <v>1688</v>
      </c>
      <c r="X4">
        <v>12</v>
      </c>
      <c r="Y4">
        <v>0</v>
      </c>
      <c r="Z4">
        <v>0</v>
      </c>
      <c r="AA4">
        <v>12</v>
      </c>
      <c r="AB4">
        <v>180.857</v>
      </c>
      <c r="AC4">
        <v>0</v>
      </c>
      <c r="AD4">
        <v>0</v>
      </c>
      <c r="AE4">
        <v>180.857</v>
      </c>
      <c r="AF4">
        <v>0.75</v>
      </c>
      <c r="AG4">
        <f>MarketPlace_Order_Report[[#This Row],[UnitPrice]]*MarketPlace_Order_Report[[#This Row],[OrderQty]]</f>
        <v>1688</v>
      </c>
      <c r="AH4">
        <f>IFERROR(MarketPlace_Order_Report[[#This Row],[CGSTAmount]]+MarketPlace_Order_Report[[#This Row],[SGSTAmount]]+MarketPlace_Order_Report[[#This Row],[IGSTAmount]],MarketPlace_Order_Report[[#This Row],[TaxAmount]])</f>
        <v>180.857</v>
      </c>
      <c r="AI4">
        <f>MarketPlace_Order_Report[[#This Row],[Gross Amount (Before Tax)]]+MarketPlace_Order_Report[[#This Row],[Total GST Amount]]</f>
        <v>1868.857</v>
      </c>
      <c r="AJ4" s="1" t="s">
        <v>80</v>
      </c>
    </row>
    <row r="5" spans="1:36">
      <c r="A5" s="1" t="s">
        <v>84</v>
      </c>
      <c r="B5" s="1" t="s">
        <v>86</v>
      </c>
      <c r="C5" s="1" t="s">
        <v>2475</v>
      </c>
      <c r="D5">
        <v>1</v>
      </c>
      <c r="E5">
        <v>1</v>
      </c>
      <c r="F5">
        <v>2250</v>
      </c>
      <c r="G5">
        <v>1125</v>
      </c>
      <c r="H5">
        <v>1125</v>
      </c>
      <c r="I5">
        <v>0</v>
      </c>
      <c r="J5" s="1" t="s">
        <v>59</v>
      </c>
      <c r="K5" s="2">
        <v>45922.681354166663</v>
      </c>
      <c r="L5" s="2">
        <v>45925.616585648146</v>
      </c>
      <c r="M5" s="2">
        <v>45933.466458333336</v>
      </c>
      <c r="N5" s="1" t="s">
        <v>61</v>
      </c>
      <c r="O5" s="1" t="s">
        <v>62</v>
      </c>
      <c r="P5" s="1" t="s">
        <v>61</v>
      </c>
      <c r="Q5" s="1" t="s">
        <v>61</v>
      </c>
      <c r="R5" s="2">
        <v>45933.469756944447</v>
      </c>
      <c r="S5" s="1" t="s">
        <v>87</v>
      </c>
      <c r="T5" s="1" t="s">
        <v>88</v>
      </c>
      <c r="U5">
        <v>464221</v>
      </c>
      <c r="V5" s="1" t="s">
        <v>66</v>
      </c>
      <c r="W5">
        <v>1125</v>
      </c>
      <c r="X5">
        <v>5</v>
      </c>
      <c r="Y5">
        <v>0</v>
      </c>
      <c r="Z5">
        <v>0</v>
      </c>
      <c r="AA5">
        <v>5</v>
      </c>
      <c r="AB5">
        <v>53.570999999999998</v>
      </c>
      <c r="AC5">
        <v>0</v>
      </c>
      <c r="AD5">
        <v>0</v>
      </c>
      <c r="AE5">
        <v>53.570999999999998</v>
      </c>
      <c r="AF5">
        <v>0.5</v>
      </c>
      <c r="AG5">
        <f>MarketPlace_Order_Report[[#This Row],[UnitPrice]]*MarketPlace_Order_Report[[#This Row],[OrderQty]]</f>
        <v>1125</v>
      </c>
      <c r="AH5">
        <f>IFERROR(MarketPlace_Order_Report[[#This Row],[CGSTAmount]]+MarketPlace_Order_Report[[#This Row],[SGSTAmount]]+MarketPlace_Order_Report[[#This Row],[IGSTAmount]],MarketPlace_Order_Report[[#This Row],[TaxAmount]])</f>
        <v>53.570999999999998</v>
      </c>
      <c r="AI5">
        <f>MarketPlace_Order_Report[[#This Row],[Gross Amount (Before Tax)]]+MarketPlace_Order_Report[[#This Row],[Total GST Amount]]</f>
        <v>1178.5709999999999</v>
      </c>
      <c r="AJ5" s="1" t="s">
        <v>85</v>
      </c>
    </row>
    <row r="6" spans="1:36">
      <c r="A6" s="1" t="s">
        <v>90</v>
      </c>
      <c r="B6" s="1" t="s">
        <v>93</v>
      </c>
      <c r="C6" s="1" t="s">
        <v>2475</v>
      </c>
      <c r="D6">
        <v>1</v>
      </c>
      <c r="E6">
        <v>1</v>
      </c>
      <c r="F6">
        <v>2250</v>
      </c>
      <c r="G6">
        <v>1125</v>
      </c>
      <c r="H6">
        <v>1139.1500000000001</v>
      </c>
      <c r="I6">
        <v>14.15</v>
      </c>
      <c r="J6" s="1" t="s">
        <v>59</v>
      </c>
      <c r="K6" s="2">
        <v>45923.520798611113</v>
      </c>
      <c r="L6" s="2">
        <v>45924.699108796296</v>
      </c>
      <c r="M6" s="2">
        <v>45927.530219907407</v>
      </c>
      <c r="N6" s="1" t="s">
        <v>61</v>
      </c>
      <c r="O6" s="1" t="s">
        <v>62</v>
      </c>
      <c r="P6" s="1" t="s">
        <v>61</v>
      </c>
      <c r="Q6" s="1" t="s">
        <v>61</v>
      </c>
      <c r="R6" s="2">
        <v>45927.532175925924</v>
      </c>
      <c r="S6" s="1" t="s">
        <v>94</v>
      </c>
      <c r="T6" s="1" t="s">
        <v>77</v>
      </c>
      <c r="U6">
        <v>208024</v>
      </c>
      <c r="V6" s="1" t="s">
        <v>66</v>
      </c>
      <c r="W6">
        <v>1125</v>
      </c>
      <c r="X6">
        <v>5</v>
      </c>
      <c r="Y6">
        <v>0</v>
      </c>
      <c r="Z6">
        <v>0</v>
      </c>
      <c r="AA6">
        <v>5</v>
      </c>
      <c r="AB6">
        <v>53.570999999999998</v>
      </c>
      <c r="AC6">
        <v>0</v>
      </c>
      <c r="AD6">
        <v>0</v>
      </c>
      <c r="AE6">
        <v>53.570999999999998</v>
      </c>
      <c r="AF6">
        <v>0.7</v>
      </c>
      <c r="AG6">
        <f>MarketPlace_Order_Report[[#This Row],[UnitPrice]]*MarketPlace_Order_Report[[#This Row],[OrderQty]]</f>
        <v>1125</v>
      </c>
      <c r="AH6">
        <f>IFERROR(MarketPlace_Order_Report[[#This Row],[CGSTAmount]]+MarketPlace_Order_Report[[#This Row],[SGSTAmount]]+MarketPlace_Order_Report[[#This Row],[IGSTAmount]],MarketPlace_Order_Report[[#This Row],[TaxAmount]])</f>
        <v>53.570999999999998</v>
      </c>
      <c r="AI6">
        <f>MarketPlace_Order_Report[[#This Row],[Gross Amount (Before Tax)]]+MarketPlace_Order_Report[[#This Row],[Total GST Amount]]</f>
        <v>1178.5709999999999</v>
      </c>
      <c r="AJ6" s="1" t="s">
        <v>91</v>
      </c>
    </row>
    <row r="7" spans="1:36">
      <c r="A7" s="1" t="s">
        <v>95</v>
      </c>
      <c r="B7" s="1" t="s">
        <v>97</v>
      </c>
      <c r="C7" s="1" t="s">
        <v>2475</v>
      </c>
      <c r="D7">
        <v>1</v>
      </c>
      <c r="E7">
        <v>1</v>
      </c>
      <c r="F7">
        <v>2250</v>
      </c>
      <c r="G7">
        <v>1688</v>
      </c>
      <c r="H7">
        <v>1717</v>
      </c>
      <c r="I7">
        <v>29</v>
      </c>
      <c r="J7" s="1" t="s">
        <v>59</v>
      </c>
      <c r="K7" s="2">
        <v>45914.907141203701</v>
      </c>
      <c r="L7" s="2">
        <v>45917.634189814817</v>
      </c>
      <c r="M7" s="2">
        <v>45921.415671296294</v>
      </c>
      <c r="N7" s="1" t="s">
        <v>61</v>
      </c>
      <c r="O7" s="1" t="s">
        <v>62</v>
      </c>
      <c r="P7" s="1" t="s">
        <v>61</v>
      </c>
      <c r="Q7" s="1" t="s">
        <v>61</v>
      </c>
      <c r="R7" s="2">
        <v>45921.41778935185</v>
      </c>
      <c r="S7" s="1" t="s">
        <v>98</v>
      </c>
      <c r="T7" s="1" t="s">
        <v>99</v>
      </c>
      <c r="U7">
        <v>122001</v>
      </c>
      <c r="V7" s="1" t="s">
        <v>66</v>
      </c>
      <c r="W7">
        <v>1688</v>
      </c>
      <c r="X7">
        <v>12</v>
      </c>
      <c r="Y7">
        <v>0</v>
      </c>
      <c r="Z7">
        <v>0</v>
      </c>
      <c r="AA7">
        <v>12</v>
      </c>
      <c r="AB7">
        <v>180.857</v>
      </c>
      <c r="AC7">
        <v>0</v>
      </c>
      <c r="AD7">
        <v>0</v>
      </c>
      <c r="AE7">
        <v>180.857</v>
      </c>
      <c r="AF7">
        <v>0.7</v>
      </c>
      <c r="AG7">
        <f>MarketPlace_Order_Report[[#This Row],[UnitPrice]]*MarketPlace_Order_Report[[#This Row],[OrderQty]]</f>
        <v>1688</v>
      </c>
      <c r="AH7">
        <f>IFERROR(MarketPlace_Order_Report[[#This Row],[CGSTAmount]]+MarketPlace_Order_Report[[#This Row],[SGSTAmount]]+MarketPlace_Order_Report[[#This Row],[IGSTAmount]],MarketPlace_Order_Report[[#This Row],[TaxAmount]])</f>
        <v>180.857</v>
      </c>
      <c r="AI7">
        <f>MarketPlace_Order_Report[[#This Row],[Gross Amount (Before Tax)]]+MarketPlace_Order_Report[[#This Row],[Total GST Amount]]</f>
        <v>1868.857</v>
      </c>
      <c r="AJ7" s="1" t="s">
        <v>96</v>
      </c>
    </row>
    <row r="8" spans="1:36" hidden="1">
      <c r="A8" s="1" t="s">
        <v>100</v>
      </c>
      <c r="B8" s="1" t="s">
        <v>97</v>
      </c>
      <c r="C8" s="1" t="s">
        <v>102</v>
      </c>
      <c r="D8">
        <v>1</v>
      </c>
      <c r="E8">
        <v>1</v>
      </c>
      <c r="F8">
        <v>2250</v>
      </c>
      <c r="G8">
        <v>1688</v>
      </c>
      <c r="H8">
        <v>1737</v>
      </c>
      <c r="I8">
        <v>49</v>
      </c>
      <c r="J8" s="1" t="s">
        <v>72</v>
      </c>
      <c r="K8" s="2">
        <v>45902.672881944447</v>
      </c>
      <c r="L8" s="2">
        <v>45903.614351851851</v>
      </c>
      <c r="M8" s="2"/>
      <c r="N8" s="1" t="s">
        <v>61</v>
      </c>
      <c r="O8" s="1" t="s">
        <v>62</v>
      </c>
      <c r="P8" s="1" t="s">
        <v>61</v>
      </c>
      <c r="Q8" s="1" t="s">
        <v>103</v>
      </c>
      <c r="R8" s="2">
        <v>45919.597824074073</v>
      </c>
      <c r="S8" s="1" t="s">
        <v>98</v>
      </c>
      <c r="T8" s="1" t="s">
        <v>99</v>
      </c>
      <c r="U8">
        <v>122001</v>
      </c>
      <c r="V8" s="1" t="s">
        <v>66</v>
      </c>
      <c r="W8">
        <v>1688</v>
      </c>
      <c r="X8">
        <v>12</v>
      </c>
      <c r="Y8">
        <v>0</v>
      </c>
      <c r="Z8">
        <v>0</v>
      </c>
      <c r="AA8">
        <v>12</v>
      </c>
      <c r="AB8">
        <v>180.857</v>
      </c>
      <c r="AC8">
        <v>0</v>
      </c>
      <c r="AD8">
        <v>0</v>
      </c>
      <c r="AE8">
        <v>180.857</v>
      </c>
      <c r="AF8">
        <v>0.7</v>
      </c>
      <c r="AG8">
        <f>MarketPlace_Order_Report[[#This Row],[UnitPrice]]*MarketPlace_Order_Report[[#This Row],[OrderQty]]</f>
        <v>1688</v>
      </c>
      <c r="AH8">
        <f>IFERROR(MarketPlace_Order_Report[[#This Row],[CGSTAmount]]+MarketPlace_Order_Report[[#This Row],[SGSTAmount]]+MarketPlace_Order_Report[[#This Row],[IGSTAmount]],MarketPlace_Order_Report[[#This Row],[TaxAmount]])</f>
        <v>180.857</v>
      </c>
      <c r="AI8">
        <f>MarketPlace_Order_Report[[#This Row],[Gross Amount (Before Tax)]]+MarketPlace_Order_Report[[#This Row],[Total GST Amount]]</f>
        <v>1868.857</v>
      </c>
      <c r="AJ8" s="1" t="s">
        <v>101</v>
      </c>
    </row>
    <row r="9" spans="1:36" hidden="1">
      <c r="A9" s="1" t="s">
        <v>104</v>
      </c>
      <c r="B9" s="1" t="s">
        <v>106</v>
      </c>
      <c r="C9" s="1" t="s">
        <v>71</v>
      </c>
      <c r="D9">
        <v>1</v>
      </c>
      <c r="E9">
        <v>1</v>
      </c>
      <c r="F9">
        <v>2250</v>
      </c>
      <c r="G9">
        <v>1125</v>
      </c>
      <c r="H9">
        <v>1146.1199999999999</v>
      </c>
      <c r="I9">
        <v>21.12</v>
      </c>
      <c r="J9" s="1" t="s">
        <v>72</v>
      </c>
      <c r="K9" s="2">
        <v>45919.921238425923</v>
      </c>
      <c r="L9" s="2">
        <v>45920.69027777778</v>
      </c>
      <c r="M9" s="2">
        <v>45923.567361111112</v>
      </c>
      <c r="N9" s="1" t="s">
        <v>61</v>
      </c>
      <c r="O9" s="1" t="s">
        <v>62</v>
      </c>
      <c r="P9" s="1" t="s">
        <v>61</v>
      </c>
      <c r="Q9" s="1" t="s">
        <v>74</v>
      </c>
      <c r="R9" s="2">
        <v>45929.879467592589</v>
      </c>
      <c r="S9" s="1" t="s">
        <v>108</v>
      </c>
      <c r="T9" s="1" t="s">
        <v>109</v>
      </c>
      <c r="U9">
        <v>500018</v>
      </c>
      <c r="V9" s="1" t="s">
        <v>66</v>
      </c>
      <c r="W9">
        <v>1125</v>
      </c>
      <c r="X9">
        <v>12</v>
      </c>
      <c r="Y9">
        <v>0</v>
      </c>
      <c r="Z9">
        <v>0</v>
      </c>
      <c r="AA9">
        <v>12</v>
      </c>
      <c r="AB9">
        <v>120.536</v>
      </c>
      <c r="AC9">
        <v>0</v>
      </c>
      <c r="AD9">
        <v>0</v>
      </c>
      <c r="AE9">
        <v>120.536</v>
      </c>
      <c r="AF9">
        <v>0.7</v>
      </c>
      <c r="AG9">
        <f>MarketPlace_Order_Report[[#This Row],[UnitPrice]]*MarketPlace_Order_Report[[#This Row],[OrderQty]]</f>
        <v>1125</v>
      </c>
      <c r="AH9">
        <f>IFERROR(MarketPlace_Order_Report[[#This Row],[CGSTAmount]]+MarketPlace_Order_Report[[#This Row],[SGSTAmount]]+MarketPlace_Order_Report[[#This Row],[IGSTAmount]],MarketPlace_Order_Report[[#This Row],[TaxAmount]])</f>
        <v>120.536</v>
      </c>
      <c r="AI9">
        <f>MarketPlace_Order_Report[[#This Row],[Gross Amount (Before Tax)]]+MarketPlace_Order_Report[[#This Row],[Total GST Amount]]</f>
        <v>1245.5360000000001</v>
      </c>
      <c r="AJ9" s="1" t="s">
        <v>105</v>
      </c>
    </row>
    <row r="10" spans="1:36" hidden="1">
      <c r="A10" s="1" t="s">
        <v>110</v>
      </c>
      <c r="B10" s="1" t="s">
        <v>113</v>
      </c>
      <c r="C10" s="1" t="s">
        <v>71</v>
      </c>
      <c r="D10">
        <v>1</v>
      </c>
      <c r="E10">
        <v>1</v>
      </c>
      <c r="F10">
        <v>4000</v>
      </c>
      <c r="G10">
        <v>3600</v>
      </c>
      <c r="H10">
        <v>3649</v>
      </c>
      <c r="I10">
        <v>49</v>
      </c>
      <c r="J10" s="1" t="s">
        <v>72</v>
      </c>
      <c r="K10" s="2">
        <v>45925.814849537041</v>
      </c>
      <c r="L10" s="2">
        <v>45926.719560185185</v>
      </c>
      <c r="M10" s="2">
        <v>45930.520972222221</v>
      </c>
      <c r="N10" s="1" t="s">
        <v>61</v>
      </c>
      <c r="O10" s="1" t="s">
        <v>62</v>
      </c>
      <c r="P10" s="1" t="s">
        <v>61</v>
      </c>
      <c r="Q10" s="1" t="s">
        <v>74</v>
      </c>
      <c r="R10" s="2">
        <v>45944.643240740741</v>
      </c>
      <c r="S10" s="1" t="s">
        <v>114</v>
      </c>
      <c r="T10" s="1" t="s">
        <v>115</v>
      </c>
      <c r="U10">
        <v>627006</v>
      </c>
      <c r="V10" s="1" t="s">
        <v>66</v>
      </c>
      <c r="W10">
        <v>3600</v>
      </c>
      <c r="X10">
        <v>18</v>
      </c>
      <c r="Y10">
        <v>0</v>
      </c>
      <c r="Z10">
        <v>0</v>
      </c>
      <c r="AA10">
        <v>18</v>
      </c>
      <c r="AB10">
        <v>549.15300000000002</v>
      </c>
      <c r="AC10">
        <v>0</v>
      </c>
      <c r="AD10">
        <v>0</v>
      </c>
      <c r="AE10">
        <v>549.15300000000002</v>
      </c>
      <c r="AF10">
        <v>0.75</v>
      </c>
      <c r="AG10">
        <f>MarketPlace_Order_Report[[#This Row],[UnitPrice]]*MarketPlace_Order_Report[[#This Row],[OrderQty]]</f>
        <v>3600</v>
      </c>
      <c r="AH10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10">
        <f>MarketPlace_Order_Report[[#This Row],[Gross Amount (Before Tax)]]+MarketPlace_Order_Report[[#This Row],[Total GST Amount]]</f>
        <v>4149.1530000000002</v>
      </c>
      <c r="AJ10" s="1" t="s">
        <v>111</v>
      </c>
    </row>
    <row r="11" spans="1:36" hidden="1">
      <c r="A11" s="1" t="s">
        <v>116</v>
      </c>
      <c r="B11" s="1" t="s">
        <v>118</v>
      </c>
      <c r="C11" s="1" t="s">
        <v>71</v>
      </c>
      <c r="D11">
        <v>1</v>
      </c>
      <c r="E11">
        <v>1</v>
      </c>
      <c r="F11">
        <v>4000</v>
      </c>
      <c r="G11">
        <v>3600</v>
      </c>
      <c r="H11">
        <v>3605.86</v>
      </c>
      <c r="I11">
        <v>5.86</v>
      </c>
      <c r="J11" s="1" t="s">
        <v>59</v>
      </c>
      <c r="K11" s="2">
        <v>45929.846909722219</v>
      </c>
      <c r="L11" s="2">
        <v>45931.783356481479</v>
      </c>
      <c r="M11" s="2">
        <v>45936.446377314816</v>
      </c>
      <c r="N11" s="1" t="s">
        <v>61</v>
      </c>
      <c r="O11" s="1" t="s">
        <v>62</v>
      </c>
      <c r="P11" s="1" t="s">
        <v>61</v>
      </c>
      <c r="Q11" s="1" t="s">
        <v>74</v>
      </c>
      <c r="R11" s="2">
        <v>45954.629421296297</v>
      </c>
      <c r="S11" s="1" t="s">
        <v>119</v>
      </c>
      <c r="T11" s="1" t="s">
        <v>120</v>
      </c>
      <c r="U11">
        <v>302023</v>
      </c>
      <c r="V11" s="1" t="s">
        <v>66</v>
      </c>
      <c r="W11">
        <v>3600</v>
      </c>
      <c r="X11">
        <v>18</v>
      </c>
      <c r="Y11">
        <v>0</v>
      </c>
      <c r="Z11">
        <v>0</v>
      </c>
      <c r="AA11">
        <v>18</v>
      </c>
      <c r="AB11">
        <v>549.15300000000002</v>
      </c>
      <c r="AC11">
        <v>0</v>
      </c>
      <c r="AD11">
        <v>0</v>
      </c>
      <c r="AE11">
        <v>549.15300000000002</v>
      </c>
      <c r="AF11">
        <v>0.75</v>
      </c>
      <c r="AG11">
        <f>MarketPlace_Order_Report[[#This Row],[UnitPrice]]*MarketPlace_Order_Report[[#This Row],[OrderQty]]</f>
        <v>3600</v>
      </c>
      <c r="AH11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11">
        <f>MarketPlace_Order_Report[[#This Row],[Gross Amount (Before Tax)]]+MarketPlace_Order_Report[[#This Row],[Total GST Amount]]</f>
        <v>4149.1530000000002</v>
      </c>
      <c r="AJ11" s="1" t="s">
        <v>117</v>
      </c>
    </row>
    <row r="12" spans="1:36" hidden="1">
      <c r="A12" s="1" t="s">
        <v>121</v>
      </c>
      <c r="B12" s="1" t="s">
        <v>123</v>
      </c>
      <c r="C12" s="1" t="s">
        <v>71</v>
      </c>
      <c r="D12">
        <v>1</v>
      </c>
      <c r="E12">
        <v>1</v>
      </c>
      <c r="F12">
        <v>4000</v>
      </c>
      <c r="G12">
        <v>3200</v>
      </c>
      <c r="H12">
        <v>3219.02</v>
      </c>
      <c r="I12">
        <v>19.02</v>
      </c>
      <c r="J12" s="1" t="s">
        <v>59</v>
      </c>
      <c r="K12" s="2">
        <v>45915.607986111114</v>
      </c>
      <c r="L12" s="2">
        <v>45917.634189814817</v>
      </c>
      <c r="M12" s="2">
        <v>45921.460370370369</v>
      </c>
      <c r="N12" s="1" t="s">
        <v>61</v>
      </c>
      <c r="O12" s="1" t="s">
        <v>62</v>
      </c>
      <c r="P12" s="1" t="s">
        <v>61</v>
      </c>
      <c r="Q12" s="1" t="s">
        <v>74</v>
      </c>
      <c r="R12" s="2">
        <v>45927.841203703705</v>
      </c>
      <c r="S12" s="1" t="s">
        <v>124</v>
      </c>
      <c r="T12" s="1" t="s">
        <v>99</v>
      </c>
      <c r="U12">
        <v>122018</v>
      </c>
      <c r="V12" s="1" t="s">
        <v>66</v>
      </c>
      <c r="W12">
        <v>3200</v>
      </c>
      <c r="X12">
        <v>12</v>
      </c>
      <c r="Y12">
        <v>0</v>
      </c>
      <c r="Z12">
        <v>0</v>
      </c>
      <c r="AA12">
        <v>12</v>
      </c>
      <c r="AB12">
        <v>342.85700000000003</v>
      </c>
      <c r="AC12">
        <v>0</v>
      </c>
      <c r="AD12">
        <v>0</v>
      </c>
      <c r="AE12">
        <v>342.85700000000003</v>
      </c>
      <c r="AF12">
        <v>0.5</v>
      </c>
      <c r="AG12">
        <f>MarketPlace_Order_Report[[#This Row],[UnitPrice]]*MarketPlace_Order_Report[[#This Row],[OrderQty]]</f>
        <v>3200</v>
      </c>
      <c r="AH12">
        <f>IFERROR(MarketPlace_Order_Report[[#This Row],[CGSTAmount]]+MarketPlace_Order_Report[[#This Row],[SGSTAmount]]+MarketPlace_Order_Report[[#This Row],[IGSTAmount]],MarketPlace_Order_Report[[#This Row],[TaxAmount]])</f>
        <v>342.85700000000003</v>
      </c>
      <c r="AI12">
        <f>MarketPlace_Order_Report[[#This Row],[Gross Amount (Before Tax)]]+MarketPlace_Order_Report[[#This Row],[Total GST Amount]]</f>
        <v>3542.857</v>
      </c>
      <c r="AJ12" s="1" t="s">
        <v>122</v>
      </c>
    </row>
    <row r="13" spans="1:36">
      <c r="A13" s="1" t="s">
        <v>126</v>
      </c>
      <c r="B13" s="1" t="s">
        <v>129</v>
      </c>
      <c r="C13" s="1" t="s">
        <v>2475</v>
      </c>
      <c r="D13">
        <v>1</v>
      </c>
      <c r="E13">
        <v>1</v>
      </c>
      <c r="F13">
        <v>4000</v>
      </c>
      <c r="G13">
        <v>3200</v>
      </c>
      <c r="H13">
        <v>3214.99</v>
      </c>
      <c r="I13">
        <v>14.99</v>
      </c>
      <c r="J13" s="1" t="s">
        <v>72</v>
      </c>
      <c r="K13" s="2">
        <v>45927.771307870367</v>
      </c>
      <c r="L13" s="2">
        <v>45929.708518518521</v>
      </c>
      <c r="M13" s="2">
        <v>45934.398715277777</v>
      </c>
      <c r="N13" s="1" t="s">
        <v>61</v>
      </c>
      <c r="O13" s="1" t="s">
        <v>62</v>
      </c>
      <c r="P13" s="1" t="s">
        <v>61</v>
      </c>
      <c r="Q13" s="1" t="s">
        <v>61</v>
      </c>
      <c r="R13" s="2">
        <v>45934.400254629632</v>
      </c>
      <c r="S13" s="1" t="s">
        <v>130</v>
      </c>
      <c r="T13" s="1" t="s">
        <v>131</v>
      </c>
      <c r="U13">
        <v>262501</v>
      </c>
      <c r="V13" s="1" t="s">
        <v>66</v>
      </c>
      <c r="W13">
        <v>3200</v>
      </c>
      <c r="X13">
        <v>18</v>
      </c>
      <c r="Y13">
        <v>0</v>
      </c>
      <c r="Z13">
        <v>0</v>
      </c>
      <c r="AA13">
        <v>18</v>
      </c>
      <c r="AB13">
        <v>488.13600000000002</v>
      </c>
      <c r="AC13">
        <v>0</v>
      </c>
      <c r="AD13">
        <v>0</v>
      </c>
      <c r="AE13">
        <v>488.13600000000002</v>
      </c>
      <c r="AF13">
        <v>0.85</v>
      </c>
      <c r="AG13">
        <f>MarketPlace_Order_Report[[#This Row],[UnitPrice]]*MarketPlace_Order_Report[[#This Row],[OrderQty]]</f>
        <v>3200</v>
      </c>
      <c r="AH13">
        <f>IFERROR(MarketPlace_Order_Report[[#This Row],[CGSTAmount]]+MarketPlace_Order_Report[[#This Row],[SGSTAmount]]+MarketPlace_Order_Report[[#This Row],[IGSTAmount]],MarketPlace_Order_Report[[#This Row],[TaxAmount]])</f>
        <v>488.13600000000002</v>
      </c>
      <c r="AI13">
        <f>MarketPlace_Order_Report[[#This Row],[Gross Amount (Before Tax)]]+MarketPlace_Order_Report[[#This Row],[Total GST Amount]]</f>
        <v>3688.136</v>
      </c>
      <c r="AJ13" s="1" t="s">
        <v>127</v>
      </c>
    </row>
    <row r="14" spans="1:36" hidden="1">
      <c r="A14" s="1" t="s">
        <v>132</v>
      </c>
      <c r="B14" s="1" t="s">
        <v>135</v>
      </c>
      <c r="C14" s="1" t="s">
        <v>102</v>
      </c>
      <c r="D14">
        <v>1</v>
      </c>
      <c r="E14">
        <v>1</v>
      </c>
      <c r="F14">
        <v>4000</v>
      </c>
      <c r="G14">
        <v>3200</v>
      </c>
      <c r="H14">
        <v>3214.41</v>
      </c>
      <c r="I14">
        <v>14.41</v>
      </c>
      <c r="J14" s="1" t="s">
        <v>72</v>
      </c>
      <c r="K14" s="2">
        <v>45928.636990740742</v>
      </c>
      <c r="L14" s="2">
        <v>45930.648726851854</v>
      </c>
      <c r="M14" s="2"/>
      <c r="N14" s="1" t="s">
        <v>61</v>
      </c>
      <c r="O14" s="1" t="s">
        <v>62</v>
      </c>
      <c r="P14" s="1" t="s">
        <v>61</v>
      </c>
      <c r="Q14" s="1" t="s">
        <v>103</v>
      </c>
      <c r="R14" s="2">
        <v>45944.643182870372</v>
      </c>
      <c r="S14" s="1" t="s">
        <v>136</v>
      </c>
      <c r="T14" s="1" t="s">
        <v>77</v>
      </c>
      <c r="U14">
        <v>201301</v>
      </c>
      <c r="V14" s="1" t="s">
        <v>66</v>
      </c>
      <c r="W14">
        <v>3200</v>
      </c>
      <c r="X14">
        <v>18</v>
      </c>
      <c r="Y14">
        <v>0</v>
      </c>
      <c r="Z14">
        <v>0</v>
      </c>
      <c r="AA14">
        <v>18</v>
      </c>
      <c r="AB14">
        <v>488.13600000000002</v>
      </c>
      <c r="AC14">
        <v>0</v>
      </c>
      <c r="AD14">
        <v>0</v>
      </c>
      <c r="AE14">
        <v>488.13600000000002</v>
      </c>
      <c r="AF14">
        <v>0.85</v>
      </c>
      <c r="AG14">
        <f>MarketPlace_Order_Report[[#This Row],[UnitPrice]]*MarketPlace_Order_Report[[#This Row],[OrderQty]]</f>
        <v>3200</v>
      </c>
      <c r="AH14">
        <f>IFERROR(MarketPlace_Order_Report[[#This Row],[CGSTAmount]]+MarketPlace_Order_Report[[#This Row],[SGSTAmount]]+MarketPlace_Order_Report[[#This Row],[IGSTAmount]],MarketPlace_Order_Report[[#This Row],[TaxAmount]])</f>
        <v>488.13600000000002</v>
      </c>
      <c r="AI14">
        <f>MarketPlace_Order_Report[[#This Row],[Gross Amount (Before Tax)]]+MarketPlace_Order_Report[[#This Row],[Total GST Amount]]</f>
        <v>3688.136</v>
      </c>
      <c r="AJ14" s="1" t="s">
        <v>133</v>
      </c>
    </row>
    <row r="15" spans="1:36" hidden="1">
      <c r="A15" s="1" t="s">
        <v>138</v>
      </c>
      <c r="B15" s="1" t="s">
        <v>140</v>
      </c>
      <c r="C15" s="1" t="s">
        <v>71</v>
      </c>
      <c r="D15">
        <v>1</v>
      </c>
      <c r="E15">
        <v>1</v>
      </c>
      <c r="F15">
        <v>3500</v>
      </c>
      <c r="G15">
        <v>2450</v>
      </c>
      <c r="H15">
        <v>2470</v>
      </c>
      <c r="I15">
        <v>20</v>
      </c>
      <c r="J15" s="1" t="s">
        <v>72</v>
      </c>
      <c r="K15" s="2">
        <v>45929.516284722224</v>
      </c>
      <c r="L15" s="2">
        <v>45930.708414351851</v>
      </c>
      <c r="M15" s="2">
        <v>45935.42864583333</v>
      </c>
      <c r="N15" s="1" t="s">
        <v>61</v>
      </c>
      <c r="O15" s="1" t="s">
        <v>62</v>
      </c>
      <c r="P15" s="1" t="s">
        <v>61</v>
      </c>
      <c r="Q15" s="1" t="s">
        <v>74</v>
      </c>
      <c r="R15" s="2">
        <v>45954.629421296297</v>
      </c>
      <c r="S15" s="1" t="s">
        <v>141</v>
      </c>
      <c r="T15" s="1" t="s">
        <v>77</v>
      </c>
      <c r="U15">
        <v>241126</v>
      </c>
      <c r="V15" s="1" t="s">
        <v>66</v>
      </c>
      <c r="W15">
        <v>2450</v>
      </c>
      <c r="X15">
        <v>5</v>
      </c>
      <c r="Y15">
        <v>0</v>
      </c>
      <c r="Z15">
        <v>0</v>
      </c>
      <c r="AA15">
        <v>5</v>
      </c>
      <c r="AB15">
        <v>116.667</v>
      </c>
      <c r="AC15">
        <v>0</v>
      </c>
      <c r="AD15">
        <v>0</v>
      </c>
      <c r="AE15">
        <v>116.667</v>
      </c>
      <c r="AF15">
        <v>0.85</v>
      </c>
      <c r="AG15">
        <f>MarketPlace_Order_Report[[#This Row],[UnitPrice]]*MarketPlace_Order_Report[[#This Row],[OrderQty]]</f>
        <v>2450</v>
      </c>
      <c r="AH15">
        <f>IFERROR(MarketPlace_Order_Report[[#This Row],[CGSTAmount]]+MarketPlace_Order_Report[[#This Row],[SGSTAmount]]+MarketPlace_Order_Report[[#This Row],[IGSTAmount]],MarketPlace_Order_Report[[#This Row],[TaxAmount]])</f>
        <v>116.667</v>
      </c>
      <c r="AI15">
        <f>MarketPlace_Order_Report[[#This Row],[Gross Amount (Before Tax)]]+MarketPlace_Order_Report[[#This Row],[Total GST Amount]]</f>
        <v>2566.6669999999999</v>
      </c>
      <c r="AJ15" s="1" t="s">
        <v>139</v>
      </c>
    </row>
    <row r="16" spans="1:36">
      <c r="A16" s="1" t="s">
        <v>142</v>
      </c>
      <c r="B16" s="1" t="s">
        <v>144</v>
      </c>
      <c r="C16" s="1" t="s">
        <v>2475</v>
      </c>
      <c r="D16">
        <v>1</v>
      </c>
      <c r="E16">
        <v>1</v>
      </c>
      <c r="F16">
        <v>2000</v>
      </c>
      <c r="G16">
        <v>1000</v>
      </c>
      <c r="H16">
        <v>1000</v>
      </c>
      <c r="I16">
        <v>0</v>
      </c>
      <c r="J16" s="1" t="s">
        <v>59</v>
      </c>
      <c r="K16" s="2">
        <v>45920.390925925924</v>
      </c>
      <c r="L16" s="2">
        <v>45920.613900462966</v>
      </c>
      <c r="M16" s="2">
        <v>45925.637974537036</v>
      </c>
      <c r="N16" s="1" t="s">
        <v>61</v>
      </c>
      <c r="O16" s="1" t="s">
        <v>62</v>
      </c>
      <c r="P16" s="1" t="s">
        <v>61</v>
      </c>
      <c r="Q16" s="1" t="s">
        <v>61</v>
      </c>
      <c r="R16" s="2">
        <v>45925.650034722225</v>
      </c>
      <c r="S16" s="1" t="s">
        <v>136</v>
      </c>
      <c r="T16" s="1" t="s">
        <v>77</v>
      </c>
      <c r="U16">
        <v>201308</v>
      </c>
      <c r="V16" s="1" t="s">
        <v>66</v>
      </c>
      <c r="W16">
        <v>1000</v>
      </c>
      <c r="X16">
        <v>5</v>
      </c>
      <c r="Y16">
        <v>0</v>
      </c>
      <c r="Z16">
        <v>0</v>
      </c>
      <c r="AA16">
        <v>5</v>
      </c>
      <c r="AB16">
        <v>47.619</v>
      </c>
      <c r="AC16">
        <v>0</v>
      </c>
      <c r="AD16">
        <v>0</v>
      </c>
      <c r="AE16">
        <v>47.619</v>
      </c>
      <c r="AF16">
        <v>0.501</v>
      </c>
      <c r="AG16">
        <f>MarketPlace_Order_Report[[#This Row],[UnitPrice]]*MarketPlace_Order_Report[[#This Row],[OrderQty]]</f>
        <v>1000</v>
      </c>
      <c r="AH16">
        <f>IFERROR(MarketPlace_Order_Report[[#This Row],[CGSTAmount]]+MarketPlace_Order_Report[[#This Row],[SGSTAmount]]+MarketPlace_Order_Report[[#This Row],[IGSTAmount]],MarketPlace_Order_Report[[#This Row],[TaxAmount]])</f>
        <v>47.619</v>
      </c>
      <c r="AI16">
        <f>MarketPlace_Order_Report[[#This Row],[Gross Amount (Before Tax)]]+MarketPlace_Order_Report[[#This Row],[Total GST Amount]]</f>
        <v>1047.6189999999999</v>
      </c>
      <c r="AJ16" s="1" t="s">
        <v>143</v>
      </c>
    </row>
    <row r="17" spans="1:36" hidden="1">
      <c r="A17" s="1" t="s">
        <v>146</v>
      </c>
      <c r="B17" s="1" t="s">
        <v>148</v>
      </c>
      <c r="C17" s="1" t="s">
        <v>71</v>
      </c>
      <c r="D17">
        <v>1</v>
      </c>
      <c r="E17">
        <v>1</v>
      </c>
      <c r="F17">
        <v>4000</v>
      </c>
      <c r="G17">
        <v>3000</v>
      </c>
      <c r="H17">
        <v>3014.2719999999999</v>
      </c>
      <c r="I17">
        <v>14.272</v>
      </c>
      <c r="J17" s="1" t="s">
        <v>72</v>
      </c>
      <c r="K17" s="2">
        <v>45904.266134259262</v>
      </c>
      <c r="L17" s="2">
        <v>45904.742152777777</v>
      </c>
      <c r="M17" s="2">
        <v>45911.829143518517</v>
      </c>
      <c r="N17" s="1" t="s">
        <v>61</v>
      </c>
      <c r="O17" s="1" t="s">
        <v>62</v>
      </c>
      <c r="P17" s="1" t="s">
        <v>61</v>
      </c>
      <c r="Q17" s="1" t="s">
        <v>74</v>
      </c>
      <c r="R17" s="2">
        <v>45925.636284722219</v>
      </c>
      <c r="S17" s="1" t="s">
        <v>149</v>
      </c>
      <c r="T17" s="1" t="s">
        <v>150</v>
      </c>
      <c r="U17">
        <v>605111</v>
      </c>
      <c r="V17" s="1" t="s">
        <v>66</v>
      </c>
      <c r="W17">
        <v>3000</v>
      </c>
      <c r="X17">
        <v>12</v>
      </c>
      <c r="Y17">
        <v>0</v>
      </c>
      <c r="Z17">
        <v>0</v>
      </c>
      <c r="AA17">
        <v>12</v>
      </c>
      <c r="AB17">
        <v>321.42899999999997</v>
      </c>
      <c r="AC17">
        <v>0</v>
      </c>
      <c r="AD17">
        <v>0</v>
      </c>
      <c r="AE17">
        <v>321.42899999999997</v>
      </c>
      <c r="AF17">
        <v>1.4</v>
      </c>
      <c r="AG17">
        <f>MarketPlace_Order_Report[[#This Row],[UnitPrice]]*MarketPlace_Order_Report[[#This Row],[OrderQty]]</f>
        <v>3000</v>
      </c>
      <c r="AH17">
        <f>IFERROR(MarketPlace_Order_Report[[#This Row],[CGSTAmount]]+MarketPlace_Order_Report[[#This Row],[SGSTAmount]]+MarketPlace_Order_Report[[#This Row],[IGSTAmount]],MarketPlace_Order_Report[[#This Row],[TaxAmount]])</f>
        <v>321.42899999999997</v>
      </c>
      <c r="AI17">
        <f>MarketPlace_Order_Report[[#This Row],[Gross Amount (Before Tax)]]+MarketPlace_Order_Report[[#This Row],[Total GST Amount]]</f>
        <v>3321.4290000000001</v>
      </c>
      <c r="AJ17" s="1" t="s">
        <v>147</v>
      </c>
    </row>
    <row r="18" spans="1:36" hidden="1">
      <c r="A18" s="1" t="s">
        <v>151</v>
      </c>
      <c r="B18" s="1" t="s">
        <v>153</v>
      </c>
      <c r="C18" s="1" t="s">
        <v>71</v>
      </c>
      <c r="D18">
        <v>1</v>
      </c>
      <c r="E18">
        <v>1</v>
      </c>
      <c r="F18">
        <v>5000</v>
      </c>
      <c r="G18">
        <v>3500</v>
      </c>
      <c r="H18">
        <v>3529</v>
      </c>
      <c r="I18">
        <v>29</v>
      </c>
      <c r="J18" s="1" t="s">
        <v>59</v>
      </c>
      <c r="K18" s="2">
        <v>45929.389178240737</v>
      </c>
      <c r="L18" s="2">
        <v>45930.648726851854</v>
      </c>
      <c r="M18" s="2">
        <v>45938.487453703703</v>
      </c>
      <c r="N18" s="1" t="s">
        <v>61</v>
      </c>
      <c r="O18" s="1" t="s">
        <v>62</v>
      </c>
      <c r="P18" s="1" t="s">
        <v>61</v>
      </c>
      <c r="Q18" s="1" t="s">
        <v>74</v>
      </c>
      <c r="R18" s="2">
        <v>45947.862025462964</v>
      </c>
      <c r="S18" s="1" t="s">
        <v>136</v>
      </c>
      <c r="T18" s="1" t="s">
        <v>77</v>
      </c>
      <c r="U18">
        <v>201303</v>
      </c>
      <c r="V18" s="1" t="s">
        <v>66</v>
      </c>
      <c r="W18">
        <v>3500</v>
      </c>
      <c r="X18">
        <v>18</v>
      </c>
      <c r="Y18">
        <v>0</v>
      </c>
      <c r="Z18">
        <v>0</v>
      </c>
      <c r="AA18">
        <v>18</v>
      </c>
      <c r="AB18">
        <v>533.89800000000002</v>
      </c>
      <c r="AC18">
        <v>0</v>
      </c>
      <c r="AD18">
        <v>0</v>
      </c>
      <c r="AE18">
        <v>533.89800000000002</v>
      </c>
      <c r="AF18">
        <v>0.75</v>
      </c>
      <c r="AG18">
        <f>MarketPlace_Order_Report[[#This Row],[UnitPrice]]*MarketPlace_Order_Report[[#This Row],[OrderQty]]</f>
        <v>3500</v>
      </c>
      <c r="AH18">
        <f>IFERROR(MarketPlace_Order_Report[[#This Row],[CGSTAmount]]+MarketPlace_Order_Report[[#This Row],[SGSTAmount]]+MarketPlace_Order_Report[[#This Row],[IGSTAmount]],MarketPlace_Order_Report[[#This Row],[TaxAmount]])</f>
        <v>533.89800000000002</v>
      </c>
      <c r="AI18">
        <f>MarketPlace_Order_Report[[#This Row],[Gross Amount (Before Tax)]]+MarketPlace_Order_Report[[#This Row],[Total GST Amount]]</f>
        <v>4033.8980000000001</v>
      </c>
      <c r="AJ18" s="1" t="s">
        <v>152</v>
      </c>
    </row>
    <row r="19" spans="1:36">
      <c r="A19" s="1" t="s">
        <v>68</v>
      </c>
      <c r="B19" s="1" t="s">
        <v>154</v>
      </c>
      <c r="C19" s="1" t="s">
        <v>2475</v>
      </c>
      <c r="D19">
        <v>1</v>
      </c>
      <c r="E19">
        <v>1</v>
      </c>
      <c r="F19">
        <v>5000</v>
      </c>
      <c r="G19">
        <v>3500</v>
      </c>
      <c r="H19">
        <v>3525.79</v>
      </c>
      <c r="I19">
        <v>25.79</v>
      </c>
      <c r="J19" s="1" t="s">
        <v>72</v>
      </c>
      <c r="K19" s="2">
        <v>45927.859305555554</v>
      </c>
      <c r="L19" s="2">
        <v>45930.648726851854</v>
      </c>
      <c r="M19" s="2">
        <v>45935.580370370371</v>
      </c>
      <c r="N19" s="1" t="s">
        <v>61</v>
      </c>
      <c r="O19" s="1" t="s">
        <v>62</v>
      </c>
      <c r="P19" s="1" t="s">
        <v>61</v>
      </c>
      <c r="Q19" s="1" t="s">
        <v>61</v>
      </c>
      <c r="R19" s="2">
        <v>45935.584027777775</v>
      </c>
      <c r="S19" s="1" t="s">
        <v>76</v>
      </c>
      <c r="T19" s="1" t="s">
        <v>77</v>
      </c>
      <c r="U19">
        <v>201014</v>
      </c>
      <c r="V19" s="1" t="s">
        <v>66</v>
      </c>
      <c r="W19">
        <v>3500</v>
      </c>
      <c r="X19">
        <v>18</v>
      </c>
      <c r="Y19">
        <v>0</v>
      </c>
      <c r="Z19">
        <v>0</v>
      </c>
      <c r="AA19">
        <v>18</v>
      </c>
      <c r="AB19">
        <v>533.89800000000002</v>
      </c>
      <c r="AC19">
        <v>0</v>
      </c>
      <c r="AD19">
        <v>0</v>
      </c>
      <c r="AE19">
        <v>533.89800000000002</v>
      </c>
      <c r="AF19">
        <v>1</v>
      </c>
      <c r="AG19">
        <f>MarketPlace_Order_Report[[#This Row],[UnitPrice]]*MarketPlace_Order_Report[[#This Row],[OrderQty]]</f>
        <v>3500</v>
      </c>
      <c r="AH19">
        <f>IFERROR(MarketPlace_Order_Report[[#This Row],[CGSTAmount]]+MarketPlace_Order_Report[[#This Row],[SGSTAmount]]+MarketPlace_Order_Report[[#This Row],[IGSTAmount]],MarketPlace_Order_Report[[#This Row],[TaxAmount]])</f>
        <v>533.89800000000002</v>
      </c>
      <c r="AI19">
        <f>MarketPlace_Order_Report[[#This Row],[Gross Amount (Before Tax)]]+MarketPlace_Order_Report[[#This Row],[Total GST Amount]]</f>
        <v>4033.8980000000001</v>
      </c>
      <c r="AJ19" s="1" t="s">
        <v>69</v>
      </c>
    </row>
    <row r="20" spans="1:36" hidden="1">
      <c r="A20" s="1" t="s">
        <v>155</v>
      </c>
      <c r="B20" s="1" t="s">
        <v>157</v>
      </c>
      <c r="C20" s="1" t="s">
        <v>102</v>
      </c>
      <c r="D20">
        <v>1</v>
      </c>
      <c r="E20">
        <v>1</v>
      </c>
      <c r="F20">
        <v>3500</v>
      </c>
      <c r="G20">
        <v>3150</v>
      </c>
      <c r="H20">
        <v>3199</v>
      </c>
      <c r="I20">
        <v>49</v>
      </c>
      <c r="J20" s="1" t="s">
        <v>72</v>
      </c>
      <c r="K20" s="2">
        <v>45906.021238425928</v>
      </c>
      <c r="L20" s="2">
        <v>45908.763888888891</v>
      </c>
      <c r="M20" s="2"/>
      <c r="N20" s="1" t="s">
        <v>61</v>
      </c>
      <c r="O20" s="1" t="s">
        <v>62</v>
      </c>
      <c r="P20" s="1" t="s">
        <v>61</v>
      </c>
      <c r="Q20" s="1" t="s">
        <v>103</v>
      </c>
      <c r="R20" s="2">
        <v>45920.684884259259</v>
      </c>
      <c r="S20" s="1" t="s">
        <v>108</v>
      </c>
      <c r="T20" s="1" t="s">
        <v>109</v>
      </c>
      <c r="U20">
        <v>500084</v>
      </c>
      <c r="V20" s="1" t="s">
        <v>66</v>
      </c>
      <c r="W20">
        <v>3150</v>
      </c>
      <c r="X20">
        <v>12</v>
      </c>
      <c r="Y20">
        <v>0</v>
      </c>
      <c r="Z20">
        <v>0</v>
      </c>
      <c r="AA20">
        <v>12</v>
      </c>
      <c r="AB20">
        <v>337.5</v>
      </c>
      <c r="AC20">
        <v>0</v>
      </c>
      <c r="AD20">
        <v>0</v>
      </c>
      <c r="AE20">
        <v>337.5</v>
      </c>
      <c r="AF20">
        <v>0.75</v>
      </c>
      <c r="AG20">
        <f>MarketPlace_Order_Report[[#This Row],[UnitPrice]]*MarketPlace_Order_Report[[#This Row],[OrderQty]]</f>
        <v>3150</v>
      </c>
      <c r="AH20">
        <f>IFERROR(MarketPlace_Order_Report[[#This Row],[CGSTAmount]]+MarketPlace_Order_Report[[#This Row],[SGSTAmount]]+MarketPlace_Order_Report[[#This Row],[IGSTAmount]],MarketPlace_Order_Report[[#This Row],[TaxAmount]])</f>
        <v>337.5</v>
      </c>
      <c r="AI20">
        <f>MarketPlace_Order_Report[[#This Row],[Gross Amount (Before Tax)]]+MarketPlace_Order_Report[[#This Row],[Total GST Amount]]</f>
        <v>3487.5</v>
      </c>
      <c r="AJ20" s="1" t="s">
        <v>156</v>
      </c>
    </row>
    <row r="21" spans="1:36" hidden="1">
      <c r="A21" s="1" t="s">
        <v>159</v>
      </c>
      <c r="B21" s="1" t="s">
        <v>161</v>
      </c>
      <c r="C21" s="1" t="s">
        <v>71</v>
      </c>
      <c r="D21">
        <v>1</v>
      </c>
      <c r="E21">
        <v>1</v>
      </c>
      <c r="F21">
        <v>4500</v>
      </c>
      <c r="G21">
        <v>3150</v>
      </c>
      <c r="H21">
        <v>3170</v>
      </c>
      <c r="I21">
        <v>20</v>
      </c>
      <c r="J21" s="1" t="s">
        <v>72</v>
      </c>
      <c r="K21" s="2">
        <v>45928.89403935185</v>
      </c>
      <c r="L21" s="2">
        <v>45930.709166666667</v>
      </c>
      <c r="M21" s="2">
        <v>45933.705833333333</v>
      </c>
      <c r="N21" s="1" t="s">
        <v>61</v>
      </c>
      <c r="O21" s="1" t="s">
        <v>62</v>
      </c>
      <c r="P21" s="1" t="s">
        <v>61</v>
      </c>
      <c r="Q21" s="1" t="s">
        <v>74</v>
      </c>
      <c r="R21" s="2">
        <v>45943.865613425929</v>
      </c>
      <c r="S21" s="1" t="s">
        <v>119</v>
      </c>
      <c r="T21" s="1" t="s">
        <v>120</v>
      </c>
      <c r="U21">
        <v>302019</v>
      </c>
      <c r="V21" s="1" t="s">
        <v>66</v>
      </c>
      <c r="W21">
        <v>3150</v>
      </c>
      <c r="X21">
        <v>18</v>
      </c>
      <c r="Y21">
        <v>0</v>
      </c>
      <c r="Z21">
        <v>0</v>
      </c>
      <c r="AA21">
        <v>18</v>
      </c>
      <c r="AB21">
        <v>480.50799999999998</v>
      </c>
      <c r="AC21">
        <v>0</v>
      </c>
      <c r="AD21">
        <v>0</v>
      </c>
      <c r="AE21">
        <v>480.50799999999998</v>
      </c>
      <c r="AF21">
        <v>0.75</v>
      </c>
      <c r="AG21">
        <f>MarketPlace_Order_Report[[#This Row],[UnitPrice]]*MarketPlace_Order_Report[[#This Row],[OrderQty]]</f>
        <v>3150</v>
      </c>
      <c r="AH21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21">
        <f>MarketPlace_Order_Report[[#This Row],[Gross Amount (Before Tax)]]+MarketPlace_Order_Report[[#This Row],[Total GST Amount]]</f>
        <v>3630.5079999999998</v>
      </c>
      <c r="AJ21" s="1" t="s">
        <v>160</v>
      </c>
    </row>
    <row r="22" spans="1:36" hidden="1">
      <c r="A22" s="1" t="s">
        <v>162</v>
      </c>
      <c r="B22" s="1" t="s">
        <v>164</v>
      </c>
      <c r="C22" s="1" t="s">
        <v>71</v>
      </c>
      <c r="D22">
        <v>1</v>
      </c>
      <c r="E22">
        <v>1</v>
      </c>
      <c r="F22">
        <v>5000</v>
      </c>
      <c r="G22">
        <v>4000</v>
      </c>
      <c r="H22">
        <v>4028.1</v>
      </c>
      <c r="I22">
        <v>28.1</v>
      </c>
      <c r="J22" s="1" t="s">
        <v>72</v>
      </c>
      <c r="K22" s="2">
        <v>45918.449930555558</v>
      </c>
      <c r="L22" s="2">
        <v>45918.700324074074</v>
      </c>
      <c r="M22" s="2">
        <v>45921.54278935185</v>
      </c>
      <c r="N22" s="1" t="s">
        <v>61</v>
      </c>
      <c r="O22" s="1" t="s">
        <v>62</v>
      </c>
      <c r="P22" s="1" t="s">
        <v>61</v>
      </c>
      <c r="Q22" s="1" t="s">
        <v>74</v>
      </c>
      <c r="R22" s="2">
        <v>45937.618680555555</v>
      </c>
      <c r="S22" s="1" t="s">
        <v>165</v>
      </c>
      <c r="T22" s="1" t="s">
        <v>77</v>
      </c>
      <c r="U22">
        <v>226012</v>
      </c>
      <c r="V22" s="1" t="s">
        <v>66</v>
      </c>
      <c r="W22">
        <v>4000</v>
      </c>
      <c r="X22">
        <v>12</v>
      </c>
      <c r="Y22">
        <v>0</v>
      </c>
      <c r="Z22">
        <v>0</v>
      </c>
      <c r="AA22">
        <v>12</v>
      </c>
      <c r="AB22">
        <v>428.57100000000003</v>
      </c>
      <c r="AC22">
        <v>0</v>
      </c>
      <c r="AD22">
        <v>0</v>
      </c>
      <c r="AE22">
        <v>428.57100000000003</v>
      </c>
      <c r="AF22">
        <v>1.1000000000000001</v>
      </c>
      <c r="AG22">
        <f>MarketPlace_Order_Report[[#This Row],[UnitPrice]]*MarketPlace_Order_Report[[#This Row],[OrderQty]]</f>
        <v>4000</v>
      </c>
      <c r="AH22">
        <f>IFERROR(MarketPlace_Order_Report[[#This Row],[CGSTAmount]]+MarketPlace_Order_Report[[#This Row],[SGSTAmount]]+MarketPlace_Order_Report[[#This Row],[IGSTAmount]],MarketPlace_Order_Report[[#This Row],[TaxAmount]])</f>
        <v>428.57100000000003</v>
      </c>
      <c r="AI22">
        <f>MarketPlace_Order_Report[[#This Row],[Gross Amount (Before Tax)]]+MarketPlace_Order_Report[[#This Row],[Total GST Amount]]</f>
        <v>4428.5709999999999</v>
      </c>
      <c r="AJ22" s="1" t="s">
        <v>163</v>
      </c>
    </row>
    <row r="23" spans="1:36">
      <c r="A23" s="1" t="s">
        <v>166</v>
      </c>
      <c r="B23" s="1" t="s">
        <v>168</v>
      </c>
      <c r="C23" s="1" t="s">
        <v>2475</v>
      </c>
      <c r="D23">
        <v>1</v>
      </c>
      <c r="E23">
        <v>1</v>
      </c>
      <c r="F23">
        <v>5000</v>
      </c>
      <c r="G23">
        <v>4000</v>
      </c>
      <c r="H23">
        <v>4034.33</v>
      </c>
      <c r="I23">
        <v>34.33</v>
      </c>
      <c r="J23" s="1" t="s">
        <v>72</v>
      </c>
      <c r="K23" s="2">
        <v>45921.603043981479</v>
      </c>
      <c r="L23" s="2">
        <v>45922.765972222223</v>
      </c>
      <c r="M23" s="2">
        <v>45924.509027777778</v>
      </c>
      <c r="N23" s="1" t="s">
        <v>61</v>
      </c>
      <c r="O23" s="1" t="s">
        <v>62</v>
      </c>
      <c r="P23" s="1" t="s">
        <v>61</v>
      </c>
      <c r="Q23" s="1" t="s">
        <v>61</v>
      </c>
      <c r="R23" s="2">
        <v>45931.996898148151</v>
      </c>
      <c r="S23" s="1" t="s">
        <v>108</v>
      </c>
      <c r="T23" s="1" t="s">
        <v>109</v>
      </c>
      <c r="U23">
        <v>500004</v>
      </c>
      <c r="V23" s="1" t="s">
        <v>66</v>
      </c>
      <c r="W23">
        <v>4000</v>
      </c>
      <c r="X23">
        <v>18</v>
      </c>
      <c r="Y23">
        <v>0</v>
      </c>
      <c r="Z23">
        <v>0</v>
      </c>
      <c r="AA23">
        <v>18</v>
      </c>
      <c r="AB23">
        <v>610.16899999999998</v>
      </c>
      <c r="AC23">
        <v>0</v>
      </c>
      <c r="AD23">
        <v>0</v>
      </c>
      <c r="AE23">
        <v>610.16899999999998</v>
      </c>
      <c r="AF23">
        <v>0.75</v>
      </c>
      <c r="AG23">
        <f>MarketPlace_Order_Report[[#This Row],[UnitPrice]]*MarketPlace_Order_Report[[#This Row],[OrderQty]]</f>
        <v>4000</v>
      </c>
      <c r="AH23">
        <f>IFERROR(MarketPlace_Order_Report[[#This Row],[CGSTAmount]]+MarketPlace_Order_Report[[#This Row],[SGSTAmount]]+MarketPlace_Order_Report[[#This Row],[IGSTAmount]],MarketPlace_Order_Report[[#This Row],[TaxAmount]])</f>
        <v>610.16899999999998</v>
      </c>
      <c r="AI23">
        <f>MarketPlace_Order_Report[[#This Row],[Gross Amount (Before Tax)]]+MarketPlace_Order_Report[[#This Row],[Total GST Amount]]</f>
        <v>4610.1689999999999</v>
      </c>
      <c r="AJ23" s="1" t="s">
        <v>167</v>
      </c>
    </row>
    <row r="24" spans="1:36" hidden="1">
      <c r="A24" s="1" t="s">
        <v>169</v>
      </c>
      <c r="B24" s="1" t="s">
        <v>171</v>
      </c>
      <c r="C24" s="1" t="s">
        <v>102</v>
      </c>
      <c r="D24">
        <v>1</v>
      </c>
      <c r="E24">
        <v>1</v>
      </c>
      <c r="F24">
        <v>5000</v>
      </c>
      <c r="G24">
        <v>3750</v>
      </c>
      <c r="H24">
        <v>3799</v>
      </c>
      <c r="I24">
        <v>49</v>
      </c>
      <c r="J24" s="1" t="s">
        <v>72</v>
      </c>
      <c r="K24" s="2">
        <v>45914.381122685183</v>
      </c>
      <c r="L24" s="2">
        <v>45917.634189814817</v>
      </c>
      <c r="M24" s="2"/>
      <c r="N24" s="1" t="s">
        <v>61</v>
      </c>
      <c r="O24" s="1" t="s">
        <v>62</v>
      </c>
      <c r="P24" s="1" t="s">
        <v>61</v>
      </c>
      <c r="Q24" s="1" t="s">
        <v>103</v>
      </c>
      <c r="R24" s="2">
        <v>45933.639756944445</v>
      </c>
      <c r="S24" s="1" t="s">
        <v>172</v>
      </c>
      <c r="T24" s="1" t="s">
        <v>88</v>
      </c>
      <c r="U24">
        <v>474006</v>
      </c>
      <c r="V24" s="1" t="s">
        <v>66</v>
      </c>
      <c r="W24">
        <v>3750</v>
      </c>
      <c r="X24">
        <v>12</v>
      </c>
      <c r="Y24">
        <v>0</v>
      </c>
      <c r="Z24">
        <v>0</v>
      </c>
      <c r="AA24">
        <v>12</v>
      </c>
      <c r="AB24">
        <v>401.786</v>
      </c>
      <c r="AC24">
        <v>0</v>
      </c>
      <c r="AD24">
        <v>0</v>
      </c>
      <c r="AE24">
        <v>401.786</v>
      </c>
      <c r="AF24">
        <v>0.75</v>
      </c>
      <c r="AG24">
        <f>MarketPlace_Order_Report[[#This Row],[UnitPrice]]*MarketPlace_Order_Report[[#This Row],[OrderQty]]</f>
        <v>3750</v>
      </c>
      <c r="AH24">
        <f>IFERROR(MarketPlace_Order_Report[[#This Row],[CGSTAmount]]+MarketPlace_Order_Report[[#This Row],[SGSTAmount]]+MarketPlace_Order_Report[[#This Row],[IGSTAmount]],MarketPlace_Order_Report[[#This Row],[TaxAmount]])</f>
        <v>401.786</v>
      </c>
      <c r="AI24">
        <f>MarketPlace_Order_Report[[#This Row],[Gross Amount (Before Tax)]]+MarketPlace_Order_Report[[#This Row],[Total GST Amount]]</f>
        <v>4151.7860000000001</v>
      </c>
      <c r="AJ24" s="1" t="s">
        <v>170</v>
      </c>
    </row>
    <row r="25" spans="1:36" hidden="1">
      <c r="A25" s="1" t="s">
        <v>173</v>
      </c>
      <c r="B25" s="1" t="s">
        <v>175</v>
      </c>
      <c r="C25" s="1" t="s">
        <v>102</v>
      </c>
      <c r="D25">
        <v>1</v>
      </c>
      <c r="E25">
        <v>1</v>
      </c>
      <c r="F25">
        <v>5000</v>
      </c>
      <c r="G25">
        <v>3750</v>
      </c>
      <c r="H25">
        <v>3770</v>
      </c>
      <c r="I25">
        <v>20</v>
      </c>
      <c r="J25" s="1" t="s">
        <v>72</v>
      </c>
      <c r="K25" s="2">
        <v>45902.451249999998</v>
      </c>
      <c r="L25" s="2">
        <v>45902.669791666667</v>
      </c>
      <c r="M25" s="2"/>
      <c r="N25" s="1" t="s">
        <v>61</v>
      </c>
      <c r="O25" s="1" t="s">
        <v>62</v>
      </c>
      <c r="P25" s="1" t="s">
        <v>61</v>
      </c>
      <c r="Q25" s="1" t="s">
        <v>103</v>
      </c>
      <c r="R25" s="2">
        <v>45913.841122685182</v>
      </c>
      <c r="S25" s="1" t="s">
        <v>176</v>
      </c>
      <c r="T25" s="1" t="s">
        <v>177</v>
      </c>
      <c r="U25">
        <v>788819</v>
      </c>
      <c r="V25" s="1" t="s">
        <v>66</v>
      </c>
      <c r="W25">
        <v>3750</v>
      </c>
      <c r="X25">
        <v>12</v>
      </c>
      <c r="Y25">
        <v>0</v>
      </c>
      <c r="Z25">
        <v>0</v>
      </c>
      <c r="AA25">
        <v>12</v>
      </c>
      <c r="AB25">
        <v>401.786</v>
      </c>
      <c r="AC25">
        <v>0</v>
      </c>
      <c r="AD25">
        <v>0</v>
      </c>
      <c r="AE25">
        <v>401.786</v>
      </c>
      <c r="AF25">
        <v>0.75</v>
      </c>
      <c r="AG25">
        <f>MarketPlace_Order_Report[[#This Row],[UnitPrice]]*MarketPlace_Order_Report[[#This Row],[OrderQty]]</f>
        <v>3750</v>
      </c>
      <c r="AH25">
        <f>IFERROR(MarketPlace_Order_Report[[#This Row],[CGSTAmount]]+MarketPlace_Order_Report[[#This Row],[SGSTAmount]]+MarketPlace_Order_Report[[#This Row],[IGSTAmount]],MarketPlace_Order_Report[[#This Row],[TaxAmount]])</f>
        <v>401.786</v>
      </c>
      <c r="AI25">
        <f>MarketPlace_Order_Report[[#This Row],[Gross Amount (Before Tax)]]+MarketPlace_Order_Report[[#This Row],[Total GST Amount]]</f>
        <v>4151.7860000000001</v>
      </c>
      <c r="AJ25" s="1" t="s">
        <v>174</v>
      </c>
    </row>
    <row r="26" spans="1:36">
      <c r="A26" s="1" t="s">
        <v>178</v>
      </c>
      <c r="B26" s="1" t="s">
        <v>181</v>
      </c>
      <c r="C26" s="1" t="s">
        <v>2475</v>
      </c>
      <c r="D26">
        <v>1</v>
      </c>
      <c r="E26">
        <v>1</v>
      </c>
      <c r="F26">
        <v>3850</v>
      </c>
      <c r="G26">
        <v>3465</v>
      </c>
      <c r="H26">
        <v>3494</v>
      </c>
      <c r="I26">
        <v>29</v>
      </c>
      <c r="J26" s="1" t="s">
        <v>59</v>
      </c>
      <c r="K26" s="2">
        <v>45928.450555555559</v>
      </c>
      <c r="L26" s="2">
        <v>45930.648726851854</v>
      </c>
      <c r="M26" s="2">
        <v>45934.636342592596</v>
      </c>
      <c r="N26" s="1" t="s">
        <v>61</v>
      </c>
      <c r="O26" s="1" t="s">
        <v>62</v>
      </c>
      <c r="P26" s="1" t="s">
        <v>61</v>
      </c>
      <c r="Q26" s="1" t="s">
        <v>61</v>
      </c>
      <c r="R26" s="2">
        <v>45934.639664351853</v>
      </c>
      <c r="S26" s="1" t="s">
        <v>182</v>
      </c>
      <c r="T26" s="1" t="s">
        <v>183</v>
      </c>
      <c r="U26">
        <v>110092</v>
      </c>
      <c r="V26" s="1" t="s">
        <v>66</v>
      </c>
      <c r="W26">
        <v>3465</v>
      </c>
      <c r="X26">
        <v>18</v>
      </c>
      <c r="Y26">
        <v>0</v>
      </c>
      <c r="Z26">
        <v>0</v>
      </c>
      <c r="AA26">
        <v>18</v>
      </c>
      <c r="AB26">
        <v>528.55899999999997</v>
      </c>
      <c r="AC26">
        <v>0</v>
      </c>
      <c r="AD26">
        <v>0</v>
      </c>
      <c r="AE26">
        <v>528.55899999999997</v>
      </c>
      <c r="AF26">
        <v>0.75</v>
      </c>
      <c r="AG26">
        <f>MarketPlace_Order_Report[[#This Row],[UnitPrice]]*MarketPlace_Order_Report[[#This Row],[OrderQty]]</f>
        <v>3465</v>
      </c>
      <c r="AH26">
        <f>IFERROR(MarketPlace_Order_Report[[#This Row],[CGSTAmount]]+MarketPlace_Order_Report[[#This Row],[SGSTAmount]]+MarketPlace_Order_Report[[#This Row],[IGSTAmount]],MarketPlace_Order_Report[[#This Row],[TaxAmount]])</f>
        <v>528.55899999999997</v>
      </c>
      <c r="AI26">
        <f>MarketPlace_Order_Report[[#This Row],[Gross Amount (Before Tax)]]+MarketPlace_Order_Report[[#This Row],[Total GST Amount]]</f>
        <v>3993.5590000000002</v>
      </c>
      <c r="AJ26" s="1" t="s">
        <v>179</v>
      </c>
    </row>
    <row r="27" spans="1:36" hidden="1">
      <c r="A27" s="1" t="s">
        <v>184</v>
      </c>
      <c r="B27" s="1" t="s">
        <v>186</v>
      </c>
      <c r="C27" s="1" t="s">
        <v>187</v>
      </c>
      <c r="D27">
        <v>1</v>
      </c>
      <c r="E27">
        <v>0</v>
      </c>
      <c r="F27">
        <v>3850</v>
      </c>
      <c r="G27">
        <v>3465</v>
      </c>
      <c r="H27">
        <v>3514</v>
      </c>
      <c r="I27">
        <v>49</v>
      </c>
      <c r="J27" s="1" t="s">
        <v>72</v>
      </c>
      <c r="K27" s="2">
        <v>45926.841469907406</v>
      </c>
      <c r="L27" s="2"/>
      <c r="M27" s="2"/>
      <c r="N27" s="1" t="s">
        <v>188</v>
      </c>
      <c r="O27" s="1" t="s">
        <v>62</v>
      </c>
      <c r="P27" s="1" t="s">
        <v>61</v>
      </c>
      <c r="Q27" s="1" t="s">
        <v>61</v>
      </c>
      <c r="R27" s="2">
        <v>45926.847615740742</v>
      </c>
      <c r="S27" s="1" t="s">
        <v>136</v>
      </c>
      <c r="T27" s="1" t="s">
        <v>77</v>
      </c>
      <c r="U27">
        <v>201301</v>
      </c>
      <c r="V27" s="1" t="s">
        <v>66</v>
      </c>
      <c r="W27">
        <v>3465</v>
      </c>
      <c r="X27">
        <v>18</v>
      </c>
      <c r="Y27">
        <v>0</v>
      </c>
      <c r="Z27">
        <v>0</v>
      </c>
      <c r="AA27">
        <v>18</v>
      </c>
      <c r="AB27">
        <v>528.55899999999997</v>
      </c>
      <c r="AC27">
        <v>0</v>
      </c>
      <c r="AD27">
        <v>0</v>
      </c>
      <c r="AE27">
        <v>528.55899999999997</v>
      </c>
      <c r="AG27">
        <f>MarketPlace_Order_Report[[#This Row],[UnitPrice]]*MarketPlace_Order_Report[[#This Row],[OrderQty]]</f>
        <v>3465</v>
      </c>
      <c r="AH27">
        <f>IFERROR(MarketPlace_Order_Report[[#This Row],[CGSTAmount]]+MarketPlace_Order_Report[[#This Row],[SGSTAmount]]+MarketPlace_Order_Report[[#This Row],[IGSTAmount]],MarketPlace_Order_Report[[#This Row],[TaxAmount]])</f>
        <v>528.55899999999997</v>
      </c>
      <c r="AI27">
        <f>MarketPlace_Order_Report[[#This Row],[Gross Amount (Before Tax)]]+MarketPlace_Order_Report[[#This Row],[Total GST Amount]]</f>
        <v>3993.5590000000002</v>
      </c>
      <c r="AJ27" s="1" t="s">
        <v>185</v>
      </c>
    </row>
    <row r="28" spans="1:36" hidden="1">
      <c r="A28" s="1" t="s">
        <v>189</v>
      </c>
      <c r="B28" s="1" t="s">
        <v>192</v>
      </c>
      <c r="C28" s="1" t="s">
        <v>71</v>
      </c>
      <c r="D28">
        <v>1</v>
      </c>
      <c r="E28">
        <v>1</v>
      </c>
      <c r="F28">
        <v>3850</v>
      </c>
      <c r="G28">
        <v>3465</v>
      </c>
      <c r="H28">
        <v>3475.95</v>
      </c>
      <c r="I28">
        <v>10.95</v>
      </c>
      <c r="J28" s="1" t="s">
        <v>59</v>
      </c>
      <c r="K28" s="2">
        <v>45925.615891203706</v>
      </c>
      <c r="L28" s="2">
        <v>45926.632268518515</v>
      </c>
      <c r="M28" s="2">
        <v>45931.518425925926</v>
      </c>
      <c r="N28" s="1" t="s">
        <v>61</v>
      </c>
      <c r="O28" s="1" t="s">
        <v>62</v>
      </c>
      <c r="P28" s="1" t="s">
        <v>61</v>
      </c>
      <c r="Q28" s="1" t="s">
        <v>74</v>
      </c>
      <c r="R28" s="2">
        <v>45938.861956018518</v>
      </c>
      <c r="S28" s="1" t="s">
        <v>182</v>
      </c>
      <c r="T28" s="1" t="s">
        <v>183</v>
      </c>
      <c r="U28">
        <v>110091</v>
      </c>
      <c r="V28" s="1" t="s">
        <v>66</v>
      </c>
      <c r="W28">
        <v>3465</v>
      </c>
      <c r="X28">
        <v>18</v>
      </c>
      <c r="Y28">
        <v>0</v>
      </c>
      <c r="Z28">
        <v>0</v>
      </c>
      <c r="AA28">
        <v>18</v>
      </c>
      <c r="AB28">
        <v>528.55899999999997</v>
      </c>
      <c r="AC28">
        <v>0</v>
      </c>
      <c r="AD28">
        <v>0</v>
      </c>
      <c r="AE28">
        <v>528.55899999999997</v>
      </c>
      <c r="AF28">
        <v>0.75</v>
      </c>
      <c r="AG28">
        <f>MarketPlace_Order_Report[[#This Row],[UnitPrice]]*MarketPlace_Order_Report[[#This Row],[OrderQty]]</f>
        <v>3465</v>
      </c>
      <c r="AH28">
        <f>IFERROR(MarketPlace_Order_Report[[#This Row],[CGSTAmount]]+MarketPlace_Order_Report[[#This Row],[SGSTAmount]]+MarketPlace_Order_Report[[#This Row],[IGSTAmount]],MarketPlace_Order_Report[[#This Row],[TaxAmount]])</f>
        <v>528.55899999999997</v>
      </c>
      <c r="AI28">
        <f>MarketPlace_Order_Report[[#This Row],[Gross Amount (Before Tax)]]+MarketPlace_Order_Report[[#This Row],[Total GST Amount]]</f>
        <v>3993.5590000000002</v>
      </c>
      <c r="AJ28" s="1" t="s">
        <v>190</v>
      </c>
    </row>
    <row r="29" spans="1:36" hidden="1">
      <c r="A29" s="1" t="s">
        <v>193</v>
      </c>
      <c r="B29" s="1" t="s">
        <v>196</v>
      </c>
      <c r="C29" s="1" t="s">
        <v>71</v>
      </c>
      <c r="D29">
        <v>1</v>
      </c>
      <c r="E29">
        <v>1</v>
      </c>
      <c r="F29">
        <v>3850</v>
      </c>
      <c r="G29">
        <v>3465</v>
      </c>
      <c r="H29">
        <v>3484.28</v>
      </c>
      <c r="I29">
        <v>19.28</v>
      </c>
      <c r="J29" s="1" t="s">
        <v>59</v>
      </c>
      <c r="K29" s="2">
        <v>45922.918854166666</v>
      </c>
      <c r="L29" s="2">
        <v>45924.625416666669</v>
      </c>
      <c r="M29" s="2">
        <v>45927.63559027778</v>
      </c>
      <c r="N29" s="1" t="s">
        <v>61</v>
      </c>
      <c r="O29" s="1" t="s">
        <v>62</v>
      </c>
      <c r="P29" s="1" t="s">
        <v>61</v>
      </c>
      <c r="Q29" s="1" t="s">
        <v>74</v>
      </c>
      <c r="R29" s="2">
        <v>45937.618680555555</v>
      </c>
      <c r="S29" s="1" t="s">
        <v>197</v>
      </c>
      <c r="T29" s="1" t="s">
        <v>65</v>
      </c>
      <c r="U29">
        <v>560102</v>
      </c>
      <c r="V29" s="1" t="s">
        <v>66</v>
      </c>
      <c r="W29">
        <v>3465</v>
      </c>
      <c r="X29">
        <v>18</v>
      </c>
      <c r="Y29">
        <v>0</v>
      </c>
      <c r="Z29">
        <v>0</v>
      </c>
      <c r="AA29">
        <v>18</v>
      </c>
      <c r="AB29">
        <v>528.55899999999997</v>
      </c>
      <c r="AC29">
        <v>0</v>
      </c>
      <c r="AD29">
        <v>0</v>
      </c>
      <c r="AE29">
        <v>528.55899999999997</v>
      </c>
      <c r="AF29">
        <v>0.75</v>
      </c>
      <c r="AG29">
        <f>MarketPlace_Order_Report[[#This Row],[UnitPrice]]*MarketPlace_Order_Report[[#This Row],[OrderQty]]</f>
        <v>3465</v>
      </c>
      <c r="AH29">
        <f>IFERROR(MarketPlace_Order_Report[[#This Row],[CGSTAmount]]+MarketPlace_Order_Report[[#This Row],[SGSTAmount]]+MarketPlace_Order_Report[[#This Row],[IGSTAmount]],MarketPlace_Order_Report[[#This Row],[TaxAmount]])</f>
        <v>528.55899999999997</v>
      </c>
      <c r="AI29">
        <f>MarketPlace_Order_Report[[#This Row],[Gross Amount (Before Tax)]]+MarketPlace_Order_Report[[#This Row],[Total GST Amount]]</f>
        <v>3993.5590000000002</v>
      </c>
      <c r="AJ29" s="1" t="s">
        <v>194</v>
      </c>
    </row>
    <row r="30" spans="1:36">
      <c r="A30" s="1" t="s">
        <v>198</v>
      </c>
      <c r="B30" s="1" t="s">
        <v>200</v>
      </c>
      <c r="C30" s="1" t="s">
        <v>2475</v>
      </c>
      <c r="D30">
        <v>1</v>
      </c>
      <c r="E30">
        <v>1</v>
      </c>
      <c r="F30">
        <v>4500</v>
      </c>
      <c r="G30">
        <v>3600</v>
      </c>
      <c r="H30">
        <v>3649</v>
      </c>
      <c r="I30">
        <v>49</v>
      </c>
      <c r="J30" s="1" t="s">
        <v>72</v>
      </c>
      <c r="K30" s="2">
        <v>45920.762916666667</v>
      </c>
      <c r="L30" s="2">
        <v>45922.765972222223</v>
      </c>
      <c r="M30" s="2">
        <v>45924.761805555558</v>
      </c>
      <c r="N30" s="1" t="s">
        <v>61</v>
      </c>
      <c r="O30" s="1" t="s">
        <v>62</v>
      </c>
      <c r="P30" s="1" t="s">
        <v>61</v>
      </c>
      <c r="Q30" s="1" t="s">
        <v>61</v>
      </c>
      <c r="R30" s="2">
        <v>45931.996898148151</v>
      </c>
      <c r="S30" s="1" t="s">
        <v>108</v>
      </c>
      <c r="T30" s="1" t="s">
        <v>109</v>
      </c>
      <c r="U30">
        <v>500064</v>
      </c>
      <c r="V30" s="1" t="s">
        <v>66</v>
      </c>
      <c r="W30">
        <v>3600</v>
      </c>
      <c r="X30">
        <v>18</v>
      </c>
      <c r="Y30">
        <v>0</v>
      </c>
      <c r="Z30">
        <v>0</v>
      </c>
      <c r="AA30">
        <v>18</v>
      </c>
      <c r="AB30">
        <v>549.15300000000002</v>
      </c>
      <c r="AC30">
        <v>0</v>
      </c>
      <c r="AD30">
        <v>0</v>
      </c>
      <c r="AE30">
        <v>549.15300000000002</v>
      </c>
      <c r="AF30">
        <v>0.75</v>
      </c>
      <c r="AG30">
        <f>MarketPlace_Order_Report[[#This Row],[UnitPrice]]*MarketPlace_Order_Report[[#This Row],[OrderQty]]</f>
        <v>3600</v>
      </c>
      <c r="AH30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30">
        <f>MarketPlace_Order_Report[[#This Row],[Gross Amount (Before Tax)]]+MarketPlace_Order_Report[[#This Row],[Total GST Amount]]</f>
        <v>4149.1530000000002</v>
      </c>
      <c r="AJ30" s="1" t="s">
        <v>199</v>
      </c>
    </row>
    <row r="31" spans="1:36">
      <c r="A31" s="1" t="s">
        <v>201</v>
      </c>
      <c r="B31" s="1" t="s">
        <v>203</v>
      </c>
      <c r="C31" s="1" t="s">
        <v>2475</v>
      </c>
      <c r="D31">
        <v>1</v>
      </c>
      <c r="E31">
        <v>1</v>
      </c>
      <c r="F31">
        <v>4500</v>
      </c>
      <c r="G31">
        <v>4050</v>
      </c>
      <c r="H31">
        <v>4070</v>
      </c>
      <c r="I31">
        <v>20</v>
      </c>
      <c r="J31" s="1" t="s">
        <v>72</v>
      </c>
      <c r="K31" s="2">
        <v>45929.741018518522</v>
      </c>
      <c r="L31" s="2">
        <v>45930.708599537036</v>
      </c>
      <c r="M31" s="2">
        <v>45940.587650462963</v>
      </c>
      <c r="N31" s="1" t="s">
        <v>61</v>
      </c>
      <c r="O31" s="1" t="s">
        <v>62</v>
      </c>
      <c r="P31" s="1" t="s">
        <v>61</v>
      </c>
      <c r="Q31" s="1" t="s">
        <v>61</v>
      </c>
      <c r="R31" s="2">
        <v>45940.590810185182</v>
      </c>
      <c r="S31" s="1" t="s">
        <v>204</v>
      </c>
      <c r="T31" s="1" t="s">
        <v>83</v>
      </c>
      <c r="U31">
        <v>811307</v>
      </c>
      <c r="V31" s="1" t="s">
        <v>66</v>
      </c>
      <c r="W31">
        <v>4050</v>
      </c>
      <c r="X31">
        <v>18</v>
      </c>
      <c r="Y31">
        <v>0</v>
      </c>
      <c r="Z31">
        <v>0</v>
      </c>
      <c r="AA31">
        <v>18</v>
      </c>
      <c r="AB31">
        <v>617.79700000000003</v>
      </c>
      <c r="AC31">
        <v>0</v>
      </c>
      <c r="AD31">
        <v>0</v>
      </c>
      <c r="AE31">
        <v>617.79700000000003</v>
      </c>
      <c r="AF31">
        <v>0.75</v>
      </c>
      <c r="AG31">
        <f>MarketPlace_Order_Report[[#This Row],[UnitPrice]]*MarketPlace_Order_Report[[#This Row],[OrderQty]]</f>
        <v>4050</v>
      </c>
      <c r="AH31">
        <f>IFERROR(MarketPlace_Order_Report[[#This Row],[CGSTAmount]]+MarketPlace_Order_Report[[#This Row],[SGSTAmount]]+MarketPlace_Order_Report[[#This Row],[IGSTAmount]],MarketPlace_Order_Report[[#This Row],[TaxAmount]])</f>
        <v>617.79700000000003</v>
      </c>
      <c r="AI31">
        <f>MarketPlace_Order_Report[[#This Row],[Gross Amount (Before Tax)]]+MarketPlace_Order_Report[[#This Row],[Total GST Amount]]</f>
        <v>4667.7970000000005</v>
      </c>
      <c r="AJ31" s="1" t="s">
        <v>202</v>
      </c>
    </row>
    <row r="32" spans="1:36" hidden="1">
      <c r="A32" s="1" t="s">
        <v>205</v>
      </c>
      <c r="B32" s="1" t="s">
        <v>208</v>
      </c>
      <c r="C32" s="1" t="s">
        <v>71</v>
      </c>
      <c r="D32">
        <v>1</v>
      </c>
      <c r="E32">
        <v>1</v>
      </c>
      <c r="F32">
        <v>4500</v>
      </c>
      <c r="G32">
        <v>4050</v>
      </c>
      <c r="H32">
        <v>4079</v>
      </c>
      <c r="I32">
        <v>29</v>
      </c>
      <c r="J32" s="1" t="s">
        <v>59</v>
      </c>
      <c r="K32" s="2">
        <v>45923.794004629628</v>
      </c>
      <c r="L32" s="2">
        <v>45924.625416666669</v>
      </c>
      <c r="M32" s="2">
        <v>45927.627268518518</v>
      </c>
      <c r="N32" s="1" t="s">
        <v>61</v>
      </c>
      <c r="O32" s="1" t="s">
        <v>62</v>
      </c>
      <c r="P32" s="1" t="s">
        <v>61</v>
      </c>
      <c r="Q32" s="1" t="s">
        <v>74</v>
      </c>
      <c r="R32" s="2">
        <v>45937.618680555555</v>
      </c>
      <c r="S32" s="1" t="s">
        <v>197</v>
      </c>
      <c r="T32" s="1" t="s">
        <v>65</v>
      </c>
      <c r="U32">
        <v>560076</v>
      </c>
      <c r="V32" s="1" t="s">
        <v>66</v>
      </c>
      <c r="W32">
        <v>4050</v>
      </c>
      <c r="X32">
        <v>18</v>
      </c>
      <c r="Y32">
        <v>0</v>
      </c>
      <c r="Z32">
        <v>0</v>
      </c>
      <c r="AA32">
        <v>18</v>
      </c>
      <c r="AB32">
        <v>617.79700000000003</v>
      </c>
      <c r="AC32">
        <v>0</v>
      </c>
      <c r="AD32">
        <v>0</v>
      </c>
      <c r="AE32">
        <v>617.79700000000003</v>
      </c>
      <c r="AF32">
        <v>0.85</v>
      </c>
      <c r="AG32">
        <f>MarketPlace_Order_Report[[#This Row],[UnitPrice]]*MarketPlace_Order_Report[[#This Row],[OrderQty]]</f>
        <v>4050</v>
      </c>
      <c r="AH32">
        <f>IFERROR(MarketPlace_Order_Report[[#This Row],[CGSTAmount]]+MarketPlace_Order_Report[[#This Row],[SGSTAmount]]+MarketPlace_Order_Report[[#This Row],[IGSTAmount]],MarketPlace_Order_Report[[#This Row],[TaxAmount]])</f>
        <v>617.79700000000003</v>
      </c>
      <c r="AI32">
        <f>MarketPlace_Order_Report[[#This Row],[Gross Amount (Before Tax)]]+MarketPlace_Order_Report[[#This Row],[Total GST Amount]]</f>
        <v>4667.7970000000005</v>
      </c>
      <c r="AJ32" s="1" t="s">
        <v>206</v>
      </c>
    </row>
    <row r="33" spans="1:36" hidden="1">
      <c r="A33" s="1" t="s">
        <v>210</v>
      </c>
      <c r="B33" s="1" t="s">
        <v>213</v>
      </c>
      <c r="C33" s="1" t="s">
        <v>71</v>
      </c>
      <c r="D33">
        <v>1</v>
      </c>
      <c r="E33">
        <v>1</v>
      </c>
      <c r="F33">
        <v>4500</v>
      </c>
      <c r="G33">
        <v>4050</v>
      </c>
      <c r="H33">
        <v>4079</v>
      </c>
      <c r="I33">
        <v>29</v>
      </c>
      <c r="J33" s="1" t="s">
        <v>59</v>
      </c>
      <c r="K33" s="2">
        <v>45911.707488425927</v>
      </c>
      <c r="L33" s="2">
        <v>45912.716817129629</v>
      </c>
      <c r="M33" s="2">
        <v>45916.820937500001</v>
      </c>
      <c r="N33" s="1" t="s">
        <v>61</v>
      </c>
      <c r="O33" s="1" t="s">
        <v>62</v>
      </c>
      <c r="P33" s="1" t="s">
        <v>61</v>
      </c>
      <c r="Q33" s="1" t="s">
        <v>74</v>
      </c>
      <c r="R33" s="2">
        <v>45927.841203703705</v>
      </c>
      <c r="S33" s="1" t="s">
        <v>214</v>
      </c>
      <c r="T33" s="1" t="s">
        <v>215</v>
      </c>
      <c r="U33">
        <v>760001</v>
      </c>
      <c r="V33" s="1" t="s">
        <v>66</v>
      </c>
      <c r="W33">
        <v>4050</v>
      </c>
      <c r="X33">
        <v>12</v>
      </c>
      <c r="Y33">
        <v>0</v>
      </c>
      <c r="Z33">
        <v>0</v>
      </c>
      <c r="AA33">
        <v>12</v>
      </c>
      <c r="AB33">
        <v>433.92899999999997</v>
      </c>
      <c r="AC33">
        <v>0</v>
      </c>
      <c r="AD33">
        <v>0</v>
      </c>
      <c r="AE33">
        <v>433.92899999999997</v>
      </c>
      <c r="AF33">
        <v>0.85</v>
      </c>
      <c r="AG33">
        <f>MarketPlace_Order_Report[[#This Row],[UnitPrice]]*MarketPlace_Order_Report[[#This Row],[OrderQty]]</f>
        <v>4050</v>
      </c>
      <c r="AH33">
        <f>IFERROR(MarketPlace_Order_Report[[#This Row],[CGSTAmount]]+MarketPlace_Order_Report[[#This Row],[SGSTAmount]]+MarketPlace_Order_Report[[#This Row],[IGSTAmount]],MarketPlace_Order_Report[[#This Row],[TaxAmount]])</f>
        <v>433.92899999999997</v>
      </c>
      <c r="AI33">
        <f>MarketPlace_Order_Report[[#This Row],[Gross Amount (Before Tax)]]+MarketPlace_Order_Report[[#This Row],[Total GST Amount]]</f>
        <v>4483.9290000000001</v>
      </c>
      <c r="AJ33" s="1" t="s">
        <v>211</v>
      </c>
    </row>
    <row r="34" spans="1:36" hidden="1">
      <c r="A34" s="1" t="s">
        <v>216</v>
      </c>
      <c r="B34" s="1" t="s">
        <v>219</v>
      </c>
      <c r="C34" s="1" t="s">
        <v>71</v>
      </c>
      <c r="D34">
        <v>1</v>
      </c>
      <c r="E34">
        <v>1</v>
      </c>
      <c r="F34">
        <v>4500</v>
      </c>
      <c r="G34">
        <v>4050</v>
      </c>
      <c r="H34">
        <v>4079</v>
      </c>
      <c r="I34">
        <v>29</v>
      </c>
      <c r="J34" s="1" t="s">
        <v>59</v>
      </c>
      <c r="K34" s="2">
        <v>45914.305138888885</v>
      </c>
      <c r="L34" s="2">
        <v>45917.634189814817</v>
      </c>
      <c r="M34" s="2">
        <v>45920.821342592593</v>
      </c>
      <c r="N34" s="1" t="s">
        <v>61</v>
      </c>
      <c r="O34" s="1" t="s">
        <v>62</v>
      </c>
      <c r="P34" s="1" t="s">
        <v>61</v>
      </c>
      <c r="Q34" s="1" t="s">
        <v>74</v>
      </c>
      <c r="R34" s="2">
        <v>45927.841203703705</v>
      </c>
      <c r="S34" s="1" t="s">
        <v>197</v>
      </c>
      <c r="T34" s="1" t="s">
        <v>65</v>
      </c>
      <c r="U34">
        <v>560067</v>
      </c>
      <c r="V34" s="1" t="s">
        <v>66</v>
      </c>
      <c r="W34">
        <v>4050</v>
      </c>
      <c r="X34">
        <v>12</v>
      </c>
      <c r="Y34">
        <v>0</v>
      </c>
      <c r="Z34">
        <v>0</v>
      </c>
      <c r="AA34">
        <v>12</v>
      </c>
      <c r="AB34">
        <v>433.92899999999997</v>
      </c>
      <c r="AC34">
        <v>0</v>
      </c>
      <c r="AD34">
        <v>0</v>
      </c>
      <c r="AE34">
        <v>433.92899999999997</v>
      </c>
      <c r="AF34">
        <v>0.85</v>
      </c>
      <c r="AG34">
        <f>MarketPlace_Order_Report[[#This Row],[UnitPrice]]*MarketPlace_Order_Report[[#This Row],[OrderQty]]</f>
        <v>4050</v>
      </c>
      <c r="AH34">
        <f>IFERROR(MarketPlace_Order_Report[[#This Row],[CGSTAmount]]+MarketPlace_Order_Report[[#This Row],[SGSTAmount]]+MarketPlace_Order_Report[[#This Row],[IGSTAmount]],MarketPlace_Order_Report[[#This Row],[TaxAmount]])</f>
        <v>433.92899999999997</v>
      </c>
      <c r="AI34">
        <f>MarketPlace_Order_Report[[#This Row],[Gross Amount (Before Tax)]]+MarketPlace_Order_Report[[#This Row],[Total GST Amount]]</f>
        <v>4483.9290000000001</v>
      </c>
      <c r="AJ34" s="1" t="s">
        <v>217</v>
      </c>
    </row>
    <row r="35" spans="1:36">
      <c r="A35" s="1" t="s">
        <v>220</v>
      </c>
      <c r="B35" s="1" t="s">
        <v>222</v>
      </c>
      <c r="C35" s="1" t="s">
        <v>2475</v>
      </c>
      <c r="D35">
        <v>1</v>
      </c>
      <c r="E35">
        <v>1</v>
      </c>
      <c r="F35">
        <v>5000</v>
      </c>
      <c r="G35">
        <v>4500</v>
      </c>
      <c r="H35">
        <v>4549</v>
      </c>
      <c r="I35">
        <v>49</v>
      </c>
      <c r="J35" s="1" t="s">
        <v>72</v>
      </c>
      <c r="K35" s="2">
        <v>45929.517812500002</v>
      </c>
      <c r="L35" s="2">
        <v>45930.708483796298</v>
      </c>
      <c r="M35" s="2">
        <v>45941.569305555553</v>
      </c>
      <c r="N35" s="1" t="s">
        <v>61</v>
      </c>
      <c r="O35" s="1" t="s">
        <v>62</v>
      </c>
      <c r="P35" s="1" t="s">
        <v>61</v>
      </c>
      <c r="Q35" s="1" t="s">
        <v>61</v>
      </c>
      <c r="R35" s="2">
        <v>45941.570509259262</v>
      </c>
      <c r="S35" s="1" t="s">
        <v>223</v>
      </c>
      <c r="T35" s="1" t="s">
        <v>83</v>
      </c>
      <c r="U35">
        <v>804403</v>
      </c>
      <c r="V35" s="1" t="s">
        <v>66</v>
      </c>
      <c r="W35">
        <v>4500</v>
      </c>
      <c r="X35">
        <v>18</v>
      </c>
      <c r="Y35">
        <v>0</v>
      </c>
      <c r="Z35">
        <v>0</v>
      </c>
      <c r="AA35">
        <v>18</v>
      </c>
      <c r="AB35">
        <v>686.44100000000003</v>
      </c>
      <c r="AC35">
        <v>0</v>
      </c>
      <c r="AD35">
        <v>0</v>
      </c>
      <c r="AE35">
        <v>686.44100000000003</v>
      </c>
      <c r="AF35">
        <v>0.85</v>
      </c>
      <c r="AG35">
        <f>MarketPlace_Order_Report[[#This Row],[UnitPrice]]*MarketPlace_Order_Report[[#This Row],[OrderQty]]</f>
        <v>4500</v>
      </c>
      <c r="AH35">
        <f>IFERROR(MarketPlace_Order_Report[[#This Row],[CGSTAmount]]+MarketPlace_Order_Report[[#This Row],[SGSTAmount]]+MarketPlace_Order_Report[[#This Row],[IGSTAmount]],MarketPlace_Order_Report[[#This Row],[TaxAmount]])</f>
        <v>686.44100000000003</v>
      </c>
      <c r="AI35">
        <f>MarketPlace_Order_Report[[#This Row],[Gross Amount (Before Tax)]]+MarketPlace_Order_Report[[#This Row],[Total GST Amount]]</f>
        <v>5186.4409999999998</v>
      </c>
      <c r="AJ35" s="1" t="s">
        <v>221</v>
      </c>
    </row>
    <row r="36" spans="1:36">
      <c r="A36" s="1" t="s">
        <v>224</v>
      </c>
      <c r="B36" s="1" t="s">
        <v>226</v>
      </c>
      <c r="C36" s="1" t="s">
        <v>2475</v>
      </c>
      <c r="D36">
        <v>1</v>
      </c>
      <c r="E36">
        <v>1</v>
      </c>
      <c r="F36">
        <v>3750</v>
      </c>
      <c r="G36">
        <v>3000</v>
      </c>
      <c r="H36">
        <v>3049</v>
      </c>
      <c r="I36">
        <v>49</v>
      </c>
      <c r="J36" s="1" t="s">
        <v>72</v>
      </c>
      <c r="K36" s="2">
        <v>45914.851030092592</v>
      </c>
      <c r="L36" s="2">
        <v>45917.634189814817</v>
      </c>
      <c r="M36" s="2">
        <v>45921.724421296298</v>
      </c>
      <c r="N36" s="1" t="s">
        <v>61</v>
      </c>
      <c r="O36" s="1" t="s">
        <v>62</v>
      </c>
      <c r="P36" s="1" t="s">
        <v>61</v>
      </c>
      <c r="Q36" s="1" t="s">
        <v>61</v>
      </c>
      <c r="R36" s="2">
        <v>45921.726539351854</v>
      </c>
      <c r="S36" s="1" t="s">
        <v>182</v>
      </c>
      <c r="T36" s="1" t="s">
        <v>183</v>
      </c>
      <c r="U36">
        <v>110091</v>
      </c>
      <c r="V36" s="1" t="s">
        <v>66</v>
      </c>
      <c r="W36">
        <v>3000</v>
      </c>
      <c r="X36">
        <v>12</v>
      </c>
      <c r="Y36">
        <v>0</v>
      </c>
      <c r="Z36">
        <v>0</v>
      </c>
      <c r="AA36">
        <v>12</v>
      </c>
      <c r="AB36">
        <v>321.42899999999997</v>
      </c>
      <c r="AC36">
        <v>0</v>
      </c>
      <c r="AD36">
        <v>0</v>
      </c>
      <c r="AE36">
        <v>321.42899999999997</v>
      </c>
      <c r="AF36">
        <v>0.85</v>
      </c>
      <c r="AG36">
        <f>MarketPlace_Order_Report[[#This Row],[UnitPrice]]*MarketPlace_Order_Report[[#This Row],[OrderQty]]</f>
        <v>3000</v>
      </c>
      <c r="AH36">
        <f>IFERROR(MarketPlace_Order_Report[[#This Row],[CGSTAmount]]+MarketPlace_Order_Report[[#This Row],[SGSTAmount]]+MarketPlace_Order_Report[[#This Row],[IGSTAmount]],MarketPlace_Order_Report[[#This Row],[TaxAmount]])</f>
        <v>321.42899999999997</v>
      </c>
      <c r="AI36">
        <f>MarketPlace_Order_Report[[#This Row],[Gross Amount (Before Tax)]]+MarketPlace_Order_Report[[#This Row],[Total GST Amount]]</f>
        <v>3321.4290000000001</v>
      </c>
      <c r="AJ36" s="1" t="s">
        <v>225</v>
      </c>
    </row>
    <row r="37" spans="1:36" hidden="1">
      <c r="A37" s="1" t="s">
        <v>227</v>
      </c>
      <c r="B37" s="1" t="s">
        <v>229</v>
      </c>
      <c r="C37" s="1" t="s">
        <v>71</v>
      </c>
      <c r="D37">
        <v>1</v>
      </c>
      <c r="E37">
        <v>1</v>
      </c>
      <c r="F37">
        <v>3750</v>
      </c>
      <c r="G37">
        <v>3375</v>
      </c>
      <c r="H37">
        <v>3389.5</v>
      </c>
      <c r="I37">
        <v>14.5</v>
      </c>
      <c r="J37" s="1" t="s">
        <v>59</v>
      </c>
      <c r="K37" s="2">
        <v>45919.998090277775</v>
      </c>
      <c r="L37" s="2">
        <v>45920.699467592596</v>
      </c>
      <c r="M37" s="2">
        <v>45923.55704861111</v>
      </c>
      <c r="N37" s="1" t="s">
        <v>61</v>
      </c>
      <c r="O37" s="1" t="s">
        <v>62</v>
      </c>
      <c r="P37" s="1" t="s">
        <v>61</v>
      </c>
      <c r="Q37" s="1" t="s">
        <v>74</v>
      </c>
      <c r="R37" s="2">
        <v>45936.657256944447</v>
      </c>
      <c r="S37" s="1" t="s">
        <v>230</v>
      </c>
      <c r="T37" s="1" t="s">
        <v>231</v>
      </c>
      <c r="U37">
        <v>827004</v>
      </c>
      <c r="V37" s="1" t="s">
        <v>66</v>
      </c>
      <c r="W37">
        <v>3375</v>
      </c>
      <c r="X37">
        <v>12</v>
      </c>
      <c r="Y37">
        <v>0</v>
      </c>
      <c r="Z37">
        <v>0</v>
      </c>
      <c r="AA37">
        <v>12</v>
      </c>
      <c r="AB37">
        <v>361.60700000000003</v>
      </c>
      <c r="AC37">
        <v>0</v>
      </c>
      <c r="AD37">
        <v>0</v>
      </c>
      <c r="AE37">
        <v>361.60700000000003</v>
      </c>
      <c r="AF37">
        <v>1.2</v>
      </c>
      <c r="AG37">
        <f>MarketPlace_Order_Report[[#This Row],[UnitPrice]]*MarketPlace_Order_Report[[#This Row],[OrderQty]]</f>
        <v>3375</v>
      </c>
      <c r="AH37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AI37">
        <f>MarketPlace_Order_Report[[#This Row],[Gross Amount (Before Tax)]]+MarketPlace_Order_Report[[#This Row],[Total GST Amount]]</f>
        <v>3736.607</v>
      </c>
      <c r="AJ37" s="1" t="s">
        <v>228</v>
      </c>
    </row>
    <row r="38" spans="1:36" hidden="1">
      <c r="A38" s="1" t="s">
        <v>227</v>
      </c>
      <c r="B38" s="1" t="s">
        <v>232</v>
      </c>
      <c r="C38" s="1" t="s">
        <v>71</v>
      </c>
      <c r="D38">
        <v>1</v>
      </c>
      <c r="E38">
        <v>1</v>
      </c>
      <c r="F38">
        <v>3750</v>
      </c>
      <c r="G38">
        <v>3375</v>
      </c>
      <c r="H38">
        <v>3389.5</v>
      </c>
      <c r="I38">
        <v>14.5</v>
      </c>
      <c r="J38" s="1" t="s">
        <v>59</v>
      </c>
      <c r="K38" s="2">
        <v>45919.998090277775</v>
      </c>
      <c r="L38" s="2">
        <v>45920.699467592596</v>
      </c>
      <c r="M38" s="2">
        <v>45923.55704861111</v>
      </c>
      <c r="N38" s="1" t="s">
        <v>61</v>
      </c>
      <c r="O38" s="1" t="s">
        <v>62</v>
      </c>
      <c r="P38" s="1" t="s">
        <v>61</v>
      </c>
      <c r="Q38" s="1" t="s">
        <v>74</v>
      </c>
      <c r="R38" s="2">
        <v>45936.657256944447</v>
      </c>
      <c r="S38" s="1" t="s">
        <v>230</v>
      </c>
      <c r="T38" s="1" t="s">
        <v>231</v>
      </c>
      <c r="U38">
        <v>827004</v>
      </c>
      <c r="V38" s="1" t="s">
        <v>66</v>
      </c>
      <c r="W38">
        <v>3375</v>
      </c>
      <c r="X38">
        <v>12</v>
      </c>
      <c r="Y38">
        <v>0</v>
      </c>
      <c r="Z38">
        <v>0</v>
      </c>
      <c r="AA38">
        <v>12</v>
      </c>
      <c r="AB38">
        <v>361.60700000000003</v>
      </c>
      <c r="AC38">
        <v>0</v>
      </c>
      <c r="AD38">
        <v>0</v>
      </c>
      <c r="AE38">
        <v>361.60700000000003</v>
      </c>
      <c r="AF38">
        <v>1.2</v>
      </c>
      <c r="AG38">
        <f>MarketPlace_Order_Report[[#This Row],[UnitPrice]]*MarketPlace_Order_Report[[#This Row],[OrderQty]]</f>
        <v>3375</v>
      </c>
      <c r="AH38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AI38">
        <f>MarketPlace_Order_Report[[#This Row],[Gross Amount (Before Tax)]]+MarketPlace_Order_Report[[#This Row],[Total GST Amount]]</f>
        <v>3736.607</v>
      </c>
      <c r="AJ38" s="1" t="s">
        <v>228</v>
      </c>
    </row>
    <row r="39" spans="1:36">
      <c r="A39" s="1" t="s">
        <v>233</v>
      </c>
      <c r="B39" s="1" t="s">
        <v>232</v>
      </c>
      <c r="C39" s="1" t="s">
        <v>2475</v>
      </c>
      <c r="D39">
        <v>1</v>
      </c>
      <c r="E39">
        <v>1</v>
      </c>
      <c r="F39">
        <v>3750</v>
      </c>
      <c r="G39">
        <v>3000</v>
      </c>
      <c r="H39">
        <v>3029</v>
      </c>
      <c r="I39">
        <v>29</v>
      </c>
      <c r="J39" s="1" t="s">
        <v>59</v>
      </c>
      <c r="K39" s="2">
        <v>45907.447337962964</v>
      </c>
      <c r="L39" s="2">
        <v>45909.761446759258</v>
      </c>
      <c r="M39" s="2">
        <v>45911.437916666669</v>
      </c>
      <c r="N39" s="1" t="s">
        <v>61</v>
      </c>
      <c r="O39" s="1" t="s">
        <v>62</v>
      </c>
      <c r="P39" s="1" t="s">
        <v>61</v>
      </c>
      <c r="Q39" s="1" t="s">
        <v>61</v>
      </c>
      <c r="R39" s="2">
        <v>45911.441805555558</v>
      </c>
      <c r="S39" s="1" t="s">
        <v>235</v>
      </c>
      <c r="T39" s="1" t="s">
        <v>236</v>
      </c>
      <c r="U39">
        <v>530017</v>
      </c>
      <c r="V39" s="1" t="s">
        <v>66</v>
      </c>
      <c r="W39">
        <v>3000</v>
      </c>
      <c r="X39">
        <v>12</v>
      </c>
      <c r="Y39">
        <v>0</v>
      </c>
      <c r="Z39">
        <v>0</v>
      </c>
      <c r="AA39">
        <v>12</v>
      </c>
      <c r="AB39">
        <v>321.42899999999997</v>
      </c>
      <c r="AC39">
        <v>0</v>
      </c>
      <c r="AD39">
        <v>0</v>
      </c>
      <c r="AE39">
        <v>321.42899999999997</v>
      </c>
      <c r="AF39">
        <v>0.85</v>
      </c>
      <c r="AG39">
        <f>MarketPlace_Order_Report[[#This Row],[UnitPrice]]*MarketPlace_Order_Report[[#This Row],[OrderQty]]</f>
        <v>3000</v>
      </c>
      <c r="AH39">
        <f>IFERROR(MarketPlace_Order_Report[[#This Row],[CGSTAmount]]+MarketPlace_Order_Report[[#This Row],[SGSTAmount]]+MarketPlace_Order_Report[[#This Row],[IGSTAmount]],MarketPlace_Order_Report[[#This Row],[TaxAmount]])</f>
        <v>321.42899999999997</v>
      </c>
      <c r="AI39">
        <f>MarketPlace_Order_Report[[#This Row],[Gross Amount (Before Tax)]]+MarketPlace_Order_Report[[#This Row],[Total GST Amount]]</f>
        <v>3321.4290000000001</v>
      </c>
      <c r="AJ39" s="1" t="s">
        <v>234</v>
      </c>
    </row>
    <row r="40" spans="1:36" hidden="1">
      <c r="A40" s="1" t="s">
        <v>237</v>
      </c>
      <c r="B40" s="1" t="s">
        <v>239</v>
      </c>
      <c r="C40" s="1" t="s">
        <v>71</v>
      </c>
      <c r="D40">
        <v>1</v>
      </c>
      <c r="E40">
        <v>1</v>
      </c>
      <c r="F40">
        <v>3500</v>
      </c>
      <c r="G40">
        <v>2800</v>
      </c>
      <c r="H40">
        <v>2833.79</v>
      </c>
      <c r="I40">
        <v>33.79</v>
      </c>
      <c r="J40" s="1" t="s">
        <v>72</v>
      </c>
      <c r="K40" s="2">
        <v>45914.577499999999</v>
      </c>
      <c r="L40" s="2">
        <v>45915.688738425924</v>
      </c>
      <c r="M40" s="2">
        <v>45918.603032407409</v>
      </c>
      <c r="N40" s="1" t="s">
        <v>61</v>
      </c>
      <c r="O40" s="1" t="s">
        <v>62</v>
      </c>
      <c r="P40" s="1" t="s">
        <v>61</v>
      </c>
      <c r="Q40" s="1" t="s">
        <v>74</v>
      </c>
      <c r="R40" s="2">
        <v>45927.841203703705</v>
      </c>
      <c r="S40" s="1" t="s">
        <v>240</v>
      </c>
      <c r="T40" s="1" t="s">
        <v>77</v>
      </c>
      <c r="U40">
        <v>221010</v>
      </c>
      <c r="V40" s="1" t="s">
        <v>66</v>
      </c>
      <c r="W40">
        <v>2800</v>
      </c>
      <c r="X40">
        <v>12</v>
      </c>
      <c r="Y40">
        <v>0</v>
      </c>
      <c r="Z40">
        <v>0</v>
      </c>
      <c r="AA40">
        <v>12</v>
      </c>
      <c r="AB40">
        <v>300</v>
      </c>
      <c r="AC40">
        <v>0</v>
      </c>
      <c r="AD40">
        <v>0</v>
      </c>
      <c r="AE40">
        <v>300</v>
      </c>
      <c r="AF40">
        <v>0.85</v>
      </c>
      <c r="AG40">
        <f>MarketPlace_Order_Report[[#This Row],[UnitPrice]]*MarketPlace_Order_Report[[#This Row],[OrderQty]]</f>
        <v>2800</v>
      </c>
      <c r="AH40">
        <f>IFERROR(MarketPlace_Order_Report[[#This Row],[CGSTAmount]]+MarketPlace_Order_Report[[#This Row],[SGSTAmount]]+MarketPlace_Order_Report[[#This Row],[IGSTAmount]],MarketPlace_Order_Report[[#This Row],[TaxAmount]])</f>
        <v>300</v>
      </c>
      <c r="AI40">
        <f>MarketPlace_Order_Report[[#This Row],[Gross Amount (Before Tax)]]+MarketPlace_Order_Report[[#This Row],[Total GST Amount]]</f>
        <v>3100</v>
      </c>
      <c r="AJ40" s="1" t="s">
        <v>238</v>
      </c>
    </row>
    <row r="41" spans="1:36">
      <c r="A41" s="1" t="s">
        <v>241</v>
      </c>
      <c r="B41" s="1" t="s">
        <v>243</v>
      </c>
      <c r="C41" s="1" t="s">
        <v>2475</v>
      </c>
      <c r="D41">
        <v>2</v>
      </c>
      <c r="E41">
        <v>2</v>
      </c>
      <c r="F41">
        <v>3500</v>
      </c>
      <c r="G41">
        <v>2800</v>
      </c>
      <c r="H41">
        <v>5649</v>
      </c>
      <c r="I41">
        <v>49</v>
      </c>
      <c r="J41" s="1" t="s">
        <v>72</v>
      </c>
      <c r="K41" s="2">
        <v>45906.577708333331</v>
      </c>
      <c r="L41" s="2">
        <v>45908.729525462964</v>
      </c>
      <c r="M41" s="2">
        <v>45911.476053240738</v>
      </c>
      <c r="N41" s="1" t="s">
        <v>61</v>
      </c>
      <c r="O41" s="1" t="s">
        <v>62</v>
      </c>
      <c r="P41" s="1" t="s">
        <v>61</v>
      </c>
      <c r="Q41" s="1" t="s">
        <v>61</v>
      </c>
      <c r="R41" s="2">
        <v>45911.4765162037</v>
      </c>
      <c r="S41" s="1" t="s">
        <v>165</v>
      </c>
      <c r="T41" s="1" t="s">
        <v>77</v>
      </c>
      <c r="U41">
        <v>226010</v>
      </c>
      <c r="V41" s="1" t="s">
        <v>66</v>
      </c>
      <c r="W41">
        <v>2800</v>
      </c>
      <c r="X41">
        <v>12</v>
      </c>
      <c r="Y41">
        <v>0</v>
      </c>
      <c r="Z41">
        <v>0</v>
      </c>
      <c r="AA41">
        <v>12</v>
      </c>
      <c r="AB41">
        <v>600</v>
      </c>
      <c r="AC41">
        <v>0</v>
      </c>
      <c r="AD41">
        <v>0</v>
      </c>
      <c r="AE41">
        <v>600</v>
      </c>
      <c r="AF41">
        <v>1.2</v>
      </c>
      <c r="AG41">
        <f>MarketPlace_Order_Report[[#This Row],[UnitPrice]]*MarketPlace_Order_Report[[#This Row],[OrderQty]]</f>
        <v>5600</v>
      </c>
      <c r="AH41">
        <f>IFERROR(MarketPlace_Order_Report[[#This Row],[CGSTAmount]]+MarketPlace_Order_Report[[#This Row],[SGSTAmount]]+MarketPlace_Order_Report[[#This Row],[IGSTAmount]],MarketPlace_Order_Report[[#This Row],[TaxAmount]])</f>
        <v>600</v>
      </c>
      <c r="AI41">
        <f>MarketPlace_Order_Report[[#This Row],[Gross Amount (Before Tax)]]+MarketPlace_Order_Report[[#This Row],[Total GST Amount]]</f>
        <v>6200</v>
      </c>
      <c r="AJ41" s="1" t="s">
        <v>242</v>
      </c>
    </row>
    <row r="42" spans="1:36">
      <c r="A42" s="1" t="s">
        <v>244</v>
      </c>
      <c r="B42" s="1" t="s">
        <v>246</v>
      </c>
      <c r="C42" s="1" t="s">
        <v>2475</v>
      </c>
      <c r="D42">
        <v>1</v>
      </c>
      <c r="E42">
        <v>1</v>
      </c>
      <c r="F42">
        <v>3500</v>
      </c>
      <c r="G42">
        <v>2800</v>
      </c>
      <c r="H42">
        <v>2849</v>
      </c>
      <c r="I42">
        <v>49</v>
      </c>
      <c r="J42" s="1" t="s">
        <v>72</v>
      </c>
      <c r="K42" s="2">
        <v>45908.618113425924</v>
      </c>
      <c r="L42" s="2">
        <v>45909.761157407411</v>
      </c>
      <c r="M42" s="2">
        <v>45915.572476851848</v>
      </c>
      <c r="N42" s="1" t="s">
        <v>61</v>
      </c>
      <c r="O42" s="1" t="s">
        <v>62</v>
      </c>
      <c r="P42" s="1" t="s">
        <v>61</v>
      </c>
      <c r="Q42" s="1" t="s">
        <v>61</v>
      </c>
      <c r="R42" s="2">
        <v>45915.573449074072</v>
      </c>
      <c r="S42" s="1" t="s">
        <v>247</v>
      </c>
      <c r="T42" s="1" t="s">
        <v>83</v>
      </c>
      <c r="U42">
        <v>842002</v>
      </c>
      <c r="V42" s="1" t="s">
        <v>66</v>
      </c>
      <c r="W42">
        <v>2800</v>
      </c>
      <c r="X42">
        <v>12</v>
      </c>
      <c r="Y42">
        <v>0</v>
      </c>
      <c r="Z42">
        <v>0</v>
      </c>
      <c r="AA42">
        <v>12</v>
      </c>
      <c r="AB42">
        <v>300</v>
      </c>
      <c r="AC42">
        <v>0</v>
      </c>
      <c r="AD42">
        <v>0</v>
      </c>
      <c r="AE42">
        <v>300</v>
      </c>
      <c r="AF42">
        <v>0.85</v>
      </c>
      <c r="AG42">
        <f>MarketPlace_Order_Report[[#This Row],[UnitPrice]]*MarketPlace_Order_Report[[#This Row],[OrderQty]]</f>
        <v>2800</v>
      </c>
      <c r="AH42">
        <f>IFERROR(MarketPlace_Order_Report[[#This Row],[CGSTAmount]]+MarketPlace_Order_Report[[#This Row],[SGSTAmount]]+MarketPlace_Order_Report[[#This Row],[IGSTAmount]],MarketPlace_Order_Report[[#This Row],[TaxAmount]])</f>
        <v>300</v>
      </c>
      <c r="AI42">
        <f>MarketPlace_Order_Report[[#This Row],[Gross Amount (Before Tax)]]+MarketPlace_Order_Report[[#This Row],[Total GST Amount]]</f>
        <v>3100</v>
      </c>
      <c r="AJ42" s="1" t="s">
        <v>245</v>
      </c>
    </row>
    <row r="43" spans="1:36" hidden="1">
      <c r="A43" s="1" t="s">
        <v>248</v>
      </c>
      <c r="B43" s="1" t="s">
        <v>250</v>
      </c>
      <c r="C43" s="1" t="s">
        <v>71</v>
      </c>
      <c r="D43">
        <v>1</v>
      </c>
      <c r="E43">
        <v>1</v>
      </c>
      <c r="F43">
        <v>3750</v>
      </c>
      <c r="G43">
        <v>3375</v>
      </c>
      <c r="H43">
        <v>3395</v>
      </c>
      <c r="I43">
        <v>20</v>
      </c>
      <c r="J43" s="1" t="s">
        <v>72</v>
      </c>
      <c r="K43" s="2">
        <v>45927.782476851855</v>
      </c>
      <c r="L43" s="2">
        <v>45929.708587962959</v>
      </c>
      <c r="M43" s="2">
        <v>45932.536238425928</v>
      </c>
      <c r="N43" s="1" t="s">
        <v>61</v>
      </c>
      <c r="O43" s="1" t="s">
        <v>62</v>
      </c>
      <c r="P43" s="1" t="s">
        <v>61</v>
      </c>
      <c r="Q43" s="1" t="s">
        <v>74</v>
      </c>
      <c r="R43" s="2">
        <v>45945.86209490741</v>
      </c>
      <c r="S43" s="1" t="s">
        <v>251</v>
      </c>
      <c r="T43" s="1" t="s">
        <v>236</v>
      </c>
      <c r="U43">
        <v>517583</v>
      </c>
      <c r="V43" s="1" t="s">
        <v>66</v>
      </c>
      <c r="W43">
        <v>3375</v>
      </c>
      <c r="X43">
        <v>18</v>
      </c>
      <c r="Y43">
        <v>0</v>
      </c>
      <c r="Z43">
        <v>0</v>
      </c>
      <c r="AA43">
        <v>18</v>
      </c>
      <c r="AB43">
        <v>514.83100000000002</v>
      </c>
      <c r="AC43">
        <v>0</v>
      </c>
      <c r="AD43">
        <v>0</v>
      </c>
      <c r="AE43">
        <v>514.83100000000002</v>
      </c>
      <c r="AF43">
        <v>0.85</v>
      </c>
      <c r="AG43">
        <f>MarketPlace_Order_Report[[#This Row],[UnitPrice]]*MarketPlace_Order_Report[[#This Row],[OrderQty]]</f>
        <v>3375</v>
      </c>
      <c r="AH43">
        <f>IFERROR(MarketPlace_Order_Report[[#This Row],[CGSTAmount]]+MarketPlace_Order_Report[[#This Row],[SGSTAmount]]+MarketPlace_Order_Report[[#This Row],[IGSTAmount]],MarketPlace_Order_Report[[#This Row],[TaxAmount]])</f>
        <v>514.83100000000002</v>
      </c>
      <c r="AI43">
        <f>MarketPlace_Order_Report[[#This Row],[Gross Amount (Before Tax)]]+MarketPlace_Order_Report[[#This Row],[Total GST Amount]]</f>
        <v>3889.8310000000001</v>
      </c>
      <c r="AJ43" s="1" t="s">
        <v>249</v>
      </c>
    </row>
    <row r="44" spans="1:36">
      <c r="A44" s="1" t="s">
        <v>252</v>
      </c>
      <c r="B44" s="1" t="s">
        <v>250</v>
      </c>
      <c r="C44" s="1" t="s">
        <v>2475</v>
      </c>
      <c r="D44">
        <v>1</v>
      </c>
      <c r="E44">
        <v>1</v>
      </c>
      <c r="F44">
        <v>3750</v>
      </c>
      <c r="G44">
        <v>3375</v>
      </c>
      <c r="H44">
        <v>3390.26</v>
      </c>
      <c r="I44">
        <v>15.26</v>
      </c>
      <c r="J44" s="1" t="s">
        <v>59</v>
      </c>
      <c r="K44" s="2">
        <v>45917.855810185189</v>
      </c>
      <c r="L44" s="2">
        <v>45918.700185185182</v>
      </c>
      <c r="M44" s="2">
        <v>45921.396284722221</v>
      </c>
      <c r="N44" s="1" t="s">
        <v>61</v>
      </c>
      <c r="O44" s="1" t="s">
        <v>62</v>
      </c>
      <c r="P44" s="1" t="s">
        <v>61</v>
      </c>
      <c r="Q44" s="1" t="s">
        <v>61</v>
      </c>
      <c r="R44" s="2">
        <v>45921.396956018521</v>
      </c>
      <c r="S44" s="1" t="s">
        <v>254</v>
      </c>
      <c r="T44" s="1" t="s">
        <v>65</v>
      </c>
      <c r="U44">
        <v>571201</v>
      </c>
      <c r="V44" s="1" t="s">
        <v>66</v>
      </c>
      <c r="W44">
        <v>3375</v>
      </c>
      <c r="X44">
        <v>12</v>
      </c>
      <c r="Y44">
        <v>0</v>
      </c>
      <c r="Z44">
        <v>0</v>
      </c>
      <c r="AA44">
        <v>12</v>
      </c>
      <c r="AB44">
        <v>361.60700000000003</v>
      </c>
      <c r="AC44">
        <v>0</v>
      </c>
      <c r="AD44">
        <v>0</v>
      </c>
      <c r="AE44">
        <v>361.60700000000003</v>
      </c>
      <c r="AF44">
        <v>0.85</v>
      </c>
      <c r="AG44">
        <f>MarketPlace_Order_Report[[#This Row],[UnitPrice]]*MarketPlace_Order_Report[[#This Row],[OrderQty]]</f>
        <v>3375</v>
      </c>
      <c r="AH44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AI44">
        <f>MarketPlace_Order_Report[[#This Row],[Gross Amount (Before Tax)]]+MarketPlace_Order_Report[[#This Row],[Total GST Amount]]</f>
        <v>3736.607</v>
      </c>
      <c r="AJ44" s="1" t="s">
        <v>253</v>
      </c>
    </row>
    <row r="45" spans="1:36" hidden="1">
      <c r="A45" s="1" t="s">
        <v>255</v>
      </c>
      <c r="B45" s="1" t="s">
        <v>257</v>
      </c>
      <c r="C45" s="1" t="s">
        <v>71</v>
      </c>
      <c r="D45">
        <v>1</v>
      </c>
      <c r="E45">
        <v>1</v>
      </c>
      <c r="F45">
        <v>3500</v>
      </c>
      <c r="G45">
        <v>2800</v>
      </c>
      <c r="H45">
        <v>2829</v>
      </c>
      <c r="I45">
        <v>29</v>
      </c>
      <c r="J45" s="1" t="s">
        <v>59</v>
      </c>
      <c r="K45" s="2">
        <v>45927.787569444445</v>
      </c>
      <c r="L45" s="2">
        <v>45929.708460648151</v>
      </c>
      <c r="M45" s="2">
        <v>45936.548171296294</v>
      </c>
      <c r="N45" s="1" t="s">
        <v>61</v>
      </c>
      <c r="O45" s="1" t="s">
        <v>62</v>
      </c>
      <c r="P45" s="1" t="s">
        <v>61</v>
      </c>
      <c r="Q45" s="1" t="s">
        <v>74</v>
      </c>
      <c r="R45" s="2">
        <v>45954.629421296297</v>
      </c>
      <c r="S45" s="1" t="s">
        <v>258</v>
      </c>
      <c r="T45" s="1" t="s">
        <v>236</v>
      </c>
      <c r="U45">
        <v>515201</v>
      </c>
      <c r="V45" s="1" t="s">
        <v>66</v>
      </c>
      <c r="W45">
        <v>2800</v>
      </c>
      <c r="X45">
        <v>18</v>
      </c>
      <c r="Y45">
        <v>0</v>
      </c>
      <c r="Z45">
        <v>0</v>
      </c>
      <c r="AA45">
        <v>18</v>
      </c>
      <c r="AB45">
        <v>427.11900000000003</v>
      </c>
      <c r="AC45">
        <v>0</v>
      </c>
      <c r="AD45">
        <v>0</v>
      </c>
      <c r="AE45">
        <v>427.11900000000003</v>
      </c>
      <c r="AF45">
        <v>0.85</v>
      </c>
      <c r="AG45">
        <f>MarketPlace_Order_Report[[#This Row],[UnitPrice]]*MarketPlace_Order_Report[[#This Row],[OrderQty]]</f>
        <v>2800</v>
      </c>
      <c r="AH45">
        <f>IFERROR(MarketPlace_Order_Report[[#This Row],[CGSTAmount]]+MarketPlace_Order_Report[[#This Row],[SGSTAmount]]+MarketPlace_Order_Report[[#This Row],[IGSTAmount]],MarketPlace_Order_Report[[#This Row],[TaxAmount]])</f>
        <v>427.11900000000003</v>
      </c>
      <c r="AI45">
        <f>MarketPlace_Order_Report[[#This Row],[Gross Amount (Before Tax)]]+MarketPlace_Order_Report[[#This Row],[Total GST Amount]]</f>
        <v>3227.1190000000001</v>
      </c>
      <c r="AJ45" s="1" t="s">
        <v>256</v>
      </c>
    </row>
    <row r="46" spans="1:36">
      <c r="A46" s="1" t="s">
        <v>259</v>
      </c>
      <c r="B46" s="1" t="s">
        <v>261</v>
      </c>
      <c r="C46" s="1" t="s">
        <v>2475</v>
      </c>
      <c r="D46">
        <v>1</v>
      </c>
      <c r="E46">
        <v>1</v>
      </c>
      <c r="F46">
        <v>3500</v>
      </c>
      <c r="G46">
        <v>2800</v>
      </c>
      <c r="H46">
        <v>2809.41</v>
      </c>
      <c r="I46">
        <v>9.41</v>
      </c>
      <c r="J46" s="1" t="s">
        <v>72</v>
      </c>
      <c r="K46" s="2">
        <v>45906.850648148145</v>
      </c>
      <c r="L46" s="2">
        <v>45909.76121527778</v>
      </c>
      <c r="M46" s="2">
        <v>45913.680937500001</v>
      </c>
      <c r="N46" s="1" t="s">
        <v>61</v>
      </c>
      <c r="O46" s="1" t="s">
        <v>62</v>
      </c>
      <c r="P46" s="1" t="s">
        <v>61</v>
      </c>
      <c r="Q46" s="1" t="s">
        <v>61</v>
      </c>
      <c r="R46" s="2">
        <v>45913.681388888886</v>
      </c>
      <c r="S46" s="1" t="s">
        <v>262</v>
      </c>
      <c r="T46" s="1" t="s">
        <v>77</v>
      </c>
      <c r="U46">
        <v>277001</v>
      </c>
      <c r="V46" s="1" t="s">
        <v>66</v>
      </c>
      <c r="W46">
        <v>2800</v>
      </c>
      <c r="X46">
        <v>12</v>
      </c>
      <c r="Y46">
        <v>0</v>
      </c>
      <c r="Z46">
        <v>0</v>
      </c>
      <c r="AA46">
        <v>12</v>
      </c>
      <c r="AB46">
        <v>300</v>
      </c>
      <c r="AC46">
        <v>0</v>
      </c>
      <c r="AD46">
        <v>0</v>
      </c>
      <c r="AE46">
        <v>300</v>
      </c>
      <c r="AF46">
        <v>0.85</v>
      </c>
      <c r="AG46">
        <f>MarketPlace_Order_Report[[#This Row],[UnitPrice]]*MarketPlace_Order_Report[[#This Row],[OrderQty]]</f>
        <v>2800</v>
      </c>
      <c r="AH46">
        <f>IFERROR(MarketPlace_Order_Report[[#This Row],[CGSTAmount]]+MarketPlace_Order_Report[[#This Row],[SGSTAmount]]+MarketPlace_Order_Report[[#This Row],[IGSTAmount]],MarketPlace_Order_Report[[#This Row],[TaxAmount]])</f>
        <v>300</v>
      </c>
      <c r="AI46">
        <f>MarketPlace_Order_Report[[#This Row],[Gross Amount (Before Tax)]]+MarketPlace_Order_Report[[#This Row],[Total GST Amount]]</f>
        <v>3100</v>
      </c>
      <c r="AJ46" s="1" t="s">
        <v>260</v>
      </c>
    </row>
    <row r="47" spans="1:36" hidden="1">
      <c r="A47" s="1" t="s">
        <v>263</v>
      </c>
      <c r="B47" s="1" t="s">
        <v>265</v>
      </c>
      <c r="C47" s="1" t="s">
        <v>71</v>
      </c>
      <c r="D47">
        <v>1</v>
      </c>
      <c r="E47">
        <v>1</v>
      </c>
      <c r="F47">
        <v>1750</v>
      </c>
      <c r="G47">
        <v>1400</v>
      </c>
      <c r="H47">
        <v>1405.49</v>
      </c>
      <c r="I47">
        <v>5.49</v>
      </c>
      <c r="J47" s="1" t="s">
        <v>59</v>
      </c>
      <c r="K47" s="2">
        <v>45913.525381944448</v>
      </c>
      <c r="L47" s="2">
        <v>45917.634189814817</v>
      </c>
      <c r="M47" s="2">
        <v>45922.632870370369</v>
      </c>
      <c r="N47" s="1" t="s">
        <v>61</v>
      </c>
      <c r="O47" s="1" t="s">
        <v>62</v>
      </c>
      <c r="P47" s="1" t="s">
        <v>61</v>
      </c>
      <c r="Q47" s="1" t="s">
        <v>74</v>
      </c>
      <c r="R47" s="2">
        <v>45927.841203703705</v>
      </c>
      <c r="S47" s="1" t="s">
        <v>266</v>
      </c>
      <c r="T47" s="1" t="s">
        <v>65</v>
      </c>
      <c r="U47">
        <v>562125</v>
      </c>
      <c r="V47" s="1" t="s">
        <v>66</v>
      </c>
      <c r="W47">
        <v>1400</v>
      </c>
      <c r="X47">
        <v>12</v>
      </c>
      <c r="Y47">
        <v>0</v>
      </c>
      <c r="Z47">
        <v>0</v>
      </c>
      <c r="AA47">
        <v>12</v>
      </c>
      <c r="AB47">
        <v>150</v>
      </c>
      <c r="AC47">
        <v>0</v>
      </c>
      <c r="AD47">
        <v>0</v>
      </c>
      <c r="AE47">
        <v>150</v>
      </c>
      <c r="AF47">
        <v>0.75</v>
      </c>
      <c r="AG47">
        <f>MarketPlace_Order_Report[[#This Row],[UnitPrice]]*MarketPlace_Order_Report[[#This Row],[OrderQty]]</f>
        <v>1400</v>
      </c>
      <c r="AH47">
        <f>IFERROR(MarketPlace_Order_Report[[#This Row],[CGSTAmount]]+MarketPlace_Order_Report[[#This Row],[SGSTAmount]]+MarketPlace_Order_Report[[#This Row],[IGSTAmount]],MarketPlace_Order_Report[[#This Row],[TaxAmount]])</f>
        <v>150</v>
      </c>
      <c r="AI47">
        <f>MarketPlace_Order_Report[[#This Row],[Gross Amount (Before Tax)]]+MarketPlace_Order_Report[[#This Row],[Total GST Amount]]</f>
        <v>1550</v>
      </c>
      <c r="AJ47" s="1" t="s">
        <v>264</v>
      </c>
    </row>
    <row r="48" spans="1:36" hidden="1">
      <c r="A48" s="1" t="s">
        <v>267</v>
      </c>
      <c r="B48" s="1" t="s">
        <v>269</v>
      </c>
      <c r="C48" s="1" t="s">
        <v>71</v>
      </c>
      <c r="D48">
        <v>1</v>
      </c>
      <c r="E48">
        <v>1</v>
      </c>
      <c r="F48">
        <v>1750</v>
      </c>
      <c r="G48">
        <v>1400</v>
      </c>
      <c r="H48">
        <v>1404.81</v>
      </c>
      <c r="I48">
        <v>4.8099999999999996</v>
      </c>
      <c r="J48" s="1" t="s">
        <v>59</v>
      </c>
      <c r="K48" s="2">
        <v>45922.856747685182</v>
      </c>
      <c r="L48" s="2">
        <v>45924.625416666669</v>
      </c>
      <c r="M48" s="2">
        <v>45929.706238425926</v>
      </c>
      <c r="N48" s="1" t="s">
        <v>61</v>
      </c>
      <c r="O48" s="1" t="s">
        <v>62</v>
      </c>
      <c r="P48" s="1" t="s">
        <v>61</v>
      </c>
      <c r="Q48" s="1" t="s">
        <v>74</v>
      </c>
      <c r="R48" s="2">
        <v>45937.899953703702</v>
      </c>
      <c r="S48" s="1" t="s">
        <v>266</v>
      </c>
      <c r="T48" s="1" t="s">
        <v>65</v>
      </c>
      <c r="U48">
        <v>562125</v>
      </c>
      <c r="V48" s="1" t="s">
        <v>66</v>
      </c>
      <c r="W48">
        <v>1400</v>
      </c>
      <c r="X48">
        <v>5</v>
      </c>
      <c r="Y48">
        <v>0</v>
      </c>
      <c r="Z48">
        <v>0</v>
      </c>
      <c r="AA48">
        <v>5</v>
      </c>
      <c r="AB48">
        <v>66.667000000000002</v>
      </c>
      <c r="AC48">
        <v>0</v>
      </c>
      <c r="AD48">
        <v>0</v>
      </c>
      <c r="AE48">
        <v>66.667000000000002</v>
      </c>
      <c r="AF48">
        <v>0.75</v>
      </c>
      <c r="AG48">
        <f>MarketPlace_Order_Report[[#This Row],[UnitPrice]]*MarketPlace_Order_Report[[#This Row],[OrderQty]]</f>
        <v>1400</v>
      </c>
      <c r="AH48">
        <f>IFERROR(MarketPlace_Order_Report[[#This Row],[CGSTAmount]]+MarketPlace_Order_Report[[#This Row],[SGSTAmount]]+MarketPlace_Order_Report[[#This Row],[IGSTAmount]],MarketPlace_Order_Report[[#This Row],[TaxAmount]])</f>
        <v>66.667000000000002</v>
      </c>
      <c r="AI48">
        <f>MarketPlace_Order_Report[[#This Row],[Gross Amount (Before Tax)]]+MarketPlace_Order_Report[[#This Row],[Total GST Amount]]</f>
        <v>1466.6669999999999</v>
      </c>
      <c r="AJ48" s="1" t="s">
        <v>268</v>
      </c>
    </row>
    <row r="49" spans="1:36" hidden="1">
      <c r="A49" s="1" t="s">
        <v>270</v>
      </c>
      <c r="B49" s="1" t="s">
        <v>272</v>
      </c>
      <c r="C49" s="1" t="s">
        <v>187</v>
      </c>
      <c r="D49">
        <v>1</v>
      </c>
      <c r="E49">
        <v>0</v>
      </c>
      <c r="F49">
        <v>4500</v>
      </c>
      <c r="G49">
        <v>3600</v>
      </c>
      <c r="H49">
        <v>3649</v>
      </c>
      <c r="I49">
        <v>49</v>
      </c>
      <c r="J49" s="1" t="s">
        <v>72</v>
      </c>
      <c r="K49" s="2">
        <v>45912.949259259258</v>
      </c>
      <c r="L49" s="2"/>
      <c r="M49" s="2"/>
      <c r="N49" s="1" t="s">
        <v>273</v>
      </c>
      <c r="O49" s="1" t="s">
        <v>62</v>
      </c>
      <c r="P49" s="1" t="s">
        <v>61</v>
      </c>
      <c r="Q49" s="1" t="s">
        <v>61</v>
      </c>
      <c r="R49" s="2">
        <v>45912.949942129628</v>
      </c>
      <c r="S49" s="1" t="s">
        <v>274</v>
      </c>
      <c r="T49" s="1" t="s">
        <v>275</v>
      </c>
      <c r="U49">
        <v>742123</v>
      </c>
      <c r="V49" s="1" t="s">
        <v>66</v>
      </c>
      <c r="W49">
        <v>3600</v>
      </c>
      <c r="X49">
        <v>12</v>
      </c>
      <c r="Y49">
        <v>0</v>
      </c>
      <c r="Z49">
        <v>0</v>
      </c>
      <c r="AA49">
        <v>12</v>
      </c>
      <c r="AB49">
        <v>385.714</v>
      </c>
      <c r="AC49">
        <v>0</v>
      </c>
      <c r="AD49">
        <v>0</v>
      </c>
      <c r="AE49">
        <v>385.714</v>
      </c>
      <c r="AG49">
        <f>MarketPlace_Order_Report[[#This Row],[UnitPrice]]*MarketPlace_Order_Report[[#This Row],[OrderQty]]</f>
        <v>3600</v>
      </c>
      <c r="AH49">
        <f>IFERROR(MarketPlace_Order_Report[[#This Row],[CGSTAmount]]+MarketPlace_Order_Report[[#This Row],[SGSTAmount]]+MarketPlace_Order_Report[[#This Row],[IGSTAmount]],MarketPlace_Order_Report[[#This Row],[TaxAmount]])</f>
        <v>385.714</v>
      </c>
      <c r="AI49">
        <f>MarketPlace_Order_Report[[#This Row],[Gross Amount (Before Tax)]]+MarketPlace_Order_Report[[#This Row],[Total GST Amount]]</f>
        <v>3985.7139999999999</v>
      </c>
      <c r="AJ49" s="1" t="s">
        <v>271</v>
      </c>
    </row>
    <row r="50" spans="1:36">
      <c r="A50" s="1" t="s">
        <v>276</v>
      </c>
      <c r="B50" s="1" t="s">
        <v>279</v>
      </c>
      <c r="C50" s="1" t="s">
        <v>2475</v>
      </c>
      <c r="D50">
        <v>1</v>
      </c>
      <c r="E50">
        <v>1</v>
      </c>
      <c r="F50">
        <v>4500</v>
      </c>
      <c r="G50">
        <v>3600</v>
      </c>
      <c r="H50">
        <v>3649</v>
      </c>
      <c r="I50">
        <v>49</v>
      </c>
      <c r="J50" s="1" t="s">
        <v>72</v>
      </c>
      <c r="K50" s="2">
        <v>45917.014907407407</v>
      </c>
      <c r="L50" s="2">
        <v>45918.646527777775</v>
      </c>
      <c r="M50" s="2">
        <v>45920.658333333333</v>
      </c>
      <c r="N50" s="1" t="s">
        <v>61</v>
      </c>
      <c r="O50" s="1" t="s">
        <v>62</v>
      </c>
      <c r="P50" s="1" t="s">
        <v>61</v>
      </c>
      <c r="Q50" s="1" t="s">
        <v>61</v>
      </c>
      <c r="R50" s="2">
        <v>45920.667534722219</v>
      </c>
      <c r="S50" s="1" t="s">
        <v>108</v>
      </c>
      <c r="T50" s="1" t="s">
        <v>109</v>
      </c>
      <c r="U50">
        <v>500064</v>
      </c>
      <c r="V50" s="1" t="s">
        <v>66</v>
      </c>
      <c r="W50">
        <v>3600</v>
      </c>
      <c r="X50">
        <v>12</v>
      </c>
      <c r="Y50">
        <v>0</v>
      </c>
      <c r="Z50">
        <v>0</v>
      </c>
      <c r="AA50">
        <v>12</v>
      </c>
      <c r="AB50">
        <v>385.714</v>
      </c>
      <c r="AC50">
        <v>0</v>
      </c>
      <c r="AD50">
        <v>0</v>
      </c>
      <c r="AE50">
        <v>385.714</v>
      </c>
      <c r="AF50">
        <v>0.85</v>
      </c>
      <c r="AG50">
        <f>MarketPlace_Order_Report[[#This Row],[UnitPrice]]*MarketPlace_Order_Report[[#This Row],[OrderQty]]</f>
        <v>3600</v>
      </c>
      <c r="AH50">
        <f>IFERROR(MarketPlace_Order_Report[[#This Row],[CGSTAmount]]+MarketPlace_Order_Report[[#This Row],[SGSTAmount]]+MarketPlace_Order_Report[[#This Row],[IGSTAmount]],MarketPlace_Order_Report[[#This Row],[TaxAmount]])</f>
        <v>385.714</v>
      </c>
      <c r="AI50">
        <f>MarketPlace_Order_Report[[#This Row],[Gross Amount (Before Tax)]]+MarketPlace_Order_Report[[#This Row],[Total GST Amount]]</f>
        <v>3985.7139999999999</v>
      </c>
      <c r="AJ50" s="1" t="s">
        <v>277</v>
      </c>
    </row>
    <row r="51" spans="1:36" hidden="1">
      <c r="A51" s="1" t="s">
        <v>280</v>
      </c>
      <c r="B51" s="1" t="s">
        <v>279</v>
      </c>
      <c r="C51" s="1" t="s">
        <v>71</v>
      </c>
      <c r="D51">
        <v>1</v>
      </c>
      <c r="E51">
        <v>1</v>
      </c>
      <c r="F51">
        <v>4500</v>
      </c>
      <c r="G51">
        <v>3600</v>
      </c>
      <c r="H51">
        <v>3649</v>
      </c>
      <c r="I51">
        <v>49</v>
      </c>
      <c r="J51" s="1" t="s">
        <v>72</v>
      </c>
      <c r="K51" s="2">
        <v>45913.008888888886</v>
      </c>
      <c r="L51" s="2">
        <v>45915.6877662037</v>
      </c>
      <c r="M51" s="2">
        <v>45919.566550925927</v>
      </c>
      <c r="N51" s="1" t="s">
        <v>61</v>
      </c>
      <c r="O51" s="1" t="s">
        <v>62</v>
      </c>
      <c r="P51" s="1" t="s">
        <v>61</v>
      </c>
      <c r="Q51" s="1" t="s">
        <v>74</v>
      </c>
      <c r="R51" s="2">
        <v>45933.639861111114</v>
      </c>
      <c r="S51" s="1" t="s">
        <v>274</v>
      </c>
      <c r="T51" s="1" t="s">
        <v>275</v>
      </c>
      <c r="U51">
        <v>742123</v>
      </c>
      <c r="V51" s="1" t="s">
        <v>66</v>
      </c>
      <c r="W51">
        <v>3600</v>
      </c>
      <c r="X51">
        <v>12</v>
      </c>
      <c r="Y51">
        <v>0</v>
      </c>
      <c r="Z51">
        <v>0</v>
      </c>
      <c r="AA51">
        <v>12</v>
      </c>
      <c r="AB51">
        <v>385.714</v>
      </c>
      <c r="AC51">
        <v>0</v>
      </c>
      <c r="AD51">
        <v>0</v>
      </c>
      <c r="AE51">
        <v>385.714</v>
      </c>
      <c r="AF51">
        <v>0.85</v>
      </c>
      <c r="AG51">
        <f>MarketPlace_Order_Report[[#This Row],[UnitPrice]]*MarketPlace_Order_Report[[#This Row],[OrderQty]]</f>
        <v>3600</v>
      </c>
      <c r="AH51">
        <f>IFERROR(MarketPlace_Order_Report[[#This Row],[CGSTAmount]]+MarketPlace_Order_Report[[#This Row],[SGSTAmount]]+MarketPlace_Order_Report[[#This Row],[IGSTAmount]],MarketPlace_Order_Report[[#This Row],[TaxAmount]])</f>
        <v>385.714</v>
      </c>
      <c r="AI51">
        <f>MarketPlace_Order_Report[[#This Row],[Gross Amount (Before Tax)]]+MarketPlace_Order_Report[[#This Row],[Total GST Amount]]</f>
        <v>3985.7139999999999</v>
      </c>
      <c r="AJ51" s="1" t="s">
        <v>281</v>
      </c>
    </row>
    <row r="52" spans="1:36">
      <c r="A52" s="1" t="s">
        <v>282</v>
      </c>
      <c r="B52" s="1" t="s">
        <v>284</v>
      </c>
      <c r="C52" s="1" t="s">
        <v>2475</v>
      </c>
      <c r="D52">
        <v>1</v>
      </c>
      <c r="E52">
        <v>1</v>
      </c>
      <c r="F52">
        <v>4500</v>
      </c>
      <c r="G52">
        <v>3600</v>
      </c>
      <c r="H52">
        <v>3649</v>
      </c>
      <c r="I52">
        <v>49</v>
      </c>
      <c r="J52" s="1" t="s">
        <v>72</v>
      </c>
      <c r="K52" s="2">
        <v>45913.325590277775</v>
      </c>
      <c r="L52" s="2">
        <v>45917.634189814817</v>
      </c>
      <c r="M52" s="2">
        <v>45920.784872685188</v>
      </c>
      <c r="N52" s="1" t="s">
        <v>61</v>
      </c>
      <c r="O52" s="1" t="s">
        <v>62</v>
      </c>
      <c r="P52" s="1" t="s">
        <v>61</v>
      </c>
      <c r="Q52" s="1" t="s">
        <v>61</v>
      </c>
      <c r="R52" s="2">
        <v>45920.785567129627</v>
      </c>
      <c r="S52" s="1" t="s">
        <v>197</v>
      </c>
      <c r="T52" s="1" t="s">
        <v>65</v>
      </c>
      <c r="U52">
        <v>560087</v>
      </c>
      <c r="V52" s="1" t="s">
        <v>66</v>
      </c>
      <c r="W52">
        <v>3600</v>
      </c>
      <c r="X52">
        <v>12</v>
      </c>
      <c r="Y52">
        <v>0</v>
      </c>
      <c r="Z52">
        <v>0</v>
      </c>
      <c r="AA52">
        <v>12</v>
      </c>
      <c r="AB52">
        <v>385.714</v>
      </c>
      <c r="AC52">
        <v>0</v>
      </c>
      <c r="AD52">
        <v>0</v>
      </c>
      <c r="AE52">
        <v>385.714</v>
      </c>
      <c r="AF52">
        <v>0.85</v>
      </c>
      <c r="AG52">
        <f>MarketPlace_Order_Report[[#This Row],[UnitPrice]]*MarketPlace_Order_Report[[#This Row],[OrderQty]]</f>
        <v>3600</v>
      </c>
      <c r="AH52">
        <f>IFERROR(MarketPlace_Order_Report[[#This Row],[CGSTAmount]]+MarketPlace_Order_Report[[#This Row],[SGSTAmount]]+MarketPlace_Order_Report[[#This Row],[IGSTAmount]],MarketPlace_Order_Report[[#This Row],[TaxAmount]])</f>
        <v>385.714</v>
      </c>
      <c r="AI52">
        <f>MarketPlace_Order_Report[[#This Row],[Gross Amount (Before Tax)]]+MarketPlace_Order_Report[[#This Row],[Total GST Amount]]</f>
        <v>3985.7139999999999</v>
      </c>
      <c r="AJ52" s="1" t="s">
        <v>283</v>
      </c>
    </row>
    <row r="53" spans="1:36" hidden="1">
      <c r="A53" s="1" t="s">
        <v>285</v>
      </c>
      <c r="B53" s="1" t="s">
        <v>287</v>
      </c>
      <c r="C53" s="1" t="s">
        <v>71</v>
      </c>
      <c r="D53">
        <v>1</v>
      </c>
      <c r="E53">
        <v>1</v>
      </c>
      <c r="F53">
        <v>4500</v>
      </c>
      <c r="G53">
        <v>4050</v>
      </c>
      <c r="H53">
        <v>4099</v>
      </c>
      <c r="I53">
        <v>49</v>
      </c>
      <c r="J53" s="1" t="s">
        <v>72</v>
      </c>
      <c r="K53" s="2">
        <v>45929.88140046296</v>
      </c>
      <c r="L53" s="2">
        <v>45931.638194444444</v>
      </c>
      <c r="M53" s="2">
        <v>45936.43378472222</v>
      </c>
      <c r="N53" s="1" t="s">
        <v>61</v>
      </c>
      <c r="O53" s="1" t="s">
        <v>62</v>
      </c>
      <c r="P53" s="1" t="s">
        <v>61</v>
      </c>
      <c r="Q53" s="1" t="s">
        <v>74</v>
      </c>
      <c r="R53" s="2">
        <v>45943.865613425929</v>
      </c>
      <c r="S53" s="1" t="s">
        <v>183</v>
      </c>
      <c r="T53" s="1" t="s">
        <v>183</v>
      </c>
      <c r="U53">
        <v>110051</v>
      </c>
      <c r="V53" s="1" t="s">
        <v>66</v>
      </c>
      <c r="W53">
        <v>4050</v>
      </c>
      <c r="X53">
        <v>18</v>
      </c>
      <c r="Y53">
        <v>0</v>
      </c>
      <c r="Z53">
        <v>0</v>
      </c>
      <c r="AA53">
        <v>18</v>
      </c>
      <c r="AB53">
        <v>617.79700000000003</v>
      </c>
      <c r="AC53">
        <v>0</v>
      </c>
      <c r="AD53">
        <v>0</v>
      </c>
      <c r="AE53">
        <v>617.79700000000003</v>
      </c>
      <c r="AF53">
        <v>0.85</v>
      </c>
      <c r="AG53">
        <f>MarketPlace_Order_Report[[#This Row],[UnitPrice]]*MarketPlace_Order_Report[[#This Row],[OrderQty]]</f>
        <v>4050</v>
      </c>
      <c r="AH53">
        <f>IFERROR(MarketPlace_Order_Report[[#This Row],[CGSTAmount]]+MarketPlace_Order_Report[[#This Row],[SGSTAmount]]+MarketPlace_Order_Report[[#This Row],[IGSTAmount]],MarketPlace_Order_Report[[#This Row],[TaxAmount]])</f>
        <v>617.79700000000003</v>
      </c>
      <c r="AI53">
        <f>MarketPlace_Order_Report[[#This Row],[Gross Amount (Before Tax)]]+MarketPlace_Order_Report[[#This Row],[Total GST Amount]]</f>
        <v>4667.7970000000005</v>
      </c>
      <c r="AJ53" s="1" t="s">
        <v>286</v>
      </c>
    </row>
    <row r="54" spans="1:36">
      <c r="A54" s="1" t="s">
        <v>288</v>
      </c>
      <c r="B54" s="1" t="s">
        <v>287</v>
      </c>
      <c r="C54" s="1" t="s">
        <v>2475</v>
      </c>
      <c r="D54">
        <v>1</v>
      </c>
      <c r="E54">
        <v>1</v>
      </c>
      <c r="F54">
        <v>4500</v>
      </c>
      <c r="G54">
        <v>3600</v>
      </c>
      <c r="H54">
        <v>3649</v>
      </c>
      <c r="I54">
        <v>49</v>
      </c>
      <c r="J54" s="1" t="s">
        <v>72</v>
      </c>
      <c r="K54" s="2">
        <v>45915.007407407407</v>
      </c>
      <c r="L54" s="2">
        <v>45915.688657407409</v>
      </c>
      <c r="M54" s="2">
        <v>45918.58556712963</v>
      </c>
      <c r="N54" s="1" t="s">
        <v>61</v>
      </c>
      <c r="O54" s="1" t="s">
        <v>62</v>
      </c>
      <c r="P54" s="1" t="s">
        <v>61</v>
      </c>
      <c r="Q54" s="1" t="s">
        <v>61</v>
      </c>
      <c r="R54" s="2">
        <v>45918.587835648148</v>
      </c>
      <c r="S54" s="1" t="s">
        <v>290</v>
      </c>
      <c r="T54" s="1" t="s">
        <v>65</v>
      </c>
      <c r="U54">
        <v>563115</v>
      </c>
      <c r="V54" s="1" t="s">
        <v>66</v>
      </c>
      <c r="W54">
        <v>3600</v>
      </c>
      <c r="X54">
        <v>12</v>
      </c>
      <c r="Y54">
        <v>0</v>
      </c>
      <c r="Z54">
        <v>0</v>
      </c>
      <c r="AA54">
        <v>12</v>
      </c>
      <c r="AB54">
        <v>385.714</v>
      </c>
      <c r="AC54">
        <v>0</v>
      </c>
      <c r="AD54">
        <v>0</v>
      </c>
      <c r="AE54">
        <v>385.714</v>
      </c>
      <c r="AF54">
        <v>0.85</v>
      </c>
      <c r="AG54">
        <f>MarketPlace_Order_Report[[#This Row],[UnitPrice]]*MarketPlace_Order_Report[[#This Row],[OrderQty]]</f>
        <v>3600</v>
      </c>
      <c r="AH54">
        <f>IFERROR(MarketPlace_Order_Report[[#This Row],[CGSTAmount]]+MarketPlace_Order_Report[[#This Row],[SGSTAmount]]+MarketPlace_Order_Report[[#This Row],[IGSTAmount]],MarketPlace_Order_Report[[#This Row],[TaxAmount]])</f>
        <v>385.714</v>
      </c>
      <c r="AI54">
        <f>MarketPlace_Order_Report[[#This Row],[Gross Amount (Before Tax)]]+MarketPlace_Order_Report[[#This Row],[Total GST Amount]]</f>
        <v>3985.7139999999999</v>
      </c>
      <c r="AJ54" s="1" t="s">
        <v>289</v>
      </c>
    </row>
    <row r="55" spans="1:36" hidden="1">
      <c r="A55" s="1" t="s">
        <v>291</v>
      </c>
      <c r="B55" s="1" t="s">
        <v>287</v>
      </c>
      <c r="C55" s="1" t="s">
        <v>71</v>
      </c>
      <c r="D55">
        <v>1</v>
      </c>
      <c r="E55">
        <v>1</v>
      </c>
      <c r="F55">
        <v>4500</v>
      </c>
      <c r="G55">
        <v>3600</v>
      </c>
      <c r="H55">
        <v>3600</v>
      </c>
      <c r="I55">
        <v>0</v>
      </c>
      <c r="J55" s="1" t="s">
        <v>59</v>
      </c>
      <c r="K55" s="2">
        <v>45914.33798611111</v>
      </c>
      <c r="L55" s="2">
        <v>45917.634189814817</v>
      </c>
      <c r="M55" s="2">
        <v>45920.857453703706</v>
      </c>
      <c r="N55" s="1" t="s">
        <v>61</v>
      </c>
      <c r="O55" s="1" t="s">
        <v>62</v>
      </c>
      <c r="P55" s="1" t="s">
        <v>61</v>
      </c>
      <c r="Q55" s="1" t="s">
        <v>74</v>
      </c>
      <c r="R55" s="2">
        <v>45929.598124999997</v>
      </c>
      <c r="S55" s="1" t="s">
        <v>197</v>
      </c>
      <c r="T55" s="1" t="s">
        <v>65</v>
      </c>
      <c r="U55">
        <v>560037</v>
      </c>
      <c r="V55" s="1" t="s">
        <v>66</v>
      </c>
      <c r="W55">
        <v>3600</v>
      </c>
      <c r="X55">
        <v>12</v>
      </c>
      <c r="Y55">
        <v>0</v>
      </c>
      <c r="Z55">
        <v>0</v>
      </c>
      <c r="AA55">
        <v>12</v>
      </c>
      <c r="AB55">
        <v>385.714</v>
      </c>
      <c r="AC55">
        <v>0</v>
      </c>
      <c r="AD55">
        <v>0</v>
      </c>
      <c r="AE55">
        <v>385.714</v>
      </c>
      <c r="AF55">
        <v>0.85</v>
      </c>
      <c r="AG55">
        <f>MarketPlace_Order_Report[[#This Row],[UnitPrice]]*MarketPlace_Order_Report[[#This Row],[OrderQty]]</f>
        <v>3600</v>
      </c>
      <c r="AH55">
        <f>IFERROR(MarketPlace_Order_Report[[#This Row],[CGSTAmount]]+MarketPlace_Order_Report[[#This Row],[SGSTAmount]]+MarketPlace_Order_Report[[#This Row],[IGSTAmount]],MarketPlace_Order_Report[[#This Row],[TaxAmount]])</f>
        <v>385.714</v>
      </c>
      <c r="AI55">
        <f>MarketPlace_Order_Report[[#This Row],[Gross Amount (Before Tax)]]+MarketPlace_Order_Report[[#This Row],[Total GST Amount]]</f>
        <v>3985.7139999999999</v>
      </c>
      <c r="AJ55" s="1" t="s">
        <v>292</v>
      </c>
    </row>
    <row r="56" spans="1:36">
      <c r="A56" s="1" t="s">
        <v>293</v>
      </c>
      <c r="B56" s="1" t="s">
        <v>295</v>
      </c>
      <c r="C56" s="1" t="s">
        <v>2475</v>
      </c>
      <c r="D56">
        <v>1</v>
      </c>
      <c r="E56">
        <v>1</v>
      </c>
      <c r="F56">
        <v>4500</v>
      </c>
      <c r="G56">
        <v>3600</v>
      </c>
      <c r="H56">
        <v>3620</v>
      </c>
      <c r="I56">
        <v>20</v>
      </c>
      <c r="J56" s="1" t="s">
        <v>72</v>
      </c>
      <c r="K56" s="2">
        <v>45914.592546296299</v>
      </c>
      <c r="L56" s="2">
        <v>45915.688692129632</v>
      </c>
      <c r="M56" s="2">
        <v>45918.552465277775</v>
      </c>
      <c r="N56" s="1" t="s">
        <v>61</v>
      </c>
      <c r="O56" s="1" t="s">
        <v>62</v>
      </c>
      <c r="P56" s="1" t="s">
        <v>61</v>
      </c>
      <c r="Q56" s="1" t="s">
        <v>61</v>
      </c>
      <c r="R56" s="2">
        <v>45918.556574074071</v>
      </c>
      <c r="S56" s="1" t="s">
        <v>296</v>
      </c>
      <c r="T56" s="1" t="s">
        <v>109</v>
      </c>
      <c r="U56">
        <v>502001</v>
      </c>
      <c r="V56" s="1" t="s">
        <v>66</v>
      </c>
      <c r="W56">
        <v>3600</v>
      </c>
      <c r="X56">
        <v>12</v>
      </c>
      <c r="Y56">
        <v>0</v>
      </c>
      <c r="Z56">
        <v>0</v>
      </c>
      <c r="AA56">
        <v>12</v>
      </c>
      <c r="AB56">
        <v>385.714</v>
      </c>
      <c r="AC56">
        <v>0</v>
      </c>
      <c r="AD56">
        <v>0</v>
      </c>
      <c r="AE56">
        <v>385.714</v>
      </c>
      <c r="AF56">
        <v>0.85</v>
      </c>
      <c r="AG56">
        <f>MarketPlace_Order_Report[[#This Row],[UnitPrice]]*MarketPlace_Order_Report[[#This Row],[OrderQty]]</f>
        <v>3600</v>
      </c>
      <c r="AH56">
        <f>IFERROR(MarketPlace_Order_Report[[#This Row],[CGSTAmount]]+MarketPlace_Order_Report[[#This Row],[SGSTAmount]]+MarketPlace_Order_Report[[#This Row],[IGSTAmount]],MarketPlace_Order_Report[[#This Row],[TaxAmount]])</f>
        <v>385.714</v>
      </c>
      <c r="AI56">
        <f>MarketPlace_Order_Report[[#This Row],[Gross Amount (Before Tax)]]+MarketPlace_Order_Report[[#This Row],[Total GST Amount]]</f>
        <v>3985.7139999999999</v>
      </c>
      <c r="AJ56" s="1" t="s">
        <v>294</v>
      </c>
    </row>
    <row r="57" spans="1:36" hidden="1">
      <c r="A57" s="1" t="s">
        <v>297</v>
      </c>
      <c r="B57" s="1" t="s">
        <v>299</v>
      </c>
      <c r="C57" s="1" t="s">
        <v>102</v>
      </c>
      <c r="D57">
        <v>1</v>
      </c>
      <c r="E57">
        <v>1</v>
      </c>
      <c r="F57">
        <v>3750</v>
      </c>
      <c r="G57">
        <v>3375</v>
      </c>
      <c r="H57">
        <v>3424</v>
      </c>
      <c r="I57">
        <v>49</v>
      </c>
      <c r="J57" s="1" t="s">
        <v>72</v>
      </c>
      <c r="K57" s="2">
        <v>45925.560312499998</v>
      </c>
      <c r="L57" s="2">
        <v>45926.632268518515</v>
      </c>
      <c r="M57" s="2"/>
      <c r="N57" s="1" t="s">
        <v>61</v>
      </c>
      <c r="O57" s="1" t="s">
        <v>62</v>
      </c>
      <c r="P57" s="1" t="s">
        <v>61</v>
      </c>
      <c r="Q57" s="1" t="s">
        <v>103</v>
      </c>
      <c r="R57" s="2">
        <v>45954.629363425927</v>
      </c>
      <c r="S57" s="1" t="s">
        <v>300</v>
      </c>
      <c r="T57" s="1" t="s">
        <v>88</v>
      </c>
      <c r="U57">
        <v>452014</v>
      </c>
      <c r="V57" s="1" t="s">
        <v>66</v>
      </c>
      <c r="W57">
        <v>3375</v>
      </c>
      <c r="X57">
        <v>18</v>
      </c>
      <c r="Y57">
        <v>0</v>
      </c>
      <c r="Z57">
        <v>0</v>
      </c>
      <c r="AA57">
        <v>18</v>
      </c>
      <c r="AB57">
        <v>514.83100000000002</v>
      </c>
      <c r="AC57">
        <v>0</v>
      </c>
      <c r="AD57">
        <v>0</v>
      </c>
      <c r="AE57">
        <v>514.83100000000002</v>
      </c>
      <c r="AF57">
        <v>0.85</v>
      </c>
      <c r="AG57">
        <f>MarketPlace_Order_Report[[#This Row],[UnitPrice]]*MarketPlace_Order_Report[[#This Row],[OrderQty]]</f>
        <v>3375</v>
      </c>
      <c r="AH57">
        <f>IFERROR(MarketPlace_Order_Report[[#This Row],[CGSTAmount]]+MarketPlace_Order_Report[[#This Row],[SGSTAmount]]+MarketPlace_Order_Report[[#This Row],[IGSTAmount]],MarketPlace_Order_Report[[#This Row],[TaxAmount]])</f>
        <v>514.83100000000002</v>
      </c>
      <c r="AI57">
        <f>MarketPlace_Order_Report[[#This Row],[Gross Amount (Before Tax)]]+MarketPlace_Order_Report[[#This Row],[Total GST Amount]]</f>
        <v>3889.8310000000001</v>
      </c>
      <c r="AJ57" s="1" t="s">
        <v>298</v>
      </c>
    </row>
    <row r="58" spans="1:36">
      <c r="A58" s="1" t="s">
        <v>302</v>
      </c>
      <c r="B58" s="1" t="s">
        <v>304</v>
      </c>
      <c r="C58" s="1" t="s">
        <v>2475</v>
      </c>
      <c r="D58">
        <v>1</v>
      </c>
      <c r="E58">
        <v>1</v>
      </c>
      <c r="F58">
        <v>4000</v>
      </c>
      <c r="G58">
        <v>3600</v>
      </c>
      <c r="H58">
        <v>3620</v>
      </c>
      <c r="I58">
        <v>20</v>
      </c>
      <c r="J58" s="1" t="s">
        <v>72</v>
      </c>
      <c r="K58" s="2">
        <v>45925.642106481479</v>
      </c>
      <c r="L58" s="2">
        <v>45926.719537037039</v>
      </c>
      <c r="M58" s="2">
        <v>45928.53324074074</v>
      </c>
      <c r="N58" s="1" t="s">
        <v>61</v>
      </c>
      <c r="O58" s="1" t="s">
        <v>62</v>
      </c>
      <c r="P58" s="1" t="s">
        <v>61</v>
      </c>
      <c r="Q58" s="1" t="s">
        <v>61</v>
      </c>
      <c r="R58" s="2">
        <v>45928.535578703704</v>
      </c>
      <c r="S58" s="1" t="s">
        <v>305</v>
      </c>
      <c r="T58" s="1" t="s">
        <v>215</v>
      </c>
      <c r="U58">
        <v>751006</v>
      </c>
      <c r="V58" s="1" t="s">
        <v>66</v>
      </c>
      <c r="W58">
        <v>3600</v>
      </c>
      <c r="X58">
        <v>18</v>
      </c>
      <c r="Y58">
        <v>0</v>
      </c>
      <c r="Z58">
        <v>0</v>
      </c>
      <c r="AA58">
        <v>18</v>
      </c>
      <c r="AB58">
        <v>549.15300000000002</v>
      </c>
      <c r="AC58">
        <v>0</v>
      </c>
      <c r="AD58">
        <v>0</v>
      </c>
      <c r="AE58">
        <v>549.15300000000002</v>
      </c>
      <c r="AF58">
        <v>0.85</v>
      </c>
      <c r="AG58">
        <f>MarketPlace_Order_Report[[#This Row],[UnitPrice]]*MarketPlace_Order_Report[[#This Row],[OrderQty]]</f>
        <v>3600</v>
      </c>
      <c r="AH58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58">
        <f>MarketPlace_Order_Report[[#This Row],[Gross Amount (Before Tax)]]+MarketPlace_Order_Report[[#This Row],[Total GST Amount]]</f>
        <v>4149.1530000000002</v>
      </c>
      <c r="AJ58" s="1" t="s">
        <v>303</v>
      </c>
    </row>
    <row r="59" spans="1:36">
      <c r="A59" s="1" t="s">
        <v>306</v>
      </c>
      <c r="B59" s="1" t="s">
        <v>309</v>
      </c>
      <c r="C59" s="1" t="s">
        <v>2475</v>
      </c>
      <c r="D59">
        <v>1</v>
      </c>
      <c r="E59">
        <v>1</v>
      </c>
      <c r="F59">
        <v>4000</v>
      </c>
      <c r="G59">
        <v>3600</v>
      </c>
      <c r="H59">
        <v>3608.84</v>
      </c>
      <c r="I59">
        <v>8.84</v>
      </c>
      <c r="J59" s="1" t="s">
        <v>59</v>
      </c>
      <c r="K59" s="2">
        <v>45927.713634259257</v>
      </c>
      <c r="L59" s="2">
        <v>45929.599212962959</v>
      </c>
      <c r="M59" s="2">
        <v>45931.742789351854</v>
      </c>
      <c r="N59" s="1" t="s">
        <v>61</v>
      </c>
      <c r="O59" s="1" t="s">
        <v>62</v>
      </c>
      <c r="P59" s="1" t="s">
        <v>61</v>
      </c>
      <c r="Q59" s="1" t="s">
        <v>61</v>
      </c>
      <c r="R59" s="2">
        <v>45931.743993055556</v>
      </c>
      <c r="S59" s="1" t="s">
        <v>182</v>
      </c>
      <c r="T59" s="1" t="s">
        <v>183</v>
      </c>
      <c r="U59">
        <v>110015</v>
      </c>
      <c r="V59" s="1" t="s">
        <v>66</v>
      </c>
      <c r="W59">
        <v>3600</v>
      </c>
      <c r="X59">
        <v>18</v>
      </c>
      <c r="Y59">
        <v>0</v>
      </c>
      <c r="Z59">
        <v>0</v>
      </c>
      <c r="AA59">
        <v>18</v>
      </c>
      <c r="AB59">
        <v>549.15300000000002</v>
      </c>
      <c r="AC59">
        <v>0</v>
      </c>
      <c r="AD59">
        <v>0</v>
      </c>
      <c r="AE59">
        <v>549.15300000000002</v>
      </c>
      <c r="AF59">
        <v>0.85</v>
      </c>
      <c r="AG59">
        <f>MarketPlace_Order_Report[[#This Row],[UnitPrice]]*MarketPlace_Order_Report[[#This Row],[OrderQty]]</f>
        <v>3600</v>
      </c>
      <c r="AH59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59">
        <f>MarketPlace_Order_Report[[#This Row],[Gross Amount (Before Tax)]]+MarketPlace_Order_Report[[#This Row],[Total GST Amount]]</f>
        <v>4149.1530000000002</v>
      </c>
      <c r="AJ59" s="1" t="s">
        <v>307</v>
      </c>
    </row>
    <row r="60" spans="1:36" hidden="1">
      <c r="A60" s="1" t="s">
        <v>311</v>
      </c>
      <c r="B60" s="1" t="s">
        <v>314</v>
      </c>
      <c r="C60" s="1" t="s">
        <v>187</v>
      </c>
      <c r="D60">
        <v>1</v>
      </c>
      <c r="E60">
        <v>0</v>
      </c>
      <c r="F60">
        <v>4000</v>
      </c>
      <c r="G60">
        <v>3600</v>
      </c>
      <c r="H60">
        <v>3611.66</v>
      </c>
      <c r="I60">
        <v>11.66</v>
      </c>
      <c r="J60" s="1" t="s">
        <v>72</v>
      </c>
      <c r="K60" s="2">
        <v>45920.948680555557</v>
      </c>
      <c r="L60" s="2"/>
      <c r="M60" s="2"/>
      <c r="N60" s="1" t="s">
        <v>315</v>
      </c>
      <c r="O60" s="1" t="s">
        <v>62</v>
      </c>
      <c r="P60" s="1" t="s">
        <v>316</v>
      </c>
      <c r="Q60" s="1" t="s">
        <v>61</v>
      </c>
      <c r="R60" s="2">
        <v>45923.461655092593</v>
      </c>
      <c r="S60" s="1" t="s">
        <v>317</v>
      </c>
      <c r="T60" s="1" t="s">
        <v>318</v>
      </c>
      <c r="U60">
        <v>400705</v>
      </c>
      <c r="V60" s="1" t="s">
        <v>66</v>
      </c>
      <c r="W60">
        <v>3600</v>
      </c>
      <c r="X60">
        <v>12</v>
      </c>
      <c r="Y60">
        <v>6</v>
      </c>
      <c r="Z60">
        <v>6</v>
      </c>
      <c r="AA60">
        <v>0</v>
      </c>
      <c r="AB60">
        <v>385.714</v>
      </c>
      <c r="AC60">
        <v>192.857</v>
      </c>
      <c r="AD60">
        <v>192.857</v>
      </c>
      <c r="AE60">
        <v>0</v>
      </c>
      <c r="AG60">
        <f>MarketPlace_Order_Report[[#This Row],[UnitPrice]]*MarketPlace_Order_Report[[#This Row],[OrderQty]]</f>
        <v>3600</v>
      </c>
      <c r="AH60">
        <f>IFERROR(MarketPlace_Order_Report[[#This Row],[CGSTAmount]]+MarketPlace_Order_Report[[#This Row],[SGSTAmount]]+MarketPlace_Order_Report[[#This Row],[IGSTAmount]],MarketPlace_Order_Report[[#This Row],[TaxAmount]])</f>
        <v>385.714</v>
      </c>
      <c r="AI60">
        <f>MarketPlace_Order_Report[[#This Row],[Gross Amount (Before Tax)]]+MarketPlace_Order_Report[[#This Row],[Total GST Amount]]</f>
        <v>3985.7139999999999</v>
      </c>
      <c r="AJ60" s="1" t="s">
        <v>312</v>
      </c>
    </row>
    <row r="61" spans="1:36" hidden="1">
      <c r="A61" s="1" t="s">
        <v>319</v>
      </c>
      <c r="B61" s="1" t="s">
        <v>322</v>
      </c>
      <c r="C61" s="1" t="s">
        <v>187</v>
      </c>
      <c r="D61">
        <v>1</v>
      </c>
      <c r="E61">
        <v>0</v>
      </c>
      <c r="F61">
        <v>4000</v>
      </c>
      <c r="G61">
        <v>3600</v>
      </c>
      <c r="H61">
        <v>3629</v>
      </c>
      <c r="I61">
        <v>29</v>
      </c>
      <c r="J61" s="1" t="s">
        <v>59</v>
      </c>
      <c r="K61" s="2">
        <v>45914.700844907406</v>
      </c>
      <c r="L61" s="2"/>
      <c r="M61" s="2"/>
      <c r="N61" s="1" t="s">
        <v>323</v>
      </c>
      <c r="O61" s="1" t="s">
        <v>62</v>
      </c>
      <c r="P61" s="1" t="s">
        <v>61</v>
      </c>
      <c r="Q61" s="1" t="s">
        <v>61</v>
      </c>
      <c r="R61" s="2">
        <v>45914.842812499999</v>
      </c>
      <c r="S61" s="1" t="s">
        <v>324</v>
      </c>
      <c r="T61" s="1" t="s">
        <v>318</v>
      </c>
      <c r="U61">
        <v>411057</v>
      </c>
      <c r="V61" s="1" t="s">
        <v>66</v>
      </c>
      <c r="W61">
        <v>3600</v>
      </c>
      <c r="X61">
        <v>12</v>
      </c>
      <c r="Y61">
        <v>6</v>
      </c>
      <c r="Z61">
        <v>6</v>
      </c>
      <c r="AA61">
        <v>0</v>
      </c>
      <c r="AB61">
        <v>385.714</v>
      </c>
      <c r="AC61">
        <v>192.857</v>
      </c>
      <c r="AD61">
        <v>192.857</v>
      </c>
      <c r="AE61">
        <v>0</v>
      </c>
      <c r="AG61">
        <f>MarketPlace_Order_Report[[#This Row],[UnitPrice]]*MarketPlace_Order_Report[[#This Row],[OrderQty]]</f>
        <v>3600</v>
      </c>
      <c r="AH61">
        <f>IFERROR(MarketPlace_Order_Report[[#This Row],[CGSTAmount]]+MarketPlace_Order_Report[[#This Row],[SGSTAmount]]+MarketPlace_Order_Report[[#This Row],[IGSTAmount]],MarketPlace_Order_Report[[#This Row],[TaxAmount]])</f>
        <v>385.714</v>
      </c>
      <c r="AI61">
        <f>MarketPlace_Order_Report[[#This Row],[Gross Amount (Before Tax)]]+MarketPlace_Order_Report[[#This Row],[Total GST Amount]]</f>
        <v>3985.7139999999999</v>
      </c>
      <c r="AJ61" s="1" t="s">
        <v>320</v>
      </c>
    </row>
    <row r="62" spans="1:36">
      <c r="A62" s="1" t="s">
        <v>325</v>
      </c>
      <c r="B62" s="1" t="s">
        <v>322</v>
      </c>
      <c r="C62" s="1" t="s">
        <v>2475</v>
      </c>
      <c r="D62">
        <v>1</v>
      </c>
      <c r="E62">
        <v>1</v>
      </c>
      <c r="F62">
        <v>4000</v>
      </c>
      <c r="G62">
        <v>3600</v>
      </c>
      <c r="H62">
        <v>3649</v>
      </c>
      <c r="I62">
        <v>49</v>
      </c>
      <c r="J62" s="1" t="s">
        <v>72</v>
      </c>
      <c r="K62" s="2">
        <v>45928.40315972222</v>
      </c>
      <c r="L62" s="2">
        <v>45930.708854166667</v>
      </c>
      <c r="M62" s="2">
        <v>45934.452731481484</v>
      </c>
      <c r="N62" s="1" t="s">
        <v>61</v>
      </c>
      <c r="O62" s="1" t="s">
        <v>62</v>
      </c>
      <c r="P62" s="1" t="s">
        <v>61</v>
      </c>
      <c r="Q62" s="1" t="s">
        <v>61</v>
      </c>
      <c r="R62" s="2">
        <v>45934.455810185187</v>
      </c>
      <c r="S62" s="1" t="s">
        <v>327</v>
      </c>
      <c r="T62" s="1" t="s">
        <v>120</v>
      </c>
      <c r="U62">
        <v>301019</v>
      </c>
      <c r="V62" s="1" t="s">
        <v>66</v>
      </c>
      <c r="W62">
        <v>3600</v>
      </c>
      <c r="X62">
        <v>18</v>
      </c>
      <c r="Y62">
        <v>0</v>
      </c>
      <c r="Z62">
        <v>0</v>
      </c>
      <c r="AA62">
        <v>18</v>
      </c>
      <c r="AB62">
        <v>549.15300000000002</v>
      </c>
      <c r="AC62">
        <v>0</v>
      </c>
      <c r="AD62">
        <v>0</v>
      </c>
      <c r="AE62">
        <v>549.15300000000002</v>
      </c>
      <c r="AF62">
        <v>0.85</v>
      </c>
      <c r="AG62">
        <f>MarketPlace_Order_Report[[#This Row],[UnitPrice]]*MarketPlace_Order_Report[[#This Row],[OrderQty]]</f>
        <v>3600</v>
      </c>
      <c r="AH62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62">
        <f>MarketPlace_Order_Report[[#This Row],[Gross Amount (Before Tax)]]+MarketPlace_Order_Report[[#This Row],[Total GST Amount]]</f>
        <v>4149.1530000000002</v>
      </c>
      <c r="AJ62" s="1" t="s">
        <v>326</v>
      </c>
    </row>
    <row r="63" spans="1:36">
      <c r="A63" s="1" t="s">
        <v>328</v>
      </c>
      <c r="B63" s="1" t="s">
        <v>322</v>
      </c>
      <c r="C63" s="1" t="s">
        <v>2475</v>
      </c>
      <c r="D63">
        <v>1</v>
      </c>
      <c r="E63">
        <v>1</v>
      </c>
      <c r="F63">
        <v>4000</v>
      </c>
      <c r="G63">
        <v>3600</v>
      </c>
      <c r="H63">
        <v>3629</v>
      </c>
      <c r="I63">
        <v>29</v>
      </c>
      <c r="J63" s="1" t="s">
        <v>59</v>
      </c>
      <c r="K63" s="2">
        <v>45927.569490740738</v>
      </c>
      <c r="L63" s="2">
        <v>45929.675000000003</v>
      </c>
      <c r="M63" s="2">
        <v>45931.625694444447</v>
      </c>
      <c r="N63" s="1" t="s">
        <v>61</v>
      </c>
      <c r="O63" s="1" t="s">
        <v>62</v>
      </c>
      <c r="P63" s="1" t="s">
        <v>61</v>
      </c>
      <c r="Q63" s="1" t="s">
        <v>61</v>
      </c>
      <c r="R63" s="2">
        <v>45931.636377314811</v>
      </c>
      <c r="S63" s="1" t="s">
        <v>108</v>
      </c>
      <c r="T63" s="1" t="s">
        <v>109</v>
      </c>
      <c r="U63">
        <v>500089</v>
      </c>
      <c r="V63" s="1" t="s">
        <v>66</v>
      </c>
      <c r="W63">
        <v>3600</v>
      </c>
      <c r="X63">
        <v>18</v>
      </c>
      <c r="Y63">
        <v>0</v>
      </c>
      <c r="Z63">
        <v>0</v>
      </c>
      <c r="AA63">
        <v>18</v>
      </c>
      <c r="AB63">
        <v>549.15300000000002</v>
      </c>
      <c r="AC63">
        <v>0</v>
      </c>
      <c r="AD63">
        <v>0</v>
      </c>
      <c r="AE63">
        <v>549.15300000000002</v>
      </c>
      <c r="AF63">
        <v>0.85</v>
      </c>
      <c r="AG63">
        <f>MarketPlace_Order_Report[[#This Row],[UnitPrice]]*MarketPlace_Order_Report[[#This Row],[OrderQty]]</f>
        <v>3600</v>
      </c>
      <c r="AH6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63">
        <f>MarketPlace_Order_Report[[#This Row],[Gross Amount (Before Tax)]]+MarketPlace_Order_Report[[#This Row],[Total GST Amount]]</f>
        <v>4149.1530000000002</v>
      </c>
      <c r="AJ63" s="1" t="s">
        <v>329</v>
      </c>
    </row>
    <row r="64" spans="1:36">
      <c r="A64" s="1" t="s">
        <v>330</v>
      </c>
      <c r="B64" s="1" t="s">
        <v>333</v>
      </c>
      <c r="C64" s="1" t="s">
        <v>2475</v>
      </c>
      <c r="D64">
        <v>1</v>
      </c>
      <c r="E64">
        <v>1</v>
      </c>
      <c r="F64">
        <v>4000</v>
      </c>
      <c r="G64">
        <v>3600</v>
      </c>
      <c r="H64">
        <v>3629</v>
      </c>
      <c r="I64">
        <v>29</v>
      </c>
      <c r="J64" s="1" t="s">
        <v>59</v>
      </c>
      <c r="K64" s="2">
        <v>45912.685289351852</v>
      </c>
      <c r="L64" s="2">
        <v>45913.697453703702</v>
      </c>
      <c r="M64" s="2">
        <v>45917.556956018518</v>
      </c>
      <c r="N64" s="1" t="s">
        <v>61</v>
      </c>
      <c r="O64" s="1" t="s">
        <v>62</v>
      </c>
      <c r="P64" s="1" t="s">
        <v>61</v>
      </c>
      <c r="Q64" s="1" t="s">
        <v>61</v>
      </c>
      <c r="R64" s="2">
        <v>45917.559965277775</v>
      </c>
      <c r="S64" s="1" t="s">
        <v>136</v>
      </c>
      <c r="T64" s="1" t="s">
        <v>77</v>
      </c>
      <c r="U64">
        <v>201301</v>
      </c>
      <c r="V64" s="1" t="s">
        <v>66</v>
      </c>
      <c r="W64">
        <v>3600</v>
      </c>
      <c r="X64">
        <v>12</v>
      </c>
      <c r="Y64">
        <v>0</v>
      </c>
      <c r="Z64">
        <v>0</v>
      </c>
      <c r="AA64">
        <v>12</v>
      </c>
      <c r="AB64">
        <v>385.714</v>
      </c>
      <c r="AC64">
        <v>0</v>
      </c>
      <c r="AD64">
        <v>0</v>
      </c>
      <c r="AE64">
        <v>385.714</v>
      </c>
      <c r="AF64">
        <v>0.85</v>
      </c>
      <c r="AG64">
        <f>MarketPlace_Order_Report[[#This Row],[UnitPrice]]*MarketPlace_Order_Report[[#This Row],[OrderQty]]</f>
        <v>3600</v>
      </c>
      <c r="AH64">
        <f>IFERROR(MarketPlace_Order_Report[[#This Row],[CGSTAmount]]+MarketPlace_Order_Report[[#This Row],[SGSTAmount]]+MarketPlace_Order_Report[[#This Row],[IGSTAmount]],MarketPlace_Order_Report[[#This Row],[TaxAmount]])</f>
        <v>385.714</v>
      </c>
      <c r="AI64">
        <f>MarketPlace_Order_Report[[#This Row],[Gross Amount (Before Tax)]]+MarketPlace_Order_Report[[#This Row],[Total GST Amount]]</f>
        <v>3985.7139999999999</v>
      </c>
      <c r="AJ64" s="1" t="s">
        <v>331</v>
      </c>
    </row>
    <row r="65" spans="1:36" hidden="1">
      <c r="A65" s="1" t="s">
        <v>334</v>
      </c>
      <c r="B65" s="1" t="s">
        <v>336</v>
      </c>
      <c r="C65" s="1" t="s">
        <v>102</v>
      </c>
      <c r="D65">
        <v>1</v>
      </c>
      <c r="E65">
        <v>1</v>
      </c>
      <c r="F65">
        <v>4000</v>
      </c>
      <c r="G65">
        <v>3600</v>
      </c>
      <c r="H65">
        <v>3649</v>
      </c>
      <c r="I65">
        <v>49</v>
      </c>
      <c r="J65" s="1" t="s">
        <v>72</v>
      </c>
      <c r="K65" s="2">
        <v>45901.321157407408</v>
      </c>
      <c r="L65" s="2">
        <v>45908.729479166665</v>
      </c>
      <c r="M65" s="2"/>
      <c r="N65" s="1" t="s">
        <v>61</v>
      </c>
      <c r="O65" s="1" t="s">
        <v>62</v>
      </c>
      <c r="P65" s="1" t="s">
        <v>61</v>
      </c>
      <c r="Q65" s="1" t="s">
        <v>103</v>
      </c>
      <c r="R65" s="2">
        <v>45911.854942129627</v>
      </c>
      <c r="S65" s="1" t="s">
        <v>337</v>
      </c>
      <c r="T65" s="1" t="s">
        <v>338</v>
      </c>
      <c r="U65">
        <v>190015</v>
      </c>
      <c r="V65" s="1" t="s">
        <v>66</v>
      </c>
      <c r="W65">
        <v>3600</v>
      </c>
      <c r="X65">
        <v>12</v>
      </c>
      <c r="Y65">
        <v>0</v>
      </c>
      <c r="Z65">
        <v>0</v>
      </c>
      <c r="AA65">
        <v>12</v>
      </c>
      <c r="AB65">
        <v>385.714</v>
      </c>
      <c r="AC65">
        <v>0</v>
      </c>
      <c r="AD65">
        <v>0</v>
      </c>
      <c r="AE65">
        <v>385.714</v>
      </c>
      <c r="AF65">
        <v>0.85</v>
      </c>
      <c r="AG65">
        <f>MarketPlace_Order_Report[[#This Row],[UnitPrice]]*MarketPlace_Order_Report[[#This Row],[OrderQty]]</f>
        <v>3600</v>
      </c>
      <c r="AH65">
        <f>IFERROR(MarketPlace_Order_Report[[#This Row],[CGSTAmount]]+MarketPlace_Order_Report[[#This Row],[SGSTAmount]]+MarketPlace_Order_Report[[#This Row],[IGSTAmount]],MarketPlace_Order_Report[[#This Row],[TaxAmount]])</f>
        <v>385.714</v>
      </c>
      <c r="AI65">
        <f>MarketPlace_Order_Report[[#This Row],[Gross Amount (Before Tax)]]+MarketPlace_Order_Report[[#This Row],[Total GST Amount]]</f>
        <v>3985.7139999999999</v>
      </c>
      <c r="AJ65" s="1" t="s">
        <v>335</v>
      </c>
    </row>
    <row r="66" spans="1:36" hidden="1">
      <c r="A66" s="1" t="s">
        <v>340</v>
      </c>
      <c r="B66" s="1" t="s">
        <v>343</v>
      </c>
      <c r="C66" s="1" t="s">
        <v>71</v>
      </c>
      <c r="D66">
        <v>1</v>
      </c>
      <c r="E66">
        <v>1</v>
      </c>
      <c r="F66">
        <v>4000</v>
      </c>
      <c r="G66">
        <v>3600</v>
      </c>
      <c r="H66">
        <v>3616.3</v>
      </c>
      <c r="I66">
        <v>16.3</v>
      </c>
      <c r="J66" s="1" t="s">
        <v>59</v>
      </c>
      <c r="K66" s="2">
        <v>45930.754710648151</v>
      </c>
      <c r="L66" s="2">
        <v>45931.776307870372</v>
      </c>
      <c r="M66" s="2">
        <v>45934.385243055556</v>
      </c>
      <c r="N66" s="1" t="s">
        <v>61</v>
      </c>
      <c r="O66" s="1" t="s">
        <v>62</v>
      </c>
      <c r="P66" s="1" t="s">
        <v>61</v>
      </c>
      <c r="Q66" s="1" t="s">
        <v>74</v>
      </c>
      <c r="R66" s="2">
        <v>45940.875763888886</v>
      </c>
      <c r="S66" s="1" t="s">
        <v>182</v>
      </c>
      <c r="T66" s="1" t="s">
        <v>183</v>
      </c>
      <c r="U66">
        <v>110043</v>
      </c>
      <c r="V66" s="1" t="s">
        <v>66</v>
      </c>
      <c r="W66">
        <v>3600</v>
      </c>
      <c r="X66">
        <v>18</v>
      </c>
      <c r="Y66">
        <v>0</v>
      </c>
      <c r="Z66">
        <v>0</v>
      </c>
      <c r="AA66">
        <v>18</v>
      </c>
      <c r="AB66">
        <v>549.15300000000002</v>
      </c>
      <c r="AC66">
        <v>0</v>
      </c>
      <c r="AD66">
        <v>0</v>
      </c>
      <c r="AE66">
        <v>549.15300000000002</v>
      </c>
      <c r="AF66">
        <v>0.85</v>
      </c>
      <c r="AG66">
        <f>MarketPlace_Order_Report[[#This Row],[UnitPrice]]*MarketPlace_Order_Report[[#This Row],[OrderQty]]</f>
        <v>3600</v>
      </c>
      <c r="AH66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66">
        <f>MarketPlace_Order_Report[[#This Row],[Gross Amount (Before Tax)]]+MarketPlace_Order_Report[[#This Row],[Total GST Amount]]</f>
        <v>4149.1530000000002</v>
      </c>
      <c r="AJ66" s="1" t="s">
        <v>341</v>
      </c>
    </row>
    <row r="67" spans="1:36">
      <c r="A67" s="1" t="s">
        <v>344</v>
      </c>
      <c r="B67" s="1" t="s">
        <v>347</v>
      </c>
      <c r="C67" s="1" t="s">
        <v>2475</v>
      </c>
      <c r="D67">
        <v>1</v>
      </c>
      <c r="E67">
        <v>1</v>
      </c>
      <c r="F67">
        <v>4000</v>
      </c>
      <c r="G67">
        <v>3600</v>
      </c>
      <c r="H67">
        <v>3649</v>
      </c>
      <c r="I67">
        <v>49</v>
      </c>
      <c r="J67" s="1" t="s">
        <v>72</v>
      </c>
      <c r="K67" s="2">
        <v>45914.465266203704</v>
      </c>
      <c r="L67" s="2">
        <v>45915.688796296294</v>
      </c>
      <c r="M67" s="2">
        <v>45918.579652777778</v>
      </c>
      <c r="N67" s="1" t="s">
        <v>61</v>
      </c>
      <c r="O67" s="1" t="s">
        <v>62</v>
      </c>
      <c r="P67" s="1" t="s">
        <v>61</v>
      </c>
      <c r="Q67" s="1" t="s">
        <v>61</v>
      </c>
      <c r="R67" s="2">
        <v>45918.58090277778</v>
      </c>
      <c r="S67" s="1" t="s">
        <v>348</v>
      </c>
      <c r="T67" s="1" t="s">
        <v>99</v>
      </c>
      <c r="U67">
        <v>124001</v>
      </c>
      <c r="V67" s="1" t="s">
        <v>66</v>
      </c>
      <c r="W67">
        <v>3600</v>
      </c>
      <c r="X67">
        <v>12</v>
      </c>
      <c r="Y67">
        <v>0</v>
      </c>
      <c r="Z67">
        <v>0</v>
      </c>
      <c r="AA67">
        <v>12</v>
      </c>
      <c r="AB67">
        <v>385.714</v>
      </c>
      <c r="AC67">
        <v>0</v>
      </c>
      <c r="AD67">
        <v>0</v>
      </c>
      <c r="AE67">
        <v>385.714</v>
      </c>
      <c r="AF67">
        <v>0.85</v>
      </c>
      <c r="AG67">
        <f>MarketPlace_Order_Report[[#This Row],[UnitPrice]]*MarketPlace_Order_Report[[#This Row],[OrderQty]]</f>
        <v>3600</v>
      </c>
      <c r="AH67">
        <f>IFERROR(MarketPlace_Order_Report[[#This Row],[CGSTAmount]]+MarketPlace_Order_Report[[#This Row],[SGSTAmount]]+MarketPlace_Order_Report[[#This Row],[IGSTAmount]],MarketPlace_Order_Report[[#This Row],[TaxAmount]])</f>
        <v>385.714</v>
      </c>
      <c r="AI67">
        <f>MarketPlace_Order_Report[[#This Row],[Gross Amount (Before Tax)]]+MarketPlace_Order_Report[[#This Row],[Total GST Amount]]</f>
        <v>3985.7139999999999</v>
      </c>
      <c r="AJ67" s="1" t="s">
        <v>345</v>
      </c>
    </row>
    <row r="68" spans="1:36">
      <c r="A68" s="1" t="s">
        <v>349</v>
      </c>
      <c r="B68" s="1" t="s">
        <v>347</v>
      </c>
      <c r="C68" s="1" t="s">
        <v>2475</v>
      </c>
      <c r="D68">
        <v>1</v>
      </c>
      <c r="E68">
        <v>1</v>
      </c>
      <c r="F68">
        <v>4000</v>
      </c>
      <c r="G68">
        <v>3600</v>
      </c>
      <c r="H68">
        <v>3626.8290000000002</v>
      </c>
      <c r="I68">
        <v>26.829000000000001</v>
      </c>
      <c r="J68" s="1" t="s">
        <v>72</v>
      </c>
      <c r="K68" s="2">
        <v>45911.545370370368</v>
      </c>
      <c r="L68" s="2">
        <v>45912.717002314814</v>
      </c>
      <c r="M68" s="2">
        <v>45915.67869212963</v>
      </c>
      <c r="N68" s="1" t="s">
        <v>61</v>
      </c>
      <c r="O68" s="1" t="s">
        <v>62</v>
      </c>
      <c r="P68" s="1" t="s">
        <v>61</v>
      </c>
      <c r="Q68" s="1" t="s">
        <v>61</v>
      </c>
      <c r="R68" s="2">
        <v>45915.681250000001</v>
      </c>
      <c r="S68" s="1" t="s">
        <v>352</v>
      </c>
      <c r="T68" s="1" t="s">
        <v>318</v>
      </c>
      <c r="U68">
        <v>440024</v>
      </c>
      <c r="V68" s="1" t="s">
        <v>66</v>
      </c>
      <c r="W68">
        <v>3600</v>
      </c>
      <c r="X68">
        <v>12</v>
      </c>
      <c r="Y68">
        <v>6</v>
      </c>
      <c r="Z68">
        <v>6</v>
      </c>
      <c r="AA68">
        <v>0</v>
      </c>
      <c r="AB68">
        <v>385.714</v>
      </c>
      <c r="AC68">
        <v>192.857</v>
      </c>
      <c r="AD68">
        <v>192.857</v>
      </c>
      <c r="AE68">
        <v>0</v>
      </c>
      <c r="AF68">
        <v>1.2</v>
      </c>
      <c r="AG68">
        <f>MarketPlace_Order_Report[[#This Row],[UnitPrice]]*MarketPlace_Order_Report[[#This Row],[OrderQty]]</f>
        <v>3600</v>
      </c>
      <c r="AH68">
        <f>IFERROR(MarketPlace_Order_Report[[#This Row],[CGSTAmount]]+MarketPlace_Order_Report[[#This Row],[SGSTAmount]]+MarketPlace_Order_Report[[#This Row],[IGSTAmount]],MarketPlace_Order_Report[[#This Row],[TaxAmount]])</f>
        <v>385.714</v>
      </c>
      <c r="AI68">
        <f>MarketPlace_Order_Report[[#This Row],[Gross Amount (Before Tax)]]+MarketPlace_Order_Report[[#This Row],[Total GST Amount]]</f>
        <v>3985.7139999999999</v>
      </c>
      <c r="AJ68" s="1" t="s">
        <v>350</v>
      </c>
    </row>
    <row r="69" spans="1:36">
      <c r="A69" s="1" t="s">
        <v>353</v>
      </c>
      <c r="B69" s="1" t="s">
        <v>355</v>
      </c>
      <c r="C69" s="1" t="s">
        <v>2475</v>
      </c>
      <c r="D69">
        <v>1</v>
      </c>
      <c r="E69">
        <v>1</v>
      </c>
      <c r="F69">
        <v>4000</v>
      </c>
      <c r="G69">
        <v>3200</v>
      </c>
      <c r="H69">
        <v>3229</v>
      </c>
      <c r="I69">
        <v>29</v>
      </c>
      <c r="J69" s="1" t="s">
        <v>59</v>
      </c>
      <c r="K69" s="2">
        <v>45908.709398148145</v>
      </c>
      <c r="L69" s="2">
        <v>45909.758981481478</v>
      </c>
      <c r="M69" s="2">
        <v>45916.463969907411</v>
      </c>
      <c r="N69" s="1" t="s">
        <v>61</v>
      </c>
      <c r="O69" s="1" t="s">
        <v>62</v>
      </c>
      <c r="P69" s="1" t="s">
        <v>61</v>
      </c>
      <c r="Q69" s="1" t="s">
        <v>61</v>
      </c>
      <c r="R69" s="2">
        <v>45916.518229166664</v>
      </c>
      <c r="S69" s="1" t="s">
        <v>356</v>
      </c>
      <c r="T69" s="1" t="s">
        <v>357</v>
      </c>
      <c r="U69">
        <v>744105</v>
      </c>
      <c r="V69" s="1" t="s">
        <v>66</v>
      </c>
      <c r="W69">
        <v>3200</v>
      </c>
      <c r="X69">
        <v>12</v>
      </c>
      <c r="Y69">
        <v>0</v>
      </c>
      <c r="Z69">
        <v>0</v>
      </c>
      <c r="AA69">
        <v>12</v>
      </c>
      <c r="AB69">
        <v>342.85700000000003</v>
      </c>
      <c r="AC69">
        <v>0</v>
      </c>
      <c r="AD69">
        <v>0</v>
      </c>
      <c r="AE69">
        <v>342.85700000000003</v>
      </c>
      <c r="AF69">
        <v>0.85</v>
      </c>
      <c r="AG69">
        <f>MarketPlace_Order_Report[[#This Row],[UnitPrice]]*MarketPlace_Order_Report[[#This Row],[OrderQty]]</f>
        <v>3200</v>
      </c>
      <c r="AH69">
        <f>IFERROR(MarketPlace_Order_Report[[#This Row],[CGSTAmount]]+MarketPlace_Order_Report[[#This Row],[SGSTAmount]]+MarketPlace_Order_Report[[#This Row],[IGSTAmount]],MarketPlace_Order_Report[[#This Row],[TaxAmount]])</f>
        <v>342.85700000000003</v>
      </c>
      <c r="AI69">
        <f>MarketPlace_Order_Report[[#This Row],[Gross Amount (Before Tax)]]+MarketPlace_Order_Report[[#This Row],[Total GST Amount]]</f>
        <v>3542.857</v>
      </c>
      <c r="AJ69" s="1" t="s">
        <v>354</v>
      </c>
    </row>
    <row r="70" spans="1:36" hidden="1">
      <c r="A70" s="1" t="s">
        <v>358</v>
      </c>
      <c r="B70" s="1" t="s">
        <v>360</v>
      </c>
      <c r="C70" s="1" t="s">
        <v>71</v>
      </c>
      <c r="D70">
        <v>1</v>
      </c>
      <c r="E70">
        <v>1</v>
      </c>
      <c r="F70">
        <v>4000</v>
      </c>
      <c r="G70">
        <v>3200</v>
      </c>
      <c r="H70">
        <v>3200</v>
      </c>
      <c r="I70">
        <v>0</v>
      </c>
      <c r="J70" s="1" t="s">
        <v>59</v>
      </c>
      <c r="K70" s="2">
        <v>45901.716770833336</v>
      </c>
      <c r="L70" s="2">
        <v>45902.607638888891</v>
      </c>
      <c r="M70" s="2">
        <v>45906.782638888886</v>
      </c>
      <c r="N70" s="1" t="s">
        <v>61</v>
      </c>
      <c r="O70" s="1" t="s">
        <v>62</v>
      </c>
      <c r="P70" s="1" t="s">
        <v>61</v>
      </c>
      <c r="Q70" s="1" t="s">
        <v>74</v>
      </c>
      <c r="R70" s="2">
        <v>45946.608541666668</v>
      </c>
      <c r="S70" s="1" t="s">
        <v>356</v>
      </c>
      <c r="T70" s="1" t="s">
        <v>357</v>
      </c>
      <c r="U70">
        <v>744105</v>
      </c>
      <c r="V70" s="1" t="s">
        <v>66</v>
      </c>
      <c r="W70">
        <v>3200</v>
      </c>
      <c r="X70">
        <v>12</v>
      </c>
      <c r="Y70">
        <v>0</v>
      </c>
      <c r="Z70">
        <v>0</v>
      </c>
      <c r="AA70">
        <v>12</v>
      </c>
      <c r="AB70">
        <v>342.85700000000003</v>
      </c>
      <c r="AC70">
        <v>0</v>
      </c>
      <c r="AD70">
        <v>0</v>
      </c>
      <c r="AE70">
        <v>342.85700000000003</v>
      </c>
      <c r="AF70">
        <v>0.85</v>
      </c>
      <c r="AG70">
        <f>MarketPlace_Order_Report[[#This Row],[UnitPrice]]*MarketPlace_Order_Report[[#This Row],[OrderQty]]</f>
        <v>3200</v>
      </c>
      <c r="AH70">
        <f>IFERROR(MarketPlace_Order_Report[[#This Row],[CGSTAmount]]+MarketPlace_Order_Report[[#This Row],[SGSTAmount]]+MarketPlace_Order_Report[[#This Row],[IGSTAmount]],MarketPlace_Order_Report[[#This Row],[TaxAmount]])</f>
        <v>342.85700000000003</v>
      </c>
      <c r="AI70">
        <f>MarketPlace_Order_Report[[#This Row],[Gross Amount (Before Tax)]]+MarketPlace_Order_Report[[#This Row],[Total GST Amount]]</f>
        <v>3542.857</v>
      </c>
      <c r="AJ70" s="1" t="s">
        <v>359</v>
      </c>
    </row>
    <row r="71" spans="1:36">
      <c r="A71" s="1" t="s">
        <v>361</v>
      </c>
      <c r="B71" s="1" t="s">
        <v>363</v>
      </c>
      <c r="C71" s="1" t="s">
        <v>2475</v>
      </c>
      <c r="D71">
        <v>1</v>
      </c>
      <c r="E71">
        <v>1</v>
      </c>
      <c r="F71">
        <v>4250</v>
      </c>
      <c r="G71">
        <v>3825</v>
      </c>
      <c r="H71">
        <v>3854</v>
      </c>
      <c r="I71">
        <v>29</v>
      </c>
      <c r="J71" s="1" t="s">
        <v>59</v>
      </c>
      <c r="K71" s="2">
        <v>45921.467766203707</v>
      </c>
      <c r="L71" s="2">
        <v>45922.741828703707</v>
      </c>
      <c r="M71" s="2">
        <v>45925.56082175926</v>
      </c>
      <c r="N71" s="1" t="s">
        <v>61</v>
      </c>
      <c r="O71" s="1" t="s">
        <v>62</v>
      </c>
      <c r="P71" s="1" t="s">
        <v>61</v>
      </c>
      <c r="Q71" s="1" t="s">
        <v>61</v>
      </c>
      <c r="R71" s="2">
        <v>45931.996898148151</v>
      </c>
      <c r="S71" s="1" t="s">
        <v>364</v>
      </c>
      <c r="T71" s="1" t="s">
        <v>65</v>
      </c>
      <c r="U71">
        <v>585401</v>
      </c>
      <c r="V71" s="1" t="s">
        <v>66</v>
      </c>
      <c r="W71">
        <v>3825</v>
      </c>
      <c r="X71">
        <v>18</v>
      </c>
      <c r="Y71">
        <v>0</v>
      </c>
      <c r="Z71">
        <v>0</v>
      </c>
      <c r="AA71">
        <v>18</v>
      </c>
      <c r="AB71">
        <v>583.47500000000002</v>
      </c>
      <c r="AC71">
        <v>0</v>
      </c>
      <c r="AD71">
        <v>0</v>
      </c>
      <c r="AE71">
        <v>583.47500000000002</v>
      </c>
      <c r="AF71">
        <v>0.85</v>
      </c>
      <c r="AG71">
        <f>MarketPlace_Order_Report[[#This Row],[UnitPrice]]*MarketPlace_Order_Report[[#This Row],[OrderQty]]</f>
        <v>3825</v>
      </c>
      <c r="AH71">
        <f>IFERROR(MarketPlace_Order_Report[[#This Row],[CGSTAmount]]+MarketPlace_Order_Report[[#This Row],[SGSTAmount]]+MarketPlace_Order_Report[[#This Row],[IGSTAmount]],MarketPlace_Order_Report[[#This Row],[TaxAmount]])</f>
        <v>583.47500000000002</v>
      </c>
      <c r="AI71">
        <f>MarketPlace_Order_Report[[#This Row],[Gross Amount (Before Tax)]]+MarketPlace_Order_Report[[#This Row],[Total GST Amount]]</f>
        <v>4408.4750000000004</v>
      </c>
      <c r="AJ71" s="1" t="s">
        <v>362</v>
      </c>
    </row>
    <row r="72" spans="1:36">
      <c r="A72" s="1" t="s">
        <v>365</v>
      </c>
      <c r="B72" s="1" t="s">
        <v>367</v>
      </c>
      <c r="C72" s="1" t="s">
        <v>2475</v>
      </c>
      <c r="D72">
        <v>1</v>
      </c>
      <c r="E72">
        <v>1</v>
      </c>
      <c r="F72">
        <v>4000</v>
      </c>
      <c r="G72">
        <v>3600</v>
      </c>
      <c r="H72">
        <v>3629</v>
      </c>
      <c r="I72">
        <v>29</v>
      </c>
      <c r="J72" s="1" t="s">
        <v>59</v>
      </c>
      <c r="K72" s="2">
        <v>45919.956192129626</v>
      </c>
      <c r="L72" s="2">
        <v>45920.699525462966</v>
      </c>
      <c r="M72" s="2">
        <v>45924.703298611108</v>
      </c>
      <c r="N72" s="1" t="s">
        <v>61</v>
      </c>
      <c r="O72" s="1" t="s">
        <v>62</v>
      </c>
      <c r="P72" s="1" t="s">
        <v>61</v>
      </c>
      <c r="Q72" s="1" t="s">
        <v>61</v>
      </c>
      <c r="R72" s="2">
        <v>45924.705648148149</v>
      </c>
      <c r="S72" s="1" t="s">
        <v>368</v>
      </c>
      <c r="T72" s="1" t="s">
        <v>115</v>
      </c>
      <c r="U72">
        <v>636701</v>
      </c>
      <c r="V72" s="1" t="s">
        <v>66</v>
      </c>
      <c r="W72">
        <v>3600</v>
      </c>
      <c r="X72">
        <v>12</v>
      </c>
      <c r="Y72">
        <v>0</v>
      </c>
      <c r="Z72">
        <v>0</v>
      </c>
      <c r="AA72">
        <v>12</v>
      </c>
      <c r="AB72">
        <v>385.714</v>
      </c>
      <c r="AC72">
        <v>0</v>
      </c>
      <c r="AD72">
        <v>0</v>
      </c>
      <c r="AE72">
        <v>385.714</v>
      </c>
      <c r="AF72">
        <v>0.85</v>
      </c>
      <c r="AG72">
        <f>MarketPlace_Order_Report[[#This Row],[UnitPrice]]*MarketPlace_Order_Report[[#This Row],[OrderQty]]</f>
        <v>3600</v>
      </c>
      <c r="AH72">
        <f>IFERROR(MarketPlace_Order_Report[[#This Row],[CGSTAmount]]+MarketPlace_Order_Report[[#This Row],[SGSTAmount]]+MarketPlace_Order_Report[[#This Row],[IGSTAmount]],MarketPlace_Order_Report[[#This Row],[TaxAmount]])</f>
        <v>385.714</v>
      </c>
      <c r="AI72">
        <f>MarketPlace_Order_Report[[#This Row],[Gross Amount (Before Tax)]]+MarketPlace_Order_Report[[#This Row],[Total GST Amount]]</f>
        <v>3985.7139999999999</v>
      </c>
      <c r="AJ72" s="1" t="s">
        <v>366</v>
      </c>
    </row>
    <row r="73" spans="1:36">
      <c r="A73" s="1" t="s">
        <v>369</v>
      </c>
      <c r="B73" s="1" t="s">
        <v>371</v>
      </c>
      <c r="C73" s="1" t="s">
        <v>2475</v>
      </c>
      <c r="D73">
        <v>1</v>
      </c>
      <c r="E73">
        <v>1</v>
      </c>
      <c r="F73">
        <v>4000</v>
      </c>
      <c r="G73">
        <v>3600</v>
      </c>
      <c r="H73">
        <v>3600</v>
      </c>
      <c r="I73">
        <v>0</v>
      </c>
      <c r="J73" s="1" t="s">
        <v>59</v>
      </c>
      <c r="K73" s="2">
        <v>45912.942002314812</v>
      </c>
      <c r="L73" s="2">
        <v>45915.687916666669</v>
      </c>
      <c r="M73" s="2">
        <v>45918.690520833334</v>
      </c>
      <c r="N73" s="1" t="s">
        <v>61</v>
      </c>
      <c r="O73" s="1" t="s">
        <v>62</v>
      </c>
      <c r="P73" s="1" t="s">
        <v>61</v>
      </c>
      <c r="Q73" s="1" t="s">
        <v>61</v>
      </c>
      <c r="R73" s="2">
        <v>45918.69153935185</v>
      </c>
      <c r="S73" s="1" t="s">
        <v>372</v>
      </c>
      <c r="T73" s="1" t="s">
        <v>65</v>
      </c>
      <c r="U73">
        <v>580021</v>
      </c>
      <c r="V73" s="1" t="s">
        <v>66</v>
      </c>
      <c r="W73">
        <v>3600</v>
      </c>
      <c r="X73">
        <v>12</v>
      </c>
      <c r="Y73">
        <v>0</v>
      </c>
      <c r="Z73">
        <v>0</v>
      </c>
      <c r="AA73">
        <v>12</v>
      </c>
      <c r="AB73">
        <v>385.714</v>
      </c>
      <c r="AC73">
        <v>0</v>
      </c>
      <c r="AD73">
        <v>0</v>
      </c>
      <c r="AE73">
        <v>385.714</v>
      </c>
      <c r="AF73">
        <v>0.85</v>
      </c>
      <c r="AG73">
        <f>MarketPlace_Order_Report[[#This Row],[UnitPrice]]*MarketPlace_Order_Report[[#This Row],[OrderQty]]</f>
        <v>3600</v>
      </c>
      <c r="AH73">
        <f>IFERROR(MarketPlace_Order_Report[[#This Row],[CGSTAmount]]+MarketPlace_Order_Report[[#This Row],[SGSTAmount]]+MarketPlace_Order_Report[[#This Row],[IGSTAmount]],MarketPlace_Order_Report[[#This Row],[TaxAmount]])</f>
        <v>385.714</v>
      </c>
      <c r="AI73">
        <f>MarketPlace_Order_Report[[#This Row],[Gross Amount (Before Tax)]]+MarketPlace_Order_Report[[#This Row],[Total GST Amount]]</f>
        <v>3985.7139999999999</v>
      </c>
      <c r="AJ73" s="1" t="s">
        <v>370</v>
      </c>
    </row>
    <row r="74" spans="1:36" hidden="1">
      <c r="A74" s="1" t="s">
        <v>374</v>
      </c>
      <c r="B74" s="1" t="s">
        <v>377</v>
      </c>
      <c r="C74" s="1" t="s">
        <v>71</v>
      </c>
      <c r="D74">
        <v>1</v>
      </c>
      <c r="E74">
        <v>1</v>
      </c>
      <c r="F74">
        <v>4000</v>
      </c>
      <c r="G74">
        <v>3600</v>
      </c>
      <c r="H74">
        <v>3649</v>
      </c>
      <c r="I74">
        <v>49</v>
      </c>
      <c r="J74" s="1" t="s">
        <v>72</v>
      </c>
      <c r="K74" s="2">
        <v>45908.875868055555</v>
      </c>
      <c r="L74" s="2">
        <v>45909.761550925927</v>
      </c>
      <c r="M74" s="2">
        <v>45912.713842592595</v>
      </c>
      <c r="N74" s="1" t="s">
        <v>61</v>
      </c>
      <c r="O74" s="1" t="s">
        <v>62</v>
      </c>
      <c r="P74" s="1" t="s">
        <v>61</v>
      </c>
      <c r="Q74" s="1" t="s">
        <v>74</v>
      </c>
      <c r="R74" s="2">
        <v>45925.636284722219</v>
      </c>
      <c r="S74" s="1" t="s">
        <v>372</v>
      </c>
      <c r="T74" s="1" t="s">
        <v>65</v>
      </c>
      <c r="U74">
        <v>580021</v>
      </c>
      <c r="V74" s="1" t="s">
        <v>66</v>
      </c>
      <c r="W74">
        <v>3600</v>
      </c>
      <c r="X74">
        <v>12</v>
      </c>
      <c r="Y74">
        <v>0</v>
      </c>
      <c r="Z74">
        <v>0</v>
      </c>
      <c r="AA74">
        <v>12</v>
      </c>
      <c r="AB74">
        <v>385.714</v>
      </c>
      <c r="AC74">
        <v>0</v>
      </c>
      <c r="AD74">
        <v>0</v>
      </c>
      <c r="AE74">
        <v>385.714</v>
      </c>
      <c r="AF74">
        <v>0.85</v>
      </c>
      <c r="AG74">
        <f>MarketPlace_Order_Report[[#This Row],[UnitPrice]]*MarketPlace_Order_Report[[#This Row],[OrderQty]]</f>
        <v>3600</v>
      </c>
      <c r="AH74">
        <f>IFERROR(MarketPlace_Order_Report[[#This Row],[CGSTAmount]]+MarketPlace_Order_Report[[#This Row],[SGSTAmount]]+MarketPlace_Order_Report[[#This Row],[IGSTAmount]],MarketPlace_Order_Report[[#This Row],[TaxAmount]])</f>
        <v>385.714</v>
      </c>
      <c r="AI74">
        <f>MarketPlace_Order_Report[[#This Row],[Gross Amount (Before Tax)]]+MarketPlace_Order_Report[[#This Row],[Total GST Amount]]</f>
        <v>3985.7139999999999</v>
      </c>
      <c r="AJ74" s="1" t="s">
        <v>375</v>
      </c>
    </row>
    <row r="75" spans="1:36">
      <c r="A75" s="1" t="s">
        <v>378</v>
      </c>
      <c r="B75" s="1" t="s">
        <v>380</v>
      </c>
      <c r="C75" s="1" t="s">
        <v>2475</v>
      </c>
      <c r="D75">
        <v>1</v>
      </c>
      <c r="E75">
        <v>1</v>
      </c>
      <c r="F75">
        <v>3750</v>
      </c>
      <c r="G75">
        <v>3375</v>
      </c>
      <c r="H75">
        <v>3375</v>
      </c>
      <c r="I75">
        <v>0</v>
      </c>
      <c r="J75" s="1" t="s">
        <v>59</v>
      </c>
      <c r="K75" s="2">
        <v>45903.78707175926</v>
      </c>
      <c r="L75" s="2">
        <v>45909.71770833333</v>
      </c>
      <c r="M75" s="2">
        <v>45912.669131944444</v>
      </c>
      <c r="N75" s="1" t="s">
        <v>61</v>
      </c>
      <c r="O75" s="1" t="s">
        <v>62</v>
      </c>
      <c r="P75" s="1" t="s">
        <v>61</v>
      </c>
      <c r="Q75" s="1" t="s">
        <v>61</v>
      </c>
      <c r="R75" s="2">
        <v>45912.671226851853</v>
      </c>
      <c r="S75" s="1" t="s">
        <v>324</v>
      </c>
      <c r="T75" s="1" t="s">
        <v>318</v>
      </c>
      <c r="U75">
        <v>411014</v>
      </c>
      <c r="V75" s="1" t="s">
        <v>66</v>
      </c>
      <c r="W75">
        <v>3375</v>
      </c>
      <c r="X75">
        <v>12</v>
      </c>
      <c r="Y75">
        <v>6</v>
      </c>
      <c r="Z75">
        <v>6</v>
      </c>
      <c r="AA75">
        <v>0</v>
      </c>
      <c r="AB75">
        <v>361.60700000000003</v>
      </c>
      <c r="AC75">
        <v>180.804</v>
      </c>
      <c r="AD75">
        <v>180.804</v>
      </c>
      <c r="AE75">
        <v>0</v>
      </c>
      <c r="AF75">
        <v>0.75</v>
      </c>
      <c r="AG75">
        <f>MarketPlace_Order_Report[[#This Row],[UnitPrice]]*MarketPlace_Order_Report[[#This Row],[OrderQty]]</f>
        <v>3375</v>
      </c>
      <c r="AH75">
        <f>IFERROR(MarketPlace_Order_Report[[#This Row],[CGSTAmount]]+MarketPlace_Order_Report[[#This Row],[SGSTAmount]]+MarketPlace_Order_Report[[#This Row],[IGSTAmount]],MarketPlace_Order_Report[[#This Row],[TaxAmount]])</f>
        <v>361.608</v>
      </c>
      <c r="AI75">
        <f>MarketPlace_Order_Report[[#This Row],[Gross Amount (Before Tax)]]+MarketPlace_Order_Report[[#This Row],[Total GST Amount]]</f>
        <v>3736.6080000000002</v>
      </c>
      <c r="AJ75" s="1" t="s">
        <v>379</v>
      </c>
    </row>
    <row r="76" spans="1:36" hidden="1">
      <c r="A76" s="1" t="s">
        <v>382</v>
      </c>
      <c r="B76" s="1" t="s">
        <v>385</v>
      </c>
      <c r="C76" s="1" t="s">
        <v>187</v>
      </c>
      <c r="D76">
        <v>1</v>
      </c>
      <c r="E76">
        <v>0</v>
      </c>
      <c r="F76">
        <v>3750</v>
      </c>
      <c r="G76">
        <v>3375</v>
      </c>
      <c r="H76">
        <v>3408.24</v>
      </c>
      <c r="I76">
        <v>33.24</v>
      </c>
      <c r="J76" s="1" t="s">
        <v>72</v>
      </c>
      <c r="K76" s="2">
        <v>45923.881550925929</v>
      </c>
      <c r="L76" s="2"/>
      <c r="M76" s="2"/>
      <c r="N76" s="1" t="s">
        <v>386</v>
      </c>
      <c r="O76" s="1" t="s">
        <v>62</v>
      </c>
      <c r="P76" s="1" t="s">
        <v>61</v>
      </c>
      <c r="Q76" s="1" t="s">
        <v>61</v>
      </c>
      <c r="R76" s="2">
        <v>45923.88208333333</v>
      </c>
      <c r="S76" s="1" t="s">
        <v>387</v>
      </c>
      <c r="T76" s="1" t="s">
        <v>318</v>
      </c>
      <c r="U76">
        <v>421001</v>
      </c>
      <c r="V76" s="1" t="s">
        <v>66</v>
      </c>
      <c r="W76">
        <v>3375</v>
      </c>
      <c r="X76">
        <v>18</v>
      </c>
      <c r="Y76">
        <v>9</v>
      </c>
      <c r="Z76">
        <v>9</v>
      </c>
      <c r="AA76">
        <v>0</v>
      </c>
      <c r="AB76">
        <v>514.83100000000002</v>
      </c>
      <c r="AC76">
        <v>257.416</v>
      </c>
      <c r="AD76">
        <v>257.416</v>
      </c>
      <c r="AE76">
        <v>0</v>
      </c>
      <c r="AG76">
        <f>MarketPlace_Order_Report[[#This Row],[UnitPrice]]*MarketPlace_Order_Report[[#This Row],[OrderQty]]</f>
        <v>3375</v>
      </c>
      <c r="AH76">
        <f>IFERROR(MarketPlace_Order_Report[[#This Row],[CGSTAmount]]+MarketPlace_Order_Report[[#This Row],[SGSTAmount]]+MarketPlace_Order_Report[[#This Row],[IGSTAmount]],MarketPlace_Order_Report[[#This Row],[TaxAmount]])</f>
        <v>514.83199999999999</v>
      </c>
      <c r="AI76">
        <f>MarketPlace_Order_Report[[#This Row],[Gross Amount (Before Tax)]]+MarketPlace_Order_Report[[#This Row],[Total GST Amount]]</f>
        <v>3889.8319999999999</v>
      </c>
      <c r="AJ76" s="1" t="s">
        <v>383</v>
      </c>
    </row>
    <row r="77" spans="1:36" hidden="1">
      <c r="A77" s="1" t="s">
        <v>388</v>
      </c>
      <c r="B77" s="1" t="s">
        <v>391</v>
      </c>
      <c r="C77" s="1" t="s">
        <v>187</v>
      </c>
      <c r="D77">
        <v>1</v>
      </c>
      <c r="E77">
        <v>0</v>
      </c>
      <c r="F77">
        <v>3750</v>
      </c>
      <c r="G77">
        <v>3375</v>
      </c>
      <c r="H77">
        <v>3388.04</v>
      </c>
      <c r="I77">
        <v>13.04</v>
      </c>
      <c r="J77" s="1" t="s">
        <v>72</v>
      </c>
      <c r="K77" s="2">
        <v>45922.642511574071</v>
      </c>
      <c r="L77" s="2"/>
      <c r="M77" s="2"/>
      <c r="N77" s="1" t="s">
        <v>188</v>
      </c>
      <c r="O77" s="1" t="s">
        <v>62</v>
      </c>
      <c r="P77" s="1" t="s">
        <v>61</v>
      </c>
      <c r="Q77" s="1" t="s">
        <v>61</v>
      </c>
      <c r="R77" s="2">
        <v>45931.989212962966</v>
      </c>
      <c r="S77" s="1" t="s">
        <v>392</v>
      </c>
      <c r="T77" s="1" t="s">
        <v>318</v>
      </c>
      <c r="U77">
        <v>412211</v>
      </c>
      <c r="V77" s="1" t="s">
        <v>66</v>
      </c>
      <c r="W77">
        <v>3375</v>
      </c>
      <c r="X77">
        <v>18</v>
      </c>
      <c r="Y77">
        <v>9</v>
      </c>
      <c r="Z77">
        <v>9</v>
      </c>
      <c r="AA77">
        <v>0</v>
      </c>
      <c r="AB77">
        <v>514.83100000000002</v>
      </c>
      <c r="AC77">
        <v>257.416</v>
      </c>
      <c r="AD77">
        <v>257.416</v>
      </c>
      <c r="AE77">
        <v>0</v>
      </c>
      <c r="AG77">
        <f>MarketPlace_Order_Report[[#This Row],[UnitPrice]]*MarketPlace_Order_Report[[#This Row],[OrderQty]]</f>
        <v>3375</v>
      </c>
      <c r="AH77">
        <f>IFERROR(MarketPlace_Order_Report[[#This Row],[CGSTAmount]]+MarketPlace_Order_Report[[#This Row],[SGSTAmount]]+MarketPlace_Order_Report[[#This Row],[IGSTAmount]],MarketPlace_Order_Report[[#This Row],[TaxAmount]])</f>
        <v>514.83199999999999</v>
      </c>
      <c r="AI77">
        <f>MarketPlace_Order_Report[[#This Row],[Gross Amount (Before Tax)]]+MarketPlace_Order_Report[[#This Row],[Total GST Amount]]</f>
        <v>3889.8319999999999</v>
      </c>
      <c r="AJ77" s="1" t="s">
        <v>389</v>
      </c>
    </row>
    <row r="78" spans="1:36">
      <c r="A78" s="1" t="s">
        <v>393</v>
      </c>
      <c r="B78" s="1" t="s">
        <v>396</v>
      </c>
      <c r="C78" s="1" t="s">
        <v>2475</v>
      </c>
      <c r="D78">
        <v>1</v>
      </c>
      <c r="E78">
        <v>1</v>
      </c>
      <c r="F78">
        <v>3750</v>
      </c>
      <c r="G78">
        <v>3375</v>
      </c>
      <c r="H78">
        <v>3375</v>
      </c>
      <c r="I78">
        <v>0</v>
      </c>
      <c r="J78" s="1" t="s">
        <v>59</v>
      </c>
      <c r="K78" s="2">
        <v>45913.982881944445</v>
      </c>
      <c r="L78" s="2">
        <v>45915.711805555555</v>
      </c>
      <c r="M78" s="2">
        <v>45917.597222222219</v>
      </c>
      <c r="N78" s="1" t="s">
        <v>61</v>
      </c>
      <c r="O78" s="1" t="s">
        <v>62</v>
      </c>
      <c r="P78" s="1" t="s">
        <v>61</v>
      </c>
      <c r="Q78" s="1" t="s">
        <v>61</v>
      </c>
      <c r="R78" s="2">
        <v>45917.605115740742</v>
      </c>
      <c r="S78" s="1" t="s">
        <v>108</v>
      </c>
      <c r="T78" s="1" t="s">
        <v>109</v>
      </c>
      <c r="U78">
        <v>500009</v>
      </c>
      <c r="V78" s="1" t="s">
        <v>66</v>
      </c>
      <c r="W78">
        <v>3375</v>
      </c>
      <c r="X78">
        <v>12</v>
      </c>
      <c r="Y78">
        <v>0</v>
      </c>
      <c r="Z78">
        <v>0</v>
      </c>
      <c r="AA78">
        <v>12</v>
      </c>
      <c r="AB78">
        <v>361.60700000000003</v>
      </c>
      <c r="AC78">
        <v>0</v>
      </c>
      <c r="AD78">
        <v>0</v>
      </c>
      <c r="AE78">
        <v>361.60700000000003</v>
      </c>
      <c r="AF78">
        <v>0.85</v>
      </c>
      <c r="AG78">
        <f>MarketPlace_Order_Report[[#This Row],[UnitPrice]]*MarketPlace_Order_Report[[#This Row],[OrderQty]]</f>
        <v>3375</v>
      </c>
      <c r="AH78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AI78">
        <f>MarketPlace_Order_Report[[#This Row],[Gross Amount (Before Tax)]]+MarketPlace_Order_Report[[#This Row],[Total GST Amount]]</f>
        <v>3736.607</v>
      </c>
      <c r="AJ78" s="1" t="s">
        <v>394</v>
      </c>
    </row>
    <row r="79" spans="1:36">
      <c r="A79" s="1" t="s">
        <v>397</v>
      </c>
      <c r="B79" s="1" t="s">
        <v>400</v>
      </c>
      <c r="C79" s="1" t="s">
        <v>2475</v>
      </c>
      <c r="D79">
        <v>1</v>
      </c>
      <c r="E79">
        <v>1</v>
      </c>
      <c r="F79">
        <v>3750</v>
      </c>
      <c r="G79">
        <v>3375</v>
      </c>
      <c r="H79">
        <v>3389.4470000000001</v>
      </c>
      <c r="I79">
        <v>14.446999999999999</v>
      </c>
      <c r="J79" s="1" t="s">
        <v>59</v>
      </c>
      <c r="K79" s="2">
        <v>45918.817280092589</v>
      </c>
      <c r="L79" s="2">
        <v>45919.696550925924</v>
      </c>
      <c r="M79" s="2">
        <v>45921.711099537039</v>
      </c>
      <c r="N79" s="1" t="s">
        <v>61</v>
      </c>
      <c r="O79" s="1" t="s">
        <v>62</v>
      </c>
      <c r="P79" s="1" t="s">
        <v>61</v>
      </c>
      <c r="Q79" s="1" t="s">
        <v>61</v>
      </c>
      <c r="R79" s="2">
        <v>45921.712650462963</v>
      </c>
      <c r="S79" s="1" t="s">
        <v>94</v>
      </c>
      <c r="T79" s="1" t="s">
        <v>77</v>
      </c>
      <c r="U79">
        <v>208001</v>
      </c>
      <c r="V79" s="1" t="s">
        <v>66</v>
      </c>
      <c r="W79">
        <v>3375</v>
      </c>
      <c r="X79">
        <v>12</v>
      </c>
      <c r="Y79">
        <v>0</v>
      </c>
      <c r="Z79">
        <v>0</v>
      </c>
      <c r="AA79">
        <v>12</v>
      </c>
      <c r="AB79">
        <v>361.60700000000003</v>
      </c>
      <c r="AC79">
        <v>0</v>
      </c>
      <c r="AD79">
        <v>0</v>
      </c>
      <c r="AE79">
        <v>361.60700000000003</v>
      </c>
      <c r="AF79">
        <v>1.2</v>
      </c>
      <c r="AG79">
        <f>MarketPlace_Order_Report[[#This Row],[UnitPrice]]*MarketPlace_Order_Report[[#This Row],[OrderQty]]</f>
        <v>3375</v>
      </c>
      <c r="AH79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AI79">
        <f>MarketPlace_Order_Report[[#This Row],[Gross Amount (Before Tax)]]+MarketPlace_Order_Report[[#This Row],[Total GST Amount]]</f>
        <v>3736.607</v>
      </c>
      <c r="AJ79" s="1" t="s">
        <v>398</v>
      </c>
    </row>
    <row r="80" spans="1:36">
      <c r="A80" s="1" t="s">
        <v>401</v>
      </c>
      <c r="B80" s="1" t="s">
        <v>404</v>
      </c>
      <c r="C80" s="1" t="s">
        <v>2475</v>
      </c>
      <c r="D80">
        <v>1</v>
      </c>
      <c r="E80">
        <v>1</v>
      </c>
      <c r="F80">
        <v>3750</v>
      </c>
      <c r="G80">
        <v>3375</v>
      </c>
      <c r="H80">
        <v>3379.31</v>
      </c>
      <c r="I80">
        <v>4.3099999999999996</v>
      </c>
      <c r="J80" s="1" t="s">
        <v>59</v>
      </c>
      <c r="K80" s="2">
        <v>45906.74759259259</v>
      </c>
      <c r="L80" s="2">
        <v>45909.717719907407</v>
      </c>
      <c r="M80" s="2">
        <v>45914.623622685183</v>
      </c>
      <c r="N80" s="1" t="s">
        <v>61</v>
      </c>
      <c r="O80" s="1" t="s">
        <v>62</v>
      </c>
      <c r="P80" s="1" t="s">
        <v>61</v>
      </c>
      <c r="Q80" s="1" t="s">
        <v>61</v>
      </c>
      <c r="R80" s="2">
        <v>45914.625891203701</v>
      </c>
      <c r="S80" s="1" t="s">
        <v>98</v>
      </c>
      <c r="T80" s="1" t="s">
        <v>99</v>
      </c>
      <c r="U80">
        <v>122003</v>
      </c>
      <c r="V80" s="1" t="s">
        <v>66</v>
      </c>
      <c r="W80">
        <v>3375</v>
      </c>
      <c r="X80">
        <v>12</v>
      </c>
      <c r="Y80">
        <v>0</v>
      </c>
      <c r="Z80">
        <v>0</v>
      </c>
      <c r="AA80">
        <v>12</v>
      </c>
      <c r="AB80">
        <v>361.60700000000003</v>
      </c>
      <c r="AC80">
        <v>0</v>
      </c>
      <c r="AD80">
        <v>0</v>
      </c>
      <c r="AE80">
        <v>361.60700000000003</v>
      </c>
      <c r="AF80">
        <v>0.85</v>
      </c>
      <c r="AG80">
        <f>MarketPlace_Order_Report[[#This Row],[UnitPrice]]*MarketPlace_Order_Report[[#This Row],[OrderQty]]</f>
        <v>3375</v>
      </c>
      <c r="AH80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AI80">
        <f>MarketPlace_Order_Report[[#This Row],[Gross Amount (Before Tax)]]+MarketPlace_Order_Report[[#This Row],[Total GST Amount]]</f>
        <v>3736.607</v>
      </c>
      <c r="AJ80" s="1" t="s">
        <v>402</v>
      </c>
    </row>
    <row r="81" spans="1:36">
      <c r="A81" s="1" t="s">
        <v>405</v>
      </c>
      <c r="B81" s="1" t="s">
        <v>407</v>
      </c>
      <c r="C81" s="1" t="s">
        <v>2475</v>
      </c>
      <c r="D81">
        <v>1</v>
      </c>
      <c r="E81">
        <v>1</v>
      </c>
      <c r="F81">
        <v>3750</v>
      </c>
      <c r="G81">
        <v>3000</v>
      </c>
      <c r="H81">
        <v>3029</v>
      </c>
      <c r="I81">
        <v>29</v>
      </c>
      <c r="J81" s="1" t="s">
        <v>59</v>
      </c>
      <c r="K81" s="2">
        <v>45904.648275462961</v>
      </c>
      <c r="L81" s="2">
        <v>45905.741354166668</v>
      </c>
      <c r="M81" s="2">
        <v>45909.618831018517</v>
      </c>
      <c r="N81" s="1" t="s">
        <v>61</v>
      </c>
      <c r="O81" s="1" t="s">
        <v>62</v>
      </c>
      <c r="P81" s="1" t="s">
        <v>61</v>
      </c>
      <c r="Q81" s="1" t="s">
        <v>61</v>
      </c>
      <c r="R81" s="2">
        <v>45909.619039351855</v>
      </c>
      <c r="S81" s="1" t="s">
        <v>408</v>
      </c>
      <c r="T81" s="1" t="s">
        <v>318</v>
      </c>
      <c r="U81">
        <v>400064</v>
      </c>
      <c r="V81" s="1" t="s">
        <v>66</v>
      </c>
      <c r="W81">
        <v>3000</v>
      </c>
      <c r="X81">
        <v>12</v>
      </c>
      <c r="Y81">
        <v>6</v>
      </c>
      <c r="Z81">
        <v>6</v>
      </c>
      <c r="AA81">
        <v>0</v>
      </c>
      <c r="AB81">
        <v>321.42899999999997</v>
      </c>
      <c r="AC81">
        <v>160.715</v>
      </c>
      <c r="AD81">
        <v>160.715</v>
      </c>
      <c r="AE81">
        <v>0</v>
      </c>
      <c r="AF81">
        <v>0.85</v>
      </c>
      <c r="AG81">
        <f>MarketPlace_Order_Report[[#This Row],[UnitPrice]]*MarketPlace_Order_Report[[#This Row],[OrderQty]]</f>
        <v>3000</v>
      </c>
      <c r="AH81">
        <f>IFERROR(MarketPlace_Order_Report[[#This Row],[CGSTAmount]]+MarketPlace_Order_Report[[#This Row],[SGSTAmount]]+MarketPlace_Order_Report[[#This Row],[IGSTAmount]],MarketPlace_Order_Report[[#This Row],[TaxAmount]])</f>
        <v>321.43</v>
      </c>
      <c r="AI81">
        <f>MarketPlace_Order_Report[[#This Row],[Gross Amount (Before Tax)]]+MarketPlace_Order_Report[[#This Row],[Total GST Amount]]</f>
        <v>3321.43</v>
      </c>
      <c r="AJ81" s="1" t="s">
        <v>406</v>
      </c>
    </row>
    <row r="82" spans="1:36" hidden="1">
      <c r="A82" s="1" t="s">
        <v>410</v>
      </c>
      <c r="B82" s="1" t="s">
        <v>412</v>
      </c>
      <c r="C82" s="1" t="s">
        <v>413</v>
      </c>
      <c r="D82">
        <v>1</v>
      </c>
      <c r="E82">
        <v>1</v>
      </c>
      <c r="F82">
        <v>3750</v>
      </c>
      <c r="G82">
        <v>3000</v>
      </c>
      <c r="H82">
        <v>3029</v>
      </c>
      <c r="I82">
        <v>29</v>
      </c>
      <c r="J82" s="1" t="s">
        <v>59</v>
      </c>
      <c r="K82" s="2">
        <v>45907.494386574072</v>
      </c>
      <c r="L82" s="2">
        <v>45909.717719907407</v>
      </c>
      <c r="M82" s="2"/>
      <c r="N82" s="1" t="s">
        <v>61</v>
      </c>
      <c r="O82" s="1" t="s">
        <v>62</v>
      </c>
      <c r="P82" s="1" t="s">
        <v>61</v>
      </c>
      <c r="Q82" s="1" t="s">
        <v>103</v>
      </c>
      <c r="R82" s="2">
        <v>45960.782025462962</v>
      </c>
      <c r="S82" s="1" t="s">
        <v>197</v>
      </c>
      <c r="T82" s="1" t="s">
        <v>65</v>
      </c>
      <c r="U82">
        <v>562157</v>
      </c>
      <c r="V82" s="1" t="s">
        <v>66</v>
      </c>
      <c r="W82">
        <v>3000</v>
      </c>
      <c r="X82">
        <v>12</v>
      </c>
      <c r="Y82">
        <v>0</v>
      </c>
      <c r="Z82">
        <v>0</v>
      </c>
      <c r="AA82">
        <v>12</v>
      </c>
      <c r="AB82">
        <v>321.42899999999997</v>
      </c>
      <c r="AC82">
        <v>0</v>
      </c>
      <c r="AD82">
        <v>0</v>
      </c>
      <c r="AE82">
        <v>321.42899999999997</v>
      </c>
      <c r="AF82">
        <v>0.85</v>
      </c>
      <c r="AG82">
        <f>MarketPlace_Order_Report[[#This Row],[UnitPrice]]*MarketPlace_Order_Report[[#This Row],[OrderQty]]</f>
        <v>3000</v>
      </c>
      <c r="AH82">
        <f>IFERROR(MarketPlace_Order_Report[[#This Row],[CGSTAmount]]+MarketPlace_Order_Report[[#This Row],[SGSTAmount]]+MarketPlace_Order_Report[[#This Row],[IGSTAmount]],MarketPlace_Order_Report[[#This Row],[TaxAmount]])</f>
        <v>321.42899999999997</v>
      </c>
      <c r="AI82">
        <f>MarketPlace_Order_Report[[#This Row],[Gross Amount (Before Tax)]]+MarketPlace_Order_Report[[#This Row],[Total GST Amount]]</f>
        <v>3321.4290000000001</v>
      </c>
      <c r="AJ82" s="1" t="s">
        <v>411</v>
      </c>
    </row>
    <row r="83" spans="1:36">
      <c r="A83" s="1" t="s">
        <v>415</v>
      </c>
      <c r="B83" s="1" t="s">
        <v>417</v>
      </c>
      <c r="C83" s="1" t="s">
        <v>2475</v>
      </c>
      <c r="D83">
        <v>1</v>
      </c>
      <c r="E83">
        <v>1</v>
      </c>
      <c r="F83">
        <v>3750</v>
      </c>
      <c r="G83">
        <v>3000</v>
      </c>
      <c r="H83">
        <v>3000</v>
      </c>
      <c r="I83">
        <v>0</v>
      </c>
      <c r="J83" s="1" t="s">
        <v>59</v>
      </c>
      <c r="K83" s="2">
        <v>45914.98715277778</v>
      </c>
      <c r="L83" s="2">
        <v>45917.634189814817</v>
      </c>
      <c r="M83" s="2">
        <v>45918.78460648148</v>
      </c>
      <c r="N83" s="1" t="s">
        <v>61</v>
      </c>
      <c r="O83" s="1" t="s">
        <v>62</v>
      </c>
      <c r="P83" s="1" t="s">
        <v>61</v>
      </c>
      <c r="Q83" s="1" t="s">
        <v>61</v>
      </c>
      <c r="R83" s="2">
        <v>45918.78564814815</v>
      </c>
      <c r="S83" s="1" t="s">
        <v>317</v>
      </c>
      <c r="T83" s="1" t="s">
        <v>318</v>
      </c>
      <c r="U83">
        <v>400706</v>
      </c>
      <c r="V83" s="1" t="s">
        <v>66</v>
      </c>
      <c r="W83">
        <v>3000</v>
      </c>
      <c r="X83">
        <v>12</v>
      </c>
      <c r="Y83">
        <v>6</v>
      </c>
      <c r="Z83">
        <v>6</v>
      </c>
      <c r="AA83">
        <v>0</v>
      </c>
      <c r="AB83">
        <v>321.42899999999997</v>
      </c>
      <c r="AC83">
        <v>160.715</v>
      </c>
      <c r="AD83">
        <v>160.715</v>
      </c>
      <c r="AE83">
        <v>0</v>
      </c>
      <c r="AF83">
        <v>0.85</v>
      </c>
      <c r="AG83">
        <f>MarketPlace_Order_Report[[#This Row],[UnitPrice]]*MarketPlace_Order_Report[[#This Row],[OrderQty]]</f>
        <v>3000</v>
      </c>
      <c r="AH83">
        <f>IFERROR(MarketPlace_Order_Report[[#This Row],[CGSTAmount]]+MarketPlace_Order_Report[[#This Row],[SGSTAmount]]+MarketPlace_Order_Report[[#This Row],[IGSTAmount]],MarketPlace_Order_Report[[#This Row],[TaxAmount]])</f>
        <v>321.43</v>
      </c>
      <c r="AI83">
        <f>MarketPlace_Order_Report[[#This Row],[Gross Amount (Before Tax)]]+MarketPlace_Order_Report[[#This Row],[Total GST Amount]]</f>
        <v>3321.43</v>
      </c>
      <c r="AJ83" s="1" t="s">
        <v>416</v>
      </c>
    </row>
    <row r="84" spans="1:36">
      <c r="A84" s="1" t="s">
        <v>418</v>
      </c>
      <c r="B84" s="1" t="s">
        <v>420</v>
      </c>
      <c r="C84" s="1" t="s">
        <v>2475</v>
      </c>
      <c r="D84">
        <v>1</v>
      </c>
      <c r="E84">
        <v>1</v>
      </c>
      <c r="F84">
        <v>4750</v>
      </c>
      <c r="G84">
        <v>4275</v>
      </c>
      <c r="H84">
        <v>4324</v>
      </c>
      <c r="I84">
        <v>49</v>
      </c>
      <c r="J84" s="1" t="s">
        <v>72</v>
      </c>
      <c r="K84" s="2">
        <v>45922.792187500003</v>
      </c>
      <c r="L84" s="2">
        <v>45925.722881944443</v>
      </c>
      <c r="M84" s="2">
        <v>45928.508287037039</v>
      </c>
      <c r="N84" s="1" t="s">
        <v>61</v>
      </c>
      <c r="O84" s="1" t="s">
        <v>62</v>
      </c>
      <c r="P84" s="1" t="s">
        <v>61</v>
      </c>
      <c r="Q84" s="1" t="s">
        <v>61</v>
      </c>
      <c r="R84" s="2">
        <v>45928.511331018519</v>
      </c>
      <c r="S84" s="1" t="s">
        <v>421</v>
      </c>
      <c r="T84" s="1" t="s">
        <v>77</v>
      </c>
      <c r="U84">
        <v>247001</v>
      </c>
      <c r="V84" s="1" t="s">
        <v>66</v>
      </c>
      <c r="W84">
        <v>4275</v>
      </c>
      <c r="X84">
        <v>18</v>
      </c>
      <c r="Y84">
        <v>0</v>
      </c>
      <c r="Z84">
        <v>0</v>
      </c>
      <c r="AA84">
        <v>18</v>
      </c>
      <c r="AB84">
        <v>652.11900000000003</v>
      </c>
      <c r="AC84">
        <v>0</v>
      </c>
      <c r="AD84">
        <v>0</v>
      </c>
      <c r="AE84">
        <v>652.11900000000003</v>
      </c>
      <c r="AF84">
        <v>0.5</v>
      </c>
      <c r="AG84">
        <f>MarketPlace_Order_Report[[#This Row],[UnitPrice]]*MarketPlace_Order_Report[[#This Row],[OrderQty]]</f>
        <v>4275</v>
      </c>
      <c r="AH84">
        <f>IFERROR(MarketPlace_Order_Report[[#This Row],[CGSTAmount]]+MarketPlace_Order_Report[[#This Row],[SGSTAmount]]+MarketPlace_Order_Report[[#This Row],[IGSTAmount]],MarketPlace_Order_Report[[#This Row],[TaxAmount]])</f>
        <v>652.11900000000003</v>
      </c>
      <c r="AI84">
        <f>MarketPlace_Order_Report[[#This Row],[Gross Amount (Before Tax)]]+MarketPlace_Order_Report[[#This Row],[Total GST Amount]]</f>
        <v>4927.1189999999997</v>
      </c>
      <c r="AJ84" s="1" t="s">
        <v>419</v>
      </c>
    </row>
    <row r="85" spans="1:36">
      <c r="A85" s="1" t="s">
        <v>422</v>
      </c>
      <c r="B85" s="1" t="s">
        <v>424</v>
      </c>
      <c r="C85" s="1" t="s">
        <v>2475</v>
      </c>
      <c r="D85">
        <v>1</v>
      </c>
      <c r="E85">
        <v>1</v>
      </c>
      <c r="F85">
        <v>4750</v>
      </c>
      <c r="G85">
        <v>4275</v>
      </c>
      <c r="H85">
        <v>4275</v>
      </c>
      <c r="I85">
        <v>0</v>
      </c>
      <c r="J85" s="1" t="s">
        <v>59</v>
      </c>
      <c r="K85" s="2">
        <v>45919.347754629627</v>
      </c>
      <c r="L85" s="2">
        <v>45919.652083333334</v>
      </c>
      <c r="M85" s="2">
        <v>45921.585416666669</v>
      </c>
      <c r="N85" s="1" t="s">
        <v>61</v>
      </c>
      <c r="O85" s="1" t="s">
        <v>62</v>
      </c>
      <c r="P85" s="1" t="s">
        <v>61</v>
      </c>
      <c r="Q85" s="1" t="s">
        <v>61</v>
      </c>
      <c r="R85" s="2">
        <v>45921.591215277775</v>
      </c>
      <c r="S85" s="1" t="s">
        <v>425</v>
      </c>
      <c r="T85" s="1" t="s">
        <v>99</v>
      </c>
      <c r="U85">
        <v>133001</v>
      </c>
      <c r="V85" s="1" t="s">
        <v>66</v>
      </c>
      <c r="W85">
        <v>4275</v>
      </c>
      <c r="X85">
        <v>12</v>
      </c>
      <c r="Y85">
        <v>0</v>
      </c>
      <c r="Z85">
        <v>0</v>
      </c>
      <c r="AA85">
        <v>12</v>
      </c>
      <c r="AB85">
        <v>458.036</v>
      </c>
      <c r="AC85">
        <v>0</v>
      </c>
      <c r="AD85">
        <v>0</v>
      </c>
      <c r="AE85">
        <v>458.036</v>
      </c>
      <c r="AF85">
        <v>0.85</v>
      </c>
      <c r="AG85">
        <f>MarketPlace_Order_Report[[#This Row],[UnitPrice]]*MarketPlace_Order_Report[[#This Row],[OrderQty]]</f>
        <v>4275</v>
      </c>
      <c r="AH85">
        <f>IFERROR(MarketPlace_Order_Report[[#This Row],[CGSTAmount]]+MarketPlace_Order_Report[[#This Row],[SGSTAmount]]+MarketPlace_Order_Report[[#This Row],[IGSTAmount]],MarketPlace_Order_Report[[#This Row],[TaxAmount]])</f>
        <v>458.036</v>
      </c>
      <c r="AI85">
        <f>MarketPlace_Order_Report[[#This Row],[Gross Amount (Before Tax)]]+MarketPlace_Order_Report[[#This Row],[Total GST Amount]]</f>
        <v>4733.0360000000001</v>
      </c>
      <c r="AJ85" s="1" t="s">
        <v>423</v>
      </c>
    </row>
    <row r="86" spans="1:36" hidden="1">
      <c r="A86" s="1" t="s">
        <v>426</v>
      </c>
      <c r="B86" s="1" t="s">
        <v>428</v>
      </c>
      <c r="C86" s="1" t="s">
        <v>187</v>
      </c>
      <c r="D86">
        <v>1</v>
      </c>
      <c r="E86">
        <v>0</v>
      </c>
      <c r="F86">
        <v>4000</v>
      </c>
      <c r="G86">
        <v>3600</v>
      </c>
      <c r="H86">
        <v>3649</v>
      </c>
      <c r="I86">
        <v>49</v>
      </c>
      <c r="J86" s="1" t="s">
        <v>72</v>
      </c>
      <c r="K86" s="2">
        <v>45920.840914351851</v>
      </c>
      <c r="L86" s="2"/>
      <c r="M86" s="2"/>
      <c r="N86" s="1" t="s">
        <v>386</v>
      </c>
      <c r="O86" s="1" t="s">
        <v>62</v>
      </c>
      <c r="P86" s="1" t="s">
        <v>61</v>
      </c>
      <c r="Q86" s="1" t="s">
        <v>61</v>
      </c>
      <c r="R86" s="2">
        <v>45920.841423611113</v>
      </c>
      <c r="S86" s="1" t="s">
        <v>429</v>
      </c>
      <c r="T86" s="1" t="s">
        <v>231</v>
      </c>
      <c r="U86">
        <v>814145</v>
      </c>
      <c r="V86" s="1" t="s">
        <v>66</v>
      </c>
      <c r="W86">
        <v>3600</v>
      </c>
      <c r="X86">
        <v>12</v>
      </c>
      <c r="Y86">
        <v>0</v>
      </c>
      <c r="Z86">
        <v>0</v>
      </c>
      <c r="AA86">
        <v>12</v>
      </c>
      <c r="AB86">
        <v>385.714</v>
      </c>
      <c r="AC86">
        <v>0</v>
      </c>
      <c r="AD86">
        <v>0</v>
      </c>
      <c r="AE86">
        <v>385.714</v>
      </c>
      <c r="AG86">
        <f>MarketPlace_Order_Report[[#This Row],[UnitPrice]]*MarketPlace_Order_Report[[#This Row],[OrderQty]]</f>
        <v>3600</v>
      </c>
      <c r="AH86">
        <f>IFERROR(MarketPlace_Order_Report[[#This Row],[CGSTAmount]]+MarketPlace_Order_Report[[#This Row],[SGSTAmount]]+MarketPlace_Order_Report[[#This Row],[IGSTAmount]],MarketPlace_Order_Report[[#This Row],[TaxAmount]])</f>
        <v>385.714</v>
      </c>
      <c r="AI86">
        <f>MarketPlace_Order_Report[[#This Row],[Gross Amount (Before Tax)]]+MarketPlace_Order_Report[[#This Row],[Total GST Amount]]</f>
        <v>3985.7139999999999</v>
      </c>
      <c r="AJ86" s="1" t="s">
        <v>427</v>
      </c>
    </row>
    <row r="87" spans="1:36" hidden="1">
      <c r="A87" s="1" t="s">
        <v>430</v>
      </c>
      <c r="B87" s="1" t="s">
        <v>432</v>
      </c>
      <c r="C87" s="1" t="s">
        <v>102</v>
      </c>
      <c r="D87">
        <v>1</v>
      </c>
      <c r="E87">
        <v>1</v>
      </c>
      <c r="F87">
        <v>4000</v>
      </c>
      <c r="G87">
        <v>3600</v>
      </c>
      <c r="H87">
        <v>3628.96</v>
      </c>
      <c r="I87">
        <v>28.96</v>
      </c>
      <c r="J87" s="1" t="s">
        <v>72</v>
      </c>
      <c r="K87" s="2">
        <v>45924.472071759257</v>
      </c>
      <c r="L87" s="2">
        <v>45925.616585648146</v>
      </c>
      <c r="M87" s="2"/>
      <c r="N87" s="1" t="s">
        <v>61</v>
      </c>
      <c r="O87" s="1" t="s">
        <v>62</v>
      </c>
      <c r="P87" s="1" t="s">
        <v>61</v>
      </c>
      <c r="Q87" s="1" t="s">
        <v>103</v>
      </c>
      <c r="R87" s="2">
        <v>45946.608483796299</v>
      </c>
      <c r="S87" s="1" t="s">
        <v>433</v>
      </c>
      <c r="T87" s="1" t="s">
        <v>434</v>
      </c>
      <c r="U87">
        <v>361305</v>
      </c>
      <c r="V87" s="1" t="s">
        <v>66</v>
      </c>
      <c r="W87">
        <v>3600</v>
      </c>
      <c r="X87">
        <v>18</v>
      </c>
      <c r="Y87">
        <v>0</v>
      </c>
      <c r="Z87">
        <v>0</v>
      </c>
      <c r="AA87">
        <v>18</v>
      </c>
      <c r="AB87">
        <v>549.15300000000002</v>
      </c>
      <c r="AC87">
        <v>0</v>
      </c>
      <c r="AD87">
        <v>0</v>
      </c>
      <c r="AE87">
        <v>549.15300000000002</v>
      </c>
      <c r="AF87">
        <v>0.85</v>
      </c>
      <c r="AG87">
        <f>MarketPlace_Order_Report[[#This Row],[UnitPrice]]*MarketPlace_Order_Report[[#This Row],[OrderQty]]</f>
        <v>3600</v>
      </c>
      <c r="AH87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87">
        <f>MarketPlace_Order_Report[[#This Row],[Gross Amount (Before Tax)]]+MarketPlace_Order_Report[[#This Row],[Total GST Amount]]</f>
        <v>4149.1530000000002</v>
      </c>
      <c r="AJ87" s="1" t="s">
        <v>431</v>
      </c>
    </row>
    <row r="88" spans="1:36">
      <c r="A88" s="1" t="s">
        <v>435</v>
      </c>
      <c r="B88" s="1" t="s">
        <v>432</v>
      </c>
      <c r="C88" s="1" t="s">
        <v>2475</v>
      </c>
      <c r="D88">
        <v>1</v>
      </c>
      <c r="E88">
        <v>1</v>
      </c>
      <c r="F88">
        <v>4000</v>
      </c>
      <c r="G88">
        <v>3600</v>
      </c>
      <c r="H88">
        <v>3632.06</v>
      </c>
      <c r="I88">
        <v>32.06</v>
      </c>
      <c r="J88" s="1" t="s">
        <v>72</v>
      </c>
      <c r="K88" s="2">
        <v>45922.873645833337</v>
      </c>
      <c r="L88" s="2">
        <v>45924.625416666669</v>
      </c>
      <c r="M88" s="2">
        <v>45931.594363425924</v>
      </c>
      <c r="N88" s="1" t="s">
        <v>61</v>
      </c>
      <c r="O88" s="1" t="s">
        <v>62</v>
      </c>
      <c r="P88" s="1" t="s">
        <v>61</v>
      </c>
      <c r="Q88" s="1" t="s">
        <v>61</v>
      </c>
      <c r="R88" s="2">
        <v>45931.597870370373</v>
      </c>
      <c r="S88" s="1" t="s">
        <v>437</v>
      </c>
      <c r="T88" s="1" t="s">
        <v>434</v>
      </c>
      <c r="U88">
        <v>380059</v>
      </c>
      <c r="V88" s="1" t="s">
        <v>66</v>
      </c>
      <c r="W88">
        <v>3600</v>
      </c>
      <c r="X88">
        <v>18</v>
      </c>
      <c r="Y88">
        <v>0</v>
      </c>
      <c r="Z88">
        <v>0</v>
      </c>
      <c r="AA88">
        <v>18</v>
      </c>
      <c r="AB88">
        <v>549.15300000000002</v>
      </c>
      <c r="AC88">
        <v>0</v>
      </c>
      <c r="AD88">
        <v>0</v>
      </c>
      <c r="AE88">
        <v>549.15300000000002</v>
      </c>
      <c r="AF88">
        <v>0.85</v>
      </c>
      <c r="AG88">
        <f>MarketPlace_Order_Report[[#This Row],[UnitPrice]]*MarketPlace_Order_Report[[#This Row],[OrderQty]]</f>
        <v>3600</v>
      </c>
      <c r="AH88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88">
        <f>MarketPlace_Order_Report[[#This Row],[Gross Amount (Before Tax)]]+MarketPlace_Order_Report[[#This Row],[Total GST Amount]]</f>
        <v>4149.1530000000002</v>
      </c>
      <c r="AJ88" s="1" t="s">
        <v>436</v>
      </c>
    </row>
    <row r="89" spans="1:36">
      <c r="A89" s="1" t="s">
        <v>438</v>
      </c>
      <c r="B89" s="1" t="s">
        <v>440</v>
      </c>
      <c r="C89" s="1" t="s">
        <v>2475</v>
      </c>
      <c r="D89">
        <v>1</v>
      </c>
      <c r="E89">
        <v>1</v>
      </c>
      <c r="F89">
        <v>4000</v>
      </c>
      <c r="G89">
        <v>3600</v>
      </c>
      <c r="H89">
        <v>3649</v>
      </c>
      <c r="I89">
        <v>49</v>
      </c>
      <c r="J89" s="1" t="s">
        <v>72</v>
      </c>
      <c r="K89" s="2">
        <v>45919.652881944443</v>
      </c>
      <c r="L89" s="2">
        <v>45920.613900462966</v>
      </c>
      <c r="M89" s="2">
        <v>45922.808587962965</v>
      </c>
      <c r="N89" s="1" t="s">
        <v>61</v>
      </c>
      <c r="O89" s="1" t="s">
        <v>62</v>
      </c>
      <c r="P89" s="1" t="s">
        <v>61</v>
      </c>
      <c r="Q89" s="1" t="s">
        <v>61</v>
      </c>
      <c r="R89" s="2">
        <v>45922.809872685182</v>
      </c>
      <c r="S89" s="1" t="s">
        <v>441</v>
      </c>
      <c r="T89" s="1" t="s">
        <v>318</v>
      </c>
      <c r="U89">
        <v>400067</v>
      </c>
      <c r="V89" s="1" t="s">
        <v>66</v>
      </c>
      <c r="W89">
        <v>3600</v>
      </c>
      <c r="X89">
        <v>12</v>
      </c>
      <c r="Y89">
        <v>6</v>
      </c>
      <c r="Z89">
        <v>6</v>
      </c>
      <c r="AA89">
        <v>0</v>
      </c>
      <c r="AB89">
        <v>385.714</v>
      </c>
      <c r="AC89">
        <v>192.857</v>
      </c>
      <c r="AD89">
        <v>192.857</v>
      </c>
      <c r="AE89">
        <v>0</v>
      </c>
      <c r="AF89">
        <v>0.85</v>
      </c>
      <c r="AG89">
        <f>MarketPlace_Order_Report[[#This Row],[UnitPrice]]*MarketPlace_Order_Report[[#This Row],[OrderQty]]</f>
        <v>3600</v>
      </c>
      <c r="AH89">
        <f>IFERROR(MarketPlace_Order_Report[[#This Row],[CGSTAmount]]+MarketPlace_Order_Report[[#This Row],[SGSTAmount]]+MarketPlace_Order_Report[[#This Row],[IGSTAmount]],MarketPlace_Order_Report[[#This Row],[TaxAmount]])</f>
        <v>385.714</v>
      </c>
      <c r="AI89">
        <f>MarketPlace_Order_Report[[#This Row],[Gross Amount (Before Tax)]]+MarketPlace_Order_Report[[#This Row],[Total GST Amount]]</f>
        <v>3985.7139999999999</v>
      </c>
      <c r="AJ89" s="1" t="s">
        <v>439</v>
      </c>
    </row>
    <row r="90" spans="1:36" hidden="1">
      <c r="A90" s="1" t="s">
        <v>442</v>
      </c>
      <c r="B90" s="1" t="s">
        <v>444</v>
      </c>
      <c r="C90" s="1" t="s">
        <v>71</v>
      </c>
      <c r="D90">
        <v>1</v>
      </c>
      <c r="E90">
        <v>1</v>
      </c>
      <c r="F90">
        <v>4000</v>
      </c>
      <c r="G90">
        <v>3600</v>
      </c>
      <c r="H90">
        <v>3629</v>
      </c>
      <c r="I90">
        <v>29</v>
      </c>
      <c r="J90" s="1" t="s">
        <v>59</v>
      </c>
      <c r="K90" s="2">
        <v>45927.879965277774</v>
      </c>
      <c r="L90" s="2">
        <v>45930.648726851854</v>
      </c>
      <c r="M90" s="2">
        <v>45938.649675925924</v>
      </c>
      <c r="N90" s="1" t="s">
        <v>61</v>
      </c>
      <c r="O90" s="1" t="s">
        <v>62</v>
      </c>
      <c r="P90" s="1" t="s">
        <v>61</v>
      </c>
      <c r="Q90" s="1" t="s">
        <v>74</v>
      </c>
      <c r="R90" s="2">
        <v>45948.823819444442</v>
      </c>
      <c r="S90" s="1" t="s">
        <v>136</v>
      </c>
      <c r="T90" s="1" t="s">
        <v>77</v>
      </c>
      <c r="U90">
        <v>201301</v>
      </c>
      <c r="V90" s="1" t="s">
        <v>66</v>
      </c>
      <c r="W90">
        <v>3600</v>
      </c>
      <c r="X90">
        <v>18</v>
      </c>
      <c r="Y90">
        <v>0</v>
      </c>
      <c r="Z90">
        <v>0</v>
      </c>
      <c r="AA90">
        <v>18</v>
      </c>
      <c r="AB90">
        <v>549.15300000000002</v>
      </c>
      <c r="AC90">
        <v>0</v>
      </c>
      <c r="AD90">
        <v>0</v>
      </c>
      <c r="AE90">
        <v>549.15300000000002</v>
      </c>
      <c r="AF90">
        <v>0.85</v>
      </c>
      <c r="AG90">
        <f>MarketPlace_Order_Report[[#This Row],[UnitPrice]]*MarketPlace_Order_Report[[#This Row],[OrderQty]]</f>
        <v>3600</v>
      </c>
      <c r="AH90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90">
        <f>MarketPlace_Order_Report[[#This Row],[Gross Amount (Before Tax)]]+MarketPlace_Order_Report[[#This Row],[Total GST Amount]]</f>
        <v>4149.1530000000002</v>
      </c>
      <c r="AJ90" s="1" t="s">
        <v>443</v>
      </c>
    </row>
    <row r="91" spans="1:36" hidden="1">
      <c r="A91" s="1" t="s">
        <v>445</v>
      </c>
      <c r="B91" s="1" t="s">
        <v>447</v>
      </c>
      <c r="C91" s="1" t="s">
        <v>413</v>
      </c>
      <c r="D91">
        <v>1</v>
      </c>
      <c r="E91">
        <v>1</v>
      </c>
      <c r="F91">
        <v>4000</v>
      </c>
      <c r="G91">
        <v>3600</v>
      </c>
      <c r="H91">
        <v>3649</v>
      </c>
      <c r="I91">
        <v>49</v>
      </c>
      <c r="J91" s="1" t="s">
        <v>72</v>
      </c>
      <c r="K91" s="2">
        <v>45921.045891203707</v>
      </c>
      <c r="L91" s="2">
        <v>45924.625416666669</v>
      </c>
      <c r="M91" s="2"/>
      <c r="N91" s="1" t="s">
        <v>61</v>
      </c>
      <c r="O91" s="1" t="s">
        <v>62</v>
      </c>
      <c r="P91" s="1" t="s">
        <v>61</v>
      </c>
      <c r="Q91" s="1" t="s">
        <v>103</v>
      </c>
      <c r="R91" s="2">
        <v>45955.594687500001</v>
      </c>
      <c r="S91" s="1" t="s">
        <v>448</v>
      </c>
      <c r="T91" s="1" t="s">
        <v>449</v>
      </c>
      <c r="U91">
        <v>492001</v>
      </c>
      <c r="V91" s="1" t="s">
        <v>66</v>
      </c>
      <c r="W91">
        <v>3600</v>
      </c>
      <c r="X91">
        <v>18</v>
      </c>
      <c r="Y91">
        <v>0</v>
      </c>
      <c r="Z91">
        <v>0</v>
      </c>
      <c r="AA91">
        <v>18</v>
      </c>
      <c r="AB91">
        <v>549.15300000000002</v>
      </c>
      <c r="AC91">
        <v>0</v>
      </c>
      <c r="AD91">
        <v>0</v>
      </c>
      <c r="AE91">
        <v>549.15300000000002</v>
      </c>
      <c r="AF91">
        <v>0.85</v>
      </c>
      <c r="AG91">
        <f>MarketPlace_Order_Report[[#This Row],[UnitPrice]]*MarketPlace_Order_Report[[#This Row],[OrderQty]]</f>
        <v>3600</v>
      </c>
      <c r="AH91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91">
        <f>MarketPlace_Order_Report[[#This Row],[Gross Amount (Before Tax)]]+MarketPlace_Order_Report[[#This Row],[Total GST Amount]]</f>
        <v>4149.1530000000002</v>
      </c>
      <c r="AJ91" s="1" t="s">
        <v>446</v>
      </c>
    </row>
    <row r="92" spans="1:36">
      <c r="A92" s="1" t="s">
        <v>450</v>
      </c>
      <c r="B92" s="1" t="s">
        <v>452</v>
      </c>
      <c r="C92" s="1" t="s">
        <v>2475</v>
      </c>
      <c r="D92">
        <v>1</v>
      </c>
      <c r="E92">
        <v>1</v>
      </c>
      <c r="F92">
        <v>4000</v>
      </c>
      <c r="G92">
        <v>3600</v>
      </c>
      <c r="H92">
        <v>3649</v>
      </c>
      <c r="I92">
        <v>49</v>
      </c>
      <c r="J92" s="1" t="s">
        <v>72</v>
      </c>
      <c r="K92" s="2">
        <v>45922.086099537039</v>
      </c>
      <c r="L92" s="2">
        <v>45924.625416666669</v>
      </c>
      <c r="M92" s="2">
        <v>45928.852627314816</v>
      </c>
      <c r="N92" s="1" t="s">
        <v>61</v>
      </c>
      <c r="O92" s="1" t="s">
        <v>62</v>
      </c>
      <c r="P92" s="1" t="s">
        <v>61</v>
      </c>
      <c r="Q92" s="1" t="s">
        <v>61</v>
      </c>
      <c r="R92" s="2">
        <v>45928.85491898148</v>
      </c>
      <c r="S92" s="1" t="s">
        <v>448</v>
      </c>
      <c r="T92" s="1" t="s">
        <v>449</v>
      </c>
      <c r="U92">
        <v>492001</v>
      </c>
      <c r="V92" s="1" t="s">
        <v>66</v>
      </c>
      <c r="W92">
        <v>3600</v>
      </c>
      <c r="X92">
        <v>18</v>
      </c>
      <c r="Y92">
        <v>0</v>
      </c>
      <c r="Z92">
        <v>0</v>
      </c>
      <c r="AA92">
        <v>18</v>
      </c>
      <c r="AB92">
        <v>549.15300000000002</v>
      </c>
      <c r="AC92">
        <v>0</v>
      </c>
      <c r="AD92">
        <v>0</v>
      </c>
      <c r="AE92">
        <v>549.15300000000002</v>
      </c>
      <c r="AF92">
        <v>0.85</v>
      </c>
      <c r="AG92">
        <f>MarketPlace_Order_Report[[#This Row],[UnitPrice]]*MarketPlace_Order_Report[[#This Row],[OrderQty]]</f>
        <v>3600</v>
      </c>
      <c r="AH92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92">
        <f>MarketPlace_Order_Report[[#This Row],[Gross Amount (Before Tax)]]+MarketPlace_Order_Report[[#This Row],[Total GST Amount]]</f>
        <v>4149.1530000000002</v>
      </c>
      <c r="AJ92" s="1" t="s">
        <v>451</v>
      </c>
    </row>
    <row r="93" spans="1:36">
      <c r="A93" s="1" t="s">
        <v>453</v>
      </c>
      <c r="B93" s="1" t="s">
        <v>455</v>
      </c>
      <c r="C93" s="1" t="s">
        <v>2475</v>
      </c>
      <c r="D93">
        <v>1</v>
      </c>
      <c r="E93">
        <v>1</v>
      </c>
      <c r="F93">
        <v>4000</v>
      </c>
      <c r="G93">
        <v>3600</v>
      </c>
      <c r="H93">
        <v>3615.4670000000001</v>
      </c>
      <c r="I93">
        <v>15.467000000000001</v>
      </c>
      <c r="J93" s="1" t="s">
        <v>59</v>
      </c>
      <c r="K93" s="2">
        <v>45928.561898148146</v>
      </c>
      <c r="L93" s="2">
        <v>45930.709201388891</v>
      </c>
      <c r="M93" s="2">
        <v>45939.504444444443</v>
      </c>
      <c r="N93" s="1" t="s">
        <v>61</v>
      </c>
      <c r="O93" s="1" t="s">
        <v>62</v>
      </c>
      <c r="P93" s="1" t="s">
        <v>61</v>
      </c>
      <c r="Q93" s="1" t="s">
        <v>61</v>
      </c>
      <c r="R93" s="2">
        <v>45939.514814814815</v>
      </c>
      <c r="S93" s="1" t="s">
        <v>456</v>
      </c>
      <c r="T93" s="1" t="s">
        <v>83</v>
      </c>
      <c r="U93">
        <v>800020</v>
      </c>
      <c r="V93" s="1" t="s">
        <v>66</v>
      </c>
      <c r="W93">
        <v>3600</v>
      </c>
      <c r="X93">
        <v>18</v>
      </c>
      <c r="Y93">
        <v>0</v>
      </c>
      <c r="Z93">
        <v>0</v>
      </c>
      <c r="AA93">
        <v>18</v>
      </c>
      <c r="AB93">
        <v>549.15300000000002</v>
      </c>
      <c r="AC93">
        <v>0</v>
      </c>
      <c r="AD93">
        <v>0</v>
      </c>
      <c r="AE93">
        <v>549.15300000000002</v>
      </c>
      <c r="AF93">
        <v>1.2</v>
      </c>
      <c r="AG93">
        <f>MarketPlace_Order_Report[[#This Row],[UnitPrice]]*MarketPlace_Order_Report[[#This Row],[OrderQty]]</f>
        <v>3600</v>
      </c>
      <c r="AH9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93">
        <f>MarketPlace_Order_Report[[#This Row],[Gross Amount (Before Tax)]]+MarketPlace_Order_Report[[#This Row],[Total GST Amount]]</f>
        <v>4149.1530000000002</v>
      </c>
      <c r="AJ93" s="1" t="s">
        <v>454</v>
      </c>
    </row>
    <row r="94" spans="1:36" hidden="1">
      <c r="A94" s="1" t="s">
        <v>457</v>
      </c>
      <c r="B94" s="1" t="s">
        <v>455</v>
      </c>
      <c r="C94" s="1" t="s">
        <v>71</v>
      </c>
      <c r="D94">
        <v>1</v>
      </c>
      <c r="E94">
        <v>1</v>
      </c>
      <c r="F94">
        <v>4000</v>
      </c>
      <c r="G94">
        <v>3400</v>
      </c>
      <c r="H94">
        <v>3424.26</v>
      </c>
      <c r="I94">
        <v>24.26</v>
      </c>
      <c r="J94" s="1" t="s">
        <v>59</v>
      </c>
      <c r="K94" s="2">
        <v>45909.950983796298</v>
      </c>
      <c r="L94" s="2">
        <v>45910.756967592592</v>
      </c>
      <c r="M94" s="2">
        <v>45913.803055555552</v>
      </c>
      <c r="N94" s="1" t="s">
        <v>61</v>
      </c>
      <c r="O94" s="1" t="s">
        <v>62</v>
      </c>
      <c r="P94" s="1" t="s">
        <v>61</v>
      </c>
      <c r="Q94" s="1" t="s">
        <v>74</v>
      </c>
      <c r="R94" s="2">
        <v>45925.636284722219</v>
      </c>
      <c r="S94" s="1" t="s">
        <v>459</v>
      </c>
      <c r="T94" s="1" t="s">
        <v>434</v>
      </c>
      <c r="U94">
        <v>360005</v>
      </c>
      <c r="V94" s="1" t="s">
        <v>66</v>
      </c>
      <c r="W94">
        <v>3400</v>
      </c>
      <c r="X94">
        <v>12</v>
      </c>
      <c r="Y94">
        <v>0</v>
      </c>
      <c r="Z94">
        <v>0</v>
      </c>
      <c r="AA94">
        <v>12</v>
      </c>
      <c r="AB94">
        <v>364.286</v>
      </c>
      <c r="AC94">
        <v>0</v>
      </c>
      <c r="AD94">
        <v>0</v>
      </c>
      <c r="AE94">
        <v>364.286</v>
      </c>
      <c r="AF94">
        <v>0.85</v>
      </c>
      <c r="AG94">
        <f>MarketPlace_Order_Report[[#This Row],[UnitPrice]]*MarketPlace_Order_Report[[#This Row],[OrderQty]]</f>
        <v>3400</v>
      </c>
      <c r="AH94">
        <f>IFERROR(MarketPlace_Order_Report[[#This Row],[CGSTAmount]]+MarketPlace_Order_Report[[#This Row],[SGSTAmount]]+MarketPlace_Order_Report[[#This Row],[IGSTAmount]],MarketPlace_Order_Report[[#This Row],[TaxAmount]])</f>
        <v>364.286</v>
      </c>
      <c r="AI94">
        <f>MarketPlace_Order_Report[[#This Row],[Gross Amount (Before Tax)]]+MarketPlace_Order_Report[[#This Row],[Total GST Amount]]</f>
        <v>3764.2860000000001</v>
      </c>
      <c r="AJ94" s="1" t="s">
        <v>458</v>
      </c>
    </row>
    <row r="95" spans="1:36">
      <c r="A95" s="1" t="s">
        <v>460</v>
      </c>
      <c r="B95" s="1" t="s">
        <v>455</v>
      </c>
      <c r="C95" s="1" t="s">
        <v>2475</v>
      </c>
      <c r="D95">
        <v>1</v>
      </c>
      <c r="E95">
        <v>1</v>
      </c>
      <c r="F95">
        <v>4000</v>
      </c>
      <c r="G95">
        <v>3400</v>
      </c>
      <c r="H95">
        <v>3429</v>
      </c>
      <c r="I95">
        <v>29</v>
      </c>
      <c r="J95" s="1" t="s">
        <v>59</v>
      </c>
      <c r="K95" s="2">
        <v>45907.791168981479</v>
      </c>
      <c r="L95" s="2">
        <v>45909.761261574073</v>
      </c>
      <c r="M95" s="2">
        <v>45915.488194444442</v>
      </c>
      <c r="N95" s="1" t="s">
        <v>61</v>
      </c>
      <c r="O95" s="1" t="s">
        <v>62</v>
      </c>
      <c r="P95" s="1" t="s">
        <v>61</v>
      </c>
      <c r="Q95" s="1" t="s">
        <v>61</v>
      </c>
      <c r="R95" s="2">
        <v>45915.490601851852</v>
      </c>
      <c r="S95" s="1" t="s">
        <v>462</v>
      </c>
      <c r="T95" s="1" t="s">
        <v>65</v>
      </c>
      <c r="U95">
        <v>585105</v>
      </c>
      <c r="V95" s="1" t="s">
        <v>66</v>
      </c>
      <c r="W95">
        <v>3400</v>
      </c>
      <c r="X95">
        <v>12</v>
      </c>
      <c r="Y95">
        <v>0</v>
      </c>
      <c r="Z95">
        <v>0</v>
      </c>
      <c r="AA95">
        <v>12</v>
      </c>
      <c r="AB95">
        <v>364.286</v>
      </c>
      <c r="AC95">
        <v>0</v>
      </c>
      <c r="AD95">
        <v>0</v>
      </c>
      <c r="AE95">
        <v>364.286</v>
      </c>
      <c r="AF95">
        <v>0.85</v>
      </c>
      <c r="AG95">
        <f>MarketPlace_Order_Report[[#This Row],[UnitPrice]]*MarketPlace_Order_Report[[#This Row],[OrderQty]]</f>
        <v>3400</v>
      </c>
      <c r="AH95">
        <f>IFERROR(MarketPlace_Order_Report[[#This Row],[CGSTAmount]]+MarketPlace_Order_Report[[#This Row],[SGSTAmount]]+MarketPlace_Order_Report[[#This Row],[IGSTAmount]],MarketPlace_Order_Report[[#This Row],[TaxAmount]])</f>
        <v>364.286</v>
      </c>
      <c r="AI95">
        <f>MarketPlace_Order_Report[[#This Row],[Gross Amount (Before Tax)]]+MarketPlace_Order_Report[[#This Row],[Total GST Amount]]</f>
        <v>3764.2860000000001</v>
      </c>
      <c r="AJ95" s="1" t="s">
        <v>461</v>
      </c>
    </row>
    <row r="96" spans="1:36" hidden="1">
      <c r="A96" s="1" t="s">
        <v>463</v>
      </c>
      <c r="B96" s="1" t="s">
        <v>465</v>
      </c>
      <c r="C96" s="1" t="s">
        <v>102</v>
      </c>
      <c r="D96">
        <v>1</v>
      </c>
      <c r="E96">
        <v>1</v>
      </c>
      <c r="F96">
        <v>4000</v>
      </c>
      <c r="G96">
        <v>3400</v>
      </c>
      <c r="H96">
        <v>3443.85</v>
      </c>
      <c r="I96">
        <v>43.85</v>
      </c>
      <c r="J96" s="1" t="s">
        <v>72</v>
      </c>
      <c r="K96" s="2">
        <v>45915.440011574072</v>
      </c>
      <c r="L96" s="2">
        <v>45917.634189814817</v>
      </c>
      <c r="M96" s="2"/>
      <c r="N96" s="1" t="s">
        <v>61</v>
      </c>
      <c r="O96" s="1" t="s">
        <v>62</v>
      </c>
      <c r="P96" s="1" t="s">
        <v>61</v>
      </c>
      <c r="Q96" s="1" t="s">
        <v>103</v>
      </c>
      <c r="R96" s="2">
        <v>45936.657187500001</v>
      </c>
      <c r="S96" s="1" t="s">
        <v>408</v>
      </c>
      <c r="T96" s="1" t="s">
        <v>318</v>
      </c>
      <c r="U96">
        <v>400026</v>
      </c>
      <c r="V96" s="1" t="s">
        <v>66</v>
      </c>
      <c r="W96">
        <v>3400</v>
      </c>
      <c r="X96">
        <v>12</v>
      </c>
      <c r="Y96">
        <v>6</v>
      </c>
      <c r="Z96">
        <v>6</v>
      </c>
      <c r="AA96">
        <v>0</v>
      </c>
      <c r="AB96">
        <v>364.286</v>
      </c>
      <c r="AC96">
        <v>182.143</v>
      </c>
      <c r="AD96">
        <v>182.143</v>
      </c>
      <c r="AE96">
        <v>0</v>
      </c>
      <c r="AF96">
        <v>0.85</v>
      </c>
      <c r="AG96">
        <f>MarketPlace_Order_Report[[#This Row],[UnitPrice]]*MarketPlace_Order_Report[[#This Row],[OrderQty]]</f>
        <v>3400</v>
      </c>
      <c r="AH96">
        <f>IFERROR(MarketPlace_Order_Report[[#This Row],[CGSTAmount]]+MarketPlace_Order_Report[[#This Row],[SGSTAmount]]+MarketPlace_Order_Report[[#This Row],[IGSTAmount]],MarketPlace_Order_Report[[#This Row],[TaxAmount]])</f>
        <v>364.286</v>
      </c>
      <c r="AI96">
        <f>MarketPlace_Order_Report[[#This Row],[Gross Amount (Before Tax)]]+MarketPlace_Order_Report[[#This Row],[Total GST Amount]]</f>
        <v>3764.2860000000001</v>
      </c>
      <c r="AJ96" s="1" t="s">
        <v>464</v>
      </c>
    </row>
    <row r="97" spans="1:36" hidden="1">
      <c r="A97" s="1" t="s">
        <v>466</v>
      </c>
      <c r="B97" s="1" t="s">
        <v>468</v>
      </c>
      <c r="C97" s="1" t="s">
        <v>71</v>
      </c>
      <c r="D97">
        <v>1</v>
      </c>
      <c r="E97">
        <v>1</v>
      </c>
      <c r="F97">
        <v>4000</v>
      </c>
      <c r="G97">
        <v>3400</v>
      </c>
      <c r="H97">
        <v>3499</v>
      </c>
      <c r="I97">
        <v>99</v>
      </c>
      <c r="J97" s="1" t="s">
        <v>59</v>
      </c>
      <c r="K97" s="2">
        <v>45912.95653935185</v>
      </c>
      <c r="L97" s="2">
        <v>45917.634189814817</v>
      </c>
      <c r="M97" s="2">
        <v>45920.863715277781</v>
      </c>
      <c r="N97" s="1" t="s">
        <v>61</v>
      </c>
      <c r="O97" s="1" t="s">
        <v>62</v>
      </c>
      <c r="P97" s="1" t="s">
        <v>61</v>
      </c>
      <c r="Q97" s="1" t="s">
        <v>74</v>
      </c>
      <c r="R97" s="2">
        <v>45931.636458333334</v>
      </c>
      <c r="S97" s="1" t="s">
        <v>197</v>
      </c>
      <c r="T97" s="1" t="s">
        <v>65</v>
      </c>
      <c r="U97">
        <v>560102</v>
      </c>
      <c r="V97" s="1" t="s">
        <v>66</v>
      </c>
      <c r="W97">
        <v>3400</v>
      </c>
      <c r="X97">
        <v>12</v>
      </c>
      <c r="Y97">
        <v>0</v>
      </c>
      <c r="Z97">
        <v>0</v>
      </c>
      <c r="AA97">
        <v>12</v>
      </c>
      <c r="AB97">
        <v>364.286</v>
      </c>
      <c r="AC97">
        <v>0</v>
      </c>
      <c r="AD97">
        <v>0</v>
      </c>
      <c r="AE97">
        <v>364.286</v>
      </c>
      <c r="AF97">
        <v>0.85</v>
      </c>
      <c r="AG97">
        <f>MarketPlace_Order_Report[[#This Row],[UnitPrice]]*MarketPlace_Order_Report[[#This Row],[OrderQty]]</f>
        <v>3400</v>
      </c>
      <c r="AH97">
        <f>IFERROR(MarketPlace_Order_Report[[#This Row],[CGSTAmount]]+MarketPlace_Order_Report[[#This Row],[SGSTAmount]]+MarketPlace_Order_Report[[#This Row],[IGSTAmount]],MarketPlace_Order_Report[[#This Row],[TaxAmount]])</f>
        <v>364.286</v>
      </c>
      <c r="AI97">
        <f>MarketPlace_Order_Report[[#This Row],[Gross Amount (Before Tax)]]+MarketPlace_Order_Report[[#This Row],[Total GST Amount]]</f>
        <v>3764.2860000000001</v>
      </c>
      <c r="AJ97" s="1" t="s">
        <v>467</v>
      </c>
    </row>
    <row r="98" spans="1:36" hidden="1">
      <c r="A98" s="1" t="s">
        <v>469</v>
      </c>
      <c r="B98" s="1" t="s">
        <v>472</v>
      </c>
      <c r="C98" s="1" t="s">
        <v>71</v>
      </c>
      <c r="D98">
        <v>1</v>
      </c>
      <c r="E98">
        <v>1</v>
      </c>
      <c r="F98">
        <v>3750</v>
      </c>
      <c r="G98">
        <v>3188</v>
      </c>
      <c r="H98">
        <v>3207.56</v>
      </c>
      <c r="I98">
        <v>19.559999999999999</v>
      </c>
      <c r="J98" s="1" t="s">
        <v>72</v>
      </c>
      <c r="K98" s="2">
        <v>45917.659386574072</v>
      </c>
      <c r="L98" s="2">
        <v>45918.700497685182</v>
      </c>
      <c r="M98" s="2">
        <v>45920.529988425929</v>
      </c>
      <c r="N98" s="1" t="s">
        <v>61</v>
      </c>
      <c r="O98" s="1" t="s">
        <v>62</v>
      </c>
      <c r="P98" s="1" t="s">
        <v>61</v>
      </c>
      <c r="Q98" s="1" t="s">
        <v>74</v>
      </c>
      <c r="R98" s="2">
        <v>45954.629421296297</v>
      </c>
      <c r="S98" s="1" t="s">
        <v>473</v>
      </c>
      <c r="T98" s="1" t="s">
        <v>318</v>
      </c>
      <c r="U98">
        <v>410206</v>
      </c>
      <c r="V98" s="1" t="s">
        <v>66</v>
      </c>
      <c r="W98">
        <v>3188</v>
      </c>
      <c r="X98">
        <v>12</v>
      </c>
      <c r="Y98">
        <v>6</v>
      </c>
      <c r="Z98">
        <v>6</v>
      </c>
      <c r="AA98">
        <v>0</v>
      </c>
      <c r="AB98">
        <v>341.57100000000003</v>
      </c>
      <c r="AC98">
        <v>170.786</v>
      </c>
      <c r="AD98">
        <v>170.786</v>
      </c>
      <c r="AE98">
        <v>0</v>
      </c>
      <c r="AF98">
        <v>0.75</v>
      </c>
      <c r="AG98">
        <f>MarketPlace_Order_Report[[#This Row],[UnitPrice]]*MarketPlace_Order_Report[[#This Row],[OrderQty]]</f>
        <v>3188</v>
      </c>
      <c r="AH98">
        <f>IFERROR(MarketPlace_Order_Report[[#This Row],[CGSTAmount]]+MarketPlace_Order_Report[[#This Row],[SGSTAmount]]+MarketPlace_Order_Report[[#This Row],[IGSTAmount]],MarketPlace_Order_Report[[#This Row],[TaxAmount]])</f>
        <v>341.572</v>
      </c>
      <c r="AI98">
        <f>MarketPlace_Order_Report[[#This Row],[Gross Amount (Before Tax)]]+MarketPlace_Order_Report[[#This Row],[Total GST Amount]]</f>
        <v>3529.5720000000001</v>
      </c>
      <c r="AJ98" s="1" t="s">
        <v>470</v>
      </c>
    </row>
    <row r="99" spans="1:36">
      <c r="A99" s="1" t="s">
        <v>474</v>
      </c>
      <c r="B99" s="1" t="s">
        <v>477</v>
      </c>
      <c r="C99" s="1" t="s">
        <v>2475</v>
      </c>
      <c r="D99">
        <v>1</v>
      </c>
      <c r="E99">
        <v>1</v>
      </c>
      <c r="F99">
        <v>3750</v>
      </c>
      <c r="G99">
        <v>3563</v>
      </c>
      <c r="H99">
        <v>3592</v>
      </c>
      <c r="I99">
        <v>29</v>
      </c>
      <c r="J99" s="1" t="s">
        <v>59</v>
      </c>
      <c r="K99" s="2">
        <v>45928.618750000001</v>
      </c>
      <c r="L99" s="2">
        <v>45930.648726851854</v>
      </c>
      <c r="M99" s="2">
        <v>45932.509699074071</v>
      </c>
      <c r="N99" s="1" t="s">
        <v>61</v>
      </c>
      <c r="O99" s="1" t="s">
        <v>62</v>
      </c>
      <c r="P99" s="1" t="s">
        <v>61</v>
      </c>
      <c r="Q99" s="1" t="s">
        <v>61</v>
      </c>
      <c r="R99" s="2">
        <v>45932.511354166665</v>
      </c>
      <c r="S99" s="1" t="s">
        <v>478</v>
      </c>
      <c r="T99" s="1" t="s">
        <v>318</v>
      </c>
      <c r="U99">
        <v>421204</v>
      </c>
      <c r="V99" s="1" t="s">
        <v>66</v>
      </c>
      <c r="W99">
        <v>3563</v>
      </c>
      <c r="X99">
        <v>18</v>
      </c>
      <c r="Y99">
        <v>9</v>
      </c>
      <c r="Z99">
        <v>9</v>
      </c>
      <c r="AA99">
        <v>0</v>
      </c>
      <c r="AB99">
        <v>543.50800000000004</v>
      </c>
      <c r="AC99">
        <v>271.75400000000002</v>
      </c>
      <c r="AD99">
        <v>271.75400000000002</v>
      </c>
      <c r="AE99">
        <v>0</v>
      </c>
      <c r="AF99">
        <v>0.75</v>
      </c>
      <c r="AG99">
        <f>MarketPlace_Order_Report[[#This Row],[UnitPrice]]*MarketPlace_Order_Report[[#This Row],[OrderQty]]</f>
        <v>3563</v>
      </c>
      <c r="AH99">
        <f>IFERROR(MarketPlace_Order_Report[[#This Row],[CGSTAmount]]+MarketPlace_Order_Report[[#This Row],[SGSTAmount]]+MarketPlace_Order_Report[[#This Row],[IGSTAmount]],MarketPlace_Order_Report[[#This Row],[TaxAmount]])</f>
        <v>543.50800000000004</v>
      </c>
      <c r="AI99">
        <f>MarketPlace_Order_Report[[#This Row],[Gross Amount (Before Tax)]]+MarketPlace_Order_Report[[#This Row],[Total GST Amount]]</f>
        <v>4106.5079999999998</v>
      </c>
      <c r="AJ99" s="1" t="s">
        <v>475</v>
      </c>
    </row>
    <row r="100" spans="1:36" hidden="1">
      <c r="A100" s="1" t="s">
        <v>479</v>
      </c>
      <c r="B100" s="1" t="s">
        <v>482</v>
      </c>
      <c r="C100" s="1" t="s">
        <v>71</v>
      </c>
      <c r="D100">
        <v>1</v>
      </c>
      <c r="E100">
        <v>1</v>
      </c>
      <c r="F100">
        <v>3750</v>
      </c>
      <c r="G100">
        <v>3563</v>
      </c>
      <c r="H100">
        <v>3592</v>
      </c>
      <c r="I100">
        <v>29</v>
      </c>
      <c r="J100" s="1" t="s">
        <v>59</v>
      </c>
      <c r="K100" s="2">
        <v>45921.686701388891</v>
      </c>
      <c r="L100" s="2">
        <v>45924.625416666669</v>
      </c>
      <c r="M100" s="2">
        <v>45925.758530092593</v>
      </c>
      <c r="N100" s="1" t="s">
        <v>61</v>
      </c>
      <c r="O100" s="1" t="s">
        <v>62</v>
      </c>
      <c r="P100" s="1" t="s">
        <v>61</v>
      </c>
      <c r="Q100" s="1" t="s">
        <v>74</v>
      </c>
      <c r="R100" s="2">
        <v>45930.649965277778</v>
      </c>
      <c r="S100" s="1" t="s">
        <v>478</v>
      </c>
      <c r="T100" s="1" t="s">
        <v>318</v>
      </c>
      <c r="U100">
        <v>421005</v>
      </c>
      <c r="V100" s="1" t="s">
        <v>66</v>
      </c>
      <c r="W100">
        <v>3563</v>
      </c>
      <c r="X100">
        <v>18</v>
      </c>
      <c r="Y100">
        <v>9</v>
      </c>
      <c r="Z100">
        <v>9</v>
      </c>
      <c r="AA100">
        <v>0</v>
      </c>
      <c r="AB100">
        <v>543.50800000000004</v>
      </c>
      <c r="AC100">
        <v>271.75400000000002</v>
      </c>
      <c r="AD100">
        <v>271.75400000000002</v>
      </c>
      <c r="AE100">
        <v>0</v>
      </c>
      <c r="AF100">
        <v>0.75</v>
      </c>
      <c r="AG100">
        <f>MarketPlace_Order_Report[[#This Row],[UnitPrice]]*MarketPlace_Order_Report[[#This Row],[OrderQty]]</f>
        <v>3563</v>
      </c>
      <c r="AH100">
        <f>IFERROR(MarketPlace_Order_Report[[#This Row],[CGSTAmount]]+MarketPlace_Order_Report[[#This Row],[SGSTAmount]]+MarketPlace_Order_Report[[#This Row],[IGSTAmount]],MarketPlace_Order_Report[[#This Row],[TaxAmount]])</f>
        <v>543.50800000000004</v>
      </c>
      <c r="AI100">
        <f>MarketPlace_Order_Report[[#This Row],[Gross Amount (Before Tax)]]+MarketPlace_Order_Report[[#This Row],[Total GST Amount]]</f>
        <v>4106.5079999999998</v>
      </c>
      <c r="AJ100" s="1" t="s">
        <v>480</v>
      </c>
    </row>
    <row r="101" spans="1:36" hidden="1">
      <c r="A101" s="1" t="s">
        <v>483</v>
      </c>
      <c r="B101" s="1" t="s">
        <v>486</v>
      </c>
      <c r="C101" s="1" t="s">
        <v>71</v>
      </c>
      <c r="D101">
        <v>1</v>
      </c>
      <c r="E101">
        <v>1</v>
      </c>
      <c r="F101">
        <v>3750</v>
      </c>
      <c r="G101">
        <v>3563</v>
      </c>
      <c r="H101">
        <v>3582.92</v>
      </c>
      <c r="I101">
        <v>19.920000000000002</v>
      </c>
      <c r="J101" s="1" t="s">
        <v>59</v>
      </c>
      <c r="K101" s="2">
        <v>45924.998993055553</v>
      </c>
      <c r="L101" s="2">
        <v>45925.72252314815</v>
      </c>
      <c r="M101" s="2">
        <v>45930.585960648146</v>
      </c>
      <c r="N101" s="1" t="s">
        <v>61</v>
      </c>
      <c r="O101" s="1" t="s">
        <v>62</v>
      </c>
      <c r="P101" s="1" t="s">
        <v>61</v>
      </c>
      <c r="Q101" s="1" t="s">
        <v>74</v>
      </c>
      <c r="R101" s="2">
        <v>45945.86209490741</v>
      </c>
      <c r="S101" s="1" t="s">
        <v>487</v>
      </c>
      <c r="T101" s="1" t="s">
        <v>77</v>
      </c>
      <c r="U101">
        <v>243001</v>
      </c>
      <c r="V101" s="1" t="s">
        <v>66</v>
      </c>
      <c r="W101">
        <v>3563</v>
      </c>
      <c r="X101">
        <v>18</v>
      </c>
      <c r="Y101">
        <v>0</v>
      </c>
      <c r="Z101">
        <v>0</v>
      </c>
      <c r="AA101">
        <v>18</v>
      </c>
      <c r="AB101">
        <v>543.50800000000004</v>
      </c>
      <c r="AC101">
        <v>0</v>
      </c>
      <c r="AD101">
        <v>0</v>
      </c>
      <c r="AE101">
        <v>543.50800000000004</v>
      </c>
      <c r="AF101">
        <v>0.75</v>
      </c>
      <c r="AG101">
        <f>MarketPlace_Order_Report[[#This Row],[UnitPrice]]*MarketPlace_Order_Report[[#This Row],[OrderQty]]</f>
        <v>3563</v>
      </c>
      <c r="AH101">
        <f>IFERROR(MarketPlace_Order_Report[[#This Row],[CGSTAmount]]+MarketPlace_Order_Report[[#This Row],[SGSTAmount]]+MarketPlace_Order_Report[[#This Row],[IGSTAmount]],MarketPlace_Order_Report[[#This Row],[TaxAmount]])</f>
        <v>543.50800000000004</v>
      </c>
      <c r="AI101">
        <f>MarketPlace_Order_Report[[#This Row],[Gross Amount (Before Tax)]]+MarketPlace_Order_Report[[#This Row],[Total GST Amount]]</f>
        <v>4106.5079999999998</v>
      </c>
      <c r="AJ101" s="1" t="s">
        <v>484</v>
      </c>
    </row>
    <row r="102" spans="1:36">
      <c r="A102" s="1" t="s">
        <v>488</v>
      </c>
      <c r="B102" s="1" t="s">
        <v>490</v>
      </c>
      <c r="C102" s="1" t="s">
        <v>2475</v>
      </c>
      <c r="D102">
        <v>1</v>
      </c>
      <c r="E102">
        <v>1</v>
      </c>
      <c r="F102">
        <v>3500</v>
      </c>
      <c r="G102">
        <v>3150</v>
      </c>
      <c r="H102">
        <v>3150</v>
      </c>
      <c r="I102">
        <v>0</v>
      </c>
      <c r="J102" s="1" t="s">
        <v>59</v>
      </c>
      <c r="K102" s="2">
        <v>45924.753692129627</v>
      </c>
      <c r="L102" s="2">
        <v>45925.722384259258</v>
      </c>
      <c r="M102" s="2">
        <v>45928.561192129629</v>
      </c>
      <c r="N102" s="1" t="s">
        <v>61</v>
      </c>
      <c r="O102" s="1" t="s">
        <v>62</v>
      </c>
      <c r="P102" s="1" t="s">
        <v>61</v>
      </c>
      <c r="Q102" s="1" t="s">
        <v>61</v>
      </c>
      <c r="R102" s="2">
        <v>45928.563356481478</v>
      </c>
      <c r="S102" s="1" t="s">
        <v>491</v>
      </c>
      <c r="T102" s="1" t="s">
        <v>65</v>
      </c>
      <c r="U102">
        <v>591237</v>
      </c>
      <c r="V102" s="1" t="s">
        <v>66</v>
      </c>
      <c r="W102">
        <v>3150</v>
      </c>
      <c r="X102">
        <v>18</v>
      </c>
      <c r="Y102">
        <v>0</v>
      </c>
      <c r="Z102">
        <v>0</v>
      </c>
      <c r="AA102">
        <v>18</v>
      </c>
      <c r="AB102">
        <v>480.50799999999998</v>
      </c>
      <c r="AC102">
        <v>0</v>
      </c>
      <c r="AD102">
        <v>0</v>
      </c>
      <c r="AE102">
        <v>480.50799999999998</v>
      </c>
      <c r="AF102">
        <v>0.85</v>
      </c>
      <c r="AG102">
        <f>MarketPlace_Order_Report[[#This Row],[UnitPrice]]*MarketPlace_Order_Report[[#This Row],[OrderQty]]</f>
        <v>3150</v>
      </c>
      <c r="AH102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102">
        <f>MarketPlace_Order_Report[[#This Row],[Gross Amount (Before Tax)]]+MarketPlace_Order_Report[[#This Row],[Total GST Amount]]</f>
        <v>3630.5079999999998</v>
      </c>
      <c r="AJ102" s="1" t="s">
        <v>489</v>
      </c>
    </row>
    <row r="103" spans="1:36" hidden="1">
      <c r="A103" s="1" t="s">
        <v>492</v>
      </c>
      <c r="B103" s="1" t="s">
        <v>494</v>
      </c>
      <c r="C103" s="1" t="s">
        <v>71</v>
      </c>
      <c r="D103">
        <v>1</v>
      </c>
      <c r="E103">
        <v>1</v>
      </c>
      <c r="F103">
        <v>3500</v>
      </c>
      <c r="G103">
        <v>2975</v>
      </c>
      <c r="H103">
        <v>2979.1</v>
      </c>
      <c r="I103">
        <v>4.0999999999999996</v>
      </c>
      <c r="J103" s="1" t="s">
        <v>59</v>
      </c>
      <c r="K103" s="2">
        <v>45910.517337962963</v>
      </c>
      <c r="L103" s="2">
        <v>45911.621041666665</v>
      </c>
      <c r="M103" s="2">
        <v>45915.485949074071</v>
      </c>
      <c r="N103" s="1" t="s">
        <v>61</v>
      </c>
      <c r="O103" s="1" t="s">
        <v>62</v>
      </c>
      <c r="P103" s="1" t="s">
        <v>61</v>
      </c>
      <c r="Q103" s="1" t="s">
        <v>74</v>
      </c>
      <c r="R103" s="2">
        <v>45922.830740740741</v>
      </c>
      <c r="S103" s="1" t="s">
        <v>136</v>
      </c>
      <c r="T103" s="1" t="s">
        <v>77</v>
      </c>
      <c r="U103">
        <v>201301</v>
      </c>
      <c r="V103" s="1" t="s">
        <v>66</v>
      </c>
      <c r="W103">
        <v>2975</v>
      </c>
      <c r="X103">
        <v>12</v>
      </c>
      <c r="Y103">
        <v>0</v>
      </c>
      <c r="Z103">
        <v>0</v>
      </c>
      <c r="AA103">
        <v>12</v>
      </c>
      <c r="AB103">
        <v>318.75</v>
      </c>
      <c r="AC103">
        <v>0</v>
      </c>
      <c r="AD103">
        <v>0</v>
      </c>
      <c r="AE103">
        <v>318.75</v>
      </c>
      <c r="AF103">
        <v>0.85</v>
      </c>
      <c r="AG103">
        <f>MarketPlace_Order_Report[[#This Row],[UnitPrice]]*MarketPlace_Order_Report[[#This Row],[OrderQty]]</f>
        <v>2975</v>
      </c>
      <c r="AH103">
        <f>IFERROR(MarketPlace_Order_Report[[#This Row],[CGSTAmount]]+MarketPlace_Order_Report[[#This Row],[SGSTAmount]]+MarketPlace_Order_Report[[#This Row],[IGSTAmount]],MarketPlace_Order_Report[[#This Row],[TaxAmount]])</f>
        <v>318.75</v>
      </c>
      <c r="AI103">
        <f>MarketPlace_Order_Report[[#This Row],[Gross Amount (Before Tax)]]+MarketPlace_Order_Report[[#This Row],[Total GST Amount]]</f>
        <v>3293.75</v>
      </c>
      <c r="AJ103" s="1" t="s">
        <v>493</v>
      </c>
    </row>
    <row r="104" spans="1:36">
      <c r="A104" s="1" t="s">
        <v>495</v>
      </c>
      <c r="B104" s="1" t="s">
        <v>497</v>
      </c>
      <c r="C104" s="1" t="s">
        <v>2475</v>
      </c>
      <c r="D104">
        <v>1</v>
      </c>
      <c r="E104">
        <v>1</v>
      </c>
      <c r="F104">
        <v>4000</v>
      </c>
      <c r="G104">
        <v>3600</v>
      </c>
      <c r="H104">
        <v>3626.18</v>
      </c>
      <c r="I104">
        <v>26.18</v>
      </c>
      <c r="J104" s="1" t="s">
        <v>72</v>
      </c>
      <c r="K104" s="2">
        <v>45925.529675925929</v>
      </c>
      <c r="L104" s="2">
        <v>45925.616585648146</v>
      </c>
      <c r="M104" s="2">
        <v>45927.7499537037</v>
      </c>
      <c r="N104" s="1" t="s">
        <v>61</v>
      </c>
      <c r="O104" s="1" t="s">
        <v>62</v>
      </c>
      <c r="P104" s="1" t="s">
        <v>61</v>
      </c>
      <c r="Q104" s="1" t="s">
        <v>61</v>
      </c>
      <c r="R104" s="2">
        <v>45927.751006944447</v>
      </c>
      <c r="S104" s="1" t="s">
        <v>98</v>
      </c>
      <c r="T104" s="1" t="s">
        <v>99</v>
      </c>
      <c r="U104">
        <v>122017</v>
      </c>
      <c r="V104" s="1" t="s">
        <v>66</v>
      </c>
      <c r="W104">
        <v>3600</v>
      </c>
      <c r="X104">
        <v>18</v>
      </c>
      <c r="Y104">
        <v>0</v>
      </c>
      <c r="Z104">
        <v>0</v>
      </c>
      <c r="AA104">
        <v>18</v>
      </c>
      <c r="AB104">
        <v>549.15300000000002</v>
      </c>
      <c r="AC104">
        <v>0</v>
      </c>
      <c r="AD104">
        <v>0</v>
      </c>
      <c r="AE104">
        <v>549.15300000000002</v>
      </c>
      <c r="AF104">
        <v>0.75</v>
      </c>
      <c r="AG104">
        <f>MarketPlace_Order_Report[[#This Row],[UnitPrice]]*MarketPlace_Order_Report[[#This Row],[OrderQty]]</f>
        <v>3600</v>
      </c>
      <c r="AH104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104">
        <f>MarketPlace_Order_Report[[#This Row],[Gross Amount (Before Tax)]]+MarketPlace_Order_Report[[#This Row],[Total GST Amount]]</f>
        <v>4149.1530000000002</v>
      </c>
      <c r="AJ104" s="1" t="s">
        <v>496</v>
      </c>
    </row>
    <row r="105" spans="1:36">
      <c r="A105" s="1" t="s">
        <v>498</v>
      </c>
      <c r="B105" s="1" t="s">
        <v>501</v>
      </c>
      <c r="C105" s="1" t="s">
        <v>2475</v>
      </c>
      <c r="D105">
        <v>1</v>
      </c>
      <c r="E105">
        <v>1</v>
      </c>
      <c r="F105">
        <v>4000</v>
      </c>
      <c r="G105">
        <v>3600</v>
      </c>
      <c r="H105">
        <v>3615.73</v>
      </c>
      <c r="I105">
        <v>15.73</v>
      </c>
      <c r="J105" s="1" t="s">
        <v>59</v>
      </c>
      <c r="K105" s="2">
        <v>45928.790682870371</v>
      </c>
      <c r="L105" s="2">
        <v>45930.708738425928</v>
      </c>
      <c r="M105" s="2">
        <v>45935.506840277776</v>
      </c>
      <c r="N105" s="1" t="s">
        <v>61</v>
      </c>
      <c r="O105" s="1" t="s">
        <v>62</v>
      </c>
      <c r="P105" s="1" t="s">
        <v>61</v>
      </c>
      <c r="Q105" s="1" t="s">
        <v>61</v>
      </c>
      <c r="R105" s="2">
        <v>45935.51116898148</v>
      </c>
      <c r="S105" s="1" t="s">
        <v>502</v>
      </c>
      <c r="T105" s="1" t="s">
        <v>503</v>
      </c>
      <c r="U105">
        <v>152107</v>
      </c>
      <c r="V105" s="1" t="s">
        <v>66</v>
      </c>
      <c r="W105">
        <v>3600</v>
      </c>
      <c r="X105">
        <v>18</v>
      </c>
      <c r="Y105">
        <v>0</v>
      </c>
      <c r="Z105">
        <v>0</v>
      </c>
      <c r="AA105">
        <v>18</v>
      </c>
      <c r="AB105">
        <v>549.15300000000002</v>
      </c>
      <c r="AC105">
        <v>0</v>
      </c>
      <c r="AD105">
        <v>0</v>
      </c>
      <c r="AE105">
        <v>549.15300000000002</v>
      </c>
      <c r="AF105">
        <v>0.75</v>
      </c>
      <c r="AG105">
        <f>MarketPlace_Order_Report[[#This Row],[UnitPrice]]*MarketPlace_Order_Report[[#This Row],[OrderQty]]</f>
        <v>3600</v>
      </c>
      <c r="AH10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105">
        <f>MarketPlace_Order_Report[[#This Row],[Gross Amount (Before Tax)]]+MarketPlace_Order_Report[[#This Row],[Total GST Amount]]</f>
        <v>4149.1530000000002</v>
      </c>
      <c r="AJ105" s="1" t="s">
        <v>499</v>
      </c>
    </row>
    <row r="106" spans="1:36" hidden="1">
      <c r="A106" s="1" t="s">
        <v>504</v>
      </c>
      <c r="B106" s="1" t="s">
        <v>507</v>
      </c>
      <c r="C106" s="1" t="s">
        <v>71</v>
      </c>
      <c r="D106">
        <v>1</v>
      </c>
      <c r="E106">
        <v>1</v>
      </c>
      <c r="F106">
        <v>4000</v>
      </c>
      <c r="G106">
        <v>3600</v>
      </c>
      <c r="H106">
        <v>3615.1149999999998</v>
      </c>
      <c r="I106">
        <v>15.115</v>
      </c>
      <c r="J106" s="1" t="s">
        <v>72</v>
      </c>
      <c r="K106" s="2">
        <v>45928.982881944445</v>
      </c>
      <c r="L106" s="2">
        <v>45930.708819444444</v>
      </c>
      <c r="M106" s="2">
        <v>45933.695486111108</v>
      </c>
      <c r="N106" s="1" t="s">
        <v>61</v>
      </c>
      <c r="O106" s="1" t="s">
        <v>62</v>
      </c>
      <c r="P106" s="1" t="s">
        <v>61</v>
      </c>
      <c r="Q106" s="1" t="s">
        <v>74</v>
      </c>
      <c r="R106" s="2">
        <v>45943.865613425929</v>
      </c>
      <c r="S106" s="1" t="s">
        <v>300</v>
      </c>
      <c r="T106" s="1" t="s">
        <v>88</v>
      </c>
      <c r="U106">
        <v>452001</v>
      </c>
      <c r="V106" s="1" t="s">
        <v>66</v>
      </c>
      <c r="W106">
        <v>3600</v>
      </c>
      <c r="X106">
        <v>18</v>
      </c>
      <c r="Y106">
        <v>0</v>
      </c>
      <c r="Z106">
        <v>0</v>
      </c>
      <c r="AA106">
        <v>18</v>
      </c>
      <c r="AB106">
        <v>549.15300000000002</v>
      </c>
      <c r="AC106">
        <v>0</v>
      </c>
      <c r="AD106">
        <v>0</v>
      </c>
      <c r="AE106">
        <v>549.15300000000002</v>
      </c>
      <c r="AF106">
        <v>1</v>
      </c>
      <c r="AG106">
        <f>MarketPlace_Order_Report[[#This Row],[UnitPrice]]*MarketPlace_Order_Report[[#This Row],[OrderQty]]</f>
        <v>3600</v>
      </c>
      <c r="AH106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106">
        <f>MarketPlace_Order_Report[[#This Row],[Gross Amount (Before Tax)]]+MarketPlace_Order_Report[[#This Row],[Total GST Amount]]</f>
        <v>4149.1530000000002</v>
      </c>
      <c r="AJ106" s="1" t="s">
        <v>505</v>
      </c>
    </row>
    <row r="107" spans="1:36">
      <c r="A107" s="1" t="s">
        <v>508</v>
      </c>
      <c r="B107" s="1" t="s">
        <v>507</v>
      </c>
      <c r="C107" s="1" t="s">
        <v>2475</v>
      </c>
      <c r="D107">
        <v>1</v>
      </c>
      <c r="E107">
        <v>1</v>
      </c>
      <c r="F107">
        <v>4000</v>
      </c>
      <c r="G107">
        <v>3400</v>
      </c>
      <c r="H107">
        <v>3449</v>
      </c>
      <c r="I107">
        <v>49</v>
      </c>
      <c r="J107" s="1" t="s">
        <v>72</v>
      </c>
      <c r="K107" s="2">
        <v>45917.491481481484</v>
      </c>
      <c r="L107" s="2">
        <v>45918.625949074078</v>
      </c>
      <c r="M107" s="2">
        <v>45919.873460648145</v>
      </c>
      <c r="N107" s="1" t="s">
        <v>61</v>
      </c>
      <c r="O107" s="1" t="s">
        <v>62</v>
      </c>
      <c r="P107" s="1" t="s">
        <v>61</v>
      </c>
      <c r="Q107" s="1" t="s">
        <v>61</v>
      </c>
      <c r="R107" s="2">
        <v>45919.875902777778</v>
      </c>
      <c r="S107" s="1" t="s">
        <v>408</v>
      </c>
      <c r="T107" s="1" t="s">
        <v>318</v>
      </c>
      <c r="U107">
        <v>400074</v>
      </c>
      <c r="V107" s="1" t="s">
        <v>66</v>
      </c>
      <c r="W107">
        <v>3400</v>
      </c>
      <c r="X107">
        <v>12</v>
      </c>
      <c r="Y107">
        <v>6</v>
      </c>
      <c r="Z107">
        <v>6</v>
      </c>
      <c r="AA107">
        <v>0</v>
      </c>
      <c r="AB107">
        <v>364.286</v>
      </c>
      <c r="AC107">
        <v>182.143</v>
      </c>
      <c r="AD107">
        <v>182.143</v>
      </c>
      <c r="AE107">
        <v>0</v>
      </c>
      <c r="AF107">
        <v>0.75</v>
      </c>
      <c r="AG107">
        <f>MarketPlace_Order_Report[[#This Row],[UnitPrice]]*MarketPlace_Order_Report[[#This Row],[OrderQty]]</f>
        <v>3400</v>
      </c>
      <c r="AH107">
        <f>IFERROR(MarketPlace_Order_Report[[#This Row],[CGSTAmount]]+MarketPlace_Order_Report[[#This Row],[SGSTAmount]]+MarketPlace_Order_Report[[#This Row],[IGSTAmount]],MarketPlace_Order_Report[[#This Row],[TaxAmount]])</f>
        <v>364.286</v>
      </c>
      <c r="AI107">
        <f>MarketPlace_Order_Report[[#This Row],[Gross Amount (Before Tax)]]+MarketPlace_Order_Report[[#This Row],[Total GST Amount]]</f>
        <v>3764.2860000000001</v>
      </c>
      <c r="AJ107" s="1" t="s">
        <v>509</v>
      </c>
    </row>
    <row r="108" spans="1:36">
      <c r="A108" s="1" t="s">
        <v>510</v>
      </c>
      <c r="B108" s="1" t="s">
        <v>507</v>
      </c>
      <c r="C108" s="1" t="s">
        <v>2475</v>
      </c>
      <c r="D108">
        <v>1</v>
      </c>
      <c r="E108">
        <v>1</v>
      </c>
      <c r="F108">
        <v>4000</v>
      </c>
      <c r="G108">
        <v>3400</v>
      </c>
      <c r="H108">
        <v>3449</v>
      </c>
      <c r="I108">
        <v>49</v>
      </c>
      <c r="J108" s="1" t="s">
        <v>72</v>
      </c>
      <c r="K108" s="2">
        <v>45904.479479166665</v>
      </c>
      <c r="L108" s="2">
        <v>45904.742361111108</v>
      </c>
      <c r="M108" s="2">
        <v>45907.461793981478</v>
      </c>
      <c r="N108" s="1" t="s">
        <v>61</v>
      </c>
      <c r="O108" s="1" t="s">
        <v>62</v>
      </c>
      <c r="P108" s="1" t="s">
        <v>61</v>
      </c>
      <c r="Q108" s="1" t="s">
        <v>61</v>
      </c>
      <c r="R108" s="2">
        <v>45907.462962962964</v>
      </c>
      <c r="S108" s="1" t="s">
        <v>512</v>
      </c>
      <c r="T108" s="1" t="s">
        <v>77</v>
      </c>
      <c r="U108">
        <v>272175</v>
      </c>
      <c r="V108" s="1" t="s">
        <v>66</v>
      </c>
      <c r="W108">
        <v>3400</v>
      </c>
      <c r="X108">
        <v>12</v>
      </c>
      <c r="Y108">
        <v>0</v>
      </c>
      <c r="Z108">
        <v>0</v>
      </c>
      <c r="AA108">
        <v>12</v>
      </c>
      <c r="AB108">
        <v>364.286</v>
      </c>
      <c r="AC108">
        <v>0</v>
      </c>
      <c r="AD108">
        <v>0</v>
      </c>
      <c r="AE108">
        <v>364.286</v>
      </c>
      <c r="AF108">
        <v>0.75</v>
      </c>
      <c r="AG108">
        <f>MarketPlace_Order_Report[[#This Row],[UnitPrice]]*MarketPlace_Order_Report[[#This Row],[OrderQty]]</f>
        <v>3400</v>
      </c>
      <c r="AH108">
        <f>IFERROR(MarketPlace_Order_Report[[#This Row],[CGSTAmount]]+MarketPlace_Order_Report[[#This Row],[SGSTAmount]]+MarketPlace_Order_Report[[#This Row],[IGSTAmount]],MarketPlace_Order_Report[[#This Row],[TaxAmount]])</f>
        <v>364.286</v>
      </c>
      <c r="AI108">
        <f>MarketPlace_Order_Report[[#This Row],[Gross Amount (Before Tax)]]+MarketPlace_Order_Report[[#This Row],[Total GST Amount]]</f>
        <v>3764.2860000000001</v>
      </c>
      <c r="AJ108" s="1" t="s">
        <v>511</v>
      </c>
    </row>
    <row r="109" spans="1:36">
      <c r="A109" s="1" t="s">
        <v>513</v>
      </c>
      <c r="B109" s="1" t="s">
        <v>516</v>
      </c>
      <c r="C109" s="1" t="s">
        <v>2475</v>
      </c>
      <c r="D109">
        <v>1</v>
      </c>
      <c r="E109">
        <v>1</v>
      </c>
      <c r="F109">
        <v>4000</v>
      </c>
      <c r="G109">
        <v>3400</v>
      </c>
      <c r="H109">
        <v>3449</v>
      </c>
      <c r="I109">
        <v>49</v>
      </c>
      <c r="J109" s="1" t="s">
        <v>72</v>
      </c>
      <c r="K109" s="2">
        <v>45915.443379629629</v>
      </c>
      <c r="L109" s="2">
        <v>45917.634189814817</v>
      </c>
      <c r="M109" s="2">
        <v>45922.648900462962</v>
      </c>
      <c r="N109" s="1" t="s">
        <v>61</v>
      </c>
      <c r="O109" s="1" t="s">
        <v>62</v>
      </c>
      <c r="P109" s="1" t="s">
        <v>61</v>
      </c>
      <c r="Q109" s="1" t="s">
        <v>61</v>
      </c>
      <c r="R109" s="2">
        <v>45922.660578703704</v>
      </c>
      <c r="S109" s="1" t="s">
        <v>182</v>
      </c>
      <c r="T109" s="1" t="s">
        <v>183</v>
      </c>
      <c r="U109">
        <v>110070</v>
      </c>
      <c r="V109" s="1" t="s">
        <v>66</v>
      </c>
      <c r="W109">
        <v>3400</v>
      </c>
      <c r="X109">
        <v>12</v>
      </c>
      <c r="Y109">
        <v>0</v>
      </c>
      <c r="Z109">
        <v>0</v>
      </c>
      <c r="AA109">
        <v>12</v>
      </c>
      <c r="AB109">
        <v>364.286</v>
      </c>
      <c r="AC109">
        <v>0</v>
      </c>
      <c r="AD109">
        <v>0</v>
      </c>
      <c r="AE109">
        <v>364.286</v>
      </c>
      <c r="AF109">
        <v>0.75</v>
      </c>
      <c r="AG109">
        <f>MarketPlace_Order_Report[[#This Row],[UnitPrice]]*MarketPlace_Order_Report[[#This Row],[OrderQty]]</f>
        <v>3400</v>
      </c>
      <c r="AH109">
        <f>IFERROR(MarketPlace_Order_Report[[#This Row],[CGSTAmount]]+MarketPlace_Order_Report[[#This Row],[SGSTAmount]]+MarketPlace_Order_Report[[#This Row],[IGSTAmount]],MarketPlace_Order_Report[[#This Row],[TaxAmount]])</f>
        <v>364.286</v>
      </c>
      <c r="AI109">
        <f>MarketPlace_Order_Report[[#This Row],[Gross Amount (Before Tax)]]+MarketPlace_Order_Report[[#This Row],[Total GST Amount]]</f>
        <v>3764.2860000000001</v>
      </c>
      <c r="AJ109" s="1" t="s">
        <v>514</v>
      </c>
    </row>
    <row r="110" spans="1:36" hidden="1">
      <c r="A110" s="1" t="s">
        <v>517</v>
      </c>
      <c r="B110" s="1" t="s">
        <v>516</v>
      </c>
      <c r="C110" s="1" t="s">
        <v>71</v>
      </c>
      <c r="D110">
        <v>1</v>
      </c>
      <c r="E110">
        <v>1</v>
      </c>
      <c r="F110">
        <v>4000</v>
      </c>
      <c r="G110">
        <v>3400</v>
      </c>
      <c r="H110">
        <v>3426.5</v>
      </c>
      <c r="I110">
        <v>26.5</v>
      </c>
      <c r="J110" s="1" t="s">
        <v>72</v>
      </c>
      <c r="K110" s="2">
        <v>45906.283391203702</v>
      </c>
      <c r="L110" s="2">
        <v>45908.729594907411</v>
      </c>
      <c r="M110" s="2">
        <v>45916.532511574071</v>
      </c>
      <c r="N110" s="1" t="s">
        <v>61</v>
      </c>
      <c r="O110" s="1" t="s">
        <v>62</v>
      </c>
      <c r="P110" s="1" t="s">
        <v>61</v>
      </c>
      <c r="Q110" s="1" t="s">
        <v>74</v>
      </c>
      <c r="R110" s="2">
        <v>45930.868946759256</v>
      </c>
      <c r="S110" s="1" t="s">
        <v>519</v>
      </c>
      <c r="T110" s="1" t="s">
        <v>177</v>
      </c>
      <c r="U110">
        <v>781026</v>
      </c>
      <c r="V110" s="1" t="s">
        <v>66</v>
      </c>
      <c r="W110">
        <v>3400</v>
      </c>
      <c r="X110">
        <v>12</v>
      </c>
      <c r="Y110">
        <v>0</v>
      </c>
      <c r="Z110">
        <v>0</v>
      </c>
      <c r="AA110">
        <v>12</v>
      </c>
      <c r="AB110">
        <v>364.286</v>
      </c>
      <c r="AC110">
        <v>0</v>
      </c>
      <c r="AD110">
        <v>0</v>
      </c>
      <c r="AE110">
        <v>364.286</v>
      </c>
      <c r="AF110">
        <v>0.75</v>
      </c>
      <c r="AG110">
        <f>MarketPlace_Order_Report[[#This Row],[UnitPrice]]*MarketPlace_Order_Report[[#This Row],[OrderQty]]</f>
        <v>3400</v>
      </c>
      <c r="AH110">
        <f>IFERROR(MarketPlace_Order_Report[[#This Row],[CGSTAmount]]+MarketPlace_Order_Report[[#This Row],[SGSTAmount]]+MarketPlace_Order_Report[[#This Row],[IGSTAmount]],MarketPlace_Order_Report[[#This Row],[TaxAmount]])</f>
        <v>364.286</v>
      </c>
      <c r="AI110">
        <f>MarketPlace_Order_Report[[#This Row],[Gross Amount (Before Tax)]]+MarketPlace_Order_Report[[#This Row],[Total GST Amount]]</f>
        <v>3764.2860000000001</v>
      </c>
      <c r="AJ110" s="1" t="s">
        <v>518</v>
      </c>
    </row>
    <row r="111" spans="1:36" hidden="1">
      <c r="A111" s="1" t="s">
        <v>520</v>
      </c>
      <c r="B111" s="1" t="s">
        <v>523</v>
      </c>
      <c r="C111" s="1" t="s">
        <v>71</v>
      </c>
      <c r="D111">
        <v>1</v>
      </c>
      <c r="E111">
        <v>1</v>
      </c>
      <c r="F111">
        <v>3500</v>
      </c>
      <c r="G111">
        <v>3150</v>
      </c>
      <c r="H111">
        <v>3150</v>
      </c>
      <c r="I111">
        <v>0</v>
      </c>
      <c r="J111" s="1" t="s">
        <v>59</v>
      </c>
      <c r="K111" s="2">
        <v>45922.923622685186</v>
      </c>
      <c r="L111" s="2">
        <v>45923.723958333336</v>
      </c>
      <c r="M111" s="2">
        <v>45926.407870370371</v>
      </c>
      <c r="N111" s="1" t="s">
        <v>61</v>
      </c>
      <c r="O111" s="1" t="s">
        <v>62</v>
      </c>
      <c r="P111" s="1" t="s">
        <v>61</v>
      </c>
      <c r="Q111" s="1" t="s">
        <v>74</v>
      </c>
      <c r="R111" s="2">
        <v>45939.625960648147</v>
      </c>
      <c r="S111" s="1" t="s">
        <v>524</v>
      </c>
      <c r="T111" s="1" t="s">
        <v>77</v>
      </c>
      <c r="U111">
        <v>262802</v>
      </c>
      <c r="V111" s="1" t="s">
        <v>66</v>
      </c>
      <c r="W111">
        <v>3150</v>
      </c>
      <c r="X111">
        <v>18</v>
      </c>
      <c r="Y111">
        <v>0</v>
      </c>
      <c r="Z111">
        <v>0</v>
      </c>
      <c r="AA111">
        <v>18</v>
      </c>
      <c r="AB111">
        <v>480.50799999999998</v>
      </c>
      <c r="AC111">
        <v>0</v>
      </c>
      <c r="AD111">
        <v>0</v>
      </c>
      <c r="AE111">
        <v>480.50799999999998</v>
      </c>
      <c r="AF111">
        <v>0.75</v>
      </c>
      <c r="AG111">
        <f>MarketPlace_Order_Report[[#This Row],[UnitPrice]]*MarketPlace_Order_Report[[#This Row],[OrderQty]]</f>
        <v>3150</v>
      </c>
      <c r="AH111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111">
        <f>MarketPlace_Order_Report[[#This Row],[Gross Amount (Before Tax)]]+MarketPlace_Order_Report[[#This Row],[Total GST Amount]]</f>
        <v>3630.5079999999998</v>
      </c>
      <c r="AJ111" s="1" t="s">
        <v>521</v>
      </c>
    </row>
    <row r="112" spans="1:36">
      <c r="A112" s="1" t="s">
        <v>525</v>
      </c>
      <c r="B112" s="1" t="s">
        <v>528</v>
      </c>
      <c r="C112" s="1" t="s">
        <v>2475</v>
      </c>
      <c r="D112">
        <v>1</v>
      </c>
      <c r="E112">
        <v>1</v>
      </c>
      <c r="F112">
        <v>3500</v>
      </c>
      <c r="G112">
        <v>3150</v>
      </c>
      <c r="H112">
        <v>3150</v>
      </c>
      <c r="I112">
        <v>0</v>
      </c>
      <c r="J112" s="1" t="s">
        <v>59</v>
      </c>
      <c r="K112" s="2">
        <v>45928.418969907405</v>
      </c>
      <c r="L112" s="2">
        <v>45930.708726851852</v>
      </c>
      <c r="M112" s="2">
        <v>45935.523113425923</v>
      </c>
      <c r="N112" s="1" t="s">
        <v>61</v>
      </c>
      <c r="O112" s="1" t="s">
        <v>62</v>
      </c>
      <c r="P112" s="1" t="s">
        <v>61</v>
      </c>
      <c r="Q112" s="1" t="s">
        <v>61</v>
      </c>
      <c r="R112" s="2">
        <v>45935.525000000001</v>
      </c>
      <c r="S112" s="1" t="s">
        <v>524</v>
      </c>
      <c r="T112" s="1" t="s">
        <v>77</v>
      </c>
      <c r="U112">
        <v>262802</v>
      </c>
      <c r="V112" s="1" t="s">
        <v>66</v>
      </c>
      <c r="W112">
        <v>3150</v>
      </c>
      <c r="X112">
        <v>18</v>
      </c>
      <c r="Y112">
        <v>0</v>
      </c>
      <c r="Z112">
        <v>0</v>
      </c>
      <c r="AA112">
        <v>18</v>
      </c>
      <c r="AB112">
        <v>480.50799999999998</v>
      </c>
      <c r="AC112">
        <v>0</v>
      </c>
      <c r="AD112">
        <v>0</v>
      </c>
      <c r="AE112">
        <v>480.50799999999998</v>
      </c>
      <c r="AF112">
        <v>0.75</v>
      </c>
      <c r="AG112">
        <f>MarketPlace_Order_Report[[#This Row],[UnitPrice]]*MarketPlace_Order_Report[[#This Row],[OrderQty]]</f>
        <v>3150</v>
      </c>
      <c r="AH112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112">
        <f>MarketPlace_Order_Report[[#This Row],[Gross Amount (Before Tax)]]+MarketPlace_Order_Report[[#This Row],[Total GST Amount]]</f>
        <v>3630.5079999999998</v>
      </c>
      <c r="AJ112" s="1" t="s">
        <v>526</v>
      </c>
    </row>
    <row r="113" spans="1:36">
      <c r="A113" s="1" t="s">
        <v>529</v>
      </c>
      <c r="B113" s="1" t="s">
        <v>532</v>
      </c>
      <c r="C113" s="1" t="s">
        <v>2475</v>
      </c>
      <c r="D113">
        <v>1</v>
      </c>
      <c r="E113">
        <v>1</v>
      </c>
      <c r="F113">
        <v>3500</v>
      </c>
      <c r="G113">
        <v>3150</v>
      </c>
      <c r="H113">
        <v>3199</v>
      </c>
      <c r="I113">
        <v>49</v>
      </c>
      <c r="J113" s="1" t="s">
        <v>72</v>
      </c>
      <c r="K113" s="2">
        <v>45929.412164351852</v>
      </c>
      <c r="L113" s="2">
        <v>45930.708703703705</v>
      </c>
      <c r="M113" s="2">
        <v>45934.60193287037</v>
      </c>
      <c r="N113" s="1" t="s">
        <v>61</v>
      </c>
      <c r="O113" s="1" t="s">
        <v>62</v>
      </c>
      <c r="P113" s="1" t="s">
        <v>61</v>
      </c>
      <c r="Q113" s="1" t="s">
        <v>61</v>
      </c>
      <c r="R113" s="2">
        <v>45934.605000000003</v>
      </c>
      <c r="S113" s="1" t="s">
        <v>533</v>
      </c>
      <c r="T113" s="1" t="s">
        <v>77</v>
      </c>
      <c r="U113">
        <v>244235</v>
      </c>
      <c r="V113" s="1" t="s">
        <v>66</v>
      </c>
      <c r="W113">
        <v>3150</v>
      </c>
      <c r="X113">
        <v>18</v>
      </c>
      <c r="Y113">
        <v>0</v>
      </c>
      <c r="Z113">
        <v>0</v>
      </c>
      <c r="AA113">
        <v>18</v>
      </c>
      <c r="AB113">
        <v>480.50799999999998</v>
      </c>
      <c r="AC113">
        <v>0</v>
      </c>
      <c r="AD113">
        <v>0</v>
      </c>
      <c r="AE113">
        <v>480.50799999999998</v>
      </c>
      <c r="AF113">
        <v>0.75</v>
      </c>
      <c r="AG113">
        <f>MarketPlace_Order_Report[[#This Row],[UnitPrice]]*MarketPlace_Order_Report[[#This Row],[OrderQty]]</f>
        <v>3150</v>
      </c>
      <c r="AH113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113">
        <f>MarketPlace_Order_Report[[#This Row],[Gross Amount (Before Tax)]]+MarketPlace_Order_Report[[#This Row],[Total GST Amount]]</f>
        <v>3630.5079999999998</v>
      </c>
      <c r="AJ113" s="1" t="s">
        <v>530</v>
      </c>
    </row>
    <row r="114" spans="1:36" hidden="1">
      <c r="A114" s="1" t="s">
        <v>534</v>
      </c>
      <c r="B114" s="1" t="s">
        <v>536</v>
      </c>
      <c r="C114" s="1" t="s">
        <v>71</v>
      </c>
      <c r="D114">
        <v>1</v>
      </c>
      <c r="E114">
        <v>1</v>
      </c>
      <c r="F114">
        <v>3500</v>
      </c>
      <c r="G114">
        <v>3150</v>
      </c>
      <c r="H114">
        <v>3179</v>
      </c>
      <c r="I114">
        <v>29</v>
      </c>
      <c r="J114" s="1" t="s">
        <v>59</v>
      </c>
      <c r="K114" s="2">
        <v>45922.583171296297</v>
      </c>
      <c r="L114" s="2">
        <v>45922.741875</v>
      </c>
      <c r="M114" s="2">
        <v>45925.584918981483</v>
      </c>
      <c r="N114" s="1" t="s">
        <v>61</v>
      </c>
      <c r="O114" s="1" t="s">
        <v>62</v>
      </c>
      <c r="P114" s="1" t="s">
        <v>61</v>
      </c>
      <c r="Q114" s="1" t="s">
        <v>74</v>
      </c>
      <c r="R114" s="2">
        <v>45939.625960648147</v>
      </c>
      <c r="S114" s="1" t="s">
        <v>537</v>
      </c>
      <c r="T114" s="1" t="s">
        <v>83</v>
      </c>
      <c r="U114">
        <v>848502</v>
      </c>
      <c r="V114" s="1" t="s">
        <v>66</v>
      </c>
      <c r="W114">
        <v>3150</v>
      </c>
      <c r="X114">
        <v>18</v>
      </c>
      <c r="Y114">
        <v>0</v>
      </c>
      <c r="Z114">
        <v>0</v>
      </c>
      <c r="AA114">
        <v>18</v>
      </c>
      <c r="AB114">
        <v>480.50799999999998</v>
      </c>
      <c r="AC114">
        <v>0</v>
      </c>
      <c r="AD114">
        <v>0</v>
      </c>
      <c r="AE114">
        <v>480.50799999999998</v>
      </c>
      <c r="AF114">
        <v>0.75</v>
      </c>
      <c r="AG114">
        <f>MarketPlace_Order_Report[[#This Row],[UnitPrice]]*MarketPlace_Order_Report[[#This Row],[OrderQty]]</f>
        <v>3150</v>
      </c>
      <c r="AH114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114">
        <f>MarketPlace_Order_Report[[#This Row],[Gross Amount (Before Tax)]]+MarketPlace_Order_Report[[#This Row],[Total GST Amount]]</f>
        <v>3630.5079999999998</v>
      </c>
      <c r="AJ114" s="1" t="s">
        <v>535</v>
      </c>
    </row>
    <row r="115" spans="1:36" hidden="1">
      <c r="A115" s="1" t="s">
        <v>538</v>
      </c>
      <c r="B115" s="1" t="s">
        <v>536</v>
      </c>
      <c r="C115" s="1" t="s">
        <v>102</v>
      </c>
      <c r="D115">
        <v>1</v>
      </c>
      <c r="E115">
        <v>1</v>
      </c>
      <c r="F115">
        <v>3500</v>
      </c>
      <c r="G115">
        <v>3150</v>
      </c>
      <c r="H115">
        <v>3170</v>
      </c>
      <c r="I115">
        <v>20</v>
      </c>
      <c r="J115" s="1" t="s">
        <v>72</v>
      </c>
      <c r="K115" s="2">
        <v>45921.600057870368</v>
      </c>
      <c r="L115" s="2">
        <v>45924.625416666669</v>
      </c>
      <c r="M115" s="2"/>
      <c r="N115" s="1" t="s">
        <v>61</v>
      </c>
      <c r="O115" s="1" t="s">
        <v>62</v>
      </c>
      <c r="P115" s="1" t="s">
        <v>61</v>
      </c>
      <c r="Q115" s="1" t="s">
        <v>103</v>
      </c>
      <c r="R115" s="2">
        <v>45930.649895833332</v>
      </c>
      <c r="S115" s="1" t="s">
        <v>478</v>
      </c>
      <c r="T115" s="1" t="s">
        <v>318</v>
      </c>
      <c r="U115">
        <v>421501</v>
      </c>
      <c r="V115" s="1" t="s">
        <v>66</v>
      </c>
      <c r="W115">
        <v>3150</v>
      </c>
      <c r="X115">
        <v>18</v>
      </c>
      <c r="Y115">
        <v>9</v>
      </c>
      <c r="Z115">
        <v>9</v>
      </c>
      <c r="AA115">
        <v>0</v>
      </c>
      <c r="AB115">
        <v>480.50799999999998</v>
      </c>
      <c r="AC115">
        <v>240.25399999999999</v>
      </c>
      <c r="AD115">
        <v>240.25399999999999</v>
      </c>
      <c r="AE115">
        <v>0</v>
      </c>
      <c r="AF115">
        <v>0.75</v>
      </c>
      <c r="AG115">
        <f>MarketPlace_Order_Report[[#This Row],[UnitPrice]]*MarketPlace_Order_Report[[#This Row],[OrderQty]]</f>
        <v>3150</v>
      </c>
      <c r="AH1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115">
        <f>MarketPlace_Order_Report[[#This Row],[Gross Amount (Before Tax)]]+MarketPlace_Order_Report[[#This Row],[Total GST Amount]]</f>
        <v>3630.5079999999998</v>
      </c>
      <c r="AJ115" s="1" t="s">
        <v>539</v>
      </c>
    </row>
    <row r="116" spans="1:36">
      <c r="A116" s="1" t="s">
        <v>540</v>
      </c>
      <c r="B116" s="1" t="s">
        <v>536</v>
      </c>
      <c r="C116" s="1" t="s">
        <v>2475</v>
      </c>
      <c r="D116">
        <v>1</v>
      </c>
      <c r="E116">
        <v>1</v>
      </c>
      <c r="F116">
        <v>3500</v>
      </c>
      <c r="G116">
        <v>3150</v>
      </c>
      <c r="H116">
        <v>3170</v>
      </c>
      <c r="I116">
        <v>20</v>
      </c>
      <c r="J116" s="1" t="s">
        <v>72</v>
      </c>
      <c r="K116" s="2">
        <v>45919.90353009259</v>
      </c>
      <c r="L116" s="2">
        <v>45920.699421296296</v>
      </c>
      <c r="M116" s="2">
        <v>45924.477199074077</v>
      </c>
      <c r="N116" s="1" t="s">
        <v>61</v>
      </c>
      <c r="O116" s="1" t="s">
        <v>62</v>
      </c>
      <c r="P116" s="1" t="s">
        <v>61</v>
      </c>
      <c r="Q116" s="1" t="s">
        <v>61</v>
      </c>
      <c r="R116" s="2">
        <v>45924.514849537038</v>
      </c>
      <c r="S116" s="1" t="s">
        <v>459</v>
      </c>
      <c r="T116" s="1" t="s">
        <v>434</v>
      </c>
      <c r="U116">
        <v>360005</v>
      </c>
      <c r="V116" s="1" t="s">
        <v>66</v>
      </c>
      <c r="W116">
        <v>3150</v>
      </c>
      <c r="X116">
        <v>12</v>
      </c>
      <c r="Y116">
        <v>0</v>
      </c>
      <c r="Z116">
        <v>0</v>
      </c>
      <c r="AA116">
        <v>12</v>
      </c>
      <c r="AB116">
        <v>337.5</v>
      </c>
      <c r="AC116">
        <v>0</v>
      </c>
      <c r="AD116">
        <v>0</v>
      </c>
      <c r="AE116">
        <v>337.5</v>
      </c>
      <c r="AF116">
        <v>0.75</v>
      </c>
      <c r="AG116">
        <f>MarketPlace_Order_Report[[#This Row],[UnitPrice]]*MarketPlace_Order_Report[[#This Row],[OrderQty]]</f>
        <v>3150</v>
      </c>
      <c r="AH116">
        <f>IFERROR(MarketPlace_Order_Report[[#This Row],[CGSTAmount]]+MarketPlace_Order_Report[[#This Row],[SGSTAmount]]+MarketPlace_Order_Report[[#This Row],[IGSTAmount]],MarketPlace_Order_Report[[#This Row],[TaxAmount]])</f>
        <v>337.5</v>
      </c>
      <c r="AI116">
        <f>MarketPlace_Order_Report[[#This Row],[Gross Amount (Before Tax)]]+MarketPlace_Order_Report[[#This Row],[Total GST Amount]]</f>
        <v>3487.5</v>
      </c>
      <c r="AJ116" s="1" t="s">
        <v>541</v>
      </c>
    </row>
    <row r="117" spans="1:36" hidden="1">
      <c r="A117" s="1" t="s">
        <v>504</v>
      </c>
      <c r="B117" s="1" t="s">
        <v>543</v>
      </c>
      <c r="C117" s="1" t="s">
        <v>71</v>
      </c>
      <c r="D117">
        <v>1</v>
      </c>
      <c r="E117">
        <v>1</v>
      </c>
      <c r="F117">
        <v>3500</v>
      </c>
      <c r="G117">
        <v>3150</v>
      </c>
      <c r="H117">
        <v>3163.2249999999999</v>
      </c>
      <c r="I117">
        <v>13.225</v>
      </c>
      <c r="J117" s="1" t="s">
        <v>72</v>
      </c>
      <c r="K117" s="2">
        <v>45928.982881944445</v>
      </c>
      <c r="L117" s="2">
        <v>45930.708819444444</v>
      </c>
      <c r="M117" s="2">
        <v>45933.695486111108</v>
      </c>
      <c r="N117" s="1" t="s">
        <v>61</v>
      </c>
      <c r="O117" s="1" t="s">
        <v>62</v>
      </c>
      <c r="P117" s="1" t="s">
        <v>61</v>
      </c>
      <c r="Q117" s="1" t="s">
        <v>74</v>
      </c>
      <c r="R117" s="2">
        <v>45939.865613425929</v>
      </c>
      <c r="S117" s="1" t="s">
        <v>300</v>
      </c>
      <c r="T117" s="1" t="s">
        <v>88</v>
      </c>
      <c r="U117">
        <v>452001</v>
      </c>
      <c r="V117" s="1" t="s">
        <v>66</v>
      </c>
      <c r="W117">
        <v>3150</v>
      </c>
      <c r="X117">
        <v>18</v>
      </c>
      <c r="Y117">
        <v>0</v>
      </c>
      <c r="Z117">
        <v>0</v>
      </c>
      <c r="AA117">
        <v>18</v>
      </c>
      <c r="AB117">
        <v>480.50799999999998</v>
      </c>
      <c r="AC117">
        <v>0</v>
      </c>
      <c r="AD117">
        <v>0</v>
      </c>
      <c r="AE117">
        <v>480.50799999999998</v>
      </c>
      <c r="AF117">
        <v>1</v>
      </c>
      <c r="AG117">
        <f>MarketPlace_Order_Report[[#This Row],[UnitPrice]]*MarketPlace_Order_Report[[#This Row],[OrderQty]]</f>
        <v>3150</v>
      </c>
      <c r="AH117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117">
        <f>MarketPlace_Order_Report[[#This Row],[Gross Amount (Before Tax)]]+MarketPlace_Order_Report[[#This Row],[Total GST Amount]]</f>
        <v>3630.5079999999998</v>
      </c>
      <c r="AJ117" s="1" t="s">
        <v>505</v>
      </c>
    </row>
    <row r="118" spans="1:36">
      <c r="A118" s="1" t="s">
        <v>544</v>
      </c>
      <c r="B118" s="1" t="s">
        <v>543</v>
      </c>
      <c r="C118" s="1" t="s">
        <v>2475</v>
      </c>
      <c r="D118">
        <v>1</v>
      </c>
      <c r="E118">
        <v>1</v>
      </c>
      <c r="F118">
        <v>3500</v>
      </c>
      <c r="G118">
        <v>3150</v>
      </c>
      <c r="H118">
        <v>3179.63</v>
      </c>
      <c r="I118">
        <v>29.63</v>
      </c>
      <c r="J118" s="1" t="s">
        <v>72</v>
      </c>
      <c r="K118" s="2">
        <v>45925.566400462965</v>
      </c>
      <c r="L118" s="2">
        <v>45925.722731481481</v>
      </c>
      <c r="M118" s="2">
        <v>45928.688680555555</v>
      </c>
      <c r="N118" s="1" t="s">
        <v>61</v>
      </c>
      <c r="O118" s="1" t="s">
        <v>62</v>
      </c>
      <c r="P118" s="1" t="s">
        <v>61</v>
      </c>
      <c r="Q118" s="1" t="s">
        <v>61</v>
      </c>
      <c r="R118" s="2">
        <v>45928.691724537035</v>
      </c>
      <c r="S118" s="1" t="s">
        <v>546</v>
      </c>
      <c r="T118" s="1" t="s">
        <v>131</v>
      </c>
      <c r="U118">
        <v>248198</v>
      </c>
      <c r="V118" s="1" t="s">
        <v>66</v>
      </c>
      <c r="W118">
        <v>3150</v>
      </c>
      <c r="X118">
        <v>18</v>
      </c>
      <c r="Y118">
        <v>0</v>
      </c>
      <c r="Z118">
        <v>0</v>
      </c>
      <c r="AA118">
        <v>18</v>
      </c>
      <c r="AB118">
        <v>480.50799999999998</v>
      </c>
      <c r="AC118">
        <v>0</v>
      </c>
      <c r="AD118">
        <v>0</v>
      </c>
      <c r="AE118">
        <v>480.50799999999998</v>
      </c>
      <c r="AF118">
        <v>0.75</v>
      </c>
      <c r="AG118">
        <f>MarketPlace_Order_Report[[#This Row],[UnitPrice]]*MarketPlace_Order_Report[[#This Row],[OrderQty]]</f>
        <v>3150</v>
      </c>
      <c r="AH118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118">
        <f>MarketPlace_Order_Report[[#This Row],[Gross Amount (Before Tax)]]+MarketPlace_Order_Report[[#This Row],[Total GST Amount]]</f>
        <v>3630.5079999999998</v>
      </c>
      <c r="AJ118" s="1" t="s">
        <v>545</v>
      </c>
    </row>
    <row r="119" spans="1:36" hidden="1">
      <c r="A119" s="1" t="s">
        <v>547</v>
      </c>
      <c r="B119" s="1" t="s">
        <v>543</v>
      </c>
      <c r="C119" s="1" t="s">
        <v>71</v>
      </c>
      <c r="D119">
        <v>1</v>
      </c>
      <c r="E119">
        <v>1</v>
      </c>
      <c r="F119">
        <v>3500</v>
      </c>
      <c r="G119">
        <v>3150</v>
      </c>
      <c r="H119">
        <v>3176.38</v>
      </c>
      <c r="I119">
        <v>26.38</v>
      </c>
      <c r="J119" s="1" t="s">
        <v>72</v>
      </c>
      <c r="K119" s="2">
        <v>45924.408495370371</v>
      </c>
      <c r="L119" s="2">
        <v>45924.625416666669</v>
      </c>
      <c r="M119" s="2">
        <v>45929.622002314813</v>
      </c>
      <c r="N119" s="1" t="s">
        <v>61</v>
      </c>
      <c r="O119" s="1" t="s">
        <v>62</v>
      </c>
      <c r="P119" s="1" t="s">
        <v>61</v>
      </c>
      <c r="Q119" s="1" t="s">
        <v>74</v>
      </c>
      <c r="R119" s="2">
        <v>45946.608541666668</v>
      </c>
      <c r="S119" s="1" t="s">
        <v>549</v>
      </c>
      <c r="T119" s="1" t="s">
        <v>449</v>
      </c>
      <c r="U119">
        <v>496001</v>
      </c>
      <c r="V119" s="1" t="s">
        <v>66</v>
      </c>
      <c r="W119">
        <v>3150</v>
      </c>
      <c r="X119">
        <v>18</v>
      </c>
      <c r="Y119">
        <v>0</v>
      </c>
      <c r="Z119">
        <v>0</v>
      </c>
      <c r="AA119">
        <v>18</v>
      </c>
      <c r="AB119">
        <v>480.50799999999998</v>
      </c>
      <c r="AC119">
        <v>0</v>
      </c>
      <c r="AD119">
        <v>0</v>
      </c>
      <c r="AE119">
        <v>480.50799999999998</v>
      </c>
      <c r="AF119">
        <v>0.75</v>
      </c>
      <c r="AG119">
        <f>MarketPlace_Order_Report[[#This Row],[UnitPrice]]*MarketPlace_Order_Report[[#This Row],[OrderQty]]</f>
        <v>3150</v>
      </c>
      <c r="AH119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119">
        <f>MarketPlace_Order_Report[[#This Row],[Gross Amount (Before Tax)]]+MarketPlace_Order_Report[[#This Row],[Total GST Amount]]</f>
        <v>3630.5079999999998</v>
      </c>
      <c r="AJ119" s="1" t="s">
        <v>548</v>
      </c>
    </row>
    <row r="120" spans="1:36" hidden="1">
      <c r="A120" s="1" t="s">
        <v>550</v>
      </c>
      <c r="B120" s="1" t="s">
        <v>543</v>
      </c>
      <c r="C120" s="1" t="s">
        <v>102</v>
      </c>
      <c r="D120">
        <v>1</v>
      </c>
      <c r="E120">
        <v>1</v>
      </c>
      <c r="F120">
        <v>3500</v>
      </c>
      <c r="G120">
        <v>3150</v>
      </c>
      <c r="H120">
        <v>3199</v>
      </c>
      <c r="I120">
        <v>49</v>
      </c>
      <c r="J120" s="1" t="s">
        <v>72</v>
      </c>
      <c r="K120" s="2">
        <v>45919.973587962966</v>
      </c>
      <c r="L120" s="2">
        <v>45920.699537037035</v>
      </c>
      <c r="M120" s="2"/>
      <c r="N120" s="1" t="s">
        <v>61</v>
      </c>
      <c r="O120" s="1" t="s">
        <v>62</v>
      </c>
      <c r="P120" s="1" t="s">
        <v>61</v>
      </c>
      <c r="Q120" s="1" t="s">
        <v>103</v>
      </c>
      <c r="R120" s="2">
        <v>45933.88621527778</v>
      </c>
      <c r="S120" s="1" t="s">
        <v>552</v>
      </c>
      <c r="T120" s="1" t="s">
        <v>275</v>
      </c>
      <c r="U120">
        <v>721301</v>
      </c>
      <c r="V120" s="1" t="s">
        <v>66</v>
      </c>
      <c r="W120">
        <v>3150</v>
      </c>
      <c r="X120">
        <v>12</v>
      </c>
      <c r="Y120">
        <v>0</v>
      </c>
      <c r="Z120">
        <v>0</v>
      </c>
      <c r="AA120">
        <v>12</v>
      </c>
      <c r="AB120">
        <v>337.5</v>
      </c>
      <c r="AC120">
        <v>0</v>
      </c>
      <c r="AD120">
        <v>0</v>
      </c>
      <c r="AE120">
        <v>337.5</v>
      </c>
      <c r="AF120">
        <v>0.75</v>
      </c>
      <c r="AG120">
        <f>MarketPlace_Order_Report[[#This Row],[UnitPrice]]*MarketPlace_Order_Report[[#This Row],[OrderQty]]</f>
        <v>3150</v>
      </c>
      <c r="AH120">
        <f>IFERROR(MarketPlace_Order_Report[[#This Row],[CGSTAmount]]+MarketPlace_Order_Report[[#This Row],[SGSTAmount]]+MarketPlace_Order_Report[[#This Row],[IGSTAmount]],MarketPlace_Order_Report[[#This Row],[TaxAmount]])</f>
        <v>337.5</v>
      </c>
      <c r="AI120">
        <f>MarketPlace_Order_Report[[#This Row],[Gross Amount (Before Tax)]]+MarketPlace_Order_Report[[#This Row],[Total GST Amount]]</f>
        <v>3487.5</v>
      </c>
      <c r="AJ120" s="1" t="s">
        <v>551</v>
      </c>
    </row>
    <row r="121" spans="1:36" hidden="1">
      <c r="A121" s="1" t="s">
        <v>553</v>
      </c>
      <c r="B121" s="1" t="s">
        <v>556</v>
      </c>
      <c r="C121" s="1" t="s">
        <v>102</v>
      </c>
      <c r="D121">
        <v>1</v>
      </c>
      <c r="E121">
        <v>1</v>
      </c>
      <c r="F121">
        <v>3500</v>
      </c>
      <c r="G121">
        <v>3150</v>
      </c>
      <c r="H121">
        <v>3199</v>
      </c>
      <c r="I121">
        <v>49</v>
      </c>
      <c r="J121" s="1" t="s">
        <v>72</v>
      </c>
      <c r="K121" s="2">
        <v>45926.631018518521</v>
      </c>
      <c r="L121" s="2">
        <v>45929.708437499998</v>
      </c>
      <c r="M121" s="2"/>
      <c r="N121" s="1" t="s">
        <v>61</v>
      </c>
      <c r="O121" s="1" t="s">
        <v>62</v>
      </c>
      <c r="P121" s="1" t="s">
        <v>61</v>
      </c>
      <c r="Q121" s="1" t="s">
        <v>103</v>
      </c>
      <c r="R121" s="2">
        <v>45938.861932870372</v>
      </c>
      <c r="S121" s="1" t="s">
        <v>557</v>
      </c>
      <c r="T121" s="1" t="s">
        <v>77</v>
      </c>
      <c r="U121">
        <v>271865</v>
      </c>
      <c r="V121" s="1" t="s">
        <v>66</v>
      </c>
      <c r="W121">
        <v>3150</v>
      </c>
      <c r="X121">
        <v>18</v>
      </c>
      <c r="Y121">
        <v>0</v>
      </c>
      <c r="Z121">
        <v>0</v>
      </c>
      <c r="AA121">
        <v>18</v>
      </c>
      <c r="AB121">
        <v>480.50799999999998</v>
      </c>
      <c r="AC121">
        <v>0</v>
      </c>
      <c r="AD121">
        <v>0</v>
      </c>
      <c r="AE121">
        <v>480.50799999999998</v>
      </c>
      <c r="AF121">
        <v>0.75</v>
      </c>
      <c r="AG121">
        <f>MarketPlace_Order_Report[[#This Row],[UnitPrice]]*MarketPlace_Order_Report[[#This Row],[OrderQty]]</f>
        <v>3150</v>
      </c>
      <c r="AH121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121">
        <f>MarketPlace_Order_Report[[#This Row],[Gross Amount (Before Tax)]]+MarketPlace_Order_Report[[#This Row],[Total GST Amount]]</f>
        <v>3630.5079999999998</v>
      </c>
      <c r="AJ121" s="1" t="s">
        <v>554</v>
      </c>
    </row>
    <row r="122" spans="1:36">
      <c r="A122" s="1" t="s">
        <v>558</v>
      </c>
      <c r="B122" s="1" t="s">
        <v>560</v>
      </c>
      <c r="C122" s="1" t="s">
        <v>2475</v>
      </c>
      <c r="D122">
        <v>1</v>
      </c>
      <c r="E122">
        <v>1</v>
      </c>
      <c r="F122">
        <v>4000</v>
      </c>
      <c r="G122">
        <v>3400</v>
      </c>
      <c r="H122">
        <v>3429</v>
      </c>
      <c r="I122">
        <v>29</v>
      </c>
      <c r="J122" s="1" t="s">
        <v>59</v>
      </c>
      <c r="K122" s="2">
        <v>45905.993807870371</v>
      </c>
      <c r="L122" s="2">
        <v>45909.71770833333</v>
      </c>
      <c r="M122" s="2">
        <v>45914.649502314816</v>
      </c>
      <c r="N122" s="1" t="s">
        <v>61</v>
      </c>
      <c r="O122" s="1" t="s">
        <v>62</v>
      </c>
      <c r="P122" s="1" t="s">
        <v>61</v>
      </c>
      <c r="Q122" s="1" t="s">
        <v>61</v>
      </c>
      <c r="R122" s="2">
        <v>45914.650138888886</v>
      </c>
      <c r="S122" s="1" t="s">
        <v>182</v>
      </c>
      <c r="T122" s="1" t="s">
        <v>183</v>
      </c>
      <c r="U122">
        <v>110075</v>
      </c>
      <c r="V122" s="1" t="s">
        <v>66</v>
      </c>
      <c r="W122">
        <v>3400</v>
      </c>
      <c r="X122">
        <v>12</v>
      </c>
      <c r="Y122">
        <v>0</v>
      </c>
      <c r="Z122">
        <v>0</v>
      </c>
      <c r="AA122">
        <v>12</v>
      </c>
      <c r="AB122">
        <v>364.286</v>
      </c>
      <c r="AC122">
        <v>0</v>
      </c>
      <c r="AD122">
        <v>0</v>
      </c>
      <c r="AE122">
        <v>364.286</v>
      </c>
      <c r="AF122">
        <v>0.75</v>
      </c>
      <c r="AG122">
        <f>MarketPlace_Order_Report[[#This Row],[UnitPrice]]*MarketPlace_Order_Report[[#This Row],[OrderQty]]</f>
        <v>3400</v>
      </c>
      <c r="AH122">
        <f>IFERROR(MarketPlace_Order_Report[[#This Row],[CGSTAmount]]+MarketPlace_Order_Report[[#This Row],[SGSTAmount]]+MarketPlace_Order_Report[[#This Row],[IGSTAmount]],MarketPlace_Order_Report[[#This Row],[TaxAmount]])</f>
        <v>364.286</v>
      </c>
      <c r="AI122">
        <f>MarketPlace_Order_Report[[#This Row],[Gross Amount (Before Tax)]]+MarketPlace_Order_Report[[#This Row],[Total GST Amount]]</f>
        <v>3764.2860000000001</v>
      </c>
      <c r="AJ122" s="1" t="s">
        <v>559</v>
      </c>
    </row>
    <row r="123" spans="1:36">
      <c r="A123" s="1" t="s">
        <v>561</v>
      </c>
      <c r="B123" s="1" t="s">
        <v>563</v>
      </c>
      <c r="C123" s="1" t="s">
        <v>2475</v>
      </c>
      <c r="D123">
        <v>1</v>
      </c>
      <c r="E123">
        <v>1</v>
      </c>
      <c r="F123">
        <v>4000</v>
      </c>
      <c r="G123">
        <v>3400</v>
      </c>
      <c r="H123">
        <v>3423.5</v>
      </c>
      <c r="I123">
        <v>23.5</v>
      </c>
      <c r="J123" s="1" t="s">
        <v>72</v>
      </c>
      <c r="K123" s="2">
        <v>45914.036666666667</v>
      </c>
      <c r="L123" s="2">
        <v>45917.634189814817</v>
      </c>
      <c r="M123" s="2">
        <v>45919.84747685185</v>
      </c>
      <c r="N123" s="1" t="s">
        <v>61</v>
      </c>
      <c r="O123" s="1" t="s">
        <v>62</v>
      </c>
      <c r="P123" s="1" t="s">
        <v>61</v>
      </c>
      <c r="Q123" s="1" t="s">
        <v>61</v>
      </c>
      <c r="R123" s="2">
        <v>45919.855069444442</v>
      </c>
      <c r="S123" s="1" t="s">
        <v>124</v>
      </c>
      <c r="T123" s="1" t="s">
        <v>99</v>
      </c>
      <c r="U123">
        <v>122004</v>
      </c>
      <c r="V123" s="1" t="s">
        <v>66</v>
      </c>
      <c r="W123">
        <v>3400</v>
      </c>
      <c r="X123">
        <v>12</v>
      </c>
      <c r="Y123">
        <v>0</v>
      </c>
      <c r="Z123">
        <v>0</v>
      </c>
      <c r="AA123">
        <v>12</v>
      </c>
      <c r="AB123">
        <v>364.286</v>
      </c>
      <c r="AC123">
        <v>0</v>
      </c>
      <c r="AD123">
        <v>0</v>
      </c>
      <c r="AE123">
        <v>364.286</v>
      </c>
      <c r="AF123">
        <v>0.75</v>
      </c>
      <c r="AG123">
        <f>MarketPlace_Order_Report[[#This Row],[UnitPrice]]*MarketPlace_Order_Report[[#This Row],[OrderQty]]</f>
        <v>3400</v>
      </c>
      <c r="AH123">
        <f>IFERROR(MarketPlace_Order_Report[[#This Row],[CGSTAmount]]+MarketPlace_Order_Report[[#This Row],[SGSTAmount]]+MarketPlace_Order_Report[[#This Row],[IGSTAmount]],MarketPlace_Order_Report[[#This Row],[TaxAmount]])</f>
        <v>364.286</v>
      </c>
      <c r="AI123">
        <f>MarketPlace_Order_Report[[#This Row],[Gross Amount (Before Tax)]]+MarketPlace_Order_Report[[#This Row],[Total GST Amount]]</f>
        <v>3764.2860000000001</v>
      </c>
      <c r="AJ123" s="1" t="s">
        <v>562</v>
      </c>
    </row>
    <row r="124" spans="1:36" hidden="1">
      <c r="A124" s="1" t="s">
        <v>565</v>
      </c>
      <c r="B124" s="1" t="s">
        <v>567</v>
      </c>
      <c r="C124" s="1" t="s">
        <v>102</v>
      </c>
      <c r="D124">
        <v>1</v>
      </c>
      <c r="E124">
        <v>1</v>
      </c>
      <c r="F124">
        <v>2000</v>
      </c>
      <c r="G124">
        <v>1600</v>
      </c>
      <c r="H124">
        <v>1649</v>
      </c>
      <c r="I124">
        <v>49</v>
      </c>
      <c r="J124" s="1" t="s">
        <v>72</v>
      </c>
      <c r="K124" s="2">
        <v>45916.433206018519</v>
      </c>
      <c r="L124" s="2">
        <v>45917.634189814817</v>
      </c>
      <c r="M124" s="2"/>
      <c r="N124" s="1" t="s">
        <v>61</v>
      </c>
      <c r="O124" s="1" t="s">
        <v>62</v>
      </c>
      <c r="P124" s="1" t="s">
        <v>61</v>
      </c>
      <c r="Q124" s="1" t="s">
        <v>103</v>
      </c>
      <c r="R124" s="2">
        <v>45933.639756944445</v>
      </c>
      <c r="S124" s="1" t="s">
        <v>136</v>
      </c>
      <c r="T124" s="1" t="s">
        <v>77</v>
      </c>
      <c r="U124">
        <v>201301</v>
      </c>
      <c r="V124" s="1" t="s">
        <v>66</v>
      </c>
      <c r="W124">
        <v>1600</v>
      </c>
      <c r="X124">
        <v>12</v>
      </c>
      <c r="Y124">
        <v>0</v>
      </c>
      <c r="Z124">
        <v>0</v>
      </c>
      <c r="AA124">
        <v>12</v>
      </c>
      <c r="AB124">
        <v>171.429</v>
      </c>
      <c r="AC124">
        <v>0</v>
      </c>
      <c r="AD124">
        <v>0</v>
      </c>
      <c r="AE124">
        <v>171.429</v>
      </c>
      <c r="AF124">
        <v>0.75</v>
      </c>
      <c r="AG124">
        <f>MarketPlace_Order_Report[[#This Row],[UnitPrice]]*MarketPlace_Order_Report[[#This Row],[OrderQty]]</f>
        <v>1600</v>
      </c>
      <c r="AH124">
        <f>IFERROR(MarketPlace_Order_Report[[#This Row],[CGSTAmount]]+MarketPlace_Order_Report[[#This Row],[SGSTAmount]]+MarketPlace_Order_Report[[#This Row],[IGSTAmount]],MarketPlace_Order_Report[[#This Row],[TaxAmount]])</f>
        <v>171.429</v>
      </c>
      <c r="AI124">
        <f>MarketPlace_Order_Report[[#This Row],[Gross Amount (Before Tax)]]+MarketPlace_Order_Report[[#This Row],[Total GST Amount]]</f>
        <v>1771.4290000000001</v>
      </c>
      <c r="AJ124" s="1" t="s">
        <v>566</v>
      </c>
    </row>
    <row r="125" spans="1:36" hidden="1">
      <c r="A125" s="1" t="s">
        <v>568</v>
      </c>
      <c r="B125" s="1" t="s">
        <v>570</v>
      </c>
      <c r="C125" s="1" t="s">
        <v>71</v>
      </c>
      <c r="D125">
        <v>1</v>
      </c>
      <c r="E125">
        <v>1</v>
      </c>
      <c r="F125">
        <v>2000</v>
      </c>
      <c r="G125">
        <v>1600</v>
      </c>
      <c r="H125">
        <v>1605</v>
      </c>
      <c r="I125">
        <v>5</v>
      </c>
      <c r="J125" s="1" t="s">
        <v>72</v>
      </c>
      <c r="K125" s="2">
        <v>45913.349814814814</v>
      </c>
      <c r="L125" s="2">
        <v>45917.634189814817</v>
      </c>
      <c r="M125" s="2">
        <v>45923.563136574077</v>
      </c>
      <c r="N125" s="1" t="s">
        <v>61</v>
      </c>
      <c r="O125" s="1" t="s">
        <v>62</v>
      </c>
      <c r="P125" s="1" t="s">
        <v>61</v>
      </c>
      <c r="Q125" s="1" t="s">
        <v>74</v>
      </c>
      <c r="R125" s="2">
        <v>45934.622407407405</v>
      </c>
      <c r="S125" s="1" t="s">
        <v>136</v>
      </c>
      <c r="T125" s="1" t="s">
        <v>77</v>
      </c>
      <c r="U125">
        <v>201306</v>
      </c>
      <c r="V125" s="1" t="s">
        <v>66</v>
      </c>
      <c r="W125">
        <v>1600</v>
      </c>
      <c r="X125">
        <v>12</v>
      </c>
      <c r="Y125">
        <v>0</v>
      </c>
      <c r="Z125">
        <v>0</v>
      </c>
      <c r="AA125">
        <v>12</v>
      </c>
      <c r="AB125">
        <v>171.429</v>
      </c>
      <c r="AC125">
        <v>0</v>
      </c>
      <c r="AD125">
        <v>0</v>
      </c>
      <c r="AE125">
        <v>171.429</v>
      </c>
      <c r="AF125">
        <v>0.75</v>
      </c>
      <c r="AG125">
        <f>MarketPlace_Order_Report[[#This Row],[UnitPrice]]*MarketPlace_Order_Report[[#This Row],[OrderQty]]</f>
        <v>1600</v>
      </c>
      <c r="AH125">
        <f>IFERROR(MarketPlace_Order_Report[[#This Row],[CGSTAmount]]+MarketPlace_Order_Report[[#This Row],[SGSTAmount]]+MarketPlace_Order_Report[[#This Row],[IGSTAmount]],MarketPlace_Order_Report[[#This Row],[TaxAmount]])</f>
        <v>171.429</v>
      </c>
      <c r="AI125">
        <f>MarketPlace_Order_Report[[#This Row],[Gross Amount (Before Tax)]]+MarketPlace_Order_Report[[#This Row],[Total GST Amount]]</f>
        <v>1771.4290000000001</v>
      </c>
      <c r="AJ125" s="1" t="s">
        <v>569</v>
      </c>
    </row>
    <row r="126" spans="1:36">
      <c r="A126" s="1" t="s">
        <v>571</v>
      </c>
      <c r="B126" s="1" t="s">
        <v>573</v>
      </c>
      <c r="C126" s="1" t="s">
        <v>2475</v>
      </c>
      <c r="D126">
        <v>1</v>
      </c>
      <c r="E126">
        <v>1</v>
      </c>
      <c r="F126">
        <v>4000</v>
      </c>
      <c r="G126">
        <v>3400</v>
      </c>
      <c r="H126">
        <v>3449</v>
      </c>
      <c r="I126">
        <v>49</v>
      </c>
      <c r="J126" s="1" t="s">
        <v>72</v>
      </c>
      <c r="K126" s="2">
        <v>45915.338796296295</v>
      </c>
      <c r="L126" s="2">
        <v>45915.688842592594</v>
      </c>
      <c r="M126" s="2">
        <v>45919.492685185185</v>
      </c>
      <c r="N126" s="1" t="s">
        <v>61</v>
      </c>
      <c r="O126" s="1" t="s">
        <v>62</v>
      </c>
      <c r="P126" s="1" t="s">
        <v>61</v>
      </c>
      <c r="Q126" s="1" t="s">
        <v>61</v>
      </c>
      <c r="R126" s="2">
        <v>45919.493750000001</v>
      </c>
      <c r="S126" s="1" t="s">
        <v>574</v>
      </c>
      <c r="T126" s="1" t="s">
        <v>215</v>
      </c>
      <c r="U126">
        <v>770076</v>
      </c>
      <c r="V126" s="1" t="s">
        <v>66</v>
      </c>
      <c r="W126">
        <v>3400</v>
      </c>
      <c r="X126">
        <v>12</v>
      </c>
      <c r="Y126">
        <v>0</v>
      </c>
      <c r="Z126">
        <v>0</v>
      </c>
      <c r="AA126">
        <v>12</v>
      </c>
      <c r="AB126">
        <v>364.286</v>
      </c>
      <c r="AC126">
        <v>0</v>
      </c>
      <c r="AD126">
        <v>0</v>
      </c>
      <c r="AE126">
        <v>364.286</v>
      </c>
      <c r="AF126">
        <v>0.85</v>
      </c>
      <c r="AG126">
        <f>MarketPlace_Order_Report[[#This Row],[UnitPrice]]*MarketPlace_Order_Report[[#This Row],[OrderQty]]</f>
        <v>3400</v>
      </c>
      <c r="AH126">
        <f>IFERROR(MarketPlace_Order_Report[[#This Row],[CGSTAmount]]+MarketPlace_Order_Report[[#This Row],[SGSTAmount]]+MarketPlace_Order_Report[[#This Row],[IGSTAmount]],MarketPlace_Order_Report[[#This Row],[TaxAmount]])</f>
        <v>364.286</v>
      </c>
      <c r="AI126">
        <f>MarketPlace_Order_Report[[#This Row],[Gross Amount (Before Tax)]]+MarketPlace_Order_Report[[#This Row],[Total GST Amount]]</f>
        <v>3764.2860000000001</v>
      </c>
      <c r="AJ126" s="1" t="s">
        <v>572</v>
      </c>
    </row>
    <row r="127" spans="1:36" hidden="1">
      <c r="A127" s="1" t="s">
        <v>575</v>
      </c>
      <c r="B127" s="1" t="s">
        <v>578</v>
      </c>
      <c r="C127" s="1" t="s">
        <v>71</v>
      </c>
      <c r="D127">
        <v>1</v>
      </c>
      <c r="E127">
        <v>1</v>
      </c>
      <c r="F127">
        <v>4000</v>
      </c>
      <c r="G127">
        <v>3600</v>
      </c>
      <c r="H127">
        <v>3629</v>
      </c>
      <c r="I127">
        <v>29</v>
      </c>
      <c r="J127" s="1" t="s">
        <v>59</v>
      </c>
      <c r="K127" s="2">
        <v>45922.969143518516</v>
      </c>
      <c r="L127" s="2">
        <v>45923.723993055559</v>
      </c>
      <c r="M127" s="2">
        <v>45925.666145833333</v>
      </c>
      <c r="N127" s="1" t="s">
        <v>61</v>
      </c>
      <c r="O127" s="1" t="s">
        <v>62</v>
      </c>
      <c r="P127" s="1" t="s">
        <v>61</v>
      </c>
      <c r="Q127" s="1" t="s">
        <v>74</v>
      </c>
      <c r="R127" s="2">
        <v>45933.886284722219</v>
      </c>
      <c r="S127" s="1" t="s">
        <v>579</v>
      </c>
      <c r="T127" s="1" t="s">
        <v>231</v>
      </c>
      <c r="U127">
        <v>834008</v>
      </c>
      <c r="V127" s="1" t="s">
        <v>66</v>
      </c>
      <c r="W127">
        <v>3600</v>
      </c>
      <c r="X127">
        <v>18</v>
      </c>
      <c r="Y127">
        <v>0</v>
      </c>
      <c r="Z127">
        <v>0</v>
      </c>
      <c r="AA127">
        <v>18</v>
      </c>
      <c r="AB127">
        <v>549.15300000000002</v>
      </c>
      <c r="AC127">
        <v>0</v>
      </c>
      <c r="AD127">
        <v>0</v>
      </c>
      <c r="AE127">
        <v>549.15300000000002</v>
      </c>
      <c r="AF127">
        <v>0.85</v>
      </c>
      <c r="AG127">
        <f>MarketPlace_Order_Report[[#This Row],[UnitPrice]]*MarketPlace_Order_Report[[#This Row],[OrderQty]]</f>
        <v>3600</v>
      </c>
      <c r="AH127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127">
        <f>MarketPlace_Order_Report[[#This Row],[Gross Amount (Before Tax)]]+MarketPlace_Order_Report[[#This Row],[Total GST Amount]]</f>
        <v>4149.1530000000002</v>
      </c>
      <c r="AJ127" s="1" t="s">
        <v>576</v>
      </c>
    </row>
    <row r="128" spans="1:36">
      <c r="A128" s="1" t="s">
        <v>580</v>
      </c>
      <c r="B128" s="1" t="s">
        <v>582</v>
      </c>
      <c r="C128" s="1" t="s">
        <v>2475</v>
      </c>
      <c r="D128">
        <v>1</v>
      </c>
      <c r="E128">
        <v>1</v>
      </c>
      <c r="F128">
        <v>3250</v>
      </c>
      <c r="G128">
        <v>2600</v>
      </c>
      <c r="H128">
        <v>2629</v>
      </c>
      <c r="I128">
        <v>29</v>
      </c>
      <c r="J128" s="1" t="s">
        <v>59</v>
      </c>
      <c r="K128" s="2">
        <v>45926.897013888891</v>
      </c>
      <c r="L128" s="2">
        <v>45929.708495370367</v>
      </c>
      <c r="M128" s="2">
        <v>45931.533171296294</v>
      </c>
      <c r="N128" s="1" t="s">
        <v>61</v>
      </c>
      <c r="O128" s="1" t="s">
        <v>62</v>
      </c>
      <c r="P128" s="1" t="s">
        <v>61</v>
      </c>
      <c r="Q128" s="1" t="s">
        <v>61</v>
      </c>
      <c r="R128" s="2">
        <v>45931.535370370373</v>
      </c>
      <c r="S128" s="1" t="s">
        <v>408</v>
      </c>
      <c r="T128" s="1" t="s">
        <v>318</v>
      </c>
      <c r="U128">
        <v>401107</v>
      </c>
      <c r="V128" s="1" t="s">
        <v>66</v>
      </c>
      <c r="W128">
        <v>2600</v>
      </c>
      <c r="X128">
        <v>5</v>
      </c>
      <c r="Y128">
        <v>2.5</v>
      </c>
      <c r="Z128">
        <v>2.5</v>
      </c>
      <c r="AA128">
        <v>0</v>
      </c>
      <c r="AB128">
        <v>123.81</v>
      </c>
      <c r="AC128">
        <v>61.905000000000001</v>
      </c>
      <c r="AD128">
        <v>61.905000000000001</v>
      </c>
      <c r="AE128">
        <v>0</v>
      </c>
      <c r="AF128">
        <v>0.75</v>
      </c>
      <c r="AG128">
        <f>MarketPlace_Order_Report[[#This Row],[UnitPrice]]*MarketPlace_Order_Report[[#This Row],[OrderQty]]</f>
        <v>2600</v>
      </c>
      <c r="AH128">
        <f>IFERROR(MarketPlace_Order_Report[[#This Row],[CGSTAmount]]+MarketPlace_Order_Report[[#This Row],[SGSTAmount]]+MarketPlace_Order_Report[[#This Row],[IGSTAmount]],MarketPlace_Order_Report[[#This Row],[TaxAmount]])</f>
        <v>123.81</v>
      </c>
      <c r="AI128">
        <f>MarketPlace_Order_Report[[#This Row],[Gross Amount (Before Tax)]]+MarketPlace_Order_Report[[#This Row],[Total GST Amount]]</f>
        <v>2723.81</v>
      </c>
      <c r="AJ128" s="1" t="s">
        <v>581</v>
      </c>
    </row>
    <row r="129" spans="1:36" hidden="1">
      <c r="A129" s="1" t="s">
        <v>583</v>
      </c>
      <c r="B129" s="1" t="s">
        <v>585</v>
      </c>
      <c r="C129" s="1" t="s">
        <v>71</v>
      </c>
      <c r="D129">
        <v>1</v>
      </c>
      <c r="E129">
        <v>1</v>
      </c>
      <c r="F129">
        <v>3250</v>
      </c>
      <c r="G129">
        <v>2600</v>
      </c>
      <c r="H129">
        <v>2617.33</v>
      </c>
      <c r="I129">
        <v>17.329999999999998</v>
      </c>
      <c r="J129" s="1" t="s">
        <v>59</v>
      </c>
      <c r="K129" s="2">
        <v>45919.731412037036</v>
      </c>
      <c r="L129" s="2">
        <v>45920.699502314812</v>
      </c>
      <c r="M129" s="2">
        <v>45922.61959490741</v>
      </c>
      <c r="N129" s="1" t="s">
        <v>61</v>
      </c>
      <c r="O129" s="1" t="s">
        <v>62</v>
      </c>
      <c r="P129" s="1" t="s">
        <v>61</v>
      </c>
      <c r="Q129" s="1" t="s">
        <v>74</v>
      </c>
      <c r="R129" s="2">
        <v>45937.899953703702</v>
      </c>
      <c r="S129" s="1" t="s">
        <v>119</v>
      </c>
      <c r="T129" s="1" t="s">
        <v>120</v>
      </c>
      <c r="U129">
        <v>302018</v>
      </c>
      <c r="V129" s="1" t="s">
        <v>66</v>
      </c>
      <c r="W129">
        <v>2600</v>
      </c>
      <c r="X129">
        <v>12</v>
      </c>
      <c r="Y129">
        <v>0</v>
      </c>
      <c r="Z129">
        <v>0</v>
      </c>
      <c r="AA129">
        <v>12</v>
      </c>
      <c r="AB129">
        <v>278.57100000000003</v>
      </c>
      <c r="AC129">
        <v>0</v>
      </c>
      <c r="AD129">
        <v>0</v>
      </c>
      <c r="AE129">
        <v>278.57100000000003</v>
      </c>
      <c r="AF129">
        <v>0.75</v>
      </c>
      <c r="AG129">
        <f>MarketPlace_Order_Report[[#This Row],[UnitPrice]]*MarketPlace_Order_Report[[#This Row],[OrderQty]]</f>
        <v>2600</v>
      </c>
      <c r="AH129">
        <f>IFERROR(MarketPlace_Order_Report[[#This Row],[CGSTAmount]]+MarketPlace_Order_Report[[#This Row],[SGSTAmount]]+MarketPlace_Order_Report[[#This Row],[IGSTAmount]],MarketPlace_Order_Report[[#This Row],[TaxAmount]])</f>
        <v>278.57100000000003</v>
      </c>
      <c r="AI129">
        <f>MarketPlace_Order_Report[[#This Row],[Gross Amount (Before Tax)]]+MarketPlace_Order_Report[[#This Row],[Total GST Amount]]</f>
        <v>2878.5709999999999</v>
      </c>
      <c r="AJ129" s="1" t="s">
        <v>584</v>
      </c>
    </row>
    <row r="130" spans="1:36">
      <c r="A130" s="1" t="s">
        <v>586</v>
      </c>
      <c r="B130" s="1" t="s">
        <v>588</v>
      </c>
      <c r="C130" s="1" t="s">
        <v>2475</v>
      </c>
      <c r="D130">
        <v>1</v>
      </c>
      <c r="E130">
        <v>1</v>
      </c>
      <c r="F130">
        <v>3750</v>
      </c>
      <c r="G130">
        <v>3375</v>
      </c>
      <c r="H130">
        <v>3375</v>
      </c>
      <c r="I130">
        <v>0</v>
      </c>
      <c r="J130" s="1" t="s">
        <v>59</v>
      </c>
      <c r="K130" s="2">
        <v>45926.534675925926</v>
      </c>
      <c r="L130" s="2">
        <v>45926.719502314816</v>
      </c>
      <c r="M130" s="2">
        <v>45930.518206018518</v>
      </c>
      <c r="N130" s="1" t="s">
        <v>61</v>
      </c>
      <c r="O130" s="1" t="s">
        <v>62</v>
      </c>
      <c r="P130" s="1" t="s">
        <v>61</v>
      </c>
      <c r="Q130" s="1" t="s">
        <v>61</v>
      </c>
      <c r="R130" s="2">
        <v>45930.51834490741</v>
      </c>
      <c r="S130" s="1" t="s">
        <v>589</v>
      </c>
      <c r="T130" s="1" t="s">
        <v>77</v>
      </c>
      <c r="U130">
        <v>282010</v>
      </c>
      <c r="V130" s="1" t="s">
        <v>66</v>
      </c>
      <c r="W130">
        <v>3375</v>
      </c>
      <c r="X130">
        <v>18</v>
      </c>
      <c r="Y130">
        <v>0</v>
      </c>
      <c r="Z130">
        <v>0</v>
      </c>
      <c r="AA130">
        <v>18</v>
      </c>
      <c r="AB130">
        <v>514.83100000000002</v>
      </c>
      <c r="AC130">
        <v>0</v>
      </c>
      <c r="AD130">
        <v>0</v>
      </c>
      <c r="AE130">
        <v>514.83100000000002</v>
      </c>
      <c r="AF130">
        <v>0.85</v>
      </c>
      <c r="AG130">
        <f>MarketPlace_Order_Report[[#This Row],[UnitPrice]]*MarketPlace_Order_Report[[#This Row],[OrderQty]]</f>
        <v>3375</v>
      </c>
      <c r="AH130">
        <f>IFERROR(MarketPlace_Order_Report[[#This Row],[CGSTAmount]]+MarketPlace_Order_Report[[#This Row],[SGSTAmount]]+MarketPlace_Order_Report[[#This Row],[IGSTAmount]],MarketPlace_Order_Report[[#This Row],[TaxAmount]])</f>
        <v>514.83100000000002</v>
      </c>
      <c r="AI130">
        <f>MarketPlace_Order_Report[[#This Row],[Gross Amount (Before Tax)]]+MarketPlace_Order_Report[[#This Row],[Total GST Amount]]</f>
        <v>3889.8310000000001</v>
      </c>
      <c r="AJ130" s="1" t="s">
        <v>587</v>
      </c>
    </row>
    <row r="131" spans="1:36">
      <c r="A131" s="1" t="s">
        <v>590</v>
      </c>
      <c r="B131" s="1" t="s">
        <v>592</v>
      </c>
      <c r="C131" s="1" t="s">
        <v>2475</v>
      </c>
      <c r="D131">
        <v>1</v>
      </c>
      <c r="E131">
        <v>1</v>
      </c>
      <c r="F131">
        <v>3750</v>
      </c>
      <c r="G131">
        <v>3375</v>
      </c>
      <c r="H131">
        <v>3404</v>
      </c>
      <c r="I131">
        <v>29</v>
      </c>
      <c r="J131" s="1" t="s">
        <v>59</v>
      </c>
      <c r="K131" s="2">
        <v>45924.317060185182</v>
      </c>
      <c r="L131" s="2">
        <v>45924.625416666669</v>
      </c>
      <c r="M131" s="2">
        <v>45927.569733796299</v>
      </c>
      <c r="N131" s="1" t="s">
        <v>61</v>
      </c>
      <c r="O131" s="1" t="s">
        <v>62</v>
      </c>
      <c r="P131" s="1" t="s">
        <v>61</v>
      </c>
      <c r="Q131" s="1" t="s">
        <v>61</v>
      </c>
      <c r="R131" s="2">
        <v>45927.570370370369</v>
      </c>
      <c r="S131" s="1" t="s">
        <v>197</v>
      </c>
      <c r="T131" s="1" t="s">
        <v>65</v>
      </c>
      <c r="U131">
        <v>560072</v>
      </c>
      <c r="V131" s="1" t="s">
        <v>66</v>
      </c>
      <c r="W131">
        <v>3375</v>
      </c>
      <c r="X131">
        <v>18</v>
      </c>
      <c r="Y131">
        <v>0</v>
      </c>
      <c r="Z131">
        <v>0</v>
      </c>
      <c r="AA131">
        <v>18</v>
      </c>
      <c r="AB131">
        <v>514.83100000000002</v>
      </c>
      <c r="AC131">
        <v>0</v>
      </c>
      <c r="AD131">
        <v>0</v>
      </c>
      <c r="AE131">
        <v>514.83100000000002</v>
      </c>
      <c r="AF131">
        <v>0.75</v>
      </c>
      <c r="AG131">
        <f>MarketPlace_Order_Report[[#This Row],[UnitPrice]]*MarketPlace_Order_Report[[#This Row],[OrderQty]]</f>
        <v>3375</v>
      </c>
      <c r="AH131">
        <f>IFERROR(MarketPlace_Order_Report[[#This Row],[CGSTAmount]]+MarketPlace_Order_Report[[#This Row],[SGSTAmount]]+MarketPlace_Order_Report[[#This Row],[IGSTAmount]],MarketPlace_Order_Report[[#This Row],[TaxAmount]])</f>
        <v>514.83100000000002</v>
      </c>
      <c r="AI131">
        <f>MarketPlace_Order_Report[[#This Row],[Gross Amount (Before Tax)]]+MarketPlace_Order_Report[[#This Row],[Total GST Amount]]</f>
        <v>3889.8310000000001</v>
      </c>
      <c r="AJ131" s="1" t="s">
        <v>591</v>
      </c>
    </row>
    <row r="132" spans="1:36">
      <c r="A132" s="1" t="s">
        <v>593</v>
      </c>
      <c r="B132" s="1" t="s">
        <v>595</v>
      </c>
      <c r="C132" s="1" t="s">
        <v>2475</v>
      </c>
      <c r="D132">
        <v>1</v>
      </c>
      <c r="E132">
        <v>1</v>
      </c>
      <c r="F132">
        <v>3750</v>
      </c>
      <c r="G132">
        <v>3188</v>
      </c>
      <c r="H132">
        <v>3199.72</v>
      </c>
      <c r="I132">
        <v>11.72</v>
      </c>
      <c r="J132" s="1" t="s">
        <v>59</v>
      </c>
      <c r="K132" s="2">
        <v>45907.565057870372</v>
      </c>
      <c r="L132" s="2">
        <v>45909.71770833333</v>
      </c>
      <c r="M132" s="2">
        <v>45913.540833333333</v>
      </c>
      <c r="N132" s="1" t="s">
        <v>61</v>
      </c>
      <c r="O132" s="1" t="s">
        <v>62</v>
      </c>
      <c r="P132" s="1" t="s">
        <v>61</v>
      </c>
      <c r="Q132" s="1" t="s">
        <v>61</v>
      </c>
      <c r="R132" s="2">
        <v>45913.559814814813</v>
      </c>
      <c r="S132" s="1" t="s">
        <v>197</v>
      </c>
      <c r="T132" s="1" t="s">
        <v>65</v>
      </c>
      <c r="U132">
        <v>560100</v>
      </c>
      <c r="V132" s="1" t="s">
        <v>66</v>
      </c>
      <c r="W132">
        <v>3188</v>
      </c>
      <c r="X132">
        <v>12</v>
      </c>
      <c r="Y132">
        <v>0</v>
      </c>
      <c r="Z132">
        <v>0</v>
      </c>
      <c r="AA132">
        <v>12</v>
      </c>
      <c r="AB132">
        <v>341.57100000000003</v>
      </c>
      <c r="AC132">
        <v>0</v>
      </c>
      <c r="AD132">
        <v>0</v>
      </c>
      <c r="AE132">
        <v>341.57100000000003</v>
      </c>
      <c r="AF132">
        <v>0.75</v>
      </c>
      <c r="AG132">
        <f>MarketPlace_Order_Report[[#This Row],[UnitPrice]]*MarketPlace_Order_Report[[#This Row],[OrderQty]]</f>
        <v>3188</v>
      </c>
      <c r="AH132">
        <f>IFERROR(MarketPlace_Order_Report[[#This Row],[CGSTAmount]]+MarketPlace_Order_Report[[#This Row],[SGSTAmount]]+MarketPlace_Order_Report[[#This Row],[IGSTAmount]],MarketPlace_Order_Report[[#This Row],[TaxAmount]])</f>
        <v>341.57100000000003</v>
      </c>
      <c r="AI132">
        <f>MarketPlace_Order_Report[[#This Row],[Gross Amount (Before Tax)]]+MarketPlace_Order_Report[[#This Row],[Total GST Amount]]</f>
        <v>3529.5709999999999</v>
      </c>
      <c r="AJ132" s="1" t="s">
        <v>594</v>
      </c>
    </row>
    <row r="133" spans="1:36">
      <c r="A133" s="1" t="s">
        <v>596</v>
      </c>
      <c r="B133" s="1" t="s">
        <v>599</v>
      </c>
      <c r="C133" s="1" t="s">
        <v>2475</v>
      </c>
      <c r="D133">
        <v>1</v>
      </c>
      <c r="E133">
        <v>1</v>
      </c>
      <c r="F133">
        <v>3750</v>
      </c>
      <c r="G133">
        <v>3188</v>
      </c>
      <c r="H133">
        <v>3203.44</v>
      </c>
      <c r="I133">
        <v>15.44</v>
      </c>
      <c r="J133" s="1" t="s">
        <v>59</v>
      </c>
      <c r="K133" s="2">
        <v>45918.897499999999</v>
      </c>
      <c r="L133" s="2">
        <v>45919.696527777778</v>
      </c>
      <c r="M133" s="2">
        <v>45922.494513888887</v>
      </c>
      <c r="N133" s="1" t="s">
        <v>61</v>
      </c>
      <c r="O133" s="1" t="s">
        <v>62</v>
      </c>
      <c r="P133" s="1" t="s">
        <v>61</v>
      </c>
      <c r="Q133" s="1" t="s">
        <v>61</v>
      </c>
      <c r="R133" s="2">
        <v>45922.514699074076</v>
      </c>
      <c r="S133" s="1" t="s">
        <v>165</v>
      </c>
      <c r="T133" s="1" t="s">
        <v>77</v>
      </c>
      <c r="U133">
        <v>226025</v>
      </c>
      <c r="V133" s="1" t="s">
        <v>66</v>
      </c>
      <c r="W133">
        <v>3188</v>
      </c>
      <c r="X133">
        <v>12</v>
      </c>
      <c r="Y133">
        <v>0</v>
      </c>
      <c r="Z133">
        <v>0</v>
      </c>
      <c r="AA133">
        <v>12</v>
      </c>
      <c r="AB133">
        <v>341.57100000000003</v>
      </c>
      <c r="AC133">
        <v>0</v>
      </c>
      <c r="AD133">
        <v>0</v>
      </c>
      <c r="AE133">
        <v>341.57100000000003</v>
      </c>
      <c r="AF133">
        <v>0.75</v>
      </c>
      <c r="AG133">
        <f>MarketPlace_Order_Report[[#This Row],[UnitPrice]]*MarketPlace_Order_Report[[#This Row],[OrderQty]]</f>
        <v>3188</v>
      </c>
      <c r="AH133">
        <f>IFERROR(MarketPlace_Order_Report[[#This Row],[CGSTAmount]]+MarketPlace_Order_Report[[#This Row],[SGSTAmount]]+MarketPlace_Order_Report[[#This Row],[IGSTAmount]],MarketPlace_Order_Report[[#This Row],[TaxAmount]])</f>
        <v>341.57100000000003</v>
      </c>
      <c r="AI133">
        <f>MarketPlace_Order_Report[[#This Row],[Gross Amount (Before Tax)]]+MarketPlace_Order_Report[[#This Row],[Total GST Amount]]</f>
        <v>3529.5709999999999</v>
      </c>
      <c r="AJ133" s="1" t="s">
        <v>597</v>
      </c>
    </row>
    <row r="134" spans="1:36">
      <c r="A134" s="1" t="s">
        <v>600</v>
      </c>
      <c r="B134" s="1" t="s">
        <v>599</v>
      </c>
      <c r="C134" s="1" t="s">
        <v>2475</v>
      </c>
      <c r="D134">
        <v>1</v>
      </c>
      <c r="E134">
        <v>1</v>
      </c>
      <c r="F134">
        <v>3750</v>
      </c>
      <c r="G134">
        <v>3188</v>
      </c>
      <c r="H134">
        <v>3237</v>
      </c>
      <c r="I134">
        <v>49</v>
      </c>
      <c r="J134" s="1" t="s">
        <v>72</v>
      </c>
      <c r="K134" s="2">
        <v>45901.966990740744</v>
      </c>
      <c r="L134" s="2">
        <v>45902.669976851852</v>
      </c>
      <c r="M134" s="2">
        <v>45909.649675925924</v>
      </c>
      <c r="N134" s="1" t="s">
        <v>61</v>
      </c>
      <c r="O134" s="1" t="s">
        <v>62</v>
      </c>
      <c r="P134" s="1" t="s">
        <v>61</v>
      </c>
      <c r="Q134" s="1" t="s">
        <v>61</v>
      </c>
      <c r="R134" s="2">
        <v>45909.650219907409</v>
      </c>
      <c r="S134" s="1" t="s">
        <v>602</v>
      </c>
      <c r="T134" s="1" t="s">
        <v>503</v>
      </c>
      <c r="U134">
        <v>145001</v>
      </c>
      <c r="V134" s="1" t="s">
        <v>66</v>
      </c>
      <c r="W134">
        <v>3188</v>
      </c>
      <c r="X134">
        <v>12</v>
      </c>
      <c r="Y134">
        <v>0</v>
      </c>
      <c r="Z134">
        <v>0</v>
      </c>
      <c r="AA134">
        <v>12</v>
      </c>
      <c r="AB134">
        <v>341.57100000000003</v>
      </c>
      <c r="AC134">
        <v>0</v>
      </c>
      <c r="AD134">
        <v>0</v>
      </c>
      <c r="AE134">
        <v>341.57100000000003</v>
      </c>
      <c r="AF134">
        <v>0.75</v>
      </c>
      <c r="AG134">
        <f>MarketPlace_Order_Report[[#This Row],[UnitPrice]]*MarketPlace_Order_Report[[#This Row],[OrderQty]]</f>
        <v>3188</v>
      </c>
      <c r="AH134">
        <f>IFERROR(MarketPlace_Order_Report[[#This Row],[CGSTAmount]]+MarketPlace_Order_Report[[#This Row],[SGSTAmount]]+MarketPlace_Order_Report[[#This Row],[IGSTAmount]],MarketPlace_Order_Report[[#This Row],[TaxAmount]])</f>
        <v>341.57100000000003</v>
      </c>
      <c r="AI134">
        <f>MarketPlace_Order_Report[[#This Row],[Gross Amount (Before Tax)]]+MarketPlace_Order_Report[[#This Row],[Total GST Amount]]</f>
        <v>3529.5709999999999</v>
      </c>
      <c r="AJ134" s="1" t="s">
        <v>601</v>
      </c>
    </row>
    <row r="135" spans="1:36">
      <c r="A135" s="1" t="s">
        <v>603</v>
      </c>
      <c r="B135" s="1" t="s">
        <v>605</v>
      </c>
      <c r="C135" s="1" t="s">
        <v>2475</v>
      </c>
      <c r="D135">
        <v>1</v>
      </c>
      <c r="E135">
        <v>1</v>
      </c>
      <c r="F135">
        <v>4000</v>
      </c>
      <c r="G135">
        <v>3400</v>
      </c>
      <c r="H135">
        <v>3400</v>
      </c>
      <c r="I135">
        <v>0</v>
      </c>
      <c r="J135" s="1" t="s">
        <v>59</v>
      </c>
      <c r="K135" s="2">
        <v>45910.427453703705</v>
      </c>
      <c r="L135" s="2">
        <v>45910.632280092592</v>
      </c>
      <c r="M135" s="2">
        <v>45914.756030092591</v>
      </c>
      <c r="N135" s="1" t="s">
        <v>61</v>
      </c>
      <c r="O135" s="1" t="s">
        <v>62</v>
      </c>
      <c r="P135" s="1" t="s">
        <v>61</v>
      </c>
      <c r="Q135" s="1" t="s">
        <v>61</v>
      </c>
      <c r="R135" s="2">
        <v>45914.761296296296</v>
      </c>
      <c r="S135" s="1" t="s">
        <v>136</v>
      </c>
      <c r="T135" s="1" t="s">
        <v>77</v>
      </c>
      <c r="U135">
        <v>201301</v>
      </c>
      <c r="V135" s="1" t="s">
        <v>66</v>
      </c>
      <c r="W135">
        <v>3400</v>
      </c>
      <c r="X135">
        <v>12</v>
      </c>
      <c r="Y135">
        <v>0</v>
      </c>
      <c r="Z135">
        <v>0</v>
      </c>
      <c r="AA135">
        <v>12</v>
      </c>
      <c r="AB135">
        <v>364.286</v>
      </c>
      <c r="AC135">
        <v>0</v>
      </c>
      <c r="AD135">
        <v>0</v>
      </c>
      <c r="AE135">
        <v>364.286</v>
      </c>
      <c r="AF135">
        <v>0.85</v>
      </c>
      <c r="AG135">
        <f>MarketPlace_Order_Report[[#This Row],[UnitPrice]]*MarketPlace_Order_Report[[#This Row],[OrderQty]]</f>
        <v>3400</v>
      </c>
      <c r="AH135">
        <f>IFERROR(MarketPlace_Order_Report[[#This Row],[CGSTAmount]]+MarketPlace_Order_Report[[#This Row],[SGSTAmount]]+MarketPlace_Order_Report[[#This Row],[IGSTAmount]],MarketPlace_Order_Report[[#This Row],[TaxAmount]])</f>
        <v>364.286</v>
      </c>
      <c r="AI135">
        <f>MarketPlace_Order_Report[[#This Row],[Gross Amount (Before Tax)]]+MarketPlace_Order_Report[[#This Row],[Total GST Amount]]</f>
        <v>3764.2860000000001</v>
      </c>
      <c r="AJ135" s="1" t="s">
        <v>604</v>
      </c>
    </row>
    <row r="136" spans="1:36" hidden="1">
      <c r="A136" s="1" t="s">
        <v>606</v>
      </c>
      <c r="B136" s="1" t="s">
        <v>608</v>
      </c>
      <c r="C136" s="1" t="s">
        <v>71</v>
      </c>
      <c r="D136">
        <v>1</v>
      </c>
      <c r="E136">
        <v>1</v>
      </c>
      <c r="F136">
        <v>4000</v>
      </c>
      <c r="G136">
        <v>3400</v>
      </c>
      <c r="H136">
        <v>3420</v>
      </c>
      <c r="I136">
        <v>20</v>
      </c>
      <c r="J136" s="1" t="s">
        <v>72</v>
      </c>
      <c r="K136" s="2">
        <v>45913.908935185187</v>
      </c>
      <c r="L136" s="2">
        <v>45917.693287037036</v>
      </c>
      <c r="M136" s="2">
        <v>45919.672210648147</v>
      </c>
      <c r="N136" s="1" t="s">
        <v>61</v>
      </c>
      <c r="O136" s="1" t="s">
        <v>62</v>
      </c>
      <c r="P136" s="1" t="s">
        <v>61</v>
      </c>
      <c r="Q136" s="1" t="s">
        <v>74</v>
      </c>
      <c r="R136" s="2">
        <v>45925.858576388891</v>
      </c>
      <c r="S136" s="1" t="s">
        <v>119</v>
      </c>
      <c r="T136" s="1" t="s">
        <v>120</v>
      </c>
      <c r="U136">
        <v>302020</v>
      </c>
      <c r="V136" s="1" t="s">
        <v>66</v>
      </c>
      <c r="W136">
        <v>3400</v>
      </c>
      <c r="X136">
        <v>12</v>
      </c>
      <c r="Y136">
        <v>0</v>
      </c>
      <c r="Z136">
        <v>0</v>
      </c>
      <c r="AA136">
        <v>12</v>
      </c>
      <c r="AB136">
        <v>364.286</v>
      </c>
      <c r="AC136">
        <v>0</v>
      </c>
      <c r="AD136">
        <v>0</v>
      </c>
      <c r="AE136">
        <v>364.286</v>
      </c>
      <c r="AF136">
        <v>0.85</v>
      </c>
      <c r="AG136">
        <f>MarketPlace_Order_Report[[#This Row],[UnitPrice]]*MarketPlace_Order_Report[[#This Row],[OrderQty]]</f>
        <v>3400</v>
      </c>
      <c r="AH136">
        <f>IFERROR(MarketPlace_Order_Report[[#This Row],[CGSTAmount]]+MarketPlace_Order_Report[[#This Row],[SGSTAmount]]+MarketPlace_Order_Report[[#This Row],[IGSTAmount]],MarketPlace_Order_Report[[#This Row],[TaxAmount]])</f>
        <v>364.286</v>
      </c>
      <c r="AI136">
        <f>MarketPlace_Order_Report[[#This Row],[Gross Amount (Before Tax)]]+MarketPlace_Order_Report[[#This Row],[Total GST Amount]]</f>
        <v>3764.2860000000001</v>
      </c>
      <c r="AJ136" s="1" t="s">
        <v>607</v>
      </c>
    </row>
    <row r="137" spans="1:36" hidden="1">
      <c r="A137" s="1" t="s">
        <v>609</v>
      </c>
      <c r="B137" s="1" t="s">
        <v>611</v>
      </c>
      <c r="C137" s="1" t="s">
        <v>71</v>
      </c>
      <c r="D137">
        <v>1</v>
      </c>
      <c r="E137">
        <v>1</v>
      </c>
      <c r="F137">
        <v>4000</v>
      </c>
      <c r="G137">
        <v>3600</v>
      </c>
      <c r="H137">
        <v>3609.08</v>
      </c>
      <c r="I137">
        <v>9.08</v>
      </c>
      <c r="J137" s="1" t="s">
        <v>59</v>
      </c>
      <c r="K137" s="2">
        <v>45928.764884259261</v>
      </c>
      <c r="L137" s="2">
        <v>45930.648726851854</v>
      </c>
      <c r="M137" s="2">
        <v>45934.675879629627</v>
      </c>
      <c r="N137" s="1" t="s">
        <v>61</v>
      </c>
      <c r="O137" s="1" t="s">
        <v>62</v>
      </c>
      <c r="P137" s="1" t="s">
        <v>61</v>
      </c>
      <c r="Q137" s="1" t="s">
        <v>74</v>
      </c>
      <c r="R137" s="2">
        <v>45941.837777777779</v>
      </c>
      <c r="S137" s="1" t="s">
        <v>136</v>
      </c>
      <c r="T137" s="1" t="s">
        <v>77</v>
      </c>
      <c r="U137">
        <v>201304</v>
      </c>
      <c r="V137" s="1" t="s">
        <v>66</v>
      </c>
      <c r="W137">
        <v>3600</v>
      </c>
      <c r="X137">
        <v>18</v>
      </c>
      <c r="Y137">
        <v>0</v>
      </c>
      <c r="Z137">
        <v>0</v>
      </c>
      <c r="AA137">
        <v>18</v>
      </c>
      <c r="AB137">
        <v>549.15300000000002</v>
      </c>
      <c r="AC137">
        <v>0</v>
      </c>
      <c r="AD137">
        <v>0</v>
      </c>
      <c r="AE137">
        <v>549.15300000000002</v>
      </c>
      <c r="AF137">
        <v>0.85</v>
      </c>
      <c r="AG137">
        <f>MarketPlace_Order_Report[[#This Row],[UnitPrice]]*MarketPlace_Order_Report[[#This Row],[OrderQty]]</f>
        <v>3600</v>
      </c>
      <c r="AH137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137">
        <f>MarketPlace_Order_Report[[#This Row],[Gross Amount (Before Tax)]]+MarketPlace_Order_Report[[#This Row],[Total GST Amount]]</f>
        <v>4149.1530000000002</v>
      </c>
      <c r="AJ137" s="1" t="s">
        <v>610</v>
      </c>
    </row>
    <row r="138" spans="1:36">
      <c r="A138" s="1" t="s">
        <v>612</v>
      </c>
      <c r="B138" s="1" t="s">
        <v>615</v>
      </c>
      <c r="C138" s="1" t="s">
        <v>2475</v>
      </c>
      <c r="D138">
        <v>1</v>
      </c>
      <c r="E138">
        <v>1</v>
      </c>
      <c r="F138">
        <v>4000</v>
      </c>
      <c r="G138">
        <v>3400</v>
      </c>
      <c r="H138">
        <v>3449</v>
      </c>
      <c r="I138">
        <v>49</v>
      </c>
      <c r="J138" s="1" t="s">
        <v>72</v>
      </c>
      <c r="K138" s="2">
        <v>45912.264594907407</v>
      </c>
      <c r="L138" s="2">
        <v>45912.717106481483</v>
      </c>
      <c r="M138" s="2">
        <v>45918.767824074072</v>
      </c>
      <c r="N138" s="1" t="s">
        <v>61</v>
      </c>
      <c r="O138" s="1" t="s">
        <v>62</v>
      </c>
      <c r="P138" s="1" t="s">
        <v>61</v>
      </c>
      <c r="Q138" s="1" t="s">
        <v>61</v>
      </c>
      <c r="R138" s="2">
        <v>45918.768287037034</v>
      </c>
      <c r="S138" s="1" t="s">
        <v>616</v>
      </c>
      <c r="T138" s="1" t="s">
        <v>65</v>
      </c>
      <c r="U138">
        <v>591302</v>
      </c>
      <c r="V138" s="1" t="s">
        <v>66</v>
      </c>
      <c r="W138">
        <v>3400</v>
      </c>
      <c r="X138">
        <v>12</v>
      </c>
      <c r="Y138">
        <v>0</v>
      </c>
      <c r="Z138">
        <v>0</v>
      </c>
      <c r="AA138">
        <v>12</v>
      </c>
      <c r="AB138">
        <v>364.286</v>
      </c>
      <c r="AC138">
        <v>0</v>
      </c>
      <c r="AD138">
        <v>0</v>
      </c>
      <c r="AE138">
        <v>364.286</v>
      </c>
      <c r="AF138">
        <v>0.85</v>
      </c>
      <c r="AG138">
        <f>MarketPlace_Order_Report[[#This Row],[UnitPrice]]*MarketPlace_Order_Report[[#This Row],[OrderQty]]</f>
        <v>3400</v>
      </c>
      <c r="AH138">
        <f>IFERROR(MarketPlace_Order_Report[[#This Row],[CGSTAmount]]+MarketPlace_Order_Report[[#This Row],[SGSTAmount]]+MarketPlace_Order_Report[[#This Row],[IGSTAmount]],MarketPlace_Order_Report[[#This Row],[TaxAmount]])</f>
        <v>364.286</v>
      </c>
      <c r="AI138">
        <f>MarketPlace_Order_Report[[#This Row],[Gross Amount (Before Tax)]]+MarketPlace_Order_Report[[#This Row],[Total GST Amount]]</f>
        <v>3764.2860000000001</v>
      </c>
      <c r="AJ138" s="1" t="s">
        <v>613</v>
      </c>
    </row>
    <row r="139" spans="1:36" hidden="1">
      <c r="A139" s="1" t="s">
        <v>617</v>
      </c>
      <c r="B139" s="1" t="s">
        <v>619</v>
      </c>
      <c r="C139" s="1" t="s">
        <v>71</v>
      </c>
      <c r="D139">
        <v>1</v>
      </c>
      <c r="E139">
        <v>1</v>
      </c>
      <c r="F139">
        <v>4250</v>
      </c>
      <c r="G139">
        <v>3825</v>
      </c>
      <c r="H139">
        <v>3850.95</v>
      </c>
      <c r="I139">
        <v>25.95</v>
      </c>
      <c r="J139" s="1" t="s">
        <v>59</v>
      </c>
      <c r="K139" s="2">
        <v>45928.587962962964</v>
      </c>
      <c r="L139" s="2">
        <v>45930.648726851854</v>
      </c>
      <c r="M139" s="2">
        <v>45934.534062500003</v>
      </c>
      <c r="N139" s="1" t="s">
        <v>61</v>
      </c>
      <c r="O139" s="1" t="s">
        <v>62</v>
      </c>
      <c r="P139" s="1" t="s">
        <v>61</v>
      </c>
      <c r="Q139" s="1" t="s">
        <v>74</v>
      </c>
      <c r="R139" s="2">
        <v>45943.865613425929</v>
      </c>
      <c r="S139" s="1" t="s">
        <v>182</v>
      </c>
      <c r="T139" s="1" t="s">
        <v>183</v>
      </c>
      <c r="U139">
        <v>110085</v>
      </c>
      <c r="V139" s="1" t="s">
        <v>66</v>
      </c>
      <c r="W139">
        <v>3825</v>
      </c>
      <c r="X139">
        <v>18</v>
      </c>
      <c r="Y139">
        <v>0</v>
      </c>
      <c r="Z139">
        <v>0</v>
      </c>
      <c r="AA139">
        <v>18</v>
      </c>
      <c r="AB139">
        <v>583.47500000000002</v>
      </c>
      <c r="AC139">
        <v>0</v>
      </c>
      <c r="AD139">
        <v>0</v>
      </c>
      <c r="AE139">
        <v>583.47500000000002</v>
      </c>
      <c r="AF139">
        <v>0.75</v>
      </c>
      <c r="AG139">
        <f>MarketPlace_Order_Report[[#This Row],[UnitPrice]]*MarketPlace_Order_Report[[#This Row],[OrderQty]]</f>
        <v>3825</v>
      </c>
      <c r="AH139">
        <f>IFERROR(MarketPlace_Order_Report[[#This Row],[CGSTAmount]]+MarketPlace_Order_Report[[#This Row],[SGSTAmount]]+MarketPlace_Order_Report[[#This Row],[IGSTAmount]],MarketPlace_Order_Report[[#This Row],[TaxAmount]])</f>
        <v>583.47500000000002</v>
      </c>
      <c r="AI139">
        <f>MarketPlace_Order_Report[[#This Row],[Gross Amount (Before Tax)]]+MarketPlace_Order_Report[[#This Row],[Total GST Amount]]</f>
        <v>4408.4750000000004</v>
      </c>
      <c r="AJ139" s="1" t="s">
        <v>618</v>
      </c>
    </row>
    <row r="140" spans="1:36" hidden="1">
      <c r="A140" s="1" t="s">
        <v>620</v>
      </c>
      <c r="B140" s="1" t="s">
        <v>622</v>
      </c>
      <c r="C140" s="1" t="s">
        <v>71</v>
      </c>
      <c r="D140">
        <v>1</v>
      </c>
      <c r="E140">
        <v>1</v>
      </c>
      <c r="F140">
        <v>3000</v>
      </c>
      <c r="G140">
        <v>2100</v>
      </c>
      <c r="H140">
        <v>2100</v>
      </c>
      <c r="I140">
        <v>0</v>
      </c>
      <c r="J140" s="1" t="s">
        <v>59</v>
      </c>
      <c r="K140" s="2">
        <v>45923.951481481483</v>
      </c>
      <c r="L140" s="2">
        <v>45924.699050925927</v>
      </c>
      <c r="M140" s="2">
        <v>45927.539733796293</v>
      </c>
      <c r="N140" s="1" t="s">
        <v>61</v>
      </c>
      <c r="O140" s="1" t="s">
        <v>623</v>
      </c>
      <c r="P140" s="1" t="s">
        <v>61</v>
      </c>
      <c r="Q140" s="1" t="s">
        <v>74</v>
      </c>
      <c r="R140" s="2">
        <v>45936.872175925928</v>
      </c>
      <c r="S140" s="1" t="s">
        <v>624</v>
      </c>
      <c r="T140" s="1" t="s">
        <v>131</v>
      </c>
      <c r="U140">
        <v>248001</v>
      </c>
      <c r="V140" s="1" t="s">
        <v>66</v>
      </c>
      <c r="W140">
        <v>2100</v>
      </c>
      <c r="X140">
        <v>5</v>
      </c>
      <c r="Y140">
        <v>0</v>
      </c>
      <c r="Z140">
        <v>0</v>
      </c>
      <c r="AA140">
        <v>5</v>
      </c>
      <c r="AB140">
        <v>100</v>
      </c>
      <c r="AC140">
        <v>0</v>
      </c>
      <c r="AD140">
        <v>0</v>
      </c>
      <c r="AE140">
        <v>100</v>
      </c>
      <c r="AF140">
        <v>0.7</v>
      </c>
      <c r="AG140">
        <f>MarketPlace_Order_Report[[#This Row],[UnitPrice]]*MarketPlace_Order_Report[[#This Row],[OrderQty]]</f>
        <v>2100</v>
      </c>
      <c r="AH140">
        <f>IFERROR(MarketPlace_Order_Report[[#This Row],[CGSTAmount]]+MarketPlace_Order_Report[[#This Row],[SGSTAmount]]+MarketPlace_Order_Report[[#This Row],[IGSTAmount]],MarketPlace_Order_Report[[#This Row],[TaxAmount]])</f>
        <v>100</v>
      </c>
      <c r="AI140">
        <f>MarketPlace_Order_Report[[#This Row],[Gross Amount (Before Tax)]]+MarketPlace_Order_Report[[#This Row],[Total GST Amount]]</f>
        <v>2200</v>
      </c>
      <c r="AJ140" s="1" t="s">
        <v>621</v>
      </c>
    </row>
    <row r="141" spans="1:36" hidden="1">
      <c r="A141" s="1" t="s">
        <v>625</v>
      </c>
      <c r="B141" s="1" t="s">
        <v>627</v>
      </c>
      <c r="C141" s="1" t="s">
        <v>71</v>
      </c>
      <c r="D141">
        <v>1</v>
      </c>
      <c r="E141">
        <v>1</v>
      </c>
      <c r="F141">
        <v>2500</v>
      </c>
      <c r="G141">
        <v>2250</v>
      </c>
      <c r="H141">
        <v>2263.04</v>
      </c>
      <c r="I141">
        <v>13.04</v>
      </c>
      <c r="J141" s="1" t="s">
        <v>72</v>
      </c>
      <c r="K141" s="2">
        <v>45913.552291666667</v>
      </c>
      <c r="L141" s="2">
        <v>45915.711805555555</v>
      </c>
      <c r="M141" s="2">
        <v>45917.772916666669</v>
      </c>
      <c r="N141" s="1" t="s">
        <v>61</v>
      </c>
      <c r="O141" s="1" t="s">
        <v>623</v>
      </c>
      <c r="P141" s="1" t="s">
        <v>61</v>
      </c>
      <c r="Q141" s="1" t="s">
        <v>74</v>
      </c>
      <c r="R141" s="2">
        <v>45926.945335648146</v>
      </c>
      <c r="S141" s="1" t="s">
        <v>108</v>
      </c>
      <c r="T141" s="1" t="s">
        <v>109</v>
      </c>
      <c r="U141">
        <v>500014</v>
      </c>
      <c r="V141" s="1" t="s">
        <v>66</v>
      </c>
      <c r="W141">
        <v>2250</v>
      </c>
      <c r="X141">
        <v>12</v>
      </c>
      <c r="Y141">
        <v>0</v>
      </c>
      <c r="Z141">
        <v>0</v>
      </c>
      <c r="AA141">
        <v>12</v>
      </c>
      <c r="AB141">
        <v>241.071</v>
      </c>
      <c r="AC141">
        <v>0</v>
      </c>
      <c r="AD141">
        <v>0</v>
      </c>
      <c r="AE141">
        <v>241.071</v>
      </c>
      <c r="AF141">
        <v>0.65</v>
      </c>
      <c r="AG141">
        <f>MarketPlace_Order_Report[[#This Row],[UnitPrice]]*MarketPlace_Order_Report[[#This Row],[OrderQty]]</f>
        <v>2250</v>
      </c>
      <c r="AH141">
        <f>IFERROR(MarketPlace_Order_Report[[#This Row],[CGSTAmount]]+MarketPlace_Order_Report[[#This Row],[SGSTAmount]]+MarketPlace_Order_Report[[#This Row],[IGSTAmount]],MarketPlace_Order_Report[[#This Row],[TaxAmount]])</f>
        <v>241.071</v>
      </c>
      <c r="AI141">
        <f>MarketPlace_Order_Report[[#This Row],[Gross Amount (Before Tax)]]+MarketPlace_Order_Report[[#This Row],[Total GST Amount]]</f>
        <v>2491.0709999999999</v>
      </c>
      <c r="AJ141" s="1" t="s">
        <v>626</v>
      </c>
    </row>
    <row r="142" spans="1:36">
      <c r="A142" s="1" t="s">
        <v>628</v>
      </c>
      <c r="B142" s="1" t="s">
        <v>630</v>
      </c>
      <c r="C142" s="1" t="s">
        <v>2475</v>
      </c>
      <c r="D142">
        <v>1</v>
      </c>
      <c r="E142">
        <v>1</v>
      </c>
      <c r="F142">
        <v>2250</v>
      </c>
      <c r="G142">
        <v>2025</v>
      </c>
      <c r="H142">
        <v>2045</v>
      </c>
      <c r="I142">
        <v>20</v>
      </c>
      <c r="J142" s="1" t="s">
        <v>72</v>
      </c>
      <c r="K142" s="2">
        <v>45918.89534722222</v>
      </c>
      <c r="L142" s="2">
        <v>45919.598692129628</v>
      </c>
      <c r="M142" s="2">
        <v>45923.635775462964</v>
      </c>
      <c r="N142" s="1" t="s">
        <v>61</v>
      </c>
      <c r="O142" s="1" t="s">
        <v>623</v>
      </c>
      <c r="P142" s="1" t="s">
        <v>61</v>
      </c>
      <c r="Q142" s="1" t="s">
        <v>61</v>
      </c>
      <c r="R142" s="2">
        <v>45923.639618055553</v>
      </c>
      <c r="S142" s="1" t="s">
        <v>631</v>
      </c>
      <c r="T142" s="1" t="s">
        <v>275</v>
      </c>
      <c r="U142">
        <v>700141</v>
      </c>
      <c r="V142" s="1" t="s">
        <v>66</v>
      </c>
      <c r="W142">
        <v>2025</v>
      </c>
      <c r="X142">
        <v>12</v>
      </c>
      <c r="Y142">
        <v>0</v>
      </c>
      <c r="Z142">
        <v>0</v>
      </c>
      <c r="AA142">
        <v>12</v>
      </c>
      <c r="AB142">
        <v>216.964</v>
      </c>
      <c r="AC142">
        <v>0</v>
      </c>
      <c r="AD142">
        <v>0</v>
      </c>
      <c r="AE142">
        <v>216.964</v>
      </c>
      <c r="AF142">
        <v>0.65</v>
      </c>
      <c r="AG142">
        <f>MarketPlace_Order_Report[[#This Row],[UnitPrice]]*MarketPlace_Order_Report[[#This Row],[OrderQty]]</f>
        <v>2025</v>
      </c>
      <c r="AH142">
        <f>IFERROR(MarketPlace_Order_Report[[#This Row],[CGSTAmount]]+MarketPlace_Order_Report[[#This Row],[SGSTAmount]]+MarketPlace_Order_Report[[#This Row],[IGSTAmount]],MarketPlace_Order_Report[[#This Row],[TaxAmount]])</f>
        <v>216.964</v>
      </c>
      <c r="AI142">
        <f>MarketPlace_Order_Report[[#This Row],[Gross Amount (Before Tax)]]+MarketPlace_Order_Report[[#This Row],[Total GST Amount]]</f>
        <v>2241.9639999999999</v>
      </c>
      <c r="AJ142" s="1" t="s">
        <v>629</v>
      </c>
    </row>
    <row r="143" spans="1:36">
      <c r="A143" s="1" t="s">
        <v>632</v>
      </c>
      <c r="B143" s="1" t="s">
        <v>634</v>
      </c>
      <c r="C143" s="1" t="s">
        <v>2475</v>
      </c>
      <c r="D143">
        <v>1</v>
      </c>
      <c r="E143">
        <v>1</v>
      </c>
      <c r="F143">
        <v>3250</v>
      </c>
      <c r="G143">
        <v>2275</v>
      </c>
      <c r="H143">
        <v>2301.076</v>
      </c>
      <c r="I143">
        <v>26.076000000000001</v>
      </c>
      <c r="J143" s="1" t="s">
        <v>72</v>
      </c>
      <c r="K143" s="2">
        <v>45929.884108796294</v>
      </c>
      <c r="L143" s="2">
        <v>45931.783356481479</v>
      </c>
      <c r="M143" s="2">
        <v>45937.715925925928</v>
      </c>
      <c r="N143" s="1" t="s">
        <v>61</v>
      </c>
      <c r="O143" s="1" t="s">
        <v>623</v>
      </c>
      <c r="P143" s="1" t="s">
        <v>61</v>
      </c>
      <c r="Q143" s="1" t="s">
        <v>61</v>
      </c>
      <c r="R143" s="2">
        <v>45937.719583333332</v>
      </c>
      <c r="S143" s="1" t="s">
        <v>635</v>
      </c>
      <c r="T143" s="1" t="s">
        <v>77</v>
      </c>
      <c r="U143">
        <v>231001</v>
      </c>
      <c r="V143" s="1" t="s">
        <v>66</v>
      </c>
      <c r="W143">
        <v>2275</v>
      </c>
      <c r="X143">
        <v>5</v>
      </c>
      <c r="Y143">
        <v>0</v>
      </c>
      <c r="Z143">
        <v>0</v>
      </c>
      <c r="AA143">
        <v>5</v>
      </c>
      <c r="AB143">
        <v>108.333</v>
      </c>
      <c r="AC143">
        <v>0</v>
      </c>
      <c r="AD143">
        <v>0</v>
      </c>
      <c r="AE143">
        <v>108.333</v>
      </c>
      <c r="AF143">
        <v>1</v>
      </c>
      <c r="AG143">
        <f>MarketPlace_Order_Report[[#This Row],[UnitPrice]]*MarketPlace_Order_Report[[#This Row],[OrderQty]]</f>
        <v>2275</v>
      </c>
      <c r="AH143">
        <f>IFERROR(MarketPlace_Order_Report[[#This Row],[CGSTAmount]]+MarketPlace_Order_Report[[#This Row],[SGSTAmount]]+MarketPlace_Order_Report[[#This Row],[IGSTAmount]],MarketPlace_Order_Report[[#This Row],[TaxAmount]])</f>
        <v>108.333</v>
      </c>
      <c r="AI143">
        <f>MarketPlace_Order_Report[[#This Row],[Gross Amount (Before Tax)]]+MarketPlace_Order_Report[[#This Row],[Total GST Amount]]</f>
        <v>2383.3330000000001</v>
      </c>
      <c r="AJ143" s="1" t="s">
        <v>633</v>
      </c>
    </row>
    <row r="144" spans="1:36" hidden="1">
      <c r="A144" s="1" t="s">
        <v>636</v>
      </c>
      <c r="B144" s="1" t="s">
        <v>638</v>
      </c>
      <c r="C144" s="1" t="s">
        <v>71</v>
      </c>
      <c r="D144">
        <v>1</v>
      </c>
      <c r="E144">
        <v>1</v>
      </c>
      <c r="F144">
        <v>3250</v>
      </c>
      <c r="G144">
        <v>2275</v>
      </c>
      <c r="H144">
        <v>2298.5929999999998</v>
      </c>
      <c r="I144">
        <v>23.593</v>
      </c>
      <c r="J144" s="1" t="s">
        <v>72</v>
      </c>
      <c r="K144" s="2">
        <v>45919.646585648145</v>
      </c>
      <c r="L144" s="2">
        <v>45920.699780092589</v>
      </c>
      <c r="M144" s="2">
        <v>45927.470590277779</v>
      </c>
      <c r="N144" s="1" t="s">
        <v>61</v>
      </c>
      <c r="O144" s="1" t="s">
        <v>623</v>
      </c>
      <c r="P144" s="1" t="s">
        <v>61</v>
      </c>
      <c r="Q144" s="1" t="s">
        <v>74</v>
      </c>
      <c r="R144" s="2">
        <v>45937.618680555555</v>
      </c>
      <c r="S144" s="1" t="s">
        <v>635</v>
      </c>
      <c r="T144" s="1" t="s">
        <v>77</v>
      </c>
      <c r="U144">
        <v>231001</v>
      </c>
      <c r="V144" s="1" t="s">
        <v>66</v>
      </c>
      <c r="W144">
        <v>2275</v>
      </c>
      <c r="X144">
        <v>12</v>
      </c>
      <c r="Y144">
        <v>0</v>
      </c>
      <c r="Z144">
        <v>0</v>
      </c>
      <c r="AA144">
        <v>12</v>
      </c>
      <c r="AB144">
        <v>243.75</v>
      </c>
      <c r="AC144">
        <v>0</v>
      </c>
      <c r="AD144">
        <v>0</v>
      </c>
      <c r="AE144">
        <v>243.75</v>
      </c>
      <c r="AF144">
        <v>1</v>
      </c>
      <c r="AG144">
        <f>MarketPlace_Order_Report[[#This Row],[UnitPrice]]*MarketPlace_Order_Report[[#This Row],[OrderQty]]</f>
        <v>2275</v>
      </c>
      <c r="AH144">
        <f>IFERROR(MarketPlace_Order_Report[[#This Row],[CGSTAmount]]+MarketPlace_Order_Report[[#This Row],[SGSTAmount]]+MarketPlace_Order_Report[[#This Row],[IGSTAmount]],MarketPlace_Order_Report[[#This Row],[TaxAmount]])</f>
        <v>243.75</v>
      </c>
      <c r="AI144">
        <f>MarketPlace_Order_Report[[#This Row],[Gross Amount (Before Tax)]]+MarketPlace_Order_Report[[#This Row],[Total GST Amount]]</f>
        <v>2518.75</v>
      </c>
      <c r="AJ144" s="1" t="s">
        <v>637</v>
      </c>
    </row>
    <row r="145" spans="1:36">
      <c r="A145" s="1" t="s">
        <v>639</v>
      </c>
      <c r="B145" s="1" t="s">
        <v>641</v>
      </c>
      <c r="C145" s="1" t="s">
        <v>2475</v>
      </c>
      <c r="D145">
        <v>1</v>
      </c>
      <c r="E145">
        <v>1</v>
      </c>
      <c r="F145">
        <v>3250</v>
      </c>
      <c r="G145">
        <v>2763</v>
      </c>
      <c r="H145">
        <v>2788.25</v>
      </c>
      <c r="I145">
        <v>25.25</v>
      </c>
      <c r="J145" s="1" t="s">
        <v>72</v>
      </c>
      <c r="K145" s="2">
        <v>45904.649375000001</v>
      </c>
      <c r="L145" s="2">
        <v>45905.729861111111</v>
      </c>
      <c r="M145" s="2">
        <v>45906.623611111114</v>
      </c>
      <c r="N145" s="1" t="s">
        <v>61</v>
      </c>
      <c r="O145" s="1" t="s">
        <v>623</v>
      </c>
      <c r="P145" s="1" t="s">
        <v>61</v>
      </c>
      <c r="Q145" s="1" t="s">
        <v>61</v>
      </c>
      <c r="R145" s="2">
        <v>45906.674467592595</v>
      </c>
      <c r="S145" s="1" t="s">
        <v>108</v>
      </c>
      <c r="T145" s="1" t="s">
        <v>109</v>
      </c>
      <c r="U145">
        <v>500014</v>
      </c>
      <c r="V145" s="1" t="s">
        <v>66</v>
      </c>
      <c r="W145">
        <v>2763</v>
      </c>
      <c r="X145">
        <v>12</v>
      </c>
      <c r="Y145">
        <v>0</v>
      </c>
      <c r="Z145">
        <v>0</v>
      </c>
      <c r="AA145">
        <v>12</v>
      </c>
      <c r="AB145">
        <v>296.036</v>
      </c>
      <c r="AC145">
        <v>0</v>
      </c>
      <c r="AD145">
        <v>0</v>
      </c>
      <c r="AE145">
        <v>296.036</v>
      </c>
      <c r="AF145">
        <v>0.75</v>
      </c>
      <c r="AG145">
        <f>MarketPlace_Order_Report[[#This Row],[UnitPrice]]*MarketPlace_Order_Report[[#This Row],[OrderQty]]</f>
        <v>2763</v>
      </c>
      <c r="AH145">
        <f>IFERROR(MarketPlace_Order_Report[[#This Row],[CGSTAmount]]+MarketPlace_Order_Report[[#This Row],[SGSTAmount]]+MarketPlace_Order_Report[[#This Row],[IGSTAmount]],MarketPlace_Order_Report[[#This Row],[TaxAmount]])</f>
        <v>296.036</v>
      </c>
      <c r="AI145">
        <f>MarketPlace_Order_Report[[#This Row],[Gross Amount (Before Tax)]]+MarketPlace_Order_Report[[#This Row],[Total GST Amount]]</f>
        <v>3059.0360000000001</v>
      </c>
      <c r="AJ145" s="1" t="s">
        <v>640</v>
      </c>
    </row>
    <row r="146" spans="1:36">
      <c r="A146" s="1" t="s">
        <v>642</v>
      </c>
      <c r="B146" s="1" t="s">
        <v>644</v>
      </c>
      <c r="C146" s="1" t="s">
        <v>2475</v>
      </c>
      <c r="D146">
        <v>1</v>
      </c>
      <c r="E146">
        <v>1</v>
      </c>
      <c r="F146">
        <v>2500</v>
      </c>
      <c r="G146">
        <v>2125</v>
      </c>
      <c r="H146">
        <v>2138.1819999999998</v>
      </c>
      <c r="I146">
        <v>13.182</v>
      </c>
      <c r="J146" s="1" t="s">
        <v>59</v>
      </c>
      <c r="K146" s="2">
        <v>45912.336909722224</v>
      </c>
      <c r="L146" s="2">
        <v>45912.635439814818</v>
      </c>
      <c r="M146" s="2">
        <v>45917.508113425924</v>
      </c>
      <c r="N146" s="1" t="s">
        <v>61</v>
      </c>
      <c r="O146" s="1" t="s">
        <v>623</v>
      </c>
      <c r="P146" s="1" t="s">
        <v>61</v>
      </c>
      <c r="Q146" s="1" t="s">
        <v>61</v>
      </c>
      <c r="R146" s="2">
        <v>45917.511377314811</v>
      </c>
      <c r="S146" s="1" t="s">
        <v>645</v>
      </c>
      <c r="T146" s="1" t="s">
        <v>88</v>
      </c>
      <c r="U146">
        <v>470004</v>
      </c>
      <c r="V146" s="1" t="s">
        <v>66</v>
      </c>
      <c r="W146">
        <v>2125</v>
      </c>
      <c r="X146">
        <v>12</v>
      </c>
      <c r="Y146">
        <v>0</v>
      </c>
      <c r="Z146">
        <v>0</v>
      </c>
      <c r="AA146">
        <v>12</v>
      </c>
      <c r="AB146">
        <v>227.679</v>
      </c>
      <c r="AC146">
        <v>0</v>
      </c>
      <c r="AD146">
        <v>0</v>
      </c>
      <c r="AE146">
        <v>227.679</v>
      </c>
      <c r="AF146">
        <v>1</v>
      </c>
      <c r="AG146">
        <f>MarketPlace_Order_Report[[#This Row],[UnitPrice]]*MarketPlace_Order_Report[[#This Row],[OrderQty]]</f>
        <v>2125</v>
      </c>
      <c r="AH146">
        <f>IFERROR(MarketPlace_Order_Report[[#This Row],[CGSTAmount]]+MarketPlace_Order_Report[[#This Row],[SGSTAmount]]+MarketPlace_Order_Report[[#This Row],[IGSTAmount]],MarketPlace_Order_Report[[#This Row],[TaxAmount]])</f>
        <v>227.679</v>
      </c>
      <c r="AI146">
        <f>MarketPlace_Order_Report[[#This Row],[Gross Amount (Before Tax)]]+MarketPlace_Order_Report[[#This Row],[Total GST Amount]]</f>
        <v>2352.6790000000001</v>
      </c>
      <c r="AJ146" s="1" t="s">
        <v>643</v>
      </c>
    </row>
    <row r="147" spans="1:36">
      <c r="A147" s="1" t="s">
        <v>646</v>
      </c>
      <c r="B147" s="1" t="s">
        <v>648</v>
      </c>
      <c r="C147" s="1" t="s">
        <v>2475</v>
      </c>
      <c r="D147">
        <v>1</v>
      </c>
      <c r="E147">
        <v>1</v>
      </c>
      <c r="F147">
        <v>2500</v>
      </c>
      <c r="G147">
        <v>2000</v>
      </c>
      <c r="H147">
        <v>2049</v>
      </c>
      <c r="I147">
        <v>49</v>
      </c>
      <c r="J147" s="1" t="s">
        <v>72</v>
      </c>
      <c r="K147" s="2">
        <v>45930.904652777775</v>
      </c>
      <c r="L147" s="2">
        <v>45931.776296296295</v>
      </c>
      <c r="M147" s="2">
        <v>45936.673842592594</v>
      </c>
      <c r="N147" s="1" t="s">
        <v>61</v>
      </c>
      <c r="O147" s="1" t="s">
        <v>623</v>
      </c>
      <c r="P147" s="1" t="s">
        <v>61</v>
      </c>
      <c r="Q147" s="1" t="s">
        <v>61</v>
      </c>
      <c r="R147" s="2">
        <v>45936.684988425928</v>
      </c>
      <c r="S147" s="1" t="s">
        <v>649</v>
      </c>
      <c r="T147" s="1" t="s">
        <v>275</v>
      </c>
      <c r="U147">
        <v>743235</v>
      </c>
      <c r="V147" s="1" t="s">
        <v>66</v>
      </c>
      <c r="W147">
        <v>2000</v>
      </c>
      <c r="X147">
        <v>5</v>
      </c>
      <c r="Y147">
        <v>0</v>
      </c>
      <c r="Z147">
        <v>0</v>
      </c>
      <c r="AA147">
        <v>5</v>
      </c>
      <c r="AB147">
        <v>95.238</v>
      </c>
      <c r="AC147">
        <v>0</v>
      </c>
      <c r="AD147">
        <v>0</v>
      </c>
      <c r="AE147">
        <v>95.238</v>
      </c>
      <c r="AF147">
        <v>0.75</v>
      </c>
      <c r="AG147">
        <f>MarketPlace_Order_Report[[#This Row],[UnitPrice]]*MarketPlace_Order_Report[[#This Row],[OrderQty]]</f>
        <v>2000</v>
      </c>
      <c r="AH147">
        <f>IFERROR(MarketPlace_Order_Report[[#This Row],[CGSTAmount]]+MarketPlace_Order_Report[[#This Row],[SGSTAmount]]+MarketPlace_Order_Report[[#This Row],[IGSTAmount]],MarketPlace_Order_Report[[#This Row],[TaxAmount]])</f>
        <v>95.238</v>
      </c>
      <c r="AI147">
        <f>MarketPlace_Order_Report[[#This Row],[Gross Amount (Before Tax)]]+MarketPlace_Order_Report[[#This Row],[Total GST Amount]]</f>
        <v>2095.2379999999998</v>
      </c>
      <c r="AJ147" s="1" t="s">
        <v>647</v>
      </c>
    </row>
    <row r="148" spans="1:36" hidden="1">
      <c r="A148" s="1" t="s">
        <v>651</v>
      </c>
      <c r="B148" s="1" t="s">
        <v>653</v>
      </c>
      <c r="C148" s="1" t="s">
        <v>102</v>
      </c>
      <c r="D148">
        <v>1</v>
      </c>
      <c r="E148">
        <v>1</v>
      </c>
      <c r="F148">
        <v>2500</v>
      </c>
      <c r="G148">
        <v>2000</v>
      </c>
      <c r="H148">
        <v>2018.28</v>
      </c>
      <c r="I148">
        <v>18.28</v>
      </c>
      <c r="J148" s="1" t="s">
        <v>72</v>
      </c>
      <c r="K148" s="2">
        <v>45930.048877314817</v>
      </c>
      <c r="L148" s="2">
        <v>45931.638194444444</v>
      </c>
      <c r="M148" s="2"/>
      <c r="N148" s="1" t="s">
        <v>61</v>
      </c>
      <c r="O148" s="1" t="s">
        <v>623</v>
      </c>
      <c r="P148" s="1" t="s">
        <v>61</v>
      </c>
      <c r="Q148" s="1" t="s">
        <v>103</v>
      </c>
      <c r="R148" s="2">
        <v>45954.636157407411</v>
      </c>
      <c r="S148" s="1" t="s">
        <v>124</v>
      </c>
      <c r="T148" s="1" t="s">
        <v>99</v>
      </c>
      <c r="U148">
        <v>122017</v>
      </c>
      <c r="V148" s="1" t="s">
        <v>66</v>
      </c>
      <c r="W148">
        <v>2000</v>
      </c>
      <c r="X148">
        <v>5</v>
      </c>
      <c r="Y148">
        <v>0</v>
      </c>
      <c r="Z148">
        <v>0</v>
      </c>
      <c r="AA148">
        <v>5</v>
      </c>
      <c r="AB148">
        <v>95.238</v>
      </c>
      <c r="AC148">
        <v>0</v>
      </c>
      <c r="AD148">
        <v>0</v>
      </c>
      <c r="AE148">
        <v>95.238</v>
      </c>
      <c r="AF148">
        <v>0.75</v>
      </c>
      <c r="AG148">
        <f>MarketPlace_Order_Report[[#This Row],[UnitPrice]]*MarketPlace_Order_Report[[#This Row],[OrderQty]]</f>
        <v>2000</v>
      </c>
      <c r="AH148">
        <f>IFERROR(MarketPlace_Order_Report[[#This Row],[CGSTAmount]]+MarketPlace_Order_Report[[#This Row],[SGSTAmount]]+MarketPlace_Order_Report[[#This Row],[IGSTAmount]],MarketPlace_Order_Report[[#This Row],[TaxAmount]])</f>
        <v>95.238</v>
      </c>
      <c r="AI148">
        <f>MarketPlace_Order_Report[[#This Row],[Gross Amount (Before Tax)]]+MarketPlace_Order_Report[[#This Row],[Total GST Amount]]</f>
        <v>2095.2379999999998</v>
      </c>
      <c r="AJ148" s="1" t="s">
        <v>652</v>
      </c>
    </row>
    <row r="149" spans="1:36">
      <c r="A149" s="1" t="s">
        <v>654</v>
      </c>
      <c r="B149" s="1" t="s">
        <v>656</v>
      </c>
      <c r="C149" s="1" t="s">
        <v>2475</v>
      </c>
      <c r="D149">
        <v>1</v>
      </c>
      <c r="E149">
        <v>1</v>
      </c>
      <c r="F149">
        <v>2500</v>
      </c>
      <c r="G149">
        <v>2125</v>
      </c>
      <c r="H149">
        <v>2125</v>
      </c>
      <c r="I149">
        <v>0</v>
      </c>
      <c r="J149" s="1" t="s">
        <v>59</v>
      </c>
      <c r="K149" s="2">
        <v>45913.939016203702</v>
      </c>
      <c r="L149" s="2">
        <v>45917.634189814817</v>
      </c>
      <c r="M149" s="2">
        <v>45918.763182870367</v>
      </c>
      <c r="N149" s="1" t="s">
        <v>61</v>
      </c>
      <c r="O149" s="1" t="s">
        <v>623</v>
      </c>
      <c r="P149" s="1" t="s">
        <v>61</v>
      </c>
      <c r="Q149" s="1" t="s">
        <v>61</v>
      </c>
      <c r="R149" s="2">
        <v>45918.764826388891</v>
      </c>
      <c r="S149" s="1" t="s">
        <v>478</v>
      </c>
      <c r="T149" s="1" t="s">
        <v>318</v>
      </c>
      <c r="U149">
        <v>421204</v>
      </c>
      <c r="V149" s="1" t="s">
        <v>66</v>
      </c>
      <c r="W149">
        <v>2125</v>
      </c>
      <c r="X149">
        <v>12</v>
      </c>
      <c r="Y149">
        <v>6</v>
      </c>
      <c r="Z149">
        <v>6</v>
      </c>
      <c r="AA149">
        <v>0</v>
      </c>
      <c r="AB149">
        <v>227.679</v>
      </c>
      <c r="AC149">
        <v>113.84</v>
      </c>
      <c r="AD149">
        <v>113.84</v>
      </c>
      <c r="AE149">
        <v>0</v>
      </c>
      <c r="AF149">
        <v>0.75</v>
      </c>
      <c r="AG149">
        <f>MarketPlace_Order_Report[[#This Row],[UnitPrice]]*MarketPlace_Order_Report[[#This Row],[OrderQty]]</f>
        <v>2125</v>
      </c>
      <c r="AH149">
        <f>IFERROR(MarketPlace_Order_Report[[#This Row],[CGSTAmount]]+MarketPlace_Order_Report[[#This Row],[SGSTAmount]]+MarketPlace_Order_Report[[#This Row],[IGSTAmount]],MarketPlace_Order_Report[[#This Row],[TaxAmount]])</f>
        <v>227.68</v>
      </c>
      <c r="AI149">
        <f>MarketPlace_Order_Report[[#This Row],[Gross Amount (Before Tax)]]+MarketPlace_Order_Report[[#This Row],[Total GST Amount]]</f>
        <v>2352.6799999999998</v>
      </c>
      <c r="AJ149" s="1" t="s">
        <v>655</v>
      </c>
    </row>
    <row r="150" spans="1:36">
      <c r="A150" s="1" t="s">
        <v>657</v>
      </c>
      <c r="B150" s="1" t="s">
        <v>659</v>
      </c>
      <c r="C150" s="1" t="s">
        <v>2475</v>
      </c>
      <c r="D150">
        <v>1</v>
      </c>
      <c r="E150">
        <v>1</v>
      </c>
      <c r="F150">
        <v>2500</v>
      </c>
      <c r="G150">
        <v>2125</v>
      </c>
      <c r="H150">
        <v>2154</v>
      </c>
      <c r="I150">
        <v>29</v>
      </c>
      <c r="J150" s="1" t="s">
        <v>59</v>
      </c>
      <c r="K150" s="2">
        <v>45912.948958333334</v>
      </c>
      <c r="L150" s="2">
        <v>45915.687858796293</v>
      </c>
      <c r="M150" s="2">
        <v>45919.702361111114</v>
      </c>
      <c r="N150" s="1" t="s">
        <v>61</v>
      </c>
      <c r="O150" s="1" t="s">
        <v>623</v>
      </c>
      <c r="P150" s="1" t="s">
        <v>61</v>
      </c>
      <c r="Q150" s="1" t="s">
        <v>61</v>
      </c>
      <c r="R150" s="2">
        <v>45919.705694444441</v>
      </c>
      <c r="S150" s="1" t="s">
        <v>519</v>
      </c>
      <c r="T150" s="1" t="s">
        <v>177</v>
      </c>
      <c r="U150">
        <v>781034</v>
      </c>
      <c r="V150" s="1" t="s">
        <v>66</v>
      </c>
      <c r="W150">
        <v>2125</v>
      </c>
      <c r="X150">
        <v>12</v>
      </c>
      <c r="Y150">
        <v>0</v>
      </c>
      <c r="Z150">
        <v>0</v>
      </c>
      <c r="AA150">
        <v>12</v>
      </c>
      <c r="AB150">
        <v>227.679</v>
      </c>
      <c r="AC150">
        <v>0</v>
      </c>
      <c r="AD150">
        <v>0</v>
      </c>
      <c r="AE150">
        <v>227.679</v>
      </c>
      <c r="AF150">
        <v>0.75</v>
      </c>
      <c r="AG150">
        <f>MarketPlace_Order_Report[[#This Row],[UnitPrice]]*MarketPlace_Order_Report[[#This Row],[OrderQty]]</f>
        <v>2125</v>
      </c>
      <c r="AH150">
        <f>IFERROR(MarketPlace_Order_Report[[#This Row],[CGSTAmount]]+MarketPlace_Order_Report[[#This Row],[SGSTAmount]]+MarketPlace_Order_Report[[#This Row],[IGSTAmount]],MarketPlace_Order_Report[[#This Row],[TaxAmount]])</f>
        <v>227.679</v>
      </c>
      <c r="AI150">
        <f>MarketPlace_Order_Report[[#This Row],[Gross Amount (Before Tax)]]+MarketPlace_Order_Report[[#This Row],[Total GST Amount]]</f>
        <v>2352.6790000000001</v>
      </c>
      <c r="AJ150" s="1" t="s">
        <v>658</v>
      </c>
    </row>
    <row r="151" spans="1:36">
      <c r="A151" s="1" t="s">
        <v>660</v>
      </c>
      <c r="B151" s="1" t="s">
        <v>662</v>
      </c>
      <c r="C151" s="1" t="s">
        <v>2475</v>
      </c>
      <c r="D151">
        <v>1</v>
      </c>
      <c r="E151">
        <v>1</v>
      </c>
      <c r="F151">
        <v>2500</v>
      </c>
      <c r="G151">
        <v>2000</v>
      </c>
      <c r="H151">
        <v>2006.75</v>
      </c>
      <c r="I151">
        <v>6.75</v>
      </c>
      <c r="J151" s="1" t="s">
        <v>59</v>
      </c>
      <c r="K151" s="2">
        <v>45926.038599537038</v>
      </c>
      <c r="L151" s="2">
        <v>45926.719467592593</v>
      </c>
      <c r="M151" s="2">
        <v>45929.520937499998</v>
      </c>
      <c r="N151" s="1" t="s">
        <v>61</v>
      </c>
      <c r="O151" s="1" t="s">
        <v>623</v>
      </c>
      <c r="P151" s="1" t="s">
        <v>61</v>
      </c>
      <c r="Q151" s="1" t="s">
        <v>61</v>
      </c>
      <c r="R151" s="2">
        <v>45929.545983796299</v>
      </c>
      <c r="S151" s="1" t="s">
        <v>663</v>
      </c>
      <c r="T151" s="1" t="s">
        <v>664</v>
      </c>
      <c r="U151">
        <v>683556</v>
      </c>
      <c r="V151" s="1" t="s">
        <v>66</v>
      </c>
      <c r="W151">
        <v>2000</v>
      </c>
      <c r="X151">
        <v>5</v>
      </c>
      <c r="Y151">
        <v>0</v>
      </c>
      <c r="Z151">
        <v>0</v>
      </c>
      <c r="AA151">
        <v>5</v>
      </c>
      <c r="AB151">
        <v>95.238</v>
      </c>
      <c r="AC151">
        <v>0</v>
      </c>
      <c r="AD151">
        <v>0</v>
      </c>
      <c r="AE151">
        <v>95.238</v>
      </c>
      <c r="AF151">
        <v>0.75</v>
      </c>
      <c r="AG151">
        <f>MarketPlace_Order_Report[[#This Row],[UnitPrice]]*MarketPlace_Order_Report[[#This Row],[OrderQty]]</f>
        <v>2000</v>
      </c>
      <c r="AH151">
        <f>IFERROR(MarketPlace_Order_Report[[#This Row],[CGSTAmount]]+MarketPlace_Order_Report[[#This Row],[SGSTAmount]]+MarketPlace_Order_Report[[#This Row],[IGSTAmount]],MarketPlace_Order_Report[[#This Row],[TaxAmount]])</f>
        <v>95.238</v>
      </c>
      <c r="AI151">
        <f>MarketPlace_Order_Report[[#This Row],[Gross Amount (Before Tax)]]+MarketPlace_Order_Report[[#This Row],[Total GST Amount]]</f>
        <v>2095.2379999999998</v>
      </c>
      <c r="AJ151" s="1" t="s">
        <v>661</v>
      </c>
    </row>
    <row r="152" spans="1:36" hidden="1">
      <c r="A152" s="1" t="s">
        <v>665</v>
      </c>
      <c r="B152" s="1" t="s">
        <v>662</v>
      </c>
      <c r="C152" s="1" t="s">
        <v>71</v>
      </c>
      <c r="D152">
        <v>1</v>
      </c>
      <c r="E152">
        <v>1</v>
      </c>
      <c r="F152">
        <v>2500</v>
      </c>
      <c r="G152">
        <v>2125</v>
      </c>
      <c r="H152">
        <v>2154</v>
      </c>
      <c r="I152">
        <v>29</v>
      </c>
      <c r="J152" s="1" t="s">
        <v>59</v>
      </c>
      <c r="K152" s="2">
        <v>45911.665543981479</v>
      </c>
      <c r="L152" s="2">
        <v>45912.716631944444</v>
      </c>
      <c r="M152" s="2">
        <v>45915.766076388885</v>
      </c>
      <c r="N152" s="1" t="s">
        <v>61</v>
      </c>
      <c r="O152" s="1" t="s">
        <v>623</v>
      </c>
      <c r="P152" s="1" t="s">
        <v>61</v>
      </c>
      <c r="Q152" s="1" t="s">
        <v>74</v>
      </c>
      <c r="R152" s="2">
        <v>45939.625960648147</v>
      </c>
      <c r="S152" s="1" t="s">
        <v>519</v>
      </c>
      <c r="T152" s="1" t="s">
        <v>177</v>
      </c>
      <c r="U152">
        <v>781034</v>
      </c>
      <c r="V152" s="1" t="s">
        <v>66</v>
      </c>
      <c r="W152">
        <v>2125</v>
      </c>
      <c r="X152">
        <v>12</v>
      </c>
      <c r="Y152">
        <v>0</v>
      </c>
      <c r="Z152">
        <v>0</v>
      </c>
      <c r="AA152">
        <v>12</v>
      </c>
      <c r="AB152">
        <v>227.679</v>
      </c>
      <c r="AC152">
        <v>0</v>
      </c>
      <c r="AD152">
        <v>0</v>
      </c>
      <c r="AE152">
        <v>227.679</v>
      </c>
      <c r="AF152">
        <v>0.75</v>
      </c>
      <c r="AG152">
        <f>MarketPlace_Order_Report[[#This Row],[UnitPrice]]*MarketPlace_Order_Report[[#This Row],[OrderQty]]</f>
        <v>2125</v>
      </c>
      <c r="AH152">
        <f>IFERROR(MarketPlace_Order_Report[[#This Row],[CGSTAmount]]+MarketPlace_Order_Report[[#This Row],[SGSTAmount]]+MarketPlace_Order_Report[[#This Row],[IGSTAmount]],MarketPlace_Order_Report[[#This Row],[TaxAmount]])</f>
        <v>227.679</v>
      </c>
      <c r="AI152">
        <f>MarketPlace_Order_Report[[#This Row],[Gross Amount (Before Tax)]]+MarketPlace_Order_Report[[#This Row],[Total GST Amount]]</f>
        <v>2352.6790000000001</v>
      </c>
      <c r="AJ152" s="1" t="s">
        <v>666</v>
      </c>
    </row>
    <row r="153" spans="1:36" hidden="1">
      <c r="A153" s="1" t="s">
        <v>667</v>
      </c>
      <c r="B153" s="1" t="s">
        <v>670</v>
      </c>
      <c r="C153" s="1" t="s">
        <v>71</v>
      </c>
      <c r="D153">
        <v>1</v>
      </c>
      <c r="E153">
        <v>1</v>
      </c>
      <c r="F153">
        <v>2500</v>
      </c>
      <c r="G153">
        <v>2125</v>
      </c>
      <c r="H153">
        <v>2132.42</v>
      </c>
      <c r="I153">
        <v>7.42</v>
      </c>
      <c r="J153" s="1" t="s">
        <v>59</v>
      </c>
      <c r="K153" s="2">
        <v>45906.304178240738</v>
      </c>
      <c r="L153" s="2">
        <v>45909.71770833333</v>
      </c>
      <c r="M153" s="2">
        <v>45912.659328703703</v>
      </c>
      <c r="N153" s="1" t="s">
        <v>61</v>
      </c>
      <c r="O153" s="1" t="s">
        <v>623</v>
      </c>
      <c r="P153" s="1" t="s">
        <v>61</v>
      </c>
      <c r="Q153" s="1" t="s">
        <v>74</v>
      </c>
      <c r="R153" s="2">
        <v>45929.598124999997</v>
      </c>
      <c r="S153" s="1" t="s">
        <v>197</v>
      </c>
      <c r="T153" s="1" t="s">
        <v>65</v>
      </c>
      <c r="U153">
        <v>560037</v>
      </c>
      <c r="V153" s="1" t="s">
        <v>66</v>
      </c>
      <c r="W153">
        <v>2125</v>
      </c>
      <c r="X153">
        <v>12</v>
      </c>
      <c r="Y153">
        <v>0</v>
      </c>
      <c r="Z153">
        <v>0</v>
      </c>
      <c r="AA153">
        <v>12</v>
      </c>
      <c r="AB153">
        <v>227.679</v>
      </c>
      <c r="AC153">
        <v>0</v>
      </c>
      <c r="AD153">
        <v>0</v>
      </c>
      <c r="AE153">
        <v>227.679</v>
      </c>
      <c r="AF153">
        <v>0.75</v>
      </c>
      <c r="AG153">
        <f>MarketPlace_Order_Report[[#This Row],[UnitPrice]]*MarketPlace_Order_Report[[#This Row],[OrderQty]]</f>
        <v>2125</v>
      </c>
      <c r="AH153">
        <f>IFERROR(MarketPlace_Order_Report[[#This Row],[CGSTAmount]]+MarketPlace_Order_Report[[#This Row],[SGSTAmount]]+MarketPlace_Order_Report[[#This Row],[IGSTAmount]],MarketPlace_Order_Report[[#This Row],[TaxAmount]])</f>
        <v>227.679</v>
      </c>
      <c r="AI153">
        <f>MarketPlace_Order_Report[[#This Row],[Gross Amount (Before Tax)]]+MarketPlace_Order_Report[[#This Row],[Total GST Amount]]</f>
        <v>2352.6790000000001</v>
      </c>
      <c r="AJ153" s="1" t="s">
        <v>668</v>
      </c>
    </row>
    <row r="154" spans="1:36" hidden="1">
      <c r="A154" s="1" t="s">
        <v>671</v>
      </c>
      <c r="B154" s="1" t="s">
        <v>674</v>
      </c>
      <c r="C154" s="1" t="s">
        <v>187</v>
      </c>
      <c r="D154">
        <v>1</v>
      </c>
      <c r="E154">
        <v>0</v>
      </c>
      <c r="F154">
        <v>2500</v>
      </c>
      <c r="G154">
        <v>2125</v>
      </c>
      <c r="H154">
        <v>2174</v>
      </c>
      <c r="I154">
        <v>49</v>
      </c>
      <c r="J154" s="1" t="s">
        <v>72</v>
      </c>
      <c r="K154" s="2">
        <v>45917.620706018519</v>
      </c>
      <c r="L154" s="2"/>
      <c r="M154" s="2"/>
      <c r="N154" s="1" t="s">
        <v>323</v>
      </c>
      <c r="O154" s="1" t="s">
        <v>623</v>
      </c>
      <c r="P154" s="1" t="s">
        <v>61</v>
      </c>
      <c r="Q154" s="1" t="s">
        <v>61</v>
      </c>
      <c r="R154" s="2">
        <v>45917.621921296297</v>
      </c>
      <c r="S154" s="1" t="s">
        <v>247</v>
      </c>
      <c r="T154" s="1" t="s">
        <v>83</v>
      </c>
      <c r="U154">
        <v>842001</v>
      </c>
      <c r="V154" s="1" t="s">
        <v>66</v>
      </c>
      <c r="W154">
        <v>2125</v>
      </c>
      <c r="X154">
        <v>12</v>
      </c>
      <c r="Y154">
        <v>0</v>
      </c>
      <c r="Z154">
        <v>0</v>
      </c>
      <c r="AA154">
        <v>12</v>
      </c>
      <c r="AB154">
        <v>227.679</v>
      </c>
      <c r="AC154">
        <v>0</v>
      </c>
      <c r="AD154">
        <v>0</v>
      </c>
      <c r="AE154">
        <v>227.679</v>
      </c>
      <c r="AG154">
        <f>MarketPlace_Order_Report[[#This Row],[UnitPrice]]*MarketPlace_Order_Report[[#This Row],[OrderQty]]</f>
        <v>2125</v>
      </c>
      <c r="AH154">
        <f>IFERROR(MarketPlace_Order_Report[[#This Row],[CGSTAmount]]+MarketPlace_Order_Report[[#This Row],[SGSTAmount]]+MarketPlace_Order_Report[[#This Row],[IGSTAmount]],MarketPlace_Order_Report[[#This Row],[TaxAmount]])</f>
        <v>227.679</v>
      </c>
      <c r="AI154">
        <f>MarketPlace_Order_Report[[#This Row],[Gross Amount (Before Tax)]]+MarketPlace_Order_Report[[#This Row],[Total GST Amount]]</f>
        <v>2352.6790000000001</v>
      </c>
      <c r="AJ154" s="1" t="s">
        <v>672</v>
      </c>
    </row>
    <row r="155" spans="1:36">
      <c r="A155" s="1" t="s">
        <v>675</v>
      </c>
      <c r="B155" s="1" t="s">
        <v>677</v>
      </c>
      <c r="C155" s="1" t="s">
        <v>2475</v>
      </c>
      <c r="D155">
        <v>1</v>
      </c>
      <c r="E155">
        <v>1</v>
      </c>
      <c r="F155">
        <v>2750</v>
      </c>
      <c r="G155">
        <v>2338</v>
      </c>
      <c r="H155">
        <v>2367</v>
      </c>
      <c r="I155">
        <v>29</v>
      </c>
      <c r="J155" s="1" t="s">
        <v>59</v>
      </c>
      <c r="K155" s="2">
        <v>45912.996481481481</v>
      </c>
      <c r="L155" s="2">
        <v>45915.688067129631</v>
      </c>
      <c r="M155" s="2">
        <v>45917.533993055556</v>
      </c>
      <c r="N155" s="1" t="s">
        <v>61</v>
      </c>
      <c r="O155" s="1" t="s">
        <v>623</v>
      </c>
      <c r="P155" s="1" t="s">
        <v>61</v>
      </c>
      <c r="Q155" s="1" t="s">
        <v>61</v>
      </c>
      <c r="R155" s="2">
        <v>45917.535671296297</v>
      </c>
      <c r="S155" s="1" t="s">
        <v>579</v>
      </c>
      <c r="T155" s="1" t="s">
        <v>231</v>
      </c>
      <c r="U155">
        <v>834001</v>
      </c>
      <c r="V155" s="1" t="s">
        <v>66</v>
      </c>
      <c r="W155">
        <v>2338</v>
      </c>
      <c r="X155">
        <v>12</v>
      </c>
      <c r="Y155">
        <v>0</v>
      </c>
      <c r="Z155">
        <v>0</v>
      </c>
      <c r="AA155">
        <v>12</v>
      </c>
      <c r="AB155">
        <v>250.5</v>
      </c>
      <c r="AC155">
        <v>0</v>
      </c>
      <c r="AD155">
        <v>0</v>
      </c>
      <c r="AE155">
        <v>250.5</v>
      </c>
      <c r="AF155">
        <v>0.75</v>
      </c>
      <c r="AG155">
        <f>MarketPlace_Order_Report[[#This Row],[UnitPrice]]*MarketPlace_Order_Report[[#This Row],[OrderQty]]</f>
        <v>2338</v>
      </c>
      <c r="AH155">
        <f>IFERROR(MarketPlace_Order_Report[[#This Row],[CGSTAmount]]+MarketPlace_Order_Report[[#This Row],[SGSTAmount]]+MarketPlace_Order_Report[[#This Row],[IGSTAmount]],MarketPlace_Order_Report[[#This Row],[TaxAmount]])</f>
        <v>250.5</v>
      </c>
      <c r="AI155">
        <f>MarketPlace_Order_Report[[#This Row],[Gross Amount (Before Tax)]]+MarketPlace_Order_Report[[#This Row],[Total GST Amount]]</f>
        <v>2588.5</v>
      </c>
      <c r="AJ155" s="1" t="s">
        <v>676</v>
      </c>
    </row>
    <row r="156" spans="1:36" hidden="1">
      <c r="A156" s="1" t="s">
        <v>678</v>
      </c>
      <c r="B156" s="1" t="s">
        <v>680</v>
      </c>
      <c r="C156" s="1" t="s">
        <v>71</v>
      </c>
      <c r="D156">
        <v>1</v>
      </c>
      <c r="E156">
        <v>1</v>
      </c>
      <c r="F156">
        <v>3250</v>
      </c>
      <c r="G156">
        <v>2275</v>
      </c>
      <c r="H156">
        <v>2292.2159999999999</v>
      </c>
      <c r="I156">
        <v>17.216000000000001</v>
      </c>
      <c r="J156" s="1" t="s">
        <v>72</v>
      </c>
      <c r="K156" s="2">
        <v>45925.38013888889</v>
      </c>
      <c r="L156" s="2">
        <v>45925.722662037035</v>
      </c>
      <c r="M156" s="2">
        <v>45934.740613425929</v>
      </c>
      <c r="N156" s="1" t="s">
        <v>61</v>
      </c>
      <c r="O156" s="1" t="s">
        <v>623</v>
      </c>
      <c r="P156" s="1" t="s">
        <v>61</v>
      </c>
      <c r="Q156" s="1" t="s">
        <v>74</v>
      </c>
      <c r="R156" s="2">
        <v>45941.837777777779</v>
      </c>
      <c r="S156" s="1" t="s">
        <v>681</v>
      </c>
      <c r="T156" s="1" t="s">
        <v>99</v>
      </c>
      <c r="U156">
        <v>125055</v>
      </c>
      <c r="V156" s="1" t="s">
        <v>66</v>
      </c>
      <c r="W156">
        <v>2275</v>
      </c>
      <c r="X156">
        <v>5</v>
      </c>
      <c r="Y156">
        <v>0</v>
      </c>
      <c r="Z156">
        <v>0</v>
      </c>
      <c r="AA156">
        <v>5</v>
      </c>
      <c r="AB156">
        <v>108.333</v>
      </c>
      <c r="AC156">
        <v>0</v>
      </c>
      <c r="AD156">
        <v>0</v>
      </c>
      <c r="AE156">
        <v>108.333</v>
      </c>
      <c r="AF156">
        <v>1.25</v>
      </c>
      <c r="AG156">
        <f>MarketPlace_Order_Report[[#This Row],[UnitPrice]]*MarketPlace_Order_Report[[#This Row],[OrderQty]]</f>
        <v>2275</v>
      </c>
      <c r="AH156">
        <f>IFERROR(MarketPlace_Order_Report[[#This Row],[CGSTAmount]]+MarketPlace_Order_Report[[#This Row],[SGSTAmount]]+MarketPlace_Order_Report[[#This Row],[IGSTAmount]],MarketPlace_Order_Report[[#This Row],[TaxAmount]])</f>
        <v>108.333</v>
      </c>
      <c r="AI156">
        <f>MarketPlace_Order_Report[[#This Row],[Gross Amount (Before Tax)]]+MarketPlace_Order_Report[[#This Row],[Total GST Amount]]</f>
        <v>2383.3330000000001</v>
      </c>
      <c r="AJ156" s="1" t="s">
        <v>679</v>
      </c>
    </row>
    <row r="157" spans="1:36" hidden="1">
      <c r="A157" s="1" t="s">
        <v>682</v>
      </c>
      <c r="B157" s="1" t="s">
        <v>685</v>
      </c>
      <c r="C157" s="1" t="s">
        <v>71</v>
      </c>
      <c r="D157">
        <v>1</v>
      </c>
      <c r="E157">
        <v>1</v>
      </c>
      <c r="F157">
        <v>3250</v>
      </c>
      <c r="G157">
        <v>2275</v>
      </c>
      <c r="H157">
        <v>2304</v>
      </c>
      <c r="I157">
        <v>29</v>
      </c>
      <c r="J157" s="1" t="s">
        <v>59</v>
      </c>
      <c r="K157" s="2">
        <v>45919.950775462959</v>
      </c>
      <c r="L157" s="2">
        <v>45920.699571759258</v>
      </c>
      <c r="M157" s="2">
        <v>45923.512384259258</v>
      </c>
      <c r="N157" s="1" t="s">
        <v>61</v>
      </c>
      <c r="O157" s="1" t="s">
        <v>623</v>
      </c>
      <c r="P157" s="1" t="s">
        <v>61</v>
      </c>
      <c r="Q157" s="1" t="s">
        <v>74</v>
      </c>
      <c r="R157" s="2">
        <v>45934.622407407405</v>
      </c>
      <c r="S157" s="1" t="s">
        <v>686</v>
      </c>
      <c r="T157" s="1" t="s">
        <v>77</v>
      </c>
      <c r="U157">
        <v>222001</v>
      </c>
      <c r="V157" s="1" t="s">
        <v>66</v>
      </c>
      <c r="W157">
        <v>2275</v>
      </c>
      <c r="X157">
        <v>12</v>
      </c>
      <c r="Y157">
        <v>0</v>
      </c>
      <c r="Z157">
        <v>0</v>
      </c>
      <c r="AA157">
        <v>12</v>
      </c>
      <c r="AB157">
        <v>243.75</v>
      </c>
      <c r="AC157">
        <v>0</v>
      </c>
      <c r="AD157">
        <v>0</v>
      </c>
      <c r="AE157">
        <v>243.75</v>
      </c>
      <c r="AF157">
        <v>0.75</v>
      </c>
      <c r="AG157">
        <f>MarketPlace_Order_Report[[#This Row],[UnitPrice]]*MarketPlace_Order_Report[[#This Row],[OrderQty]]</f>
        <v>2275</v>
      </c>
      <c r="AH157">
        <f>IFERROR(MarketPlace_Order_Report[[#This Row],[CGSTAmount]]+MarketPlace_Order_Report[[#This Row],[SGSTAmount]]+MarketPlace_Order_Report[[#This Row],[IGSTAmount]],MarketPlace_Order_Report[[#This Row],[TaxAmount]])</f>
        <v>243.75</v>
      </c>
      <c r="AI157">
        <f>MarketPlace_Order_Report[[#This Row],[Gross Amount (Before Tax)]]+MarketPlace_Order_Report[[#This Row],[Total GST Amount]]</f>
        <v>2518.75</v>
      </c>
      <c r="AJ157" s="1" t="s">
        <v>683</v>
      </c>
    </row>
    <row r="158" spans="1:36" hidden="1">
      <c r="A158" s="1" t="s">
        <v>687</v>
      </c>
      <c r="B158" s="1" t="s">
        <v>689</v>
      </c>
      <c r="C158" s="1" t="s">
        <v>71</v>
      </c>
      <c r="D158">
        <v>1</v>
      </c>
      <c r="E158">
        <v>1</v>
      </c>
      <c r="F158">
        <v>3250</v>
      </c>
      <c r="G158">
        <v>2763</v>
      </c>
      <c r="H158">
        <v>2812</v>
      </c>
      <c r="I158">
        <v>49</v>
      </c>
      <c r="J158" s="1" t="s">
        <v>72</v>
      </c>
      <c r="K158" s="2">
        <v>45902.45884259259</v>
      </c>
      <c r="L158" s="2">
        <v>45902.607638888891</v>
      </c>
      <c r="M158" s="2">
        <v>45903.637499999997</v>
      </c>
      <c r="N158" s="1" t="s">
        <v>61</v>
      </c>
      <c r="O158" s="1" t="s">
        <v>623</v>
      </c>
      <c r="P158" s="1" t="s">
        <v>61</v>
      </c>
      <c r="Q158" s="1" t="s">
        <v>74</v>
      </c>
      <c r="R158" s="2">
        <v>45911.85496527778</v>
      </c>
      <c r="S158" s="1" t="s">
        <v>182</v>
      </c>
      <c r="T158" s="1" t="s">
        <v>183</v>
      </c>
      <c r="U158">
        <v>110062</v>
      </c>
      <c r="V158" s="1" t="s">
        <v>66</v>
      </c>
      <c r="W158">
        <v>2763</v>
      </c>
      <c r="X158">
        <v>12</v>
      </c>
      <c r="Y158">
        <v>0</v>
      </c>
      <c r="Z158">
        <v>0</v>
      </c>
      <c r="AA158">
        <v>12</v>
      </c>
      <c r="AB158">
        <v>296.036</v>
      </c>
      <c r="AC158">
        <v>0</v>
      </c>
      <c r="AD158">
        <v>0</v>
      </c>
      <c r="AE158">
        <v>296.036</v>
      </c>
      <c r="AF158">
        <v>0.75</v>
      </c>
      <c r="AG158">
        <f>MarketPlace_Order_Report[[#This Row],[UnitPrice]]*MarketPlace_Order_Report[[#This Row],[OrderQty]]</f>
        <v>2763</v>
      </c>
      <c r="AH158">
        <f>IFERROR(MarketPlace_Order_Report[[#This Row],[CGSTAmount]]+MarketPlace_Order_Report[[#This Row],[SGSTAmount]]+MarketPlace_Order_Report[[#This Row],[IGSTAmount]],MarketPlace_Order_Report[[#This Row],[TaxAmount]])</f>
        <v>296.036</v>
      </c>
      <c r="AI158">
        <f>MarketPlace_Order_Report[[#This Row],[Gross Amount (Before Tax)]]+MarketPlace_Order_Report[[#This Row],[Total GST Amount]]</f>
        <v>3059.0360000000001</v>
      </c>
      <c r="AJ158" s="1" t="s">
        <v>688</v>
      </c>
    </row>
    <row r="159" spans="1:36">
      <c r="A159" s="1" t="s">
        <v>632</v>
      </c>
      <c r="B159" s="1" t="s">
        <v>690</v>
      </c>
      <c r="C159" s="1" t="s">
        <v>2475</v>
      </c>
      <c r="D159">
        <v>1</v>
      </c>
      <c r="E159">
        <v>1</v>
      </c>
      <c r="F159">
        <v>2500</v>
      </c>
      <c r="G159">
        <v>2000</v>
      </c>
      <c r="H159">
        <v>2022.924</v>
      </c>
      <c r="I159">
        <v>22.923999999999999</v>
      </c>
      <c r="J159" s="1" t="s">
        <v>72</v>
      </c>
      <c r="K159" s="2">
        <v>45929.884108796294</v>
      </c>
      <c r="L159" s="2">
        <v>45931.783356481479</v>
      </c>
      <c r="M159" s="2">
        <v>45937.715925925928</v>
      </c>
      <c r="N159" s="1" t="s">
        <v>61</v>
      </c>
      <c r="O159" s="1" t="s">
        <v>623</v>
      </c>
      <c r="P159" s="1" t="s">
        <v>61</v>
      </c>
      <c r="Q159" s="1" t="s">
        <v>61</v>
      </c>
      <c r="R159" s="2">
        <v>45937.719583333332</v>
      </c>
      <c r="S159" s="1" t="s">
        <v>635</v>
      </c>
      <c r="T159" s="1" t="s">
        <v>77</v>
      </c>
      <c r="U159">
        <v>231001</v>
      </c>
      <c r="V159" s="1" t="s">
        <v>66</v>
      </c>
      <c r="W159">
        <v>2000</v>
      </c>
      <c r="X159">
        <v>5</v>
      </c>
      <c r="Y159">
        <v>0</v>
      </c>
      <c r="Z159">
        <v>0</v>
      </c>
      <c r="AA159">
        <v>5</v>
      </c>
      <c r="AB159">
        <v>95.238</v>
      </c>
      <c r="AC159">
        <v>0</v>
      </c>
      <c r="AD159">
        <v>0</v>
      </c>
      <c r="AE159">
        <v>95.238</v>
      </c>
      <c r="AF159">
        <v>1</v>
      </c>
      <c r="AG159">
        <f>MarketPlace_Order_Report[[#This Row],[UnitPrice]]*MarketPlace_Order_Report[[#This Row],[OrderQty]]</f>
        <v>2000</v>
      </c>
      <c r="AH159">
        <f>IFERROR(MarketPlace_Order_Report[[#This Row],[CGSTAmount]]+MarketPlace_Order_Report[[#This Row],[SGSTAmount]]+MarketPlace_Order_Report[[#This Row],[IGSTAmount]],MarketPlace_Order_Report[[#This Row],[TaxAmount]])</f>
        <v>95.238</v>
      </c>
      <c r="AI159">
        <f>MarketPlace_Order_Report[[#This Row],[Gross Amount (Before Tax)]]+MarketPlace_Order_Report[[#This Row],[Total GST Amount]]</f>
        <v>2095.2379999999998</v>
      </c>
      <c r="AJ159" s="1" t="s">
        <v>633</v>
      </c>
    </row>
    <row r="160" spans="1:36" hidden="1">
      <c r="A160" s="1" t="s">
        <v>691</v>
      </c>
      <c r="B160" s="1" t="s">
        <v>693</v>
      </c>
      <c r="C160" s="1" t="s">
        <v>102</v>
      </c>
      <c r="D160">
        <v>1</v>
      </c>
      <c r="E160">
        <v>1</v>
      </c>
      <c r="F160">
        <v>3500</v>
      </c>
      <c r="G160">
        <v>3150</v>
      </c>
      <c r="H160">
        <v>3175.4070000000002</v>
      </c>
      <c r="I160">
        <v>25.407</v>
      </c>
      <c r="J160" s="1" t="s">
        <v>72</v>
      </c>
      <c r="K160" s="2">
        <v>45910.565416666665</v>
      </c>
      <c r="L160" s="2">
        <v>45911.740416666667</v>
      </c>
      <c r="M160" s="2"/>
      <c r="N160" s="1" t="s">
        <v>61</v>
      </c>
      <c r="O160" s="1" t="s">
        <v>623</v>
      </c>
      <c r="P160" s="1" t="s">
        <v>61</v>
      </c>
      <c r="Q160" s="1" t="s">
        <v>103</v>
      </c>
      <c r="R160" s="2">
        <v>45924.809884259259</v>
      </c>
      <c r="S160" s="1" t="s">
        <v>635</v>
      </c>
      <c r="T160" s="1" t="s">
        <v>77</v>
      </c>
      <c r="U160">
        <v>231001</v>
      </c>
      <c r="V160" s="1" t="s">
        <v>66</v>
      </c>
      <c r="W160">
        <v>3150</v>
      </c>
      <c r="X160">
        <v>12</v>
      </c>
      <c r="Y160">
        <v>0</v>
      </c>
      <c r="Z160">
        <v>0</v>
      </c>
      <c r="AA160">
        <v>12</v>
      </c>
      <c r="AB160">
        <v>337.5</v>
      </c>
      <c r="AC160">
        <v>0</v>
      </c>
      <c r="AD160">
        <v>0</v>
      </c>
      <c r="AE160">
        <v>337.5</v>
      </c>
      <c r="AF160">
        <v>1</v>
      </c>
      <c r="AG160">
        <f>MarketPlace_Order_Report[[#This Row],[UnitPrice]]*MarketPlace_Order_Report[[#This Row],[OrderQty]]</f>
        <v>3150</v>
      </c>
      <c r="AH160">
        <f>IFERROR(MarketPlace_Order_Report[[#This Row],[CGSTAmount]]+MarketPlace_Order_Report[[#This Row],[SGSTAmount]]+MarketPlace_Order_Report[[#This Row],[IGSTAmount]],MarketPlace_Order_Report[[#This Row],[TaxAmount]])</f>
        <v>337.5</v>
      </c>
      <c r="AI160">
        <f>MarketPlace_Order_Report[[#This Row],[Gross Amount (Before Tax)]]+MarketPlace_Order_Report[[#This Row],[Total GST Amount]]</f>
        <v>3487.5</v>
      </c>
      <c r="AJ160" s="1" t="s">
        <v>692</v>
      </c>
    </row>
    <row r="161" spans="1:36" hidden="1">
      <c r="A161" s="1" t="s">
        <v>636</v>
      </c>
      <c r="B161" s="1" t="s">
        <v>694</v>
      </c>
      <c r="C161" s="1" t="s">
        <v>71</v>
      </c>
      <c r="D161">
        <v>1</v>
      </c>
      <c r="E161">
        <v>1</v>
      </c>
      <c r="F161">
        <v>3500</v>
      </c>
      <c r="G161">
        <v>2450</v>
      </c>
      <c r="H161">
        <v>2475.4070000000002</v>
      </c>
      <c r="I161">
        <v>25.407</v>
      </c>
      <c r="J161" s="1" t="s">
        <v>72</v>
      </c>
      <c r="K161" s="2">
        <v>45919.646585648145</v>
      </c>
      <c r="L161" s="2">
        <v>45920.699780092589</v>
      </c>
      <c r="M161" s="2">
        <v>45927.470590277779</v>
      </c>
      <c r="N161" s="1" t="s">
        <v>61</v>
      </c>
      <c r="O161" s="1" t="s">
        <v>623</v>
      </c>
      <c r="P161" s="1" t="s">
        <v>61</v>
      </c>
      <c r="Q161" s="1" t="s">
        <v>74</v>
      </c>
      <c r="R161" s="2">
        <v>45932.764537037037</v>
      </c>
      <c r="S161" s="1" t="s">
        <v>635</v>
      </c>
      <c r="T161" s="1" t="s">
        <v>77</v>
      </c>
      <c r="U161">
        <v>231001</v>
      </c>
      <c r="V161" s="1" t="s">
        <v>66</v>
      </c>
      <c r="W161">
        <v>2450</v>
      </c>
      <c r="X161">
        <v>12</v>
      </c>
      <c r="Y161">
        <v>0</v>
      </c>
      <c r="Z161">
        <v>0</v>
      </c>
      <c r="AA161">
        <v>12</v>
      </c>
      <c r="AB161">
        <v>262.5</v>
      </c>
      <c r="AC161">
        <v>0</v>
      </c>
      <c r="AD161">
        <v>0</v>
      </c>
      <c r="AE161">
        <v>262.5</v>
      </c>
      <c r="AF161">
        <v>1</v>
      </c>
      <c r="AG161">
        <f>MarketPlace_Order_Report[[#This Row],[UnitPrice]]*MarketPlace_Order_Report[[#This Row],[OrderQty]]</f>
        <v>2450</v>
      </c>
      <c r="AH161">
        <f>IFERROR(MarketPlace_Order_Report[[#This Row],[CGSTAmount]]+MarketPlace_Order_Report[[#This Row],[SGSTAmount]]+MarketPlace_Order_Report[[#This Row],[IGSTAmount]],MarketPlace_Order_Report[[#This Row],[TaxAmount]])</f>
        <v>262.5</v>
      </c>
      <c r="AI161">
        <f>MarketPlace_Order_Report[[#This Row],[Gross Amount (Before Tax)]]+MarketPlace_Order_Report[[#This Row],[Total GST Amount]]</f>
        <v>2712.5</v>
      </c>
      <c r="AJ161" s="1" t="s">
        <v>637</v>
      </c>
    </row>
    <row r="162" spans="1:36">
      <c r="A162" s="1" t="s">
        <v>696</v>
      </c>
      <c r="B162" s="1" t="s">
        <v>698</v>
      </c>
      <c r="C162" s="1" t="s">
        <v>2475</v>
      </c>
      <c r="D162">
        <v>1</v>
      </c>
      <c r="E162">
        <v>1</v>
      </c>
      <c r="F162">
        <v>3000</v>
      </c>
      <c r="G162">
        <v>2100</v>
      </c>
      <c r="H162">
        <v>2159.27</v>
      </c>
      <c r="I162">
        <v>59.27</v>
      </c>
      <c r="J162" s="1" t="s">
        <v>59</v>
      </c>
      <c r="K162" s="2">
        <v>45925.864745370367</v>
      </c>
      <c r="L162" s="2">
        <v>45926.719490740739</v>
      </c>
      <c r="M162" s="2">
        <v>45930.682905092595</v>
      </c>
      <c r="N162" s="1" t="s">
        <v>61</v>
      </c>
      <c r="O162" s="1" t="s">
        <v>623</v>
      </c>
      <c r="P162" s="1" t="s">
        <v>61</v>
      </c>
      <c r="Q162" s="1" t="s">
        <v>61</v>
      </c>
      <c r="R162" s="2">
        <v>45930.684629629628</v>
      </c>
      <c r="S162" s="1" t="s">
        <v>699</v>
      </c>
      <c r="T162" s="1" t="s">
        <v>83</v>
      </c>
      <c r="U162">
        <v>854303</v>
      </c>
      <c r="V162" s="1" t="s">
        <v>66</v>
      </c>
      <c r="W162">
        <v>2100</v>
      </c>
      <c r="X162">
        <v>5</v>
      </c>
      <c r="Y162">
        <v>0</v>
      </c>
      <c r="Z162">
        <v>0</v>
      </c>
      <c r="AA162">
        <v>5</v>
      </c>
      <c r="AB162">
        <v>100</v>
      </c>
      <c r="AC162">
        <v>0</v>
      </c>
      <c r="AD162">
        <v>0</v>
      </c>
      <c r="AE162">
        <v>100</v>
      </c>
      <c r="AF162">
        <v>0.75</v>
      </c>
      <c r="AG162">
        <f>MarketPlace_Order_Report[[#This Row],[UnitPrice]]*MarketPlace_Order_Report[[#This Row],[OrderQty]]</f>
        <v>2100</v>
      </c>
      <c r="AH162">
        <f>IFERROR(MarketPlace_Order_Report[[#This Row],[CGSTAmount]]+MarketPlace_Order_Report[[#This Row],[SGSTAmount]]+MarketPlace_Order_Report[[#This Row],[IGSTAmount]],MarketPlace_Order_Report[[#This Row],[TaxAmount]])</f>
        <v>100</v>
      </c>
      <c r="AI162">
        <f>MarketPlace_Order_Report[[#This Row],[Gross Amount (Before Tax)]]+MarketPlace_Order_Report[[#This Row],[Total GST Amount]]</f>
        <v>2200</v>
      </c>
      <c r="AJ162" s="1" t="s">
        <v>697</v>
      </c>
    </row>
    <row r="163" spans="1:36" hidden="1">
      <c r="A163" s="1" t="s">
        <v>691</v>
      </c>
      <c r="B163" s="1" t="s">
        <v>700</v>
      </c>
      <c r="C163" s="1" t="s">
        <v>102</v>
      </c>
      <c r="D163">
        <v>1</v>
      </c>
      <c r="E163">
        <v>1</v>
      </c>
      <c r="F163">
        <v>3250</v>
      </c>
      <c r="G163">
        <v>2925</v>
      </c>
      <c r="H163">
        <v>2948.5929999999998</v>
      </c>
      <c r="I163">
        <v>23.593</v>
      </c>
      <c r="J163" s="1" t="s">
        <v>72</v>
      </c>
      <c r="K163" s="2">
        <v>45910.565416666665</v>
      </c>
      <c r="L163" s="2">
        <v>45911.740416666667</v>
      </c>
      <c r="M163" s="2"/>
      <c r="N163" s="1" t="s">
        <v>61</v>
      </c>
      <c r="O163" s="1" t="s">
        <v>623</v>
      </c>
      <c r="P163" s="1" t="s">
        <v>61</v>
      </c>
      <c r="Q163" s="1" t="s">
        <v>103</v>
      </c>
      <c r="R163" s="2">
        <v>45924.809884259259</v>
      </c>
      <c r="S163" s="1" t="s">
        <v>635</v>
      </c>
      <c r="T163" s="1" t="s">
        <v>77</v>
      </c>
      <c r="U163">
        <v>231001</v>
      </c>
      <c r="V163" s="1" t="s">
        <v>66</v>
      </c>
      <c r="W163">
        <v>2925</v>
      </c>
      <c r="X163">
        <v>12</v>
      </c>
      <c r="Y163">
        <v>0</v>
      </c>
      <c r="Z163">
        <v>0</v>
      </c>
      <c r="AA163">
        <v>12</v>
      </c>
      <c r="AB163">
        <v>313.39299999999997</v>
      </c>
      <c r="AC163">
        <v>0</v>
      </c>
      <c r="AD163">
        <v>0</v>
      </c>
      <c r="AE163">
        <v>313.39299999999997</v>
      </c>
      <c r="AF163">
        <v>1</v>
      </c>
      <c r="AG163">
        <f>MarketPlace_Order_Report[[#This Row],[UnitPrice]]*MarketPlace_Order_Report[[#This Row],[OrderQty]]</f>
        <v>2925</v>
      </c>
      <c r="AH163">
        <f>IFERROR(MarketPlace_Order_Report[[#This Row],[CGSTAmount]]+MarketPlace_Order_Report[[#This Row],[SGSTAmount]]+MarketPlace_Order_Report[[#This Row],[IGSTAmount]],MarketPlace_Order_Report[[#This Row],[TaxAmount]])</f>
        <v>313.39299999999997</v>
      </c>
      <c r="AI163">
        <f>MarketPlace_Order_Report[[#This Row],[Gross Amount (Before Tax)]]+MarketPlace_Order_Report[[#This Row],[Total GST Amount]]</f>
        <v>3238.393</v>
      </c>
      <c r="AJ163" s="1" t="s">
        <v>692</v>
      </c>
    </row>
    <row r="164" spans="1:36" hidden="1">
      <c r="A164" s="1" t="s">
        <v>678</v>
      </c>
      <c r="B164" s="1" t="s">
        <v>701</v>
      </c>
      <c r="C164" s="1" t="s">
        <v>71</v>
      </c>
      <c r="D164">
        <v>1</v>
      </c>
      <c r="E164">
        <v>1</v>
      </c>
      <c r="F164">
        <v>3000</v>
      </c>
      <c r="G164">
        <v>2100</v>
      </c>
      <c r="H164">
        <v>2115.8919999999998</v>
      </c>
      <c r="I164">
        <v>15.891999999999999</v>
      </c>
      <c r="J164" s="1" t="s">
        <v>72</v>
      </c>
      <c r="K164" s="2">
        <v>45925.38013888889</v>
      </c>
      <c r="L164" s="2">
        <v>45925.722662037035</v>
      </c>
      <c r="M164" s="2">
        <v>45934.740613425929</v>
      </c>
      <c r="N164" s="1" t="s">
        <v>61</v>
      </c>
      <c r="O164" s="1" t="s">
        <v>623</v>
      </c>
      <c r="P164" s="1" t="s">
        <v>61</v>
      </c>
      <c r="Q164" s="1" t="s">
        <v>74</v>
      </c>
      <c r="R164" s="2">
        <v>45943.865613425929</v>
      </c>
      <c r="S164" s="1" t="s">
        <v>681</v>
      </c>
      <c r="T164" s="1" t="s">
        <v>99</v>
      </c>
      <c r="U164">
        <v>125055</v>
      </c>
      <c r="V164" s="1" t="s">
        <v>66</v>
      </c>
      <c r="W164">
        <v>2100</v>
      </c>
      <c r="X164">
        <v>5</v>
      </c>
      <c r="Y164">
        <v>0</v>
      </c>
      <c r="Z164">
        <v>0</v>
      </c>
      <c r="AA164">
        <v>5</v>
      </c>
      <c r="AB164">
        <v>100</v>
      </c>
      <c r="AC164">
        <v>0</v>
      </c>
      <c r="AD164">
        <v>0</v>
      </c>
      <c r="AE164">
        <v>100</v>
      </c>
      <c r="AF164">
        <v>1.25</v>
      </c>
      <c r="AG164">
        <f>MarketPlace_Order_Report[[#This Row],[UnitPrice]]*MarketPlace_Order_Report[[#This Row],[OrderQty]]</f>
        <v>2100</v>
      </c>
      <c r="AH164">
        <f>IFERROR(MarketPlace_Order_Report[[#This Row],[CGSTAmount]]+MarketPlace_Order_Report[[#This Row],[SGSTAmount]]+MarketPlace_Order_Report[[#This Row],[IGSTAmount]],MarketPlace_Order_Report[[#This Row],[TaxAmount]])</f>
        <v>100</v>
      </c>
      <c r="AI164">
        <f>MarketPlace_Order_Report[[#This Row],[Gross Amount (Before Tax)]]+MarketPlace_Order_Report[[#This Row],[Total GST Amount]]</f>
        <v>2200</v>
      </c>
      <c r="AJ164" s="1" t="s">
        <v>679</v>
      </c>
    </row>
    <row r="165" spans="1:36" hidden="1">
      <c r="A165" s="1" t="s">
        <v>702</v>
      </c>
      <c r="B165" s="1" t="s">
        <v>704</v>
      </c>
      <c r="C165" s="1" t="s">
        <v>71</v>
      </c>
      <c r="D165">
        <v>1</v>
      </c>
      <c r="E165">
        <v>1</v>
      </c>
      <c r="F165">
        <v>3000</v>
      </c>
      <c r="G165">
        <v>2550</v>
      </c>
      <c r="H165">
        <v>2579</v>
      </c>
      <c r="I165">
        <v>29</v>
      </c>
      <c r="J165" s="1" t="s">
        <v>59</v>
      </c>
      <c r="K165" s="2">
        <v>45909.77202546296</v>
      </c>
      <c r="L165" s="2">
        <v>45910.632280092592</v>
      </c>
      <c r="M165" s="2">
        <v>45913.447581018518</v>
      </c>
      <c r="N165" s="1" t="s">
        <v>61</v>
      </c>
      <c r="O165" s="1" t="s">
        <v>623</v>
      </c>
      <c r="P165" s="1" t="s">
        <v>61</v>
      </c>
      <c r="Q165" s="1" t="s">
        <v>74</v>
      </c>
      <c r="R165" s="2">
        <v>45922.830740740741</v>
      </c>
      <c r="S165" s="1" t="s">
        <v>197</v>
      </c>
      <c r="T165" s="1" t="s">
        <v>65</v>
      </c>
      <c r="U165">
        <v>560099</v>
      </c>
      <c r="V165" s="1" t="s">
        <v>66</v>
      </c>
      <c r="W165">
        <v>2550</v>
      </c>
      <c r="X165">
        <v>12</v>
      </c>
      <c r="Y165">
        <v>0</v>
      </c>
      <c r="Z165">
        <v>0</v>
      </c>
      <c r="AA165">
        <v>12</v>
      </c>
      <c r="AB165">
        <v>273.214</v>
      </c>
      <c r="AC165">
        <v>0</v>
      </c>
      <c r="AD165">
        <v>0</v>
      </c>
      <c r="AE165">
        <v>273.214</v>
      </c>
      <c r="AF165">
        <v>0.75</v>
      </c>
      <c r="AG165">
        <f>MarketPlace_Order_Report[[#This Row],[UnitPrice]]*MarketPlace_Order_Report[[#This Row],[OrderQty]]</f>
        <v>2550</v>
      </c>
      <c r="AH165">
        <f>IFERROR(MarketPlace_Order_Report[[#This Row],[CGSTAmount]]+MarketPlace_Order_Report[[#This Row],[SGSTAmount]]+MarketPlace_Order_Report[[#This Row],[IGSTAmount]],MarketPlace_Order_Report[[#This Row],[TaxAmount]])</f>
        <v>273.214</v>
      </c>
      <c r="AI165">
        <f>MarketPlace_Order_Report[[#This Row],[Gross Amount (Before Tax)]]+MarketPlace_Order_Report[[#This Row],[Total GST Amount]]</f>
        <v>2823.2139999999999</v>
      </c>
      <c r="AJ165" s="1" t="s">
        <v>703</v>
      </c>
    </row>
    <row r="166" spans="1:36">
      <c r="A166" s="1" t="s">
        <v>642</v>
      </c>
      <c r="B166" s="1" t="s">
        <v>705</v>
      </c>
      <c r="C166" s="1" t="s">
        <v>2475</v>
      </c>
      <c r="D166">
        <v>1</v>
      </c>
      <c r="E166">
        <v>1</v>
      </c>
      <c r="F166">
        <v>3000</v>
      </c>
      <c r="G166">
        <v>2550</v>
      </c>
      <c r="H166">
        <v>2565.8180000000002</v>
      </c>
      <c r="I166">
        <v>15.818</v>
      </c>
      <c r="J166" s="1" t="s">
        <v>59</v>
      </c>
      <c r="K166" s="2">
        <v>45912.336909722224</v>
      </c>
      <c r="L166" s="2">
        <v>45912.635439814818</v>
      </c>
      <c r="M166" s="2">
        <v>45917.508113425924</v>
      </c>
      <c r="N166" s="1" t="s">
        <v>61</v>
      </c>
      <c r="O166" s="1" t="s">
        <v>623</v>
      </c>
      <c r="P166" s="1" t="s">
        <v>61</v>
      </c>
      <c r="Q166" s="1" t="s">
        <v>61</v>
      </c>
      <c r="R166" s="2">
        <v>45917.511377314811</v>
      </c>
      <c r="S166" s="1" t="s">
        <v>645</v>
      </c>
      <c r="T166" s="1" t="s">
        <v>88</v>
      </c>
      <c r="U166">
        <v>470004</v>
      </c>
      <c r="V166" s="1" t="s">
        <v>66</v>
      </c>
      <c r="W166">
        <v>2550</v>
      </c>
      <c r="X166">
        <v>12</v>
      </c>
      <c r="Y166">
        <v>0</v>
      </c>
      <c r="Z166">
        <v>0</v>
      </c>
      <c r="AA166">
        <v>12</v>
      </c>
      <c r="AB166">
        <v>273.214</v>
      </c>
      <c r="AC166">
        <v>0</v>
      </c>
      <c r="AD166">
        <v>0</v>
      </c>
      <c r="AE166">
        <v>273.214</v>
      </c>
      <c r="AF166">
        <v>1</v>
      </c>
      <c r="AG166">
        <f>MarketPlace_Order_Report[[#This Row],[UnitPrice]]*MarketPlace_Order_Report[[#This Row],[OrderQty]]</f>
        <v>2550</v>
      </c>
      <c r="AH166">
        <f>IFERROR(MarketPlace_Order_Report[[#This Row],[CGSTAmount]]+MarketPlace_Order_Report[[#This Row],[SGSTAmount]]+MarketPlace_Order_Report[[#This Row],[IGSTAmount]],MarketPlace_Order_Report[[#This Row],[TaxAmount]])</f>
        <v>273.214</v>
      </c>
      <c r="AI166">
        <f>MarketPlace_Order_Report[[#This Row],[Gross Amount (Before Tax)]]+MarketPlace_Order_Report[[#This Row],[Total GST Amount]]</f>
        <v>2823.2139999999999</v>
      </c>
      <c r="AJ166" s="1" t="s">
        <v>643</v>
      </c>
    </row>
    <row r="167" spans="1:36" hidden="1">
      <c r="A167" s="1" t="s">
        <v>706</v>
      </c>
      <c r="B167" s="1" t="s">
        <v>708</v>
      </c>
      <c r="C167" s="1" t="s">
        <v>71</v>
      </c>
      <c r="D167">
        <v>1</v>
      </c>
      <c r="E167">
        <v>1</v>
      </c>
      <c r="F167">
        <v>3000</v>
      </c>
      <c r="G167">
        <v>2550</v>
      </c>
      <c r="H167">
        <v>2599</v>
      </c>
      <c r="I167">
        <v>49</v>
      </c>
      <c r="J167" s="1" t="s">
        <v>72</v>
      </c>
      <c r="K167" s="2">
        <v>45906.71497685185</v>
      </c>
      <c r="L167" s="2">
        <v>45909.717719907407</v>
      </c>
      <c r="M167" s="2">
        <v>45914.461956018517</v>
      </c>
      <c r="N167" s="1" t="s">
        <v>61</v>
      </c>
      <c r="O167" s="1" t="s">
        <v>623</v>
      </c>
      <c r="P167" s="1" t="s">
        <v>61</v>
      </c>
      <c r="Q167" s="1" t="s">
        <v>74</v>
      </c>
      <c r="R167" s="2">
        <v>45920.865451388891</v>
      </c>
      <c r="S167" s="1" t="s">
        <v>76</v>
      </c>
      <c r="T167" s="1" t="s">
        <v>77</v>
      </c>
      <c r="U167">
        <v>201009</v>
      </c>
      <c r="V167" s="1" t="s">
        <v>66</v>
      </c>
      <c r="W167">
        <v>2550</v>
      </c>
      <c r="X167">
        <v>12</v>
      </c>
      <c r="Y167">
        <v>0</v>
      </c>
      <c r="Z167">
        <v>0</v>
      </c>
      <c r="AA167">
        <v>12</v>
      </c>
      <c r="AB167">
        <v>273.214</v>
      </c>
      <c r="AC167">
        <v>0</v>
      </c>
      <c r="AD167">
        <v>0</v>
      </c>
      <c r="AE167">
        <v>273.214</v>
      </c>
      <c r="AF167">
        <v>0.75</v>
      </c>
      <c r="AG167">
        <f>MarketPlace_Order_Report[[#This Row],[UnitPrice]]*MarketPlace_Order_Report[[#This Row],[OrderQty]]</f>
        <v>2550</v>
      </c>
      <c r="AH167">
        <f>IFERROR(MarketPlace_Order_Report[[#This Row],[CGSTAmount]]+MarketPlace_Order_Report[[#This Row],[SGSTAmount]]+MarketPlace_Order_Report[[#This Row],[IGSTAmount]],MarketPlace_Order_Report[[#This Row],[TaxAmount]])</f>
        <v>273.214</v>
      </c>
      <c r="AI167">
        <f>MarketPlace_Order_Report[[#This Row],[Gross Amount (Before Tax)]]+MarketPlace_Order_Report[[#This Row],[Total GST Amount]]</f>
        <v>2823.2139999999999</v>
      </c>
      <c r="AJ167" s="1" t="s">
        <v>707</v>
      </c>
    </row>
    <row r="168" spans="1:36" hidden="1">
      <c r="A168" s="1" t="s">
        <v>709</v>
      </c>
      <c r="B168" s="1" t="s">
        <v>712</v>
      </c>
      <c r="C168" s="1" t="s">
        <v>71</v>
      </c>
      <c r="D168">
        <v>1</v>
      </c>
      <c r="E168">
        <v>1</v>
      </c>
      <c r="F168">
        <v>3000</v>
      </c>
      <c r="G168">
        <v>2550</v>
      </c>
      <c r="H168">
        <v>2550</v>
      </c>
      <c r="I168">
        <v>0</v>
      </c>
      <c r="J168" s="1" t="s">
        <v>59</v>
      </c>
      <c r="K168" s="2">
        <v>45901.072384259256</v>
      </c>
      <c r="L168" s="2">
        <v>45901.788888888892</v>
      </c>
      <c r="M168" s="2">
        <v>45903.75</v>
      </c>
      <c r="N168" s="1" t="s">
        <v>61</v>
      </c>
      <c r="O168" s="1" t="s">
        <v>623</v>
      </c>
      <c r="P168" s="1" t="s">
        <v>61</v>
      </c>
      <c r="Q168" s="1" t="s">
        <v>74</v>
      </c>
      <c r="R168" s="2">
        <v>45912.865358796298</v>
      </c>
      <c r="S168" s="1" t="s">
        <v>108</v>
      </c>
      <c r="T168" s="1" t="s">
        <v>109</v>
      </c>
      <c r="U168">
        <v>500052</v>
      </c>
      <c r="V168" s="1" t="s">
        <v>66</v>
      </c>
      <c r="W168">
        <v>2550</v>
      </c>
      <c r="X168">
        <v>12</v>
      </c>
      <c r="Y168">
        <v>0</v>
      </c>
      <c r="Z168">
        <v>0</v>
      </c>
      <c r="AA168">
        <v>12</v>
      </c>
      <c r="AB168">
        <v>273.214</v>
      </c>
      <c r="AC168">
        <v>0</v>
      </c>
      <c r="AD168">
        <v>0</v>
      </c>
      <c r="AE168">
        <v>273.214</v>
      </c>
      <c r="AF168">
        <v>0.75</v>
      </c>
      <c r="AG168">
        <f>MarketPlace_Order_Report[[#This Row],[UnitPrice]]*MarketPlace_Order_Report[[#This Row],[OrderQty]]</f>
        <v>2550</v>
      </c>
      <c r="AH168">
        <f>IFERROR(MarketPlace_Order_Report[[#This Row],[CGSTAmount]]+MarketPlace_Order_Report[[#This Row],[SGSTAmount]]+MarketPlace_Order_Report[[#This Row],[IGSTAmount]],MarketPlace_Order_Report[[#This Row],[TaxAmount]])</f>
        <v>273.214</v>
      </c>
      <c r="AI168">
        <f>MarketPlace_Order_Report[[#This Row],[Gross Amount (Before Tax)]]+MarketPlace_Order_Report[[#This Row],[Total GST Amount]]</f>
        <v>2823.2139999999999</v>
      </c>
      <c r="AJ168" s="1" t="s">
        <v>710</v>
      </c>
    </row>
    <row r="169" spans="1:36" hidden="1">
      <c r="A169" s="1" t="s">
        <v>713</v>
      </c>
      <c r="B169" s="1" t="s">
        <v>716</v>
      </c>
      <c r="C169" s="1" t="s">
        <v>71</v>
      </c>
      <c r="D169">
        <v>1</v>
      </c>
      <c r="E169">
        <v>1</v>
      </c>
      <c r="F169">
        <v>3000</v>
      </c>
      <c r="G169">
        <v>2100</v>
      </c>
      <c r="H169">
        <v>2129.4</v>
      </c>
      <c r="I169">
        <v>29.4</v>
      </c>
      <c r="J169" s="1" t="s">
        <v>72</v>
      </c>
      <c r="K169" s="2">
        <v>45920.588888888888</v>
      </c>
      <c r="L169" s="2">
        <v>45924.625416666669</v>
      </c>
      <c r="M169" s="2">
        <v>45932.563969907409</v>
      </c>
      <c r="N169" s="1" t="s">
        <v>61</v>
      </c>
      <c r="O169" s="1" t="s">
        <v>623</v>
      </c>
      <c r="P169" s="1" t="s">
        <v>61</v>
      </c>
      <c r="Q169" s="1" t="s">
        <v>74</v>
      </c>
      <c r="R169" s="2">
        <v>45946.608541666668</v>
      </c>
      <c r="S169" s="1" t="s">
        <v>717</v>
      </c>
      <c r="T169" s="1" t="s">
        <v>88</v>
      </c>
      <c r="U169">
        <v>486001</v>
      </c>
      <c r="V169" s="1" t="s">
        <v>66</v>
      </c>
      <c r="W169">
        <v>2100</v>
      </c>
      <c r="X169">
        <v>5</v>
      </c>
      <c r="Y169">
        <v>0</v>
      </c>
      <c r="Z169">
        <v>0</v>
      </c>
      <c r="AA169">
        <v>5</v>
      </c>
      <c r="AB169">
        <v>100</v>
      </c>
      <c r="AC169">
        <v>0</v>
      </c>
      <c r="AD169">
        <v>0</v>
      </c>
      <c r="AE169">
        <v>100</v>
      </c>
      <c r="AF169">
        <v>0.75</v>
      </c>
      <c r="AG169">
        <f>MarketPlace_Order_Report[[#This Row],[UnitPrice]]*MarketPlace_Order_Report[[#This Row],[OrderQty]]</f>
        <v>2100</v>
      </c>
      <c r="AH169">
        <f>IFERROR(MarketPlace_Order_Report[[#This Row],[CGSTAmount]]+MarketPlace_Order_Report[[#This Row],[SGSTAmount]]+MarketPlace_Order_Report[[#This Row],[IGSTAmount]],MarketPlace_Order_Report[[#This Row],[TaxAmount]])</f>
        <v>100</v>
      </c>
      <c r="AI169">
        <f>MarketPlace_Order_Report[[#This Row],[Gross Amount (Before Tax)]]+MarketPlace_Order_Report[[#This Row],[Total GST Amount]]</f>
        <v>2200</v>
      </c>
      <c r="AJ169" s="1" t="s">
        <v>714</v>
      </c>
    </row>
    <row r="170" spans="1:36">
      <c r="A170" s="1" t="s">
        <v>718</v>
      </c>
      <c r="B170" s="1" t="s">
        <v>721</v>
      </c>
      <c r="C170" s="1" t="s">
        <v>2475</v>
      </c>
      <c r="D170">
        <v>1</v>
      </c>
      <c r="E170">
        <v>1</v>
      </c>
      <c r="F170">
        <v>3250</v>
      </c>
      <c r="G170">
        <v>2763</v>
      </c>
      <c r="H170">
        <v>2780.65</v>
      </c>
      <c r="I170">
        <v>17.649999999999999</v>
      </c>
      <c r="J170" s="1" t="s">
        <v>72</v>
      </c>
      <c r="K170" s="2">
        <v>45909.416956018518</v>
      </c>
      <c r="L170" s="2">
        <v>45910.632280092592</v>
      </c>
      <c r="M170" s="2">
        <v>45913.762303240743</v>
      </c>
      <c r="N170" s="1" t="s">
        <v>61</v>
      </c>
      <c r="O170" s="1" t="s">
        <v>623</v>
      </c>
      <c r="P170" s="1" t="s">
        <v>61</v>
      </c>
      <c r="Q170" s="1" t="s">
        <v>61</v>
      </c>
      <c r="R170" s="2">
        <v>45913.764745370368</v>
      </c>
      <c r="S170" s="1" t="s">
        <v>448</v>
      </c>
      <c r="T170" s="1" t="s">
        <v>449</v>
      </c>
      <c r="U170">
        <v>492014</v>
      </c>
      <c r="V170" s="1" t="s">
        <v>66</v>
      </c>
      <c r="W170">
        <v>2763</v>
      </c>
      <c r="X170">
        <v>12</v>
      </c>
      <c r="Y170">
        <v>0</v>
      </c>
      <c r="Z170">
        <v>0</v>
      </c>
      <c r="AA170">
        <v>12</v>
      </c>
      <c r="AB170">
        <v>296.036</v>
      </c>
      <c r="AC170">
        <v>0</v>
      </c>
      <c r="AD170">
        <v>0</v>
      </c>
      <c r="AE170">
        <v>296.036</v>
      </c>
      <c r="AF170">
        <v>0.75</v>
      </c>
      <c r="AG170">
        <f>MarketPlace_Order_Report[[#This Row],[UnitPrice]]*MarketPlace_Order_Report[[#This Row],[OrderQty]]</f>
        <v>2763</v>
      </c>
      <c r="AH170">
        <f>IFERROR(MarketPlace_Order_Report[[#This Row],[CGSTAmount]]+MarketPlace_Order_Report[[#This Row],[SGSTAmount]]+MarketPlace_Order_Report[[#This Row],[IGSTAmount]],MarketPlace_Order_Report[[#This Row],[TaxAmount]])</f>
        <v>296.036</v>
      </c>
      <c r="AI170">
        <f>MarketPlace_Order_Report[[#This Row],[Gross Amount (Before Tax)]]+MarketPlace_Order_Report[[#This Row],[Total GST Amount]]</f>
        <v>3059.0360000000001</v>
      </c>
      <c r="AJ170" s="1" t="s">
        <v>719</v>
      </c>
    </row>
    <row r="171" spans="1:36" hidden="1">
      <c r="A171" s="1" t="s">
        <v>722</v>
      </c>
      <c r="B171" s="1" t="s">
        <v>724</v>
      </c>
      <c r="C171" s="1" t="s">
        <v>71</v>
      </c>
      <c r="D171">
        <v>1</v>
      </c>
      <c r="E171">
        <v>1</v>
      </c>
      <c r="F171">
        <v>3250</v>
      </c>
      <c r="G171">
        <v>2275</v>
      </c>
      <c r="H171">
        <v>2304</v>
      </c>
      <c r="I171">
        <v>29</v>
      </c>
      <c r="J171" s="1" t="s">
        <v>59</v>
      </c>
      <c r="K171" s="2">
        <v>45919.561493055553</v>
      </c>
      <c r="L171" s="2">
        <v>45920.699548611112</v>
      </c>
      <c r="M171" s="2">
        <v>45922.817326388889</v>
      </c>
      <c r="N171" s="1" t="s">
        <v>61</v>
      </c>
      <c r="O171" s="1" t="s">
        <v>623</v>
      </c>
      <c r="P171" s="1" t="s">
        <v>61</v>
      </c>
      <c r="Q171" s="1" t="s">
        <v>74</v>
      </c>
      <c r="R171" s="2">
        <v>45933.639861111114</v>
      </c>
      <c r="S171" s="1" t="s">
        <v>108</v>
      </c>
      <c r="T171" s="1" t="s">
        <v>109</v>
      </c>
      <c r="U171">
        <v>500003</v>
      </c>
      <c r="V171" s="1" t="s">
        <v>66</v>
      </c>
      <c r="W171">
        <v>2275</v>
      </c>
      <c r="X171">
        <v>12</v>
      </c>
      <c r="Y171">
        <v>0</v>
      </c>
      <c r="Z171">
        <v>0</v>
      </c>
      <c r="AA171">
        <v>12</v>
      </c>
      <c r="AB171">
        <v>243.75</v>
      </c>
      <c r="AC171">
        <v>0</v>
      </c>
      <c r="AD171">
        <v>0</v>
      </c>
      <c r="AE171">
        <v>243.75</v>
      </c>
      <c r="AF171">
        <v>0.75</v>
      </c>
      <c r="AG171">
        <f>MarketPlace_Order_Report[[#This Row],[UnitPrice]]*MarketPlace_Order_Report[[#This Row],[OrderQty]]</f>
        <v>2275</v>
      </c>
      <c r="AH171">
        <f>IFERROR(MarketPlace_Order_Report[[#This Row],[CGSTAmount]]+MarketPlace_Order_Report[[#This Row],[SGSTAmount]]+MarketPlace_Order_Report[[#This Row],[IGSTAmount]],MarketPlace_Order_Report[[#This Row],[TaxAmount]])</f>
        <v>243.75</v>
      </c>
      <c r="AI171">
        <f>MarketPlace_Order_Report[[#This Row],[Gross Amount (Before Tax)]]+MarketPlace_Order_Report[[#This Row],[Total GST Amount]]</f>
        <v>2518.75</v>
      </c>
      <c r="AJ171" s="1" t="s">
        <v>723</v>
      </c>
    </row>
    <row r="172" spans="1:36" hidden="1">
      <c r="A172" s="1" t="s">
        <v>725</v>
      </c>
      <c r="B172" s="1" t="s">
        <v>728</v>
      </c>
      <c r="C172" s="1" t="s">
        <v>102</v>
      </c>
      <c r="D172">
        <v>1</v>
      </c>
      <c r="E172">
        <v>1</v>
      </c>
      <c r="F172">
        <v>3250</v>
      </c>
      <c r="G172">
        <v>2275</v>
      </c>
      <c r="H172">
        <v>2280.25</v>
      </c>
      <c r="I172">
        <v>5.25</v>
      </c>
      <c r="J172" s="1" t="s">
        <v>59</v>
      </c>
      <c r="K172" s="2">
        <v>45919.763958333337</v>
      </c>
      <c r="L172" s="2">
        <v>45920.613900462966</v>
      </c>
      <c r="M172" s="2"/>
      <c r="N172" s="1" t="s">
        <v>61</v>
      </c>
      <c r="O172" s="1" t="s">
        <v>623</v>
      </c>
      <c r="P172" s="1" t="s">
        <v>61</v>
      </c>
      <c r="Q172" s="1" t="s">
        <v>103</v>
      </c>
      <c r="R172" s="2">
        <v>45944.643182870372</v>
      </c>
      <c r="S172" s="1" t="s">
        <v>136</v>
      </c>
      <c r="T172" s="1" t="s">
        <v>77</v>
      </c>
      <c r="U172">
        <v>201301</v>
      </c>
      <c r="V172" s="1" t="s">
        <v>66</v>
      </c>
      <c r="W172">
        <v>2275</v>
      </c>
      <c r="X172">
        <v>12</v>
      </c>
      <c r="Y172">
        <v>0</v>
      </c>
      <c r="Z172">
        <v>0</v>
      </c>
      <c r="AA172">
        <v>12</v>
      </c>
      <c r="AB172">
        <v>243.75</v>
      </c>
      <c r="AC172">
        <v>0</v>
      </c>
      <c r="AD172">
        <v>0</v>
      </c>
      <c r="AE172">
        <v>243.75</v>
      </c>
      <c r="AF172">
        <v>0.75</v>
      </c>
      <c r="AG172">
        <f>MarketPlace_Order_Report[[#This Row],[UnitPrice]]*MarketPlace_Order_Report[[#This Row],[OrderQty]]</f>
        <v>2275</v>
      </c>
      <c r="AH172">
        <f>IFERROR(MarketPlace_Order_Report[[#This Row],[CGSTAmount]]+MarketPlace_Order_Report[[#This Row],[SGSTAmount]]+MarketPlace_Order_Report[[#This Row],[IGSTAmount]],MarketPlace_Order_Report[[#This Row],[TaxAmount]])</f>
        <v>243.75</v>
      </c>
      <c r="AI172">
        <f>MarketPlace_Order_Report[[#This Row],[Gross Amount (Before Tax)]]+MarketPlace_Order_Report[[#This Row],[Total GST Amount]]</f>
        <v>2518.75</v>
      </c>
      <c r="AJ172" s="1" t="s">
        <v>726</v>
      </c>
    </row>
    <row r="173" spans="1:36">
      <c r="A173" s="1" t="s">
        <v>729</v>
      </c>
      <c r="B173" s="1" t="s">
        <v>732</v>
      </c>
      <c r="C173" s="1" t="s">
        <v>2475</v>
      </c>
      <c r="D173">
        <v>1</v>
      </c>
      <c r="E173">
        <v>1</v>
      </c>
      <c r="F173">
        <v>3250</v>
      </c>
      <c r="G173">
        <v>2275</v>
      </c>
      <c r="H173">
        <v>2295</v>
      </c>
      <c r="I173">
        <v>20</v>
      </c>
      <c r="J173" s="1" t="s">
        <v>72</v>
      </c>
      <c r="K173" s="2">
        <v>45920.368206018517</v>
      </c>
      <c r="L173" s="2">
        <v>45920.699606481481</v>
      </c>
      <c r="M173" s="2">
        <v>45923.492835648147</v>
      </c>
      <c r="N173" s="1" t="s">
        <v>61</v>
      </c>
      <c r="O173" s="1" t="s">
        <v>623</v>
      </c>
      <c r="P173" s="1" t="s">
        <v>61</v>
      </c>
      <c r="Q173" s="1" t="s">
        <v>61</v>
      </c>
      <c r="R173" s="2">
        <v>45923.493969907409</v>
      </c>
      <c r="S173" s="1" t="s">
        <v>733</v>
      </c>
      <c r="T173" s="1" t="s">
        <v>109</v>
      </c>
      <c r="U173">
        <v>507001</v>
      </c>
      <c r="V173" s="1" t="s">
        <v>66</v>
      </c>
      <c r="W173">
        <v>2275</v>
      </c>
      <c r="X173">
        <v>12</v>
      </c>
      <c r="Y173">
        <v>0</v>
      </c>
      <c r="Z173">
        <v>0</v>
      </c>
      <c r="AA173">
        <v>12</v>
      </c>
      <c r="AB173">
        <v>243.75</v>
      </c>
      <c r="AC173">
        <v>0</v>
      </c>
      <c r="AD173">
        <v>0</v>
      </c>
      <c r="AE173">
        <v>243.75</v>
      </c>
      <c r="AF173">
        <v>0.75</v>
      </c>
      <c r="AG173">
        <f>MarketPlace_Order_Report[[#This Row],[UnitPrice]]*MarketPlace_Order_Report[[#This Row],[OrderQty]]</f>
        <v>2275</v>
      </c>
      <c r="AH173">
        <f>IFERROR(MarketPlace_Order_Report[[#This Row],[CGSTAmount]]+MarketPlace_Order_Report[[#This Row],[SGSTAmount]]+MarketPlace_Order_Report[[#This Row],[IGSTAmount]],MarketPlace_Order_Report[[#This Row],[TaxAmount]])</f>
        <v>243.75</v>
      </c>
      <c r="AI173">
        <f>MarketPlace_Order_Report[[#This Row],[Gross Amount (Before Tax)]]+MarketPlace_Order_Report[[#This Row],[Total GST Amount]]</f>
        <v>2518.75</v>
      </c>
      <c r="AJ173" s="1" t="s">
        <v>730</v>
      </c>
    </row>
    <row r="174" spans="1:36">
      <c r="A174" s="1" t="s">
        <v>734</v>
      </c>
      <c r="B174" s="1" t="s">
        <v>736</v>
      </c>
      <c r="C174" s="1" t="s">
        <v>2475</v>
      </c>
      <c r="D174">
        <v>1</v>
      </c>
      <c r="E174">
        <v>1</v>
      </c>
      <c r="F174">
        <v>3000</v>
      </c>
      <c r="G174">
        <v>2100</v>
      </c>
      <c r="H174">
        <v>2149</v>
      </c>
      <c r="I174">
        <v>49</v>
      </c>
      <c r="J174" s="1" t="s">
        <v>72</v>
      </c>
      <c r="K174" s="2">
        <v>45920.964525462965</v>
      </c>
      <c r="L174" s="2">
        <v>45922.741898148146</v>
      </c>
      <c r="M174" s="2">
        <v>45926.690497685187</v>
      </c>
      <c r="N174" s="1" t="s">
        <v>61</v>
      </c>
      <c r="O174" s="1" t="s">
        <v>623</v>
      </c>
      <c r="P174" s="1" t="s">
        <v>61</v>
      </c>
      <c r="Q174" s="1" t="s">
        <v>61</v>
      </c>
      <c r="R174" s="2">
        <v>45931.991886574076</v>
      </c>
      <c r="S174" s="1" t="s">
        <v>737</v>
      </c>
      <c r="T174" s="1" t="s">
        <v>99</v>
      </c>
      <c r="U174">
        <v>125050</v>
      </c>
      <c r="V174" s="1" t="s">
        <v>66</v>
      </c>
      <c r="W174">
        <v>2100</v>
      </c>
      <c r="X174">
        <v>5</v>
      </c>
      <c r="Y174">
        <v>0</v>
      </c>
      <c r="Z174">
        <v>0</v>
      </c>
      <c r="AA174">
        <v>5</v>
      </c>
      <c r="AB174">
        <v>100</v>
      </c>
      <c r="AC174">
        <v>0</v>
      </c>
      <c r="AD174">
        <v>0</v>
      </c>
      <c r="AE174">
        <v>100</v>
      </c>
      <c r="AF174">
        <v>0.75</v>
      </c>
      <c r="AG174">
        <f>MarketPlace_Order_Report[[#This Row],[UnitPrice]]*MarketPlace_Order_Report[[#This Row],[OrderQty]]</f>
        <v>2100</v>
      </c>
      <c r="AH174">
        <f>IFERROR(MarketPlace_Order_Report[[#This Row],[CGSTAmount]]+MarketPlace_Order_Report[[#This Row],[SGSTAmount]]+MarketPlace_Order_Report[[#This Row],[IGSTAmount]],MarketPlace_Order_Report[[#This Row],[TaxAmount]])</f>
        <v>100</v>
      </c>
      <c r="AI174">
        <f>MarketPlace_Order_Report[[#This Row],[Gross Amount (Before Tax)]]+MarketPlace_Order_Report[[#This Row],[Total GST Amount]]</f>
        <v>2200</v>
      </c>
      <c r="AJ174" s="1" t="s">
        <v>735</v>
      </c>
    </row>
    <row r="175" spans="1:36" hidden="1">
      <c r="A175" s="1" t="s">
        <v>678</v>
      </c>
      <c r="B175" s="1" t="s">
        <v>738</v>
      </c>
      <c r="C175" s="1" t="s">
        <v>71</v>
      </c>
      <c r="D175">
        <v>1</v>
      </c>
      <c r="E175">
        <v>1</v>
      </c>
      <c r="F175">
        <v>3000</v>
      </c>
      <c r="G175">
        <v>2100</v>
      </c>
      <c r="H175">
        <v>2115.8919999999998</v>
      </c>
      <c r="I175">
        <v>15.891999999999999</v>
      </c>
      <c r="J175" s="1" t="s">
        <v>72</v>
      </c>
      <c r="K175" s="2">
        <v>45925.38013888889</v>
      </c>
      <c r="L175" s="2">
        <v>45925.722662037035</v>
      </c>
      <c r="M175" s="2">
        <v>45934.740613425929</v>
      </c>
      <c r="N175" s="1" t="s">
        <v>61</v>
      </c>
      <c r="O175" s="1" t="s">
        <v>623</v>
      </c>
      <c r="P175" s="1" t="s">
        <v>61</v>
      </c>
      <c r="Q175" s="1" t="s">
        <v>74</v>
      </c>
      <c r="R175" s="2">
        <v>45943.865613425929</v>
      </c>
      <c r="S175" s="1" t="s">
        <v>681</v>
      </c>
      <c r="T175" s="1" t="s">
        <v>99</v>
      </c>
      <c r="U175">
        <v>125055</v>
      </c>
      <c r="V175" s="1" t="s">
        <v>66</v>
      </c>
      <c r="W175">
        <v>2100</v>
      </c>
      <c r="X175">
        <v>5</v>
      </c>
      <c r="Y175">
        <v>0</v>
      </c>
      <c r="Z175">
        <v>0</v>
      </c>
      <c r="AA175">
        <v>5</v>
      </c>
      <c r="AB175">
        <v>100</v>
      </c>
      <c r="AC175">
        <v>0</v>
      </c>
      <c r="AD175">
        <v>0</v>
      </c>
      <c r="AE175">
        <v>100</v>
      </c>
      <c r="AF175">
        <v>1.25</v>
      </c>
      <c r="AG175">
        <f>MarketPlace_Order_Report[[#This Row],[UnitPrice]]*MarketPlace_Order_Report[[#This Row],[OrderQty]]</f>
        <v>2100</v>
      </c>
      <c r="AH175">
        <f>IFERROR(MarketPlace_Order_Report[[#This Row],[CGSTAmount]]+MarketPlace_Order_Report[[#This Row],[SGSTAmount]]+MarketPlace_Order_Report[[#This Row],[IGSTAmount]],MarketPlace_Order_Report[[#This Row],[TaxAmount]])</f>
        <v>100</v>
      </c>
      <c r="AI175">
        <f>MarketPlace_Order_Report[[#This Row],[Gross Amount (Before Tax)]]+MarketPlace_Order_Report[[#This Row],[Total GST Amount]]</f>
        <v>2200</v>
      </c>
      <c r="AJ175" s="1" t="s">
        <v>679</v>
      </c>
    </row>
    <row r="176" spans="1:36">
      <c r="A176" s="1" t="s">
        <v>739</v>
      </c>
      <c r="B176" s="1" t="s">
        <v>741</v>
      </c>
      <c r="C176" s="1" t="s">
        <v>2475</v>
      </c>
      <c r="D176">
        <v>1</v>
      </c>
      <c r="E176">
        <v>1</v>
      </c>
      <c r="F176">
        <v>2800</v>
      </c>
      <c r="G176">
        <v>2380</v>
      </c>
      <c r="H176">
        <v>2391.34</v>
      </c>
      <c r="I176">
        <v>11.34</v>
      </c>
      <c r="J176" s="1" t="s">
        <v>59</v>
      </c>
      <c r="K176" s="2">
        <v>45910.67</v>
      </c>
      <c r="L176" s="2">
        <v>45911.740057870367</v>
      </c>
      <c r="M176" s="2">
        <v>45914.536898148152</v>
      </c>
      <c r="N176" s="1" t="s">
        <v>61</v>
      </c>
      <c r="O176" s="1" t="s">
        <v>623</v>
      </c>
      <c r="P176" s="1" t="s">
        <v>61</v>
      </c>
      <c r="Q176" s="1" t="s">
        <v>61</v>
      </c>
      <c r="R176" s="2">
        <v>45914.539074074077</v>
      </c>
      <c r="S176" s="1" t="s">
        <v>742</v>
      </c>
      <c r="T176" s="1" t="s">
        <v>77</v>
      </c>
      <c r="U176">
        <v>247001</v>
      </c>
      <c r="V176" s="1" t="s">
        <v>66</v>
      </c>
      <c r="W176">
        <v>2380</v>
      </c>
      <c r="X176">
        <v>12</v>
      </c>
      <c r="Y176">
        <v>0</v>
      </c>
      <c r="Z176">
        <v>0</v>
      </c>
      <c r="AA176">
        <v>12</v>
      </c>
      <c r="AB176">
        <v>255</v>
      </c>
      <c r="AC176">
        <v>0</v>
      </c>
      <c r="AD176">
        <v>0</v>
      </c>
      <c r="AE176">
        <v>255</v>
      </c>
      <c r="AF176">
        <v>0.75</v>
      </c>
      <c r="AG176">
        <f>MarketPlace_Order_Report[[#This Row],[UnitPrice]]*MarketPlace_Order_Report[[#This Row],[OrderQty]]</f>
        <v>2380</v>
      </c>
      <c r="AH176">
        <f>IFERROR(MarketPlace_Order_Report[[#This Row],[CGSTAmount]]+MarketPlace_Order_Report[[#This Row],[SGSTAmount]]+MarketPlace_Order_Report[[#This Row],[IGSTAmount]],MarketPlace_Order_Report[[#This Row],[TaxAmount]])</f>
        <v>255</v>
      </c>
      <c r="AI176">
        <f>MarketPlace_Order_Report[[#This Row],[Gross Amount (Before Tax)]]+MarketPlace_Order_Report[[#This Row],[Total GST Amount]]</f>
        <v>2635</v>
      </c>
      <c r="AJ176" s="1" t="s">
        <v>740</v>
      </c>
    </row>
    <row r="177" spans="1:36">
      <c r="A177" s="1" t="s">
        <v>743</v>
      </c>
      <c r="B177" s="1" t="s">
        <v>745</v>
      </c>
      <c r="C177" s="1" t="s">
        <v>2475</v>
      </c>
      <c r="D177">
        <v>1</v>
      </c>
      <c r="E177">
        <v>1</v>
      </c>
      <c r="F177">
        <v>2800</v>
      </c>
      <c r="G177">
        <v>2240</v>
      </c>
      <c r="H177">
        <v>2269</v>
      </c>
      <c r="I177">
        <v>29</v>
      </c>
      <c r="J177" s="1" t="s">
        <v>59</v>
      </c>
      <c r="K177" s="2">
        <v>45922.918379629627</v>
      </c>
      <c r="L177" s="2">
        <v>45923.65902777778</v>
      </c>
      <c r="M177" s="2">
        <v>45925.436805555553</v>
      </c>
      <c r="N177" s="1" t="s">
        <v>61</v>
      </c>
      <c r="O177" s="1" t="s">
        <v>623</v>
      </c>
      <c r="P177" s="1" t="s">
        <v>61</v>
      </c>
      <c r="Q177" s="1" t="s">
        <v>61</v>
      </c>
      <c r="R177" s="2">
        <v>45925.525150462963</v>
      </c>
      <c r="S177" s="1" t="s">
        <v>746</v>
      </c>
      <c r="T177" s="1" t="s">
        <v>115</v>
      </c>
      <c r="U177">
        <v>600119</v>
      </c>
      <c r="V177" s="1" t="s">
        <v>66</v>
      </c>
      <c r="W177">
        <v>2240</v>
      </c>
      <c r="X177">
        <v>5</v>
      </c>
      <c r="Y177">
        <v>0</v>
      </c>
      <c r="Z177">
        <v>0</v>
      </c>
      <c r="AA177">
        <v>5</v>
      </c>
      <c r="AB177">
        <v>106.667</v>
      </c>
      <c r="AC177">
        <v>0</v>
      </c>
      <c r="AD177">
        <v>0</v>
      </c>
      <c r="AE177">
        <v>106.667</v>
      </c>
      <c r="AF177">
        <v>0.75</v>
      </c>
      <c r="AG177">
        <f>MarketPlace_Order_Report[[#This Row],[UnitPrice]]*MarketPlace_Order_Report[[#This Row],[OrderQty]]</f>
        <v>2240</v>
      </c>
      <c r="AH177">
        <f>IFERROR(MarketPlace_Order_Report[[#This Row],[CGSTAmount]]+MarketPlace_Order_Report[[#This Row],[SGSTAmount]]+MarketPlace_Order_Report[[#This Row],[IGSTAmount]],MarketPlace_Order_Report[[#This Row],[TaxAmount]])</f>
        <v>106.667</v>
      </c>
      <c r="AI177">
        <f>MarketPlace_Order_Report[[#This Row],[Gross Amount (Before Tax)]]+MarketPlace_Order_Report[[#This Row],[Total GST Amount]]</f>
        <v>2346.6669999999999</v>
      </c>
      <c r="AJ177" s="1" t="s">
        <v>744</v>
      </c>
    </row>
    <row r="178" spans="1:36">
      <c r="A178" s="1" t="s">
        <v>747</v>
      </c>
      <c r="B178" s="1" t="s">
        <v>750</v>
      </c>
      <c r="C178" s="1" t="s">
        <v>2475</v>
      </c>
      <c r="D178">
        <v>1</v>
      </c>
      <c r="E178">
        <v>1</v>
      </c>
      <c r="F178">
        <v>2800</v>
      </c>
      <c r="G178">
        <v>2380</v>
      </c>
      <c r="H178">
        <v>2397.2600000000002</v>
      </c>
      <c r="I178">
        <v>17.260000000000002</v>
      </c>
      <c r="J178" s="1" t="s">
        <v>59</v>
      </c>
      <c r="K178" s="2">
        <v>45906.776122685187</v>
      </c>
      <c r="L178" s="2">
        <v>45909.761296296296</v>
      </c>
      <c r="M178" s="2">
        <v>45915.568842592591</v>
      </c>
      <c r="N178" s="1" t="s">
        <v>61</v>
      </c>
      <c r="O178" s="1" t="s">
        <v>623</v>
      </c>
      <c r="P178" s="1" t="s">
        <v>61</v>
      </c>
      <c r="Q178" s="1" t="s">
        <v>61</v>
      </c>
      <c r="R178" s="2">
        <v>45915.569976851853</v>
      </c>
      <c r="S178" s="1" t="s">
        <v>751</v>
      </c>
      <c r="T178" s="1" t="s">
        <v>275</v>
      </c>
      <c r="U178">
        <v>700135</v>
      </c>
      <c r="V178" s="1" t="s">
        <v>66</v>
      </c>
      <c r="W178">
        <v>2380</v>
      </c>
      <c r="X178">
        <v>12</v>
      </c>
      <c r="Y178">
        <v>0</v>
      </c>
      <c r="Z178">
        <v>0</v>
      </c>
      <c r="AA178">
        <v>12</v>
      </c>
      <c r="AB178">
        <v>255</v>
      </c>
      <c r="AC178">
        <v>0</v>
      </c>
      <c r="AD178">
        <v>0</v>
      </c>
      <c r="AE178">
        <v>255</v>
      </c>
      <c r="AF178">
        <v>0.75</v>
      </c>
      <c r="AG178">
        <f>MarketPlace_Order_Report[[#This Row],[UnitPrice]]*MarketPlace_Order_Report[[#This Row],[OrderQty]]</f>
        <v>2380</v>
      </c>
      <c r="AH178">
        <f>IFERROR(MarketPlace_Order_Report[[#This Row],[CGSTAmount]]+MarketPlace_Order_Report[[#This Row],[SGSTAmount]]+MarketPlace_Order_Report[[#This Row],[IGSTAmount]],MarketPlace_Order_Report[[#This Row],[TaxAmount]])</f>
        <v>255</v>
      </c>
      <c r="AI178">
        <f>MarketPlace_Order_Report[[#This Row],[Gross Amount (Before Tax)]]+MarketPlace_Order_Report[[#This Row],[Total GST Amount]]</f>
        <v>2635</v>
      </c>
      <c r="AJ178" s="1" t="s">
        <v>748</v>
      </c>
    </row>
    <row r="179" spans="1:36" hidden="1">
      <c r="A179" s="1" t="s">
        <v>752</v>
      </c>
      <c r="B179" s="1" t="s">
        <v>754</v>
      </c>
      <c r="C179" s="1" t="s">
        <v>102</v>
      </c>
      <c r="D179">
        <v>1</v>
      </c>
      <c r="E179">
        <v>1</v>
      </c>
      <c r="F179">
        <v>2800</v>
      </c>
      <c r="G179">
        <v>2380</v>
      </c>
      <c r="H179">
        <v>2429</v>
      </c>
      <c r="I179">
        <v>49</v>
      </c>
      <c r="J179" s="1" t="s">
        <v>72</v>
      </c>
      <c r="K179" s="2">
        <v>45903.606874999998</v>
      </c>
      <c r="L179" s="2">
        <v>45904.636157407411</v>
      </c>
      <c r="M179" s="2"/>
      <c r="N179" s="1" t="s">
        <v>61</v>
      </c>
      <c r="O179" s="1" t="s">
        <v>623</v>
      </c>
      <c r="P179" s="1" t="s">
        <v>61</v>
      </c>
      <c r="Q179" s="1" t="s">
        <v>103</v>
      </c>
      <c r="R179" s="2">
        <v>45920.615706018521</v>
      </c>
      <c r="S179" s="1" t="s">
        <v>182</v>
      </c>
      <c r="T179" s="1" t="s">
        <v>183</v>
      </c>
      <c r="U179">
        <v>110062</v>
      </c>
      <c r="V179" s="1" t="s">
        <v>66</v>
      </c>
      <c r="W179">
        <v>2380</v>
      </c>
      <c r="X179">
        <v>12</v>
      </c>
      <c r="Y179">
        <v>0</v>
      </c>
      <c r="Z179">
        <v>0</v>
      </c>
      <c r="AA179">
        <v>12</v>
      </c>
      <c r="AB179">
        <v>255</v>
      </c>
      <c r="AC179">
        <v>0</v>
      </c>
      <c r="AD179">
        <v>0</v>
      </c>
      <c r="AE179">
        <v>255</v>
      </c>
      <c r="AF179">
        <v>0.75</v>
      </c>
      <c r="AG179">
        <f>MarketPlace_Order_Report[[#This Row],[UnitPrice]]*MarketPlace_Order_Report[[#This Row],[OrderQty]]</f>
        <v>2380</v>
      </c>
      <c r="AH179">
        <f>IFERROR(MarketPlace_Order_Report[[#This Row],[CGSTAmount]]+MarketPlace_Order_Report[[#This Row],[SGSTAmount]]+MarketPlace_Order_Report[[#This Row],[IGSTAmount]],MarketPlace_Order_Report[[#This Row],[TaxAmount]])</f>
        <v>255</v>
      </c>
      <c r="AI179">
        <f>MarketPlace_Order_Report[[#This Row],[Gross Amount (Before Tax)]]+MarketPlace_Order_Report[[#This Row],[Total GST Amount]]</f>
        <v>2635</v>
      </c>
      <c r="AJ179" s="1" t="s">
        <v>753</v>
      </c>
    </row>
    <row r="180" spans="1:36" hidden="1">
      <c r="A180" s="1" t="s">
        <v>755</v>
      </c>
      <c r="B180" s="1" t="s">
        <v>758</v>
      </c>
      <c r="C180" s="1" t="s">
        <v>71</v>
      </c>
      <c r="D180">
        <v>1</v>
      </c>
      <c r="E180">
        <v>1</v>
      </c>
      <c r="F180">
        <v>2800</v>
      </c>
      <c r="G180">
        <v>2240</v>
      </c>
      <c r="H180">
        <v>2242.1999999999998</v>
      </c>
      <c r="I180">
        <v>2.2000000000000002</v>
      </c>
      <c r="J180" s="1" t="s">
        <v>59</v>
      </c>
      <c r="K180" s="2">
        <v>45923.523923611108</v>
      </c>
      <c r="L180" s="2">
        <v>45924.625416666669</v>
      </c>
      <c r="M180" s="2">
        <v>45927.868078703701</v>
      </c>
      <c r="N180" s="1" t="s">
        <v>61</v>
      </c>
      <c r="O180" s="1" t="s">
        <v>623</v>
      </c>
      <c r="P180" s="1" t="s">
        <v>61</v>
      </c>
      <c r="Q180" s="1" t="s">
        <v>74</v>
      </c>
      <c r="R180" s="2">
        <v>45941.646562499998</v>
      </c>
      <c r="S180" s="1" t="s">
        <v>317</v>
      </c>
      <c r="T180" s="1" t="s">
        <v>318</v>
      </c>
      <c r="U180">
        <v>410221</v>
      </c>
      <c r="V180" s="1" t="s">
        <v>66</v>
      </c>
      <c r="W180">
        <v>2240</v>
      </c>
      <c r="X180">
        <v>5</v>
      </c>
      <c r="Y180">
        <v>2.5</v>
      </c>
      <c r="Z180">
        <v>2.5</v>
      </c>
      <c r="AA180">
        <v>0</v>
      </c>
      <c r="AB180">
        <v>106.667</v>
      </c>
      <c r="AC180">
        <v>53.334000000000003</v>
      </c>
      <c r="AD180">
        <v>53.334000000000003</v>
      </c>
      <c r="AE180">
        <v>0</v>
      </c>
      <c r="AF180">
        <v>0.75</v>
      </c>
      <c r="AG180">
        <f>MarketPlace_Order_Report[[#This Row],[UnitPrice]]*MarketPlace_Order_Report[[#This Row],[OrderQty]]</f>
        <v>2240</v>
      </c>
      <c r="AH180">
        <f>IFERROR(MarketPlace_Order_Report[[#This Row],[CGSTAmount]]+MarketPlace_Order_Report[[#This Row],[SGSTAmount]]+MarketPlace_Order_Report[[#This Row],[IGSTAmount]],MarketPlace_Order_Report[[#This Row],[TaxAmount]])</f>
        <v>106.66800000000001</v>
      </c>
      <c r="AI180">
        <f>MarketPlace_Order_Report[[#This Row],[Gross Amount (Before Tax)]]+MarketPlace_Order_Report[[#This Row],[Total GST Amount]]</f>
        <v>2346.6680000000001</v>
      </c>
      <c r="AJ180" s="1" t="s">
        <v>756</v>
      </c>
    </row>
    <row r="181" spans="1:36" hidden="1">
      <c r="A181" s="1" t="s">
        <v>759</v>
      </c>
      <c r="B181" s="1" t="s">
        <v>761</v>
      </c>
      <c r="C181" s="1" t="s">
        <v>413</v>
      </c>
      <c r="D181">
        <v>1</v>
      </c>
      <c r="E181">
        <v>1</v>
      </c>
      <c r="F181">
        <v>2750</v>
      </c>
      <c r="G181">
        <v>2200</v>
      </c>
      <c r="H181">
        <v>2237.1999999999998</v>
      </c>
      <c r="I181">
        <v>37.200000000000003</v>
      </c>
      <c r="J181" s="1" t="s">
        <v>72</v>
      </c>
      <c r="K181" s="2">
        <v>45925.378888888888</v>
      </c>
      <c r="L181" s="2">
        <v>45926.632268518515</v>
      </c>
      <c r="M181" s="2"/>
      <c r="N181" s="1" t="s">
        <v>61</v>
      </c>
      <c r="O181" s="1" t="s">
        <v>623</v>
      </c>
      <c r="P181" s="1" t="s">
        <v>61</v>
      </c>
      <c r="Q181" s="1" t="s">
        <v>103</v>
      </c>
      <c r="R181" s="2">
        <v>45960.636180555557</v>
      </c>
      <c r="S181" s="1" t="s">
        <v>751</v>
      </c>
      <c r="T181" s="1" t="s">
        <v>275</v>
      </c>
      <c r="U181">
        <v>700047</v>
      </c>
      <c r="V181" s="1" t="s">
        <v>66</v>
      </c>
      <c r="W181">
        <v>2200</v>
      </c>
      <c r="X181">
        <v>5</v>
      </c>
      <c r="Y181">
        <v>0</v>
      </c>
      <c r="Z181">
        <v>0</v>
      </c>
      <c r="AA181">
        <v>5</v>
      </c>
      <c r="AB181">
        <v>104.762</v>
      </c>
      <c r="AC181">
        <v>0</v>
      </c>
      <c r="AD181">
        <v>0</v>
      </c>
      <c r="AE181">
        <v>104.762</v>
      </c>
      <c r="AF181">
        <v>0.75</v>
      </c>
      <c r="AG181">
        <f>MarketPlace_Order_Report[[#This Row],[UnitPrice]]*MarketPlace_Order_Report[[#This Row],[OrderQty]]</f>
        <v>2200</v>
      </c>
      <c r="AH181">
        <f>IFERROR(MarketPlace_Order_Report[[#This Row],[CGSTAmount]]+MarketPlace_Order_Report[[#This Row],[SGSTAmount]]+MarketPlace_Order_Report[[#This Row],[IGSTAmount]],MarketPlace_Order_Report[[#This Row],[TaxAmount]])</f>
        <v>104.762</v>
      </c>
      <c r="AI181">
        <f>MarketPlace_Order_Report[[#This Row],[Gross Amount (Before Tax)]]+MarketPlace_Order_Report[[#This Row],[Total GST Amount]]</f>
        <v>2304.7620000000002</v>
      </c>
      <c r="AJ181" s="1" t="s">
        <v>760</v>
      </c>
    </row>
    <row r="182" spans="1:36">
      <c r="A182" s="1" t="s">
        <v>762</v>
      </c>
      <c r="B182" s="1" t="s">
        <v>764</v>
      </c>
      <c r="C182" s="1" t="s">
        <v>2475</v>
      </c>
      <c r="D182">
        <v>1</v>
      </c>
      <c r="E182">
        <v>1</v>
      </c>
      <c r="F182">
        <v>3000</v>
      </c>
      <c r="G182">
        <v>2100</v>
      </c>
      <c r="H182">
        <v>2106.0700000000002</v>
      </c>
      <c r="I182">
        <v>6.07</v>
      </c>
      <c r="J182" s="1" t="s">
        <v>59</v>
      </c>
      <c r="K182" s="2">
        <v>45929.404467592591</v>
      </c>
      <c r="L182" s="2">
        <v>45930.648726851854</v>
      </c>
      <c r="M182" s="2">
        <v>45934.824953703705</v>
      </c>
      <c r="N182" s="1" t="s">
        <v>61</v>
      </c>
      <c r="O182" s="1" t="s">
        <v>623</v>
      </c>
      <c r="P182" s="1" t="s">
        <v>61</v>
      </c>
      <c r="Q182" s="1" t="s">
        <v>61</v>
      </c>
      <c r="R182" s="2">
        <v>45934.827453703707</v>
      </c>
      <c r="S182" s="1" t="s">
        <v>408</v>
      </c>
      <c r="T182" s="1" t="s">
        <v>318</v>
      </c>
      <c r="U182">
        <v>400071</v>
      </c>
      <c r="V182" s="1" t="s">
        <v>66</v>
      </c>
      <c r="W182">
        <v>2100</v>
      </c>
      <c r="X182">
        <v>5</v>
      </c>
      <c r="Y182">
        <v>2.5</v>
      </c>
      <c r="Z182">
        <v>2.5</v>
      </c>
      <c r="AA182">
        <v>0</v>
      </c>
      <c r="AB182">
        <v>100</v>
      </c>
      <c r="AC182">
        <v>50</v>
      </c>
      <c r="AD182">
        <v>50</v>
      </c>
      <c r="AE182">
        <v>0</v>
      </c>
      <c r="AF182">
        <v>1</v>
      </c>
      <c r="AG182">
        <f>MarketPlace_Order_Report[[#This Row],[UnitPrice]]*MarketPlace_Order_Report[[#This Row],[OrderQty]]</f>
        <v>2100</v>
      </c>
      <c r="AH182">
        <f>IFERROR(MarketPlace_Order_Report[[#This Row],[CGSTAmount]]+MarketPlace_Order_Report[[#This Row],[SGSTAmount]]+MarketPlace_Order_Report[[#This Row],[IGSTAmount]],MarketPlace_Order_Report[[#This Row],[TaxAmount]])</f>
        <v>100</v>
      </c>
      <c r="AI182">
        <f>MarketPlace_Order_Report[[#This Row],[Gross Amount (Before Tax)]]+MarketPlace_Order_Report[[#This Row],[Total GST Amount]]</f>
        <v>2200</v>
      </c>
      <c r="AJ182" s="1" t="s">
        <v>763</v>
      </c>
    </row>
    <row r="183" spans="1:36">
      <c r="A183" s="1" t="s">
        <v>765</v>
      </c>
      <c r="B183" s="1" t="s">
        <v>767</v>
      </c>
      <c r="C183" s="1" t="s">
        <v>2475</v>
      </c>
      <c r="D183">
        <v>1</v>
      </c>
      <c r="E183">
        <v>1</v>
      </c>
      <c r="F183">
        <v>3000</v>
      </c>
      <c r="G183">
        <v>2550</v>
      </c>
      <c r="H183">
        <v>2565.66</v>
      </c>
      <c r="I183">
        <v>15.66</v>
      </c>
      <c r="J183" s="1" t="s">
        <v>72</v>
      </c>
      <c r="K183" s="2">
        <v>45901.439259259256</v>
      </c>
      <c r="L183" s="2">
        <v>45901.694930555554</v>
      </c>
      <c r="M183" s="2">
        <v>45907.43072916667</v>
      </c>
      <c r="N183" s="1" t="s">
        <v>61</v>
      </c>
      <c r="O183" s="1" t="s">
        <v>623</v>
      </c>
      <c r="P183" s="1" t="s">
        <v>61</v>
      </c>
      <c r="Q183" s="1" t="s">
        <v>61</v>
      </c>
      <c r="R183" s="2">
        <v>45907.43173611111</v>
      </c>
      <c r="S183" s="1" t="s">
        <v>768</v>
      </c>
      <c r="T183" s="1" t="s">
        <v>131</v>
      </c>
      <c r="U183">
        <v>247667</v>
      </c>
      <c r="V183" s="1" t="s">
        <v>66</v>
      </c>
      <c r="W183">
        <v>2550</v>
      </c>
      <c r="X183">
        <v>12</v>
      </c>
      <c r="Y183">
        <v>0</v>
      </c>
      <c r="Z183">
        <v>0</v>
      </c>
      <c r="AA183">
        <v>12</v>
      </c>
      <c r="AB183">
        <v>273.214</v>
      </c>
      <c r="AC183">
        <v>0</v>
      </c>
      <c r="AD183">
        <v>0</v>
      </c>
      <c r="AE183">
        <v>273.214</v>
      </c>
      <c r="AF183">
        <v>0.75</v>
      </c>
      <c r="AG183">
        <f>MarketPlace_Order_Report[[#This Row],[UnitPrice]]*MarketPlace_Order_Report[[#This Row],[OrderQty]]</f>
        <v>2550</v>
      </c>
      <c r="AH183">
        <f>IFERROR(MarketPlace_Order_Report[[#This Row],[CGSTAmount]]+MarketPlace_Order_Report[[#This Row],[SGSTAmount]]+MarketPlace_Order_Report[[#This Row],[IGSTAmount]],MarketPlace_Order_Report[[#This Row],[TaxAmount]])</f>
        <v>273.214</v>
      </c>
      <c r="AI183">
        <f>MarketPlace_Order_Report[[#This Row],[Gross Amount (Before Tax)]]+MarketPlace_Order_Report[[#This Row],[Total GST Amount]]</f>
        <v>2823.2139999999999</v>
      </c>
      <c r="AJ183" s="1" t="s">
        <v>766</v>
      </c>
    </row>
    <row r="184" spans="1:36" hidden="1">
      <c r="A184" s="1" t="s">
        <v>769</v>
      </c>
      <c r="B184" s="1" t="s">
        <v>771</v>
      </c>
      <c r="C184" s="1" t="s">
        <v>187</v>
      </c>
      <c r="D184">
        <v>1</v>
      </c>
      <c r="E184">
        <v>0</v>
      </c>
      <c r="F184">
        <v>3250</v>
      </c>
      <c r="G184">
        <v>2275</v>
      </c>
      <c r="H184">
        <v>2295</v>
      </c>
      <c r="I184">
        <v>20</v>
      </c>
      <c r="J184" s="1" t="s">
        <v>72</v>
      </c>
      <c r="K184" s="2">
        <v>45924.512696759259</v>
      </c>
      <c r="L184" s="2"/>
      <c r="M184" s="2"/>
      <c r="N184" s="1" t="s">
        <v>772</v>
      </c>
      <c r="O184" s="1" t="s">
        <v>623</v>
      </c>
      <c r="P184" s="1" t="s">
        <v>61</v>
      </c>
      <c r="Q184" s="1" t="s">
        <v>61</v>
      </c>
      <c r="R184" s="2">
        <v>45924.854490740741</v>
      </c>
      <c r="S184" s="1" t="s">
        <v>681</v>
      </c>
      <c r="T184" s="1" t="s">
        <v>99</v>
      </c>
      <c r="U184">
        <v>125055</v>
      </c>
      <c r="V184" s="1" t="s">
        <v>66</v>
      </c>
      <c r="W184">
        <v>2275</v>
      </c>
      <c r="X184">
        <v>5</v>
      </c>
      <c r="Y184">
        <v>0</v>
      </c>
      <c r="Z184">
        <v>0</v>
      </c>
      <c r="AA184">
        <v>5</v>
      </c>
      <c r="AB184">
        <v>108.333</v>
      </c>
      <c r="AC184">
        <v>0</v>
      </c>
      <c r="AD184">
        <v>0</v>
      </c>
      <c r="AE184">
        <v>108.333</v>
      </c>
      <c r="AG184">
        <f>MarketPlace_Order_Report[[#This Row],[UnitPrice]]*MarketPlace_Order_Report[[#This Row],[OrderQty]]</f>
        <v>2275</v>
      </c>
      <c r="AH184">
        <f>IFERROR(MarketPlace_Order_Report[[#This Row],[CGSTAmount]]+MarketPlace_Order_Report[[#This Row],[SGSTAmount]]+MarketPlace_Order_Report[[#This Row],[IGSTAmount]],MarketPlace_Order_Report[[#This Row],[TaxAmount]])</f>
        <v>108.333</v>
      </c>
      <c r="AI184">
        <f>MarketPlace_Order_Report[[#This Row],[Gross Amount (Before Tax)]]+MarketPlace_Order_Report[[#This Row],[Total GST Amount]]</f>
        <v>2383.3330000000001</v>
      </c>
      <c r="AJ184" s="1" t="s">
        <v>770</v>
      </c>
    </row>
    <row r="185" spans="1:36">
      <c r="A185" s="1" t="s">
        <v>773</v>
      </c>
      <c r="B185" s="1" t="s">
        <v>775</v>
      </c>
      <c r="C185" s="1" t="s">
        <v>2475</v>
      </c>
      <c r="D185">
        <v>1</v>
      </c>
      <c r="E185">
        <v>1</v>
      </c>
      <c r="F185">
        <v>3250</v>
      </c>
      <c r="G185">
        <v>2275</v>
      </c>
      <c r="H185">
        <v>2275</v>
      </c>
      <c r="I185">
        <v>0</v>
      </c>
      <c r="J185" s="1" t="s">
        <v>59</v>
      </c>
      <c r="K185" s="2">
        <v>45918.966446759259</v>
      </c>
      <c r="L185" s="2">
        <v>45919.696493055555</v>
      </c>
      <c r="M185" s="2">
        <v>45922.593888888892</v>
      </c>
      <c r="N185" s="1" t="s">
        <v>61</v>
      </c>
      <c r="O185" s="1" t="s">
        <v>623</v>
      </c>
      <c r="P185" s="1" t="s">
        <v>61</v>
      </c>
      <c r="Q185" s="1" t="s">
        <v>61</v>
      </c>
      <c r="R185" s="2">
        <v>45922.629363425927</v>
      </c>
      <c r="S185" s="1" t="s">
        <v>776</v>
      </c>
      <c r="T185" s="1" t="s">
        <v>236</v>
      </c>
      <c r="U185">
        <v>517325</v>
      </c>
      <c r="V185" s="1" t="s">
        <v>66</v>
      </c>
      <c r="W185">
        <v>2275</v>
      </c>
      <c r="X185">
        <v>12</v>
      </c>
      <c r="Y185">
        <v>0</v>
      </c>
      <c r="Z185">
        <v>0</v>
      </c>
      <c r="AA185">
        <v>12</v>
      </c>
      <c r="AB185">
        <v>243.75</v>
      </c>
      <c r="AC185">
        <v>0</v>
      </c>
      <c r="AD185">
        <v>0</v>
      </c>
      <c r="AE185">
        <v>243.75</v>
      </c>
      <c r="AF185">
        <v>0.75</v>
      </c>
      <c r="AG185">
        <f>MarketPlace_Order_Report[[#This Row],[UnitPrice]]*MarketPlace_Order_Report[[#This Row],[OrderQty]]</f>
        <v>2275</v>
      </c>
      <c r="AH185">
        <f>IFERROR(MarketPlace_Order_Report[[#This Row],[CGSTAmount]]+MarketPlace_Order_Report[[#This Row],[SGSTAmount]]+MarketPlace_Order_Report[[#This Row],[IGSTAmount]],MarketPlace_Order_Report[[#This Row],[TaxAmount]])</f>
        <v>243.75</v>
      </c>
      <c r="AI185">
        <f>MarketPlace_Order_Report[[#This Row],[Gross Amount (Before Tax)]]+MarketPlace_Order_Report[[#This Row],[Total GST Amount]]</f>
        <v>2518.75</v>
      </c>
      <c r="AJ185" s="1" t="s">
        <v>774</v>
      </c>
    </row>
    <row r="186" spans="1:36" hidden="1">
      <c r="A186" s="1" t="s">
        <v>777</v>
      </c>
      <c r="B186" s="1" t="s">
        <v>780</v>
      </c>
      <c r="C186" s="1" t="s">
        <v>102</v>
      </c>
      <c r="D186">
        <v>1</v>
      </c>
      <c r="E186">
        <v>1</v>
      </c>
      <c r="F186">
        <v>3250</v>
      </c>
      <c r="G186">
        <v>2763</v>
      </c>
      <c r="H186">
        <v>2788.69</v>
      </c>
      <c r="I186">
        <v>25.69</v>
      </c>
      <c r="J186" s="1" t="s">
        <v>72</v>
      </c>
      <c r="K186" s="2">
        <v>45907.668240740742</v>
      </c>
      <c r="L186" s="2">
        <v>45909.761342592596</v>
      </c>
      <c r="M186" s="2"/>
      <c r="N186" s="1" t="s">
        <v>61</v>
      </c>
      <c r="O186" s="1" t="s">
        <v>623</v>
      </c>
      <c r="P186" s="1" t="s">
        <v>61</v>
      </c>
      <c r="Q186" s="1" t="s">
        <v>103</v>
      </c>
      <c r="R186" s="2">
        <v>45922.830706018518</v>
      </c>
      <c r="S186" s="1" t="s">
        <v>589</v>
      </c>
      <c r="T186" s="1" t="s">
        <v>77</v>
      </c>
      <c r="U186">
        <v>282002</v>
      </c>
      <c r="V186" s="1" t="s">
        <v>66</v>
      </c>
      <c r="W186">
        <v>2763</v>
      </c>
      <c r="X186">
        <v>12</v>
      </c>
      <c r="Y186">
        <v>0</v>
      </c>
      <c r="Z186">
        <v>0</v>
      </c>
      <c r="AA186">
        <v>12</v>
      </c>
      <c r="AB186">
        <v>296.036</v>
      </c>
      <c r="AC186">
        <v>0</v>
      </c>
      <c r="AD186">
        <v>0</v>
      </c>
      <c r="AE186">
        <v>296.036</v>
      </c>
      <c r="AF186">
        <v>0.75</v>
      </c>
      <c r="AG186">
        <f>MarketPlace_Order_Report[[#This Row],[UnitPrice]]*MarketPlace_Order_Report[[#This Row],[OrderQty]]</f>
        <v>2763</v>
      </c>
      <c r="AH186">
        <f>IFERROR(MarketPlace_Order_Report[[#This Row],[CGSTAmount]]+MarketPlace_Order_Report[[#This Row],[SGSTAmount]]+MarketPlace_Order_Report[[#This Row],[IGSTAmount]],MarketPlace_Order_Report[[#This Row],[TaxAmount]])</f>
        <v>296.036</v>
      </c>
      <c r="AI186">
        <f>MarketPlace_Order_Report[[#This Row],[Gross Amount (Before Tax)]]+MarketPlace_Order_Report[[#This Row],[Total GST Amount]]</f>
        <v>3059.0360000000001</v>
      </c>
      <c r="AJ186" s="1" t="s">
        <v>778</v>
      </c>
    </row>
    <row r="187" spans="1:36">
      <c r="A187" s="1" t="s">
        <v>781</v>
      </c>
      <c r="B187" s="1" t="s">
        <v>783</v>
      </c>
      <c r="C187" s="1" t="s">
        <v>2475</v>
      </c>
      <c r="D187">
        <v>1</v>
      </c>
      <c r="E187">
        <v>1</v>
      </c>
      <c r="F187">
        <v>3250</v>
      </c>
      <c r="G187">
        <v>2763</v>
      </c>
      <c r="H187">
        <v>2773.87</v>
      </c>
      <c r="I187">
        <v>10.87</v>
      </c>
      <c r="J187" s="1" t="s">
        <v>72</v>
      </c>
      <c r="K187" s="2">
        <v>45905.046087962961</v>
      </c>
      <c r="L187" s="2">
        <v>45908.729421296295</v>
      </c>
      <c r="M187" s="2">
        <v>45911.643703703703</v>
      </c>
      <c r="N187" s="1" t="s">
        <v>61</v>
      </c>
      <c r="O187" s="1" t="s">
        <v>623</v>
      </c>
      <c r="P187" s="1" t="s">
        <v>61</v>
      </c>
      <c r="Q187" s="1" t="s">
        <v>61</v>
      </c>
      <c r="R187" s="2">
        <v>45911.646666666667</v>
      </c>
      <c r="S187" s="1" t="s">
        <v>784</v>
      </c>
      <c r="T187" s="1" t="s">
        <v>318</v>
      </c>
      <c r="U187">
        <v>416510</v>
      </c>
      <c r="V187" s="1" t="s">
        <v>66</v>
      </c>
      <c r="W187">
        <v>2763</v>
      </c>
      <c r="X187">
        <v>12</v>
      </c>
      <c r="Y187">
        <v>6</v>
      </c>
      <c r="Z187">
        <v>6</v>
      </c>
      <c r="AA187">
        <v>0</v>
      </c>
      <c r="AB187">
        <v>296.036</v>
      </c>
      <c r="AC187">
        <v>148.018</v>
      </c>
      <c r="AD187">
        <v>148.018</v>
      </c>
      <c r="AE187">
        <v>0</v>
      </c>
      <c r="AF187">
        <v>0.75</v>
      </c>
      <c r="AG187">
        <f>MarketPlace_Order_Report[[#This Row],[UnitPrice]]*MarketPlace_Order_Report[[#This Row],[OrderQty]]</f>
        <v>2763</v>
      </c>
      <c r="AH187">
        <f>IFERROR(MarketPlace_Order_Report[[#This Row],[CGSTAmount]]+MarketPlace_Order_Report[[#This Row],[SGSTAmount]]+MarketPlace_Order_Report[[#This Row],[IGSTAmount]],MarketPlace_Order_Report[[#This Row],[TaxAmount]])</f>
        <v>296.036</v>
      </c>
      <c r="AI187">
        <f>MarketPlace_Order_Report[[#This Row],[Gross Amount (Before Tax)]]+MarketPlace_Order_Report[[#This Row],[Total GST Amount]]</f>
        <v>3059.0360000000001</v>
      </c>
      <c r="AJ187" s="1" t="s">
        <v>782</v>
      </c>
    </row>
    <row r="188" spans="1:36" hidden="1">
      <c r="A188" s="1" t="s">
        <v>762</v>
      </c>
      <c r="B188" s="1" t="s">
        <v>785</v>
      </c>
      <c r="C188" s="1" t="s">
        <v>71</v>
      </c>
      <c r="D188">
        <v>1</v>
      </c>
      <c r="E188">
        <v>1</v>
      </c>
      <c r="F188">
        <v>2750</v>
      </c>
      <c r="G188">
        <v>2200</v>
      </c>
      <c r="H188">
        <v>2206.36</v>
      </c>
      <c r="I188">
        <v>6.36</v>
      </c>
      <c r="J188" s="1" t="s">
        <v>59</v>
      </c>
      <c r="K188" s="2">
        <v>45929.404467592591</v>
      </c>
      <c r="L188" s="2">
        <v>45930.648726851854</v>
      </c>
      <c r="M188" s="2">
        <v>45934.824953703705</v>
      </c>
      <c r="N188" s="1" t="s">
        <v>61</v>
      </c>
      <c r="O188" s="1" t="s">
        <v>623</v>
      </c>
      <c r="P188" s="1" t="s">
        <v>61</v>
      </c>
      <c r="Q188" s="1" t="s">
        <v>74</v>
      </c>
      <c r="R188" s="2">
        <v>45940.608206018522</v>
      </c>
      <c r="S188" s="1" t="s">
        <v>408</v>
      </c>
      <c r="T188" s="1" t="s">
        <v>318</v>
      </c>
      <c r="U188">
        <v>400071</v>
      </c>
      <c r="V188" s="1" t="s">
        <v>66</v>
      </c>
      <c r="W188">
        <v>2200</v>
      </c>
      <c r="X188">
        <v>5</v>
      </c>
      <c r="Y188">
        <v>2.5</v>
      </c>
      <c r="Z188">
        <v>2.5</v>
      </c>
      <c r="AA188">
        <v>0</v>
      </c>
      <c r="AB188">
        <v>104.762</v>
      </c>
      <c r="AC188">
        <v>52.381</v>
      </c>
      <c r="AD188">
        <v>52.381</v>
      </c>
      <c r="AE188">
        <v>0</v>
      </c>
      <c r="AF188">
        <v>1</v>
      </c>
      <c r="AG188">
        <f>MarketPlace_Order_Report[[#This Row],[UnitPrice]]*MarketPlace_Order_Report[[#This Row],[OrderQty]]</f>
        <v>2200</v>
      </c>
      <c r="AH188">
        <f>IFERROR(MarketPlace_Order_Report[[#This Row],[CGSTAmount]]+MarketPlace_Order_Report[[#This Row],[SGSTAmount]]+MarketPlace_Order_Report[[#This Row],[IGSTAmount]],MarketPlace_Order_Report[[#This Row],[TaxAmount]])</f>
        <v>104.762</v>
      </c>
      <c r="AI188">
        <f>MarketPlace_Order_Report[[#This Row],[Gross Amount (Before Tax)]]+MarketPlace_Order_Report[[#This Row],[Total GST Amount]]</f>
        <v>2304.7620000000002</v>
      </c>
      <c r="AJ188" s="1" t="s">
        <v>763</v>
      </c>
    </row>
    <row r="189" spans="1:36">
      <c r="A189" s="1" t="s">
        <v>786</v>
      </c>
      <c r="B189" s="1" t="s">
        <v>788</v>
      </c>
      <c r="C189" s="1" t="s">
        <v>2475</v>
      </c>
      <c r="D189">
        <v>1</v>
      </c>
      <c r="E189">
        <v>1</v>
      </c>
      <c r="F189">
        <v>4500</v>
      </c>
      <c r="G189">
        <v>3375</v>
      </c>
      <c r="H189">
        <v>3386.549</v>
      </c>
      <c r="I189">
        <v>11.548999999999999</v>
      </c>
      <c r="J189" s="1" t="s">
        <v>59</v>
      </c>
      <c r="K189" s="2">
        <v>45912.133692129632</v>
      </c>
      <c r="L189" s="2">
        <v>45912.716863425929</v>
      </c>
      <c r="M189" s="2">
        <v>45914.705497685187</v>
      </c>
      <c r="N189" s="1" t="s">
        <v>61</v>
      </c>
      <c r="O189" s="1" t="s">
        <v>789</v>
      </c>
      <c r="P189" s="1" t="s">
        <v>61</v>
      </c>
      <c r="Q189" s="1" t="s">
        <v>61</v>
      </c>
      <c r="R189" s="2">
        <v>45914.705694444441</v>
      </c>
      <c r="S189" s="1" t="s">
        <v>746</v>
      </c>
      <c r="T189" s="1" t="s">
        <v>115</v>
      </c>
      <c r="U189">
        <v>600130</v>
      </c>
      <c r="V189" s="1" t="s">
        <v>66</v>
      </c>
      <c r="W189">
        <v>3375</v>
      </c>
      <c r="X189">
        <v>12</v>
      </c>
      <c r="Y189">
        <v>0</v>
      </c>
      <c r="Z189">
        <v>0</v>
      </c>
      <c r="AA189">
        <v>12</v>
      </c>
      <c r="AB189">
        <v>361.60700000000003</v>
      </c>
      <c r="AC189">
        <v>0</v>
      </c>
      <c r="AD189">
        <v>0</v>
      </c>
      <c r="AE189">
        <v>361.60700000000003</v>
      </c>
      <c r="AF189">
        <v>1.1000000000000001</v>
      </c>
      <c r="AG189">
        <f>MarketPlace_Order_Report[[#This Row],[UnitPrice]]*MarketPlace_Order_Report[[#This Row],[OrderQty]]</f>
        <v>3375</v>
      </c>
      <c r="AH189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AI189">
        <f>MarketPlace_Order_Report[[#This Row],[Gross Amount (Before Tax)]]+MarketPlace_Order_Report[[#This Row],[Total GST Amount]]</f>
        <v>3736.607</v>
      </c>
      <c r="AJ189" s="1" t="s">
        <v>787</v>
      </c>
    </row>
    <row r="190" spans="1:36" hidden="1">
      <c r="A190" s="1" t="s">
        <v>790</v>
      </c>
      <c r="B190" s="1" t="s">
        <v>792</v>
      </c>
      <c r="C190" s="1" t="s">
        <v>71</v>
      </c>
      <c r="D190">
        <v>1</v>
      </c>
      <c r="E190">
        <v>1</v>
      </c>
      <c r="F190">
        <v>4500</v>
      </c>
      <c r="G190">
        <v>4050</v>
      </c>
      <c r="H190">
        <v>4070</v>
      </c>
      <c r="I190">
        <v>20</v>
      </c>
      <c r="J190" s="1" t="s">
        <v>72</v>
      </c>
      <c r="K190" s="2">
        <v>45919.476087962961</v>
      </c>
      <c r="L190" s="2">
        <v>45919.598692129628</v>
      </c>
      <c r="M190" s="2">
        <v>45923.693159722221</v>
      </c>
      <c r="N190" s="1" t="s">
        <v>61</v>
      </c>
      <c r="O190" s="1" t="s">
        <v>789</v>
      </c>
      <c r="P190" s="1" t="s">
        <v>61</v>
      </c>
      <c r="Q190" s="1" t="s">
        <v>74</v>
      </c>
      <c r="R190" s="2">
        <v>45934.622407407405</v>
      </c>
      <c r="S190" s="1" t="s">
        <v>124</v>
      </c>
      <c r="T190" s="1" t="s">
        <v>99</v>
      </c>
      <c r="U190">
        <v>122001</v>
      </c>
      <c r="V190" s="1" t="s">
        <v>66</v>
      </c>
      <c r="W190">
        <v>4050</v>
      </c>
      <c r="X190">
        <v>12</v>
      </c>
      <c r="Y190">
        <v>0</v>
      </c>
      <c r="Z190">
        <v>0</v>
      </c>
      <c r="AA190">
        <v>12</v>
      </c>
      <c r="AB190">
        <v>433.92899999999997</v>
      </c>
      <c r="AC190">
        <v>0</v>
      </c>
      <c r="AD190">
        <v>0</v>
      </c>
      <c r="AE190">
        <v>433.92899999999997</v>
      </c>
      <c r="AF190">
        <v>0.85</v>
      </c>
      <c r="AG190">
        <f>MarketPlace_Order_Report[[#This Row],[UnitPrice]]*MarketPlace_Order_Report[[#This Row],[OrderQty]]</f>
        <v>4050</v>
      </c>
      <c r="AH190">
        <f>IFERROR(MarketPlace_Order_Report[[#This Row],[CGSTAmount]]+MarketPlace_Order_Report[[#This Row],[SGSTAmount]]+MarketPlace_Order_Report[[#This Row],[IGSTAmount]],MarketPlace_Order_Report[[#This Row],[TaxAmount]])</f>
        <v>433.92899999999997</v>
      </c>
      <c r="AI190">
        <f>MarketPlace_Order_Report[[#This Row],[Gross Amount (Before Tax)]]+MarketPlace_Order_Report[[#This Row],[Total GST Amount]]</f>
        <v>4483.9290000000001</v>
      </c>
      <c r="AJ190" s="1" t="s">
        <v>791</v>
      </c>
    </row>
    <row r="191" spans="1:36" hidden="1">
      <c r="A191" s="1" t="s">
        <v>146</v>
      </c>
      <c r="B191" s="1" t="s">
        <v>793</v>
      </c>
      <c r="C191" s="1" t="s">
        <v>71</v>
      </c>
      <c r="D191">
        <v>1</v>
      </c>
      <c r="E191">
        <v>1</v>
      </c>
      <c r="F191">
        <v>3500</v>
      </c>
      <c r="G191">
        <v>2625</v>
      </c>
      <c r="H191">
        <v>2637.4879999999998</v>
      </c>
      <c r="I191">
        <v>12.488</v>
      </c>
      <c r="J191" s="1" t="s">
        <v>72</v>
      </c>
      <c r="K191" s="2">
        <v>45904.266134259262</v>
      </c>
      <c r="L191" s="2">
        <v>45904.742152777777</v>
      </c>
      <c r="M191" s="2">
        <v>45911.829143518517</v>
      </c>
      <c r="N191" s="1" t="s">
        <v>61</v>
      </c>
      <c r="O191" s="1" t="s">
        <v>789</v>
      </c>
      <c r="P191" s="1" t="s">
        <v>61</v>
      </c>
      <c r="Q191" s="1" t="s">
        <v>74</v>
      </c>
      <c r="R191" s="2">
        <v>45925.636284722219</v>
      </c>
      <c r="S191" s="1" t="s">
        <v>149</v>
      </c>
      <c r="T191" s="1" t="s">
        <v>150</v>
      </c>
      <c r="U191">
        <v>605111</v>
      </c>
      <c r="V191" s="1" t="s">
        <v>66</v>
      </c>
      <c r="W191">
        <v>2625</v>
      </c>
      <c r="X191">
        <v>12</v>
      </c>
      <c r="Y191">
        <v>0</v>
      </c>
      <c r="Z191">
        <v>0</v>
      </c>
      <c r="AA191">
        <v>12</v>
      </c>
      <c r="AB191">
        <v>281.25</v>
      </c>
      <c r="AC191">
        <v>0</v>
      </c>
      <c r="AD191">
        <v>0</v>
      </c>
      <c r="AE191">
        <v>281.25</v>
      </c>
      <c r="AF191">
        <v>1.4</v>
      </c>
      <c r="AG191">
        <f>MarketPlace_Order_Report[[#This Row],[UnitPrice]]*MarketPlace_Order_Report[[#This Row],[OrderQty]]</f>
        <v>2625</v>
      </c>
      <c r="AH191">
        <f>IFERROR(MarketPlace_Order_Report[[#This Row],[CGSTAmount]]+MarketPlace_Order_Report[[#This Row],[SGSTAmount]]+MarketPlace_Order_Report[[#This Row],[IGSTAmount]],MarketPlace_Order_Report[[#This Row],[TaxAmount]])</f>
        <v>281.25</v>
      </c>
      <c r="AI191">
        <f>MarketPlace_Order_Report[[#This Row],[Gross Amount (Before Tax)]]+MarketPlace_Order_Report[[#This Row],[Total GST Amount]]</f>
        <v>2906.25</v>
      </c>
      <c r="AJ191" s="1" t="s">
        <v>147</v>
      </c>
    </row>
    <row r="192" spans="1:36">
      <c r="A192" s="1" t="s">
        <v>794</v>
      </c>
      <c r="B192" s="1" t="s">
        <v>796</v>
      </c>
      <c r="C192" s="1" t="s">
        <v>2475</v>
      </c>
      <c r="D192">
        <v>1</v>
      </c>
      <c r="E192">
        <v>1</v>
      </c>
      <c r="F192">
        <v>5500</v>
      </c>
      <c r="G192">
        <v>4950</v>
      </c>
      <c r="H192">
        <v>4950</v>
      </c>
      <c r="I192">
        <v>0</v>
      </c>
      <c r="J192" s="1" t="s">
        <v>59</v>
      </c>
      <c r="K192" s="2">
        <v>45926.348263888889</v>
      </c>
      <c r="L192" s="2">
        <v>45926.673611111109</v>
      </c>
      <c r="M192" s="2">
        <v>45929.670138888891</v>
      </c>
      <c r="N192" s="1" t="s">
        <v>61</v>
      </c>
      <c r="O192" s="1" t="s">
        <v>789</v>
      </c>
      <c r="P192" s="1" t="s">
        <v>61</v>
      </c>
      <c r="Q192" s="1" t="s">
        <v>61</v>
      </c>
      <c r="R192" s="2">
        <v>45929.68136574074</v>
      </c>
      <c r="S192" s="1" t="s">
        <v>108</v>
      </c>
      <c r="T192" s="1" t="s">
        <v>109</v>
      </c>
      <c r="U192">
        <v>500084</v>
      </c>
      <c r="V192" s="1" t="s">
        <v>66</v>
      </c>
      <c r="W192">
        <v>4950</v>
      </c>
      <c r="X192">
        <v>18</v>
      </c>
      <c r="Y192">
        <v>0</v>
      </c>
      <c r="Z192">
        <v>0</v>
      </c>
      <c r="AA192">
        <v>18</v>
      </c>
      <c r="AB192">
        <v>755.08500000000004</v>
      </c>
      <c r="AC192">
        <v>0</v>
      </c>
      <c r="AD192">
        <v>0</v>
      </c>
      <c r="AE192">
        <v>755.08500000000004</v>
      </c>
      <c r="AF192">
        <v>0.85</v>
      </c>
      <c r="AG192">
        <f>MarketPlace_Order_Report[[#This Row],[UnitPrice]]*MarketPlace_Order_Report[[#This Row],[OrderQty]]</f>
        <v>4950</v>
      </c>
      <c r="AH192">
        <f>IFERROR(MarketPlace_Order_Report[[#This Row],[CGSTAmount]]+MarketPlace_Order_Report[[#This Row],[SGSTAmount]]+MarketPlace_Order_Report[[#This Row],[IGSTAmount]],MarketPlace_Order_Report[[#This Row],[TaxAmount]])</f>
        <v>755.08500000000004</v>
      </c>
      <c r="AI192">
        <f>MarketPlace_Order_Report[[#This Row],[Gross Amount (Before Tax)]]+MarketPlace_Order_Report[[#This Row],[Total GST Amount]]</f>
        <v>5705.085</v>
      </c>
      <c r="AJ192" s="1" t="s">
        <v>795</v>
      </c>
    </row>
    <row r="193" spans="1:36">
      <c r="A193" s="1" t="s">
        <v>797</v>
      </c>
      <c r="B193" s="1" t="s">
        <v>799</v>
      </c>
      <c r="C193" s="1" t="s">
        <v>2475</v>
      </c>
      <c r="D193">
        <v>1</v>
      </c>
      <c r="E193">
        <v>1</v>
      </c>
      <c r="F193">
        <v>5500</v>
      </c>
      <c r="G193">
        <v>4125</v>
      </c>
      <c r="H193">
        <v>4125</v>
      </c>
      <c r="I193">
        <v>0</v>
      </c>
      <c r="J193" s="1" t="s">
        <v>59</v>
      </c>
      <c r="K193" s="2">
        <v>45903.823495370372</v>
      </c>
      <c r="L193" s="2">
        <v>45904.7425</v>
      </c>
      <c r="M193" s="2">
        <v>45908.374618055554</v>
      </c>
      <c r="N193" s="1" t="s">
        <v>61</v>
      </c>
      <c r="O193" s="1" t="s">
        <v>789</v>
      </c>
      <c r="P193" s="1" t="s">
        <v>61</v>
      </c>
      <c r="Q193" s="1" t="s">
        <v>61</v>
      </c>
      <c r="R193" s="2">
        <v>45908.375891203701</v>
      </c>
      <c r="S193" s="1" t="s">
        <v>800</v>
      </c>
      <c r="T193" s="1" t="s">
        <v>236</v>
      </c>
      <c r="U193">
        <v>531162</v>
      </c>
      <c r="V193" s="1" t="s">
        <v>66</v>
      </c>
      <c r="W193">
        <v>4125</v>
      </c>
      <c r="X193">
        <v>12</v>
      </c>
      <c r="Y193">
        <v>0</v>
      </c>
      <c r="Z193">
        <v>0</v>
      </c>
      <c r="AA193">
        <v>12</v>
      </c>
      <c r="AB193">
        <v>441.964</v>
      </c>
      <c r="AC193">
        <v>0</v>
      </c>
      <c r="AD193">
        <v>0</v>
      </c>
      <c r="AE193">
        <v>441.964</v>
      </c>
      <c r="AF193">
        <v>0.85</v>
      </c>
      <c r="AG193">
        <f>MarketPlace_Order_Report[[#This Row],[UnitPrice]]*MarketPlace_Order_Report[[#This Row],[OrderQty]]</f>
        <v>4125</v>
      </c>
      <c r="AH193">
        <f>IFERROR(MarketPlace_Order_Report[[#This Row],[CGSTAmount]]+MarketPlace_Order_Report[[#This Row],[SGSTAmount]]+MarketPlace_Order_Report[[#This Row],[IGSTAmount]],MarketPlace_Order_Report[[#This Row],[TaxAmount]])</f>
        <v>441.964</v>
      </c>
      <c r="AI193">
        <f>MarketPlace_Order_Report[[#This Row],[Gross Amount (Before Tax)]]+MarketPlace_Order_Report[[#This Row],[Total GST Amount]]</f>
        <v>4566.9639999999999</v>
      </c>
      <c r="AJ193" s="1" t="s">
        <v>798</v>
      </c>
    </row>
    <row r="194" spans="1:36" hidden="1">
      <c r="A194" s="1" t="s">
        <v>146</v>
      </c>
      <c r="B194" s="1" t="s">
        <v>801</v>
      </c>
      <c r="C194" s="1" t="s">
        <v>71</v>
      </c>
      <c r="D194">
        <v>1</v>
      </c>
      <c r="E194">
        <v>1</v>
      </c>
      <c r="F194">
        <v>5500</v>
      </c>
      <c r="G194">
        <v>4675</v>
      </c>
      <c r="H194">
        <v>4697.24</v>
      </c>
      <c r="I194">
        <v>22.24</v>
      </c>
      <c r="J194" s="1" t="s">
        <v>72</v>
      </c>
      <c r="K194" s="2">
        <v>45904.266134259262</v>
      </c>
      <c r="L194" s="2">
        <v>45904.742152777777</v>
      </c>
      <c r="M194" s="2">
        <v>45911.829143518517</v>
      </c>
      <c r="N194" s="1" t="s">
        <v>61</v>
      </c>
      <c r="O194" s="1" t="s">
        <v>789</v>
      </c>
      <c r="P194" s="1" t="s">
        <v>61</v>
      </c>
      <c r="Q194" s="1" t="s">
        <v>74</v>
      </c>
      <c r="R194" s="2">
        <v>45925.636284722219</v>
      </c>
      <c r="S194" s="1" t="s">
        <v>149</v>
      </c>
      <c r="T194" s="1" t="s">
        <v>150</v>
      </c>
      <c r="U194">
        <v>605111</v>
      </c>
      <c r="V194" s="1" t="s">
        <v>66</v>
      </c>
      <c r="W194">
        <v>4675</v>
      </c>
      <c r="X194">
        <v>12</v>
      </c>
      <c r="Y194">
        <v>0</v>
      </c>
      <c r="Z194">
        <v>0</v>
      </c>
      <c r="AA194">
        <v>12</v>
      </c>
      <c r="AB194">
        <v>500.89299999999997</v>
      </c>
      <c r="AC194">
        <v>0</v>
      </c>
      <c r="AD194">
        <v>0</v>
      </c>
      <c r="AE194">
        <v>500.89299999999997</v>
      </c>
      <c r="AF194">
        <v>1.4</v>
      </c>
      <c r="AG194">
        <f>MarketPlace_Order_Report[[#This Row],[UnitPrice]]*MarketPlace_Order_Report[[#This Row],[OrderQty]]</f>
        <v>4675</v>
      </c>
      <c r="AH194">
        <f>IFERROR(MarketPlace_Order_Report[[#This Row],[CGSTAmount]]+MarketPlace_Order_Report[[#This Row],[SGSTAmount]]+MarketPlace_Order_Report[[#This Row],[IGSTAmount]],MarketPlace_Order_Report[[#This Row],[TaxAmount]])</f>
        <v>500.89299999999997</v>
      </c>
      <c r="AI194">
        <f>MarketPlace_Order_Report[[#This Row],[Gross Amount (Before Tax)]]+MarketPlace_Order_Report[[#This Row],[Total GST Amount]]</f>
        <v>5175.893</v>
      </c>
      <c r="AJ194" s="1" t="s">
        <v>147</v>
      </c>
    </row>
    <row r="195" spans="1:36">
      <c r="A195" s="1" t="s">
        <v>802</v>
      </c>
      <c r="B195" s="1" t="s">
        <v>804</v>
      </c>
      <c r="C195" s="1" t="s">
        <v>2475</v>
      </c>
      <c r="D195">
        <v>1</v>
      </c>
      <c r="E195">
        <v>1</v>
      </c>
      <c r="F195">
        <v>5500</v>
      </c>
      <c r="G195">
        <v>4950</v>
      </c>
      <c r="H195">
        <v>4979.03</v>
      </c>
      <c r="I195">
        <v>29.03</v>
      </c>
      <c r="J195" s="1" t="s">
        <v>72</v>
      </c>
      <c r="K195" s="2">
        <v>45929.60833333333</v>
      </c>
      <c r="L195" s="2">
        <v>45930.708773148152</v>
      </c>
      <c r="M195" s="2">
        <v>45934.619143518517</v>
      </c>
      <c r="N195" s="1" t="s">
        <v>61</v>
      </c>
      <c r="O195" s="1" t="s">
        <v>789</v>
      </c>
      <c r="P195" s="1" t="s">
        <v>61</v>
      </c>
      <c r="Q195" s="1" t="s">
        <v>61</v>
      </c>
      <c r="R195" s="2">
        <v>45934.622361111113</v>
      </c>
      <c r="S195" s="1" t="s">
        <v>589</v>
      </c>
      <c r="T195" s="1" t="s">
        <v>77</v>
      </c>
      <c r="U195">
        <v>282007</v>
      </c>
      <c r="V195" s="1" t="s">
        <v>66</v>
      </c>
      <c r="W195">
        <v>4950</v>
      </c>
      <c r="X195">
        <v>18</v>
      </c>
      <c r="Y195">
        <v>0</v>
      </c>
      <c r="Z195">
        <v>0</v>
      </c>
      <c r="AA195">
        <v>18</v>
      </c>
      <c r="AB195">
        <v>755.08500000000004</v>
      </c>
      <c r="AC195">
        <v>0</v>
      </c>
      <c r="AD195">
        <v>0</v>
      </c>
      <c r="AE195">
        <v>755.08500000000004</v>
      </c>
      <c r="AF195">
        <v>0.85</v>
      </c>
      <c r="AG195">
        <f>MarketPlace_Order_Report[[#This Row],[UnitPrice]]*MarketPlace_Order_Report[[#This Row],[OrderQty]]</f>
        <v>4950</v>
      </c>
      <c r="AH195">
        <f>IFERROR(MarketPlace_Order_Report[[#This Row],[CGSTAmount]]+MarketPlace_Order_Report[[#This Row],[SGSTAmount]]+MarketPlace_Order_Report[[#This Row],[IGSTAmount]],MarketPlace_Order_Report[[#This Row],[TaxAmount]])</f>
        <v>755.08500000000004</v>
      </c>
      <c r="AI195">
        <f>MarketPlace_Order_Report[[#This Row],[Gross Amount (Before Tax)]]+MarketPlace_Order_Report[[#This Row],[Total GST Amount]]</f>
        <v>5705.085</v>
      </c>
      <c r="AJ195" s="1" t="s">
        <v>803</v>
      </c>
    </row>
    <row r="196" spans="1:36" hidden="1">
      <c r="A196" s="1" t="s">
        <v>805</v>
      </c>
      <c r="B196" s="1" t="s">
        <v>807</v>
      </c>
      <c r="C196" s="1" t="s">
        <v>187</v>
      </c>
      <c r="D196">
        <v>1</v>
      </c>
      <c r="E196">
        <v>0</v>
      </c>
      <c r="F196">
        <v>6000</v>
      </c>
      <c r="G196">
        <v>4500</v>
      </c>
      <c r="H196">
        <v>4549</v>
      </c>
      <c r="I196">
        <v>49</v>
      </c>
      <c r="J196" s="1" t="s">
        <v>72</v>
      </c>
      <c r="K196" s="2">
        <v>45917.069791666669</v>
      </c>
      <c r="L196" s="2"/>
      <c r="M196" s="2"/>
      <c r="N196" s="1" t="s">
        <v>323</v>
      </c>
      <c r="O196" s="1" t="s">
        <v>789</v>
      </c>
      <c r="P196" s="1" t="s">
        <v>61</v>
      </c>
      <c r="Q196" s="1" t="s">
        <v>61</v>
      </c>
      <c r="R196" s="2">
        <v>45917.707986111112</v>
      </c>
      <c r="S196" s="1" t="s">
        <v>197</v>
      </c>
      <c r="T196" s="1" t="s">
        <v>65</v>
      </c>
      <c r="U196">
        <v>560032</v>
      </c>
      <c r="V196" s="1" t="s">
        <v>66</v>
      </c>
      <c r="W196">
        <v>4500</v>
      </c>
      <c r="X196">
        <v>12</v>
      </c>
      <c r="Y196">
        <v>0</v>
      </c>
      <c r="Z196">
        <v>0</v>
      </c>
      <c r="AA196">
        <v>12</v>
      </c>
      <c r="AB196">
        <v>482.14299999999997</v>
      </c>
      <c r="AC196">
        <v>0</v>
      </c>
      <c r="AD196">
        <v>0</v>
      </c>
      <c r="AE196">
        <v>482.14299999999997</v>
      </c>
      <c r="AG196">
        <f>MarketPlace_Order_Report[[#This Row],[UnitPrice]]*MarketPlace_Order_Report[[#This Row],[OrderQty]]</f>
        <v>4500</v>
      </c>
      <c r="AH196">
        <f>IFERROR(MarketPlace_Order_Report[[#This Row],[CGSTAmount]]+MarketPlace_Order_Report[[#This Row],[SGSTAmount]]+MarketPlace_Order_Report[[#This Row],[IGSTAmount]],MarketPlace_Order_Report[[#This Row],[TaxAmount]])</f>
        <v>482.14299999999997</v>
      </c>
      <c r="AI196">
        <f>MarketPlace_Order_Report[[#This Row],[Gross Amount (Before Tax)]]+MarketPlace_Order_Report[[#This Row],[Total GST Amount]]</f>
        <v>4982.143</v>
      </c>
      <c r="AJ196" s="1" t="s">
        <v>806</v>
      </c>
    </row>
    <row r="197" spans="1:36" hidden="1">
      <c r="A197" s="1" t="s">
        <v>808</v>
      </c>
      <c r="B197" s="1" t="s">
        <v>810</v>
      </c>
      <c r="C197" s="1" t="s">
        <v>102</v>
      </c>
      <c r="D197">
        <v>1</v>
      </c>
      <c r="E197">
        <v>1</v>
      </c>
      <c r="F197">
        <v>5000</v>
      </c>
      <c r="G197">
        <v>3750</v>
      </c>
      <c r="H197">
        <v>3799</v>
      </c>
      <c r="I197">
        <v>49</v>
      </c>
      <c r="J197" s="1" t="s">
        <v>72</v>
      </c>
      <c r="K197" s="2">
        <v>45910.00209490741</v>
      </c>
      <c r="L197" s="2">
        <v>45910.632280092592</v>
      </c>
      <c r="M197" s="2"/>
      <c r="N197" s="1" t="s">
        <v>61</v>
      </c>
      <c r="O197" s="1" t="s">
        <v>789</v>
      </c>
      <c r="P197" s="1" t="s">
        <v>61</v>
      </c>
      <c r="Q197" s="1" t="s">
        <v>103</v>
      </c>
      <c r="R197" s="2">
        <v>45926.945300925923</v>
      </c>
      <c r="S197" s="1" t="s">
        <v>182</v>
      </c>
      <c r="T197" s="1" t="s">
        <v>183</v>
      </c>
      <c r="U197">
        <v>110063</v>
      </c>
      <c r="V197" s="1" t="s">
        <v>66</v>
      </c>
      <c r="W197">
        <v>3750</v>
      </c>
      <c r="X197">
        <v>12</v>
      </c>
      <c r="Y197">
        <v>0</v>
      </c>
      <c r="Z197">
        <v>0</v>
      </c>
      <c r="AA197">
        <v>12</v>
      </c>
      <c r="AB197">
        <v>401.786</v>
      </c>
      <c r="AC197">
        <v>0</v>
      </c>
      <c r="AD197">
        <v>0</v>
      </c>
      <c r="AE197">
        <v>401.786</v>
      </c>
      <c r="AF197">
        <v>0.7</v>
      </c>
      <c r="AG197">
        <f>MarketPlace_Order_Report[[#This Row],[UnitPrice]]*MarketPlace_Order_Report[[#This Row],[OrderQty]]</f>
        <v>3750</v>
      </c>
      <c r="AH197">
        <f>IFERROR(MarketPlace_Order_Report[[#This Row],[CGSTAmount]]+MarketPlace_Order_Report[[#This Row],[SGSTAmount]]+MarketPlace_Order_Report[[#This Row],[IGSTAmount]],MarketPlace_Order_Report[[#This Row],[TaxAmount]])</f>
        <v>401.786</v>
      </c>
      <c r="AI197">
        <f>MarketPlace_Order_Report[[#This Row],[Gross Amount (Before Tax)]]+MarketPlace_Order_Report[[#This Row],[Total GST Amount]]</f>
        <v>4151.7860000000001</v>
      </c>
      <c r="AJ197" s="1" t="s">
        <v>809</v>
      </c>
    </row>
    <row r="198" spans="1:36" hidden="1">
      <c r="A198" s="1" t="s">
        <v>811</v>
      </c>
      <c r="B198" s="1" t="s">
        <v>810</v>
      </c>
      <c r="C198" s="1" t="s">
        <v>71</v>
      </c>
      <c r="D198">
        <v>1</v>
      </c>
      <c r="E198">
        <v>1</v>
      </c>
      <c r="F198">
        <v>5000</v>
      </c>
      <c r="G198">
        <v>3750</v>
      </c>
      <c r="H198">
        <v>3762.18</v>
      </c>
      <c r="I198">
        <v>12.18</v>
      </c>
      <c r="J198" s="1" t="s">
        <v>59</v>
      </c>
      <c r="K198" s="2">
        <v>45903.836168981485</v>
      </c>
      <c r="L198" s="2">
        <v>45904.742418981485</v>
      </c>
      <c r="M198" s="2">
        <v>45907.63722222222</v>
      </c>
      <c r="N198" s="1" t="s">
        <v>61</v>
      </c>
      <c r="O198" s="1" t="s">
        <v>789</v>
      </c>
      <c r="P198" s="1" t="s">
        <v>61</v>
      </c>
      <c r="Q198" s="1" t="s">
        <v>74</v>
      </c>
      <c r="R198" s="2">
        <v>45915.928101851852</v>
      </c>
      <c r="S198" s="1" t="s">
        <v>813</v>
      </c>
      <c r="T198" s="1" t="s">
        <v>503</v>
      </c>
      <c r="U198">
        <v>140603</v>
      </c>
      <c r="V198" s="1" t="s">
        <v>66</v>
      </c>
      <c r="W198">
        <v>3750</v>
      </c>
      <c r="X198">
        <v>12</v>
      </c>
      <c r="Y198">
        <v>0</v>
      </c>
      <c r="Z198">
        <v>0</v>
      </c>
      <c r="AA198">
        <v>12</v>
      </c>
      <c r="AB198">
        <v>401.786</v>
      </c>
      <c r="AC198">
        <v>0</v>
      </c>
      <c r="AD198">
        <v>0</v>
      </c>
      <c r="AE198">
        <v>401.786</v>
      </c>
      <c r="AF198">
        <v>0.7</v>
      </c>
      <c r="AG198">
        <f>MarketPlace_Order_Report[[#This Row],[UnitPrice]]*MarketPlace_Order_Report[[#This Row],[OrderQty]]</f>
        <v>3750</v>
      </c>
      <c r="AH198">
        <f>IFERROR(MarketPlace_Order_Report[[#This Row],[CGSTAmount]]+MarketPlace_Order_Report[[#This Row],[SGSTAmount]]+MarketPlace_Order_Report[[#This Row],[IGSTAmount]],MarketPlace_Order_Report[[#This Row],[TaxAmount]])</f>
        <v>401.786</v>
      </c>
      <c r="AI198">
        <f>MarketPlace_Order_Report[[#This Row],[Gross Amount (Before Tax)]]+MarketPlace_Order_Report[[#This Row],[Total GST Amount]]</f>
        <v>4151.7860000000001</v>
      </c>
      <c r="AJ198" s="1" t="s">
        <v>812</v>
      </c>
    </row>
    <row r="199" spans="1:36">
      <c r="A199" s="1" t="s">
        <v>814</v>
      </c>
      <c r="B199" s="1" t="s">
        <v>817</v>
      </c>
      <c r="C199" s="1" t="s">
        <v>2475</v>
      </c>
      <c r="D199">
        <v>1</v>
      </c>
      <c r="E199">
        <v>1</v>
      </c>
      <c r="F199">
        <v>5000</v>
      </c>
      <c r="G199">
        <v>4500</v>
      </c>
      <c r="H199">
        <v>4516.88</v>
      </c>
      <c r="I199">
        <v>16.88</v>
      </c>
      <c r="J199" s="1" t="s">
        <v>59</v>
      </c>
      <c r="K199" s="2">
        <v>45923.009918981479</v>
      </c>
      <c r="L199" s="2">
        <v>45924.625416666669</v>
      </c>
      <c r="M199" s="2">
        <v>45929.722754629627</v>
      </c>
      <c r="N199" s="1" t="s">
        <v>61</v>
      </c>
      <c r="O199" s="1" t="s">
        <v>789</v>
      </c>
      <c r="P199" s="1" t="s">
        <v>61</v>
      </c>
      <c r="Q199" s="1" t="s">
        <v>61</v>
      </c>
      <c r="R199" s="2">
        <v>45929.723032407404</v>
      </c>
      <c r="S199" s="1" t="s">
        <v>76</v>
      </c>
      <c r="T199" s="1" t="s">
        <v>77</v>
      </c>
      <c r="U199">
        <v>201010</v>
      </c>
      <c r="V199" s="1" t="s">
        <v>66</v>
      </c>
      <c r="W199">
        <v>4500</v>
      </c>
      <c r="X199">
        <v>18</v>
      </c>
      <c r="Y199">
        <v>0</v>
      </c>
      <c r="Z199">
        <v>0</v>
      </c>
      <c r="AA199">
        <v>18</v>
      </c>
      <c r="AB199">
        <v>686.44100000000003</v>
      </c>
      <c r="AC199">
        <v>0</v>
      </c>
      <c r="AD199">
        <v>0</v>
      </c>
      <c r="AE199">
        <v>686.44100000000003</v>
      </c>
      <c r="AF199">
        <v>0.7</v>
      </c>
      <c r="AG199">
        <f>MarketPlace_Order_Report[[#This Row],[UnitPrice]]*MarketPlace_Order_Report[[#This Row],[OrderQty]]</f>
        <v>4500</v>
      </c>
      <c r="AH199">
        <f>IFERROR(MarketPlace_Order_Report[[#This Row],[CGSTAmount]]+MarketPlace_Order_Report[[#This Row],[SGSTAmount]]+MarketPlace_Order_Report[[#This Row],[IGSTAmount]],MarketPlace_Order_Report[[#This Row],[TaxAmount]])</f>
        <v>686.44100000000003</v>
      </c>
      <c r="AI199">
        <f>MarketPlace_Order_Report[[#This Row],[Gross Amount (Before Tax)]]+MarketPlace_Order_Report[[#This Row],[Total GST Amount]]</f>
        <v>5186.4409999999998</v>
      </c>
      <c r="AJ199" s="1" t="s">
        <v>815</v>
      </c>
    </row>
    <row r="200" spans="1:36" hidden="1">
      <c r="A200" s="1" t="s">
        <v>818</v>
      </c>
      <c r="B200" s="1" t="s">
        <v>817</v>
      </c>
      <c r="C200" s="1" t="s">
        <v>71</v>
      </c>
      <c r="D200">
        <v>1</v>
      </c>
      <c r="E200">
        <v>1</v>
      </c>
      <c r="F200">
        <v>5000</v>
      </c>
      <c r="G200">
        <v>4500</v>
      </c>
      <c r="H200">
        <v>4549</v>
      </c>
      <c r="I200">
        <v>49</v>
      </c>
      <c r="J200" s="1" t="s">
        <v>72</v>
      </c>
      <c r="K200" s="2">
        <v>45922.324224537035</v>
      </c>
      <c r="L200" s="2">
        <v>45922.741793981484</v>
      </c>
      <c r="M200" s="2">
        <v>45924.725949074076</v>
      </c>
      <c r="N200" s="1" t="s">
        <v>61</v>
      </c>
      <c r="O200" s="1" t="s">
        <v>789</v>
      </c>
      <c r="P200" s="1" t="s">
        <v>61</v>
      </c>
      <c r="Q200" s="1" t="s">
        <v>74</v>
      </c>
      <c r="R200" s="2">
        <v>45936.872175925928</v>
      </c>
      <c r="S200" s="1" t="s">
        <v>456</v>
      </c>
      <c r="T200" s="1" t="s">
        <v>83</v>
      </c>
      <c r="U200">
        <v>801503</v>
      </c>
      <c r="V200" s="1" t="s">
        <v>66</v>
      </c>
      <c r="W200">
        <v>4500</v>
      </c>
      <c r="X200">
        <v>18</v>
      </c>
      <c r="Y200">
        <v>0</v>
      </c>
      <c r="Z200">
        <v>0</v>
      </c>
      <c r="AA200">
        <v>18</v>
      </c>
      <c r="AB200">
        <v>686.44100000000003</v>
      </c>
      <c r="AC200">
        <v>0</v>
      </c>
      <c r="AD200">
        <v>0</v>
      </c>
      <c r="AE200">
        <v>686.44100000000003</v>
      </c>
      <c r="AF200">
        <v>0.7</v>
      </c>
      <c r="AG200">
        <f>MarketPlace_Order_Report[[#This Row],[UnitPrice]]*MarketPlace_Order_Report[[#This Row],[OrderQty]]</f>
        <v>4500</v>
      </c>
      <c r="AH200">
        <f>IFERROR(MarketPlace_Order_Report[[#This Row],[CGSTAmount]]+MarketPlace_Order_Report[[#This Row],[SGSTAmount]]+MarketPlace_Order_Report[[#This Row],[IGSTAmount]],MarketPlace_Order_Report[[#This Row],[TaxAmount]])</f>
        <v>686.44100000000003</v>
      </c>
      <c r="AI200">
        <f>MarketPlace_Order_Report[[#This Row],[Gross Amount (Before Tax)]]+MarketPlace_Order_Report[[#This Row],[Total GST Amount]]</f>
        <v>5186.4409999999998</v>
      </c>
      <c r="AJ200" s="1" t="s">
        <v>819</v>
      </c>
    </row>
    <row r="201" spans="1:36">
      <c r="A201" s="1" t="s">
        <v>820</v>
      </c>
      <c r="B201" s="1" t="s">
        <v>822</v>
      </c>
      <c r="C201" s="1" t="s">
        <v>2475</v>
      </c>
      <c r="D201">
        <v>1</v>
      </c>
      <c r="E201">
        <v>1</v>
      </c>
      <c r="F201">
        <v>6000</v>
      </c>
      <c r="G201">
        <v>5400</v>
      </c>
      <c r="H201">
        <v>5416.39</v>
      </c>
      <c r="I201">
        <v>16.39</v>
      </c>
      <c r="J201" s="1" t="s">
        <v>72</v>
      </c>
      <c r="K201" s="2">
        <v>45921.95175925926</v>
      </c>
      <c r="L201" s="2">
        <v>45922.741851851853</v>
      </c>
      <c r="M201" s="2">
        <v>45927.669386574074</v>
      </c>
      <c r="N201" s="1" t="s">
        <v>61</v>
      </c>
      <c r="O201" s="1" t="s">
        <v>789</v>
      </c>
      <c r="P201" s="1" t="s">
        <v>61</v>
      </c>
      <c r="Q201" s="1" t="s">
        <v>61</v>
      </c>
      <c r="R201" s="2">
        <v>45927.671157407407</v>
      </c>
      <c r="S201" s="1" t="s">
        <v>823</v>
      </c>
      <c r="T201" s="1" t="s">
        <v>83</v>
      </c>
      <c r="U201">
        <v>852219</v>
      </c>
      <c r="V201" s="1" t="s">
        <v>66</v>
      </c>
      <c r="W201">
        <v>5400</v>
      </c>
      <c r="X201">
        <v>18</v>
      </c>
      <c r="Y201">
        <v>0</v>
      </c>
      <c r="Z201">
        <v>0</v>
      </c>
      <c r="AA201">
        <v>18</v>
      </c>
      <c r="AB201">
        <v>823.72900000000004</v>
      </c>
      <c r="AC201">
        <v>0</v>
      </c>
      <c r="AD201">
        <v>0</v>
      </c>
      <c r="AE201">
        <v>823.72900000000004</v>
      </c>
      <c r="AF201">
        <v>0.75</v>
      </c>
      <c r="AG201">
        <f>MarketPlace_Order_Report[[#This Row],[UnitPrice]]*MarketPlace_Order_Report[[#This Row],[OrderQty]]</f>
        <v>5400</v>
      </c>
      <c r="AH201">
        <f>IFERROR(MarketPlace_Order_Report[[#This Row],[CGSTAmount]]+MarketPlace_Order_Report[[#This Row],[SGSTAmount]]+MarketPlace_Order_Report[[#This Row],[IGSTAmount]],MarketPlace_Order_Report[[#This Row],[TaxAmount]])</f>
        <v>823.72900000000004</v>
      </c>
      <c r="AI201">
        <f>MarketPlace_Order_Report[[#This Row],[Gross Amount (Before Tax)]]+MarketPlace_Order_Report[[#This Row],[Total GST Amount]]</f>
        <v>6223.7290000000003</v>
      </c>
      <c r="AJ201" s="1" t="s">
        <v>821</v>
      </c>
    </row>
    <row r="202" spans="1:36">
      <c r="A202" s="1" t="s">
        <v>786</v>
      </c>
      <c r="B202" s="1" t="s">
        <v>824</v>
      </c>
      <c r="C202" s="1" t="s">
        <v>2475</v>
      </c>
      <c r="D202">
        <v>1</v>
      </c>
      <c r="E202">
        <v>1</v>
      </c>
      <c r="F202">
        <v>6000</v>
      </c>
      <c r="G202">
        <v>5100</v>
      </c>
      <c r="H202">
        <v>5117.451</v>
      </c>
      <c r="I202">
        <v>17.451000000000001</v>
      </c>
      <c r="J202" s="1" t="s">
        <v>59</v>
      </c>
      <c r="K202" s="2">
        <v>45912.133692129632</v>
      </c>
      <c r="L202" s="2">
        <v>45912.716863425929</v>
      </c>
      <c r="M202" s="2">
        <v>45914.705497685187</v>
      </c>
      <c r="N202" s="1" t="s">
        <v>61</v>
      </c>
      <c r="O202" s="1" t="s">
        <v>789</v>
      </c>
      <c r="P202" s="1" t="s">
        <v>61</v>
      </c>
      <c r="Q202" s="1" t="s">
        <v>61</v>
      </c>
      <c r="R202" s="2">
        <v>45914.705694444441</v>
      </c>
      <c r="S202" s="1" t="s">
        <v>746</v>
      </c>
      <c r="T202" s="1" t="s">
        <v>115</v>
      </c>
      <c r="U202">
        <v>600130</v>
      </c>
      <c r="V202" s="1" t="s">
        <v>66</v>
      </c>
      <c r="W202">
        <v>5100</v>
      </c>
      <c r="X202">
        <v>12</v>
      </c>
      <c r="Y202">
        <v>0</v>
      </c>
      <c r="Z202">
        <v>0</v>
      </c>
      <c r="AA202">
        <v>12</v>
      </c>
      <c r="AB202">
        <v>546.42899999999997</v>
      </c>
      <c r="AC202">
        <v>0</v>
      </c>
      <c r="AD202">
        <v>0</v>
      </c>
      <c r="AE202">
        <v>546.42899999999997</v>
      </c>
      <c r="AF202">
        <v>1.1000000000000001</v>
      </c>
      <c r="AG202">
        <f>MarketPlace_Order_Report[[#This Row],[UnitPrice]]*MarketPlace_Order_Report[[#This Row],[OrderQty]]</f>
        <v>5100</v>
      </c>
      <c r="AH202">
        <f>IFERROR(MarketPlace_Order_Report[[#This Row],[CGSTAmount]]+MarketPlace_Order_Report[[#This Row],[SGSTAmount]]+MarketPlace_Order_Report[[#This Row],[IGSTAmount]],MarketPlace_Order_Report[[#This Row],[TaxAmount]])</f>
        <v>546.42899999999997</v>
      </c>
      <c r="AI202">
        <f>MarketPlace_Order_Report[[#This Row],[Gross Amount (Before Tax)]]+MarketPlace_Order_Report[[#This Row],[Total GST Amount]]</f>
        <v>5646.4290000000001</v>
      </c>
      <c r="AJ202" s="1" t="s">
        <v>787</v>
      </c>
    </row>
    <row r="203" spans="1:36">
      <c r="A203" s="1" t="s">
        <v>825</v>
      </c>
      <c r="B203" s="1" t="s">
        <v>827</v>
      </c>
      <c r="C203" s="1" t="s">
        <v>2475</v>
      </c>
      <c r="D203">
        <v>1</v>
      </c>
      <c r="E203">
        <v>1</v>
      </c>
      <c r="F203">
        <v>5500</v>
      </c>
      <c r="G203">
        <v>4950</v>
      </c>
      <c r="H203">
        <v>4979</v>
      </c>
      <c r="I203">
        <v>29</v>
      </c>
      <c r="J203" s="1" t="s">
        <v>59</v>
      </c>
      <c r="K203" s="2">
        <v>45929.956909722219</v>
      </c>
      <c r="L203" s="2">
        <v>45931.638194444444</v>
      </c>
      <c r="M203" s="2">
        <v>45937.543298611112</v>
      </c>
      <c r="N203" s="1" t="s">
        <v>61</v>
      </c>
      <c r="O203" s="1" t="s">
        <v>789</v>
      </c>
      <c r="P203" s="1" t="s">
        <v>61</v>
      </c>
      <c r="Q203" s="1" t="s">
        <v>61</v>
      </c>
      <c r="R203" s="2">
        <v>45937.545729166668</v>
      </c>
      <c r="S203" s="1" t="s">
        <v>448</v>
      </c>
      <c r="T203" s="1" t="s">
        <v>449</v>
      </c>
      <c r="U203">
        <v>492001</v>
      </c>
      <c r="V203" s="1" t="s">
        <v>66</v>
      </c>
      <c r="W203">
        <v>4950</v>
      </c>
      <c r="X203">
        <v>18</v>
      </c>
      <c r="Y203">
        <v>0</v>
      </c>
      <c r="Z203">
        <v>0</v>
      </c>
      <c r="AA203">
        <v>18</v>
      </c>
      <c r="AB203">
        <v>755.08500000000004</v>
      </c>
      <c r="AC203">
        <v>0</v>
      </c>
      <c r="AD203">
        <v>0</v>
      </c>
      <c r="AE203">
        <v>755.08500000000004</v>
      </c>
      <c r="AF203">
        <v>0.85</v>
      </c>
      <c r="AG203">
        <f>MarketPlace_Order_Report[[#This Row],[UnitPrice]]*MarketPlace_Order_Report[[#This Row],[OrderQty]]</f>
        <v>4950</v>
      </c>
      <c r="AH203">
        <f>IFERROR(MarketPlace_Order_Report[[#This Row],[CGSTAmount]]+MarketPlace_Order_Report[[#This Row],[SGSTAmount]]+MarketPlace_Order_Report[[#This Row],[IGSTAmount]],MarketPlace_Order_Report[[#This Row],[TaxAmount]])</f>
        <v>755.08500000000004</v>
      </c>
      <c r="AI203">
        <f>MarketPlace_Order_Report[[#This Row],[Gross Amount (Before Tax)]]+MarketPlace_Order_Report[[#This Row],[Total GST Amount]]</f>
        <v>5705.085</v>
      </c>
      <c r="AJ203" s="1" t="s">
        <v>826</v>
      </c>
    </row>
    <row r="204" spans="1:36" hidden="1">
      <c r="A204" s="1" t="s">
        <v>828</v>
      </c>
      <c r="B204" s="1" t="s">
        <v>830</v>
      </c>
      <c r="C204" s="1" t="s">
        <v>187</v>
      </c>
      <c r="D204">
        <v>1</v>
      </c>
      <c r="E204">
        <v>0</v>
      </c>
      <c r="F204">
        <v>5500</v>
      </c>
      <c r="G204">
        <v>4675</v>
      </c>
      <c r="H204">
        <v>4687.24</v>
      </c>
      <c r="I204">
        <v>12.24</v>
      </c>
      <c r="J204" s="1" t="s">
        <v>59</v>
      </c>
      <c r="K204" s="2">
        <v>45918.315312500003</v>
      </c>
      <c r="L204" s="2"/>
      <c r="M204" s="2"/>
      <c r="N204" s="1" t="s">
        <v>831</v>
      </c>
      <c r="O204" s="1" t="s">
        <v>789</v>
      </c>
      <c r="P204" s="1" t="s">
        <v>61</v>
      </c>
      <c r="Q204" s="1" t="s">
        <v>61</v>
      </c>
      <c r="R204" s="2">
        <v>45918.343217592592</v>
      </c>
      <c r="S204" s="1" t="s">
        <v>324</v>
      </c>
      <c r="T204" s="1" t="s">
        <v>318</v>
      </c>
      <c r="U204">
        <v>411021</v>
      </c>
      <c r="V204" s="1" t="s">
        <v>66</v>
      </c>
      <c r="W204">
        <v>4675</v>
      </c>
      <c r="X204">
        <v>12</v>
      </c>
      <c r="Y204">
        <v>6</v>
      </c>
      <c r="Z204">
        <v>6</v>
      </c>
      <c r="AA204">
        <v>0</v>
      </c>
      <c r="AB204">
        <v>500.89299999999997</v>
      </c>
      <c r="AC204">
        <v>250.447</v>
      </c>
      <c r="AD204">
        <v>250.447</v>
      </c>
      <c r="AE204">
        <v>0</v>
      </c>
      <c r="AG204">
        <f>MarketPlace_Order_Report[[#This Row],[UnitPrice]]*MarketPlace_Order_Report[[#This Row],[OrderQty]]</f>
        <v>4675</v>
      </c>
      <c r="AH204">
        <f>IFERROR(MarketPlace_Order_Report[[#This Row],[CGSTAmount]]+MarketPlace_Order_Report[[#This Row],[SGSTAmount]]+MarketPlace_Order_Report[[#This Row],[IGSTAmount]],MarketPlace_Order_Report[[#This Row],[TaxAmount]])</f>
        <v>500.89400000000001</v>
      </c>
      <c r="AI204">
        <f>MarketPlace_Order_Report[[#This Row],[Gross Amount (Before Tax)]]+MarketPlace_Order_Report[[#This Row],[Total GST Amount]]</f>
        <v>5175.8940000000002</v>
      </c>
      <c r="AJ204" s="1" t="s">
        <v>829</v>
      </c>
    </row>
    <row r="205" spans="1:36" hidden="1">
      <c r="A205" s="1" t="s">
        <v>834</v>
      </c>
      <c r="B205" s="1" t="s">
        <v>836</v>
      </c>
      <c r="C205" s="1" t="s">
        <v>71</v>
      </c>
      <c r="D205">
        <v>1</v>
      </c>
      <c r="E205">
        <v>1</v>
      </c>
      <c r="F205">
        <v>6950</v>
      </c>
      <c r="G205">
        <v>5908</v>
      </c>
      <c r="H205">
        <v>5957</v>
      </c>
      <c r="I205">
        <v>49</v>
      </c>
      <c r="J205" s="1" t="s">
        <v>72</v>
      </c>
      <c r="K205" s="2">
        <v>45909.570162037038</v>
      </c>
      <c r="L205" s="2">
        <v>45910.632280092592</v>
      </c>
      <c r="M205" s="2">
        <v>45913.545902777776</v>
      </c>
      <c r="N205" s="1" t="s">
        <v>61</v>
      </c>
      <c r="O205" s="1" t="s">
        <v>789</v>
      </c>
      <c r="P205" s="1" t="s">
        <v>61</v>
      </c>
      <c r="Q205" s="1" t="s">
        <v>74</v>
      </c>
      <c r="R205" s="2">
        <v>45919.597858796296</v>
      </c>
      <c r="S205" s="1" t="s">
        <v>408</v>
      </c>
      <c r="T205" s="1" t="s">
        <v>318</v>
      </c>
      <c r="U205">
        <v>400097</v>
      </c>
      <c r="V205" s="1" t="s">
        <v>66</v>
      </c>
      <c r="W205">
        <v>5908</v>
      </c>
      <c r="X205">
        <v>12</v>
      </c>
      <c r="Y205">
        <v>6</v>
      </c>
      <c r="Z205">
        <v>6</v>
      </c>
      <c r="AA205">
        <v>0</v>
      </c>
      <c r="AB205">
        <v>633</v>
      </c>
      <c r="AC205">
        <v>316.5</v>
      </c>
      <c r="AD205">
        <v>316.5</v>
      </c>
      <c r="AE205">
        <v>0</v>
      </c>
      <c r="AF205">
        <v>0.85</v>
      </c>
      <c r="AG205">
        <f>MarketPlace_Order_Report[[#This Row],[UnitPrice]]*MarketPlace_Order_Report[[#This Row],[OrderQty]]</f>
        <v>5908</v>
      </c>
      <c r="AH205">
        <f>IFERROR(MarketPlace_Order_Report[[#This Row],[CGSTAmount]]+MarketPlace_Order_Report[[#This Row],[SGSTAmount]]+MarketPlace_Order_Report[[#This Row],[IGSTAmount]],MarketPlace_Order_Report[[#This Row],[TaxAmount]])</f>
        <v>633</v>
      </c>
      <c r="AI205">
        <f>MarketPlace_Order_Report[[#This Row],[Gross Amount (Before Tax)]]+MarketPlace_Order_Report[[#This Row],[Total GST Amount]]</f>
        <v>6541</v>
      </c>
      <c r="AJ205" s="1" t="s">
        <v>835</v>
      </c>
    </row>
    <row r="206" spans="1:36">
      <c r="A206" s="1" t="s">
        <v>837</v>
      </c>
      <c r="B206" s="1" t="s">
        <v>839</v>
      </c>
      <c r="C206" s="1" t="s">
        <v>2475</v>
      </c>
      <c r="D206">
        <v>1</v>
      </c>
      <c r="E206">
        <v>1</v>
      </c>
      <c r="F206">
        <v>3250</v>
      </c>
      <c r="G206">
        <v>2925</v>
      </c>
      <c r="H206">
        <v>2954</v>
      </c>
      <c r="I206">
        <v>29</v>
      </c>
      <c r="J206" s="1" t="s">
        <v>59</v>
      </c>
      <c r="K206" s="2">
        <v>45923.974212962959</v>
      </c>
      <c r="L206" s="2">
        <v>45924.69902777778</v>
      </c>
      <c r="M206" s="2">
        <v>45930.607395833336</v>
      </c>
      <c r="N206" s="1" t="s">
        <v>61</v>
      </c>
      <c r="O206" s="1" t="s">
        <v>62</v>
      </c>
      <c r="P206" s="1" t="s">
        <v>61</v>
      </c>
      <c r="Q206" s="1" t="s">
        <v>61</v>
      </c>
      <c r="R206" s="2">
        <v>45930.608703703707</v>
      </c>
      <c r="S206" s="1" t="s">
        <v>840</v>
      </c>
      <c r="T206" s="1" t="s">
        <v>83</v>
      </c>
      <c r="U206">
        <v>845401</v>
      </c>
      <c r="V206" s="1" t="s">
        <v>66</v>
      </c>
      <c r="W206">
        <v>2925</v>
      </c>
      <c r="X206">
        <v>18</v>
      </c>
      <c r="Y206">
        <v>0</v>
      </c>
      <c r="Z206">
        <v>0</v>
      </c>
      <c r="AA206">
        <v>18</v>
      </c>
      <c r="AB206">
        <v>446.18599999999998</v>
      </c>
      <c r="AC206">
        <v>0</v>
      </c>
      <c r="AD206">
        <v>0</v>
      </c>
      <c r="AE206">
        <v>446.18599999999998</v>
      </c>
      <c r="AF206">
        <v>0.85</v>
      </c>
      <c r="AG206">
        <f>MarketPlace_Order_Report[[#This Row],[UnitPrice]]*MarketPlace_Order_Report[[#This Row],[OrderQty]]</f>
        <v>2925</v>
      </c>
      <c r="AH206">
        <f>IFERROR(MarketPlace_Order_Report[[#This Row],[CGSTAmount]]+MarketPlace_Order_Report[[#This Row],[SGSTAmount]]+MarketPlace_Order_Report[[#This Row],[IGSTAmount]],MarketPlace_Order_Report[[#This Row],[TaxAmount]])</f>
        <v>446.18599999999998</v>
      </c>
      <c r="AI206">
        <f>MarketPlace_Order_Report[[#This Row],[Gross Amount (Before Tax)]]+MarketPlace_Order_Report[[#This Row],[Total GST Amount]]</f>
        <v>3371.1860000000001</v>
      </c>
      <c r="AJ206" s="1" t="s">
        <v>838</v>
      </c>
    </row>
    <row r="207" spans="1:36" hidden="1">
      <c r="A207" s="1" t="s">
        <v>841</v>
      </c>
      <c r="B207" s="1" t="s">
        <v>843</v>
      </c>
      <c r="C207" s="1" t="s">
        <v>71</v>
      </c>
      <c r="D207">
        <v>1</v>
      </c>
      <c r="E207">
        <v>1</v>
      </c>
      <c r="F207">
        <v>4000</v>
      </c>
      <c r="G207">
        <v>3400</v>
      </c>
      <c r="H207">
        <v>3405.48</v>
      </c>
      <c r="I207">
        <v>5.48</v>
      </c>
      <c r="J207" s="1" t="s">
        <v>59</v>
      </c>
      <c r="K207" s="2">
        <v>45909.375428240739</v>
      </c>
      <c r="L207" s="2">
        <v>45909.761481481481</v>
      </c>
      <c r="M207" s="2">
        <v>45914.604548611111</v>
      </c>
      <c r="N207" s="1" t="s">
        <v>61</v>
      </c>
      <c r="O207" s="1" t="s">
        <v>62</v>
      </c>
      <c r="P207" s="1" t="s">
        <v>61</v>
      </c>
      <c r="Q207" s="1" t="s">
        <v>74</v>
      </c>
      <c r="R207" s="2">
        <v>45925.636284722219</v>
      </c>
      <c r="S207" s="1" t="s">
        <v>844</v>
      </c>
      <c r="T207" s="1" t="s">
        <v>99</v>
      </c>
      <c r="U207">
        <v>125001</v>
      </c>
      <c r="V207" s="1" t="s">
        <v>66</v>
      </c>
      <c r="W207">
        <v>3400</v>
      </c>
      <c r="X207">
        <v>12</v>
      </c>
      <c r="Y207">
        <v>0</v>
      </c>
      <c r="Z207">
        <v>0</v>
      </c>
      <c r="AA207">
        <v>12</v>
      </c>
      <c r="AB207">
        <v>364.286</v>
      </c>
      <c r="AC207">
        <v>0</v>
      </c>
      <c r="AD207">
        <v>0</v>
      </c>
      <c r="AE207">
        <v>364.286</v>
      </c>
      <c r="AF207">
        <v>0.85</v>
      </c>
      <c r="AG207">
        <f>MarketPlace_Order_Report[[#This Row],[UnitPrice]]*MarketPlace_Order_Report[[#This Row],[OrderQty]]</f>
        <v>3400</v>
      </c>
      <c r="AH207">
        <f>IFERROR(MarketPlace_Order_Report[[#This Row],[CGSTAmount]]+MarketPlace_Order_Report[[#This Row],[SGSTAmount]]+MarketPlace_Order_Report[[#This Row],[IGSTAmount]],MarketPlace_Order_Report[[#This Row],[TaxAmount]])</f>
        <v>364.286</v>
      </c>
      <c r="AI207">
        <f>MarketPlace_Order_Report[[#This Row],[Gross Amount (Before Tax)]]+MarketPlace_Order_Report[[#This Row],[Total GST Amount]]</f>
        <v>3764.2860000000001</v>
      </c>
      <c r="AJ207" s="1" t="s">
        <v>842</v>
      </c>
    </row>
    <row r="208" spans="1:36" hidden="1">
      <c r="A208" s="1" t="s">
        <v>845</v>
      </c>
      <c r="B208" s="1" t="s">
        <v>847</v>
      </c>
      <c r="C208" s="1" t="s">
        <v>71</v>
      </c>
      <c r="D208">
        <v>1</v>
      </c>
      <c r="E208">
        <v>1</v>
      </c>
      <c r="F208">
        <v>4000</v>
      </c>
      <c r="G208">
        <v>3400</v>
      </c>
      <c r="H208">
        <v>3429</v>
      </c>
      <c r="I208">
        <v>29</v>
      </c>
      <c r="J208" s="1" t="s">
        <v>59</v>
      </c>
      <c r="K208" s="2">
        <v>45912.308148148149</v>
      </c>
      <c r="L208" s="2">
        <v>45912.716724537036</v>
      </c>
      <c r="M208" s="2">
        <v>45915.456909722219</v>
      </c>
      <c r="N208" s="1" t="s">
        <v>61</v>
      </c>
      <c r="O208" s="1" t="s">
        <v>62</v>
      </c>
      <c r="P208" s="1" t="s">
        <v>61</v>
      </c>
      <c r="Q208" s="1" t="s">
        <v>74</v>
      </c>
      <c r="R208" s="2">
        <v>45925.636284722219</v>
      </c>
      <c r="S208" s="1" t="s">
        <v>848</v>
      </c>
      <c r="T208" s="1" t="s">
        <v>236</v>
      </c>
      <c r="U208">
        <v>516310</v>
      </c>
      <c r="V208" s="1" t="s">
        <v>66</v>
      </c>
      <c r="W208">
        <v>3400</v>
      </c>
      <c r="X208">
        <v>12</v>
      </c>
      <c r="Y208">
        <v>0</v>
      </c>
      <c r="Z208">
        <v>0</v>
      </c>
      <c r="AA208">
        <v>12</v>
      </c>
      <c r="AB208">
        <v>364.286</v>
      </c>
      <c r="AC208">
        <v>0</v>
      </c>
      <c r="AD208">
        <v>0</v>
      </c>
      <c r="AE208">
        <v>364.286</v>
      </c>
      <c r="AF208">
        <v>0.85</v>
      </c>
      <c r="AG208">
        <f>MarketPlace_Order_Report[[#This Row],[UnitPrice]]*MarketPlace_Order_Report[[#This Row],[OrderQty]]</f>
        <v>3400</v>
      </c>
      <c r="AH208">
        <f>IFERROR(MarketPlace_Order_Report[[#This Row],[CGSTAmount]]+MarketPlace_Order_Report[[#This Row],[SGSTAmount]]+MarketPlace_Order_Report[[#This Row],[IGSTAmount]],MarketPlace_Order_Report[[#This Row],[TaxAmount]])</f>
        <v>364.286</v>
      </c>
      <c r="AI208">
        <f>MarketPlace_Order_Report[[#This Row],[Gross Amount (Before Tax)]]+MarketPlace_Order_Report[[#This Row],[Total GST Amount]]</f>
        <v>3764.2860000000001</v>
      </c>
      <c r="AJ208" s="1" t="s">
        <v>846</v>
      </c>
    </row>
    <row r="209" spans="1:36">
      <c r="A209" s="1" t="s">
        <v>849</v>
      </c>
      <c r="B209" s="1" t="s">
        <v>851</v>
      </c>
      <c r="C209" s="1" t="s">
        <v>2475</v>
      </c>
      <c r="D209">
        <v>1</v>
      </c>
      <c r="E209">
        <v>1</v>
      </c>
      <c r="F209">
        <v>4000</v>
      </c>
      <c r="G209">
        <v>3400</v>
      </c>
      <c r="H209">
        <v>3435.14</v>
      </c>
      <c r="I209">
        <v>35.14</v>
      </c>
      <c r="J209" s="1" t="s">
        <v>72</v>
      </c>
      <c r="K209" s="2">
        <v>45902.802754629629</v>
      </c>
      <c r="L209" s="2">
        <v>45903.717870370368</v>
      </c>
      <c r="M209" s="2">
        <v>45907.577986111108</v>
      </c>
      <c r="N209" s="1" t="s">
        <v>61</v>
      </c>
      <c r="O209" s="1" t="s">
        <v>62</v>
      </c>
      <c r="P209" s="1" t="s">
        <v>61</v>
      </c>
      <c r="Q209" s="1" t="s">
        <v>61</v>
      </c>
      <c r="R209" s="2">
        <v>45907.580451388887</v>
      </c>
      <c r="S209" s="1" t="s">
        <v>852</v>
      </c>
      <c r="T209" s="1" t="s">
        <v>83</v>
      </c>
      <c r="U209">
        <v>851101</v>
      </c>
      <c r="V209" s="1" t="s">
        <v>66</v>
      </c>
      <c r="W209">
        <v>3400</v>
      </c>
      <c r="X209">
        <v>12</v>
      </c>
      <c r="Y209">
        <v>0</v>
      </c>
      <c r="Z209">
        <v>0</v>
      </c>
      <c r="AA209">
        <v>12</v>
      </c>
      <c r="AB209">
        <v>364.286</v>
      </c>
      <c r="AC209">
        <v>0</v>
      </c>
      <c r="AD209">
        <v>0</v>
      </c>
      <c r="AE209">
        <v>364.286</v>
      </c>
      <c r="AF209">
        <v>0.85</v>
      </c>
      <c r="AG209">
        <f>MarketPlace_Order_Report[[#This Row],[UnitPrice]]*MarketPlace_Order_Report[[#This Row],[OrderQty]]</f>
        <v>3400</v>
      </c>
      <c r="AH209">
        <f>IFERROR(MarketPlace_Order_Report[[#This Row],[CGSTAmount]]+MarketPlace_Order_Report[[#This Row],[SGSTAmount]]+MarketPlace_Order_Report[[#This Row],[IGSTAmount]],MarketPlace_Order_Report[[#This Row],[TaxAmount]])</f>
        <v>364.286</v>
      </c>
      <c r="AI209">
        <f>MarketPlace_Order_Report[[#This Row],[Gross Amount (Before Tax)]]+MarketPlace_Order_Report[[#This Row],[Total GST Amount]]</f>
        <v>3764.2860000000001</v>
      </c>
      <c r="AJ209" s="1" t="s">
        <v>850</v>
      </c>
    </row>
    <row r="210" spans="1:36" hidden="1">
      <c r="A210" s="1" t="s">
        <v>854</v>
      </c>
      <c r="B210" s="1" t="s">
        <v>856</v>
      </c>
      <c r="C210" s="1" t="s">
        <v>71</v>
      </c>
      <c r="D210">
        <v>1</v>
      </c>
      <c r="E210">
        <v>1</v>
      </c>
      <c r="F210">
        <v>3500</v>
      </c>
      <c r="G210">
        <v>2975</v>
      </c>
      <c r="H210">
        <v>3024</v>
      </c>
      <c r="I210">
        <v>49</v>
      </c>
      <c r="J210" s="1" t="s">
        <v>72</v>
      </c>
      <c r="K210" s="2">
        <v>45905.915543981479</v>
      </c>
      <c r="L210" s="2">
        <v>45908.72965277778</v>
      </c>
      <c r="M210" s="2">
        <v>45911.541666666664</v>
      </c>
      <c r="N210" s="1" t="s">
        <v>61</v>
      </c>
      <c r="O210" s="1" t="s">
        <v>62</v>
      </c>
      <c r="P210" s="1" t="s">
        <v>61</v>
      </c>
      <c r="Q210" s="1" t="s">
        <v>74</v>
      </c>
      <c r="R210" s="2">
        <v>45920.615729166668</v>
      </c>
      <c r="S210" s="1" t="s">
        <v>459</v>
      </c>
      <c r="T210" s="1" t="s">
        <v>434</v>
      </c>
      <c r="U210">
        <v>360007</v>
      </c>
      <c r="V210" s="1" t="s">
        <v>66</v>
      </c>
      <c r="W210">
        <v>2975</v>
      </c>
      <c r="X210">
        <v>12</v>
      </c>
      <c r="Y210">
        <v>0</v>
      </c>
      <c r="Z210">
        <v>0</v>
      </c>
      <c r="AA210">
        <v>12</v>
      </c>
      <c r="AB210">
        <v>318.75</v>
      </c>
      <c r="AC210">
        <v>0</v>
      </c>
      <c r="AD210">
        <v>0</v>
      </c>
      <c r="AE210">
        <v>318.75</v>
      </c>
      <c r="AF210">
        <v>0.85</v>
      </c>
      <c r="AG210">
        <f>MarketPlace_Order_Report[[#This Row],[UnitPrice]]*MarketPlace_Order_Report[[#This Row],[OrderQty]]</f>
        <v>2975</v>
      </c>
      <c r="AH210">
        <f>IFERROR(MarketPlace_Order_Report[[#This Row],[CGSTAmount]]+MarketPlace_Order_Report[[#This Row],[SGSTAmount]]+MarketPlace_Order_Report[[#This Row],[IGSTAmount]],MarketPlace_Order_Report[[#This Row],[TaxAmount]])</f>
        <v>318.75</v>
      </c>
      <c r="AI210">
        <f>MarketPlace_Order_Report[[#This Row],[Gross Amount (Before Tax)]]+MarketPlace_Order_Report[[#This Row],[Total GST Amount]]</f>
        <v>3293.75</v>
      </c>
      <c r="AJ210" s="1" t="s">
        <v>855</v>
      </c>
    </row>
    <row r="211" spans="1:36" hidden="1">
      <c r="A211" s="1" t="s">
        <v>857</v>
      </c>
      <c r="B211" s="1" t="s">
        <v>859</v>
      </c>
      <c r="C211" s="1" t="s">
        <v>102</v>
      </c>
      <c r="D211">
        <v>1</v>
      </c>
      <c r="E211">
        <v>1</v>
      </c>
      <c r="F211">
        <v>3500</v>
      </c>
      <c r="G211">
        <v>3150</v>
      </c>
      <c r="H211">
        <v>3199</v>
      </c>
      <c r="I211">
        <v>49</v>
      </c>
      <c r="J211" s="1" t="s">
        <v>72</v>
      </c>
      <c r="K211" s="2">
        <v>45921.46371527778</v>
      </c>
      <c r="L211" s="2">
        <v>45922.741782407407</v>
      </c>
      <c r="M211" s="2"/>
      <c r="N211" s="1" t="s">
        <v>61</v>
      </c>
      <c r="O211" s="1" t="s">
        <v>62</v>
      </c>
      <c r="P211" s="1" t="s">
        <v>61</v>
      </c>
      <c r="Q211" s="1" t="s">
        <v>103</v>
      </c>
      <c r="R211" s="2">
        <v>45933.88621527778</v>
      </c>
      <c r="S211" s="1" t="s">
        <v>579</v>
      </c>
      <c r="T211" s="1" t="s">
        <v>231</v>
      </c>
      <c r="U211">
        <v>834002</v>
      </c>
      <c r="V211" s="1" t="s">
        <v>66</v>
      </c>
      <c r="W211">
        <v>3150</v>
      </c>
      <c r="X211">
        <v>18</v>
      </c>
      <c r="Y211">
        <v>0</v>
      </c>
      <c r="Z211">
        <v>0</v>
      </c>
      <c r="AA211">
        <v>18</v>
      </c>
      <c r="AB211">
        <v>480.50799999999998</v>
      </c>
      <c r="AC211">
        <v>0</v>
      </c>
      <c r="AD211">
        <v>0</v>
      </c>
      <c r="AE211">
        <v>480.50799999999998</v>
      </c>
      <c r="AF211">
        <v>0.85</v>
      </c>
      <c r="AG211">
        <f>MarketPlace_Order_Report[[#This Row],[UnitPrice]]*MarketPlace_Order_Report[[#This Row],[OrderQty]]</f>
        <v>3150</v>
      </c>
      <c r="AH211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211">
        <f>MarketPlace_Order_Report[[#This Row],[Gross Amount (Before Tax)]]+MarketPlace_Order_Report[[#This Row],[Total GST Amount]]</f>
        <v>3630.5079999999998</v>
      </c>
      <c r="AJ211" s="1" t="s">
        <v>858</v>
      </c>
    </row>
    <row r="212" spans="1:36">
      <c r="A212" s="1" t="s">
        <v>860</v>
      </c>
      <c r="B212" s="1" t="s">
        <v>859</v>
      </c>
      <c r="C212" s="1" t="s">
        <v>2475</v>
      </c>
      <c r="D212">
        <v>1</v>
      </c>
      <c r="E212">
        <v>1</v>
      </c>
      <c r="F212">
        <v>3500</v>
      </c>
      <c r="G212">
        <v>3150</v>
      </c>
      <c r="H212">
        <v>3185.61</v>
      </c>
      <c r="I212">
        <v>35.61</v>
      </c>
      <c r="J212" s="1" t="s">
        <v>72</v>
      </c>
      <c r="K212" s="2">
        <v>45920.860185185185</v>
      </c>
      <c r="L212" s="2">
        <v>45922.741805555554</v>
      </c>
      <c r="M212" s="2">
        <v>45925.672465277778</v>
      </c>
      <c r="N212" s="1" t="s">
        <v>61</v>
      </c>
      <c r="O212" s="1" t="s">
        <v>62</v>
      </c>
      <c r="P212" s="1" t="s">
        <v>61</v>
      </c>
      <c r="Q212" s="1" t="s">
        <v>61</v>
      </c>
      <c r="R212" s="2">
        <v>45925.674328703702</v>
      </c>
      <c r="S212" s="1" t="s">
        <v>862</v>
      </c>
      <c r="T212" s="1" t="s">
        <v>231</v>
      </c>
      <c r="U212">
        <v>814133</v>
      </c>
      <c r="V212" s="1" t="s">
        <v>66</v>
      </c>
      <c r="W212">
        <v>3150</v>
      </c>
      <c r="X212">
        <v>18</v>
      </c>
      <c r="Y212">
        <v>0</v>
      </c>
      <c r="Z212">
        <v>0</v>
      </c>
      <c r="AA212">
        <v>18</v>
      </c>
      <c r="AB212">
        <v>480.50799999999998</v>
      </c>
      <c r="AC212">
        <v>0</v>
      </c>
      <c r="AD212">
        <v>0</v>
      </c>
      <c r="AE212">
        <v>480.50799999999998</v>
      </c>
      <c r="AF212">
        <v>0.85</v>
      </c>
      <c r="AG212">
        <f>MarketPlace_Order_Report[[#This Row],[UnitPrice]]*MarketPlace_Order_Report[[#This Row],[OrderQty]]</f>
        <v>3150</v>
      </c>
      <c r="AH212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212">
        <f>MarketPlace_Order_Report[[#This Row],[Gross Amount (Before Tax)]]+MarketPlace_Order_Report[[#This Row],[Total GST Amount]]</f>
        <v>3630.5079999999998</v>
      </c>
      <c r="AJ212" s="1" t="s">
        <v>861</v>
      </c>
    </row>
    <row r="213" spans="1:36">
      <c r="A213" s="1" t="s">
        <v>863</v>
      </c>
      <c r="B213" s="1" t="s">
        <v>859</v>
      </c>
      <c r="C213" s="1" t="s">
        <v>2475</v>
      </c>
      <c r="D213">
        <v>1</v>
      </c>
      <c r="E213">
        <v>1</v>
      </c>
      <c r="F213">
        <v>3500</v>
      </c>
      <c r="G213">
        <v>2975</v>
      </c>
      <c r="H213">
        <v>2987.81</v>
      </c>
      <c r="I213">
        <v>12.81</v>
      </c>
      <c r="J213" s="1" t="s">
        <v>59</v>
      </c>
      <c r="K213" s="2">
        <v>45917.54787037037</v>
      </c>
      <c r="L213" s="2">
        <v>45918.700567129628</v>
      </c>
      <c r="M213" s="2">
        <v>45921.499409722222</v>
      </c>
      <c r="N213" s="1" t="s">
        <v>61</v>
      </c>
      <c r="O213" s="1" t="s">
        <v>62</v>
      </c>
      <c r="P213" s="1" t="s">
        <v>61</v>
      </c>
      <c r="Q213" s="1" t="s">
        <v>61</v>
      </c>
      <c r="R213" s="2">
        <v>45921.501122685186</v>
      </c>
      <c r="S213" s="1" t="s">
        <v>865</v>
      </c>
      <c r="T213" s="1" t="s">
        <v>865</v>
      </c>
      <c r="U213">
        <v>403110</v>
      </c>
      <c r="V213" s="1" t="s">
        <v>66</v>
      </c>
      <c r="W213">
        <v>2975</v>
      </c>
      <c r="X213">
        <v>12</v>
      </c>
      <c r="Y213">
        <v>0</v>
      </c>
      <c r="Z213">
        <v>0</v>
      </c>
      <c r="AA213">
        <v>12</v>
      </c>
      <c r="AB213">
        <v>318.75</v>
      </c>
      <c r="AC213">
        <v>0</v>
      </c>
      <c r="AD213">
        <v>0</v>
      </c>
      <c r="AE213">
        <v>318.75</v>
      </c>
      <c r="AF213">
        <v>0.85</v>
      </c>
      <c r="AG213">
        <f>MarketPlace_Order_Report[[#This Row],[UnitPrice]]*MarketPlace_Order_Report[[#This Row],[OrderQty]]</f>
        <v>2975</v>
      </c>
      <c r="AH213">
        <f>IFERROR(MarketPlace_Order_Report[[#This Row],[CGSTAmount]]+MarketPlace_Order_Report[[#This Row],[SGSTAmount]]+MarketPlace_Order_Report[[#This Row],[IGSTAmount]],MarketPlace_Order_Report[[#This Row],[TaxAmount]])</f>
        <v>318.75</v>
      </c>
      <c r="AI213">
        <f>MarketPlace_Order_Report[[#This Row],[Gross Amount (Before Tax)]]+MarketPlace_Order_Report[[#This Row],[Total GST Amount]]</f>
        <v>3293.75</v>
      </c>
      <c r="AJ213" s="1" t="s">
        <v>864</v>
      </c>
    </row>
    <row r="214" spans="1:36" hidden="1">
      <c r="A214" s="1" t="s">
        <v>162</v>
      </c>
      <c r="B214" s="1" t="s">
        <v>867</v>
      </c>
      <c r="C214" s="1" t="s">
        <v>71</v>
      </c>
      <c r="D214">
        <v>1</v>
      </c>
      <c r="E214">
        <v>1</v>
      </c>
      <c r="F214">
        <v>3500</v>
      </c>
      <c r="G214">
        <v>2975</v>
      </c>
      <c r="H214">
        <v>2995.9</v>
      </c>
      <c r="I214">
        <v>20.9</v>
      </c>
      <c r="J214" s="1" t="s">
        <v>72</v>
      </c>
      <c r="K214" s="2">
        <v>45918.449930555558</v>
      </c>
      <c r="L214" s="2">
        <v>45918.700324074074</v>
      </c>
      <c r="M214" s="2">
        <v>45921.54278935185</v>
      </c>
      <c r="N214" s="1" t="s">
        <v>61</v>
      </c>
      <c r="O214" s="1" t="s">
        <v>62</v>
      </c>
      <c r="P214" s="1" t="s">
        <v>61</v>
      </c>
      <c r="Q214" s="1" t="s">
        <v>74</v>
      </c>
      <c r="R214" s="2">
        <v>45931.775347222225</v>
      </c>
      <c r="S214" s="1" t="s">
        <v>165</v>
      </c>
      <c r="T214" s="1" t="s">
        <v>77</v>
      </c>
      <c r="U214">
        <v>226012</v>
      </c>
      <c r="V214" s="1" t="s">
        <v>66</v>
      </c>
      <c r="W214">
        <v>2975</v>
      </c>
      <c r="X214">
        <v>12</v>
      </c>
      <c r="Y214">
        <v>0</v>
      </c>
      <c r="Z214">
        <v>0</v>
      </c>
      <c r="AA214">
        <v>12</v>
      </c>
      <c r="AB214">
        <v>318.75</v>
      </c>
      <c r="AC214">
        <v>0</v>
      </c>
      <c r="AD214">
        <v>0</v>
      </c>
      <c r="AE214">
        <v>318.75</v>
      </c>
      <c r="AF214">
        <v>1.1000000000000001</v>
      </c>
      <c r="AG214">
        <f>MarketPlace_Order_Report[[#This Row],[UnitPrice]]*MarketPlace_Order_Report[[#This Row],[OrderQty]]</f>
        <v>2975</v>
      </c>
      <c r="AH214">
        <f>IFERROR(MarketPlace_Order_Report[[#This Row],[CGSTAmount]]+MarketPlace_Order_Report[[#This Row],[SGSTAmount]]+MarketPlace_Order_Report[[#This Row],[IGSTAmount]],MarketPlace_Order_Report[[#This Row],[TaxAmount]])</f>
        <v>318.75</v>
      </c>
      <c r="AI214">
        <f>MarketPlace_Order_Report[[#This Row],[Gross Amount (Before Tax)]]+MarketPlace_Order_Report[[#This Row],[Total GST Amount]]</f>
        <v>3293.75</v>
      </c>
      <c r="AJ214" s="1" t="s">
        <v>163</v>
      </c>
    </row>
    <row r="215" spans="1:36">
      <c r="A215" s="1" t="s">
        <v>868</v>
      </c>
      <c r="B215" s="1" t="s">
        <v>871</v>
      </c>
      <c r="C215" s="1" t="s">
        <v>2475</v>
      </c>
      <c r="D215">
        <v>1</v>
      </c>
      <c r="E215">
        <v>1</v>
      </c>
      <c r="F215">
        <v>3500</v>
      </c>
      <c r="G215">
        <v>3150</v>
      </c>
      <c r="H215">
        <v>3150</v>
      </c>
      <c r="I215">
        <v>0</v>
      </c>
      <c r="J215" s="1" t="s">
        <v>59</v>
      </c>
      <c r="K215" s="2">
        <v>45927.409178240741</v>
      </c>
      <c r="L215" s="2">
        <v>45929.599212962959</v>
      </c>
      <c r="M215" s="2">
        <v>45931.742997685185</v>
      </c>
      <c r="N215" s="1" t="s">
        <v>61</v>
      </c>
      <c r="O215" s="1" t="s">
        <v>62</v>
      </c>
      <c r="P215" s="1" t="s">
        <v>61</v>
      </c>
      <c r="Q215" s="1" t="s">
        <v>61</v>
      </c>
      <c r="R215" s="2">
        <v>45931.743993055556</v>
      </c>
      <c r="S215" s="1" t="s">
        <v>324</v>
      </c>
      <c r="T215" s="1" t="s">
        <v>318</v>
      </c>
      <c r="U215">
        <v>411019</v>
      </c>
      <c r="V215" s="1" t="s">
        <v>66</v>
      </c>
      <c r="W215">
        <v>3150</v>
      </c>
      <c r="X215">
        <v>18</v>
      </c>
      <c r="Y215">
        <v>9</v>
      </c>
      <c r="Z215">
        <v>9</v>
      </c>
      <c r="AA215">
        <v>0</v>
      </c>
      <c r="AB215">
        <v>480.50799999999998</v>
      </c>
      <c r="AC215">
        <v>240.25399999999999</v>
      </c>
      <c r="AD215">
        <v>240.25399999999999</v>
      </c>
      <c r="AE215">
        <v>0</v>
      </c>
      <c r="AF215">
        <v>0.85</v>
      </c>
      <c r="AG215">
        <f>MarketPlace_Order_Report[[#This Row],[UnitPrice]]*MarketPlace_Order_Report[[#This Row],[OrderQty]]</f>
        <v>3150</v>
      </c>
      <c r="AH2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215">
        <f>MarketPlace_Order_Report[[#This Row],[Gross Amount (Before Tax)]]+MarketPlace_Order_Report[[#This Row],[Total GST Amount]]</f>
        <v>3630.5079999999998</v>
      </c>
      <c r="AJ215" s="1" t="s">
        <v>869</v>
      </c>
    </row>
    <row r="216" spans="1:36">
      <c r="A216" s="1" t="s">
        <v>872</v>
      </c>
      <c r="B216" s="1" t="s">
        <v>871</v>
      </c>
      <c r="C216" s="1" t="s">
        <v>2475</v>
      </c>
      <c r="D216">
        <v>1</v>
      </c>
      <c r="E216">
        <v>1</v>
      </c>
      <c r="F216">
        <v>3500</v>
      </c>
      <c r="G216">
        <v>2975</v>
      </c>
      <c r="H216">
        <v>2975</v>
      </c>
      <c r="I216">
        <v>0</v>
      </c>
      <c r="J216" s="1" t="s">
        <v>59</v>
      </c>
      <c r="K216" s="2">
        <v>45911.574999999997</v>
      </c>
      <c r="L216" s="2">
        <v>45912.716782407406</v>
      </c>
      <c r="M216" s="2">
        <v>45915.457175925927</v>
      </c>
      <c r="N216" s="1" t="s">
        <v>61</v>
      </c>
      <c r="O216" s="1" t="s">
        <v>62</v>
      </c>
      <c r="P216" s="1" t="s">
        <v>61</v>
      </c>
      <c r="Q216" s="1" t="s">
        <v>61</v>
      </c>
      <c r="R216" s="2">
        <v>45915.459340277775</v>
      </c>
      <c r="S216" s="1" t="s">
        <v>848</v>
      </c>
      <c r="T216" s="1" t="s">
        <v>236</v>
      </c>
      <c r="U216">
        <v>516310</v>
      </c>
      <c r="V216" s="1" t="s">
        <v>66</v>
      </c>
      <c r="W216">
        <v>2975</v>
      </c>
      <c r="X216">
        <v>12</v>
      </c>
      <c r="Y216">
        <v>0</v>
      </c>
      <c r="Z216">
        <v>0</v>
      </c>
      <c r="AA216">
        <v>12</v>
      </c>
      <c r="AB216">
        <v>318.75</v>
      </c>
      <c r="AC216">
        <v>0</v>
      </c>
      <c r="AD216">
        <v>0</v>
      </c>
      <c r="AE216">
        <v>318.75</v>
      </c>
      <c r="AF216">
        <v>0.85</v>
      </c>
      <c r="AG216">
        <f>MarketPlace_Order_Report[[#This Row],[UnitPrice]]*MarketPlace_Order_Report[[#This Row],[OrderQty]]</f>
        <v>2975</v>
      </c>
      <c r="AH216">
        <f>IFERROR(MarketPlace_Order_Report[[#This Row],[CGSTAmount]]+MarketPlace_Order_Report[[#This Row],[SGSTAmount]]+MarketPlace_Order_Report[[#This Row],[IGSTAmount]],MarketPlace_Order_Report[[#This Row],[TaxAmount]])</f>
        <v>318.75</v>
      </c>
      <c r="AI216">
        <f>MarketPlace_Order_Report[[#This Row],[Gross Amount (Before Tax)]]+MarketPlace_Order_Report[[#This Row],[Total GST Amount]]</f>
        <v>3293.75</v>
      </c>
      <c r="AJ216" s="1" t="s">
        <v>873</v>
      </c>
    </row>
    <row r="217" spans="1:36" hidden="1">
      <c r="A217" s="1" t="s">
        <v>874</v>
      </c>
      <c r="B217" s="1" t="s">
        <v>876</v>
      </c>
      <c r="C217" s="1" t="s">
        <v>102</v>
      </c>
      <c r="D217">
        <v>1</v>
      </c>
      <c r="E217">
        <v>1</v>
      </c>
      <c r="F217">
        <v>3500</v>
      </c>
      <c r="G217">
        <v>2975</v>
      </c>
      <c r="H217">
        <v>3004</v>
      </c>
      <c r="I217">
        <v>29</v>
      </c>
      <c r="J217" s="1" t="s">
        <v>59</v>
      </c>
      <c r="K217" s="2">
        <v>45915.921400462961</v>
      </c>
      <c r="L217" s="2">
        <v>45916.729780092595</v>
      </c>
      <c r="M217" s="2"/>
      <c r="N217" s="1" t="s">
        <v>61</v>
      </c>
      <c r="O217" s="1" t="s">
        <v>62</v>
      </c>
      <c r="P217" s="1" t="s">
        <v>61</v>
      </c>
      <c r="Q217" s="1" t="s">
        <v>103</v>
      </c>
      <c r="R217" s="2">
        <v>45927.841180555559</v>
      </c>
      <c r="S217" s="1" t="s">
        <v>848</v>
      </c>
      <c r="T217" s="1" t="s">
        <v>236</v>
      </c>
      <c r="U217">
        <v>516310</v>
      </c>
      <c r="V217" s="1" t="s">
        <v>66</v>
      </c>
      <c r="W217">
        <v>2975</v>
      </c>
      <c r="X217">
        <v>12</v>
      </c>
      <c r="Y217">
        <v>0</v>
      </c>
      <c r="Z217">
        <v>0</v>
      </c>
      <c r="AA217">
        <v>12</v>
      </c>
      <c r="AB217">
        <v>318.75</v>
      </c>
      <c r="AC217">
        <v>0</v>
      </c>
      <c r="AD217">
        <v>0</v>
      </c>
      <c r="AE217">
        <v>318.75</v>
      </c>
      <c r="AF217">
        <v>0.85</v>
      </c>
      <c r="AG217">
        <f>MarketPlace_Order_Report[[#This Row],[UnitPrice]]*MarketPlace_Order_Report[[#This Row],[OrderQty]]</f>
        <v>2975</v>
      </c>
      <c r="AH217">
        <f>IFERROR(MarketPlace_Order_Report[[#This Row],[CGSTAmount]]+MarketPlace_Order_Report[[#This Row],[SGSTAmount]]+MarketPlace_Order_Report[[#This Row],[IGSTAmount]],MarketPlace_Order_Report[[#This Row],[TaxAmount]])</f>
        <v>318.75</v>
      </c>
      <c r="AI217">
        <f>MarketPlace_Order_Report[[#This Row],[Gross Amount (Before Tax)]]+MarketPlace_Order_Report[[#This Row],[Total GST Amount]]</f>
        <v>3293.75</v>
      </c>
      <c r="AJ217" s="1" t="s">
        <v>875</v>
      </c>
    </row>
    <row r="218" spans="1:36">
      <c r="A218" s="1" t="s">
        <v>349</v>
      </c>
      <c r="B218" s="1" t="s">
        <v>876</v>
      </c>
      <c r="C218" s="1" t="s">
        <v>2475</v>
      </c>
      <c r="D218">
        <v>1</v>
      </c>
      <c r="E218">
        <v>1</v>
      </c>
      <c r="F218">
        <v>3500</v>
      </c>
      <c r="G218">
        <v>2975</v>
      </c>
      <c r="H218">
        <v>2997.1709999999998</v>
      </c>
      <c r="I218">
        <v>22.170999999999999</v>
      </c>
      <c r="J218" s="1" t="s">
        <v>72</v>
      </c>
      <c r="K218" s="2">
        <v>45911.545370370368</v>
      </c>
      <c r="L218" s="2">
        <v>45912.717002314814</v>
      </c>
      <c r="M218" s="2">
        <v>45915.67869212963</v>
      </c>
      <c r="N218" s="1" t="s">
        <v>61</v>
      </c>
      <c r="O218" s="1" t="s">
        <v>62</v>
      </c>
      <c r="P218" s="1" t="s">
        <v>61</v>
      </c>
      <c r="Q218" s="1" t="s">
        <v>61</v>
      </c>
      <c r="R218" s="2">
        <v>45915.681250000001</v>
      </c>
      <c r="S218" s="1" t="s">
        <v>352</v>
      </c>
      <c r="T218" s="1" t="s">
        <v>318</v>
      </c>
      <c r="U218">
        <v>440024</v>
      </c>
      <c r="V218" s="1" t="s">
        <v>66</v>
      </c>
      <c r="W218">
        <v>2975</v>
      </c>
      <c r="X218">
        <v>12</v>
      </c>
      <c r="Y218">
        <v>6</v>
      </c>
      <c r="Z218">
        <v>6</v>
      </c>
      <c r="AA218">
        <v>0</v>
      </c>
      <c r="AB218">
        <v>318.75</v>
      </c>
      <c r="AC218">
        <v>159.375</v>
      </c>
      <c r="AD218">
        <v>159.375</v>
      </c>
      <c r="AE218">
        <v>0</v>
      </c>
      <c r="AF218">
        <v>1.2</v>
      </c>
      <c r="AG218">
        <f>MarketPlace_Order_Report[[#This Row],[UnitPrice]]*MarketPlace_Order_Report[[#This Row],[OrderQty]]</f>
        <v>2975</v>
      </c>
      <c r="AH218">
        <f>IFERROR(MarketPlace_Order_Report[[#This Row],[CGSTAmount]]+MarketPlace_Order_Report[[#This Row],[SGSTAmount]]+MarketPlace_Order_Report[[#This Row],[IGSTAmount]],MarketPlace_Order_Report[[#This Row],[TaxAmount]])</f>
        <v>318.75</v>
      </c>
      <c r="AI218">
        <f>MarketPlace_Order_Report[[#This Row],[Gross Amount (Before Tax)]]+MarketPlace_Order_Report[[#This Row],[Total GST Amount]]</f>
        <v>3293.75</v>
      </c>
      <c r="AJ218" s="1" t="s">
        <v>350</v>
      </c>
    </row>
    <row r="219" spans="1:36">
      <c r="A219" s="1" t="s">
        <v>877</v>
      </c>
      <c r="B219" s="1" t="s">
        <v>876</v>
      </c>
      <c r="C219" s="1" t="s">
        <v>2475</v>
      </c>
      <c r="D219">
        <v>1</v>
      </c>
      <c r="E219">
        <v>1</v>
      </c>
      <c r="F219">
        <v>3500</v>
      </c>
      <c r="G219">
        <v>2975</v>
      </c>
      <c r="H219">
        <v>3004</v>
      </c>
      <c r="I219">
        <v>29</v>
      </c>
      <c r="J219" s="1" t="s">
        <v>59</v>
      </c>
      <c r="K219" s="2">
        <v>45903.849641203706</v>
      </c>
      <c r="L219" s="2">
        <v>45904.74255787037</v>
      </c>
      <c r="M219" s="2">
        <v>45908.622314814813</v>
      </c>
      <c r="N219" s="1" t="s">
        <v>61</v>
      </c>
      <c r="O219" s="1" t="s">
        <v>62</v>
      </c>
      <c r="P219" s="1" t="s">
        <v>61</v>
      </c>
      <c r="Q219" s="1" t="s">
        <v>61</v>
      </c>
      <c r="R219" s="2">
        <v>45908.625717592593</v>
      </c>
      <c r="S219" s="1" t="s">
        <v>879</v>
      </c>
      <c r="T219" s="1" t="s">
        <v>115</v>
      </c>
      <c r="U219">
        <v>625018</v>
      </c>
      <c r="V219" s="1" t="s">
        <v>66</v>
      </c>
      <c r="W219">
        <v>2975</v>
      </c>
      <c r="X219">
        <v>12</v>
      </c>
      <c r="Y219">
        <v>0</v>
      </c>
      <c r="Z219">
        <v>0</v>
      </c>
      <c r="AA219">
        <v>12</v>
      </c>
      <c r="AB219">
        <v>318.75</v>
      </c>
      <c r="AC219">
        <v>0</v>
      </c>
      <c r="AD219">
        <v>0</v>
      </c>
      <c r="AE219">
        <v>318.75</v>
      </c>
      <c r="AF219">
        <v>0.85</v>
      </c>
      <c r="AG219">
        <f>MarketPlace_Order_Report[[#This Row],[UnitPrice]]*MarketPlace_Order_Report[[#This Row],[OrderQty]]</f>
        <v>2975</v>
      </c>
      <c r="AH219">
        <f>IFERROR(MarketPlace_Order_Report[[#This Row],[CGSTAmount]]+MarketPlace_Order_Report[[#This Row],[SGSTAmount]]+MarketPlace_Order_Report[[#This Row],[IGSTAmount]],MarketPlace_Order_Report[[#This Row],[TaxAmount]])</f>
        <v>318.75</v>
      </c>
      <c r="AI219">
        <f>MarketPlace_Order_Report[[#This Row],[Gross Amount (Before Tax)]]+MarketPlace_Order_Report[[#This Row],[Total GST Amount]]</f>
        <v>3293.75</v>
      </c>
      <c r="AJ219" s="1" t="s">
        <v>878</v>
      </c>
    </row>
    <row r="220" spans="1:36">
      <c r="A220" s="1" t="s">
        <v>880</v>
      </c>
      <c r="B220" s="1" t="s">
        <v>882</v>
      </c>
      <c r="C220" s="1" t="s">
        <v>2475</v>
      </c>
      <c r="D220">
        <v>1</v>
      </c>
      <c r="E220">
        <v>1</v>
      </c>
      <c r="F220">
        <v>3500</v>
      </c>
      <c r="G220">
        <v>3150</v>
      </c>
      <c r="H220">
        <v>3159.76</v>
      </c>
      <c r="I220">
        <v>9.76</v>
      </c>
      <c r="J220" s="1" t="s">
        <v>59</v>
      </c>
      <c r="K220" s="2">
        <v>45929.019652777781</v>
      </c>
      <c r="L220" s="2">
        <v>45930.663194444445</v>
      </c>
      <c r="M220" s="2">
        <v>45931.54791666667</v>
      </c>
      <c r="N220" s="1" t="s">
        <v>61</v>
      </c>
      <c r="O220" s="1" t="s">
        <v>62</v>
      </c>
      <c r="P220" s="1" t="s">
        <v>61</v>
      </c>
      <c r="Q220" s="1" t="s">
        <v>61</v>
      </c>
      <c r="R220" s="2">
        <v>45931.556203703702</v>
      </c>
      <c r="S220" s="1" t="s">
        <v>108</v>
      </c>
      <c r="T220" s="1" t="s">
        <v>109</v>
      </c>
      <c r="U220">
        <v>500047</v>
      </c>
      <c r="V220" s="1" t="s">
        <v>66</v>
      </c>
      <c r="W220">
        <v>3150</v>
      </c>
      <c r="X220">
        <v>18</v>
      </c>
      <c r="Y220">
        <v>0</v>
      </c>
      <c r="Z220">
        <v>0</v>
      </c>
      <c r="AA220">
        <v>18</v>
      </c>
      <c r="AB220">
        <v>480.50799999999998</v>
      </c>
      <c r="AC220">
        <v>0</v>
      </c>
      <c r="AD220">
        <v>0</v>
      </c>
      <c r="AE220">
        <v>480.50799999999998</v>
      </c>
      <c r="AF220">
        <v>0.85</v>
      </c>
      <c r="AG220">
        <f>MarketPlace_Order_Report[[#This Row],[UnitPrice]]*MarketPlace_Order_Report[[#This Row],[OrderQty]]</f>
        <v>3150</v>
      </c>
      <c r="AH220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220">
        <f>MarketPlace_Order_Report[[#This Row],[Gross Amount (Before Tax)]]+MarketPlace_Order_Report[[#This Row],[Total GST Amount]]</f>
        <v>3630.5079999999998</v>
      </c>
      <c r="AJ220" s="1" t="s">
        <v>881</v>
      </c>
    </row>
    <row r="221" spans="1:36">
      <c r="A221" s="1" t="s">
        <v>453</v>
      </c>
      <c r="B221" s="1" t="s">
        <v>882</v>
      </c>
      <c r="C221" s="1" t="s">
        <v>2475</v>
      </c>
      <c r="D221">
        <v>1</v>
      </c>
      <c r="E221">
        <v>1</v>
      </c>
      <c r="F221">
        <v>3500</v>
      </c>
      <c r="G221">
        <v>3150</v>
      </c>
      <c r="H221">
        <v>3163.5329999999999</v>
      </c>
      <c r="I221">
        <v>13.532999999999999</v>
      </c>
      <c r="J221" s="1" t="s">
        <v>59</v>
      </c>
      <c r="K221" s="2">
        <v>45928.561898148146</v>
      </c>
      <c r="L221" s="2">
        <v>45930.709201388891</v>
      </c>
      <c r="M221" s="2">
        <v>45939.504444444443</v>
      </c>
      <c r="N221" s="1" t="s">
        <v>61</v>
      </c>
      <c r="O221" s="1" t="s">
        <v>62</v>
      </c>
      <c r="P221" s="1" t="s">
        <v>61</v>
      </c>
      <c r="Q221" s="1" t="s">
        <v>61</v>
      </c>
      <c r="R221" s="2">
        <v>45939.514814814815</v>
      </c>
      <c r="S221" s="1" t="s">
        <v>456</v>
      </c>
      <c r="T221" s="1" t="s">
        <v>83</v>
      </c>
      <c r="U221">
        <v>800020</v>
      </c>
      <c r="V221" s="1" t="s">
        <v>66</v>
      </c>
      <c r="W221">
        <v>3150</v>
      </c>
      <c r="X221">
        <v>18</v>
      </c>
      <c r="Y221">
        <v>0</v>
      </c>
      <c r="Z221">
        <v>0</v>
      </c>
      <c r="AA221">
        <v>18</v>
      </c>
      <c r="AB221">
        <v>480.50799999999998</v>
      </c>
      <c r="AC221">
        <v>0</v>
      </c>
      <c r="AD221">
        <v>0</v>
      </c>
      <c r="AE221">
        <v>480.50799999999998</v>
      </c>
      <c r="AF221">
        <v>1.2</v>
      </c>
      <c r="AG221">
        <f>MarketPlace_Order_Report[[#This Row],[UnitPrice]]*MarketPlace_Order_Report[[#This Row],[OrderQty]]</f>
        <v>3150</v>
      </c>
      <c r="AH221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AI221">
        <f>MarketPlace_Order_Report[[#This Row],[Gross Amount (Before Tax)]]+MarketPlace_Order_Report[[#This Row],[Total GST Amount]]</f>
        <v>3630.5079999999998</v>
      </c>
      <c r="AJ221" s="1" t="s">
        <v>454</v>
      </c>
    </row>
    <row r="222" spans="1:36" hidden="1">
      <c r="A222" s="1" t="s">
        <v>883</v>
      </c>
      <c r="B222" s="1" t="s">
        <v>885</v>
      </c>
      <c r="C222" s="1" t="s">
        <v>71</v>
      </c>
      <c r="D222">
        <v>1</v>
      </c>
      <c r="E222">
        <v>1</v>
      </c>
      <c r="F222">
        <v>3750</v>
      </c>
      <c r="G222">
        <v>3188</v>
      </c>
      <c r="H222">
        <v>3188</v>
      </c>
      <c r="I222">
        <v>0</v>
      </c>
      <c r="J222" s="1" t="s">
        <v>59</v>
      </c>
      <c r="K222" s="2">
        <v>45917.435034722221</v>
      </c>
      <c r="L222" s="2">
        <v>45918.700428240743</v>
      </c>
      <c r="M222" s="2">
        <v>45920.510138888887</v>
      </c>
      <c r="N222" s="1" t="s">
        <v>61</v>
      </c>
      <c r="O222" s="1" t="s">
        <v>62</v>
      </c>
      <c r="P222" s="1" t="s">
        <v>61</v>
      </c>
      <c r="Q222" s="1" t="s">
        <v>74</v>
      </c>
      <c r="R222" s="2">
        <v>45933.494004629632</v>
      </c>
      <c r="S222" s="1" t="s">
        <v>119</v>
      </c>
      <c r="T222" s="1" t="s">
        <v>120</v>
      </c>
      <c r="U222">
        <v>302001</v>
      </c>
      <c r="V222" s="1" t="s">
        <v>66</v>
      </c>
      <c r="W222">
        <v>3188</v>
      </c>
      <c r="X222">
        <v>12</v>
      </c>
      <c r="Y222">
        <v>0</v>
      </c>
      <c r="Z222">
        <v>0</v>
      </c>
      <c r="AA222">
        <v>12</v>
      </c>
      <c r="AB222">
        <v>341.57100000000003</v>
      </c>
      <c r="AC222">
        <v>0</v>
      </c>
      <c r="AD222">
        <v>0</v>
      </c>
      <c r="AE222">
        <v>341.57100000000003</v>
      </c>
      <c r="AF222">
        <v>0.85</v>
      </c>
      <c r="AG222">
        <f>MarketPlace_Order_Report[[#This Row],[UnitPrice]]*MarketPlace_Order_Report[[#This Row],[OrderQty]]</f>
        <v>3188</v>
      </c>
      <c r="AH222">
        <f>IFERROR(MarketPlace_Order_Report[[#This Row],[CGSTAmount]]+MarketPlace_Order_Report[[#This Row],[SGSTAmount]]+MarketPlace_Order_Report[[#This Row],[IGSTAmount]],MarketPlace_Order_Report[[#This Row],[TaxAmount]])</f>
        <v>341.57100000000003</v>
      </c>
      <c r="AI222">
        <f>MarketPlace_Order_Report[[#This Row],[Gross Amount (Before Tax)]]+MarketPlace_Order_Report[[#This Row],[Total GST Amount]]</f>
        <v>3529.5709999999999</v>
      </c>
      <c r="AJ222" s="1" t="s">
        <v>884</v>
      </c>
    </row>
    <row r="223" spans="1:36">
      <c r="A223" s="1" t="s">
        <v>886</v>
      </c>
      <c r="B223" s="1" t="s">
        <v>889</v>
      </c>
      <c r="C223" s="1" t="s">
        <v>2475</v>
      </c>
      <c r="D223">
        <v>1</v>
      </c>
      <c r="E223">
        <v>1</v>
      </c>
      <c r="F223">
        <v>4000</v>
      </c>
      <c r="G223">
        <v>3600</v>
      </c>
      <c r="H223">
        <v>3614.5</v>
      </c>
      <c r="I223">
        <v>14.5</v>
      </c>
      <c r="J223" s="1" t="s">
        <v>59</v>
      </c>
      <c r="K223" s="2">
        <v>45925.45045138889</v>
      </c>
      <c r="L223" s="2">
        <v>45925.72278935185</v>
      </c>
      <c r="M223" s="2">
        <v>45930.622453703705</v>
      </c>
      <c r="N223" s="1" t="s">
        <v>61</v>
      </c>
      <c r="O223" s="1" t="s">
        <v>62</v>
      </c>
      <c r="P223" s="1" t="s">
        <v>61</v>
      </c>
      <c r="Q223" s="1" t="s">
        <v>61</v>
      </c>
      <c r="R223" s="2">
        <v>45930.62605324074</v>
      </c>
      <c r="S223" s="1" t="s">
        <v>579</v>
      </c>
      <c r="T223" s="1" t="s">
        <v>231</v>
      </c>
      <c r="U223">
        <v>834009</v>
      </c>
      <c r="V223" s="1" t="s">
        <v>66</v>
      </c>
      <c r="W223">
        <v>3600</v>
      </c>
      <c r="X223">
        <v>18</v>
      </c>
      <c r="Y223">
        <v>0</v>
      </c>
      <c r="Z223">
        <v>0</v>
      </c>
      <c r="AA223">
        <v>18</v>
      </c>
      <c r="AB223">
        <v>549.15300000000002</v>
      </c>
      <c r="AC223">
        <v>0</v>
      </c>
      <c r="AD223">
        <v>0</v>
      </c>
      <c r="AE223">
        <v>549.15300000000002</v>
      </c>
      <c r="AF223">
        <v>1.2</v>
      </c>
      <c r="AG223">
        <f>MarketPlace_Order_Report[[#This Row],[UnitPrice]]*MarketPlace_Order_Report[[#This Row],[OrderQty]]</f>
        <v>3600</v>
      </c>
      <c r="AH22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223">
        <f>MarketPlace_Order_Report[[#This Row],[Gross Amount (Before Tax)]]+MarketPlace_Order_Report[[#This Row],[Total GST Amount]]</f>
        <v>4149.1530000000002</v>
      </c>
      <c r="AJ223" s="1" t="s">
        <v>887</v>
      </c>
    </row>
    <row r="224" spans="1:36" hidden="1">
      <c r="A224" s="1" t="s">
        <v>890</v>
      </c>
      <c r="B224" s="1" t="s">
        <v>893</v>
      </c>
      <c r="C224" s="1" t="s">
        <v>187</v>
      </c>
      <c r="D224">
        <v>1</v>
      </c>
      <c r="E224">
        <v>0</v>
      </c>
      <c r="F224">
        <v>4000</v>
      </c>
      <c r="G224">
        <v>3600</v>
      </c>
      <c r="H224">
        <v>3649</v>
      </c>
      <c r="I224">
        <v>49</v>
      </c>
      <c r="J224" s="1" t="s">
        <v>72</v>
      </c>
      <c r="K224" s="2">
        <v>45925.540092592593</v>
      </c>
      <c r="L224" s="2"/>
      <c r="M224" s="2"/>
      <c r="N224" s="1" t="s">
        <v>831</v>
      </c>
      <c r="O224" s="1" t="s">
        <v>62</v>
      </c>
      <c r="P224" s="1" t="s">
        <v>61</v>
      </c>
      <c r="Q224" s="1" t="s">
        <v>61</v>
      </c>
      <c r="R224" s="2">
        <v>45925.540810185186</v>
      </c>
      <c r="S224" s="1" t="s">
        <v>894</v>
      </c>
      <c r="T224" s="1" t="s">
        <v>503</v>
      </c>
      <c r="U224">
        <v>141001</v>
      </c>
      <c r="V224" s="1" t="s">
        <v>66</v>
      </c>
      <c r="W224">
        <v>3600</v>
      </c>
      <c r="X224">
        <v>18</v>
      </c>
      <c r="Y224">
        <v>0</v>
      </c>
      <c r="Z224">
        <v>0</v>
      </c>
      <c r="AA224">
        <v>18</v>
      </c>
      <c r="AB224">
        <v>549.15300000000002</v>
      </c>
      <c r="AC224">
        <v>0</v>
      </c>
      <c r="AD224">
        <v>0</v>
      </c>
      <c r="AE224">
        <v>549.15300000000002</v>
      </c>
      <c r="AG224">
        <f>MarketPlace_Order_Report[[#This Row],[UnitPrice]]*MarketPlace_Order_Report[[#This Row],[OrderQty]]</f>
        <v>3600</v>
      </c>
      <c r="AH224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224">
        <f>MarketPlace_Order_Report[[#This Row],[Gross Amount (Before Tax)]]+MarketPlace_Order_Report[[#This Row],[Total GST Amount]]</f>
        <v>4149.1530000000002</v>
      </c>
      <c r="AJ224" s="1" t="s">
        <v>891</v>
      </c>
    </row>
    <row r="225" spans="1:36" hidden="1">
      <c r="A225" s="1" t="s">
        <v>886</v>
      </c>
      <c r="B225" s="1" t="s">
        <v>895</v>
      </c>
      <c r="C225" s="1" t="s">
        <v>71</v>
      </c>
      <c r="D225">
        <v>1</v>
      </c>
      <c r="E225">
        <v>1</v>
      </c>
      <c r="F225">
        <v>4000</v>
      </c>
      <c r="G225">
        <v>3600</v>
      </c>
      <c r="H225">
        <v>3614.5</v>
      </c>
      <c r="I225">
        <v>14.5</v>
      </c>
      <c r="J225" s="1" t="s">
        <v>59</v>
      </c>
      <c r="K225" s="2">
        <v>45925.45045138889</v>
      </c>
      <c r="L225" s="2">
        <v>45925.72278935185</v>
      </c>
      <c r="M225" s="2">
        <v>45930.622453703705</v>
      </c>
      <c r="N225" s="1" t="s">
        <v>61</v>
      </c>
      <c r="O225" s="1" t="s">
        <v>62</v>
      </c>
      <c r="P225" s="1" t="s">
        <v>61</v>
      </c>
      <c r="Q225" s="1" t="s">
        <v>74</v>
      </c>
      <c r="R225" s="2">
        <v>45937.899953703702</v>
      </c>
      <c r="S225" s="1" t="s">
        <v>579</v>
      </c>
      <c r="T225" s="1" t="s">
        <v>231</v>
      </c>
      <c r="U225">
        <v>834009</v>
      </c>
      <c r="V225" s="1" t="s">
        <v>66</v>
      </c>
      <c r="W225">
        <v>3600</v>
      </c>
      <c r="X225">
        <v>18</v>
      </c>
      <c r="Y225">
        <v>0</v>
      </c>
      <c r="Z225">
        <v>0</v>
      </c>
      <c r="AA225">
        <v>18</v>
      </c>
      <c r="AB225">
        <v>549.15300000000002</v>
      </c>
      <c r="AC225">
        <v>0</v>
      </c>
      <c r="AD225">
        <v>0</v>
      </c>
      <c r="AE225">
        <v>549.15300000000002</v>
      </c>
      <c r="AF225">
        <v>1.2</v>
      </c>
      <c r="AG225">
        <f>MarketPlace_Order_Report[[#This Row],[UnitPrice]]*MarketPlace_Order_Report[[#This Row],[OrderQty]]</f>
        <v>3600</v>
      </c>
      <c r="AH22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225">
        <f>MarketPlace_Order_Report[[#This Row],[Gross Amount (Before Tax)]]+MarketPlace_Order_Report[[#This Row],[Total GST Amount]]</f>
        <v>4149.1530000000002</v>
      </c>
      <c r="AJ225" s="1" t="s">
        <v>887</v>
      </c>
    </row>
    <row r="226" spans="1:36" hidden="1">
      <c r="A226" s="1" t="s">
        <v>896</v>
      </c>
      <c r="B226" s="1" t="s">
        <v>899</v>
      </c>
      <c r="C226" s="1" t="s">
        <v>71</v>
      </c>
      <c r="D226">
        <v>1</v>
      </c>
      <c r="E226">
        <v>1</v>
      </c>
      <c r="F226">
        <v>4000</v>
      </c>
      <c r="G226">
        <v>3400</v>
      </c>
      <c r="H226">
        <v>3449</v>
      </c>
      <c r="I226">
        <v>49</v>
      </c>
      <c r="J226" s="1" t="s">
        <v>72</v>
      </c>
      <c r="K226" s="2">
        <v>45917.959861111114</v>
      </c>
      <c r="L226" s="2">
        <v>45918.700266203705</v>
      </c>
      <c r="M226" s="2">
        <v>45923.721747685187</v>
      </c>
      <c r="N226" s="1" t="s">
        <v>61</v>
      </c>
      <c r="O226" s="1" t="s">
        <v>62</v>
      </c>
      <c r="P226" s="1" t="s">
        <v>61</v>
      </c>
      <c r="Q226" s="1" t="s">
        <v>74</v>
      </c>
      <c r="R226" s="2">
        <v>45939.625960648147</v>
      </c>
      <c r="S226" s="1" t="s">
        <v>900</v>
      </c>
      <c r="T226" s="1" t="s">
        <v>231</v>
      </c>
      <c r="U226">
        <v>828106</v>
      </c>
      <c r="V226" s="1" t="s">
        <v>66</v>
      </c>
      <c r="W226">
        <v>3400</v>
      </c>
      <c r="X226">
        <v>12</v>
      </c>
      <c r="Y226">
        <v>0</v>
      </c>
      <c r="Z226">
        <v>0</v>
      </c>
      <c r="AA226">
        <v>12</v>
      </c>
      <c r="AB226">
        <v>364.286</v>
      </c>
      <c r="AC226">
        <v>0</v>
      </c>
      <c r="AD226">
        <v>0</v>
      </c>
      <c r="AE226">
        <v>364.286</v>
      </c>
      <c r="AF226">
        <v>0.85</v>
      </c>
      <c r="AG226">
        <f>MarketPlace_Order_Report[[#This Row],[UnitPrice]]*MarketPlace_Order_Report[[#This Row],[OrderQty]]</f>
        <v>3400</v>
      </c>
      <c r="AH226">
        <f>IFERROR(MarketPlace_Order_Report[[#This Row],[CGSTAmount]]+MarketPlace_Order_Report[[#This Row],[SGSTAmount]]+MarketPlace_Order_Report[[#This Row],[IGSTAmount]],MarketPlace_Order_Report[[#This Row],[TaxAmount]])</f>
        <v>364.286</v>
      </c>
      <c r="AI226">
        <f>MarketPlace_Order_Report[[#This Row],[Gross Amount (Before Tax)]]+MarketPlace_Order_Report[[#This Row],[Total GST Amount]]</f>
        <v>3764.2860000000001</v>
      </c>
      <c r="AJ226" s="1" t="s">
        <v>897</v>
      </c>
    </row>
    <row r="227" spans="1:36" hidden="1">
      <c r="A227" s="1" t="s">
        <v>901</v>
      </c>
      <c r="B227" s="1" t="s">
        <v>904</v>
      </c>
      <c r="C227" s="1" t="s">
        <v>102</v>
      </c>
      <c r="D227">
        <v>1</v>
      </c>
      <c r="E227">
        <v>1</v>
      </c>
      <c r="F227">
        <v>4000</v>
      </c>
      <c r="G227">
        <v>3600</v>
      </c>
      <c r="H227">
        <v>3649</v>
      </c>
      <c r="I227">
        <v>49</v>
      </c>
      <c r="J227" s="1" t="s">
        <v>72</v>
      </c>
      <c r="K227" s="2">
        <v>45925.025324074071</v>
      </c>
      <c r="L227" s="2">
        <v>45925.616585648146</v>
      </c>
      <c r="M227" s="2"/>
      <c r="N227" s="1" t="s">
        <v>61</v>
      </c>
      <c r="O227" s="1" t="s">
        <v>62</v>
      </c>
      <c r="P227" s="1" t="s">
        <v>61</v>
      </c>
      <c r="Q227" s="1" t="s">
        <v>103</v>
      </c>
      <c r="R227" s="2">
        <v>45954.629363425927</v>
      </c>
      <c r="S227" s="1" t="s">
        <v>98</v>
      </c>
      <c r="T227" s="1" t="s">
        <v>99</v>
      </c>
      <c r="U227">
        <v>122050</v>
      </c>
      <c r="V227" s="1" t="s">
        <v>66</v>
      </c>
      <c r="W227">
        <v>3600</v>
      </c>
      <c r="X227">
        <v>18</v>
      </c>
      <c r="Y227">
        <v>0</v>
      </c>
      <c r="Z227">
        <v>0</v>
      </c>
      <c r="AA227">
        <v>18</v>
      </c>
      <c r="AB227">
        <v>549.15300000000002</v>
      </c>
      <c r="AC227">
        <v>0</v>
      </c>
      <c r="AD227">
        <v>0</v>
      </c>
      <c r="AE227">
        <v>549.15300000000002</v>
      </c>
      <c r="AF227">
        <v>0.85</v>
      </c>
      <c r="AG227">
        <f>MarketPlace_Order_Report[[#This Row],[UnitPrice]]*MarketPlace_Order_Report[[#This Row],[OrderQty]]</f>
        <v>3600</v>
      </c>
      <c r="AH227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AI227">
        <f>MarketPlace_Order_Report[[#This Row],[Gross Amount (Before Tax)]]+MarketPlace_Order_Report[[#This Row],[Total GST Amount]]</f>
        <v>4149.1530000000002</v>
      </c>
      <c r="AJ227" s="1" t="s">
        <v>902</v>
      </c>
    </row>
    <row r="228" spans="1:36" hidden="1">
      <c r="A228" s="1" t="s">
        <v>905</v>
      </c>
      <c r="B228" s="1" t="s">
        <v>908</v>
      </c>
      <c r="C228" s="1" t="s">
        <v>71</v>
      </c>
      <c r="D228">
        <v>1</v>
      </c>
      <c r="E228">
        <v>1</v>
      </c>
      <c r="F228">
        <v>4000</v>
      </c>
      <c r="G228">
        <v>3600</v>
      </c>
      <c r="H228">
        <v>3649</v>
      </c>
      <c r="I228">
        <v>49</v>
      </c>
      <c r="J228" s="1" t="s">
        <v>72</v>
      </c>
      <c r="K228" s="2">
        <v>45929.076678240737</v>
      </c>
      <c r="L228" s="2">
        <v>45930.709224537037</v>
      </c>
      <c r="M228" s="2">
        <v>45933.600219907406</v>
      </c>
      <c r="N228" s="1" t="s">
        <v>61</v>
      </c>
      <c r="O228" s="1" t="s">
        <v>62</v>
      </c>
      <c r="P228" s="1" t="s">
        <v>61</v>
      </c>
      <c r="Q228" s="1" t="s">
        <v>74</v>
      </c>
      <c r="R228" s="2">
        <v>45941.837777777779</v>
      </c>
      <c r="S228" s="1" t="s">
        <v>909</v>
      </c>
      <c r="T228" s="1" t="s">
        <v>318</v>
      </c>
      <c r="U228">
        <v>443101</v>
      </c>
      <c r="V228" s="1" t="s">
        <v>66</v>
      </c>
      <c r="W228">
        <v>3600</v>
      </c>
      <c r="X228">
        <v>18</v>
      </c>
      <c r="Y228">
        <v>9</v>
      </c>
      <c r="Z228">
        <v>9</v>
      </c>
      <c r="AA228">
        <v>0</v>
      </c>
      <c r="AB228">
        <v>549.15300000000002</v>
      </c>
      <c r="AC228">
        <v>274.577</v>
      </c>
      <c r="AD228">
        <v>274.577</v>
      </c>
      <c r="AE228">
        <v>0</v>
      </c>
      <c r="AF228">
        <v>0.85</v>
      </c>
      <c r="AG228">
        <f>MarketPlace_Order_Report[[#This Row],[UnitPrice]]*MarketPlace_Order_Report[[#This Row],[OrderQty]]</f>
        <v>3600</v>
      </c>
      <c r="AH228">
        <f>IFERROR(MarketPlace_Order_Report[[#This Row],[CGSTAmount]]+MarketPlace_Order_Report[[#This Row],[SGSTAmount]]+MarketPlace_Order_Report[[#This Row],[IGSTAmount]],MarketPlace_Order_Report[[#This Row],[TaxAmount]])</f>
        <v>549.154</v>
      </c>
      <c r="AI228">
        <f>MarketPlace_Order_Report[[#This Row],[Gross Amount (Before Tax)]]+MarketPlace_Order_Report[[#This Row],[Total GST Amount]]</f>
        <v>4149.1540000000005</v>
      </c>
      <c r="AJ228" s="1" t="s">
        <v>906</v>
      </c>
    </row>
    <row r="229" spans="1:36">
      <c r="A229" s="1" t="s">
        <v>397</v>
      </c>
      <c r="B229" s="1" t="s">
        <v>910</v>
      </c>
      <c r="C229" s="1" t="s">
        <v>2475</v>
      </c>
      <c r="D229">
        <v>1</v>
      </c>
      <c r="E229">
        <v>1</v>
      </c>
      <c r="F229">
        <v>4000</v>
      </c>
      <c r="G229">
        <v>3400</v>
      </c>
      <c r="H229">
        <v>3414.5540000000001</v>
      </c>
      <c r="I229">
        <v>14.554</v>
      </c>
      <c r="J229" s="1" t="s">
        <v>59</v>
      </c>
      <c r="K229" s="2">
        <v>45918.817280092589</v>
      </c>
      <c r="L229" s="2">
        <v>45919.696516203701</v>
      </c>
      <c r="M229" s="2">
        <v>45921.628634259258</v>
      </c>
      <c r="N229" s="1" t="s">
        <v>61</v>
      </c>
      <c r="O229" s="1" t="s">
        <v>62</v>
      </c>
      <c r="P229" s="1" t="s">
        <v>61</v>
      </c>
      <c r="Q229" s="1" t="s">
        <v>61</v>
      </c>
      <c r="R229" s="2">
        <v>45921.636296296296</v>
      </c>
      <c r="S229" s="1" t="s">
        <v>94</v>
      </c>
      <c r="T229" s="1" t="s">
        <v>77</v>
      </c>
      <c r="U229">
        <v>208001</v>
      </c>
      <c r="V229" s="1" t="s">
        <v>66</v>
      </c>
      <c r="W229">
        <v>3400</v>
      </c>
      <c r="X229">
        <v>12</v>
      </c>
      <c r="Y229">
        <v>0</v>
      </c>
      <c r="Z229">
        <v>0</v>
      </c>
      <c r="AA229">
        <v>12</v>
      </c>
      <c r="AB229">
        <v>364.286</v>
      </c>
      <c r="AC229">
        <v>0</v>
      </c>
      <c r="AD229">
        <v>0</v>
      </c>
      <c r="AE229">
        <v>364.286</v>
      </c>
      <c r="AF229">
        <v>1.2</v>
      </c>
      <c r="AG229">
        <f>MarketPlace_Order_Report[[#This Row],[UnitPrice]]*MarketPlace_Order_Report[[#This Row],[OrderQty]]</f>
        <v>3400</v>
      </c>
      <c r="AH229">
        <f>IFERROR(MarketPlace_Order_Report[[#This Row],[CGSTAmount]]+MarketPlace_Order_Report[[#This Row],[SGSTAmount]]+MarketPlace_Order_Report[[#This Row],[IGSTAmount]],MarketPlace_Order_Report[[#This Row],[TaxAmount]])</f>
        <v>364.286</v>
      </c>
      <c r="AI229">
        <f>MarketPlace_Order_Report[[#This Row],[Gross Amount (Before Tax)]]+MarketPlace_Order_Report[[#This Row],[Total GST Amount]]</f>
        <v>3764.2860000000001</v>
      </c>
      <c r="AJ229" s="1" t="s">
        <v>398</v>
      </c>
    </row>
    <row r="230" spans="1:36">
      <c r="A230" s="1" t="s">
        <v>911</v>
      </c>
      <c r="B230" s="1" t="s">
        <v>910</v>
      </c>
      <c r="C230" s="1" t="s">
        <v>2475</v>
      </c>
      <c r="D230">
        <v>1</v>
      </c>
      <c r="E230">
        <v>1</v>
      </c>
      <c r="F230">
        <v>4000</v>
      </c>
      <c r="G230">
        <v>3400</v>
      </c>
      <c r="H230">
        <v>3417.3</v>
      </c>
      <c r="I230">
        <v>17.3</v>
      </c>
      <c r="J230" s="1" t="s">
        <v>59</v>
      </c>
      <c r="K230" s="2">
        <v>45904.539259259262</v>
      </c>
      <c r="L230" s="2">
        <v>45904.636157407411</v>
      </c>
      <c r="M230" s="2">
        <v>45906.516527777778</v>
      </c>
      <c r="N230" s="1" t="s">
        <v>61</v>
      </c>
      <c r="O230" s="1" t="s">
        <v>62</v>
      </c>
      <c r="P230" s="1" t="s">
        <v>61</v>
      </c>
      <c r="Q230" s="1" t="s">
        <v>61</v>
      </c>
      <c r="R230" s="2">
        <v>45906.525057870371</v>
      </c>
      <c r="S230" s="1" t="s">
        <v>324</v>
      </c>
      <c r="T230" s="1" t="s">
        <v>318</v>
      </c>
      <c r="U230">
        <v>411007</v>
      </c>
      <c r="V230" s="1" t="s">
        <v>66</v>
      </c>
      <c r="W230">
        <v>3400</v>
      </c>
      <c r="X230">
        <v>12</v>
      </c>
      <c r="Y230">
        <v>6</v>
      </c>
      <c r="Z230">
        <v>6</v>
      </c>
      <c r="AA230">
        <v>0</v>
      </c>
      <c r="AB230">
        <v>364.286</v>
      </c>
      <c r="AC230">
        <v>182.143</v>
      </c>
      <c r="AD230">
        <v>182.143</v>
      </c>
      <c r="AE230">
        <v>0</v>
      </c>
      <c r="AF230">
        <v>0.85</v>
      </c>
      <c r="AG230">
        <f>MarketPlace_Order_Report[[#This Row],[UnitPrice]]*MarketPlace_Order_Report[[#This Row],[OrderQty]]</f>
        <v>3400</v>
      </c>
      <c r="AH230">
        <f>IFERROR(MarketPlace_Order_Report[[#This Row],[CGSTAmount]]+MarketPlace_Order_Report[[#This Row],[SGSTAmount]]+MarketPlace_Order_Report[[#This Row],[IGSTAmount]],MarketPlace_Order_Report[[#This Row],[TaxAmount]])</f>
        <v>364.286</v>
      </c>
      <c r="AI230">
        <f>MarketPlace_Order_Report[[#This Row],[Gross Amount (Before Tax)]]+MarketPlace_Order_Report[[#This Row],[Total GST Amount]]</f>
        <v>3764.2860000000001</v>
      </c>
      <c r="AJ230" s="1" t="s">
        <v>912</v>
      </c>
    </row>
    <row r="231" spans="1:36">
      <c r="A231" s="1" t="s">
        <v>913</v>
      </c>
      <c r="B231" s="1" t="s">
        <v>916</v>
      </c>
      <c r="C231" s="1" t="s">
        <v>2475</v>
      </c>
      <c r="D231">
        <v>1</v>
      </c>
      <c r="E231">
        <v>1</v>
      </c>
      <c r="F231">
        <v>4000</v>
      </c>
      <c r="G231">
        <v>3400</v>
      </c>
      <c r="H231">
        <v>3400</v>
      </c>
      <c r="I231">
        <v>0</v>
      </c>
      <c r="J231" s="1" t="s">
        <v>59</v>
      </c>
      <c r="K231" s="2">
        <v>45908.567314814813</v>
      </c>
      <c r="L231" s="2">
        <v>45909.717719907407</v>
      </c>
      <c r="M231" s="2">
        <v>45913.646203703705</v>
      </c>
      <c r="N231" s="1" t="s">
        <v>61</v>
      </c>
      <c r="O231" s="1" t="s">
        <v>62</v>
      </c>
      <c r="P231" s="1" t="s">
        <v>61</v>
      </c>
      <c r="Q231" s="1" t="s">
        <v>61</v>
      </c>
      <c r="R231" s="2">
        <v>45913.646655092591</v>
      </c>
      <c r="S231" s="1" t="s">
        <v>136</v>
      </c>
      <c r="T231" s="1" t="s">
        <v>77</v>
      </c>
      <c r="U231">
        <v>201301</v>
      </c>
      <c r="V231" s="1" t="s">
        <v>66</v>
      </c>
      <c r="W231">
        <v>3400</v>
      </c>
      <c r="X231">
        <v>12</v>
      </c>
      <c r="Y231">
        <v>0</v>
      </c>
      <c r="Z231">
        <v>0</v>
      </c>
      <c r="AA231">
        <v>12</v>
      </c>
      <c r="AB231">
        <v>364.286</v>
      </c>
      <c r="AC231">
        <v>0</v>
      </c>
      <c r="AD231">
        <v>0</v>
      </c>
      <c r="AE231">
        <v>364.286</v>
      </c>
      <c r="AF231">
        <v>0.85</v>
      </c>
      <c r="AG231">
        <f>MarketPlace_Order_Report[[#This Row],[UnitPrice]]*MarketPlace_Order_Report[[#This Row],[OrderQty]]</f>
        <v>3400</v>
      </c>
      <c r="AH231">
        <f>IFERROR(MarketPlace_Order_Report[[#This Row],[CGSTAmount]]+MarketPlace_Order_Report[[#This Row],[SGSTAmount]]+MarketPlace_Order_Report[[#This Row],[IGSTAmount]],MarketPlace_Order_Report[[#This Row],[TaxAmount]])</f>
        <v>364.286</v>
      </c>
      <c r="AI231">
        <f>MarketPlace_Order_Report[[#This Row],[Gross Amount (Before Tax)]]+MarketPlace_Order_Report[[#This Row],[Total GST Amount]]</f>
        <v>3764.2860000000001</v>
      </c>
      <c r="AJ231" s="1" t="s">
        <v>914</v>
      </c>
    </row>
    <row r="232" spans="1:36" hidden="1">
      <c r="A232" s="1" t="s">
        <v>917</v>
      </c>
      <c r="B232" s="1" t="s">
        <v>920</v>
      </c>
      <c r="C232" s="1" t="s">
        <v>71</v>
      </c>
      <c r="D232">
        <v>1</v>
      </c>
      <c r="E232">
        <v>1</v>
      </c>
      <c r="F232">
        <v>4000</v>
      </c>
      <c r="G232">
        <v>3400</v>
      </c>
      <c r="H232">
        <v>3411.58</v>
      </c>
      <c r="I232">
        <v>11.58</v>
      </c>
      <c r="J232" s="1" t="s">
        <v>59</v>
      </c>
      <c r="K232" s="2">
        <v>45913.972222222219</v>
      </c>
      <c r="L232" s="2">
        <v>45917.634189814817</v>
      </c>
      <c r="M232" s="2">
        <v>45921.679375</v>
      </c>
      <c r="N232" s="1" t="s">
        <v>61</v>
      </c>
      <c r="O232" s="1" t="s">
        <v>62</v>
      </c>
      <c r="P232" s="1" t="s">
        <v>61</v>
      </c>
      <c r="Q232" s="1" t="s">
        <v>74</v>
      </c>
      <c r="R232" s="2">
        <v>45929.598124999997</v>
      </c>
      <c r="S232" s="1" t="s">
        <v>197</v>
      </c>
      <c r="T232" s="1" t="s">
        <v>65</v>
      </c>
      <c r="U232">
        <v>560005</v>
      </c>
      <c r="V232" s="1" t="s">
        <v>66</v>
      </c>
      <c r="W232">
        <v>3400</v>
      </c>
      <c r="X232">
        <v>12</v>
      </c>
      <c r="Y232">
        <v>0</v>
      </c>
      <c r="Z232">
        <v>0</v>
      </c>
      <c r="AA232">
        <v>12</v>
      </c>
      <c r="AB232">
        <v>364.286</v>
      </c>
      <c r="AC232">
        <v>0</v>
      </c>
      <c r="AD232">
        <v>0</v>
      </c>
      <c r="AE232">
        <v>364.286</v>
      </c>
      <c r="AF232">
        <v>0.85</v>
      </c>
      <c r="AG232">
        <f>MarketPlace_Order_Report[[#This Row],[UnitPrice]]*MarketPlace_Order_Report[[#This Row],[OrderQty]]</f>
        <v>3400</v>
      </c>
      <c r="AH232">
        <f>IFERROR(MarketPlace_Order_Report[[#This Row],[CGSTAmount]]+MarketPlace_Order_Report[[#This Row],[SGSTAmount]]+MarketPlace_Order_Report[[#This Row],[IGSTAmount]],MarketPlace_Order_Report[[#This Row],[TaxAmount]])</f>
        <v>364.286</v>
      </c>
      <c r="AI232">
        <f>MarketPlace_Order_Report[[#This Row],[Gross Amount (Before Tax)]]+MarketPlace_Order_Report[[#This Row],[Total GST Amount]]</f>
        <v>3764.2860000000001</v>
      </c>
      <c r="AJ232" s="1" t="s">
        <v>918</v>
      </c>
    </row>
    <row r="233" spans="1:36" hidden="1">
      <c r="A233" s="1" t="s">
        <v>921</v>
      </c>
      <c r="B233" s="1" t="s">
        <v>920</v>
      </c>
      <c r="C233" s="1" t="s">
        <v>71</v>
      </c>
      <c r="D233">
        <v>1</v>
      </c>
      <c r="E233">
        <v>1</v>
      </c>
      <c r="F233">
        <v>4000</v>
      </c>
      <c r="G233">
        <v>3400</v>
      </c>
      <c r="H233">
        <v>3425.44</v>
      </c>
      <c r="I233">
        <v>25.44</v>
      </c>
      <c r="J233" s="1" t="s">
        <v>72</v>
      </c>
      <c r="K233" s="2">
        <v>45906.516689814816</v>
      </c>
      <c r="L233" s="2">
        <v>45909.717719907407</v>
      </c>
      <c r="M233" s="2">
        <v>45912.501423611109</v>
      </c>
      <c r="N233" s="1" t="s">
        <v>61</v>
      </c>
      <c r="O233" s="1" t="s">
        <v>62</v>
      </c>
      <c r="P233" s="1" t="s">
        <v>61</v>
      </c>
      <c r="Q233" s="1" t="s">
        <v>74</v>
      </c>
      <c r="R233" s="2">
        <v>45918.789131944446</v>
      </c>
      <c r="S233" s="1" t="s">
        <v>197</v>
      </c>
      <c r="T233" s="1" t="s">
        <v>65</v>
      </c>
      <c r="U233">
        <v>560010</v>
      </c>
      <c r="V233" s="1" t="s">
        <v>66</v>
      </c>
      <c r="W233">
        <v>3400</v>
      </c>
      <c r="X233">
        <v>12</v>
      </c>
      <c r="Y233">
        <v>0</v>
      </c>
      <c r="Z233">
        <v>0</v>
      </c>
      <c r="AA233">
        <v>12</v>
      </c>
      <c r="AB233">
        <v>364.286</v>
      </c>
      <c r="AC233">
        <v>0</v>
      </c>
      <c r="AD233">
        <v>0</v>
      </c>
      <c r="AE233">
        <v>364.286</v>
      </c>
      <c r="AF233">
        <v>0.85</v>
      </c>
      <c r="AG233">
        <f>MarketPlace_Order_Report[[#This Row],[UnitPrice]]*MarketPlace_Order_Report[[#This Row],[OrderQty]]</f>
        <v>3400</v>
      </c>
      <c r="AH233">
        <f>IFERROR(MarketPlace_Order_Report[[#This Row],[CGSTAmount]]+MarketPlace_Order_Report[[#This Row],[SGSTAmount]]+MarketPlace_Order_Report[[#This Row],[IGSTAmount]],MarketPlace_Order_Report[[#This Row],[TaxAmount]])</f>
        <v>364.286</v>
      </c>
      <c r="AI233">
        <f>MarketPlace_Order_Report[[#This Row],[Gross Amount (Before Tax)]]+MarketPlace_Order_Report[[#This Row],[Total GST Amount]]</f>
        <v>3764.2860000000001</v>
      </c>
      <c r="AJ233" s="1" t="s">
        <v>922</v>
      </c>
    </row>
    <row r="234" spans="1:36">
      <c r="A234" s="1" t="s">
        <v>923</v>
      </c>
      <c r="B234" s="1" t="s">
        <v>926</v>
      </c>
      <c r="C234" s="1" t="s">
        <v>2475</v>
      </c>
      <c r="D234">
        <v>1</v>
      </c>
      <c r="E234">
        <v>1</v>
      </c>
      <c r="F234">
        <v>4000</v>
      </c>
      <c r="G234">
        <v>3400</v>
      </c>
      <c r="H234">
        <v>3449</v>
      </c>
      <c r="I234">
        <v>49</v>
      </c>
      <c r="J234" s="1" t="s">
        <v>72</v>
      </c>
      <c r="K234" s="2">
        <v>45902.65284722222</v>
      </c>
      <c r="L234" s="2">
        <v>45903.615185185183</v>
      </c>
      <c r="M234" s="2">
        <v>45909.526875000003</v>
      </c>
      <c r="N234" s="1" t="s">
        <v>61</v>
      </c>
      <c r="O234" s="1" t="s">
        <v>62</v>
      </c>
      <c r="P234" s="1" t="s">
        <v>61</v>
      </c>
      <c r="Q234" s="1" t="s">
        <v>61</v>
      </c>
      <c r="R234" s="2">
        <v>45909.546122685184</v>
      </c>
      <c r="S234" s="1" t="s">
        <v>927</v>
      </c>
      <c r="T234" s="1" t="s">
        <v>183</v>
      </c>
      <c r="U234">
        <v>110026</v>
      </c>
      <c r="V234" s="1" t="s">
        <v>66</v>
      </c>
      <c r="W234">
        <v>3400</v>
      </c>
      <c r="X234">
        <v>12</v>
      </c>
      <c r="Y234">
        <v>0</v>
      </c>
      <c r="Z234">
        <v>0</v>
      </c>
      <c r="AA234">
        <v>12</v>
      </c>
      <c r="AB234">
        <v>364.286</v>
      </c>
      <c r="AC234">
        <v>0</v>
      </c>
      <c r="AD234">
        <v>0</v>
      </c>
      <c r="AE234">
        <v>364.286</v>
      </c>
      <c r="AF234">
        <v>0.85</v>
      </c>
      <c r="AG234">
        <f>MarketPlace_Order_Report[[#This Row],[UnitPrice]]*MarketPlace_Order_Report[[#This Row],[OrderQty]]</f>
        <v>3400</v>
      </c>
      <c r="AH234">
        <f>IFERROR(MarketPlace_Order_Report[[#This Row],[CGSTAmount]]+MarketPlace_Order_Report[[#This Row],[SGSTAmount]]+MarketPlace_Order_Report[[#This Row],[IGSTAmount]],MarketPlace_Order_Report[[#This Row],[TaxAmount]])</f>
        <v>364.286</v>
      </c>
      <c r="AI234">
        <f>MarketPlace_Order_Report[[#This Row],[Gross Amount (Before Tax)]]+MarketPlace_Order_Report[[#This Row],[Total GST Amount]]</f>
        <v>3764.2860000000001</v>
      </c>
      <c r="AJ234" s="1" t="s">
        <v>924</v>
      </c>
    </row>
    <row r="250" spans="2:11">
      <c r="B250" s="16" t="s">
        <v>2468</v>
      </c>
      <c r="C250" t="s">
        <v>2470</v>
      </c>
      <c r="G250" s="16" t="s">
        <v>2468</v>
      </c>
      <c r="H250" t="s">
        <v>2470</v>
      </c>
      <c r="J250" s="16" t="s">
        <v>2468</v>
      </c>
      <c r="K250" t="s">
        <v>2470</v>
      </c>
    </row>
    <row r="251" spans="2:11">
      <c r="B251" s="17" t="s">
        <v>58</v>
      </c>
      <c r="C251" s="1">
        <v>408518.17100000003</v>
      </c>
      <c r="G251" s="17" t="s">
        <v>543</v>
      </c>
      <c r="H251" s="1">
        <v>14379.023999999999</v>
      </c>
      <c r="J251" s="17" t="s">
        <v>543</v>
      </c>
      <c r="K251" s="18">
        <v>14379.023999999999</v>
      </c>
    </row>
    <row r="252" spans="2:11">
      <c r="B252" s="17" t="s">
        <v>71</v>
      </c>
      <c r="C252" s="1">
        <v>282126.16100000008</v>
      </c>
      <c r="G252" s="17" t="s">
        <v>287</v>
      </c>
      <c r="H252" s="1">
        <v>12639.225</v>
      </c>
      <c r="J252" s="17" t="s">
        <v>287</v>
      </c>
      <c r="K252" s="18">
        <v>12639.225</v>
      </c>
    </row>
    <row r="253" spans="2:11">
      <c r="B253" s="17" t="s">
        <v>102</v>
      </c>
      <c r="C253" s="1">
        <v>77916.108000000007</v>
      </c>
      <c r="G253" s="17" t="s">
        <v>322</v>
      </c>
      <c r="H253" s="1">
        <v>12284.02</v>
      </c>
      <c r="J253" s="17" t="s">
        <v>322</v>
      </c>
      <c r="K253" s="18">
        <v>12284.02</v>
      </c>
    </row>
    <row r="254" spans="2:11">
      <c r="B254" s="17" t="s">
        <v>187</v>
      </c>
      <c r="C254" s="1">
        <v>46759.280999999995</v>
      </c>
      <c r="G254" s="17" t="s">
        <v>507</v>
      </c>
      <c r="H254" s="1">
        <v>11677.725</v>
      </c>
      <c r="J254" s="17" t="s">
        <v>507</v>
      </c>
      <c r="K254" s="18">
        <v>11677.725</v>
      </c>
    </row>
    <row r="255" spans="2:11">
      <c r="B255" s="17" t="s">
        <v>413</v>
      </c>
      <c r="C255" s="1">
        <v>9775.344000000001</v>
      </c>
      <c r="G255" s="17" t="s">
        <v>455</v>
      </c>
      <c r="H255" s="1">
        <v>11677.725</v>
      </c>
      <c r="J255" s="17" t="s">
        <v>455</v>
      </c>
      <c r="K255" s="18">
        <v>11677.725</v>
      </c>
    </row>
    <row r="256" spans="2:11">
      <c r="B256" s="17" t="s">
        <v>2469</v>
      </c>
      <c r="C256" s="1">
        <v>825095.06500000018</v>
      </c>
      <c r="G256" s="17" t="s">
        <v>536</v>
      </c>
      <c r="H256" s="1">
        <v>10748.516</v>
      </c>
      <c r="J256" s="17" t="s">
        <v>536</v>
      </c>
      <c r="K256" s="18">
        <v>10748.516</v>
      </c>
    </row>
    <row r="257" spans="7:11">
      <c r="G257" s="17" t="s">
        <v>859</v>
      </c>
      <c r="H257" s="1">
        <v>10554.766</v>
      </c>
      <c r="J257" s="17" t="s">
        <v>859</v>
      </c>
      <c r="K257" s="18">
        <v>10554.766</v>
      </c>
    </row>
    <row r="258" spans="7:11">
      <c r="G258" s="17" t="s">
        <v>817</v>
      </c>
      <c r="H258" s="1">
        <v>10372.882</v>
      </c>
      <c r="J258" s="17" t="s">
        <v>817</v>
      </c>
      <c r="K258" s="18">
        <v>10372.882</v>
      </c>
    </row>
    <row r="259" spans="7:11">
      <c r="G259" s="17" t="s">
        <v>876</v>
      </c>
      <c r="H259" s="1">
        <v>9881.25</v>
      </c>
      <c r="J259" s="17" t="s">
        <v>876</v>
      </c>
      <c r="K259" s="18">
        <v>9881.25</v>
      </c>
    </row>
    <row r="260" spans="7:11">
      <c r="G260" s="17" t="s">
        <v>810</v>
      </c>
      <c r="H260" s="1">
        <v>8303.5720000000001</v>
      </c>
      <c r="J260" s="17" t="s">
        <v>810</v>
      </c>
      <c r="K260" s="18">
        <v>8303.5720000000001</v>
      </c>
    </row>
    <row r="261" spans="7:11">
      <c r="G261" s="17" t="s">
        <v>432</v>
      </c>
      <c r="H261" s="1">
        <v>8298.3060000000005</v>
      </c>
      <c r="J261" s="17" t="s">
        <v>2469</v>
      </c>
      <c r="K261" s="18">
        <v>112518.705</v>
      </c>
    </row>
    <row r="262" spans="7:11">
      <c r="G262" s="17" t="s">
        <v>279</v>
      </c>
      <c r="H262" s="1">
        <v>7971.4279999999999</v>
      </c>
    </row>
    <row r="263" spans="7:11">
      <c r="G263" s="17" t="s">
        <v>347</v>
      </c>
      <c r="H263" s="1">
        <v>7971.4279999999999</v>
      </c>
    </row>
    <row r="264" spans="7:11">
      <c r="G264" s="17" t="s">
        <v>250</v>
      </c>
      <c r="H264" s="1">
        <v>7626.4380000000001</v>
      </c>
    </row>
    <row r="265" spans="7:11">
      <c r="G265" s="17" t="s">
        <v>516</v>
      </c>
      <c r="H265" s="1">
        <v>7528.5720000000001</v>
      </c>
    </row>
    <row r="266" spans="7:11">
      <c r="G266" s="17" t="s">
        <v>920</v>
      </c>
      <c r="H266" s="1">
        <v>7528.5720000000001</v>
      </c>
    </row>
    <row r="267" spans="7:11">
      <c r="G267" s="17" t="s">
        <v>910</v>
      </c>
      <c r="H267" s="1">
        <v>7528.5720000000001</v>
      </c>
    </row>
    <row r="268" spans="7:11">
      <c r="G268" s="17" t="s">
        <v>882</v>
      </c>
      <c r="H268" s="1">
        <v>7261.0159999999996</v>
      </c>
    </row>
    <row r="269" spans="7:11">
      <c r="G269" s="17" t="s">
        <v>599</v>
      </c>
      <c r="H269" s="1">
        <v>7059.1419999999998</v>
      </c>
    </row>
    <row r="270" spans="7:11">
      <c r="G270" s="17" t="s">
        <v>232</v>
      </c>
      <c r="H270" s="1">
        <v>7058.0360000000001</v>
      </c>
    </row>
    <row r="271" spans="7:11">
      <c r="G271" s="17" t="s">
        <v>871</v>
      </c>
      <c r="H271" s="1">
        <v>6924.2579999999998</v>
      </c>
    </row>
    <row r="272" spans="7:11">
      <c r="G272" s="17" t="s">
        <v>836</v>
      </c>
      <c r="H272" s="1">
        <v>6541</v>
      </c>
    </row>
    <row r="273" spans="7:8">
      <c r="G273" s="17" t="s">
        <v>822</v>
      </c>
      <c r="H273" s="1">
        <v>6223.7290000000003</v>
      </c>
    </row>
    <row r="274" spans="7:8">
      <c r="G274" s="17" t="s">
        <v>243</v>
      </c>
      <c r="H274" s="1">
        <v>6200</v>
      </c>
    </row>
    <row r="275" spans="7:8">
      <c r="G275" s="17" t="s">
        <v>796</v>
      </c>
      <c r="H275" s="1">
        <v>5705.085</v>
      </c>
    </row>
    <row r="276" spans="7:8">
      <c r="G276" s="17" t="s">
        <v>827</v>
      </c>
      <c r="H276" s="1">
        <v>5705.085</v>
      </c>
    </row>
    <row r="277" spans="7:8">
      <c r="G277" s="17" t="s">
        <v>804</v>
      </c>
      <c r="H277" s="1">
        <v>5705.085</v>
      </c>
    </row>
    <row r="278" spans="7:8">
      <c r="G278" s="17" t="s">
        <v>824</v>
      </c>
      <c r="H278" s="1">
        <v>5646.4290000000001</v>
      </c>
    </row>
    <row r="279" spans="7:8">
      <c r="G279" s="17" t="s">
        <v>222</v>
      </c>
      <c r="H279" s="1">
        <v>5186.4409999999998</v>
      </c>
    </row>
    <row r="280" spans="7:8">
      <c r="G280" s="17" t="s">
        <v>830</v>
      </c>
      <c r="H280" s="1">
        <v>5175.8940000000002</v>
      </c>
    </row>
    <row r="281" spans="7:8">
      <c r="G281" s="17" t="s">
        <v>801</v>
      </c>
      <c r="H281" s="1">
        <v>5175.893</v>
      </c>
    </row>
    <row r="282" spans="7:8">
      <c r="G282" s="17" t="s">
        <v>807</v>
      </c>
      <c r="H282" s="1">
        <v>4982.143</v>
      </c>
    </row>
    <row r="283" spans="7:8">
      <c r="G283" s="17" t="s">
        <v>420</v>
      </c>
      <c r="H283" s="1">
        <v>4927.1189999999997</v>
      </c>
    </row>
    <row r="284" spans="7:8">
      <c r="G284" s="17" t="s">
        <v>424</v>
      </c>
      <c r="H284" s="1">
        <v>4733.0360000000001</v>
      </c>
    </row>
    <row r="285" spans="7:8">
      <c r="G285" s="17" t="s">
        <v>208</v>
      </c>
      <c r="H285" s="1">
        <v>4667.7970000000005</v>
      </c>
    </row>
    <row r="286" spans="7:8">
      <c r="G286" s="17" t="s">
        <v>203</v>
      </c>
      <c r="H286" s="1">
        <v>4667.7970000000005</v>
      </c>
    </row>
    <row r="287" spans="7:8">
      <c r="G287" s="17" t="s">
        <v>168</v>
      </c>
      <c r="H287" s="1">
        <v>4610.1689999999999</v>
      </c>
    </row>
    <row r="288" spans="7:8">
      <c r="G288" s="17" t="s">
        <v>799</v>
      </c>
      <c r="H288" s="1">
        <v>4566.9639999999999</v>
      </c>
    </row>
    <row r="289" spans="7:8">
      <c r="G289" s="17" t="s">
        <v>792</v>
      </c>
      <c r="H289" s="1">
        <v>4483.9290000000001</v>
      </c>
    </row>
    <row r="290" spans="7:8">
      <c r="G290" s="17" t="s">
        <v>219</v>
      </c>
      <c r="H290" s="1">
        <v>4483.9290000000001</v>
      </c>
    </row>
    <row r="291" spans="7:8">
      <c r="G291" s="17" t="s">
        <v>213</v>
      </c>
      <c r="H291" s="1">
        <v>4483.9290000000001</v>
      </c>
    </row>
    <row r="292" spans="7:8">
      <c r="G292" s="17" t="s">
        <v>662</v>
      </c>
      <c r="H292" s="1">
        <v>4447.9169999999995</v>
      </c>
    </row>
    <row r="293" spans="7:8">
      <c r="G293" s="17" t="s">
        <v>164</v>
      </c>
      <c r="H293" s="1">
        <v>4428.5709999999999</v>
      </c>
    </row>
    <row r="294" spans="7:8">
      <c r="G294" s="17" t="s">
        <v>619</v>
      </c>
      <c r="H294" s="1">
        <v>4408.4750000000004</v>
      </c>
    </row>
    <row r="295" spans="7:8">
      <c r="G295" s="17" t="s">
        <v>363</v>
      </c>
      <c r="H295" s="1">
        <v>4408.4750000000004</v>
      </c>
    </row>
    <row r="296" spans="7:8">
      <c r="G296" s="17" t="s">
        <v>171</v>
      </c>
      <c r="H296" s="1">
        <v>4151.7860000000001</v>
      </c>
    </row>
    <row r="297" spans="7:8">
      <c r="G297" s="17" t="s">
        <v>175</v>
      </c>
      <c r="H297" s="1">
        <v>4151.7860000000001</v>
      </c>
    </row>
    <row r="298" spans="7:8">
      <c r="G298" s="17" t="s">
        <v>908</v>
      </c>
      <c r="H298" s="1">
        <v>4149.1540000000005</v>
      </c>
    </row>
    <row r="299" spans="7:8">
      <c r="G299" s="17" t="s">
        <v>118</v>
      </c>
      <c r="H299" s="1">
        <v>4149.1530000000002</v>
      </c>
    </row>
    <row r="300" spans="7:8">
      <c r="G300" s="17" t="s">
        <v>447</v>
      </c>
      <c r="H300" s="1">
        <v>4149.1530000000002</v>
      </c>
    </row>
    <row r="301" spans="7:8">
      <c r="G301" s="17" t="s">
        <v>501</v>
      </c>
      <c r="H301" s="1">
        <v>4149.1530000000002</v>
      </c>
    </row>
    <row r="302" spans="7:8">
      <c r="G302" s="17" t="s">
        <v>893</v>
      </c>
      <c r="H302" s="1">
        <v>4149.1530000000002</v>
      </c>
    </row>
    <row r="303" spans="7:8">
      <c r="G303" s="17" t="s">
        <v>452</v>
      </c>
      <c r="H303" s="1">
        <v>4149.1530000000002</v>
      </c>
    </row>
    <row r="304" spans="7:8">
      <c r="G304" s="17" t="s">
        <v>895</v>
      </c>
      <c r="H304" s="1">
        <v>4149.1530000000002</v>
      </c>
    </row>
    <row r="305" spans="7:8">
      <c r="G305" s="17" t="s">
        <v>578</v>
      </c>
      <c r="H305" s="1">
        <v>4149.1530000000002</v>
      </c>
    </row>
    <row r="306" spans="7:8">
      <c r="G306" s="17" t="s">
        <v>904</v>
      </c>
      <c r="H306" s="1">
        <v>4149.1530000000002</v>
      </c>
    </row>
    <row r="307" spans="7:8">
      <c r="G307" s="17" t="s">
        <v>497</v>
      </c>
      <c r="H307" s="1">
        <v>4149.1530000000002</v>
      </c>
    </row>
    <row r="308" spans="7:8">
      <c r="G308" s="17" t="s">
        <v>444</v>
      </c>
      <c r="H308" s="1">
        <v>4149.1530000000002</v>
      </c>
    </row>
    <row r="309" spans="7:8">
      <c r="G309" s="17" t="s">
        <v>200</v>
      </c>
      <c r="H309" s="1">
        <v>4149.1530000000002</v>
      </c>
    </row>
    <row r="310" spans="7:8">
      <c r="G310" s="17" t="s">
        <v>889</v>
      </c>
      <c r="H310" s="1">
        <v>4149.1530000000002</v>
      </c>
    </row>
    <row r="311" spans="7:8">
      <c r="G311" s="17" t="s">
        <v>304</v>
      </c>
      <c r="H311" s="1">
        <v>4149.1530000000002</v>
      </c>
    </row>
    <row r="312" spans="7:8">
      <c r="G312" s="17" t="s">
        <v>343</v>
      </c>
      <c r="H312" s="1">
        <v>4149.1530000000002</v>
      </c>
    </row>
    <row r="313" spans="7:8">
      <c r="G313" s="17" t="s">
        <v>309</v>
      </c>
      <c r="H313" s="1">
        <v>4149.1530000000002</v>
      </c>
    </row>
    <row r="314" spans="7:8">
      <c r="G314" s="17" t="s">
        <v>113</v>
      </c>
      <c r="H314" s="1">
        <v>4149.1530000000002</v>
      </c>
    </row>
    <row r="315" spans="7:8">
      <c r="G315" s="17" t="s">
        <v>611</v>
      </c>
      <c r="H315" s="1">
        <v>4149.1530000000002</v>
      </c>
    </row>
    <row r="316" spans="7:8">
      <c r="G316" s="17" t="s">
        <v>482</v>
      </c>
      <c r="H316" s="1">
        <v>4106.5079999999998</v>
      </c>
    </row>
    <row r="317" spans="7:8">
      <c r="G317" s="17" t="s">
        <v>486</v>
      </c>
      <c r="H317" s="1">
        <v>4106.5079999999998</v>
      </c>
    </row>
    <row r="318" spans="7:8">
      <c r="G318" s="17" t="s">
        <v>477</v>
      </c>
      <c r="H318" s="1">
        <v>4106.5079999999998</v>
      </c>
    </row>
    <row r="319" spans="7:8">
      <c r="G319" s="17" t="s">
        <v>153</v>
      </c>
      <c r="H319" s="1">
        <v>4033.8980000000001</v>
      </c>
    </row>
    <row r="320" spans="7:8">
      <c r="G320" s="17" t="s">
        <v>154</v>
      </c>
      <c r="H320" s="1">
        <v>4033.8980000000001</v>
      </c>
    </row>
    <row r="321" spans="7:8">
      <c r="G321" s="17" t="s">
        <v>192</v>
      </c>
      <c r="H321" s="1">
        <v>3993.5590000000002</v>
      </c>
    </row>
    <row r="322" spans="7:8">
      <c r="G322" s="17" t="s">
        <v>186</v>
      </c>
      <c r="H322" s="1">
        <v>3993.5590000000002</v>
      </c>
    </row>
    <row r="323" spans="7:8">
      <c r="G323" s="17" t="s">
        <v>196</v>
      </c>
      <c r="H323" s="1">
        <v>3993.5590000000002</v>
      </c>
    </row>
    <row r="324" spans="7:8">
      <c r="G324" s="17" t="s">
        <v>181</v>
      </c>
      <c r="H324" s="1">
        <v>3993.5590000000002</v>
      </c>
    </row>
    <row r="325" spans="7:8">
      <c r="G325" s="17" t="s">
        <v>336</v>
      </c>
      <c r="H325" s="1">
        <v>3985.7139999999999</v>
      </c>
    </row>
    <row r="326" spans="7:8">
      <c r="G326" s="17" t="s">
        <v>428</v>
      </c>
      <c r="H326" s="1">
        <v>3985.7139999999999</v>
      </c>
    </row>
    <row r="327" spans="7:8">
      <c r="G327" s="17" t="s">
        <v>440</v>
      </c>
      <c r="H327" s="1">
        <v>3985.7139999999999</v>
      </c>
    </row>
    <row r="328" spans="7:8">
      <c r="G328" s="17" t="s">
        <v>295</v>
      </c>
      <c r="H328" s="1">
        <v>3985.7139999999999</v>
      </c>
    </row>
    <row r="329" spans="7:8">
      <c r="G329" s="17" t="s">
        <v>367</v>
      </c>
      <c r="H329" s="1">
        <v>3985.7139999999999</v>
      </c>
    </row>
    <row r="330" spans="7:8">
      <c r="G330" s="17" t="s">
        <v>314</v>
      </c>
      <c r="H330" s="1">
        <v>3985.7139999999999</v>
      </c>
    </row>
    <row r="331" spans="7:8">
      <c r="G331" s="17" t="s">
        <v>371</v>
      </c>
      <c r="H331" s="1">
        <v>3985.7139999999999</v>
      </c>
    </row>
    <row r="332" spans="7:8">
      <c r="G332" s="17" t="s">
        <v>377</v>
      </c>
      <c r="H332" s="1">
        <v>3985.7139999999999</v>
      </c>
    </row>
    <row r="333" spans="7:8">
      <c r="G333" s="17" t="s">
        <v>333</v>
      </c>
      <c r="H333" s="1">
        <v>3985.7139999999999</v>
      </c>
    </row>
    <row r="334" spans="7:8">
      <c r="G334" s="17" t="s">
        <v>272</v>
      </c>
      <c r="H334" s="1">
        <v>3985.7139999999999</v>
      </c>
    </row>
    <row r="335" spans="7:8">
      <c r="G335" s="17" t="s">
        <v>284</v>
      </c>
      <c r="H335" s="1">
        <v>3985.7139999999999</v>
      </c>
    </row>
    <row r="336" spans="7:8">
      <c r="G336" s="17" t="s">
        <v>391</v>
      </c>
      <c r="H336" s="1">
        <v>3889.8319999999999</v>
      </c>
    </row>
    <row r="337" spans="7:8">
      <c r="G337" s="17" t="s">
        <v>385</v>
      </c>
      <c r="H337" s="1">
        <v>3889.8319999999999</v>
      </c>
    </row>
    <row r="338" spans="7:8">
      <c r="G338" s="17" t="s">
        <v>592</v>
      </c>
      <c r="H338" s="1">
        <v>3889.8310000000001</v>
      </c>
    </row>
    <row r="339" spans="7:8">
      <c r="G339" s="17" t="s">
        <v>588</v>
      </c>
      <c r="H339" s="1">
        <v>3889.8310000000001</v>
      </c>
    </row>
    <row r="340" spans="7:8">
      <c r="G340" s="17" t="s">
        <v>299</v>
      </c>
      <c r="H340" s="1">
        <v>3889.8310000000001</v>
      </c>
    </row>
    <row r="341" spans="7:8">
      <c r="G341" s="17" t="s">
        <v>899</v>
      </c>
      <c r="H341" s="1">
        <v>3764.2860000000001</v>
      </c>
    </row>
    <row r="342" spans="7:8">
      <c r="G342" s="17" t="s">
        <v>468</v>
      </c>
      <c r="H342" s="1">
        <v>3764.2860000000001</v>
      </c>
    </row>
    <row r="343" spans="7:8">
      <c r="G343" s="17" t="s">
        <v>847</v>
      </c>
      <c r="H343" s="1">
        <v>3764.2860000000001</v>
      </c>
    </row>
    <row r="344" spans="7:8">
      <c r="G344" s="17" t="s">
        <v>615</v>
      </c>
      <c r="H344" s="1">
        <v>3764.2860000000001</v>
      </c>
    </row>
    <row r="345" spans="7:8">
      <c r="G345" s="17" t="s">
        <v>926</v>
      </c>
      <c r="H345" s="1">
        <v>3764.2860000000001</v>
      </c>
    </row>
    <row r="346" spans="7:8">
      <c r="G346" s="17" t="s">
        <v>916</v>
      </c>
      <c r="H346" s="1">
        <v>3764.2860000000001</v>
      </c>
    </row>
    <row r="347" spans="7:8">
      <c r="G347" s="17" t="s">
        <v>843</v>
      </c>
      <c r="H347" s="1">
        <v>3764.2860000000001</v>
      </c>
    </row>
    <row r="348" spans="7:8">
      <c r="G348" s="17" t="s">
        <v>608</v>
      </c>
      <c r="H348" s="1">
        <v>3764.2860000000001</v>
      </c>
    </row>
    <row r="349" spans="7:8">
      <c r="G349" s="17" t="s">
        <v>851</v>
      </c>
      <c r="H349" s="1">
        <v>3764.2860000000001</v>
      </c>
    </row>
    <row r="350" spans="7:8">
      <c r="G350" s="17" t="s">
        <v>563</v>
      </c>
      <c r="H350" s="1">
        <v>3764.2860000000001</v>
      </c>
    </row>
    <row r="351" spans="7:8">
      <c r="G351" s="17" t="s">
        <v>573</v>
      </c>
      <c r="H351" s="1">
        <v>3764.2860000000001</v>
      </c>
    </row>
    <row r="352" spans="7:8">
      <c r="G352" s="17" t="s">
        <v>605</v>
      </c>
      <c r="H352" s="1">
        <v>3764.2860000000001</v>
      </c>
    </row>
    <row r="353" spans="7:8">
      <c r="G353" s="17" t="s">
        <v>465</v>
      </c>
      <c r="H353" s="1">
        <v>3764.2860000000001</v>
      </c>
    </row>
    <row r="354" spans="7:8">
      <c r="G354" s="17" t="s">
        <v>560</v>
      </c>
      <c r="H354" s="1">
        <v>3764.2860000000001</v>
      </c>
    </row>
    <row r="355" spans="7:8">
      <c r="G355" s="17" t="s">
        <v>97</v>
      </c>
      <c r="H355" s="1">
        <v>3737.7139999999999</v>
      </c>
    </row>
    <row r="356" spans="7:8">
      <c r="G356" s="17" t="s">
        <v>380</v>
      </c>
      <c r="H356" s="1">
        <v>3736.6080000000002</v>
      </c>
    </row>
    <row r="357" spans="7:8">
      <c r="G357" s="17" t="s">
        <v>404</v>
      </c>
      <c r="H357" s="1">
        <v>3736.607</v>
      </c>
    </row>
    <row r="358" spans="7:8">
      <c r="G358" s="17" t="s">
        <v>788</v>
      </c>
      <c r="H358" s="1">
        <v>3736.607</v>
      </c>
    </row>
    <row r="359" spans="7:8">
      <c r="G359" s="17" t="s">
        <v>229</v>
      </c>
      <c r="H359" s="1">
        <v>3736.607</v>
      </c>
    </row>
    <row r="360" spans="7:8">
      <c r="G360" s="17" t="s">
        <v>396</v>
      </c>
      <c r="H360" s="1">
        <v>3736.607</v>
      </c>
    </row>
    <row r="361" spans="7:8">
      <c r="G361" s="17" t="s">
        <v>400</v>
      </c>
      <c r="H361" s="1">
        <v>3736.607</v>
      </c>
    </row>
    <row r="362" spans="7:8">
      <c r="G362" s="17" t="s">
        <v>135</v>
      </c>
      <c r="H362" s="1">
        <v>3688.136</v>
      </c>
    </row>
    <row r="363" spans="7:8">
      <c r="G363" s="17" t="s">
        <v>129</v>
      </c>
      <c r="H363" s="1">
        <v>3688.136</v>
      </c>
    </row>
    <row r="364" spans="7:8">
      <c r="G364" s="17" t="s">
        <v>532</v>
      </c>
      <c r="H364" s="1">
        <v>3630.5079999999998</v>
      </c>
    </row>
    <row r="365" spans="7:8">
      <c r="G365" s="17" t="s">
        <v>523</v>
      </c>
      <c r="H365" s="1">
        <v>3630.5079999999998</v>
      </c>
    </row>
    <row r="366" spans="7:8">
      <c r="G366" s="17" t="s">
        <v>556</v>
      </c>
      <c r="H366" s="1">
        <v>3630.5079999999998</v>
      </c>
    </row>
    <row r="367" spans="7:8">
      <c r="G367" s="17" t="s">
        <v>70</v>
      </c>
      <c r="H367" s="1">
        <v>3630.5079999999998</v>
      </c>
    </row>
    <row r="368" spans="7:8">
      <c r="G368" s="17" t="s">
        <v>528</v>
      </c>
      <c r="H368" s="1">
        <v>3630.5079999999998</v>
      </c>
    </row>
    <row r="369" spans="7:8">
      <c r="G369" s="17" t="s">
        <v>57</v>
      </c>
      <c r="H369" s="1">
        <v>3630.5079999999998</v>
      </c>
    </row>
    <row r="370" spans="7:8">
      <c r="G370" s="17" t="s">
        <v>161</v>
      </c>
      <c r="H370" s="1">
        <v>3630.5079999999998</v>
      </c>
    </row>
    <row r="371" spans="7:8">
      <c r="G371" s="17" t="s">
        <v>490</v>
      </c>
      <c r="H371" s="1">
        <v>3630.5079999999998</v>
      </c>
    </row>
    <row r="372" spans="7:8">
      <c r="G372" s="17" t="s">
        <v>355</v>
      </c>
      <c r="H372" s="1">
        <v>3542.857</v>
      </c>
    </row>
    <row r="373" spans="7:8">
      <c r="G373" s="17" t="s">
        <v>123</v>
      </c>
      <c r="H373" s="1">
        <v>3542.857</v>
      </c>
    </row>
    <row r="374" spans="7:8">
      <c r="G374" s="17" t="s">
        <v>360</v>
      </c>
      <c r="H374" s="1">
        <v>3542.857</v>
      </c>
    </row>
    <row r="375" spans="7:8">
      <c r="G375" s="17" t="s">
        <v>472</v>
      </c>
      <c r="H375" s="1">
        <v>3529.5720000000001</v>
      </c>
    </row>
    <row r="376" spans="7:8">
      <c r="G376" s="17" t="s">
        <v>595</v>
      </c>
      <c r="H376" s="1">
        <v>3529.5709999999999</v>
      </c>
    </row>
    <row r="377" spans="7:8">
      <c r="G377" s="17" t="s">
        <v>885</v>
      </c>
      <c r="H377" s="1">
        <v>3529.5709999999999</v>
      </c>
    </row>
    <row r="378" spans="7:8">
      <c r="G378" s="17" t="s">
        <v>693</v>
      </c>
      <c r="H378" s="1">
        <v>3487.5</v>
      </c>
    </row>
    <row r="379" spans="7:8">
      <c r="G379" s="17" t="s">
        <v>157</v>
      </c>
      <c r="H379" s="1">
        <v>3487.5</v>
      </c>
    </row>
    <row r="380" spans="7:8">
      <c r="G380" s="17" t="s">
        <v>839</v>
      </c>
      <c r="H380" s="1">
        <v>3371.1860000000001</v>
      </c>
    </row>
    <row r="381" spans="7:8">
      <c r="G381" s="17" t="s">
        <v>417</v>
      </c>
      <c r="H381" s="1">
        <v>3321.43</v>
      </c>
    </row>
    <row r="382" spans="7:8">
      <c r="G382" s="17" t="s">
        <v>407</v>
      </c>
      <c r="H382" s="1">
        <v>3321.43</v>
      </c>
    </row>
    <row r="383" spans="7:8">
      <c r="G383" s="17" t="s">
        <v>412</v>
      </c>
      <c r="H383" s="1">
        <v>3321.4290000000001</v>
      </c>
    </row>
    <row r="384" spans="7:8">
      <c r="G384" s="17" t="s">
        <v>226</v>
      </c>
      <c r="H384" s="1">
        <v>3321.4290000000001</v>
      </c>
    </row>
    <row r="385" spans="7:8">
      <c r="G385" s="17" t="s">
        <v>148</v>
      </c>
      <c r="H385" s="1">
        <v>3321.4290000000001</v>
      </c>
    </row>
    <row r="386" spans="7:8">
      <c r="G386" s="17" t="s">
        <v>856</v>
      </c>
      <c r="H386" s="1">
        <v>3293.75</v>
      </c>
    </row>
    <row r="387" spans="7:8">
      <c r="G387" s="17" t="s">
        <v>494</v>
      </c>
      <c r="H387" s="1">
        <v>3293.75</v>
      </c>
    </row>
    <row r="388" spans="7:8">
      <c r="G388" s="17" t="s">
        <v>867</v>
      </c>
      <c r="H388" s="1">
        <v>3293.75</v>
      </c>
    </row>
    <row r="389" spans="7:8">
      <c r="G389" s="17" t="s">
        <v>700</v>
      </c>
      <c r="H389" s="1">
        <v>3238.393</v>
      </c>
    </row>
    <row r="390" spans="7:8">
      <c r="G390" s="17" t="s">
        <v>257</v>
      </c>
      <c r="H390" s="1">
        <v>3227.1190000000001</v>
      </c>
    </row>
    <row r="391" spans="7:8">
      <c r="G391" s="17" t="s">
        <v>239</v>
      </c>
      <c r="H391" s="1">
        <v>3100</v>
      </c>
    </row>
    <row r="392" spans="7:8">
      <c r="G392" s="17" t="s">
        <v>261</v>
      </c>
      <c r="H392" s="1">
        <v>3100</v>
      </c>
    </row>
    <row r="393" spans="7:8">
      <c r="G393" s="17" t="s">
        <v>246</v>
      </c>
      <c r="H393" s="1">
        <v>3100</v>
      </c>
    </row>
    <row r="394" spans="7:8">
      <c r="G394" s="17" t="s">
        <v>641</v>
      </c>
      <c r="H394" s="1">
        <v>3059.0360000000001</v>
      </c>
    </row>
    <row r="395" spans="7:8">
      <c r="G395" s="17" t="s">
        <v>689</v>
      </c>
      <c r="H395" s="1">
        <v>3059.0360000000001</v>
      </c>
    </row>
    <row r="396" spans="7:8">
      <c r="G396" s="17" t="s">
        <v>783</v>
      </c>
      <c r="H396" s="1">
        <v>3059.0360000000001</v>
      </c>
    </row>
    <row r="397" spans="7:8">
      <c r="G397" s="17" t="s">
        <v>721</v>
      </c>
      <c r="H397" s="1">
        <v>3059.0360000000001</v>
      </c>
    </row>
    <row r="398" spans="7:8">
      <c r="G398" s="17" t="s">
        <v>780</v>
      </c>
      <c r="H398" s="1">
        <v>3059.0360000000001</v>
      </c>
    </row>
    <row r="399" spans="7:8">
      <c r="G399" s="17" t="s">
        <v>793</v>
      </c>
      <c r="H399" s="1">
        <v>2906.25</v>
      </c>
    </row>
    <row r="400" spans="7:8">
      <c r="G400" s="17" t="s">
        <v>585</v>
      </c>
      <c r="H400" s="1">
        <v>2878.5709999999999</v>
      </c>
    </row>
    <row r="401" spans="7:8">
      <c r="G401" s="17" t="s">
        <v>767</v>
      </c>
      <c r="H401" s="1">
        <v>2823.2139999999999</v>
      </c>
    </row>
    <row r="402" spans="7:8">
      <c r="G402" s="17" t="s">
        <v>705</v>
      </c>
      <c r="H402" s="1">
        <v>2823.2139999999999</v>
      </c>
    </row>
    <row r="403" spans="7:8">
      <c r="G403" s="17" t="s">
        <v>708</v>
      </c>
      <c r="H403" s="1">
        <v>2823.2139999999999</v>
      </c>
    </row>
    <row r="404" spans="7:8">
      <c r="G404" s="17" t="s">
        <v>712</v>
      </c>
      <c r="H404" s="1">
        <v>2823.2139999999999</v>
      </c>
    </row>
    <row r="405" spans="7:8">
      <c r="G405" s="17" t="s">
        <v>704</v>
      </c>
      <c r="H405" s="1">
        <v>2823.2139999999999</v>
      </c>
    </row>
    <row r="406" spans="7:8">
      <c r="G406" s="17" t="s">
        <v>582</v>
      </c>
      <c r="H406" s="1">
        <v>2723.81</v>
      </c>
    </row>
    <row r="407" spans="7:8">
      <c r="G407" s="17" t="s">
        <v>694</v>
      </c>
      <c r="H407" s="1">
        <v>2712.5</v>
      </c>
    </row>
    <row r="408" spans="7:8">
      <c r="G408" s="17" t="s">
        <v>750</v>
      </c>
      <c r="H408" s="1">
        <v>2635</v>
      </c>
    </row>
    <row r="409" spans="7:8">
      <c r="G409" s="17" t="s">
        <v>754</v>
      </c>
      <c r="H409" s="1">
        <v>2635</v>
      </c>
    </row>
    <row r="410" spans="7:8">
      <c r="G410" s="17" t="s">
        <v>741</v>
      </c>
      <c r="H410" s="1">
        <v>2635</v>
      </c>
    </row>
    <row r="411" spans="7:8">
      <c r="G411" s="17" t="s">
        <v>677</v>
      </c>
      <c r="H411" s="1">
        <v>2588.5</v>
      </c>
    </row>
    <row r="412" spans="7:8">
      <c r="G412" s="17" t="s">
        <v>140</v>
      </c>
      <c r="H412" s="1">
        <v>2566.6669999999999</v>
      </c>
    </row>
    <row r="413" spans="7:8">
      <c r="G413" s="17" t="s">
        <v>724</v>
      </c>
      <c r="H413" s="1">
        <v>2518.75</v>
      </c>
    </row>
    <row r="414" spans="7:8">
      <c r="G414" s="17" t="s">
        <v>732</v>
      </c>
      <c r="H414" s="1">
        <v>2518.75</v>
      </c>
    </row>
    <row r="415" spans="7:8">
      <c r="G415" s="17" t="s">
        <v>728</v>
      </c>
      <c r="H415" s="1">
        <v>2518.75</v>
      </c>
    </row>
    <row r="416" spans="7:8">
      <c r="G416" s="17" t="s">
        <v>685</v>
      </c>
      <c r="H416" s="1">
        <v>2518.75</v>
      </c>
    </row>
    <row r="417" spans="7:8">
      <c r="G417" s="17" t="s">
        <v>775</v>
      </c>
      <c r="H417" s="1">
        <v>2518.75</v>
      </c>
    </row>
    <row r="418" spans="7:8">
      <c r="G418" s="17" t="s">
        <v>638</v>
      </c>
      <c r="H418" s="1">
        <v>2518.75</v>
      </c>
    </row>
    <row r="419" spans="7:8">
      <c r="G419" s="17" t="s">
        <v>627</v>
      </c>
      <c r="H419" s="1">
        <v>2491.0709999999999</v>
      </c>
    </row>
    <row r="420" spans="7:8">
      <c r="G420" s="17" t="s">
        <v>680</v>
      </c>
      <c r="H420" s="1">
        <v>2383.3330000000001</v>
      </c>
    </row>
    <row r="421" spans="7:8">
      <c r="G421" s="17" t="s">
        <v>771</v>
      </c>
      <c r="H421" s="1">
        <v>2383.3330000000001</v>
      </c>
    </row>
    <row r="422" spans="7:8">
      <c r="G422" s="17" t="s">
        <v>634</v>
      </c>
      <c r="H422" s="1">
        <v>2383.3330000000001</v>
      </c>
    </row>
    <row r="423" spans="7:8">
      <c r="G423" s="17" t="s">
        <v>656</v>
      </c>
      <c r="H423" s="1">
        <v>2352.6799999999998</v>
      </c>
    </row>
    <row r="424" spans="7:8">
      <c r="G424" s="17" t="s">
        <v>659</v>
      </c>
      <c r="H424" s="1">
        <v>2352.6790000000001</v>
      </c>
    </row>
    <row r="425" spans="7:8">
      <c r="G425" s="17" t="s">
        <v>670</v>
      </c>
      <c r="H425" s="1">
        <v>2352.6790000000001</v>
      </c>
    </row>
    <row r="426" spans="7:8">
      <c r="G426" s="17" t="s">
        <v>674</v>
      </c>
      <c r="H426" s="1">
        <v>2352.6790000000001</v>
      </c>
    </row>
    <row r="427" spans="7:8">
      <c r="G427" s="17" t="s">
        <v>644</v>
      </c>
      <c r="H427" s="1">
        <v>2352.6790000000001</v>
      </c>
    </row>
    <row r="428" spans="7:8">
      <c r="G428" s="17" t="s">
        <v>758</v>
      </c>
      <c r="H428" s="1">
        <v>2346.6680000000001</v>
      </c>
    </row>
    <row r="429" spans="7:8">
      <c r="G429" s="17" t="s">
        <v>745</v>
      </c>
      <c r="H429" s="1">
        <v>2346.6669999999999</v>
      </c>
    </row>
    <row r="430" spans="7:8">
      <c r="G430" s="17" t="s">
        <v>761</v>
      </c>
      <c r="H430" s="1">
        <v>2304.7620000000002</v>
      </c>
    </row>
    <row r="431" spans="7:8">
      <c r="G431" s="17" t="s">
        <v>785</v>
      </c>
      <c r="H431" s="1">
        <v>2304.7620000000002</v>
      </c>
    </row>
    <row r="432" spans="7:8">
      <c r="G432" s="17" t="s">
        <v>630</v>
      </c>
      <c r="H432" s="1">
        <v>2241.9639999999999</v>
      </c>
    </row>
    <row r="433" spans="7:8">
      <c r="G433" s="17" t="s">
        <v>622</v>
      </c>
      <c r="H433" s="1">
        <v>2200</v>
      </c>
    </row>
    <row r="434" spans="7:8">
      <c r="G434" s="17" t="s">
        <v>701</v>
      </c>
      <c r="H434" s="1">
        <v>2200</v>
      </c>
    </row>
    <row r="435" spans="7:8">
      <c r="G435" s="17" t="s">
        <v>764</v>
      </c>
      <c r="H435" s="1">
        <v>2200</v>
      </c>
    </row>
    <row r="436" spans="7:8">
      <c r="G436" s="17" t="s">
        <v>716</v>
      </c>
      <c r="H436" s="1">
        <v>2200</v>
      </c>
    </row>
    <row r="437" spans="7:8">
      <c r="G437" s="17" t="s">
        <v>738</v>
      </c>
      <c r="H437" s="1">
        <v>2200</v>
      </c>
    </row>
    <row r="438" spans="7:8">
      <c r="G438" s="17" t="s">
        <v>698</v>
      </c>
      <c r="H438" s="1">
        <v>2200</v>
      </c>
    </row>
    <row r="439" spans="7:8">
      <c r="G439" s="17" t="s">
        <v>736</v>
      </c>
      <c r="H439" s="1">
        <v>2200</v>
      </c>
    </row>
    <row r="440" spans="7:8">
      <c r="G440" s="17" t="s">
        <v>648</v>
      </c>
      <c r="H440" s="1">
        <v>2095.2379999999998</v>
      </c>
    </row>
    <row r="441" spans="7:8">
      <c r="G441" s="17" t="s">
        <v>690</v>
      </c>
      <c r="H441" s="1">
        <v>2095.2379999999998</v>
      </c>
    </row>
    <row r="442" spans="7:8">
      <c r="G442" s="17" t="s">
        <v>653</v>
      </c>
      <c r="H442" s="1">
        <v>2095.2379999999998</v>
      </c>
    </row>
    <row r="443" spans="7:8">
      <c r="G443" s="17" t="s">
        <v>81</v>
      </c>
      <c r="H443" s="1">
        <v>1868.857</v>
      </c>
    </row>
    <row r="444" spans="7:8">
      <c r="G444" s="17" t="s">
        <v>567</v>
      </c>
      <c r="H444" s="1">
        <v>1771.4290000000001</v>
      </c>
    </row>
    <row r="445" spans="7:8">
      <c r="G445" s="17" t="s">
        <v>570</v>
      </c>
      <c r="H445" s="1">
        <v>1771.4290000000001</v>
      </c>
    </row>
    <row r="446" spans="7:8">
      <c r="G446" s="17" t="s">
        <v>265</v>
      </c>
      <c r="H446" s="1">
        <v>1550</v>
      </c>
    </row>
    <row r="447" spans="7:8">
      <c r="G447" s="17" t="s">
        <v>269</v>
      </c>
      <c r="H447" s="1">
        <v>1466.6669999999999</v>
      </c>
    </row>
    <row r="448" spans="7:8">
      <c r="G448" s="17" t="s">
        <v>106</v>
      </c>
      <c r="H448" s="1">
        <v>1245.5360000000001</v>
      </c>
    </row>
    <row r="449" spans="7:8">
      <c r="G449" s="17" t="s">
        <v>86</v>
      </c>
      <c r="H449" s="1">
        <v>1178.5709999999999</v>
      </c>
    </row>
    <row r="450" spans="7:8">
      <c r="G450" s="17" t="s">
        <v>93</v>
      </c>
      <c r="H450" s="1">
        <v>1178.5709999999999</v>
      </c>
    </row>
    <row r="451" spans="7:8">
      <c r="G451" s="17" t="s">
        <v>144</v>
      </c>
      <c r="H451" s="1">
        <v>1047.6189999999999</v>
      </c>
    </row>
    <row r="452" spans="7:8">
      <c r="G452" s="17" t="s">
        <v>2469</v>
      </c>
      <c r="H452" s="1">
        <v>825095.06499999971</v>
      </c>
    </row>
  </sheetData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1AA4-3C8C-42BA-BA17-37674647A671}">
  <dimension ref="B2:XEV1048570"/>
  <sheetViews>
    <sheetView tabSelected="1" zoomScale="70" zoomScaleNormal="70" workbookViewId="0">
      <selection activeCell="W27" sqref="W27"/>
    </sheetView>
  </sheetViews>
  <sheetFormatPr defaultRowHeight="14.4"/>
  <cols>
    <col min="2" max="2" width="30" bestFit="1" customWidth="1"/>
    <col min="3" max="3" width="22" bestFit="1" customWidth="1"/>
    <col min="16372" max="16372" width="13.88671875" bestFit="1" customWidth="1"/>
    <col min="16373" max="16373" width="14.5546875" bestFit="1" customWidth="1"/>
    <col min="16374" max="16374" width="25" bestFit="1" customWidth="1"/>
    <col min="16375" max="16375" width="21.6640625" bestFit="1" customWidth="1"/>
    <col min="16376" max="16376" width="3.33203125" bestFit="1" customWidth="1"/>
  </cols>
  <sheetData>
    <row r="2" spans="2:3" ht="15.6">
      <c r="B2" s="19" t="s">
        <v>2456</v>
      </c>
      <c r="C2" s="19" t="s">
        <v>2464</v>
      </c>
    </row>
    <row r="3" spans="2:3" ht="15.6">
      <c r="B3" s="20" t="s">
        <v>2457</v>
      </c>
      <c r="C3" s="21">
        <f>COUNTA(MarketPlace_Order_Report[MagentoOrderNo])</f>
        <v>233</v>
      </c>
    </row>
    <row r="4" spans="2:3" ht="15.6">
      <c r="B4" s="20" t="s">
        <v>2477</v>
      </c>
      <c r="C4" s="21">
        <f>COUNTIFS(MarketPlace_Order_Report[[#All],[Status]],"Completed")</f>
        <v>114</v>
      </c>
    </row>
    <row r="5" spans="2:3" ht="15.6">
      <c r="B5" s="20" t="s">
        <v>2458</v>
      </c>
      <c r="C5" s="21">
        <f>COUNTIFS(MarketPlace_Order_Report[[#All],[Status]],"Returned")</f>
        <v>81</v>
      </c>
    </row>
    <row r="6" spans="2:3" ht="15.6">
      <c r="B6" s="20" t="s">
        <v>2465</v>
      </c>
      <c r="C6" s="21">
        <f>COUNTIFS(MarketPlace_Order_Report[[#All],[Status]],"RTO Delivered")</f>
        <v>23</v>
      </c>
    </row>
    <row r="7" spans="2:3" ht="15.6">
      <c r="B7" s="20" t="s">
        <v>2466</v>
      </c>
      <c r="C7" s="21">
        <f>COUNTIFS(MarketPlace_Order_Report[[#All],[Status]],"Cancelled")</f>
        <v>12</v>
      </c>
    </row>
    <row r="8" spans="2:3" ht="15.6">
      <c r="B8" s="20" t="s">
        <v>2459</v>
      </c>
      <c r="C8" s="22">
        <f>C5/C3</f>
        <v>0.34763948497854075</v>
      </c>
    </row>
    <row r="9" spans="2:3" ht="15.6">
      <c r="B9" s="20" t="s">
        <v>2460</v>
      </c>
      <c r="C9" s="23">
        <f>SUM(MarketPlace_Order_Report[[#All],[OrderQty]])</f>
        <v>234</v>
      </c>
    </row>
    <row r="10" spans="2:3" ht="15.6">
      <c r="B10" s="20" t="s">
        <v>2461</v>
      </c>
      <c r="C10" s="24">
        <f>SUM(MarketPlace_Order_Report[[#All],[Gross Amount (Before Tax)]])</f>
        <v>736809</v>
      </c>
    </row>
    <row r="11" spans="2:3" ht="15.6">
      <c r="B11" s="20" t="s">
        <v>2462</v>
      </c>
      <c r="C11" s="24">
        <f>SUM(MarketPlace_Order_Report[[#All],[Total GST Amount]])</f>
        <v>88286.06499999993</v>
      </c>
    </row>
    <row r="12" spans="2:3" ht="15.6">
      <c r="B12" s="20" t="s">
        <v>2463</v>
      </c>
      <c r="C12" s="24">
        <f>SUM(MarketPlace_Order_Report[[#All],[Net Sale (After Tax)]])</f>
        <v>825095.06499999971</v>
      </c>
    </row>
    <row r="1048552" spans="16370:16376">
      <c r="XEP1048552" s="16" t="s">
        <v>2468</v>
      </c>
      <c r="XEQ1048552" t="s">
        <v>2472</v>
      </c>
      <c r="XEU1048552" s="25" t="s">
        <v>2473</v>
      </c>
      <c r="XEV1048552" s="25">
        <v>22</v>
      </c>
    </row>
    <row r="1048553" spans="16370:16376">
      <c r="XEP1048553" s="17" t="s">
        <v>2450</v>
      </c>
      <c r="XEQ1048553" s="1">
        <v>2</v>
      </c>
      <c r="XEU1048553" s="25" t="s">
        <v>2474</v>
      </c>
      <c r="XEV1048553" s="25">
        <v>56</v>
      </c>
    </row>
    <row r="1048554" spans="16370:16376">
      <c r="XEP1048554" s="17" t="s">
        <v>2449</v>
      </c>
      <c r="XEQ1048554" s="1">
        <v>20</v>
      </c>
      <c r="XEU1048554" s="26" t="s">
        <v>2451</v>
      </c>
      <c r="XEV1048554" s="25">
        <v>3</v>
      </c>
    </row>
    <row r="1048555" spans="16370:16376">
      <c r="XEP1048555" s="17" t="s">
        <v>2451</v>
      </c>
      <c r="XEQ1048555" s="1">
        <v>3</v>
      </c>
    </row>
    <row r="1048556" spans="16370:16376">
      <c r="XEP1048556" s="17" t="s">
        <v>2447</v>
      </c>
      <c r="XEQ1048556" s="1">
        <v>53</v>
      </c>
    </row>
    <row r="1048557" spans="16370:16376">
      <c r="XEP1048557" s="17" t="s">
        <v>2448</v>
      </c>
      <c r="XEQ1048557" s="1">
        <v>1</v>
      </c>
    </row>
    <row r="1048558" spans="16370:16376">
      <c r="XEP1048558" s="17" t="s">
        <v>2446</v>
      </c>
      <c r="XEQ1048558" s="1">
        <v>1</v>
      </c>
    </row>
    <row r="1048559" spans="16370:16376">
      <c r="XEP1048559" s="17" t="s">
        <v>2452</v>
      </c>
      <c r="XEQ1048559" s="1">
        <v>1</v>
      </c>
    </row>
    <row r="1048560" spans="16370:16376">
      <c r="XEP1048560" s="17" t="s">
        <v>2469</v>
      </c>
      <c r="XEQ1048560" s="1">
        <v>81</v>
      </c>
    </row>
    <row r="1048564" spans="16372:16374">
      <c r="XER1048564" s="16" t="s">
        <v>2468</v>
      </c>
      <c r="XES1048564" t="s">
        <v>2476</v>
      </c>
      <c r="XET1048564" t="s">
        <v>2470</v>
      </c>
    </row>
    <row r="1048565" spans="16372:16374">
      <c r="XER1048565" s="17" t="s">
        <v>187</v>
      </c>
      <c r="XES1048565" s="1">
        <v>12</v>
      </c>
      <c r="XET1048565" s="1">
        <v>46759.280999999995</v>
      </c>
    </row>
    <row r="1048566" spans="16372:16374">
      <c r="XER1048566" s="17" t="s">
        <v>58</v>
      </c>
      <c r="XES1048566" s="1">
        <v>114</v>
      </c>
      <c r="XET1048566" s="1">
        <v>408518.17100000003</v>
      </c>
    </row>
    <row r="1048567" spans="16372:16374">
      <c r="XER1048567" s="17" t="s">
        <v>71</v>
      </c>
      <c r="XES1048567" s="1">
        <v>81</v>
      </c>
      <c r="XET1048567" s="1">
        <v>282126.16100000008</v>
      </c>
    </row>
    <row r="1048568" spans="16372:16374">
      <c r="XER1048568" s="17" t="s">
        <v>102</v>
      </c>
      <c r="XES1048568" s="1">
        <v>23</v>
      </c>
      <c r="XET1048568" s="1">
        <v>77916.108000000007</v>
      </c>
    </row>
    <row r="1048569" spans="16372:16374">
      <c r="XER1048569" s="17" t="s">
        <v>413</v>
      </c>
      <c r="XES1048569" s="1">
        <v>3</v>
      </c>
      <c r="XET1048569" s="1">
        <v>9775.344000000001</v>
      </c>
    </row>
    <row r="1048570" spans="16372:16374">
      <c r="XER1048570" s="17" t="s">
        <v>2469</v>
      </c>
      <c r="XES1048570" s="1">
        <v>233</v>
      </c>
      <c r="XET1048570" s="1">
        <v>825095.06500000053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A413-0A99-48A9-BA90-1691AE9993F9}">
  <dimension ref="A1:E234"/>
  <sheetViews>
    <sheetView workbookViewId="0"/>
  </sheetViews>
  <sheetFormatPr defaultRowHeight="14.4"/>
  <cols>
    <col min="1" max="1" width="24.33203125" bestFit="1" customWidth="1"/>
    <col min="2" max="2" width="18.44140625" bestFit="1" customWidth="1"/>
    <col min="3" max="3" width="23.88671875" bestFit="1" customWidth="1"/>
    <col min="4" max="4" width="16.33203125" bestFit="1" customWidth="1"/>
    <col min="5" max="5" width="17.44140625" bestFit="1" customWidth="1"/>
  </cols>
  <sheetData>
    <row r="1" spans="1:5">
      <c r="A1" s="11" t="s">
        <v>2467</v>
      </c>
      <c r="B1" s="11" t="s">
        <v>3</v>
      </c>
      <c r="C1" s="11" t="s">
        <v>2453</v>
      </c>
      <c r="D1" s="11" t="s">
        <v>2454</v>
      </c>
      <c r="E1" s="11" t="s">
        <v>2455</v>
      </c>
    </row>
    <row r="2" spans="1:5">
      <c r="A2" s="12" t="s">
        <v>55</v>
      </c>
      <c r="B2" s="12" t="s">
        <v>57</v>
      </c>
      <c r="C2" s="13">
        <f>MarketPlace_Order_Report[[#This Row],[UnitPrice]]*MarketPlace_Order_Report[[#This Row],[OrderQty]]</f>
        <v>3150</v>
      </c>
      <c r="D2" s="13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2" s="13">
        <f>MarketPlace_Order_Report[[#This Row],[Gross Amount (Before Tax)]]+MarketPlace_Order_Report[[#This Row],[Total GST Amount]]</f>
        <v>3630.5079999999998</v>
      </c>
    </row>
    <row r="3" spans="1:5">
      <c r="A3" s="14" t="s">
        <v>68</v>
      </c>
      <c r="B3" s="14" t="s">
        <v>70</v>
      </c>
      <c r="C3" s="15">
        <f>MarketPlace_Order_Report[[#This Row],[UnitPrice]]*MarketPlace_Order_Report[[#This Row],[OrderQty]]</f>
        <v>3150</v>
      </c>
      <c r="D3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3" s="15">
        <f>MarketPlace_Order_Report[[#This Row],[Gross Amount (Before Tax)]]+MarketPlace_Order_Report[[#This Row],[Total GST Amount]]</f>
        <v>3630.5079999999998</v>
      </c>
    </row>
    <row r="4" spans="1:5">
      <c r="A4" s="12" t="s">
        <v>79</v>
      </c>
      <c r="B4" s="12" t="s">
        <v>81</v>
      </c>
      <c r="C4" s="13">
        <f>MarketPlace_Order_Report[[#This Row],[UnitPrice]]*MarketPlace_Order_Report[[#This Row],[OrderQty]]</f>
        <v>1688</v>
      </c>
      <c r="D4" s="13">
        <f>IFERROR(MarketPlace_Order_Report[[#This Row],[CGSTAmount]]+MarketPlace_Order_Report[[#This Row],[SGSTAmount]]+MarketPlace_Order_Report[[#This Row],[IGSTAmount]],MarketPlace_Order_Report[[#This Row],[TaxAmount]])</f>
        <v>180.857</v>
      </c>
      <c r="E4" s="13">
        <f>MarketPlace_Order_Report[[#This Row],[Gross Amount (Before Tax)]]+MarketPlace_Order_Report[[#This Row],[Total GST Amount]]</f>
        <v>1868.857</v>
      </c>
    </row>
    <row r="5" spans="1:5">
      <c r="A5" s="14" t="s">
        <v>84</v>
      </c>
      <c r="B5" s="14" t="s">
        <v>86</v>
      </c>
      <c r="C5" s="15">
        <f>MarketPlace_Order_Report[[#This Row],[UnitPrice]]*MarketPlace_Order_Report[[#This Row],[OrderQty]]</f>
        <v>1125</v>
      </c>
      <c r="D5" s="15">
        <f>IFERROR(MarketPlace_Order_Report[[#This Row],[CGSTAmount]]+MarketPlace_Order_Report[[#This Row],[SGSTAmount]]+MarketPlace_Order_Report[[#This Row],[IGSTAmount]],MarketPlace_Order_Report[[#This Row],[TaxAmount]])</f>
        <v>53.570999999999998</v>
      </c>
      <c r="E5" s="15">
        <f>MarketPlace_Order_Report[[#This Row],[Gross Amount (Before Tax)]]+MarketPlace_Order_Report[[#This Row],[Total GST Amount]]</f>
        <v>1178.5709999999999</v>
      </c>
    </row>
    <row r="6" spans="1:5">
      <c r="A6" s="12" t="s">
        <v>90</v>
      </c>
      <c r="B6" s="12" t="s">
        <v>93</v>
      </c>
      <c r="C6" s="13">
        <f>MarketPlace_Order_Report[[#This Row],[UnitPrice]]*MarketPlace_Order_Report[[#This Row],[OrderQty]]</f>
        <v>1125</v>
      </c>
      <c r="D6" s="13">
        <f>IFERROR(MarketPlace_Order_Report[[#This Row],[CGSTAmount]]+MarketPlace_Order_Report[[#This Row],[SGSTAmount]]+MarketPlace_Order_Report[[#This Row],[IGSTAmount]],MarketPlace_Order_Report[[#This Row],[TaxAmount]])</f>
        <v>53.570999999999998</v>
      </c>
      <c r="E6" s="13">
        <f>MarketPlace_Order_Report[[#This Row],[Gross Amount (Before Tax)]]+MarketPlace_Order_Report[[#This Row],[Total GST Amount]]</f>
        <v>1178.5709999999999</v>
      </c>
    </row>
    <row r="7" spans="1:5">
      <c r="A7" s="14" t="s">
        <v>95</v>
      </c>
      <c r="B7" s="14" t="s">
        <v>97</v>
      </c>
      <c r="C7" s="15">
        <f>MarketPlace_Order_Report[[#This Row],[UnitPrice]]*MarketPlace_Order_Report[[#This Row],[OrderQty]]</f>
        <v>1688</v>
      </c>
      <c r="D7" s="15">
        <f>IFERROR(MarketPlace_Order_Report[[#This Row],[CGSTAmount]]+MarketPlace_Order_Report[[#This Row],[SGSTAmount]]+MarketPlace_Order_Report[[#This Row],[IGSTAmount]],MarketPlace_Order_Report[[#This Row],[TaxAmount]])</f>
        <v>180.857</v>
      </c>
      <c r="E7" s="15">
        <f>MarketPlace_Order_Report[[#This Row],[Gross Amount (Before Tax)]]+MarketPlace_Order_Report[[#This Row],[Total GST Amount]]</f>
        <v>1868.857</v>
      </c>
    </row>
    <row r="8" spans="1:5">
      <c r="A8" s="12" t="s">
        <v>100</v>
      </c>
      <c r="B8" s="12" t="s">
        <v>97</v>
      </c>
      <c r="C8" s="13">
        <f>MarketPlace_Order_Report[[#This Row],[UnitPrice]]*MarketPlace_Order_Report[[#This Row],[OrderQty]]</f>
        <v>1688</v>
      </c>
      <c r="D8" s="13">
        <f>IFERROR(MarketPlace_Order_Report[[#This Row],[CGSTAmount]]+MarketPlace_Order_Report[[#This Row],[SGSTAmount]]+MarketPlace_Order_Report[[#This Row],[IGSTAmount]],MarketPlace_Order_Report[[#This Row],[TaxAmount]])</f>
        <v>180.857</v>
      </c>
      <c r="E8" s="13">
        <f>MarketPlace_Order_Report[[#This Row],[Gross Amount (Before Tax)]]+MarketPlace_Order_Report[[#This Row],[Total GST Amount]]</f>
        <v>1868.857</v>
      </c>
    </row>
    <row r="9" spans="1:5">
      <c r="A9" s="14" t="s">
        <v>104</v>
      </c>
      <c r="B9" s="14" t="s">
        <v>106</v>
      </c>
      <c r="C9" s="15">
        <f>MarketPlace_Order_Report[[#This Row],[UnitPrice]]*MarketPlace_Order_Report[[#This Row],[OrderQty]]</f>
        <v>1125</v>
      </c>
      <c r="D9" s="15">
        <f>IFERROR(MarketPlace_Order_Report[[#This Row],[CGSTAmount]]+MarketPlace_Order_Report[[#This Row],[SGSTAmount]]+MarketPlace_Order_Report[[#This Row],[IGSTAmount]],MarketPlace_Order_Report[[#This Row],[TaxAmount]])</f>
        <v>120.536</v>
      </c>
      <c r="E9" s="15">
        <f>MarketPlace_Order_Report[[#This Row],[Gross Amount (Before Tax)]]+MarketPlace_Order_Report[[#This Row],[Total GST Amount]]</f>
        <v>1245.5360000000001</v>
      </c>
    </row>
    <row r="10" spans="1:5">
      <c r="A10" s="12" t="s">
        <v>110</v>
      </c>
      <c r="B10" s="12" t="s">
        <v>113</v>
      </c>
      <c r="C10" s="13">
        <f>MarketPlace_Order_Report[[#This Row],[UnitPrice]]*MarketPlace_Order_Report[[#This Row],[OrderQty]]</f>
        <v>3600</v>
      </c>
      <c r="D10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10" s="13">
        <f>MarketPlace_Order_Report[[#This Row],[Gross Amount (Before Tax)]]+MarketPlace_Order_Report[[#This Row],[Total GST Amount]]</f>
        <v>4149.1530000000002</v>
      </c>
    </row>
    <row r="11" spans="1:5">
      <c r="A11" s="14" t="s">
        <v>116</v>
      </c>
      <c r="B11" s="14" t="s">
        <v>118</v>
      </c>
      <c r="C11" s="15">
        <f>MarketPlace_Order_Report[[#This Row],[UnitPrice]]*MarketPlace_Order_Report[[#This Row],[OrderQty]]</f>
        <v>3600</v>
      </c>
      <c r="D11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11" s="15">
        <f>MarketPlace_Order_Report[[#This Row],[Gross Amount (Before Tax)]]+MarketPlace_Order_Report[[#This Row],[Total GST Amount]]</f>
        <v>4149.1530000000002</v>
      </c>
    </row>
    <row r="12" spans="1:5">
      <c r="A12" s="12" t="s">
        <v>121</v>
      </c>
      <c r="B12" s="12" t="s">
        <v>123</v>
      </c>
      <c r="C12" s="13">
        <f>MarketPlace_Order_Report[[#This Row],[UnitPrice]]*MarketPlace_Order_Report[[#This Row],[OrderQty]]</f>
        <v>3200</v>
      </c>
      <c r="D12" s="13">
        <f>IFERROR(MarketPlace_Order_Report[[#This Row],[CGSTAmount]]+MarketPlace_Order_Report[[#This Row],[SGSTAmount]]+MarketPlace_Order_Report[[#This Row],[IGSTAmount]],MarketPlace_Order_Report[[#This Row],[TaxAmount]])</f>
        <v>342.85700000000003</v>
      </c>
      <c r="E12" s="13">
        <f>MarketPlace_Order_Report[[#This Row],[Gross Amount (Before Tax)]]+MarketPlace_Order_Report[[#This Row],[Total GST Amount]]</f>
        <v>3542.857</v>
      </c>
    </row>
    <row r="13" spans="1:5">
      <c r="A13" s="14" t="s">
        <v>126</v>
      </c>
      <c r="B13" s="14" t="s">
        <v>129</v>
      </c>
      <c r="C13" s="15">
        <f>MarketPlace_Order_Report[[#This Row],[UnitPrice]]*MarketPlace_Order_Report[[#This Row],[OrderQty]]</f>
        <v>3200</v>
      </c>
      <c r="D13" s="15">
        <f>IFERROR(MarketPlace_Order_Report[[#This Row],[CGSTAmount]]+MarketPlace_Order_Report[[#This Row],[SGSTAmount]]+MarketPlace_Order_Report[[#This Row],[IGSTAmount]],MarketPlace_Order_Report[[#This Row],[TaxAmount]])</f>
        <v>488.13600000000002</v>
      </c>
      <c r="E13" s="15">
        <f>MarketPlace_Order_Report[[#This Row],[Gross Amount (Before Tax)]]+MarketPlace_Order_Report[[#This Row],[Total GST Amount]]</f>
        <v>3688.136</v>
      </c>
    </row>
    <row r="14" spans="1:5">
      <c r="A14" s="12" t="s">
        <v>132</v>
      </c>
      <c r="B14" s="12" t="s">
        <v>135</v>
      </c>
      <c r="C14" s="13">
        <f>MarketPlace_Order_Report[[#This Row],[UnitPrice]]*MarketPlace_Order_Report[[#This Row],[OrderQty]]</f>
        <v>3200</v>
      </c>
      <c r="D14" s="13">
        <f>IFERROR(MarketPlace_Order_Report[[#This Row],[CGSTAmount]]+MarketPlace_Order_Report[[#This Row],[SGSTAmount]]+MarketPlace_Order_Report[[#This Row],[IGSTAmount]],MarketPlace_Order_Report[[#This Row],[TaxAmount]])</f>
        <v>488.13600000000002</v>
      </c>
      <c r="E14" s="13">
        <f>MarketPlace_Order_Report[[#This Row],[Gross Amount (Before Tax)]]+MarketPlace_Order_Report[[#This Row],[Total GST Amount]]</f>
        <v>3688.136</v>
      </c>
    </row>
    <row r="15" spans="1:5">
      <c r="A15" s="14" t="s">
        <v>138</v>
      </c>
      <c r="B15" s="14" t="s">
        <v>140</v>
      </c>
      <c r="C15" s="15">
        <f>MarketPlace_Order_Report[[#This Row],[UnitPrice]]*MarketPlace_Order_Report[[#This Row],[OrderQty]]</f>
        <v>2450</v>
      </c>
      <c r="D15" s="15">
        <f>IFERROR(MarketPlace_Order_Report[[#This Row],[CGSTAmount]]+MarketPlace_Order_Report[[#This Row],[SGSTAmount]]+MarketPlace_Order_Report[[#This Row],[IGSTAmount]],MarketPlace_Order_Report[[#This Row],[TaxAmount]])</f>
        <v>116.667</v>
      </c>
      <c r="E15" s="15">
        <f>MarketPlace_Order_Report[[#This Row],[Gross Amount (Before Tax)]]+MarketPlace_Order_Report[[#This Row],[Total GST Amount]]</f>
        <v>2566.6669999999999</v>
      </c>
    </row>
    <row r="16" spans="1:5">
      <c r="A16" s="12" t="s">
        <v>142</v>
      </c>
      <c r="B16" s="12" t="s">
        <v>144</v>
      </c>
      <c r="C16" s="13">
        <f>MarketPlace_Order_Report[[#This Row],[UnitPrice]]*MarketPlace_Order_Report[[#This Row],[OrderQty]]</f>
        <v>1000</v>
      </c>
      <c r="D16" s="13">
        <f>IFERROR(MarketPlace_Order_Report[[#This Row],[CGSTAmount]]+MarketPlace_Order_Report[[#This Row],[SGSTAmount]]+MarketPlace_Order_Report[[#This Row],[IGSTAmount]],MarketPlace_Order_Report[[#This Row],[TaxAmount]])</f>
        <v>47.619</v>
      </c>
      <c r="E16" s="13">
        <f>MarketPlace_Order_Report[[#This Row],[Gross Amount (Before Tax)]]+MarketPlace_Order_Report[[#This Row],[Total GST Amount]]</f>
        <v>1047.6189999999999</v>
      </c>
    </row>
    <row r="17" spans="1:5">
      <c r="A17" s="14" t="s">
        <v>146</v>
      </c>
      <c r="B17" s="14" t="s">
        <v>148</v>
      </c>
      <c r="C17" s="15">
        <f>MarketPlace_Order_Report[[#This Row],[UnitPrice]]*MarketPlace_Order_Report[[#This Row],[OrderQty]]</f>
        <v>3000</v>
      </c>
      <c r="D17" s="15">
        <f>IFERROR(MarketPlace_Order_Report[[#This Row],[CGSTAmount]]+MarketPlace_Order_Report[[#This Row],[SGSTAmount]]+MarketPlace_Order_Report[[#This Row],[IGSTAmount]],MarketPlace_Order_Report[[#This Row],[TaxAmount]])</f>
        <v>321.42899999999997</v>
      </c>
      <c r="E17" s="15">
        <f>MarketPlace_Order_Report[[#This Row],[Gross Amount (Before Tax)]]+MarketPlace_Order_Report[[#This Row],[Total GST Amount]]</f>
        <v>3321.4290000000001</v>
      </c>
    </row>
    <row r="18" spans="1:5">
      <c r="A18" s="12" t="s">
        <v>151</v>
      </c>
      <c r="B18" s="12" t="s">
        <v>153</v>
      </c>
      <c r="C18" s="13">
        <f>MarketPlace_Order_Report[[#This Row],[UnitPrice]]*MarketPlace_Order_Report[[#This Row],[OrderQty]]</f>
        <v>3500</v>
      </c>
      <c r="D18" s="13">
        <f>IFERROR(MarketPlace_Order_Report[[#This Row],[CGSTAmount]]+MarketPlace_Order_Report[[#This Row],[SGSTAmount]]+MarketPlace_Order_Report[[#This Row],[IGSTAmount]],MarketPlace_Order_Report[[#This Row],[TaxAmount]])</f>
        <v>533.89800000000002</v>
      </c>
      <c r="E18" s="13">
        <f>MarketPlace_Order_Report[[#This Row],[Gross Amount (Before Tax)]]+MarketPlace_Order_Report[[#This Row],[Total GST Amount]]</f>
        <v>4033.8980000000001</v>
      </c>
    </row>
    <row r="19" spans="1:5">
      <c r="A19" s="14" t="s">
        <v>68</v>
      </c>
      <c r="B19" s="14" t="s">
        <v>154</v>
      </c>
      <c r="C19" s="15">
        <f>MarketPlace_Order_Report[[#This Row],[UnitPrice]]*MarketPlace_Order_Report[[#This Row],[OrderQty]]</f>
        <v>3500</v>
      </c>
      <c r="D19" s="15">
        <f>IFERROR(MarketPlace_Order_Report[[#This Row],[CGSTAmount]]+MarketPlace_Order_Report[[#This Row],[SGSTAmount]]+MarketPlace_Order_Report[[#This Row],[IGSTAmount]],MarketPlace_Order_Report[[#This Row],[TaxAmount]])</f>
        <v>533.89800000000002</v>
      </c>
      <c r="E19" s="15">
        <f>MarketPlace_Order_Report[[#This Row],[Gross Amount (Before Tax)]]+MarketPlace_Order_Report[[#This Row],[Total GST Amount]]</f>
        <v>4033.8980000000001</v>
      </c>
    </row>
    <row r="20" spans="1:5">
      <c r="A20" s="12" t="s">
        <v>155</v>
      </c>
      <c r="B20" s="12" t="s">
        <v>157</v>
      </c>
      <c r="C20" s="13">
        <f>MarketPlace_Order_Report[[#This Row],[UnitPrice]]*MarketPlace_Order_Report[[#This Row],[OrderQty]]</f>
        <v>3150</v>
      </c>
      <c r="D20" s="13">
        <f>IFERROR(MarketPlace_Order_Report[[#This Row],[CGSTAmount]]+MarketPlace_Order_Report[[#This Row],[SGSTAmount]]+MarketPlace_Order_Report[[#This Row],[IGSTAmount]],MarketPlace_Order_Report[[#This Row],[TaxAmount]])</f>
        <v>337.5</v>
      </c>
      <c r="E20" s="13">
        <f>MarketPlace_Order_Report[[#This Row],[Gross Amount (Before Tax)]]+MarketPlace_Order_Report[[#This Row],[Total GST Amount]]</f>
        <v>3487.5</v>
      </c>
    </row>
    <row r="21" spans="1:5">
      <c r="A21" s="14" t="s">
        <v>159</v>
      </c>
      <c r="B21" s="14" t="s">
        <v>161</v>
      </c>
      <c r="C21" s="15">
        <f>MarketPlace_Order_Report[[#This Row],[UnitPrice]]*MarketPlace_Order_Report[[#This Row],[OrderQty]]</f>
        <v>3150</v>
      </c>
      <c r="D21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21" s="15">
        <f>MarketPlace_Order_Report[[#This Row],[Gross Amount (Before Tax)]]+MarketPlace_Order_Report[[#This Row],[Total GST Amount]]</f>
        <v>3630.5079999999998</v>
      </c>
    </row>
    <row r="22" spans="1:5">
      <c r="A22" s="12" t="s">
        <v>162</v>
      </c>
      <c r="B22" s="12" t="s">
        <v>164</v>
      </c>
      <c r="C22" s="13">
        <f>MarketPlace_Order_Report[[#This Row],[UnitPrice]]*MarketPlace_Order_Report[[#This Row],[OrderQty]]</f>
        <v>4000</v>
      </c>
      <c r="D22" s="13">
        <f>IFERROR(MarketPlace_Order_Report[[#This Row],[CGSTAmount]]+MarketPlace_Order_Report[[#This Row],[SGSTAmount]]+MarketPlace_Order_Report[[#This Row],[IGSTAmount]],MarketPlace_Order_Report[[#This Row],[TaxAmount]])</f>
        <v>428.57100000000003</v>
      </c>
      <c r="E22" s="13">
        <f>MarketPlace_Order_Report[[#This Row],[Gross Amount (Before Tax)]]+MarketPlace_Order_Report[[#This Row],[Total GST Amount]]</f>
        <v>4428.5709999999999</v>
      </c>
    </row>
    <row r="23" spans="1:5">
      <c r="A23" s="14" t="s">
        <v>166</v>
      </c>
      <c r="B23" s="14" t="s">
        <v>168</v>
      </c>
      <c r="C23" s="15">
        <f>MarketPlace_Order_Report[[#This Row],[UnitPrice]]*MarketPlace_Order_Report[[#This Row],[OrderQty]]</f>
        <v>4000</v>
      </c>
      <c r="D23" s="15">
        <f>IFERROR(MarketPlace_Order_Report[[#This Row],[CGSTAmount]]+MarketPlace_Order_Report[[#This Row],[SGSTAmount]]+MarketPlace_Order_Report[[#This Row],[IGSTAmount]],MarketPlace_Order_Report[[#This Row],[TaxAmount]])</f>
        <v>610.16899999999998</v>
      </c>
      <c r="E23" s="15">
        <f>MarketPlace_Order_Report[[#This Row],[Gross Amount (Before Tax)]]+MarketPlace_Order_Report[[#This Row],[Total GST Amount]]</f>
        <v>4610.1689999999999</v>
      </c>
    </row>
    <row r="24" spans="1:5">
      <c r="A24" s="12" t="s">
        <v>169</v>
      </c>
      <c r="B24" s="12" t="s">
        <v>171</v>
      </c>
      <c r="C24" s="13">
        <f>MarketPlace_Order_Report[[#This Row],[UnitPrice]]*MarketPlace_Order_Report[[#This Row],[OrderQty]]</f>
        <v>3750</v>
      </c>
      <c r="D24" s="13">
        <f>IFERROR(MarketPlace_Order_Report[[#This Row],[CGSTAmount]]+MarketPlace_Order_Report[[#This Row],[SGSTAmount]]+MarketPlace_Order_Report[[#This Row],[IGSTAmount]],MarketPlace_Order_Report[[#This Row],[TaxAmount]])</f>
        <v>401.786</v>
      </c>
      <c r="E24" s="13">
        <f>MarketPlace_Order_Report[[#This Row],[Gross Amount (Before Tax)]]+MarketPlace_Order_Report[[#This Row],[Total GST Amount]]</f>
        <v>4151.7860000000001</v>
      </c>
    </row>
    <row r="25" spans="1:5">
      <c r="A25" s="14" t="s">
        <v>173</v>
      </c>
      <c r="B25" s="14" t="s">
        <v>175</v>
      </c>
      <c r="C25" s="15">
        <f>MarketPlace_Order_Report[[#This Row],[UnitPrice]]*MarketPlace_Order_Report[[#This Row],[OrderQty]]</f>
        <v>3750</v>
      </c>
      <c r="D25" s="15">
        <f>IFERROR(MarketPlace_Order_Report[[#This Row],[CGSTAmount]]+MarketPlace_Order_Report[[#This Row],[SGSTAmount]]+MarketPlace_Order_Report[[#This Row],[IGSTAmount]],MarketPlace_Order_Report[[#This Row],[TaxAmount]])</f>
        <v>401.786</v>
      </c>
      <c r="E25" s="15">
        <f>MarketPlace_Order_Report[[#This Row],[Gross Amount (Before Tax)]]+MarketPlace_Order_Report[[#This Row],[Total GST Amount]]</f>
        <v>4151.7860000000001</v>
      </c>
    </row>
    <row r="26" spans="1:5">
      <c r="A26" s="12" t="s">
        <v>178</v>
      </c>
      <c r="B26" s="12" t="s">
        <v>181</v>
      </c>
      <c r="C26" s="13">
        <f>MarketPlace_Order_Report[[#This Row],[UnitPrice]]*MarketPlace_Order_Report[[#This Row],[OrderQty]]</f>
        <v>3465</v>
      </c>
      <c r="D26" s="13">
        <f>IFERROR(MarketPlace_Order_Report[[#This Row],[CGSTAmount]]+MarketPlace_Order_Report[[#This Row],[SGSTAmount]]+MarketPlace_Order_Report[[#This Row],[IGSTAmount]],MarketPlace_Order_Report[[#This Row],[TaxAmount]])</f>
        <v>528.55899999999997</v>
      </c>
      <c r="E26" s="13">
        <f>MarketPlace_Order_Report[[#This Row],[Gross Amount (Before Tax)]]+MarketPlace_Order_Report[[#This Row],[Total GST Amount]]</f>
        <v>3993.5590000000002</v>
      </c>
    </row>
    <row r="27" spans="1:5">
      <c r="A27" s="14" t="s">
        <v>184</v>
      </c>
      <c r="B27" s="14" t="s">
        <v>186</v>
      </c>
      <c r="C27" s="15">
        <f>MarketPlace_Order_Report[[#This Row],[UnitPrice]]*MarketPlace_Order_Report[[#This Row],[OrderQty]]</f>
        <v>3465</v>
      </c>
      <c r="D27" s="15">
        <f>IFERROR(MarketPlace_Order_Report[[#This Row],[CGSTAmount]]+MarketPlace_Order_Report[[#This Row],[SGSTAmount]]+MarketPlace_Order_Report[[#This Row],[IGSTAmount]],MarketPlace_Order_Report[[#This Row],[TaxAmount]])</f>
        <v>528.55899999999997</v>
      </c>
      <c r="E27" s="15">
        <f>MarketPlace_Order_Report[[#This Row],[Gross Amount (Before Tax)]]+MarketPlace_Order_Report[[#This Row],[Total GST Amount]]</f>
        <v>3993.5590000000002</v>
      </c>
    </row>
    <row r="28" spans="1:5">
      <c r="A28" s="12" t="s">
        <v>189</v>
      </c>
      <c r="B28" s="12" t="s">
        <v>192</v>
      </c>
      <c r="C28" s="13">
        <f>MarketPlace_Order_Report[[#This Row],[UnitPrice]]*MarketPlace_Order_Report[[#This Row],[OrderQty]]</f>
        <v>3465</v>
      </c>
      <c r="D28" s="13">
        <f>IFERROR(MarketPlace_Order_Report[[#This Row],[CGSTAmount]]+MarketPlace_Order_Report[[#This Row],[SGSTAmount]]+MarketPlace_Order_Report[[#This Row],[IGSTAmount]],MarketPlace_Order_Report[[#This Row],[TaxAmount]])</f>
        <v>528.55899999999997</v>
      </c>
      <c r="E28" s="13">
        <f>MarketPlace_Order_Report[[#This Row],[Gross Amount (Before Tax)]]+MarketPlace_Order_Report[[#This Row],[Total GST Amount]]</f>
        <v>3993.5590000000002</v>
      </c>
    </row>
    <row r="29" spans="1:5">
      <c r="A29" s="14" t="s">
        <v>193</v>
      </c>
      <c r="B29" s="14" t="s">
        <v>196</v>
      </c>
      <c r="C29" s="15">
        <f>MarketPlace_Order_Report[[#This Row],[UnitPrice]]*MarketPlace_Order_Report[[#This Row],[OrderQty]]</f>
        <v>3465</v>
      </c>
      <c r="D29" s="15">
        <f>IFERROR(MarketPlace_Order_Report[[#This Row],[CGSTAmount]]+MarketPlace_Order_Report[[#This Row],[SGSTAmount]]+MarketPlace_Order_Report[[#This Row],[IGSTAmount]],MarketPlace_Order_Report[[#This Row],[TaxAmount]])</f>
        <v>528.55899999999997</v>
      </c>
      <c r="E29" s="15">
        <f>MarketPlace_Order_Report[[#This Row],[Gross Amount (Before Tax)]]+MarketPlace_Order_Report[[#This Row],[Total GST Amount]]</f>
        <v>3993.5590000000002</v>
      </c>
    </row>
    <row r="30" spans="1:5">
      <c r="A30" s="12" t="s">
        <v>198</v>
      </c>
      <c r="B30" s="12" t="s">
        <v>200</v>
      </c>
      <c r="C30" s="13">
        <f>MarketPlace_Order_Report[[#This Row],[UnitPrice]]*MarketPlace_Order_Report[[#This Row],[OrderQty]]</f>
        <v>3600</v>
      </c>
      <c r="D30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30" s="13">
        <f>MarketPlace_Order_Report[[#This Row],[Gross Amount (Before Tax)]]+MarketPlace_Order_Report[[#This Row],[Total GST Amount]]</f>
        <v>4149.1530000000002</v>
      </c>
    </row>
    <row r="31" spans="1:5">
      <c r="A31" s="14" t="s">
        <v>201</v>
      </c>
      <c r="B31" s="14" t="s">
        <v>203</v>
      </c>
      <c r="C31" s="15">
        <f>MarketPlace_Order_Report[[#This Row],[UnitPrice]]*MarketPlace_Order_Report[[#This Row],[OrderQty]]</f>
        <v>4050</v>
      </c>
      <c r="D31" s="15">
        <f>IFERROR(MarketPlace_Order_Report[[#This Row],[CGSTAmount]]+MarketPlace_Order_Report[[#This Row],[SGSTAmount]]+MarketPlace_Order_Report[[#This Row],[IGSTAmount]],MarketPlace_Order_Report[[#This Row],[TaxAmount]])</f>
        <v>617.79700000000003</v>
      </c>
      <c r="E31" s="15">
        <f>MarketPlace_Order_Report[[#This Row],[Gross Amount (Before Tax)]]+MarketPlace_Order_Report[[#This Row],[Total GST Amount]]</f>
        <v>4667.7970000000005</v>
      </c>
    </row>
    <row r="32" spans="1:5">
      <c r="A32" s="12" t="s">
        <v>205</v>
      </c>
      <c r="B32" s="12" t="s">
        <v>208</v>
      </c>
      <c r="C32" s="13">
        <f>MarketPlace_Order_Report[[#This Row],[UnitPrice]]*MarketPlace_Order_Report[[#This Row],[OrderQty]]</f>
        <v>4050</v>
      </c>
      <c r="D32" s="13">
        <f>IFERROR(MarketPlace_Order_Report[[#This Row],[CGSTAmount]]+MarketPlace_Order_Report[[#This Row],[SGSTAmount]]+MarketPlace_Order_Report[[#This Row],[IGSTAmount]],MarketPlace_Order_Report[[#This Row],[TaxAmount]])</f>
        <v>617.79700000000003</v>
      </c>
      <c r="E32" s="13">
        <f>MarketPlace_Order_Report[[#This Row],[Gross Amount (Before Tax)]]+MarketPlace_Order_Report[[#This Row],[Total GST Amount]]</f>
        <v>4667.7970000000005</v>
      </c>
    </row>
    <row r="33" spans="1:5">
      <c r="A33" s="14" t="s">
        <v>210</v>
      </c>
      <c r="B33" s="14" t="s">
        <v>213</v>
      </c>
      <c r="C33" s="15">
        <f>MarketPlace_Order_Report[[#This Row],[UnitPrice]]*MarketPlace_Order_Report[[#This Row],[OrderQty]]</f>
        <v>4050</v>
      </c>
      <c r="D33" s="15">
        <f>IFERROR(MarketPlace_Order_Report[[#This Row],[CGSTAmount]]+MarketPlace_Order_Report[[#This Row],[SGSTAmount]]+MarketPlace_Order_Report[[#This Row],[IGSTAmount]],MarketPlace_Order_Report[[#This Row],[TaxAmount]])</f>
        <v>433.92899999999997</v>
      </c>
      <c r="E33" s="15">
        <f>MarketPlace_Order_Report[[#This Row],[Gross Amount (Before Tax)]]+MarketPlace_Order_Report[[#This Row],[Total GST Amount]]</f>
        <v>4483.9290000000001</v>
      </c>
    </row>
    <row r="34" spans="1:5">
      <c r="A34" s="12" t="s">
        <v>216</v>
      </c>
      <c r="B34" s="12" t="s">
        <v>219</v>
      </c>
      <c r="C34" s="13">
        <f>MarketPlace_Order_Report[[#This Row],[UnitPrice]]*MarketPlace_Order_Report[[#This Row],[OrderQty]]</f>
        <v>4050</v>
      </c>
      <c r="D34" s="13">
        <f>IFERROR(MarketPlace_Order_Report[[#This Row],[CGSTAmount]]+MarketPlace_Order_Report[[#This Row],[SGSTAmount]]+MarketPlace_Order_Report[[#This Row],[IGSTAmount]],MarketPlace_Order_Report[[#This Row],[TaxAmount]])</f>
        <v>433.92899999999997</v>
      </c>
      <c r="E34" s="13">
        <f>MarketPlace_Order_Report[[#This Row],[Gross Amount (Before Tax)]]+MarketPlace_Order_Report[[#This Row],[Total GST Amount]]</f>
        <v>4483.9290000000001</v>
      </c>
    </row>
    <row r="35" spans="1:5">
      <c r="A35" s="14" t="s">
        <v>220</v>
      </c>
      <c r="B35" s="14" t="s">
        <v>222</v>
      </c>
      <c r="C35" s="15">
        <f>MarketPlace_Order_Report[[#This Row],[UnitPrice]]*MarketPlace_Order_Report[[#This Row],[OrderQty]]</f>
        <v>4500</v>
      </c>
      <c r="D35" s="15">
        <f>IFERROR(MarketPlace_Order_Report[[#This Row],[CGSTAmount]]+MarketPlace_Order_Report[[#This Row],[SGSTAmount]]+MarketPlace_Order_Report[[#This Row],[IGSTAmount]],MarketPlace_Order_Report[[#This Row],[TaxAmount]])</f>
        <v>686.44100000000003</v>
      </c>
      <c r="E35" s="15">
        <f>MarketPlace_Order_Report[[#This Row],[Gross Amount (Before Tax)]]+MarketPlace_Order_Report[[#This Row],[Total GST Amount]]</f>
        <v>5186.4409999999998</v>
      </c>
    </row>
    <row r="36" spans="1:5">
      <c r="A36" s="12" t="s">
        <v>224</v>
      </c>
      <c r="B36" s="12" t="s">
        <v>226</v>
      </c>
      <c r="C36" s="13">
        <f>MarketPlace_Order_Report[[#This Row],[UnitPrice]]*MarketPlace_Order_Report[[#This Row],[OrderQty]]</f>
        <v>3000</v>
      </c>
      <c r="D36" s="13">
        <f>IFERROR(MarketPlace_Order_Report[[#This Row],[CGSTAmount]]+MarketPlace_Order_Report[[#This Row],[SGSTAmount]]+MarketPlace_Order_Report[[#This Row],[IGSTAmount]],MarketPlace_Order_Report[[#This Row],[TaxAmount]])</f>
        <v>321.42899999999997</v>
      </c>
      <c r="E36" s="13">
        <f>MarketPlace_Order_Report[[#This Row],[Gross Amount (Before Tax)]]+MarketPlace_Order_Report[[#This Row],[Total GST Amount]]</f>
        <v>3321.4290000000001</v>
      </c>
    </row>
    <row r="37" spans="1:5">
      <c r="A37" s="14" t="s">
        <v>227</v>
      </c>
      <c r="B37" s="14" t="s">
        <v>229</v>
      </c>
      <c r="C37" s="15">
        <f>MarketPlace_Order_Report[[#This Row],[UnitPrice]]*MarketPlace_Order_Report[[#This Row],[OrderQty]]</f>
        <v>3375</v>
      </c>
      <c r="D37" s="15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E37" s="15">
        <f>MarketPlace_Order_Report[[#This Row],[Gross Amount (Before Tax)]]+MarketPlace_Order_Report[[#This Row],[Total GST Amount]]</f>
        <v>3736.607</v>
      </c>
    </row>
    <row r="38" spans="1:5">
      <c r="A38" s="12" t="s">
        <v>227</v>
      </c>
      <c r="B38" s="12" t="s">
        <v>232</v>
      </c>
      <c r="C38" s="13">
        <f>MarketPlace_Order_Report[[#This Row],[UnitPrice]]*MarketPlace_Order_Report[[#This Row],[OrderQty]]</f>
        <v>3375</v>
      </c>
      <c r="D38" s="13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E38" s="13">
        <f>MarketPlace_Order_Report[[#This Row],[Gross Amount (Before Tax)]]+MarketPlace_Order_Report[[#This Row],[Total GST Amount]]</f>
        <v>3736.607</v>
      </c>
    </row>
    <row r="39" spans="1:5">
      <c r="A39" s="14" t="s">
        <v>233</v>
      </c>
      <c r="B39" s="14" t="s">
        <v>232</v>
      </c>
      <c r="C39" s="15">
        <f>MarketPlace_Order_Report[[#This Row],[UnitPrice]]*MarketPlace_Order_Report[[#This Row],[OrderQty]]</f>
        <v>3000</v>
      </c>
      <c r="D39" s="15">
        <f>IFERROR(MarketPlace_Order_Report[[#This Row],[CGSTAmount]]+MarketPlace_Order_Report[[#This Row],[SGSTAmount]]+MarketPlace_Order_Report[[#This Row],[IGSTAmount]],MarketPlace_Order_Report[[#This Row],[TaxAmount]])</f>
        <v>321.42899999999997</v>
      </c>
      <c r="E39" s="15">
        <f>MarketPlace_Order_Report[[#This Row],[Gross Amount (Before Tax)]]+MarketPlace_Order_Report[[#This Row],[Total GST Amount]]</f>
        <v>3321.4290000000001</v>
      </c>
    </row>
    <row r="40" spans="1:5">
      <c r="A40" s="12" t="s">
        <v>237</v>
      </c>
      <c r="B40" s="12" t="s">
        <v>239</v>
      </c>
      <c r="C40" s="13">
        <f>MarketPlace_Order_Report[[#This Row],[UnitPrice]]*MarketPlace_Order_Report[[#This Row],[OrderQty]]</f>
        <v>2800</v>
      </c>
      <c r="D40" s="13">
        <f>IFERROR(MarketPlace_Order_Report[[#This Row],[CGSTAmount]]+MarketPlace_Order_Report[[#This Row],[SGSTAmount]]+MarketPlace_Order_Report[[#This Row],[IGSTAmount]],MarketPlace_Order_Report[[#This Row],[TaxAmount]])</f>
        <v>300</v>
      </c>
      <c r="E40" s="13">
        <f>MarketPlace_Order_Report[[#This Row],[Gross Amount (Before Tax)]]+MarketPlace_Order_Report[[#This Row],[Total GST Amount]]</f>
        <v>3100</v>
      </c>
    </row>
    <row r="41" spans="1:5">
      <c r="A41" s="14" t="s">
        <v>241</v>
      </c>
      <c r="B41" s="14" t="s">
        <v>243</v>
      </c>
      <c r="C41" s="15">
        <f>MarketPlace_Order_Report[[#This Row],[UnitPrice]]*MarketPlace_Order_Report[[#This Row],[OrderQty]]</f>
        <v>5600</v>
      </c>
      <c r="D41" s="15">
        <f>IFERROR(MarketPlace_Order_Report[[#This Row],[CGSTAmount]]+MarketPlace_Order_Report[[#This Row],[SGSTAmount]]+MarketPlace_Order_Report[[#This Row],[IGSTAmount]],MarketPlace_Order_Report[[#This Row],[TaxAmount]])</f>
        <v>600</v>
      </c>
      <c r="E41" s="15">
        <f>MarketPlace_Order_Report[[#This Row],[Gross Amount (Before Tax)]]+MarketPlace_Order_Report[[#This Row],[Total GST Amount]]</f>
        <v>6200</v>
      </c>
    </row>
    <row r="42" spans="1:5">
      <c r="A42" s="12" t="s">
        <v>244</v>
      </c>
      <c r="B42" s="12" t="s">
        <v>246</v>
      </c>
      <c r="C42" s="13">
        <f>MarketPlace_Order_Report[[#This Row],[UnitPrice]]*MarketPlace_Order_Report[[#This Row],[OrderQty]]</f>
        <v>2800</v>
      </c>
      <c r="D42" s="13">
        <f>IFERROR(MarketPlace_Order_Report[[#This Row],[CGSTAmount]]+MarketPlace_Order_Report[[#This Row],[SGSTAmount]]+MarketPlace_Order_Report[[#This Row],[IGSTAmount]],MarketPlace_Order_Report[[#This Row],[TaxAmount]])</f>
        <v>300</v>
      </c>
      <c r="E42" s="13">
        <f>MarketPlace_Order_Report[[#This Row],[Gross Amount (Before Tax)]]+MarketPlace_Order_Report[[#This Row],[Total GST Amount]]</f>
        <v>3100</v>
      </c>
    </row>
    <row r="43" spans="1:5">
      <c r="A43" s="14" t="s">
        <v>248</v>
      </c>
      <c r="B43" s="14" t="s">
        <v>250</v>
      </c>
      <c r="C43" s="15">
        <f>MarketPlace_Order_Report[[#This Row],[UnitPrice]]*MarketPlace_Order_Report[[#This Row],[OrderQty]]</f>
        <v>3375</v>
      </c>
      <c r="D43" s="15">
        <f>IFERROR(MarketPlace_Order_Report[[#This Row],[CGSTAmount]]+MarketPlace_Order_Report[[#This Row],[SGSTAmount]]+MarketPlace_Order_Report[[#This Row],[IGSTAmount]],MarketPlace_Order_Report[[#This Row],[TaxAmount]])</f>
        <v>514.83100000000002</v>
      </c>
      <c r="E43" s="15">
        <f>MarketPlace_Order_Report[[#This Row],[Gross Amount (Before Tax)]]+MarketPlace_Order_Report[[#This Row],[Total GST Amount]]</f>
        <v>3889.8310000000001</v>
      </c>
    </row>
    <row r="44" spans="1:5">
      <c r="A44" s="12" t="s">
        <v>252</v>
      </c>
      <c r="B44" s="12" t="s">
        <v>250</v>
      </c>
      <c r="C44" s="13">
        <f>MarketPlace_Order_Report[[#This Row],[UnitPrice]]*MarketPlace_Order_Report[[#This Row],[OrderQty]]</f>
        <v>3375</v>
      </c>
      <c r="D44" s="13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E44" s="13">
        <f>MarketPlace_Order_Report[[#This Row],[Gross Amount (Before Tax)]]+MarketPlace_Order_Report[[#This Row],[Total GST Amount]]</f>
        <v>3736.607</v>
      </c>
    </row>
    <row r="45" spans="1:5">
      <c r="A45" s="14" t="s">
        <v>255</v>
      </c>
      <c r="B45" s="14" t="s">
        <v>257</v>
      </c>
      <c r="C45" s="15">
        <f>MarketPlace_Order_Report[[#This Row],[UnitPrice]]*MarketPlace_Order_Report[[#This Row],[OrderQty]]</f>
        <v>2800</v>
      </c>
      <c r="D45" s="15">
        <f>IFERROR(MarketPlace_Order_Report[[#This Row],[CGSTAmount]]+MarketPlace_Order_Report[[#This Row],[SGSTAmount]]+MarketPlace_Order_Report[[#This Row],[IGSTAmount]],MarketPlace_Order_Report[[#This Row],[TaxAmount]])</f>
        <v>427.11900000000003</v>
      </c>
      <c r="E45" s="15">
        <f>MarketPlace_Order_Report[[#This Row],[Gross Amount (Before Tax)]]+MarketPlace_Order_Report[[#This Row],[Total GST Amount]]</f>
        <v>3227.1190000000001</v>
      </c>
    </row>
    <row r="46" spans="1:5">
      <c r="A46" s="12" t="s">
        <v>259</v>
      </c>
      <c r="B46" s="12" t="s">
        <v>261</v>
      </c>
      <c r="C46" s="13">
        <f>MarketPlace_Order_Report[[#This Row],[UnitPrice]]*MarketPlace_Order_Report[[#This Row],[OrderQty]]</f>
        <v>2800</v>
      </c>
      <c r="D46" s="13">
        <f>IFERROR(MarketPlace_Order_Report[[#This Row],[CGSTAmount]]+MarketPlace_Order_Report[[#This Row],[SGSTAmount]]+MarketPlace_Order_Report[[#This Row],[IGSTAmount]],MarketPlace_Order_Report[[#This Row],[TaxAmount]])</f>
        <v>300</v>
      </c>
      <c r="E46" s="13">
        <f>MarketPlace_Order_Report[[#This Row],[Gross Amount (Before Tax)]]+MarketPlace_Order_Report[[#This Row],[Total GST Amount]]</f>
        <v>3100</v>
      </c>
    </row>
    <row r="47" spans="1:5">
      <c r="A47" s="14" t="s">
        <v>263</v>
      </c>
      <c r="B47" s="14" t="s">
        <v>265</v>
      </c>
      <c r="C47" s="15">
        <f>MarketPlace_Order_Report[[#This Row],[UnitPrice]]*MarketPlace_Order_Report[[#This Row],[OrderQty]]</f>
        <v>1400</v>
      </c>
      <c r="D47" s="15">
        <f>IFERROR(MarketPlace_Order_Report[[#This Row],[CGSTAmount]]+MarketPlace_Order_Report[[#This Row],[SGSTAmount]]+MarketPlace_Order_Report[[#This Row],[IGSTAmount]],MarketPlace_Order_Report[[#This Row],[TaxAmount]])</f>
        <v>150</v>
      </c>
      <c r="E47" s="15">
        <f>MarketPlace_Order_Report[[#This Row],[Gross Amount (Before Tax)]]+MarketPlace_Order_Report[[#This Row],[Total GST Amount]]</f>
        <v>1550</v>
      </c>
    </row>
    <row r="48" spans="1:5">
      <c r="A48" s="12" t="s">
        <v>267</v>
      </c>
      <c r="B48" s="12" t="s">
        <v>269</v>
      </c>
      <c r="C48" s="13">
        <f>MarketPlace_Order_Report[[#This Row],[UnitPrice]]*MarketPlace_Order_Report[[#This Row],[OrderQty]]</f>
        <v>1400</v>
      </c>
      <c r="D48" s="13">
        <f>IFERROR(MarketPlace_Order_Report[[#This Row],[CGSTAmount]]+MarketPlace_Order_Report[[#This Row],[SGSTAmount]]+MarketPlace_Order_Report[[#This Row],[IGSTAmount]],MarketPlace_Order_Report[[#This Row],[TaxAmount]])</f>
        <v>66.667000000000002</v>
      </c>
      <c r="E48" s="13">
        <f>MarketPlace_Order_Report[[#This Row],[Gross Amount (Before Tax)]]+MarketPlace_Order_Report[[#This Row],[Total GST Amount]]</f>
        <v>1466.6669999999999</v>
      </c>
    </row>
    <row r="49" spans="1:5">
      <c r="A49" s="14" t="s">
        <v>270</v>
      </c>
      <c r="B49" s="14" t="s">
        <v>272</v>
      </c>
      <c r="C49" s="15">
        <f>MarketPlace_Order_Report[[#This Row],[UnitPrice]]*MarketPlace_Order_Report[[#This Row],[OrderQty]]</f>
        <v>3600</v>
      </c>
      <c r="D49" s="15">
        <f>IFERROR(MarketPlace_Order_Report[[#This Row],[CGSTAmount]]+MarketPlace_Order_Report[[#This Row],[SGSTAmount]]+MarketPlace_Order_Report[[#This Row],[IGSTAmount]],MarketPlace_Order_Report[[#This Row],[TaxAmount]])</f>
        <v>385.714</v>
      </c>
      <c r="E49" s="15">
        <f>MarketPlace_Order_Report[[#This Row],[Gross Amount (Before Tax)]]+MarketPlace_Order_Report[[#This Row],[Total GST Amount]]</f>
        <v>3985.7139999999999</v>
      </c>
    </row>
    <row r="50" spans="1:5">
      <c r="A50" s="12" t="s">
        <v>276</v>
      </c>
      <c r="B50" s="12" t="s">
        <v>279</v>
      </c>
      <c r="C50" s="13">
        <f>MarketPlace_Order_Report[[#This Row],[UnitPrice]]*MarketPlace_Order_Report[[#This Row],[OrderQty]]</f>
        <v>3600</v>
      </c>
      <c r="D50" s="13">
        <f>IFERROR(MarketPlace_Order_Report[[#This Row],[CGSTAmount]]+MarketPlace_Order_Report[[#This Row],[SGSTAmount]]+MarketPlace_Order_Report[[#This Row],[IGSTAmount]],MarketPlace_Order_Report[[#This Row],[TaxAmount]])</f>
        <v>385.714</v>
      </c>
      <c r="E50" s="13">
        <f>MarketPlace_Order_Report[[#This Row],[Gross Amount (Before Tax)]]+MarketPlace_Order_Report[[#This Row],[Total GST Amount]]</f>
        <v>3985.7139999999999</v>
      </c>
    </row>
    <row r="51" spans="1:5">
      <c r="A51" s="14" t="s">
        <v>280</v>
      </c>
      <c r="B51" s="14" t="s">
        <v>279</v>
      </c>
      <c r="C51" s="15">
        <f>MarketPlace_Order_Report[[#This Row],[UnitPrice]]*MarketPlace_Order_Report[[#This Row],[OrderQty]]</f>
        <v>3600</v>
      </c>
      <c r="D51" s="15">
        <f>IFERROR(MarketPlace_Order_Report[[#This Row],[CGSTAmount]]+MarketPlace_Order_Report[[#This Row],[SGSTAmount]]+MarketPlace_Order_Report[[#This Row],[IGSTAmount]],MarketPlace_Order_Report[[#This Row],[TaxAmount]])</f>
        <v>385.714</v>
      </c>
      <c r="E51" s="15">
        <f>MarketPlace_Order_Report[[#This Row],[Gross Amount (Before Tax)]]+MarketPlace_Order_Report[[#This Row],[Total GST Amount]]</f>
        <v>3985.7139999999999</v>
      </c>
    </row>
    <row r="52" spans="1:5">
      <c r="A52" s="12" t="s">
        <v>282</v>
      </c>
      <c r="B52" s="12" t="s">
        <v>284</v>
      </c>
      <c r="C52" s="13">
        <f>MarketPlace_Order_Report[[#This Row],[UnitPrice]]*MarketPlace_Order_Report[[#This Row],[OrderQty]]</f>
        <v>3600</v>
      </c>
      <c r="D52" s="13">
        <f>IFERROR(MarketPlace_Order_Report[[#This Row],[CGSTAmount]]+MarketPlace_Order_Report[[#This Row],[SGSTAmount]]+MarketPlace_Order_Report[[#This Row],[IGSTAmount]],MarketPlace_Order_Report[[#This Row],[TaxAmount]])</f>
        <v>385.714</v>
      </c>
      <c r="E52" s="13">
        <f>MarketPlace_Order_Report[[#This Row],[Gross Amount (Before Tax)]]+MarketPlace_Order_Report[[#This Row],[Total GST Amount]]</f>
        <v>3985.7139999999999</v>
      </c>
    </row>
    <row r="53" spans="1:5">
      <c r="A53" s="14" t="s">
        <v>285</v>
      </c>
      <c r="B53" s="14" t="s">
        <v>287</v>
      </c>
      <c r="C53" s="15">
        <f>MarketPlace_Order_Report[[#This Row],[UnitPrice]]*MarketPlace_Order_Report[[#This Row],[OrderQty]]</f>
        <v>4050</v>
      </c>
      <c r="D53" s="15">
        <f>IFERROR(MarketPlace_Order_Report[[#This Row],[CGSTAmount]]+MarketPlace_Order_Report[[#This Row],[SGSTAmount]]+MarketPlace_Order_Report[[#This Row],[IGSTAmount]],MarketPlace_Order_Report[[#This Row],[TaxAmount]])</f>
        <v>617.79700000000003</v>
      </c>
      <c r="E53" s="15">
        <f>MarketPlace_Order_Report[[#This Row],[Gross Amount (Before Tax)]]+MarketPlace_Order_Report[[#This Row],[Total GST Amount]]</f>
        <v>4667.7970000000005</v>
      </c>
    </row>
    <row r="54" spans="1:5">
      <c r="A54" s="12" t="s">
        <v>288</v>
      </c>
      <c r="B54" s="12" t="s">
        <v>287</v>
      </c>
      <c r="C54" s="13">
        <f>MarketPlace_Order_Report[[#This Row],[UnitPrice]]*MarketPlace_Order_Report[[#This Row],[OrderQty]]</f>
        <v>3600</v>
      </c>
      <c r="D54" s="13">
        <f>IFERROR(MarketPlace_Order_Report[[#This Row],[CGSTAmount]]+MarketPlace_Order_Report[[#This Row],[SGSTAmount]]+MarketPlace_Order_Report[[#This Row],[IGSTAmount]],MarketPlace_Order_Report[[#This Row],[TaxAmount]])</f>
        <v>385.714</v>
      </c>
      <c r="E54" s="13">
        <f>MarketPlace_Order_Report[[#This Row],[Gross Amount (Before Tax)]]+MarketPlace_Order_Report[[#This Row],[Total GST Amount]]</f>
        <v>3985.7139999999999</v>
      </c>
    </row>
    <row r="55" spans="1:5">
      <c r="A55" s="14" t="s">
        <v>291</v>
      </c>
      <c r="B55" s="14" t="s">
        <v>287</v>
      </c>
      <c r="C55" s="15">
        <f>MarketPlace_Order_Report[[#This Row],[UnitPrice]]*MarketPlace_Order_Report[[#This Row],[OrderQty]]</f>
        <v>3600</v>
      </c>
      <c r="D55" s="15">
        <f>IFERROR(MarketPlace_Order_Report[[#This Row],[CGSTAmount]]+MarketPlace_Order_Report[[#This Row],[SGSTAmount]]+MarketPlace_Order_Report[[#This Row],[IGSTAmount]],MarketPlace_Order_Report[[#This Row],[TaxAmount]])</f>
        <v>385.714</v>
      </c>
      <c r="E55" s="15">
        <f>MarketPlace_Order_Report[[#This Row],[Gross Amount (Before Tax)]]+MarketPlace_Order_Report[[#This Row],[Total GST Amount]]</f>
        <v>3985.7139999999999</v>
      </c>
    </row>
    <row r="56" spans="1:5">
      <c r="A56" s="12" t="s">
        <v>293</v>
      </c>
      <c r="B56" s="12" t="s">
        <v>295</v>
      </c>
      <c r="C56" s="13">
        <f>MarketPlace_Order_Report[[#This Row],[UnitPrice]]*MarketPlace_Order_Report[[#This Row],[OrderQty]]</f>
        <v>3600</v>
      </c>
      <c r="D56" s="13">
        <f>IFERROR(MarketPlace_Order_Report[[#This Row],[CGSTAmount]]+MarketPlace_Order_Report[[#This Row],[SGSTAmount]]+MarketPlace_Order_Report[[#This Row],[IGSTAmount]],MarketPlace_Order_Report[[#This Row],[TaxAmount]])</f>
        <v>385.714</v>
      </c>
      <c r="E56" s="13">
        <f>MarketPlace_Order_Report[[#This Row],[Gross Amount (Before Tax)]]+MarketPlace_Order_Report[[#This Row],[Total GST Amount]]</f>
        <v>3985.7139999999999</v>
      </c>
    </row>
    <row r="57" spans="1:5">
      <c r="A57" s="14" t="s">
        <v>297</v>
      </c>
      <c r="B57" s="14" t="s">
        <v>299</v>
      </c>
      <c r="C57" s="15">
        <f>MarketPlace_Order_Report[[#This Row],[UnitPrice]]*MarketPlace_Order_Report[[#This Row],[OrderQty]]</f>
        <v>3375</v>
      </c>
      <c r="D57" s="15">
        <f>IFERROR(MarketPlace_Order_Report[[#This Row],[CGSTAmount]]+MarketPlace_Order_Report[[#This Row],[SGSTAmount]]+MarketPlace_Order_Report[[#This Row],[IGSTAmount]],MarketPlace_Order_Report[[#This Row],[TaxAmount]])</f>
        <v>514.83100000000002</v>
      </c>
      <c r="E57" s="15">
        <f>MarketPlace_Order_Report[[#This Row],[Gross Amount (Before Tax)]]+MarketPlace_Order_Report[[#This Row],[Total GST Amount]]</f>
        <v>3889.8310000000001</v>
      </c>
    </row>
    <row r="58" spans="1:5">
      <c r="A58" s="12" t="s">
        <v>302</v>
      </c>
      <c r="B58" s="12" t="s">
        <v>304</v>
      </c>
      <c r="C58" s="13">
        <f>MarketPlace_Order_Report[[#This Row],[UnitPrice]]*MarketPlace_Order_Report[[#This Row],[OrderQty]]</f>
        <v>3600</v>
      </c>
      <c r="D58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58" s="13">
        <f>MarketPlace_Order_Report[[#This Row],[Gross Amount (Before Tax)]]+MarketPlace_Order_Report[[#This Row],[Total GST Amount]]</f>
        <v>4149.1530000000002</v>
      </c>
    </row>
    <row r="59" spans="1:5">
      <c r="A59" s="14" t="s">
        <v>306</v>
      </c>
      <c r="B59" s="14" t="s">
        <v>309</v>
      </c>
      <c r="C59" s="15">
        <f>MarketPlace_Order_Report[[#This Row],[UnitPrice]]*MarketPlace_Order_Report[[#This Row],[OrderQty]]</f>
        <v>3600</v>
      </c>
      <c r="D59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59" s="15">
        <f>MarketPlace_Order_Report[[#This Row],[Gross Amount (Before Tax)]]+MarketPlace_Order_Report[[#This Row],[Total GST Amount]]</f>
        <v>4149.1530000000002</v>
      </c>
    </row>
    <row r="60" spans="1:5">
      <c r="A60" s="12" t="s">
        <v>311</v>
      </c>
      <c r="B60" s="12" t="s">
        <v>314</v>
      </c>
      <c r="C60" s="13">
        <f>MarketPlace_Order_Report[[#This Row],[UnitPrice]]*MarketPlace_Order_Report[[#This Row],[OrderQty]]</f>
        <v>3600</v>
      </c>
      <c r="D60" s="13">
        <f>IFERROR(MarketPlace_Order_Report[[#This Row],[CGSTAmount]]+MarketPlace_Order_Report[[#This Row],[SGSTAmount]]+MarketPlace_Order_Report[[#This Row],[IGSTAmount]],MarketPlace_Order_Report[[#This Row],[TaxAmount]])</f>
        <v>385.714</v>
      </c>
      <c r="E60" s="13">
        <f>MarketPlace_Order_Report[[#This Row],[Gross Amount (Before Tax)]]+MarketPlace_Order_Report[[#This Row],[Total GST Amount]]</f>
        <v>3985.7139999999999</v>
      </c>
    </row>
    <row r="61" spans="1:5">
      <c r="A61" s="14" t="s">
        <v>319</v>
      </c>
      <c r="B61" s="14" t="s">
        <v>322</v>
      </c>
      <c r="C61" s="15">
        <f>MarketPlace_Order_Report[[#This Row],[UnitPrice]]*MarketPlace_Order_Report[[#This Row],[OrderQty]]</f>
        <v>3600</v>
      </c>
      <c r="D61" s="15">
        <f>IFERROR(MarketPlace_Order_Report[[#This Row],[CGSTAmount]]+MarketPlace_Order_Report[[#This Row],[SGSTAmount]]+MarketPlace_Order_Report[[#This Row],[IGSTAmount]],MarketPlace_Order_Report[[#This Row],[TaxAmount]])</f>
        <v>385.714</v>
      </c>
      <c r="E61" s="15">
        <f>MarketPlace_Order_Report[[#This Row],[Gross Amount (Before Tax)]]+MarketPlace_Order_Report[[#This Row],[Total GST Amount]]</f>
        <v>3985.7139999999999</v>
      </c>
    </row>
    <row r="62" spans="1:5">
      <c r="A62" s="12" t="s">
        <v>325</v>
      </c>
      <c r="B62" s="12" t="s">
        <v>322</v>
      </c>
      <c r="C62" s="13">
        <f>MarketPlace_Order_Report[[#This Row],[UnitPrice]]*MarketPlace_Order_Report[[#This Row],[OrderQty]]</f>
        <v>3600</v>
      </c>
      <c r="D62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62" s="13">
        <f>MarketPlace_Order_Report[[#This Row],[Gross Amount (Before Tax)]]+MarketPlace_Order_Report[[#This Row],[Total GST Amount]]</f>
        <v>4149.1530000000002</v>
      </c>
    </row>
    <row r="63" spans="1:5">
      <c r="A63" s="14" t="s">
        <v>328</v>
      </c>
      <c r="B63" s="14" t="s">
        <v>322</v>
      </c>
      <c r="C63" s="15">
        <f>MarketPlace_Order_Report[[#This Row],[UnitPrice]]*MarketPlace_Order_Report[[#This Row],[OrderQty]]</f>
        <v>3600</v>
      </c>
      <c r="D63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63" s="15">
        <f>MarketPlace_Order_Report[[#This Row],[Gross Amount (Before Tax)]]+MarketPlace_Order_Report[[#This Row],[Total GST Amount]]</f>
        <v>4149.1530000000002</v>
      </c>
    </row>
    <row r="64" spans="1:5">
      <c r="A64" s="12" t="s">
        <v>330</v>
      </c>
      <c r="B64" s="12" t="s">
        <v>333</v>
      </c>
      <c r="C64" s="13">
        <f>MarketPlace_Order_Report[[#This Row],[UnitPrice]]*MarketPlace_Order_Report[[#This Row],[OrderQty]]</f>
        <v>3600</v>
      </c>
      <c r="D64" s="13">
        <f>IFERROR(MarketPlace_Order_Report[[#This Row],[CGSTAmount]]+MarketPlace_Order_Report[[#This Row],[SGSTAmount]]+MarketPlace_Order_Report[[#This Row],[IGSTAmount]],MarketPlace_Order_Report[[#This Row],[TaxAmount]])</f>
        <v>385.714</v>
      </c>
      <c r="E64" s="13">
        <f>MarketPlace_Order_Report[[#This Row],[Gross Amount (Before Tax)]]+MarketPlace_Order_Report[[#This Row],[Total GST Amount]]</f>
        <v>3985.7139999999999</v>
      </c>
    </row>
    <row r="65" spans="1:5">
      <c r="A65" s="14" t="s">
        <v>334</v>
      </c>
      <c r="B65" s="14" t="s">
        <v>336</v>
      </c>
      <c r="C65" s="15">
        <f>MarketPlace_Order_Report[[#This Row],[UnitPrice]]*MarketPlace_Order_Report[[#This Row],[OrderQty]]</f>
        <v>3600</v>
      </c>
      <c r="D65" s="15">
        <f>IFERROR(MarketPlace_Order_Report[[#This Row],[CGSTAmount]]+MarketPlace_Order_Report[[#This Row],[SGSTAmount]]+MarketPlace_Order_Report[[#This Row],[IGSTAmount]],MarketPlace_Order_Report[[#This Row],[TaxAmount]])</f>
        <v>385.714</v>
      </c>
      <c r="E65" s="15">
        <f>MarketPlace_Order_Report[[#This Row],[Gross Amount (Before Tax)]]+MarketPlace_Order_Report[[#This Row],[Total GST Amount]]</f>
        <v>3985.7139999999999</v>
      </c>
    </row>
    <row r="66" spans="1:5">
      <c r="A66" s="12" t="s">
        <v>340</v>
      </c>
      <c r="B66" s="12" t="s">
        <v>343</v>
      </c>
      <c r="C66" s="13">
        <f>MarketPlace_Order_Report[[#This Row],[UnitPrice]]*MarketPlace_Order_Report[[#This Row],[OrderQty]]</f>
        <v>3600</v>
      </c>
      <c r="D66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66" s="13">
        <f>MarketPlace_Order_Report[[#This Row],[Gross Amount (Before Tax)]]+MarketPlace_Order_Report[[#This Row],[Total GST Amount]]</f>
        <v>4149.1530000000002</v>
      </c>
    </row>
    <row r="67" spans="1:5">
      <c r="A67" s="14" t="s">
        <v>344</v>
      </c>
      <c r="B67" s="14" t="s">
        <v>347</v>
      </c>
      <c r="C67" s="15">
        <f>MarketPlace_Order_Report[[#This Row],[UnitPrice]]*MarketPlace_Order_Report[[#This Row],[OrderQty]]</f>
        <v>3600</v>
      </c>
      <c r="D67" s="15">
        <f>IFERROR(MarketPlace_Order_Report[[#This Row],[CGSTAmount]]+MarketPlace_Order_Report[[#This Row],[SGSTAmount]]+MarketPlace_Order_Report[[#This Row],[IGSTAmount]],MarketPlace_Order_Report[[#This Row],[TaxAmount]])</f>
        <v>385.714</v>
      </c>
      <c r="E67" s="15">
        <f>MarketPlace_Order_Report[[#This Row],[Gross Amount (Before Tax)]]+MarketPlace_Order_Report[[#This Row],[Total GST Amount]]</f>
        <v>3985.7139999999999</v>
      </c>
    </row>
    <row r="68" spans="1:5">
      <c r="A68" s="12" t="s">
        <v>349</v>
      </c>
      <c r="B68" s="12" t="s">
        <v>347</v>
      </c>
      <c r="C68" s="13">
        <f>MarketPlace_Order_Report[[#This Row],[UnitPrice]]*MarketPlace_Order_Report[[#This Row],[OrderQty]]</f>
        <v>3600</v>
      </c>
      <c r="D68" s="13">
        <f>IFERROR(MarketPlace_Order_Report[[#This Row],[CGSTAmount]]+MarketPlace_Order_Report[[#This Row],[SGSTAmount]]+MarketPlace_Order_Report[[#This Row],[IGSTAmount]],MarketPlace_Order_Report[[#This Row],[TaxAmount]])</f>
        <v>385.714</v>
      </c>
      <c r="E68" s="13">
        <f>MarketPlace_Order_Report[[#This Row],[Gross Amount (Before Tax)]]+MarketPlace_Order_Report[[#This Row],[Total GST Amount]]</f>
        <v>3985.7139999999999</v>
      </c>
    </row>
    <row r="69" spans="1:5">
      <c r="A69" s="14" t="s">
        <v>353</v>
      </c>
      <c r="B69" s="14" t="s">
        <v>355</v>
      </c>
      <c r="C69" s="15">
        <f>MarketPlace_Order_Report[[#This Row],[UnitPrice]]*MarketPlace_Order_Report[[#This Row],[OrderQty]]</f>
        <v>3200</v>
      </c>
      <c r="D69" s="15">
        <f>IFERROR(MarketPlace_Order_Report[[#This Row],[CGSTAmount]]+MarketPlace_Order_Report[[#This Row],[SGSTAmount]]+MarketPlace_Order_Report[[#This Row],[IGSTAmount]],MarketPlace_Order_Report[[#This Row],[TaxAmount]])</f>
        <v>342.85700000000003</v>
      </c>
      <c r="E69" s="15">
        <f>MarketPlace_Order_Report[[#This Row],[Gross Amount (Before Tax)]]+MarketPlace_Order_Report[[#This Row],[Total GST Amount]]</f>
        <v>3542.857</v>
      </c>
    </row>
    <row r="70" spans="1:5">
      <c r="A70" s="12" t="s">
        <v>358</v>
      </c>
      <c r="B70" s="12" t="s">
        <v>360</v>
      </c>
      <c r="C70" s="13">
        <f>MarketPlace_Order_Report[[#This Row],[UnitPrice]]*MarketPlace_Order_Report[[#This Row],[OrderQty]]</f>
        <v>3200</v>
      </c>
      <c r="D70" s="13">
        <f>IFERROR(MarketPlace_Order_Report[[#This Row],[CGSTAmount]]+MarketPlace_Order_Report[[#This Row],[SGSTAmount]]+MarketPlace_Order_Report[[#This Row],[IGSTAmount]],MarketPlace_Order_Report[[#This Row],[TaxAmount]])</f>
        <v>342.85700000000003</v>
      </c>
      <c r="E70" s="13">
        <f>MarketPlace_Order_Report[[#This Row],[Gross Amount (Before Tax)]]+MarketPlace_Order_Report[[#This Row],[Total GST Amount]]</f>
        <v>3542.857</v>
      </c>
    </row>
    <row r="71" spans="1:5">
      <c r="A71" s="14" t="s">
        <v>361</v>
      </c>
      <c r="B71" s="14" t="s">
        <v>363</v>
      </c>
      <c r="C71" s="15">
        <f>MarketPlace_Order_Report[[#This Row],[UnitPrice]]*MarketPlace_Order_Report[[#This Row],[OrderQty]]</f>
        <v>3825</v>
      </c>
      <c r="D71" s="15">
        <f>IFERROR(MarketPlace_Order_Report[[#This Row],[CGSTAmount]]+MarketPlace_Order_Report[[#This Row],[SGSTAmount]]+MarketPlace_Order_Report[[#This Row],[IGSTAmount]],MarketPlace_Order_Report[[#This Row],[TaxAmount]])</f>
        <v>583.47500000000002</v>
      </c>
      <c r="E71" s="15">
        <f>MarketPlace_Order_Report[[#This Row],[Gross Amount (Before Tax)]]+MarketPlace_Order_Report[[#This Row],[Total GST Amount]]</f>
        <v>4408.4750000000004</v>
      </c>
    </row>
    <row r="72" spans="1:5">
      <c r="A72" s="12" t="s">
        <v>365</v>
      </c>
      <c r="B72" s="12" t="s">
        <v>367</v>
      </c>
      <c r="C72" s="13">
        <f>MarketPlace_Order_Report[[#This Row],[UnitPrice]]*MarketPlace_Order_Report[[#This Row],[OrderQty]]</f>
        <v>3600</v>
      </c>
      <c r="D72" s="13">
        <f>IFERROR(MarketPlace_Order_Report[[#This Row],[CGSTAmount]]+MarketPlace_Order_Report[[#This Row],[SGSTAmount]]+MarketPlace_Order_Report[[#This Row],[IGSTAmount]],MarketPlace_Order_Report[[#This Row],[TaxAmount]])</f>
        <v>385.714</v>
      </c>
      <c r="E72" s="13">
        <f>MarketPlace_Order_Report[[#This Row],[Gross Amount (Before Tax)]]+MarketPlace_Order_Report[[#This Row],[Total GST Amount]]</f>
        <v>3985.7139999999999</v>
      </c>
    </row>
    <row r="73" spans="1:5">
      <c r="A73" s="14" t="s">
        <v>369</v>
      </c>
      <c r="B73" s="14" t="s">
        <v>371</v>
      </c>
      <c r="C73" s="15">
        <f>MarketPlace_Order_Report[[#This Row],[UnitPrice]]*MarketPlace_Order_Report[[#This Row],[OrderQty]]</f>
        <v>3600</v>
      </c>
      <c r="D73" s="15">
        <f>IFERROR(MarketPlace_Order_Report[[#This Row],[CGSTAmount]]+MarketPlace_Order_Report[[#This Row],[SGSTAmount]]+MarketPlace_Order_Report[[#This Row],[IGSTAmount]],MarketPlace_Order_Report[[#This Row],[TaxAmount]])</f>
        <v>385.714</v>
      </c>
      <c r="E73" s="15">
        <f>MarketPlace_Order_Report[[#This Row],[Gross Amount (Before Tax)]]+MarketPlace_Order_Report[[#This Row],[Total GST Amount]]</f>
        <v>3985.7139999999999</v>
      </c>
    </row>
    <row r="74" spans="1:5">
      <c r="A74" s="12" t="s">
        <v>374</v>
      </c>
      <c r="B74" s="12" t="s">
        <v>377</v>
      </c>
      <c r="C74" s="13">
        <f>MarketPlace_Order_Report[[#This Row],[UnitPrice]]*MarketPlace_Order_Report[[#This Row],[OrderQty]]</f>
        <v>3600</v>
      </c>
      <c r="D74" s="13">
        <f>IFERROR(MarketPlace_Order_Report[[#This Row],[CGSTAmount]]+MarketPlace_Order_Report[[#This Row],[SGSTAmount]]+MarketPlace_Order_Report[[#This Row],[IGSTAmount]],MarketPlace_Order_Report[[#This Row],[TaxAmount]])</f>
        <v>385.714</v>
      </c>
      <c r="E74" s="13">
        <f>MarketPlace_Order_Report[[#This Row],[Gross Amount (Before Tax)]]+MarketPlace_Order_Report[[#This Row],[Total GST Amount]]</f>
        <v>3985.7139999999999</v>
      </c>
    </row>
    <row r="75" spans="1:5">
      <c r="A75" s="14" t="s">
        <v>378</v>
      </c>
      <c r="B75" s="14" t="s">
        <v>380</v>
      </c>
      <c r="C75" s="15">
        <f>MarketPlace_Order_Report[[#This Row],[UnitPrice]]*MarketPlace_Order_Report[[#This Row],[OrderQty]]</f>
        <v>3375</v>
      </c>
      <c r="D75" s="15">
        <f>IFERROR(MarketPlace_Order_Report[[#This Row],[CGSTAmount]]+MarketPlace_Order_Report[[#This Row],[SGSTAmount]]+MarketPlace_Order_Report[[#This Row],[IGSTAmount]],MarketPlace_Order_Report[[#This Row],[TaxAmount]])</f>
        <v>361.608</v>
      </c>
      <c r="E75" s="15">
        <f>MarketPlace_Order_Report[[#This Row],[Gross Amount (Before Tax)]]+MarketPlace_Order_Report[[#This Row],[Total GST Amount]]</f>
        <v>3736.6080000000002</v>
      </c>
    </row>
    <row r="76" spans="1:5">
      <c r="A76" s="12" t="s">
        <v>382</v>
      </c>
      <c r="B76" s="12" t="s">
        <v>385</v>
      </c>
      <c r="C76" s="13">
        <f>MarketPlace_Order_Report[[#This Row],[UnitPrice]]*MarketPlace_Order_Report[[#This Row],[OrderQty]]</f>
        <v>3375</v>
      </c>
      <c r="D76" s="13">
        <f>IFERROR(MarketPlace_Order_Report[[#This Row],[CGSTAmount]]+MarketPlace_Order_Report[[#This Row],[SGSTAmount]]+MarketPlace_Order_Report[[#This Row],[IGSTAmount]],MarketPlace_Order_Report[[#This Row],[TaxAmount]])</f>
        <v>514.83199999999999</v>
      </c>
      <c r="E76" s="13">
        <f>MarketPlace_Order_Report[[#This Row],[Gross Amount (Before Tax)]]+MarketPlace_Order_Report[[#This Row],[Total GST Amount]]</f>
        <v>3889.8319999999999</v>
      </c>
    </row>
    <row r="77" spans="1:5">
      <c r="A77" s="14" t="s">
        <v>388</v>
      </c>
      <c r="B77" s="14" t="s">
        <v>391</v>
      </c>
      <c r="C77" s="15">
        <f>MarketPlace_Order_Report[[#This Row],[UnitPrice]]*MarketPlace_Order_Report[[#This Row],[OrderQty]]</f>
        <v>3375</v>
      </c>
      <c r="D77" s="15">
        <f>IFERROR(MarketPlace_Order_Report[[#This Row],[CGSTAmount]]+MarketPlace_Order_Report[[#This Row],[SGSTAmount]]+MarketPlace_Order_Report[[#This Row],[IGSTAmount]],MarketPlace_Order_Report[[#This Row],[TaxAmount]])</f>
        <v>514.83199999999999</v>
      </c>
      <c r="E77" s="15">
        <f>MarketPlace_Order_Report[[#This Row],[Gross Amount (Before Tax)]]+MarketPlace_Order_Report[[#This Row],[Total GST Amount]]</f>
        <v>3889.8319999999999</v>
      </c>
    </row>
    <row r="78" spans="1:5">
      <c r="A78" s="12" t="s">
        <v>393</v>
      </c>
      <c r="B78" s="12" t="s">
        <v>396</v>
      </c>
      <c r="C78" s="13">
        <f>MarketPlace_Order_Report[[#This Row],[UnitPrice]]*MarketPlace_Order_Report[[#This Row],[OrderQty]]</f>
        <v>3375</v>
      </c>
      <c r="D78" s="13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E78" s="13">
        <f>MarketPlace_Order_Report[[#This Row],[Gross Amount (Before Tax)]]+MarketPlace_Order_Report[[#This Row],[Total GST Amount]]</f>
        <v>3736.607</v>
      </c>
    </row>
    <row r="79" spans="1:5">
      <c r="A79" s="14" t="s">
        <v>397</v>
      </c>
      <c r="B79" s="14" t="s">
        <v>400</v>
      </c>
      <c r="C79" s="15">
        <f>MarketPlace_Order_Report[[#This Row],[UnitPrice]]*MarketPlace_Order_Report[[#This Row],[OrderQty]]</f>
        <v>3375</v>
      </c>
      <c r="D79" s="15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E79" s="15">
        <f>MarketPlace_Order_Report[[#This Row],[Gross Amount (Before Tax)]]+MarketPlace_Order_Report[[#This Row],[Total GST Amount]]</f>
        <v>3736.607</v>
      </c>
    </row>
    <row r="80" spans="1:5">
      <c r="A80" s="12" t="s">
        <v>401</v>
      </c>
      <c r="B80" s="12" t="s">
        <v>404</v>
      </c>
      <c r="C80" s="13">
        <f>MarketPlace_Order_Report[[#This Row],[UnitPrice]]*MarketPlace_Order_Report[[#This Row],[OrderQty]]</f>
        <v>3375</v>
      </c>
      <c r="D80" s="13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E80" s="13">
        <f>MarketPlace_Order_Report[[#This Row],[Gross Amount (Before Tax)]]+MarketPlace_Order_Report[[#This Row],[Total GST Amount]]</f>
        <v>3736.607</v>
      </c>
    </row>
    <row r="81" spans="1:5">
      <c r="A81" s="14" t="s">
        <v>405</v>
      </c>
      <c r="B81" s="14" t="s">
        <v>407</v>
      </c>
      <c r="C81" s="15">
        <f>MarketPlace_Order_Report[[#This Row],[UnitPrice]]*MarketPlace_Order_Report[[#This Row],[OrderQty]]</f>
        <v>3000</v>
      </c>
      <c r="D81" s="15">
        <f>IFERROR(MarketPlace_Order_Report[[#This Row],[CGSTAmount]]+MarketPlace_Order_Report[[#This Row],[SGSTAmount]]+MarketPlace_Order_Report[[#This Row],[IGSTAmount]],MarketPlace_Order_Report[[#This Row],[TaxAmount]])</f>
        <v>321.43</v>
      </c>
      <c r="E81" s="15">
        <f>MarketPlace_Order_Report[[#This Row],[Gross Amount (Before Tax)]]+MarketPlace_Order_Report[[#This Row],[Total GST Amount]]</f>
        <v>3321.43</v>
      </c>
    </row>
    <row r="82" spans="1:5">
      <c r="A82" s="12" t="s">
        <v>410</v>
      </c>
      <c r="B82" s="12" t="s">
        <v>412</v>
      </c>
      <c r="C82" s="13">
        <f>MarketPlace_Order_Report[[#This Row],[UnitPrice]]*MarketPlace_Order_Report[[#This Row],[OrderQty]]</f>
        <v>3000</v>
      </c>
      <c r="D82" s="13">
        <f>IFERROR(MarketPlace_Order_Report[[#This Row],[CGSTAmount]]+MarketPlace_Order_Report[[#This Row],[SGSTAmount]]+MarketPlace_Order_Report[[#This Row],[IGSTAmount]],MarketPlace_Order_Report[[#This Row],[TaxAmount]])</f>
        <v>321.42899999999997</v>
      </c>
      <c r="E82" s="13">
        <f>MarketPlace_Order_Report[[#This Row],[Gross Amount (Before Tax)]]+MarketPlace_Order_Report[[#This Row],[Total GST Amount]]</f>
        <v>3321.4290000000001</v>
      </c>
    </row>
    <row r="83" spans="1:5">
      <c r="A83" s="14" t="s">
        <v>415</v>
      </c>
      <c r="B83" s="14" t="s">
        <v>417</v>
      </c>
      <c r="C83" s="15">
        <f>MarketPlace_Order_Report[[#This Row],[UnitPrice]]*MarketPlace_Order_Report[[#This Row],[OrderQty]]</f>
        <v>3000</v>
      </c>
      <c r="D83" s="15">
        <f>IFERROR(MarketPlace_Order_Report[[#This Row],[CGSTAmount]]+MarketPlace_Order_Report[[#This Row],[SGSTAmount]]+MarketPlace_Order_Report[[#This Row],[IGSTAmount]],MarketPlace_Order_Report[[#This Row],[TaxAmount]])</f>
        <v>321.43</v>
      </c>
      <c r="E83" s="15">
        <f>MarketPlace_Order_Report[[#This Row],[Gross Amount (Before Tax)]]+MarketPlace_Order_Report[[#This Row],[Total GST Amount]]</f>
        <v>3321.43</v>
      </c>
    </row>
    <row r="84" spans="1:5">
      <c r="A84" s="12" t="s">
        <v>418</v>
      </c>
      <c r="B84" s="12" t="s">
        <v>420</v>
      </c>
      <c r="C84" s="13">
        <f>MarketPlace_Order_Report[[#This Row],[UnitPrice]]*MarketPlace_Order_Report[[#This Row],[OrderQty]]</f>
        <v>4275</v>
      </c>
      <c r="D84" s="13">
        <f>IFERROR(MarketPlace_Order_Report[[#This Row],[CGSTAmount]]+MarketPlace_Order_Report[[#This Row],[SGSTAmount]]+MarketPlace_Order_Report[[#This Row],[IGSTAmount]],MarketPlace_Order_Report[[#This Row],[TaxAmount]])</f>
        <v>652.11900000000003</v>
      </c>
      <c r="E84" s="13">
        <f>MarketPlace_Order_Report[[#This Row],[Gross Amount (Before Tax)]]+MarketPlace_Order_Report[[#This Row],[Total GST Amount]]</f>
        <v>4927.1189999999997</v>
      </c>
    </row>
    <row r="85" spans="1:5">
      <c r="A85" s="14" t="s">
        <v>422</v>
      </c>
      <c r="B85" s="14" t="s">
        <v>424</v>
      </c>
      <c r="C85" s="15">
        <f>MarketPlace_Order_Report[[#This Row],[UnitPrice]]*MarketPlace_Order_Report[[#This Row],[OrderQty]]</f>
        <v>4275</v>
      </c>
      <c r="D85" s="15">
        <f>IFERROR(MarketPlace_Order_Report[[#This Row],[CGSTAmount]]+MarketPlace_Order_Report[[#This Row],[SGSTAmount]]+MarketPlace_Order_Report[[#This Row],[IGSTAmount]],MarketPlace_Order_Report[[#This Row],[TaxAmount]])</f>
        <v>458.036</v>
      </c>
      <c r="E85" s="15">
        <f>MarketPlace_Order_Report[[#This Row],[Gross Amount (Before Tax)]]+MarketPlace_Order_Report[[#This Row],[Total GST Amount]]</f>
        <v>4733.0360000000001</v>
      </c>
    </row>
    <row r="86" spans="1:5">
      <c r="A86" s="12" t="s">
        <v>426</v>
      </c>
      <c r="B86" s="12" t="s">
        <v>428</v>
      </c>
      <c r="C86" s="13">
        <f>MarketPlace_Order_Report[[#This Row],[UnitPrice]]*MarketPlace_Order_Report[[#This Row],[OrderQty]]</f>
        <v>3600</v>
      </c>
      <c r="D86" s="13">
        <f>IFERROR(MarketPlace_Order_Report[[#This Row],[CGSTAmount]]+MarketPlace_Order_Report[[#This Row],[SGSTAmount]]+MarketPlace_Order_Report[[#This Row],[IGSTAmount]],MarketPlace_Order_Report[[#This Row],[TaxAmount]])</f>
        <v>385.714</v>
      </c>
      <c r="E86" s="13">
        <f>MarketPlace_Order_Report[[#This Row],[Gross Amount (Before Tax)]]+MarketPlace_Order_Report[[#This Row],[Total GST Amount]]</f>
        <v>3985.7139999999999</v>
      </c>
    </row>
    <row r="87" spans="1:5">
      <c r="A87" s="14" t="s">
        <v>430</v>
      </c>
      <c r="B87" s="14" t="s">
        <v>432</v>
      </c>
      <c r="C87" s="15">
        <f>MarketPlace_Order_Report[[#This Row],[UnitPrice]]*MarketPlace_Order_Report[[#This Row],[OrderQty]]</f>
        <v>3600</v>
      </c>
      <c r="D87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87" s="15">
        <f>MarketPlace_Order_Report[[#This Row],[Gross Amount (Before Tax)]]+MarketPlace_Order_Report[[#This Row],[Total GST Amount]]</f>
        <v>4149.1530000000002</v>
      </c>
    </row>
    <row r="88" spans="1:5">
      <c r="A88" s="12" t="s">
        <v>435</v>
      </c>
      <c r="B88" s="12" t="s">
        <v>432</v>
      </c>
      <c r="C88" s="13">
        <f>MarketPlace_Order_Report[[#This Row],[UnitPrice]]*MarketPlace_Order_Report[[#This Row],[OrderQty]]</f>
        <v>3600</v>
      </c>
      <c r="D88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88" s="13">
        <f>MarketPlace_Order_Report[[#This Row],[Gross Amount (Before Tax)]]+MarketPlace_Order_Report[[#This Row],[Total GST Amount]]</f>
        <v>4149.1530000000002</v>
      </c>
    </row>
    <row r="89" spans="1:5">
      <c r="A89" s="14" t="s">
        <v>438</v>
      </c>
      <c r="B89" s="14" t="s">
        <v>440</v>
      </c>
      <c r="C89" s="15">
        <f>MarketPlace_Order_Report[[#This Row],[UnitPrice]]*MarketPlace_Order_Report[[#This Row],[OrderQty]]</f>
        <v>3600</v>
      </c>
      <c r="D89" s="15">
        <f>IFERROR(MarketPlace_Order_Report[[#This Row],[CGSTAmount]]+MarketPlace_Order_Report[[#This Row],[SGSTAmount]]+MarketPlace_Order_Report[[#This Row],[IGSTAmount]],MarketPlace_Order_Report[[#This Row],[TaxAmount]])</f>
        <v>385.714</v>
      </c>
      <c r="E89" s="15">
        <f>MarketPlace_Order_Report[[#This Row],[Gross Amount (Before Tax)]]+MarketPlace_Order_Report[[#This Row],[Total GST Amount]]</f>
        <v>3985.7139999999999</v>
      </c>
    </row>
    <row r="90" spans="1:5">
      <c r="A90" s="12" t="s">
        <v>442</v>
      </c>
      <c r="B90" s="12" t="s">
        <v>444</v>
      </c>
      <c r="C90" s="13">
        <f>MarketPlace_Order_Report[[#This Row],[UnitPrice]]*MarketPlace_Order_Report[[#This Row],[OrderQty]]</f>
        <v>3600</v>
      </c>
      <c r="D90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90" s="13">
        <f>MarketPlace_Order_Report[[#This Row],[Gross Amount (Before Tax)]]+MarketPlace_Order_Report[[#This Row],[Total GST Amount]]</f>
        <v>4149.1530000000002</v>
      </c>
    </row>
    <row r="91" spans="1:5">
      <c r="A91" s="14" t="s">
        <v>445</v>
      </c>
      <c r="B91" s="14" t="s">
        <v>447</v>
      </c>
      <c r="C91" s="15">
        <f>MarketPlace_Order_Report[[#This Row],[UnitPrice]]*MarketPlace_Order_Report[[#This Row],[OrderQty]]</f>
        <v>3600</v>
      </c>
      <c r="D91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91" s="15">
        <f>MarketPlace_Order_Report[[#This Row],[Gross Amount (Before Tax)]]+MarketPlace_Order_Report[[#This Row],[Total GST Amount]]</f>
        <v>4149.1530000000002</v>
      </c>
    </row>
    <row r="92" spans="1:5">
      <c r="A92" s="12" t="s">
        <v>450</v>
      </c>
      <c r="B92" s="12" t="s">
        <v>452</v>
      </c>
      <c r="C92" s="13">
        <f>MarketPlace_Order_Report[[#This Row],[UnitPrice]]*MarketPlace_Order_Report[[#This Row],[OrderQty]]</f>
        <v>3600</v>
      </c>
      <c r="D92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92" s="13">
        <f>MarketPlace_Order_Report[[#This Row],[Gross Amount (Before Tax)]]+MarketPlace_Order_Report[[#This Row],[Total GST Amount]]</f>
        <v>4149.1530000000002</v>
      </c>
    </row>
    <row r="93" spans="1:5">
      <c r="A93" s="14" t="s">
        <v>453</v>
      </c>
      <c r="B93" s="14" t="s">
        <v>455</v>
      </c>
      <c r="C93" s="15">
        <f>MarketPlace_Order_Report[[#This Row],[UnitPrice]]*MarketPlace_Order_Report[[#This Row],[OrderQty]]</f>
        <v>3600</v>
      </c>
      <c r="D93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93" s="15">
        <f>MarketPlace_Order_Report[[#This Row],[Gross Amount (Before Tax)]]+MarketPlace_Order_Report[[#This Row],[Total GST Amount]]</f>
        <v>4149.1530000000002</v>
      </c>
    </row>
    <row r="94" spans="1:5">
      <c r="A94" s="12" t="s">
        <v>457</v>
      </c>
      <c r="B94" s="12" t="s">
        <v>455</v>
      </c>
      <c r="C94" s="13">
        <f>MarketPlace_Order_Report[[#This Row],[UnitPrice]]*MarketPlace_Order_Report[[#This Row],[OrderQty]]</f>
        <v>3400</v>
      </c>
      <c r="D94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94" s="13">
        <f>MarketPlace_Order_Report[[#This Row],[Gross Amount (Before Tax)]]+MarketPlace_Order_Report[[#This Row],[Total GST Amount]]</f>
        <v>3764.2860000000001</v>
      </c>
    </row>
    <row r="95" spans="1:5">
      <c r="A95" s="14" t="s">
        <v>460</v>
      </c>
      <c r="B95" s="14" t="s">
        <v>455</v>
      </c>
      <c r="C95" s="15">
        <f>MarketPlace_Order_Report[[#This Row],[UnitPrice]]*MarketPlace_Order_Report[[#This Row],[OrderQty]]</f>
        <v>3400</v>
      </c>
      <c r="D95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95" s="15">
        <f>MarketPlace_Order_Report[[#This Row],[Gross Amount (Before Tax)]]+MarketPlace_Order_Report[[#This Row],[Total GST Amount]]</f>
        <v>3764.2860000000001</v>
      </c>
    </row>
    <row r="96" spans="1:5">
      <c r="A96" s="12" t="s">
        <v>463</v>
      </c>
      <c r="B96" s="12" t="s">
        <v>465</v>
      </c>
      <c r="C96" s="13">
        <f>MarketPlace_Order_Report[[#This Row],[UnitPrice]]*MarketPlace_Order_Report[[#This Row],[OrderQty]]</f>
        <v>3400</v>
      </c>
      <c r="D96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96" s="13">
        <f>MarketPlace_Order_Report[[#This Row],[Gross Amount (Before Tax)]]+MarketPlace_Order_Report[[#This Row],[Total GST Amount]]</f>
        <v>3764.2860000000001</v>
      </c>
    </row>
    <row r="97" spans="1:5">
      <c r="A97" s="14" t="s">
        <v>466</v>
      </c>
      <c r="B97" s="14" t="s">
        <v>468</v>
      </c>
      <c r="C97" s="15">
        <f>MarketPlace_Order_Report[[#This Row],[UnitPrice]]*MarketPlace_Order_Report[[#This Row],[OrderQty]]</f>
        <v>3400</v>
      </c>
      <c r="D97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97" s="15">
        <f>MarketPlace_Order_Report[[#This Row],[Gross Amount (Before Tax)]]+MarketPlace_Order_Report[[#This Row],[Total GST Amount]]</f>
        <v>3764.2860000000001</v>
      </c>
    </row>
    <row r="98" spans="1:5">
      <c r="A98" s="12" t="s">
        <v>469</v>
      </c>
      <c r="B98" s="12" t="s">
        <v>472</v>
      </c>
      <c r="C98" s="13">
        <f>MarketPlace_Order_Report[[#This Row],[UnitPrice]]*MarketPlace_Order_Report[[#This Row],[OrderQty]]</f>
        <v>3188</v>
      </c>
      <c r="D98" s="13">
        <f>IFERROR(MarketPlace_Order_Report[[#This Row],[CGSTAmount]]+MarketPlace_Order_Report[[#This Row],[SGSTAmount]]+MarketPlace_Order_Report[[#This Row],[IGSTAmount]],MarketPlace_Order_Report[[#This Row],[TaxAmount]])</f>
        <v>341.572</v>
      </c>
      <c r="E98" s="13">
        <f>MarketPlace_Order_Report[[#This Row],[Gross Amount (Before Tax)]]+MarketPlace_Order_Report[[#This Row],[Total GST Amount]]</f>
        <v>3529.5720000000001</v>
      </c>
    </row>
    <row r="99" spans="1:5">
      <c r="A99" s="14" t="s">
        <v>474</v>
      </c>
      <c r="B99" s="14" t="s">
        <v>477</v>
      </c>
      <c r="C99" s="15">
        <f>MarketPlace_Order_Report[[#This Row],[UnitPrice]]*MarketPlace_Order_Report[[#This Row],[OrderQty]]</f>
        <v>3563</v>
      </c>
      <c r="D99" s="15">
        <f>IFERROR(MarketPlace_Order_Report[[#This Row],[CGSTAmount]]+MarketPlace_Order_Report[[#This Row],[SGSTAmount]]+MarketPlace_Order_Report[[#This Row],[IGSTAmount]],MarketPlace_Order_Report[[#This Row],[TaxAmount]])</f>
        <v>543.50800000000004</v>
      </c>
      <c r="E99" s="15">
        <f>MarketPlace_Order_Report[[#This Row],[Gross Amount (Before Tax)]]+MarketPlace_Order_Report[[#This Row],[Total GST Amount]]</f>
        <v>4106.5079999999998</v>
      </c>
    </row>
    <row r="100" spans="1:5">
      <c r="A100" s="12" t="s">
        <v>479</v>
      </c>
      <c r="B100" s="12" t="s">
        <v>482</v>
      </c>
      <c r="C100" s="13">
        <f>MarketPlace_Order_Report[[#This Row],[UnitPrice]]*MarketPlace_Order_Report[[#This Row],[OrderQty]]</f>
        <v>3563</v>
      </c>
      <c r="D100" s="13">
        <f>IFERROR(MarketPlace_Order_Report[[#This Row],[CGSTAmount]]+MarketPlace_Order_Report[[#This Row],[SGSTAmount]]+MarketPlace_Order_Report[[#This Row],[IGSTAmount]],MarketPlace_Order_Report[[#This Row],[TaxAmount]])</f>
        <v>543.50800000000004</v>
      </c>
      <c r="E100" s="13">
        <f>MarketPlace_Order_Report[[#This Row],[Gross Amount (Before Tax)]]+MarketPlace_Order_Report[[#This Row],[Total GST Amount]]</f>
        <v>4106.5079999999998</v>
      </c>
    </row>
    <row r="101" spans="1:5">
      <c r="A101" s="14" t="s">
        <v>483</v>
      </c>
      <c r="B101" s="14" t="s">
        <v>486</v>
      </c>
      <c r="C101" s="15">
        <f>MarketPlace_Order_Report[[#This Row],[UnitPrice]]*MarketPlace_Order_Report[[#This Row],[OrderQty]]</f>
        <v>3563</v>
      </c>
      <c r="D101" s="15">
        <f>IFERROR(MarketPlace_Order_Report[[#This Row],[CGSTAmount]]+MarketPlace_Order_Report[[#This Row],[SGSTAmount]]+MarketPlace_Order_Report[[#This Row],[IGSTAmount]],MarketPlace_Order_Report[[#This Row],[TaxAmount]])</f>
        <v>543.50800000000004</v>
      </c>
      <c r="E101" s="15">
        <f>MarketPlace_Order_Report[[#This Row],[Gross Amount (Before Tax)]]+MarketPlace_Order_Report[[#This Row],[Total GST Amount]]</f>
        <v>4106.5079999999998</v>
      </c>
    </row>
    <row r="102" spans="1:5">
      <c r="A102" s="12" t="s">
        <v>488</v>
      </c>
      <c r="B102" s="12" t="s">
        <v>490</v>
      </c>
      <c r="C102" s="13">
        <f>MarketPlace_Order_Report[[#This Row],[UnitPrice]]*MarketPlace_Order_Report[[#This Row],[OrderQty]]</f>
        <v>3150</v>
      </c>
      <c r="D102" s="13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102" s="13">
        <f>MarketPlace_Order_Report[[#This Row],[Gross Amount (Before Tax)]]+MarketPlace_Order_Report[[#This Row],[Total GST Amount]]</f>
        <v>3630.5079999999998</v>
      </c>
    </row>
    <row r="103" spans="1:5">
      <c r="A103" s="14" t="s">
        <v>492</v>
      </c>
      <c r="B103" s="14" t="s">
        <v>494</v>
      </c>
      <c r="C103" s="15">
        <f>MarketPlace_Order_Report[[#This Row],[UnitPrice]]*MarketPlace_Order_Report[[#This Row],[OrderQty]]</f>
        <v>2975</v>
      </c>
      <c r="D103" s="15">
        <f>IFERROR(MarketPlace_Order_Report[[#This Row],[CGSTAmount]]+MarketPlace_Order_Report[[#This Row],[SGSTAmount]]+MarketPlace_Order_Report[[#This Row],[IGSTAmount]],MarketPlace_Order_Report[[#This Row],[TaxAmount]])</f>
        <v>318.75</v>
      </c>
      <c r="E103" s="15">
        <f>MarketPlace_Order_Report[[#This Row],[Gross Amount (Before Tax)]]+MarketPlace_Order_Report[[#This Row],[Total GST Amount]]</f>
        <v>3293.75</v>
      </c>
    </row>
    <row r="104" spans="1:5">
      <c r="A104" s="12" t="s">
        <v>495</v>
      </c>
      <c r="B104" s="12" t="s">
        <v>497</v>
      </c>
      <c r="C104" s="13">
        <f>MarketPlace_Order_Report[[#This Row],[UnitPrice]]*MarketPlace_Order_Report[[#This Row],[OrderQty]]</f>
        <v>3600</v>
      </c>
      <c r="D104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104" s="13">
        <f>MarketPlace_Order_Report[[#This Row],[Gross Amount (Before Tax)]]+MarketPlace_Order_Report[[#This Row],[Total GST Amount]]</f>
        <v>4149.1530000000002</v>
      </c>
    </row>
    <row r="105" spans="1:5">
      <c r="A105" s="14" t="s">
        <v>498</v>
      </c>
      <c r="B105" s="14" t="s">
        <v>501</v>
      </c>
      <c r="C105" s="15">
        <f>MarketPlace_Order_Report[[#This Row],[UnitPrice]]*MarketPlace_Order_Report[[#This Row],[OrderQty]]</f>
        <v>3600</v>
      </c>
      <c r="D105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105" s="15">
        <f>MarketPlace_Order_Report[[#This Row],[Gross Amount (Before Tax)]]+MarketPlace_Order_Report[[#This Row],[Total GST Amount]]</f>
        <v>4149.1530000000002</v>
      </c>
    </row>
    <row r="106" spans="1:5">
      <c r="A106" s="12" t="s">
        <v>504</v>
      </c>
      <c r="B106" s="12" t="s">
        <v>507</v>
      </c>
      <c r="C106" s="13">
        <f>MarketPlace_Order_Report[[#This Row],[UnitPrice]]*MarketPlace_Order_Report[[#This Row],[OrderQty]]</f>
        <v>3600</v>
      </c>
      <c r="D106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106" s="13">
        <f>MarketPlace_Order_Report[[#This Row],[Gross Amount (Before Tax)]]+MarketPlace_Order_Report[[#This Row],[Total GST Amount]]</f>
        <v>4149.1530000000002</v>
      </c>
    </row>
    <row r="107" spans="1:5">
      <c r="A107" s="14" t="s">
        <v>508</v>
      </c>
      <c r="B107" s="14" t="s">
        <v>507</v>
      </c>
      <c r="C107" s="15">
        <f>MarketPlace_Order_Report[[#This Row],[UnitPrice]]*MarketPlace_Order_Report[[#This Row],[OrderQty]]</f>
        <v>3400</v>
      </c>
      <c r="D107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107" s="15">
        <f>MarketPlace_Order_Report[[#This Row],[Gross Amount (Before Tax)]]+MarketPlace_Order_Report[[#This Row],[Total GST Amount]]</f>
        <v>3764.2860000000001</v>
      </c>
    </row>
    <row r="108" spans="1:5">
      <c r="A108" s="12" t="s">
        <v>510</v>
      </c>
      <c r="B108" s="12" t="s">
        <v>507</v>
      </c>
      <c r="C108" s="13">
        <f>MarketPlace_Order_Report[[#This Row],[UnitPrice]]*MarketPlace_Order_Report[[#This Row],[OrderQty]]</f>
        <v>3400</v>
      </c>
      <c r="D108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108" s="13">
        <f>MarketPlace_Order_Report[[#This Row],[Gross Amount (Before Tax)]]+MarketPlace_Order_Report[[#This Row],[Total GST Amount]]</f>
        <v>3764.2860000000001</v>
      </c>
    </row>
    <row r="109" spans="1:5">
      <c r="A109" s="14" t="s">
        <v>513</v>
      </c>
      <c r="B109" s="14" t="s">
        <v>516</v>
      </c>
      <c r="C109" s="15">
        <f>MarketPlace_Order_Report[[#This Row],[UnitPrice]]*MarketPlace_Order_Report[[#This Row],[OrderQty]]</f>
        <v>3400</v>
      </c>
      <c r="D109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109" s="15">
        <f>MarketPlace_Order_Report[[#This Row],[Gross Amount (Before Tax)]]+MarketPlace_Order_Report[[#This Row],[Total GST Amount]]</f>
        <v>3764.2860000000001</v>
      </c>
    </row>
    <row r="110" spans="1:5">
      <c r="A110" s="12" t="s">
        <v>517</v>
      </c>
      <c r="B110" s="12" t="s">
        <v>516</v>
      </c>
      <c r="C110" s="13">
        <f>MarketPlace_Order_Report[[#This Row],[UnitPrice]]*MarketPlace_Order_Report[[#This Row],[OrderQty]]</f>
        <v>3400</v>
      </c>
      <c r="D110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110" s="13">
        <f>MarketPlace_Order_Report[[#This Row],[Gross Amount (Before Tax)]]+MarketPlace_Order_Report[[#This Row],[Total GST Amount]]</f>
        <v>3764.2860000000001</v>
      </c>
    </row>
    <row r="111" spans="1:5">
      <c r="A111" s="14" t="s">
        <v>520</v>
      </c>
      <c r="B111" s="14" t="s">
        <v>523</v>
      </c>
      <c r="C111" s="15">
        <f>MarketPlace_Order_Report[[#This Row],[UnitPrice]]*MarketPlace_Order_Report[[#This Row],[OrderQty]]</f>
        <v>3150</v>
      </c>
      <c r="D111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111" s="15">
        <f>MarketPlace_Order_Report[[#This Row],[Gross Amount (Before Tax)]]+MarketPlace_Order_Report[[#This Row],[Total GST Amount]]</f>
        <v>3630.5079999999998</v>
      </c>
    </row>
    <row r="112" spans="1:5">
      <c r="A112" s="12" t="s">
        <v>525</v>
      </c>
      <c r="B112" s="12" t="s">
        <v>528</v>
      </c>
      <c r="C112" s="13">
        <f>MarketPlace_Order_Report[[#This Row],[UnitPrice]]*MarketPlace_Order_Report[[#This Row],[OrderQty]]</f>
        <v>3150</v>
      </c>
      <c r="D112" s="13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112" s="13">
        <f>MarketPlace_Order_Report[[#This Row],[Gross Amount (Before Tax)]]+MarketPlace_Order_Report[[#This Row],[Total GST Amount]]</f>
        <v>3630.5079999999998</v>
      </c>
    </row>
    <row r="113" spans="1:5">
      <c r="A113" s="14" t="s">
        <v>529</v>
      </c>
      <c r="B113" s="14" t="s">
        <v>532</v>
      </c>
      <c r="C113" s="15">
        <f>MarketPlace_Order_Report[[#This Row],[UnitPrice]]*MarketPlace_Order_Report[[#This Row],[OrderQty]]</f>
        <v>3150</v>
      </c>
      <c r="D113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113" s="15">
        <f>MarketPlace_Order_Report[[#This Row],[Gross Amount (Before Tax)]]+MarketPlace_Order_Report[[#This Row],[Total GST Amount]]</f>
        <v>3630.5079999999998</v>
      </c>
    </row>
    <row r="114" spans="1:5">
      <c r="A114" s="12" t="s">
        <v>534</v>
      </c>
      <c r="B114" s="12" t="s">
        <v>536</v>
      </c>
      <c r="C114" s="13">
        <f>MarketPlace_Order_Report[[#This Row],[UnitPrice]]*MarketPlace_Order_Report[[#This Row],[OrderQty]]</f>
        <v>3150</v>
      </c>
      <c r="D114" s="13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114" s="13">
        <f>MarketPlace_Order_Report[[#This Row],[Gross Amount (Before Tax)]]+MarketPlace_Order_Report[[#This Row],[Total GST Amount]]</f>
        <v>3630.5079999999998</v>
      </c>
    </row>
    <row r="115" spans="1:5">
      <c r="A115" s="14" t="s">
        <v>538</v>
      </c>
      <c r="B115" s="14" t="s">
        <v>536</v>
      </c>
      <c r="C115" s="15">
        <f>MarketPlace_Order_Report[[#This Row],[UnitPrice]]*MarketPlace_Order_Report[[#This Row],[OrderQty]]</f>
        <v>3150</v>
      </c>
      <c r="D115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115" s="15">
        <f>MarketPlace_Order_Report[[#This Row],[Gross Amount (Before Tax)]]+MarketPlace_Order_Report[[#This Row],[Total GST Amount]]</f>
        <v>3630.5079999999998</v>
      </c>
    </row>
    <row r="116" spans="1:5">
      <c r="A116" s="12" t="s">
        <v>540</v>
      </c>
      <c r="B116" s="12" t="s">
        <v>536</v>
      </c>
      <c r="C116" s="13">
        <f>MarketPlace_Order_Report[[#This Row],[UnitPrice]]*MarketPlace_Order_Report[[#This Row],[OrderQty]]</f>
        <v>3150</v>
      </c>
      <c r="D116" s="13">
        <f>IFERROR(MarketPlace_Order_Report[[#This Row],[CGSTAmount]]+MarketPlace_Order_Report[[#This Row],[SGSTAmount]]+MarketPlace_Order_Report[[#This Row],[IGSTAmount]],MarketPlace_Order_Report[[#This Row],[TaxAmount]])</f>
        <v>337.5</v>
      </c>
      <c r="E116" s="13">
        <f>MarketPlace_Order_Report[[#This Row],[Gross Amount (Before Tax)]]+MarketPlace_Order_Report[[#This Row],[Total GST Amount]]</f>
        <v>3487.5</v>
      </c>
    </row>
    <row r="117" spans="1:5">
      <c r="A117" s="14" t="s">
        <v>504</v>
      </c>
      <c r="B117" s="14" t="s">
        <v>543</v>
      </c>
      <c r="C117" s="15">
        <f>MarketPlace_Order_Report[[#This Row],[UnitPrice]]*MarketPlace_Order_Report[[#This Row],[OrderQty]]</f>
        <v>3150</v>
      </c>
      <c r="D117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117" s="15">
        <f>MarketPlace_Order_Report[[#This Row],[Gross Amount (Before Tax)]]+MarketPlace_Order_Report[[#This Row],[Total GST Amount]]</f>
        <v>3630.5079999999998</v>
      </c>
    </row>
    <row r="118" spans="1:5">
      <c r="A118" s="12" t="s">
        <v>544</v>
      </c>
      <c r="B118" s="12" t="s">
        <v>543</v>
      </c>
      <c r="C118" s="13">
        <f>MarketPlace_Order_Report[[#This Row],[UnitPrice]]*MarketPlace_Order_Report[[#This Row],[OrderQty]]</f>
        <v>3150</v>
      </c>
      <c r="D118" s="13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118" s="13">
        <f>MarketPlace_Order_Report[[#This Row],[Gross Amount (Before Tax)]]+MarketPlace_Order_Report[[#This Row],[Total GST Amount]]</f>
        <v>3630.5079999999998</v>
      </c>
    </row>
    <row r="119" spans="1:5">
      <c r="A119" s="14" t="s">
        <v>547</v>
      </c>
      <c r="B119" s="14" t="s">
        <v>543</v>
      </c>
      <c r="C119" s="15">
        <f>MarketPlace_Order_Report[[#This Row],[UnitPrice]]*MarketPlace_Order_Report[[#This Row],[OrderQty]]</f>
        <v>3150</v>
      </c>
      <c r="D119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119" s="15">
        <f>MarketPlace_Order_Report[[#This Row],[Gross Amount (Before Tax)]]+MarketPlace_Order_Report[[#This Row],[Total GST Amount]]</f>
        <v>3630.5079999999998</v>
      </c>
    </row>
    <row r="120" spans="1:5">
      <c r="A120" s="12" t="s">
        <v>550</v>
      </c>
      <c r="B120" s="12" t="s">
        <v>543</v>
      </c>
      <c r="C120" s="13">
        <f>MarketPlace_Order_Report[[#This Row],[UnitPrice]]*MarketPlace_Order_Report[[#This Row],[OrderQty]]</f>
        <v>3150</v>
      </c>
      <c r="D120" s="13">
        <f>IFERROR(MarketPlace_Order_Report[[#This Row],[CGSTAmount]]+MarketPlace_Order_Report[[#This Row],[SGSTAmount]]+MarketPlace_Order_Report[[#This Row],[IGSTAmount]],MarketPlace_Order_Report[[#This Row],[TaxAmount]])</f>
        <v>337.5</v>
      </c>
      <c r="E120" s="13">
        <f>MarketPlace_Order_Report[[#This Row],[Gross Amount (Before Tax)]]+MarketPlace_Order_Report[[#This Row],[Total GST Amount]]</f>
        <v>3487.5</v>
      </c>
    </row>
    <row r="121" spans="1:5">
      <c r="A121" s="14" t="s">
        <v>553</v>
      </c>
      <c r="B121" s="14" t="s">
        <v>556</v>
      </c>
      <c r="C121" s="15">
        <f>MarketPlace_Order_Report[[#This Row],[UnitPrice]]*MarketPlace_Order_Report[[#This Row],[OrderQty]]</f>
        <v>3150</v>
      </c>
      <c r="D121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121" s="15">
        <f>MarketPlace_Order_Report[[#This Row],[Gross Amount (Before Tax)]]+MarketPlace_Order_Report[[#This Row],[Total GST Amount]]</f>
        <v>3630.5079999999998</v>
      </c>
    </row>
    <row r="122" spans="1:5">
      <c r="A122" s="12" t="s">
        <v>558</v>
      </c>
      <c r="B122" s="12" t="s">
        <v>560</v>
      </c>
      <c r="C122" s="13">
        <f>MarketPlace_Order_Report[[#This Row],[UnitPrice]]*MarketPlace_Order_Report[[#This Row],[OrderQty]]</f>
        <v>3400</v>
      </c>
      <c r="D122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122" s="13">
        <f>MarketPlace_Order_Report[[#This Row],[Gross Amount (Before Tax)]]+MarketPlace_Order_Report[[#This Row],[Total GST Amount]]</f>
        <v>3764.2860000000001</v>
      </c>
    </row>
    <row r="123" spans="1:5">
      <c r="A123" s="14" t="s">
        <v>561</v>
      </c>
      <c r="B123" s="14" t="s">
        <v>563</v>
      </c>
      <c r="C123" s="15">
        <f>MarketPlace_Order_Report[[#This Row],[UnitPrice]]*MarketPlace_Order_Report[[#This Row],[OrderQty]]</f>
        <v>3400</v>
      </c>
      <c r="D123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123" s="15">
        <f>MarketPlace_Order_Report[[#This Row],[Gross Amount (Before Tax)]]+MarketPlace_Order_Report[[#This Row],[Total GST Amount]]</f>
        <v>3764.2860000000001</v>
      </c>
    </row>
    <row r="124" spans="1:5">
      <c r="A124" s="12" t="s">
        <v>565</v>
      </c>
      <c r="B124" s="12" t="s">
        <v>567</v>
      </c>
      <c r="C124" s="13">
        <f>MarketPlace_Order_Report[[#This Row],[UnitPrice]]*MarketPlace_Order_Report[[#This Row],[OrderQty]]</f>
        <v>1600</v>
      </c>
      <c r="D124" s="13">
        <f>IFERROR(MarketPlace_Order_Report[[#This Row],[CGSTAmount]]+MarketPlace_Order_Report[[#This Row],[SGSTAmount]]+MarketPlace_Order_Report[[#This Row],[IGSTAmount]],MarketPlace_Order_Report[[#This Row],[TaxAmount]])</f>
        <v>171.429</v>
      </c>
      <c r="E124" s="13">
        <f>MarketPlace_Order_Report[[#This Row],[Gross Amount (Before Tax)]]+MarketPlace_Order_Report[[#This Row],[Total GST Amount]]</f>
        <v>1771.4290000000001</v>
      </c>
    </row>
    <row r="125" spans="1:5">
      <c r="A125" s="14" t="s">
        <v>568</v>
      </c>
      <c r="B125" s="14" t="s">
        <v>570</v>
      </c>
      <c r="C125" s="15">
        <f>MarketPlace_Order_Report[[#This Row],[UnitPrice]]*MarketPlace_Order_Report[[#This Row],[OrderQty]]</f>
        <v>1600</v>
      </c>
      <c r="D125" s="15">
        <f>IFERROR(MarketPlace_Order_Report[[#This Row],[CGSTAmount]]+MarketPlace_Order_Report[[#This Row],[SGSTAmount]]+MarketPlace_Order_Report[[#This Row],[IGSTAmount]],MarketPlace_Order_Report[[#This Row],[TaxAmount]])</f>
        <v>171.429</v>
      </c>
      <c r="E125" s="15">
        <f>MarketPlace_Order_Report[[#This Row],[Gross Amount (Before Tax)]]+MarketPlace_Order_Report[[#This Row],[Total GST Amount]]</f>
        <v>1771.4290000000001</v>
      </c>
    </row>
    <row r="126" spans="1:5">
      <c r="A126" s="12" t="s">
        <v>571</v>
      </c>
      <c r="B126" s="12" t="s">
        <v>573</v>
      </c>
      <c r="C126" s="13">
        <f>MarketPlace_Order_Report[[#This Row],[UnitPrice]]*MarketPlace_Order_Report[[#This Row],[OrderQty]]</f>
        <v>3400</v>
      </c>
      <c r="D126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126" s="13">
        <f>MarketPlace_Order_Report[[#This Row],[Gross Amount (Before Tax)]]+MarketPlace_Order_Report[[#This Row],[Total GST Amount]]</f>
        <v>3764.2860000000001</v>
      </c>
    </row>
    <row r="127" spans="1:5">
      <c r="A127" s="14" t="s">
        <v>575</v>
      </c>
      <c r="B127" s="14" t="s">
        <v>578</v>
      </c>
      <c r="C127" s="15">
        <f>MarketPlace_Order_Report[[#This Row],[UnitPrice]]*MarketPlace_Order_Report[[#This Row],[OrderQty]]</f>
        <v>3600</v>
      </c>
      <c r="D127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127" s="15">
        <f>MarketPlace_Order_Report[[#This Row],[Gross Amount (Before Tax)]]+MarketPlace_Order_Report[[#This Row],[Total GST Amount]]</f>
        <v>4149.1530000000002</v>
      </c>
    </row>
    <row r="128" spans="1:5">
      <c r="A128" s="12" t="s">
        <v>580</v>
      </c>
      <c r="B128" s="12" t="s">
        <v>582</v>
      </c>
      <c r="C128" s="13">
        <f>MarketPlace_Order_Report[[#This Row],[UnitPrice]]*MarketPlace_Order_Report[[#This Row],[OrderQty]]</f>
        <v>2600</v>
      </c>
      <c r="D128" s="13">
        <f>IFERROR(MarketPlace_Order_Report[[#This Row],[CGSTAmount]]+MarketPlace_Order_Report[[#This Row],[SGSTAmount]]+MarketPlace_Order_Report[[#This Row],[IGSTAmount]],MarketPlace_Order_Report[[#This Row],[TaxAmount]])</f>
        <v>123.81</v>
      </c>
      <c r="E128" s="13">
        <f>MarketPlace_Order_Report[[#This Row],[Gross Amount (Before Tax)]]+MarketPlace_Order_Report[[#This Row],[Total GST Amount]]</f>
        <v>2723.81</v>
      </c>
    </row>
    <row r="129" spans="1:5">
      <c r="A129" s="14" t="s">
        <v>583</v>
      </c>
      <c r="B129" s="14" t="s">
        <v>585</v>
      </c>
      <c r="C129" s="15">
        <f>MarketPlace_Order_Report[[#This Row],[UnitPrice]]*MarketPlace_Order_Report[[#This Row],[OrderQty]]</f>
        <v>2600</v>
      </c>
      <c r="D129" s="15">
        <f>IFERROR(MarketPlace_Order_Report[[#This Row],[CGSTAmount]]+MarketPlace_Order_Report[[#This Row],[SGSTAmount]]+MarketPlace_Order_Report[[#This Row],[IGSTAmount]],MarketPlace_Order_Report[[#This Row],[TaxAmount]])</f>
        <v>278.57100000000003</v>
      </c>
      <c r="E129" s="15">
        <f>MarketPlace_Order_Report[[#This Row],[Gross Amount (Before Tax)]]+MarketPlace_Order_Report[[#This Row],[Total GST Amount]]</f>
        <v>2878.5709999999999</v>
      </c>
    </row>
    <row r="130" spans="1:5">
      <c r="A130" s="12" t="s">
        <v>586</v>
      </c>
      <c r="B130" s="12" t="s">
        <v>588</v>
      </c>
      <c r="C130" s="13">
        <f>MarketPlace_Order_Report[[#This Row],[UnitPrice]]*MarketPlace_Order_Report[[#This Row],[OrderQty]]</f>
        <v>3375</v>
      </c>
      <c r="D130" s="13">
        <f>IFERROR(MarketPlace_Order_Report[[#This Row],[CGSTAmount]]+MarketPlace_Order_Report[[#This Row],[SGSTAmount]]+MarketPlace_Order_Report[[#This Row],[IGSTAmount]],MarketPlace_Order_Report[[#This Row],[TaxAmount]])</f>
        <v>514.83100000000002</v>
      </c>
      <c r="E130" s="13">
        <f>MarketPlace_Order_Report[[#This Row],[Gross Amount (Before Tax)]]+MarketPlace_Order_Report[[#This Row],[Total GST Amount]]</f>
        <v>3889.8310000000001</v>
      </c>
    </row>
    <row r="131" spans="1:5">
      <c r="A131" s="14" t="s">
        <v>590</v>
      </c>
      <c r="B131" s="14" t="s">
        <v>592</v>
      </c>
      <c r="C131" s="15">
        <f>MarketPlace_Order_Report[[#This Row],[UnitPrice]]*MarketPlace_Order_Report[[#This Row],[OrderQty]]</f>
        <v>3375</v>
      </c>
      <c r="D131" s="15">
        <f>IFERROR(MarketPlace_Order_Report[[#This Row],[CGSTAmount]]+MarketPlace_Order_Report[[#This Row],[SGSTAmount]]+MarketPlace_Order_Report[[#This Row],[IGSTAmount]],MarketPlace_Order_Report[[#This Row],[TaxAmount]])</f>
        <v>514.83100000000002</v>
      </c>
      <c r="E131" s="15">
        <f>MarketPlace_Order_Report[[#This Row],[Gross Amount (Before Tax)]]+MarketPlace_Order_Report[[#This Row],[Total GST Amount]]</f>
        <v>3889.8310000000001</v>
      </c>
    </row>
    <row r="132" spans="1:5">
      <c r="A132" s="12" t="s">
        <v>593</v>
      </c>
      <c r="B132" s="12" t="s">
        <v>595</v>
      </c>
      <c r="C132" s="13">
        <f>MarketPlace_Order_Report[[#This Row],[UnitPrice]]*MarketPlace_Order_Report[[#This Row],[OrderQty]]</f>
        <v>3188</v>
      </c>
      <c r="D132" s="13">
        <f>IFERROR(MarketPlace_Order_Report[[#This Row],[CGSTAmount]]+MarketPlace_Order_Report[[#This Row],[SGSTAmount]]+MarketPlace_Order_Report[[#This Row],[IGSTAmount]],MarketPlace_Order_Report[[#This Row],[TaxAmount]])</f>
        <v>341.57100000000003</v>
      </c>
      <c r="E132" s="13">
        <f>MarketPlace_Order_Report[[#This Row],[Gross Amount (Before Tax)]]+MarketPlace_Order_Report[[#This Row],[Total GST Amount]]</f>
        <v>3529.5709999999999</v>
      </c>
    </row>
    <row r="133" spans="1:5">
      <c r="A133" s="14" t="s">
        <v>596</v>
      </c>
      <c r="B133" s="14" t="s">
        <v>599</v>
      </c>
      <c r="C133" s="15">
        <f>MarketPlace_Order_Report[[#This Row],[UnitPrice]]*MarketPlace_Order_Report[[#This Row],[OrderQty]]</f>
        <v>3188</v>
      </c>
      <c r="D133" s="15">
        <f>IFERROR(MarketPlace_Order_Report[[#This Row],[CGSTAmount]]+MarketPlace_Order_Report[[#This Row],[SGSTAmount]]+MarketPlace_Order_Report[[#This Row],[IGSTAmount]],MarketPlace_Order_Report[[#This Row],[TaxAmount]])</f>
        <v>341.57100000000003</v>
      </c>
      <c r="E133" s="15">
        <f>MarketPlace_Order_Report[[#This Row],[Gross Amount (Before Tax)]]+MarketPlace_Order_Report[[#This Row],[Total GST Amount]]</f>
        <v>3529.5709999999999</v>
      </c>
    </row>
    <row r="134" spans="1:5">
      <c r="A134" s="12" t="s">
        <v>600</v>
      </c>
      <c r="B134" s="12" t="s">
        <v>599</v>
      </c>
      <c r="C134" s="13">
        <f>MarketPlace_Order_Report[[#This Row],[UnitPrice]]*MarketPlace_Order_Report[[#This Row],[OrderQty]]</f>
        <v>3188</v>
      </c>
      <c r="D134" s="13">
        <f>IFERROR(MarketPlace_Order_Report[[#This Row],[CGSTAmount]]+MarketPlace_Order_Report[[#This Row],[SGSTAmount]]+MarketPlace_Order_Report[[#This Row],[IGSTAmount]],MarketPlace_Order_Report[[#This Row],[TaxAmount]])</f>
        <v>341.57100000000003</v>
      </c>
      <c r="E134" s="13">
        <f>MarketPlace_Order_Report[[#This Row],[Gross Amount (Before Tax)]]+MarketPlace_Order_Report[[#This Row],[Total GST Amount]]</f>
        <v>3529.5709999999999</v>
      </c>
    </row>
    <row r="135" spans="1:5">
      <c r="A135" s="14" t="s">
        <v>603</v>
      </c>
      <c r="B135" s="14" t="s">
        <v>605</v>
      </c>
      <c r="C135" s="15">
        <f>MarketPlace_Order_Report[[#This Row],[UnitPrice]]*MarketPlace_Order_Report[[#This Row],[OrderQty]]</f>
        <v>3400</v>
      </c>
      <c r="D135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135" s="15">
        <f>MarketPlace_Order_Report[[#This Row],[Gross Amount (Before Tax)]]+MarketPlace_Order_Report[[#This Row],[Total GST Amount]]</f>
        <v>3764.2860000000001</v>
      </c>
    </row>
    <row r="136" spans="1:5">
      <c r="A136" s="12" t="s">
        <v>606</v>
      </c>
      <c r="B136" s="12" t="s">
        <v>608</v>
      </c>
      <c r="C136" s="13">
        <f>MarketPlace_Order_Report[[#This Row],[UnitPrice]]*MarketPlace_Order_Report[[#This Row],[OrderQty]]</f>
        <v>3400</v>
      </c>
      <c r="D136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136" s="13">
        <f>MarketPlace_Order_Report[[#This Row],[Gross Amount (Before Tax)]]+MarketPlace_Order_Report[[#This Row],[Total GST Amount]]</f>
        <v>3764.2860000000001</v>
      </c>
    </row>
    <row r="137" spans="1:5">
      <c r="A137" s="14" t="s">
        <v>609</v>
      </c>
      <c r="B137" s="14" t="s">
        <v>611</v>
      </c>
      <c r="C137" s="15">
        <f>MarketPlace_Order_Report[[#This Row],[UnitPrice]]*MarketPlace_Order_Report[[#This Row],[OrderQty]]</f>
        <v>3600</v>
      </c>
      <c r="D137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137" s="15">
        <f>MarketPlace_Order_Report[[#This Row],[Gross Amount (Before Tax)]]+MarketPlace_Order_Report[[#This Row],[Total GST Amount]]</f>
        <v>4149.1530000000002</v>
      </c>
    </row>
    <row r="138" spans="1:5">
      <c r="A138" s="12" t="s">
        <v>612</v>
      </c>
      <c r="B138" s="12" t="s">
        <v>615</v>
      </c>
      <c r="C138" s="13">
        <f>MarketPlace_Order_Report[[#This Row],[UnitPrice]]*MarketPlace_Order_Report[[#This Row],[OrderQty]]</f>
        <v>3400</v>
      </c>
      <c r="D138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138" s="13">
        <f>MarketPlace_Order_Report[[#This Row],[Gross Amount (Before Tax)]]+MarketPlace_Order_Report[[#This Row],[Total GST Amount]]</f>
        <v>3764.2860000000001</v>
      </c>
    </row>
    <row r="139" spans="1:5">
      <c r="A139" s="14" t="s">
        <v>617</v>
      </c>
      <c r="B139" s="14" t="s">
        <v>619</v>
      </c>
      <c r="C139" s="15">
        <f>MarketPlace_Order_Report[[#This Row],[UnitPrice]]*MarketPlace_Order_Report[[#This Row],[OrderQty]]</f>
        <v>3825</v>
      </c>
      <c r="D139" s="15">
        <f>IFERROR(MarketPlace_Order_Report[[#This Row],[CGSTAmount]]+MarketPlace_Order_Report[[#This Row],[SGSTAmount]]+MarketPlace_Order_Report[[#This Row],[IGSTAmount]],MarketPlace_Order_Report[[#This Row],[TaxAmount]])</f>
        <v>583.47500000000002</v>
      </c>
      <c r="E139" s="15">
        <f>MarketPlace_Order_Report[[#This Row],[Gross Amount (Before Tax)]]+MarketPlace_Order_Report[[#This Row],[Total GST Amount]]</f>
        <v>4408.4750000000004</v>
      </c>
    </row>
    <row r="140" spans="1:5">
      <c r="A140" s="12" t="s">
        <v>620</v>
      </c>
      <c r="B140" s="12" t="s">
        <v>622</v>
      </c>
      <c r="C140" s="13">
        <f>MarketPlace_Order_Report[[#This Row],[UnitPrice]]*MarketPlace_Order_Report[[#This Row],[OrderQty]]</f>
        <v>2100</v>
      </c>
      <c r="D140" s="13">
        <f>IFERROR(MarketPlace_Order_Report[[#This Row],[CGSTAmount]]+MarketPlace_Order_Report[[#This Row],[SGSTAmount]]+MarketPlace_Order_Report[[#This Row],[IGSTAmount]],MarketPlace_Order_Report[[#This Row],[TaxAmount]])</f>
        <v>100</v>
      </c>
      <c r="E140" s="13">
        <f>MarketPlace_Order_Report[[#This Row],[Gross Amount (Before Tax)]]+MarketPlace_Order_Report[[#This Row],[Total GST Amount]]</f>
        <v>2200</v>
      </c>
    </row>
    <row r="141" spans="1:5">
      <c r="A141" s="14" t="s">
        <v>625</v>
      </c>
      <c r="B141" s="14" t="s">
        <v>627</v>
      </c>
      <c r="C141" s="15">
        <f>MarketPlace_Order_Report[[#This Row],[UnitPrice]]*MarketPlace_Order_Report[[#This Row],[OrderQty]]</f>
        <v>2250</v>
      </c>
      <c r="D141" s="15">
        <f>IFERROR(MarketPlace_Order_Report[[#This Row],[CGSTAmount]]+MarketPlace_Order_Report[[#This Row],[SGSTAmount]]+MarketPlace_Order_Report[[#This Row],[IGSTAmount]],MarketPlace_Order_Report[[#This Row],[TaxAmount]])</f>
        <v>241.071</v>
      </c>
      <c r="E141" s="15">
        <f>MarketPlace_Order_Report[[#This Row],[Gross Amount (Before Tax)]]+MarketPlace_Order_Report[[#This Row],[Total GST Amount]]</f>
        <v>2491.0709999999999</v>
      </c>
    </row>
    <row r="142" spans="1:5">
      <c r="A142" s="12" t="s">
        <v>628</v>
      </c>
      <c r="B142" s="12" t="s">
        <v>630</v>
      </c>
      <c r="C142" s="13">
        <f>MarketPlace_Order_Report[[#This Row],[UnitPrice]]*MarketPlace_Order_Report[[#This Row],[OrderQty]]</f>
        <v>2025</v>
      </c>
      <c r="D142" s="13">
        <f>IFERROR(MarketPlace_Order_Report[[#This Row],[CGSTAmount]]+MarketPlace_Order_Report[[#This Row],[SGSTAmount]]+MarketPlace_Order_Report[[#This Row],[IGSTAmount]],MarketPlace_Order_Report[[#This Row],[TaxAmount]])</f>
        <v>216.964</v>
      </c>
      <c r="E142" s="13">
        <f>MarketPlace_Order_Report[[#This Row],[Gross Amount (Before Tax)]]+MarketPlace_Order_Report[[#This Row],[Total GST Amount]]</f>
        <v>2241.9639999999999</v>
      </c>
    </row>
    <row r="143" spans="1:5">
      <c r="A143" s="14" t="s">
        <v>632</v>
      </c>
      <c r="B143" s="14" t="s">
        <v>634</v>
      </c>
      <c r="C143" s="15">
        <f>MarketPlace_Order_Report[[#This Row],[UnitPrice]]*MarketPlace_Order_Report[[#This Row],[OrderQty]]</f>
        <v>2275</v>
      </c>
      <c r="D143" s="15">
        <f>IFERROR(MarketPlace_Order_Report[[#This Row],[CGSTAmount]]+MarketPlace_Order_Report[[#This Row],[SGSTAmount]]+MarketPlace_Order_Report[[#This Row],[IGSTAmount]],MarketPlace_Order_Report[[#This Row],[TaxAmount]])</f>
        <v>108.333</v>
      </c>
      <c r="E143" s="15">
        <f>MarketPlace_Order_Report[[#This Row],[Gross Amount (Before Tax)]]+MarketPlace_Order_Report[[#This Row],[Total GST Amount]]</f>
        <v>2383.3330000000001</v>
      </c>
    </row>
    <row r="144" spans="1:5">
      <c r="A144" s="12" t="s">
        <v>636</v>
      </c>
      <c r="B144" s="12" t="s">
        <v>638</v>
      </c>
      <c r="C144" s="13">
        <f>MarketPlace_Order_Report[[#This Row],[UnitPrice]]*MarketPlace_Order_Report[[#This Row],[OrderQty]]</f>
        <v>2275</v>
      </c>
      <c r="D144" s="13">
        <f>IFERROR(MarketPlace_Order_Report[[#This Row],[CGSTAmount]]+MarketPlace_Order_Report[[#This Row],[SGSTAmount]]+MarketPlace_Order_Report[[#This Row],[IGSTAmount]],MarketPlace_Order_Report[[#This Row],[TaxAmount]])</f>
        <v>243.75</v>
      </c>
      <c r="E144" s="13">
        <f>MarketPlace_Order_Report[[#This Row],[Gross Amount (Before Tax)]]+MarketPlace_Order_Report[[#This Row],[Total GST Amount]]</f>
        <v>2518.75</v>
      </c>
    </row>
    <row r="145" spans="1:5">
      <c r="A145" s="14" t="s">
        <v>639</v>
      </c>
      <c r="B145" s="14" t="s">
        <v>641</v>
      </c>
      <c r="C145" s="15">
        <f>MarketPlace_Order_Report[[#This Row],[UnitPrice]]*MarketPlace_Order_Report[[#This Row],[OrderQty]]</f>
        <v>2763</v>
      </c>
      <c r="D145" s="15">
        <f>IFERROR(MarketPlace_Order_Report[[#This Row],[CGSTAmount]]+MarketPlace_Order_Report[[#This Row],[SGSTAmount]]+MarketPlace_Order_Report[[#This Row],[IGSTAmount]],MarketPlace_Order_Report[[#This Row],[TaxAmount]])</f>
        <v>296.036</v>
      </c>
      <c r="E145" s="15">
        <f>MarketPlace_Order_Report[[#This Row],[Gross Amount (Before Tax)]]+MarketPlace_Order_Report[[#This Row],[Total GST Amount]]</f>
        <v>3059.0360000000001</v>
      </c>
    </row>
    <row r="146" spans="1:5">
      <c r="A146" s="12" t="s">
        <v>642</v>
      </c>
      <c r="B146" s="12" t="s">
        <v>644</v>
      </c>
      <c r="C146" s="13">
        <f>MarketPlace_Order_Report[[#This Row],[UnitPrice]]*MarketPlace_Order_Report[[#This Row],[OrderQty]]</f>
        <v>2125</v>
      </c>
      <c r="D146" s="13">
        <f>IFERROR(MarketPlace_Order_Report[[#This Row],[CGSTAmount]]+MarketPlace_Order_Report[[#This Row],[SGSTAmount]]+MarketPlace_Order_Report[[#This Row],[IGSTAmount]],MarketPlace_Order_Report[[#This Row],[TaxAmount]])</f>
        <v>227.679</v>
      </c>
      <c r="E146" s="13">
        <f>MarketPlace_Order_Report[[#This Row],[Gross Amount (Before Tax)]]+MarketPlace_Order_Report[[#This Row],[Total GST Amount]]</f>
        <v>2352.6790000000001</v>
      </c>
    </row>
    <row r="147" spans="1:5">
      <c r="A147" s="14" t="s">
        <v>646</v>
      </c>
      <c r="B147" s="14" t="s">
        <v>648</v>
      </c>
      <c r="C147" s="15">
        <f>MarketPlace_Order_Report[[#This Row],[UnitPrice]]*MarketPlace_Order_Report[[#This Row],[OrderQty]]</f>
        <v>2000</v>
      </c>
      <c r="D147" s="15">
        <f>IFERROR(MarketPlace_Order_Report[[#This Row],[CGSTAmount]]+MarketPlace_Order_Report[[#This Row],[SGSTAmount]]+MarketPlace_Order_Report[[#This Row],[IGSTAmount]],MarketPlace_Order_Report[[#This Row],[TaxAmount]])</f>
        <v>95.238</v>
      </c>
      <c r="E147" s="15">
        <f>MarketPlace_Order_Report[[#This Row],[Gross Amount (Before Tax)]]+MarketPlace_Order_Report[[#This Row],[Total GST Amount]]</f>
        <v>2095.2379999999998</v>
      </c>
    </row>
    <row r="148" spans="1:5">
      <c r="A148" s="12" t="s">
        <v>651</v>
      </c>
      <c r="B148" s="12" t="s">
        <v>653</v>
      </c>
      <c r="C148" s="13">
        <f>MarketPlace_Order_Report[[#This Row],[UnitPrice]]*MarketPlace_Order_Report[[#This Row],[OrderQty]]</f>
        <v>2000</v>
      </c>
      <c r="D148" s="13">
        <f>IFERROR(MarketPlace_Order_Report[[#This Row],[CGSTAmount]]+MarketPlace_Order_Report[[#This Row],[SGSTAmount]]+MarketPlace_Order_Report[[#This Row],[IGSTAmount]],MarketPlace_Order_Report[[#This Row],[TaxAmount]])</f>
        <v>95.238</v>
      </c>
      <c r="E148" s="13">
        <f>MarketPlace_Order_Report[[#This Row],[Gross Amount (Before Tax)]]+MarketPlace_Order_Report[[#This Row],[Total GST Amount]]</f>
        <v>2095.2379999999998</v>
      </c>
    </row>
    <row r="149" spans="1:5">
      <c r="A149" s="14" t="s">
        <v>654</v>
      </c>
      <c r="B149" s="14" t="s">
        <v>656</v>
      </c>
      <c r="C149" s="15">
        <f>MarketPlace_Order_Report[[#This Row],[UnitPrice]]*MarketPlace_Order_Report[[#This Row],[OrderQty]]</f>
        <v>2125</v>
      </c>
      <c r="D149" s="15">
        <f>IFERROR(MarketPlace_Order_Report[[#This Row],[CGSTAmount]]+MarketPlace_Order_Report[[#This Row],[SGSTAmount]]+MarketPlace_Order_Report[[#This Row],[IGSTAmount]],MarketPlace_Order_Report[[#This Row],[TaxAmount]])</f>
        <v>227.68</v>
      </c>
      <c r="E149" s="15">
        <f>MarketPlace_Order_Report[[#This Row],[Gross Amount (Before Tax)]]+MarketPlace_Order_Report[[#This Row],[Total GST Amount]]</f>
        <v>2352.6799999999998</v>
      </c>
    </row>
    <row r="150" spans="1:5">
      <c r="A150" s="12" t="s">
        <v>657</v>
      </c>
      <c r="B150" s="12" t="s">
        <v>659</v>
      </c>
      <c r="C150" s="13">
        <f>MarketPlace_Order_Report[[#This Row],[UnitPrice]]*MarketPlace_Order_Report[[#This Row],[OrderQty]]</f>
        <v>2125</v>
      </c>
      <c r="D150" s="13">
        <f>IFERROR(MarketPlace_Order_Report[[#This Row],[CGSTAmount]]+MarketPlace_Order_Report[[#This Row],[SGSTAmount]]+MarketPlace_Order_Report[[#This Row],[IGSTAmount]],MarketPlace_Order_Report[[#This Row],[TaxAmount]])</f>
        <v>227.679</v>
      </c>
      <c r="E150" s="13">
        <f>MarketPlace_Order_Report[[#This Row],[Gross Amount (Before Tax)]]+MarketPlace_Order_Report[[#This Row],[Total GST Amount]]</f>
        <v>2352.6790000000001</v>
      </c>
    </row>
    <row r="151" spans="1:5">
      <c r="A151" s="14" t="s">
        <v>660</v>
      </c>
      <c r="B151" s="14" t="s">
        <v>662</v>
      </c>
      <c r="C151" s="15">
        <f>MarketPlace_Order_Report[[#This Row],[UnitPrice]]*MarketPlace_Order_Report[[#This Row],[OrderQty]]</f>
        <v>2000</v>
      </c>
      <c r="D151" s="15">
        <f>IFERROR(MarketPlace_Order_Report[[#This Row],[CGSTAmount]]+MarketPlace_Order_Report[[#This Row],[SGSTAmount]]+MarketPlace_Order_Report[[#This Row],[IGSTAmount]],MarketPlace_Order_Report[[#This Row],[TaxAmount]])</f>
        <v>95.238</v>
      </c>
      <c r="E151" s="15">
        <f>MarketPlace_Order_Report[[#This Row],[Gross Amount (Before Tax)]]+MarketPlace_Order_Report[[#This Row],[Total GST Amount]]</f>
        <v>2095.2379999999998</v>
      </c>
    </row>
    <row r="152" spans="1:5">
      <c r="A152" s="12" t="s">
        <v>665</v>
      </c>
      <c r="B152" s="12" t="s">
        <v>662</v>
      </c>
      <c r="C152" s="13">
        <f>MarketPlace_Order_Report[[#This Row],[UnitPrice]]*MarketPlace_Order_Report[[#This Row],[OrderQty]]</f>
        <v>2125</v>
      </c>
      <c r="D152" s="13">
        <f>IFERROR(MarketPlace_Order_Report[[#This Row],[CGSTAmount]]+MarketPlace_Order_Report[[#This Row],[SGSTAmount]]+MarketPlace_Order_Report[[#This Row],[IGSTAmount]],MarketPlace_Order_Report[[#This Row],[TaxAmount]])</f>
        <v>227.679</v>
      </c>
      <c r="E152" s="13">
        <f>MarketPlace_Order_Report[[#This Row],[Gross Amount (Before Tax)]]+MarketPlace_Order_Report[[#This Row],[Total GST Amount]]</f>
        <v>2352.6790000000001</v>
      </c>
    </row>
    <row r="153" spans="1:5">
      <c r="A153" s="14" t="s">
        <v>667</v>
      </c>
      <c r="B153" s="14" t="s">
        <v>670</v>
      </c>
      <c r="C153" s="15">
        <f>MarketPlace_Order_Report[[#This Row],[UnitPrice]]*MarketPlace_Order_Report[[#This Row],[OrderQty]]</f>
        <v>2125</v>
      </c>
      <c r="D153" s="15">
        <f>IFERROR(MarketPlace_Order_Report[[#This Row],[CGSTAmount]]+MarketPlace_Order_Report[[#This Row],[SGSTAmount]]+MarketPlace_Order_Report[[#This Row],[IGSTAmount]],MarketPlace_Order_Report[[#This Row],[TaxAmount]])</f>
        <v>227.679</v>
      </c>
      <c r="E153" s="15">
        <f>MarketPlace_Order_Report[[#This Row],[Gross Amount (Before Tax)]]+MarketPlace_Order_Report[[#This Row],[Total GST Amount]]</f>
        <v>2352.6790000000001</v>
      </c>
    </row>
    <row r="154" spans="1:5">
      <c r="A154" s="12" t="s">
        <v>671</v>
      </c>
      <c r="B154" s="12" t="s">
        <v>674</v>
      </c>
      <c r="C154" s="13">
        <f>MarketPlace_Order_Report[[#This Row],[UnitPrice]]*MarketPlace_Order_Report[[#This Row],[OrderQty]]</f>
        <v>2125</v>
      </c>
      <c r="D154" s="13">
        <f>IFERROR(MarketPlace_Order_Report[[#This Row],[CGSTAmount]]+MarketPlace_Order_Report[[#This Row],[SGSTAmount]]+MarketPlace_Order_Report[[#This Row],[IGSTAmount]],MarketPlace_Order_Report[[#This Row],[TaxAmount]])</f>
        <v>227.679</v>
      </c>
      <c r="E154" s="13">
        <f>MarketPlace_Order_Report[[#This Row],[Gross Amount (Before Tax)]]+MarketPlace_Order_Report[[#This Row],[Total GST Amount]]</f>
        <v>2352.6790000000001</v>
      </c>
    </row>
    <row r="155" spans="1:5">
      <c r="A155" s="14" t="s">
        <v>675</v>
      </c>
      <c r="B155" s="14" t="s">
        <v>677</v>
      </c>
      <c r="C155" s="15">
        <f>MarketPlace_Order_Report[[#This Row],[UnitPrice]]*MarketPlace_Order_Report[[#This Row],[OrderQty]]</f>
        <v>2338</v>
      </c>
      <c r="D155" s="15">
        <f>IFERROR(MarketPlace_Order_Report[[#This Row],[CGSTAmount]]+MarketPlace_Order_Report[[#This Row],[SGSTAmount]]+MarketPlace_Order_Report[[#This Row],[IGSTAmount]],MarketPlace_Order_Report[[#This Row],[TaxAmount]])</f>
        <v>250.5</v>
      </c>
      <c r="E155" s="15">
        <f>MarketPlace_Order_Report[[#This Row],[Gross Amount (Before Tax)]]+MarketPlace_Order_Report[[#This Row],[Total GST Amount]]</f>
        <v>2588.5</v>
      </c>
    </row>
    <row r="156" spans="1:5">
      <c r="A156" s="12" t="s">
        <v>678</v>
      </c>
      <c r="B156" s="12" t="s">
        <v>680</v>
      </c>
      <c r="C156" s="13">
        <f>MarketPlace_Order_Report[[#This Row],[UnitPrice]]*MarketPlace_Order_Report[[#This Row],[OrderQty]]</f>
        <v>2275</v>
      </c>
      <c r="D156" s="13">
        <f>IFERROR(MarketPlace_Order_Report[[#This Row],[CGSTAmount]]+MarketPlace_Order_Report[[#This Row],[SGSTAmount]]+MarketPlace_Order_Report[[#This Row],[IGSTAmount]],MarketPlace_Order_Report[[#This Row],[TaxAmount]])</f>
        <v>108.333</v>
      </c>
      <c r="E156" s="13">
        <f>MarketPlace_Order_Report[[#This Row],[Gross Amount (Before Tax)]]+MarketPlace_Order_Report[[#This Row],[Total GST Amount]]</f>
        <v>2383.3330000000001</v>
      </c>
    </row>
    <row r="157" spans="1:5">
      <c r="A157" s="14" t="s">
        <v>682</v>
      </c>
      <c r="B157" s="14" t="s">
        <v>685</v>
      </c>
      <c r="C157" s="15">
        <f>MarketPlace_Order_Report[[#This Row],[UnitPrice]]*MarketPlace_Order_Report[[#This Row],[OrderQty]]</f>
        <v>2275</v>
      </c>
      <c r="D157" s="15">
        <f>IFERROR(MarketPlace_Order_Report[[#This Row],[CGSTAmount]]+MarketPlace_Order_Report[[#This Row],[SGSTAmount]]+MarketPlace_Order_Report[[#This Row],[IGSTAmount]],MarketPlace_Order_Report[[#This Row],[TaxAmount]])</f>
        <v>243.75</v>
      </c>
      <c r="E157" s="15">
        <f>MarketPlace_Order_Report[[#This Row],[Gross Amount (Before Tax)]]+MarketPlace_Order_Report[[#This Row],[Total GST Amount]]</f>
        <v>2518.75</v>
      </c>
    </row>
    <row r="158" spans="1:5">
      <c r="A158" s="12" t="s">
        <v>687</v>
      </c>
      <c r="B158" s="12" t="s">
        <v>689</v>
      </c>
      <c r="C158" s="13">
        <f>MarketPlace_Order_Report[[#This Row],[UnitPrice]]*MarketPlace_Order_Report[[#This Row],[OrderQty]]</f>
        <v>2763</v>
      </c>
      <c r="D158" s="13">
        <f>IFERROR(MarketPlace_Order_Report[[#This Row],[CGSTAmount]]+MarketPlace_Order_Report[[#This Row],[SGSTAmount]]+MarketPlace_Order_Report[[#This Row],[IGSTAmount]],MarketPlace_Order_Report[[#This Row],[TaxAmount]])</f>
        <v>296.036</v>
      </c>
      <c r="E158" s="13">
        <f>MarketPlace_Order_Report[[#This Row],[Gross Amount (Before Tax)]]+MarketPlace_Order_Report[[#This Row],[Total GST Amount]]</f>
        <v>3059.0360000000001</v>
      </c>
    </row>
    <row r="159" spans="1:5">
      <c r="A159" s="14" t="s">
        <v>632</v>
      </c>
      <c r="B159" s="14" t="s">
        <v>690</v>
      </c>
      <c r="C159" s="15">
        <f>MarketPlace_Order_Report[[#This Row],[UnitPrice]]*MarketPlace_Order_Report[[#This Row],[OrderQty]]</f>
        <v>2000</v>
      </c>
      <c r="D159" s="15">
        <f>IFERROR(MarketPlace_Order_Report[[#This Row],[CGSTAmount]]+MarketPlace_Order_Report[[#This Row],[SGSTAmount]]+MarketPlace_Order_Report[[#This Row],[IGSTAmount]],MarketPlace_Order_Report[[#This Row],[TaxAmount]])</f>
        <v>95.238</v>
      </c>
      <c r="E159" s="15">
        <f>MarketPlace_Order_Report[[#This Row],[Gross Amount (Before Tax)]]+MarketPlace_Order_Report[[#This Row],[Total GST Amount]]</f>
        <v>2095.2379999999998</v>
      </c>
    </row>
    <row r="160" spans="1:5">
      <c r="A160" s="12" t="s">
        <v>691</v>
      </c>
      <c r="B160" s="12" t="s">
        <v>693</v>
      </c>
      <c r="C160" s="13">
        <f>MarketPlace_Order_Report[[#This Row],[UnitPrice]]*MarketPlace_Order_Report[[#This Row],[OrderQty]]</f>
        <v>3150</v>
      </c>
      <c r="D160" s="13">
        <f>IFERROR(MarketPlace_Order_Report[[#This Row],[CGSTAmount]]+MarketPlace_Order_Report[[#This Row],[SGSTAmount]]+MarketPlace_Order_Report[[#This Row],[IGSTAmount]],MarketPlace_Order_Report[[#This Row],[TaxAmount]])</f>
        <v>337.5</v>
      </c>
      <c r="E160" s="13">
        <f>MarketPlace_Order_Report[[#This Row],[Gross Amount (Before Tax)]]+MarketPlace_Order_Report[[#This Row],[Total GST Amount]]</f>
        <v>3487.5</v>
      </c>
    </row>
    <row r="161" spans="1:5">
      <c r="A161" s="14" t="s">
        <v>636</v>
      </c>
      <c r="B161" s="14" t="s">
        <v>694</v>
      </c>
      <c r="C161" s="15">
        <f>MarketPlace_Order_Report[[#This Row],[UnitPrice]]*MarketPlace_Order_Report[[#This Row],[OrderQty]]</f>
        <v>2450</v>
      </c>
      <c r="D161" s="15">
        <f>IFERROR(MarketPlace_Order_Report[[#This Row],[CGSTAmount]]+MarketPlace_Order_Report[[#This Row],[SGSTAmount]]+MarketPlace_Order_Report[[#This Row],[IGSTAmount]],MarketPlace_Order_Report[[#This Row],[TaxAmount]])</f>
        <v>262.5</v>
      </c>
      <c r="E161" s="15">
        <f>MarketPlace_Order_Report[[#This Row],[Gross Amount (Before Tax)]]+MarketPlace_Order_Report[[#This Row],[Total GST Amount]]</f>
        <v>2712.5</v>
      </c>
    </row>
    <row r="162" spans="1:5">
      <c r="A162" s="12" t="s">
        <v>696</v>
      </c>
      <c r="B162" s="12" t="s">
        <v>698</v>
      </c>
      <c r="C162" s="13">
        <f>MarketPlace_Order_Report[[#This Row],[UnitPrice]]*MarketPlace_Order_Report[[#This Row],[OrderQty]]</f>
        <v>2100</v>
      </c>
      <c r="D162" s="13">
        <f>IFERROR(MarketPlace_Order_Report[[#This Row],[CGSTAmount]]+MarketPlace_Order_Report[[#This Row],[SGSTAmount]]+MarketPlace_Order_Report[[#This Row],[IGSTAmount]],MarketPlace_Order_Report[[#This Row],[TaxAmount]])</f>
        <v>100</v>
      </c>
      <c r="E162" s="13">
        <f>MarketPlace_Order_Report[[#This Row],[Gross Amount (Before Tax)]]+MarketPlace_Order_Report[[#This Row],[Total GST Amount]]</f>
        <v>2200</v>
      </c>
    </row>
    <row r="163" spans="1:5">
      <c r="A163" s="14" t="s">
        <v>691</v>
      </c>
      <c r="B163" s="14" t="s">
        <v>700</v>
      </c>
      <c r="C163" s="15">
        <f>MarketPlace_Order_Report[[#This Row],[UnitPrice]]*MarketPlace_Order_Report[[#This Row],[OrderQty]]</f>
        <v>2925</v>
      </c>
      <c r="D163" s="15">
        <f>IFERROR(MarketPlace_Order_Report[[#This Row],[CGSTAmount]]+MarketPlace_Order_Report[[#This Row],[SGSTAmount]]+MarketPlace_Order_Report[[#This Row],[IGSTAmount]],MarketPlace_Order_Report[[#This Row],[TaxAmount]])</f>
        <v>313.39299999999997</v>
      </c>
      <c r="E163" s="15">
        <f>MarketPlace_Order_Report[[#This Row],[Gross Amount (Before Tax)]]+MarketPlace_Order_Report[[#This Row],[Total GST Amount]]</f>
        <v>3238.393</v>
      </c>
    </row>
    <row r="164" spans="1:5">
      <c r="A164" s="12" t="s">
        <v>678</v>
      </c>
      <c r="B164" s="12" t="s">
        <v>701</v>
      </c>
      <c r="C164" s="13">
        <f>MarketPlace_Order_Report[[#This Row],[UnitPrice]]*MarketPlace_Order_Report[[#This Row],[OrderQty]]</f>
        <v>2100</v>
      </c>
      <c r="D164" s="13">
        <f>IFERROR(MarketPlace_Order_Report[[#This Row],[CGSTAmount]]+MarketPlace_Order_Report[[#This Row],[SGSTAmount]]+MarketPlace_Order_Report[[#This Row],[IGSTAmount]],MarketPlace_Order_Report[[#This Row],[TaxAmount]])</f>
        <v>100</v>
      </c>
      <c r="E164" s="13">
        <f>MarketPlace_Order_Report[[#This Row],[Gross Amount (Before Tax)]]+MarketPlace_Order_Report[[#This Row],[Total GST Amount]]</f>
        <v>2200</v>
      </c>
    </row>
    <row r="165" spans="1:5">
      <c r="A165" s="14" t="s">
        <v>702</v>
      </c>
      <c r="B165" s="14" t="s">
        <v>704</v>
      </c>
      <c r="C165" s="15">
        <f>MarketPlace_Order_Report[[#This Row],[UnitPrice]]*MarketPlace_Order_Report[[#This Row],[OrderQty]]</f>
        <v>2550</v>
      </c>
      <c r="D165" s="15">
        <f>IFERROR(MarketPlace_Order_Report[[#This Row],[CGSTAmount]]+MarketPlace_Order_Report[[#This Row],[SGSTAmount]]+MarketPlace_Order_Report[[#This Row],[IGSTAmount]],MarketPlace_Order_Report[[#This Row],[TaxAmount]])</f>
        <v>273.214</v>
      </c>
      <c r="E165" s="15">
        <f>MarketPlace_Order_Report[[#This Row],[Gross Amount (Before Tax)]]+MarketPlace_Order_Report[[#This Row],[Total GST Amount]]</f>
        <v>2823.2139999999999</v>
      </c>
    </row>
    <row r="166" spans="1:5">
      <c r="A166" s="12" t="s">
        <v>642</v>
      </c>
      <c r="B166" s="12" t="s">
        <v>705</v>
      </c>
      <c r="C166" s="13">
        <f>MarketPlace_Order_Report[[#This Row],[UnitPrice]]*MarketPlace_Order_Report[[#This Row],[OrderQty]]</f>
        <v>2550</v>
      </c>
      <c r="D166" s="13">
        <f>IFERROR(MarketPlace_Order_Report[[#This Row],[CGSTAmount]]+MarketPlace_Order_Report[[#This Row],[SGSTAmount]]+MarketPlace_Order_Report[[#This Row],[IGSTAmount]],MarketPlace_Order_Report[[#This Row],[TaxAmount]])</f>
        <v>273.214</v>
      </c>
      <c r="E166" s="13">
        <f>MarketPlace_Order_Report[[#This Row],[Gross Amount (Before Tax)]]+MarketPlace_Order_Report[[#This Row],[Total GST Amount]]</f>
        <v>2823.2139999999999</v>
      </c>
    </row>
    <row r="167" spans="1:5">
      <c r="A167" s="14" t="s">
        <v>706</v>
      </c>
      <c r="B167" s="14" t="s">
        <v>708</v>
      </c>
      <c r="C167" s="15">
        <f>MarketPlace_Order_Report[[#This Row],[UnitPrice]]*MarketPlace_Order_Report[[#This Row],[OrderQty]]</f>
        <v>2550</v>
      </c>
      <c r="D167" s="15">
        <f>IFERROR(MarketPlace_Order_Report[[#This Row],[CGSTAmount]]+MarketPlace_Order_Report[[#This Row],[SGSTAmount]]+MarketPlace_Order_Report[[#This Row],[IGSTAmount]],MarketPlace_Order_Report[[#This Row],[TaxAmount]])</f>
        <v>273.214</v>
      </c>
      <c r="E167" s="15">
        <f>MarketPlace_Order_Report[[#This Row],[Gross Amount (Before Tax)]]+MarketPlace_Order_Report[[#This Row],[Total GST Amount]]</f>
        <v>2823.2139999999999</v>
      </c>
    </row>
    <row r="168" spans="1:5">
      <c r="A168" s="12" t="s">
        <v>709</v>
      </c>
      <c r="B168" s="12" t="s">
        <v>712</v>
      </c>
      <c r="C168" s="13">
        <f>MarketPlace_Order_Report[[#This Row],[UnitPrice]]*MarketPlace_Order_Report[[#This Row],[OrderQty]]</f>
        <v>2550</v>
      </c>
      <c r="D168" s="13">
        <f>IFERROR(MarketPlace_Order_Report[[#This Row],[CGSTAmount]]+MarketPlace_Order_Report[[#This Row],[SGSTAmount]]+MarketPlace_Order_Report[[#This Row],[IGSTAmount]],MarketPlace_Order_Report[[#This Row],[TaxAmount]])</f>
        <v>273.214</v>
      </c>
      <c r="E168" s="13">
        <f>MarketPlace_Order_Report[[#This Row],[Gross Amount (Before Tax)]]+MarketPlace_Order_Report[[#This Row],[Total GST Amount]]</f>
        <v>2823.2139999999999</v>
      </c>
    </row>
    <row r="169" spans="1:5">
      <c r="A169" s="14" t="s">
        <v>713</v>
      </c>
      <c r="B169" s="14" t="s">
        <v>716</v>
      </c>
      <c r="C169" s="15">
        <f>MarketPlace_Order_Report[[#This Row],[UnitPrice]]*MarketPlace_Order_Report[[#This Row],[OrderQty]]</f>
        <v>2100</v>
      </c>
      <c r="D169" s="15">
        <f>IFERROR(MarketPlace_Order_Report[[#This Row],[CGSTAmount]]+MarketPlace_Order_Report[[#This Row],[SGSTAmount]]+MarketPlace_Order_Report[[#This Row],[IGSTAmount]],MarketPlace_Order_Report[[#This Row],[TaxAmount]])</f>
        <v>100</v>
      </c>
      <c r="E169" s="15">
        <f>MarketPlace_Order_Report[[#This Row],[Gross Amount (Before Tax)]]+MarketPlace_Order_Report[[#This Row],[Total GST Amount]]</f>
        <v>2200</v>
      </c>
    </row>
    <row r="170" spans="1:5">
      <c r="A170" s="12" t="s">
        <v>718</v>
      </c>
      <c r="B170" s="12" t="s">
        <v>721</v>
      </c>
      <c r="C170" s="13">
        <f>MarketPlace_Order_Report[[#This Row],[UnitPrice]]*MarketPlace_Order_Report[[#This Row],[OrderQty]]</f>
        <v>2763</v>
      </c>
      <c r="D170" s="13">
        <f>IFERROR(MarketPlace_Order_Report[[#This Row],[CGSTAmount]]+MarketPlace_Order_Report[[#This Row],[SGSTAmount]]+MarketPlace_Order_Report[[#This Row],[IGSTAmount]],MarketPlace_Order_Report[[#This Row],[TaxAmount]])</f>
        <v>296.036</v>
      </c>
      <c r="E170" s="13">
        <f>MarketPlace_Order_Report[[#This Row],[Gross Amount (Before Tax)]]+MarketPlace_Order_Report[[#This Row],[Total GST Amount]]</f>
        <v>3059.0360000000001</v>
      </c>
    </row>
    <row r="171" spans="1:5">
      <c r="A171" s="14" t="s">
        <v>722</v>
      </c>
      <c r="B171" s="14" t="s">
        <v>724</v>
      </c>
      <c r="C171" s="15">
        <f>MarketPlace_Order_Report[[#This Row],[UnitPrice]]*MarketPlace_Order_Report[[#This Row],[OrderQty]]</f>
        <v>2275</v>
      </c>
      <c r="D171" s="15">
        <f>IFERROR(MarketPlace_Order_Report[[#This Row],[CGSTAmount]]+MarketPlace_Order_Report[[#This Row],[SGSTAmount]]+MarketPlace_Order_Report[[#This Row],[IGSTAmount]],MarketPlace_Order_Report[[#This Row],[TaxAmount]])</f>
        <v>243.75</v>
      </c>
      <c r="E171" s="15">
        <f>MarketPlace_Order_Report[[#This Row],[Gross Amount (Before Tax)]]+MarketPlace_Order_Report[[#This Row],[Total GST Amount]]</f>
        <v>2518.75</v>
      </c>
    </row>
    <row r="172" spans="1:5">
      <c r="A172" s="12" t="s">
        <v>725</v>
      </c>
      <c r="B172" s="12" t="s">
        <v>728</v>
      </c>
      <c r="C172" s="13">
        <f>MarketPlace_Order_Report[[#This Row],[UnitPrice]]*MarketPlace_Order_Report[[#This Row],[OrderQty]]</f>
        <v>2275</v>
      </c>
      <c r="D172" s="13">
        <f>IFERROR(MarketPlace_Order_Report[[#This Row],[CGSTAmount]]+MarketPlace_Order_Report[[#This Row],[SGSTAmount]]+MarketPlace_Order_Report[[#This Row],[IGSTAmount]],MarketPlace_Order_Report[[#This Row],[TaxAmount]])</f>
        <v>243.75</v>
      </c>
      <c r="E172" s="13">
        <f>MarketPlace_Order_Report[[#This Row],[Gross Amount (Before Tax)]]+MarketPlace_Order_Report[[#This Row],[Total GST Amount]]</f>
        <v>2518.75</v>
      </c>
    </row>
    <row r="173" spans="1:5">
      <c r="A173" s="14" t="s">
        <v>729</v>
      </c>
      <c r="B173" s="14" t="s">
        <v>732</v>
      </c>
      <c r="C173" s="15">
        <f>MarketPlace_Order_Report[[#This Row],[UnitPrice]]*MarketPlace_Order_Report[[#This Row],[OrderQty]]</f>
        <v>2275</v>
      </c>
      <c r="D173" s="15">
        <f>IFERROR(MarketPlace_Order_Report[[#This Row],[CGSTAmount]]+MarketPlace_Order_Report[[#This Row],[SGSTAmount]]+MarketPlace_Order_Report[[#This Row],[IGSTAmount]],MarketPlace_Order_Report[[#This Row],[TaxAmount]])</f>
        <v>243.75</v>
      </c>
      <c r="E173" s="15">
        <f>MarketPlace_Order_Report[[#This Row],[Gross Amount (Before Tax)]]+MarketPlace_Order_Report[[#This Row],[Total GST Amount]]</f>
        <v>2518.75</v>
      </c>
    </row>
    <row r="174" spans="1:5">
      <c r="A174" s="12" t="s">
        <v>734</v>
      </c>
      <c r="B174" s="12" t="s">
        <v>736</v>
      </c>
      <c r="C174" s="13">
        <f>MarketPlace_Order_Report[[#This Row],[UnitPrice]]*MarketPlace_Order_Report[[#This Row],[OrderQty]]</f>
        <v>2100</v>
      </c>
      <c r="D174" s="13">
        <f>IFERROR(MarketPlace_Order_Report[[#This Row],[CGSTAmount]]+MarketPlace_Order_Report[[#This Row],[SGSTAmount]]+MarketPlace_Order_Report[[#This Row],[IGSTAmount]],MarketPlace_Order_Report[[#This Row],[TaxAmount]])</f>
        <v>100</v>
      </c>
      <c r="E174" s="13">
        <f>MarketPlace_Order_Report[[#This Row],[Gross Amount (Before Tax)]]+MarketPlace_Order_Report[[#This Row],[Total GST Amount]]</f>
        <v>2200</v>
      </c>
    </row>
    <row r="175" spans="1:5">
      <c r="A175" s="14" t="s">
        <v>678</v>
      </c>
      <c r="B175" s="14" t="s">
        <v>738</v>
      </c>
      <c r="C175" s="15">
        <f>MarketPlace_Order_Report[[#This Row],[UnitPrice]]*MarketPlace_Order_Report[[#This Row],[OrderQty]]</f>
        <v>2100</v>
      </c>
      <c r="D175" s="15">
        <f>IFERROR(MarketPlace_Order_Report[[#This Row],[CGSTAmount]]+MarketPlace_Order_Report[[#This Row],[SGSTAmount]]+MarketPlace_Order_Report[[#This Row],[IGSTAmount]],MarketPlace_Order_Report[[#This Row],[TaxAmount]])</f>
        <v>100</v>
      </c>
      <c r="E175" s="15">
        <f>MarketPlace_Order_Report[[#This Row],[Gross Amount (Before Tax)]]+MarketPlace_Order_Report[[#This Row],[Total GST Amount]]</f>
        <v>2200</v>
      </c>
    </row>
    <row r="176" spans="1:5">
      <c r="A176" s="12" t="s">
        <v>739</v>
      </c>
      <c r="B176" s="12" t="s">
        <v>741</v>
      </c>
      <c r="C176" s="13">
        <f>MarketPlace_Order_Report[[#This Row],[UnitPrice]]*MarketPlace_Order_Report[[#This Row],[OrderQty]]</f>
        <v>2380</v>
      </c>
      <c r="D176" s="13">
        <f>IFERROR(MarketPlace_Order_Report[[#This Row],[CGSTAmount]]+MarketPlace_Order_Report[[#This Row],[SGSTAmount]]+MarketPlace_Order_Report[[#This Row],[IGSTAmount]],MarketPlace_Order_Report[[#This Row],[TaxAmount]])</f>
        <v>255</v>
      </c>
      <c r="E176" s="13">
        <f>MarketPlace_Order_Report[[#This Row],[Gross Amount (Before Tax)]]+MarketPlace_Order_Report[[#This Row],[Total GST Amount]]</f>
        <v>2635</v>
      </c>
    </row>
    <row r="177" spans="1:5">
      <c r="A177" s="14" t="s">
        <v>743</v>
      </c>
      <c r="B177" s="14" t="s">
        <v>745</v>
      </c>
      <c r="C177" s="15">
        <f>MarketPlace_Order_Report[[#This Row],[UnitPrice]]*MarketPlace_Order_Report[[#This Row],[OrderQty]]</f>
        <v>2240</v>
      </c>
      <c r="D177" s="15">
        <f>IFERROR(MarketPlace_Order_Report[[#This Row],[CGSTAmount]]+MarketPlace_Order_Report[[#This Row],[SGSTAmount]]+MarketPlace_Order_Report[[#This Row],[IGSTAmount]],MarketPlace_Order_Report[[#This Row],[TaxAmount]])</f>
        <v>106.667</v>
      </c>
      <c r="E177" s="15">
        <f>MarketPlace_Order_Report[[#This Row],[Gross Amount (Before Tax)]]+MarketPlace_Order_Report[[#This Row],[Total GST Amount]]</f>
        <v>2346.6669999999999</v>
      </c>
    </row>
    <row r="178" spans="1:5">
      <c r="A178" s="12" t="s">
        <v>747</v>
      </c>
      <c r="B178" s="12" t="s">
        <v>750</v>
      </c>
      <c r="C178" s="13">
        <f>MarketPlace_Order_Report[[#This Row],[UnitPrice]]*MarketPlace_Order_Report[[#This Row],[OrderQty]]</f>
        <v>2380</v>
      </c>
      <c r="D178" s="13">
        <f>IFERROR(MarketPlace_Order_Report[[#This Row],[CGSTAmount]]+MarketPlace_Order_Report[[#This Row],[SGSTAmount]]+MarketPlace_Order_Report[[#This Row],[IGSTAmount]],MarketPlace_Order_Report[[#This Row],[TaxAmount]])</f>
        <v>255</v>
      </c>
      <c r="E178" s="13">
        <f>MarketPlace_Order_Report[[#This Row],[Gross Amount (Before Tax)]]+MarketPlace_Order_Report[[#This Row],[Total GST Amount]]</f>
        <v>2635</v>
      </c>
    </row>
    <row r="179" spans="1:5">
      <c r="A179" s="14" t="s">
        <v>752</v>
      </c>
      <c r="B179" s="14" t="s">
        <v>754</v>
      </c>
      <c r="C179" s="15">
        <f>MarketPlace_Order_Report[[#This Row],[UnitPrice]]*MarketPlace_Order_Report[[#This Row],[OrderQty]]</f>
        <v>2380</v>
      </c>
      <c r="D179" s="15">
        <f>IFERROR(MarketPlace_Order_Report[[#This Row],[CGSTAmount]]+MarketPlace_Order_Report[[#This Row],[SGSTAmount]]+MarketPlace_Order_Report[[#This Row],[IGSTAmount]],MarketPlace_Order_Report[[#This Row],[TaxAmount]])</f>
        <v>255</v>
      </c>
      <c r="E179" s="15">
        <f>MarketPlace_Order_Report[[#This Row],[Gross Amount (Before Tax)]]+MarketPlace_Order_Report[[#This Row],[Total GST Amount]]</f>
        <v>2635</v>
      </c>
    </row>
    <row r="180" spans="1:5">
      <c r="A180" s="12" t="s">
        <v>755</v>
      </c>
      <c r="B180" s="12" t="s">
        <v>758</v>
      </c>
      <c r="C180" s="13">
        <f>MarketPlace_Order_Report[[#This Row],[UnitPrice]]*MarketPlace_Order_Report[[#This Row],[OrderQty]]</f>
        <v>2240</v>
      </c>
      <c r="D180" s="13">
        <f>IFERROR(MarketPlace_Order_Report[[#This Row],[CGSTAmount]]+MarketPlace_Order_Report[[#This Row],[SGSTAmount]]+MarketPlace_Order_Report[[#This Row],[IGSTAmount]],MarketPlace_Order_Report[[#This Row],[TaxAmount]])</f>
        <v>106.66800000000001</v>
      </c>
      <c r="E180" s="13">
        <f>MarketPlace_Order_Report[[#This Row],[Gross Amount (Before Tax)]]+MarketPlace_Order_Report[[#This Row],[Total GST Amount]]</f>
        <v>2346.6680000000001</v>
      </c>
    </row>
    <row r="181" spans="1:5">
      <c r="A181" s="14" t="s">
        <v>759</v>
      </c>
      <c r="B181" s="14" t="s">
        <v>761</v>
      </c>
      <c r="C181" s="15">
        <f>MarketPlace_Order_Report[[#This Row],[UnitPrice]]*MarketPlace_Order_Report[[#This Row],[OrderQty]]</f>
        <v>2200</v>
      </c>
      <c r="D181" s="15">
        <f>IFERROR(MarketPlace_Order_Report[[#This Row],[CGSTAmount]]+MarketPlace_Order_Report[[#This Row],[SGSTAmount]]+MarketPlace_Order_Report[[#This Row],[IGSTAmount]],MarketPlace_Order_Report[[#This Row],[TaxAmount]])</f>
        <v>104.762</v>
      </c>
      <c r="E181" s="15">
        <f>MarketPlace_Order_Report[[#This Row],[Gross Amount (Before Tax)]]+MarketPlace_Order_Report[[#This Row],[Total GST Amount]]</f>
        <v>2304.7620000000002</v>
      </c>
    </row>
    <row r="182" spans="1:5">
      <c r="A182" s="12" t="s">
        <v>762</v>
      </c>
      <c r="B182" s="12" t="s">
        <v>764</v>
      </c>
      <c r="C182" s="13">
        <f>MarketPlace_Order_Report[[#This Row],[UnitPrice]]*MarketPlace_Order_Report[[#This Row],[OrderQty]]</f>
        <v>2100</v>
      </c>
      <c r="D182" s="13">
        <f>IFERROR(MarketPlace_Order_Report[[#This Row],[CGSTAmount]]+MarketPlace_Order_Report[[#This Row],[SGSTAmount]]+MarketPlace_Order_Report[[#This Row],[IGSTAmount]],MarketPlace_Order_Report[[#This Row],[TaxAmount]])</f>
        <v>100</v>
      </c>
      <c r="E182" s="13">
        <f>MarketPlace_Order_Report[[#This Row],[Gross Amount (Before Tax)]]+MarketPlace_Order_Report[[#This Row],[Total GST Amount]]</f>
        <v>2200</v>
      </c>
    </row>
    <row r="183" spans="1:5">
      <c r="A183" s="14" t="s">
        <v>765</v>
      </c>
      <c r="B183" s="14" t="s">
        <v>767</v>
      </c>
      <c r="C183" s="15">
        <f>MarketPlace_Order_Report[[#This Row],[UnitPrice]]*MarketPlace_Order_Report[[#This Row],[OrderQty]]</f>
        <v>2550</v>
      </c>
      <c r="D183" s="15">
        <f>IFERROR(MarketPlace_Order_Report[[#This Row],[CGSTAmount]]+MarketPlace_Order_Report[[#This Row],[SGSTAmount]]+MarketPlace_Order_Report[[#This Row],[IGSTAmount]],MarketPlace_Order_Report[[#This Row],[TaxAmount]])</f>
        <v>273.214</v>
      </c>
      <c r="E183" s="15">
        <f>MarketPlace_Order_Report[[#This Row],[Gross Amount (Before Tax)]]+MarketPlace_Order_Report[[#This Row],[Total GST Amount]]</f>
        <v>2823.2139999999999</v>
      </c>
    </row>
    <row r="184" spans="1:5">
      <c r="A184" s="12" t="s">
        <v>769</v>
      </c>
      <c r="B184" s="12" t="s">
        <v>771</v>
      </c>
      <c r="C184" s="13">
        <f>MarketPlace_Order_Report[[#This Row],[UnitPrice]]*MarketPlace_Order_Report[[#This Row],[OrderQty]]</f>
        <v>2275</v>
      </c>
      <c r="D184" s="13">
        <f>IFERROR(MarketPlace_Order_Report[[#This Row],[CGSTAmount]]+MarketPlace_Order_Report[[#This Row],[SGSTAmount]]+MarketPlace_Order_Report[[#This Row],[IGSTAmount]],MarketPlace_Order_Report[[#This Row],[TaxAmount]])</f>
        <v>108.333</v>
      </c>
      <c r="E184" s="13">
        <f>MarketPlace_Order_Report[[#This Row],[Gross Amount (Before Tax)]]+MarketPlace_Order_Report[[#This Row],[Total GST Amount]]</f>
        <v>2383.3330000000001</v>
      </c>
    </row>
    <row r="185" spans="1:5">
      <c r="A185" s="14" t="s">
        <v>773</v>
      </c>
      <c r="B185" s="14" t="s">
        <v>775</v>
      </c>
      <c r="C185" s="15">
        <f>MarketPlace_Order_Report[[#This Row],[UnitPrice]]*MarketPlace_Order_Report[[#This Row],[OrderQty]]</f>
        <v>2275</v>
      </c>
      <c r="D185" s="15">
        <f>IFERROR(MarketPlace_Order_Report[[#This Row],[CGSTAmount]]+MarketPlace_Order_Report[[#This Row],[SGSTAmount]]+MarketPlace_Order_Report[[#This Row],[IGSTAmount]],MarketPlace_Order_Report[[#This Row],[TaxAmount]])</f>
        <v>243.75</v>
      </c>
      <c r="E185" s="15">
        <f>MarketPlace_Order_Report[[#This Row],[Gross Amount (Before Tax)]]+MarketPlace_Order_Report[[#This Row],[Total GST Amount]]</f>
        <v>2518.75</v>
      </c>
    </row>
    <row r="186" spans="1:5">
      <c r="A186" s="12" t="s">
        <v>777</v>
      </c>
      <c r="B186" s="12" t="s">
        <v>780</v>
      </c>
      <c r="C186" s="13">
        <f>MarketPlace_Order_Report[[#This Row],[UnitPrice]]*MarketPlace_Order_Report[[#This Row],[OrderQty]]</f>
        <v>2763</v>
      </c>
      <c r="D186" s="13">
        <f>IFERROR(MarketPlace_Order_Report[[#This Row],[CGSTAmount]]+MarketPlace_Order_Report[[#This Row],[SGSTAmount]]+MarketPlace_Order_Report[[#This Row],[IGSTAmount]],MarketPlace_Order_Report[[#This Row],[TaxAmount]])</f>
        <v>296.036</v>
      </c>
      <c r="E186" s="13">
        <f>MarketPlace_Order_Report[[#This Row],[Gross Amount (Before Tax)]]+MarketPlace_Order_Report[[#This Row],[Total GST Amount]]</f>
        <v>3059.0360000000001</v>
      </c>
    </row>
    <row r="187" spans="1:5">
      <c r="A187" s="14" t="s">
        <v>781</v>
      </c>
      <c r="B187" s="14" t="s">
        <v>783</v>
      </c>
      <c r="C187" s="15">
        <f>MarketPlace_Order_Report[[#This Row],[UnitPrice]]*MarketPlace_Order_Report[[#This Row],[OrderQty]]</f>
        <v>2763</v>
      </c>
      <c r="D187" s="15">
        <f>IFERROR(MarketPlace_Order_Report[[#This Row],[CGSTAmount]]+MarketPlace_Order_Report[[#This Row],[SGSTAmount]]+MarketPlace_Order_Report[[#This Row],[IGSTAmount]],MarketPlace_Order_Report[[#This Row],[TaxAmount]])</f>
        <v>296.036</v>
      </c>
      <c r="E187" s="15">
        <f>MarketPlace_Order_Report[[#This Row],[Gross Amount (Before Tax)]]+MarketPlace_Order_Report[[#This Row],[Total GST Amount]]</f>
        <v>3059.0360000000001</v>
      </c>
    </row>
    <row r="188" spans="1:5">
      <c r="A188" s="12" t="s">
        <v>762</v>
      </c>
      <c r="B188" s="12" t="s">
        <v>785</v>
      </c>
      <c r="C188" s="13">
        <f>MarketPlace_Order_Report[[#This Row],[UnitPrice]]*MarketPlace_Order_Report[[#This Row],[OrderQty]]</f>
        <v>2200</v>
      </c>
      <c r="D188" s="13">
        <f>IFERROR(MarketPlace_Order_Report[[#This Row],[CGSTAmount]]+MarketPlace_Order_Report[[#This Row],[SGSTAmount]]+MarketPlace_Order_Report[[#This Row],[IGSTAmount]],MarketPlace_Order_Report[[#This Row],[TaxAmount]])</f>
        <v>104.762</v>
      </c>
      <c r="E188" s="13">
        <f>MarketPlace_Order_Report[[#This Row],[Gross Amount (Before Tax)]]+MarketPlace_Order_Report[[#This Row],[Total GST Amount]]</f>
        <v>2304.7620000000002</v>
      </c>
    </row>
    <row r="189" spans="1:5">
      <c r="A189" s="14" t="s">
        <v>786</v>
      </c>
      <c r="B189" s="14" t="s">
        <v>788</v>
      </c>
      <c r="C189" s="15">
        <f>MarketPlace_Order_Report[[#This Row],[UnitPrice]]*MarketPlace_Order_Report[[#This Row],[OrderQty]]</f>
        <v>3375</v>
      </c>
      <c r="D189" s="15">
        <f>IFERROR(MarketPlace_Order_Report[[#This Row],[CGSTAmount]]+MarketPlace_Order_Report[[#This Row],[SGSTAmount]]+MarketPlace_Order_Report[[#This Row],[IGSTAmount]],MarketPlace_Order_Report[[#This Row],[TaxAmount]])</f>
        <v>361.60700000000003</v>
      </c>
      <c r="E189" s="15">
        <f>MarketPlace_Order_Report[[#This Row],[Gross Amount (Before Tax)]]+MarketPlace_Order_Report[[#This Row],[Total GST Amount]]</f>
        <v>3736.607</v>
      </c>
    </row>
    <row r="190" spans="1:5">
      <c r="A190" s="12" t="s">
        <v>790</v>
      </c>
      <c r="B190" s="12" t="s">
        <v>792</v>
      </c>
      <c r="C190" s="13">
        <f>MarketPlace_Order_Report[[#This Row],[UnitPrice]]*MarketPlace_Order_Report[[#This Row],[OrderQty]]</f>
        <v>4050</v>
      </c>
      <c r="D190" s="13">
        <f>IFERROR(MarketPlace_Order_Report[[#This Row],[CGSTAmount]]+MarketPlace_Order_Report[[#This Row],[SGSTAmount]]+MarketPlace_Order_Report[[#This Row],[IGSTAmount]],MarketPlace_Order_Report[[#This Row],[TaxAmount]])</f>
        <v>433.92899999999997</v>
      </c>
      <c r="E190" s="13">
        <f>MarketPlace_Order_Report[[#This Row],[Gross Amount (Before Tax)]]+MarketPlace_Order_Report[[#This Row],[Total GST Amount]]</f>
        <v>4483.9290000000001</v>
      </c>
    </row>
    <row r="191" spans="1:5">
      <c r="A191" s="14" t="s">
        <v>146</v>
      </c>
      <c r="B191" s="14" t="s">
        <v>793</v>
      </c>
      <c r="C191" s="15">
        <f>MarketPlace_Order_Report[[#This Row],[UnitPrice]]*MarketPlace_Order_Report[[#This Row],[OrderQty]]</f>
        <v>2625</v>
      </c>
      <c r="D191" s="15">
        <f>IFERROR(MarketPlace_Order_Report[[#This Row],[CGSTAmount]]+MarketPlace_Order_Report[[#This Row],[SGSTAmount]]+MarketPlace_Order_Report[[#This Row],[IGSTAmount]],MarketPlace_Order_Report[[#This Row],[TaxAmount]])</f>
        <v>281.25</v>
      </c>
      <c r="E191" s="15">
        <f>MarketPlace_Order_Report[[#This Row],[Gross Amount (Before Tax)]]+MarketPlace_Order_Report[[#This Row],[Total GST Amount]]</f>
        <v>2906.25</v>
      </c>
    </row>
    <row r="192" spans="1:5">
      <c r="A192" s="12" t="s">
        <v>794</v>
      </c>
      <c r="B192" s="12" t="s">
        <v>796</v>
      </c>
      <c r="C192" s="13">
        <f>MarketPlace_Order_Report[[#This Row],[UnitPrice]]*MarketPlace_Order_Report[[#This Row],[OrderQty]]</f>
        <v>4950</v>
      </c>
      <c r="D192" s="13">
        <f>IFERROR(MarketPlace_Order_Report[[#This Row],[CGSTAmount]]+MarketPlace_Order_Report[[#This Row],[SGSTAmount]]+MarketPlace_Order_Report[[#This Row],[IGSTAmount]],MarketPlace_Order_Report[[#This Row],[TaxAmount]])</f>
        <v>755.08500000000004</v>
      </c>
      <c r="E192" s="13">
        <f>MarketPlace_Order_Report[[#This Row],[Gross Amount (Before Tax)]]+MarketPlace_Order_Report[[#This Row],[Total GST Amount]]</f>
        <v>5705.085</v>
      </c>
    </row>
    <row r="193" spans="1:5">
      <c r="A193" s="14" t="s">
        <v>797</v>
      </c>
      <c r="B193" s="14" t="s">
        <v>799</v>
      </c>
      <c r="C193" s="15">
        <f>MarketPlace_Order_Report[[#This Row],[UnitPrice]]*MarketPlace_Order_Report[[#This Row],[OrderQty]]</f>
        <v>4125</v>
      </c>
      <c r="D193" s="15">
        <f>IFERROR(MarketPlace_Order_Report[[#This Row],[CGSTAmount]]+MarketPlace_Order_Report[[#This Row],[SGSTAmount]]+MarketPlace_Order_Report[[#This Row],[IGSTAmount]],MarketPlace_Order_Report[[#This Row],[TaxAmount]])</f>
        <v>441.964</v>
      </c>
      <c r="E193" s="15">
        <f>MarketPlace_Order_Report[[#This Row],[Gross Amount (Before Tax)]]+MarketPlace_Order_Report[[#This Row],[Total GST Amount]]</f>
        <v>4566.9639999999999</v>
      </c>
    </row>
    <row r="194" spans="1:5">
      <c r="A194" s="12" t="s">
        <v>146</v>
      </c>
      <c r="B194" s="12" t="s">
        <v>801</v>
      </c>
      <c r="C194" s="13">
        <f>MarketPlace_Order_Report[[#This Row],[UnitPrice]]*MarketPlace_Order_Report[[#This Row],[OrderQty]]</f>
        <v>4675</v>
      </c>
      <c r="D194" s="13">
        <f>IFERROR(MarketPlace_Order_Report[[#This Row],[CGSTAmount]]+MarketPlace_Order_Report[[#This Row],[SGSTAmount]]+MarketPlace_Order_Report[[#This Row],[IGSTAmount]],MarketPlace_Order_Report[[#This Row],[TaxAmount]])</f>
        <v>500.89299999999997</v>
      </c>
      <c r="E194" s="13">
        <f>MarketPlace_Order_Report[[#This Row],[Gross Amount (Before Tax)]]+MarketPlace_Order_Report[[#This Row],[Total GST Amount]]</f>
        <v>5175.893</v>
      </c>
    </row>
    <row r="195" spans="1:5">
      <c r="A195" s="14" t="s">
        <v>802</v>
      </c>
      <c r="B195" s="14" t="s">
        <v>804</v>
      </c>
      <c r="C195" s="15">
        <f>MarketPlace_Order_Report[[#This Row],[UnitPrice]]*MarketPlace_Order_Report[[#This Row],[OrderQty]]</f>
        <v>4950</v>
      </c>
      <c r="D195" s="15">
        <f>IFERROR(MarketPlace_Order_Report[[#This Row],[CGSTAmount]]+MarketPlace_Order_Report[[#This Row],[SGSTAmount]]+MarketPlace_Order_Report[[#This Row],[IGSTAmount]],MarketPlace_Order_Report[[#This Row],[TaxAmount]])</f>
        <v>755.08500000000004</v>
      </c>
      <c r="E195" s="15">
        <f>MarketPlace_Order_Report[[#This Row],[Gross Amount (Before Tax)]]+MarketPlace_Order_Report[[#This Row],[Total GST Amount]]</f>
        <v>5705.085</v>
      </c>
    </row>
    <row r="196" spans="1:5">
      <c r="A196" s="12" t="s">
        <v>805</v>
      </c>
      <c r="B196" s="12" t="s">
        <v>807</v>
      </c>
      <c r="C196" s="13">
        <f>MarketPlace_Order_Report[[#This Row],[UnitPrice]]*MarketPlace_Order_Report[[#This Row],[OrderQty]]</f>
        <v>4500</v>
      </c>
      <c r="D196" s="13">
        <f>IFERROR(MarketPlace_Order_Report[[#This Row],[CGSTAmount]]+MarketPlace_Order_Report[[#This Row],[SGSTAmount]]+MarketPlace_Order_Report[[#This Row],[IGSTAmount]],MarketPlace_Order_Report[[#This Row],[TaxAmount]])</f>
        <v>482.14299999999997</v>
      </c>
      <c r="E196" s="13">
        <f>MarketPlace_Order_Report[[#This Row],[Gross Amount (Before Tax)]]+MarketPlace_Order_Report[[#This Row],[Total GST Amount]]</f>
        <v>4982.143</v>
      </c>
    </row>
    <row r="197" spans="1:5">
      <c r="A197" s="14" t="s">
        <v>808</v>
      </c>
      <c r="B197" s="14" t="s">
        <v>810</v>
      </c>
      <c r="C197" s="15">
        <f>MarketPlace_Order_Report[[#This Row],[UnitPrice]]*MarketPlace_Order_Report[[#This Row],[OrderQty]]</f>
        <v>3750</v>
      </c>
      <c r="D197" s="15">
        <f>IFERROR(MarketPlace_Order_Report[[#This Row],[CGSTAmount]]+MarketPlace_Order_Report[[#This Row],[SGSTAmount]]+MarketPlace_Order_Report[[#This Row],[IGSTAmount]],MarketPlace_Order_Report[[#This Row],[TaxAmount]])</f>
        <v>401.786</v>
      </c>
      <c r="E197" s="15">
        <f>MarketPlace_Order_Report[[#This Row],[Gross Amount (Before Tax)]]+MarketPlace_Order_Report[[#This Row],[Total GST Amount]]</f>
        <v>4151.7860000000001</v>
      </c>
    </row>
    <row r="198" spans="1:5">
      <c r="A198" s="12" t="s">
        <v>811</v>
      </c>
      <c r="B198" s="12" t="s">
        <v>810</v>
      </c>
      <c r="C198" s="13">
        <f>MarketPlace_Order_Report[[#This Row],[UnitPrice]]*MarketPlace_Order_Report[[#This Row],[OrderQty]]</f>
        <v>3750</v>
      </c>
      <c r="D198" s="13">
        <f>IFERROR(MarketPlace_Order_Report[[#This Row],[CGSTAmount]]+MarketPlace_Order_Report[[#This Row],[SGSTAmount]]+MarketPlace_Order_Report[[#This Row],[IGSTAmount]],MarketPlace_Order_Report[[#This Row],[TaxAmount]])</f>
        <v>401.786</v>
      </c>
      <c r="E198" s="13">
        <f>MarketPlace_Order_Report[[#This Row],[Gross Amount (Before Tax)]]+MarketPlace_Order_Report[[#This Row],[Total GST Amount]]</f>
        <v>4151.7860000000001</v>
      </c>
    </row>
    <row r="199" spans="1:5">
      <c r="A199" s="14" t="s">
        <v>814</v>
      </c>
      <c r="B199" s="14" t="s">
        <v>817</v>
      </c>
      <c r="C199" s="15">
        <f>MarketPlace_Order_Report[[#This Row],[UnitPrice]]*MarketPlace_Order_Report[[#This Row],[OrderQty]]</f>
        <v>4500</v>
      </c>
      <c r="D199" s="15">
        <f>IFERROR(MarketPlace_Order_Report[[#This Row],[CGSTAmount]]+MarketPlace_Order_Report[[#This Row],[SGSTAmount]]+MarketPlace_Order_Report[[#This Row],[IGSTAmount]],MarketPlace_Order_Report[[#This Row],[TaxAmount]])</f>
        <v>686.44100000000003</v>
      </c>
      <c r="E199" s="15">
        <f>MarketPlace_Order_Report[[#This Row],[Gross Amount (Before Tax)]]+MarketPlace_Order_Report[[#This Row],[Total GST Amount]]</f>
        <v>5186.4409999999998</v>
      </c>
    </row>
    <row r="200" spans="1:5">
      <c r="A200" s="12" t="s">
        <v>818</v>
      </c>
      <c r="B200" s="12" t="s">
        <v>817</v>
      </c>
      <c r="C200" s="13">
        <f>MarketPlace_Order_Report[[#This Row],[UnitPrice]]*MarketPlace_Order_Report[[#This Row],[OrderQty]]</f>
        <v>4500</v>
      </c>
      <c r="D200" s="13">
        <f>IFERROR(MarketPlace_Order_Report[[#This Row],[CGSTAmount]]+MarketPlace_Order_Report[[#This Row],[SGSTAmount]]+MarketPlace_Order_Report[[#This Row],[IGSTAmount]],MarketPlace_Order_Report[[#This Row],[TaxAmount]])</f>
        <v>686.44100000000003</v>
      </c>
      <c r="E200" s="13">
        <f>MarketPlace_Order_Report[[#This Row],[Gross Amount (Before Tax)]]+MarketPlace_Order_Report[[#This Row],[Total GST Amount]]</f>
        <v>5186.4409999999998</v>
      </c>
    </row>
    <row r="201" spans="1:5">
      <c r="A201" s="14" t="s">
        <v>820</v>
      </c>
      <c r="B201" s="14" t="s">
        <v>822</v>
      </c>
      <c r="C201" s="15">
        <f>MarketPlace_Order_Report[[#This Row],[UnitPrice]]*MarketPlace_Order_Report[[#This Row],[OrderQty]]</f>
        <v>5400</v>
      </c>
      <c r="D201" s="15">
        <f>IFERROR(MarketPlace_Order_Report[[#This Row],[CGSTAmount]]+MarketPlace_Order_Report[[#This Row],[SGSTAmount]]+MarketPlace_Order_Report[[#This Row],[IGSTAmount]],MarketPlace_Order_Report[[#This Row],[TaxAmount]])</f>
        <v>823.72900000000004</v>
      </c>
      <c r="E201" s="15">
        <f>MarketPlace_Order_Report[[#This Row],[Gross Amount (Before Tax)]]+MarketPlace_Order_Report[[#This Row],[Total GST Amount]]</f>
        <v>6223.7290000000003</v>
      </c>
    </row>
    <row r="202" spans="1:5">
      <c r="A202" s="12" t="s">
        <v>786</v>
      </c>
      <c r="B202" s="12" t="s">
        <v>824</v>
      </c>
      <c r="C202" s="13">
        <f>MarketPlace_Order_Report[[#This Row],[UnitPrice]]*MarketPlace_Order_Report[[#This Row],[OrderQty]]</f>
        <v>5100</v>
      </c>
      <c r="D202" s="13">
        <f>IFERROR(MarketPlace_Order_Report[[#This Row],[CGSTAmount]]+MarketPlace_Order_Report[[#This Row],[SGSTAmount]]+MarketPlace_Order_Report[[#This Row],[IGSTAmount]],MarketPlace_Order_Report[[#This Row],[TaxAmount]])</f>
        <v>546.42899999999997</v>
      </c>
      <c r="E202" s="13">
        <f>MarketPlace_Order_Report[[#This Row],[Gross Amount (Before Tax)]]+MarketPlace_Order_Report[[#This Row],[Total GST Amount]]</f>
        <v>5646.4290000000001</v>
      </c>
    </row>
    <row r="203" spans="1:5">
      <c r="A203" s="14" t="s">
        <v>825</v>
      </c>
      <c r="B203" s="14" t="s">
        <v>827</v>
      </c>
      <c r="C203" s="15">
        <f>MarketPlace_Order_Report[[#This Row],[UnitPrice]]*MarketPlace_Order_Report[[#This Row],[OrderQty]]</f>
        <v>4950</v>
      </c>
      <c r="D203" s="15">
        <f>IFERROR(MarketPlace_Order_Report[[#This Row],[CGSTAmount]]+MarketPlace_Order_Report[[#This Row],[SGSTAmount]]+MarketPlace_Order_Report[[#This Row],[IGSTAmount]],MarketPlace_Order_Report[[#This Row],[TaxAmount]])</f>
        <v>755.08500000000004</v>
      </c>
      <c r="E203" s="15">
        <f>MarketPlace_Order_Report[[#This Row],[Gross Amount (Before Tax)]]+MarketPlace_Order_Report[[#This Row],[Total GST Amount]]</f>
        <v>5705.085</v>
      </c>
    </row>
    <row r="204" spans="1:5">
      <c r="A204" s="12" t="s">
        <v>828</v>
      </c>
      <c r="B204" s="12" t="s">
        <v>830</v>
      </c>
      <c r="C204" s="13">
        <f>MarketPlace_Order_Report[[#This Row],[UnitPrice]]*MarketPlace_Order_Report[[#This Row],[OrderQty]]</f>
        <v>4675</v>
      </c>
      <c r="D204" s="13">
        <f>IFERROR(MarketPlace_Order_Report[[#This Row],[CGSTAmount]]+MarketPlace_Order_Report[[#This Row],[SGSTAmount]]+MarketPlace_Order_Report[[#This Row],[IGSTAmount]],MarketPlace_Order_Report[[#This Row],[TaxAmount]])</f>
        <v>500.89400000000001</v>
      </c>
      <c r="E204" s="13">
        <f>MarketPlace_Order_Report[[#This Row],[Gross Amount (Before Tax)]]+MarketPlace_Order_Report[[#This Row],[Total GST Amount]]</f>
        <v>5175.8940000000002</v>
      </c>
    </row>
    <row r="205" spans="1:5">
      <c r="A205" s="14" t="s">
        <v>834</v>
      </c>
      <c r="B205" s="14" t="s">
        <v>836</v>
      </c>
      <c r="C205" s="15">
        <f>MarketPlace_Order_Report[[#This Row],[UnitPrice]]*MarketPlace_Order_Report[[#This Row],[OrderQty]]</f>
        <v>5908</v>
      </c>
      <c r="D205" s="15">
        <f>IFERROR(MarketPlace_Order_Report[[#This Row],[CGSTAmount]]+MarketPlace_Order_Report[[#This Row],[SGSTAmount]]+MarketPlace_Order_Report[[#This Row],[IGSTAmount]],MarketPlace_Order_Report[[#This Row],[TaxAmount]])</f>
        <v>633</v>
      </c>
      <c r="E205" s="15">
        <f>MarketPlace_Order_Report[[#This Row],[Gross Amount (Before Tax)]]+MarketPlace_Order_Report[[#This Row],[Total GST Amount]]</f>
        <v>6541</v>
      </c>
    </row>
    <row r="206" spans="1:5">
      <c r="A206" s="12" t="s">
        <v>837</v>
      </c>
      <c r="B206" s="12" t="s">
        <v>839</v>
      </c>
      <c r="C206" s="13">
        <f>MarketPlace_Order_Report[[#This Row],[UnitPrice]]*MarketPlace_Order_Report[[#This Row],[OrderQty]]</f>
        <v>2925</v>
      </c>
      <c r="D206" s="13">
        <f>IFERROR(MarketPlace_Order_Report[[#This Row],[CGSTAmount]]+MarketPlace_Order_Report[[#This Row],[SGSTAmount]]+MarketPlace_Order_Report[[#This Row],[IGSTAmount]],MarketPlace_Order_Report[[#This Row],[TaxAmount]])</f>
        <v>446.18599999999998</v>
      </c>
      <c r="E206" s="13">
        <f>MarketPlace_Order_Report[[#This Row],[Gross Amount (Before Tax)]]+MarketPlace_Order_Report[[#This Row],[Total GST Amount]]</f>
        <v>3371.1860000000001</v>
      </c>
    </row>
    <row r="207" spans="1:5">
      <c r="A207" s="14" t="s">
        <v>841</v>
      </c>
      <c r="B207" s="14" t="s">
        <v>843</v>
      </c>
      <c r="C207" s="15">
        <f>MarketPlace_Order_Report[[#This Row],[UnitPrice]]*MarketPlace_Order_Report[[#This Row],[OrderQty]]</f>
        <v>3400</v>
      </c>
      <c r="D207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207" s="15">
        <f>MarketPlace_Order_Report[[#This Row],[Gross Amount (Before Tax)]]+MarketPlace_Order_Report[[#This Row],[Total GST Amount]]</f>
        <v>3764.2860000000001</v>
      </c>
    </row>
    <row r="208" spans="1:5">
      <c r="A208" s="12" t="s">
        <v>845</v>
      </c>
      <c r="B208" s="12" t="s">
        <v>847</v>
      </c>
      <c r="C208" s="13">
        <f>MarketPlace_Order_Report[[#This Row],[UnitPrice]]*MarketPlace_Order_Report[[#This Row],[OrderQty]]</f>
        <v>3400</v>
      </c>
      <c r="D208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208" s="13">
        <f>MarketPlace_Order_Report[[#This Row],[Gross Amount (Before Tax)]]+MarketPlace_Order_Report[[#This Row],[Total GST Amount]]</f>
        <v>3764.2860000000001</v>
      </c>
    </row>
    <row r="209" spans="1:5">
      <c r="A209" s="14" t="s">
        <v>849</v>
      </c>
      <c r="B209" s="14" t="s">
        <v>851</v>
      </c>
      <c r="C209" s="15">
        <f>MarketPlace_Order_Report[[#This Row],[UnitPrice]]*MarketPlace_Order_Report[[#This Row],[OrderQty]]</f>
        <v>3400</v>
      </c>
      <c r="D209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209" s="15">
        <f>MarketPlace_Order_Report[[#This Row],[Gross Amount (Before Tax)]]+MarketPlace_Order_Report[[#This Row],[Total GST Amount]]</f>
        <v>3764.2860000000001</v>
      </c>
    </row>
    <row r="210" spans="1:5">
      <c r="A210" s="12" t="s">
        <v>854</v>
      </c>
      <c r="B210" s="12" t="s">
        <v>856</v>
      </c>
      <c r="C210" s="13">
        <f>MarketPlace_Order_Report[[#This Row],[UnitPrice]]*MarketPlace_Order_Report[[#This Row],[OrderQty]]</f>
        <v>2975</v>
      </c>
      <c r="D210" s="13">
        <f>IFERROR(MarketPlace_Order_Report[[#This Row],[CGSTAmount]]+MarketPlace_Order_Report[[#This Row],[SGSTAmount]]+MarketPlace_Order_Report[[#This Row],[IGSTAmount]],MarketPlace_Order_Report[[#This Row],[TaxAmount]])</f>
        <v>318.75</v>
      </c>
      <c r="E210" s="13">
        <f>MarketPlace_Order_Report[[#This Row],[Gross Amount (Before Tax)]]+MarketPlace_Order_Report[[#This Row],[Total GST Amount]]</f>
        <v>3293.75</v>
      </c>
    </row>
    <row r="211" spans="1:5">
      <c r="A211" s="14" t="s">
        <v>857</v>
      </c>
      <c r="B211" s="14" t="s">
        <v>859</v>
      </c>
      <c r="C211" s="15">
        <f>MarketPlace_Order_Report[[#This Row],[UnitPrice]]*MarketPlace_Order_Report[[#This Row],[OrderQty]]</f>
        <v>3150</v>
      </c>
      <c r="D211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211" s="15">
        <f>MarketPlace_Order_Report[[#This Row],[Gross Amount (Before Tax)]]+MarketPlace_Order_Report[[#This Row],[Total GST Amount]]</f>
        <v>3630.5079999999998</v>
      </c>
    </row>
    <row r="212" spans="1:5">
      <c r="A212" s="12" t="s">
        <v>860</v>
      </c>
      <c r="B212" s="12" t="s">
        <v>859</v>
      </c>
      <c r="C212" s="13">
        <f>MarketPlace_Order_Report[[#This Row],[UnitPrice]]*MarketPlace_Order_Report[[#This Row],[OrderQty]]</f>
        <v>3150</v>
      </c>
      <c r="D212" s="13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212" s="13">
        <f>MarketPlace_Order_Report[[#This Row],[Gross Amount (Before Tax)]]+MarketPlace_Order_Report[[#This Row],[Total GST Amount]]</f>
        <v>3630.5079999999998</v>
      </c>
    </row>
    <row r="213" spans="1:5">
      <c r="A213" s="14" t="s">
        <v>863</v>
      </c>
      <c r="B213" s="14" t="s">
        <v>859</v>
      </c>
      <c r="C213" s="15">
        <f>MarketPlace_Order_Report[[#This Row],[UnitPrice]]*MarketPlace_Order_Report[[#This Row],[OrderQty]]</f>
        <v>2975</v>
      </c>
      <c r="D213" s="15">
        <f>IFERROR(MarketPlace_Order_Report[[#This Row],[CGSTAmount]]+MarketPlace_Order_Report[[#This Row],[SGSTAmount]]+MarketPlace_Order_Report[[#This Row],[IGSTAmount]],MarketPlace_Order_Report[[#This Row],[TaxAmount]])</f>
        <v>318.75</v>
      </c>
      <c r="E213" s="15">
        <f>MarketPlace_Order_Report[[#This Row],[Gross Amount (Before Tax)]]+MarketPlace_Order_Report[[#This Row],[Total GST Amount]]</f>
        <v>3293.75</v>
      </c>
    </row>
    <row r="214" spans="1:5">
      <c r="A214" s="12" t="s">
        <v>162</v>
      </c>
      <c r="B214" s="12" t="s">
        <v>867</v>
      </c>
      <c r="C214" s="13">
        <f>MarketPlace_Order_Report[[#This Row],[UnitPrice]]*MarketPlace_Order_Report[[#This Row],[OrderQty]]</f>
        <v>2975</v>
      </c>
      <c r="D214" s="13">
        <f>IFERROR(MarketPlace_Order_Report[[#This Row],[CGSTAmount]]+MarketPlace_Order_Report[[#This Row],[SGSTAmount]]+MarketPlace_Order_Report[[#This Row],[IGSTAmount]],MarketPlace_Order_Report[[#This Row],[TaxAmount]])</f>
        <v>318.75</v>
      </c>
      <c r="E214" s="13">
        <f>MarketPlace_Order_Report[[#This Row],[Gross Amount (Before Tax)]]+MarketPlace_Order_Report[[#This Row],[Total GST Amount]]</f>
        <v>3293.75</v>
      </c>
    </row>
    <row r="215" spans="1:5">
      <c r="A215" s="14" t="s">
        <v>868</v>
      </c>
      <c r="B215" s="14" t="s">
        <v>871</v>
      </c>
      <c r="C215" s="15">
        <f>MarketPlace_Order_Report[[#This Row],[UnitPrice]]*MarketPlace_Order_Report[[#This Row],[OrderQty]]</f>
        <v>3150</v>
      </c>
      <c r="D215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215" s="15">
        <f>MarketPlace_Order_Report[[#This Row],[Gross Amount (Before Tax)]]+MarketPlace_Order_Report[[#This Row],[Total GST Amount]]</f>
        <v>3630.5079999999998</v>
      </c>
    </row>
    <row r="216" spans="1:5">
      <c r="A216" s="12" t="s">
        <v>872</v>
      </c>
      <c r="B216" s="12" t="s">
        <v>871</v>
      </c>
      <c r="C216" s="13">
        <f>MarketPlace_Order_Report[[#This Row],[UnitPrice]]*MarketPlace_Order_Report[[#This Row],[OrderQty]]</f>
        <v>2975</v>
      </c>
      <c r="D216" s="13">
        <f>IFERROR(MarketPlace_Order_Report[[#This Row],[CGSTAmount]]+MarketPlace_Order_Report[[#This Row],[SGSTAmount]]+MarketPlace_Order_Report[[#This Row],[IGSTAmount]],MarketPlace_Order_Report[[#This Row],[TaxAmount]])</f>
        <v>318.75</v>
      </c>
      <c r="E216" s="13">
        <f>MarketPlace_Order_Report[[#This Row],[Gross Amount (Before Tax)]]+MarketPlace_Order_Report[[#This Row],[Total GST Amount]]</f>
        <v>3293.75</v>
      </c>
    </row>
    <row r="217" spans="1:5">
      <c r="A217" s="14" t="s">
        <v>874</v>
      </c>
      <c r="B217" s="14" t="s">
        <v>876</v>
      </c>
      <c r="C217" s="15">
        <f>MarketPlace_Order_Report[[#This Row],[UnitPrice]]*MarketPlace_Order_Report[[#This Row],[OrderQty]]</f>
        <v>2975</v>
      </c>
      <c r="D217" s="15">
        <f>IFERROR(MarketPlace_Order_Report[[#This Row],[CGSTAmount]]+MarketPlace_Order_Report[[#This Row],[SGSTAmount]]+MarketPlace_Order_Report[[#This Row],[IGSTAmount]],MarketPlace_Order_Report[[#This Row],[TaxAmount]])</f>
        <v>318.75</v>
      </c>
      <c r="E217" s="15">
        <f>MarketPlace_Order_Report[[#This Row],[Gross Amount (Before Tax)]]+MarketPlace_Order_Report[[#This Row],[Total GST Amount]]</f>
        <v>3293.75</v>
      </c>
    </row>
    <row r="218" spans="1:5">
      <c r="A218" s="12" t="s">
        <v>349</v>
      </c>
      <c r="B218" s="12" t="s">
        <v>876</v>
      </c>
      <c r="C218" s="13">
        <f>MarketPlace_Order_Report[[#This Row],[UnitPrice]]*MarketPlace_Order_Report[[#This Row],[OrderQty]]</f>
        <v>2975</v>
      </c>
      <c r="D218" s="13">
        <f>IFERROR(MarketPlace_Order_Report[[#This Row],[CGSTAmount]]+MarketPlace_Order_Report[[#This Row],[SGSTAmount]]+MarketPlace_Order_Report[[#This Row],[IGSTAmount]],MarketPlace_Order_Report[[#This Row],[TaxAmount]])</f>
        <v>318.75</v>
      </c>
      <c r="E218" s="13">
        <f>MarketPlace_Order_Report[[#This Row],[Gross Amount (Before Tax)]]+MarketPlace_Order_Report[[#This Row],[Total GST Amount]]</f>
        <v>3293.75</v>
      </c>
    </row>
    <row r="219" spans="1:5">
      <c r="A219" s="14" t="s">
        <v>877</v>
      </c>
      <c r="B219" s="14" t="s">
        <v>876</v>
      </c>
      <c r="C219" s="15">
        <f>MarketPlace_Order_Report[[#This Row],[UnitPrice]]*MarketPlace_Order_Report[[#This Row],[OrderQty]]</f>
        <v>2975</v>
      </c>
      <c r="D219" s="15">
        <f>IFERROR(MarketPlace_Order_Report[[#This Row],[CGSTAmount]]+MarketPlace_Order_Report[[#This Row],[SGSTAmount]]+MarketPlace_Order_Report[[#This Row],[IGSTAmount]],MarketPlace_Order_Report[[#This Row],[TaxAmount]])</f>
        <v>318.75</v>
      </c>
      <c r="E219" s="15">
        <f>MarketPlace_Order_Report[[#This Row],[Gross Amount (Before Tax)]]+MarketPlace_Order_Report[[#This Row],[Total GST Amount]]</f>
        <v>3293.75</v>
      </c>
    </row>
    <row r="220" spans="1:5">
      <c r="A220" s="12" t="s">
        <v>880</v>
      </c>
      <c r="B220" s="12" t="s">
        <v>882</v>
      </c>
      <c r="C220" s="13">
        <f>MarketPlace_Order_Report[[#This Row],[UnitPrice]]*MarketPlace_Order_Report[[#This Row],[OrderQty]]</f>
        <v>3150</v>
      </c>
      <c r="D220" s="13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220" s="13">
        <f>MarketPlace_Order_Report[[#This Row],[Gross Amount (Before Tax)]]+MarketPlace_Order_Report[[#This Row],[Total GST Amount]]</f>
        <v>3630.5079999999998</v>
      </c>
    </row>
    <row r="221" spans="1:5">
      <c r="A221" s="14" t="s">
        <v>453</v>
      </c>
      <c r="B221" s="14" t="s">
        <v>882</v>
      </c>
      <c r="C221" s="15">
        <f>MarketPlace_Order_Report[[#This Row],[UnitPrice]]*MarketPlace_Order_Report[[#This Row],[OrderQty]]</f>
        <v>3150</v>
      </c>
      <c r="D221" s="15">
        <f>IFERROR(MarketPlace_Order_Report[[#This Row],[CGSTAmount]]+MarketPlace_Order_Report[[#This Row],[SGSTAmount]]+MarketPlace_Order_Report[[#This Row],[IGSTAmount]],MarketPlace_Order_Report[[#This Row],[TaxAmount]])</f>
        <v>480.50799999999998</v>
      </c>
      <c r="E221" s="15">
        <f>MarketPlace_Order_Report[[#This Row],[Gross Amount (Before Tax)]]+MarketPlace_Order_Report[[#This Row],[Total GST Amount]]</f>
        <v>3630.5079999999998</v>
      </c>
    </row>
    <row r="222" spans="1:5">
      <c r="A222" s="12" t="s">
        <v>883</v>
      </c>
      <c r="B222" s="12" t="s">
        <v>885</v>
      </c>
      <c r="C222" s="13">
        <f>MarketPlace_Order_Report[[#This Row],[UnitPrice]]*MarketPlace_Order_Report[[#This Row],[OrderQty]]</f>
        <v>3188</v>
      </c>
      <c r="D222" s="13">
        <f>IFERROR(MarketPlace_Order_Report[[#This Row],[CGSTAmount]]+MarketPlace_Order_Report[[#This Row],[SGSTAmount]]+MarketPlace_Order_Report[[#This Row],[IGSTAmount]],MarketPlace_Order_Report[[#This Row],[TaxAmount]])</f>
        <v>341.57100000000003</v>
      </c>
      <c r="E222" s="13">
        <f>MarketPlace_Order_Report[[#This Row],[Gross Amount (Before Tax)]]+MarketPlace_Order_Report[[#This Row],[Total GST Amount]]</f>
        <v>3529.5709999999999</v>
      </c>
    </row>
    <row r="223" spans="1:5">
      <c r="A223" s="14" t="s">
        <v>886</v>
      </c>
      <c r="B223" s="14" t="s">
        <v>889</v>
      </c>
      <c r="C223" s="15">
        <f>MarketPlace_Order_Report[[#This Row],[UnitPrice]]*MarketPlace_Order_Report[[#This Row],[OrderQty]]</f>
        <v>3600</v>
      </c>
      <c r="D223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223" s="15">
        <f>MarketPlace_Order_Report[[#This Row],[Gross Amount (Before Tax)]]+MarketPlace_Order_Report[[#This Row],[Total GST Amount]]</f>
        <v>4149.1530000000002</v>
      </c>
    </row>
    <row r="224" spans="1:5">
      <c r="A224" s="12" t="s">
        <v>890</v>
      </c>
      <c r="B224" s="12" t="s">
        <v>893</v>
      </c>
      <c r="C224" s="13">
        <f>MarketPlace_Order_Report[[#This Row],[UnitPrice]]*MarketPlace_Order_Report[[#This Row],[OrderQty]]</f>
        <v>3600</v>
      </c>
      <c r="D224" s="13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224" s="13">
        <f>MarketPlace_Order_Report[[#This Row],[Gross Amount (Before Tax)]]+MarketPlace_Order_Report[[#This Row],[Total GST Amount]]</f>
        <v>4149.1530000000002</v>
      </c>
    </row>
    <row r="225" spans="1:5">
      <c r="A225" s="14" t="s">
        <v>886</v>
      </c>
      <c r="B225" s="14" t="s">
        <v>895</v>
      </c>
      <c r="C225" s="15">
        <f>MarketPlace_Order_Report[[#This Row],[UnitPrice]]*MarketPlace_Order_Report[[#This Row],[OrderQty]]</f>
        <v>3600</v>
      </c>
      <c r="D225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225" s="15">
        <f>MarketPlace_Order_Report[[#This Row],[Gross Amount (Before Tax)]]+MarketPlace_Order_Report[[#This Row],[Total GST Amount]]</f>
        <v>4149.1530000000002</v>
      </c>
    </row>
    <row r="226" spans="1:5">
      <c r="A226" s="12" t="s">
        <v>896</v>
      </c>
      <c r="B226" s="12" t="s">
        <v>899</v>
      </c>
      <c r="C226" s="13">
        <f>MarketPlace_Order_Report[[#This Row],[UnitPrice]]*MarketPlace_Order_Report[[#This Row],[OrderQty]]</f>
        <v>3400</v>
      </c>
      <c r="D226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226" s="13">
        <f>MarketPlace_Order_Report[[#This Row],[Gross Amount (Before Tax)]]+MarketPlace_Order_Report[[#This Row],[Total GST Amount]]</f>
        <v>3764.2860000000001</v>
      </c>
    </row>
    <row r="227" spans="1:5">
      <c r="A227" s="14" t="s">
        <v>901</v>
      </c>
      <c r="B227" s="14" t="s">
        <v>904</v>
      </c>
      <c r="C227" s="15">
        <f>MarketPlace_Order_Report[[#This Row],[UnitPrice]]*MarketPlace_Order_Report[[#This Row],[OrderQty]]</f>
        <v>3600</v>
      </c>
      <c r="D227" s="15">
        <f>IFERROR(MarketPlace_Order_Report[[#This Row],[CGSTAmount]]+MarketPlace_Order_Report[[#This Row],[SGSTAmount]]+MarketPlace_Order_Report[[#This Row],[IGSTAmount]],MarketPlace_Order_Report[[#This Row],[TaxAmount]])</f>
        <v>549.15300000000002</v>
      </c>
      <c r="E227" s="15">
        <f>MarketPlace_Order_Report[[#This Row],[Gross Amount (Before Tax)]]+MarketPlace_Order_Report[[#This Row],[Total GST Amount]]</f>
        <v>4149.1530000000002</v>
      </c>
    </row>
    <row r="228" spans="1:5">
      <c r="A228" s="12" t="s">
        <v>905</v>
      </c>
      <c r="B228" s="12" t="s">
        <v>908</v>
      </c>
      <c r="C228" s="13">
        <f>MarketPlace_Order_Report[[#This Row],[UnitPrice]]*MarketPlace_Order_Report[[#This Row],[OrderQty]]</f>
        <v>3600</v>
      </c>
      <c r="D228" s="13">
        <f>IFERROR(MarketPlace_Order_Report[[#This Row],[CGSTAmount]]+MarketPlace_Order_Report[[#This Row],[SGSTAmount]]+MarketPlace_Order_Report[[#This Row],[IGSTAmount]],MarketPlace_Order_Report[[#This Row],[TaxAmount]])</f>
        <v>549.154</v>
      </c>
      <c r="E228" s="13">
        <f>MarketPlace_Order_Report[[#This Row],[Gross Amount (Before Tax)]]+MarketPlace_Order_Report[[#This Row],[Total GST Amount]]</f>
        <v>4149.1540000000005</v>
      </c>
    </row>
    <row r="229" spans="1:5">
      <c r="A229" s="14" t="s">
        <v>397</v>
      </c>
      <c r="B229" s="14" t="s">
        <v>910</v>
      </c>
      <c r="C229" s="15">
        <f>MarketPlace_Order_Report[[#This Row],[UnitPrice]]*MarketPlace_Order_Report[[#This Row],[OrderQty]]</f>
        <v>3400</v>
      </c>
      <c r="D229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229" s="15">
        <f>MarketPlace_Order_Report[[#This Row],[Gross Amount (Before Tax)]]+MarketPlace_Order_Report[[#This Row],[Total GST Amount]]</f>
        <v>3764.2860000000001</v>
      </c>
    </row>
    <row r="230" spans="1:5">
      <c r="A230" s="12" t="s">
        <v>911</v>
      </c>
      <c r="B230" s="12" t="s">
        <v>910</v>
      </c>
      <c r="C230" s="13">
        <f>MarketPlace_Order_Report[[#This Row],[UnitPrice]]*MarketPlace_Order_Report[[#This Row],[OrderQty]]</f>
        <v>3400</v>
      </c>
      <c r="D230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230" s="13">
        <f>MarketPlace_Order_Report[[#This Row],[Gross Amount (Before Tax)]]+MarketPlace_Order_Report[[#This Row],[Total GST Amount]]</f>
        <v>3764.2860000000001</v>
      </c>
    </row>
    <row r="231" spans="1:5">
      <c r="A231" s="14" t="s">
        <v>913</v>
      </c>
      <c r="B231" s="14" t="s">
        <v>916</v>
      </c>
      <c r="C231" s="15">
        <f>MarketPlace_Order_Report[[#This Row],[UnitPrice]]*MarketPlace_Order_Report[[#This Row],[OrderQty]]</f>
        <v>3400</v>
      </c>
      <c r="D231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231" s="15">
        <f>MarketPlace_Order_Report[[#This Row],[Gross Amount (Before Tax)]]+MarketPlace_Order_Report[[#This Row],[Total GST Amount]]</f>
        <v>3764.2860000000001</v>
      </c>
    </row>
    <row r="232" spans="1:5">
      <c r="A232" s="12" t="s">
        <v>917</v>
      </c>
      <c r="B232" s="12" t="s">
        <v>920</v>
      </c>
      <c r="C232" s="13">
        <f>MarketPlace_Order_Report[[#This Row],[UnitPrice]]*MarketPlace_Order_Report[[#This Row],[OrderQty]]</f>
        <v>3400</v>
      </c>
      <c r="D232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232" s="13">
        <f>MarketPlace_Order_Report[[#This Row],[Gross Amount (Before Tax)]]+MarketPlace_Order_Report[[#This Row],[Total GST Amount]]</f>
        <v>3764.2860000000001</v>
      </c>
    </row>
    <row r="233" spans="1:5">
      <c r="A233" s="14" t="s">
        <v>921</v>
      </c>
      <c r="B233" s="14" t="s">
        <v>920</v>
      </c>
      <c r="C233" s="15">
        <f>MarketPlace_Order_Report[[#This Row],[UnitPrice]]*MarketPlace_Order_Report[[#This Row],[OrderQty]]</f>
        <v>3400</v>
      </c>
      <c r="D233" s="15">
        <f>IFERROR(MarketPlace_Order_Report[[#This Row],[CGSTAmount]]+MarketPlace_Order_Report[[#This Row],[SGSTAmount]]+MarketPlace_Order_Report[[#This Row],[IGSTAmount]],MarketPlace_Order_Report[[#This Row],[TaxAmount]])</f>
        <v>364.286</v>
      </c>
      <c r="E233" s="15">
        <f>MarketPlace_Order_Report[[#This Row],[Gross Amount (Before Tax)]]+MarketPlace_Order_Report[[#This Row],[Total GST Amount]]</f>
        <v>3764.2860000000001</v>
      </c>
    </row>
    <row r="234" spans="1:5">
      <c r="A234" s="12" t="s">
        <v>923</v>
      </c>
      <c r="B234" s="12" t="s">
        <v>926</v>
      </c>
      <c r="C234" s="13">
        <f>MarketPlace_Order_Report[[#This Row],[UnitPrice]]*MarketPlace_Order_Report[[#This Row],[OrderQty]]</f>
        <v>3400</v>
      </c>
      <c r="D234" s="13">
        <f>IFERROR(MarketPlace_Order_Report[[#This Row],[CGSTAmount]]+MarketPlace_Order_Report[[#This Row],[SGSTAmount]]+MarketPlace_Order_Report[[#This Row],[IGSTAmount]],MarketPlace_Order_Report[[#This Row],[TaxAmount]])</f>
        <v>364.286</v>
      </c>
      <c r="E234" s="13">
        <f>MarketPlace_Order_Report[[#This Row],[Gross Amount (Before Tax)]]+MarketPlace_Order_Report[[#This Row],[Total GST Amount]]</f>
        <v>3764.2860000000001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F8B8-F294-4FA3-A9FF-6EEB72848551}">
  <dimension ref="A1:E115"/>
  <sheetViews>
    <sheetView workbookViewId="0">
      <selection activeCell="A2" sqref="A2"/>
    </sheetView>
  </sheetViews>
  <sheetFormatPr defaultRowHeight="14.4"/>
  <cols>
    <col min="1" max="1" width="24.33203125" bestFit="1" customWidth="1"/>
    <col min="2" max="2" width="16.88671875" bestFit="1" customWidth="1"/>
    <col min="3" max="3" width="23.88671875" bestFit="1" customWidth="1"/>
    <col min="4" max="4" width="16.33203125" bestFit="1" customWidth="1"/>
    <col min="5" max="5" width="17.44140625" bestFit="1" customWidth="1"/>
  </cols>
  <sheetData>
    <row r="1" spans="1:5">
      <c r="A1" s="11" t="s">
        <v>2467</v>
      </c>
      <c r="B1" s="11" t="s">
        <v>3</v>
      </c>
      <c r="C1" s="11" t="s">
        <v>2453</v>
      </c>
      <c r="D1" s="11" t="s">
        <v>2454</v>
      </c>
      <c r="E1" s="11" t="s">
        <v>2455</v>
      </c>
    </row>
    <row r="2" spans="1:5">
      <c r="A2" s="7" t="s">
        <v>55</v>
      </c>
      <c r="B2" s="7" t="s">
        <v>57</v>
      </c>
      <c r="C2" s="8">
        <v>3150</v>
      </c>
      <c r="D2" s="8">
        <v>480.50799999999998</v>
      </c>
      <c r="E2" s="8">
        <v>3630.5079999999998</v>
      </c>
    </row>
    <row r="3" spans="1:5">
      <c r="A3" s="7" t="s">
        <v>79</v>
      </c>
      <c r="B3" s="7" t="s">
        <v>81</v>
      </c>
      <c r="C3" s="8">
        <v>1688</v>
      </c>
      <c r="D3" s="8">
        <v>180.857</v>
      </c>
      <c r="E3" s="8">
        <v>1868.857</v>
      </c>
    </row>
    <row r="4" spans="1:5">
      <c r="A4" s="4" t="s">
        <v>84</v>
      </c>
      <c r="B4" s="4" t="s">
        <v>86</v>
      </c>
      <c r="C4" s="5">
        <v>1125</v>
      </c>
      <c r="D4" s="5">
        <v>53.570999999999998</v>
      </c>
      <c r="E4" s="5">
        <v>1178.5709999999999</v>
      </c>
    </row>
    <row r="5" spans="1:5">
      <c r="A5" s="7" t="s">
        <v>90</v>
      </c>
      <c r="B5" s="7" t="s">
        <v>93</v>
      </c>
      <c r="C5" s="8">
        <v>1125</v>
      </c>
      <c r="D5" s="8">
        <v>53.570999999999998</v>
      </c>
      <c r="E5" s="8">
        <v>1178.5709999999999</v>
      </c>
    </row>
    <row r="6" spans="1:5">
      <c r="A6" s="4" t="s">
        <v>95</v>
      </c>
      <c r="B6" s="4" t="s">
        <v>97</v>
      </c>
      <c r="C6" s="5">
        <v>1688</v>
      </c>
      <c r="D6" s="5">
        <v>180.857</v>
      </c>
      <c r="E6" s="5">
        <v>1868.857</v>
      </c>
    </row>
    <row r="7" spans="1:5">
      <c r="A7" s="4" t="s">
        <v>126</v>
      </c>
      <c r="B7" s="4" t="s">
        <v>129</v>
      </c>
      <c r="C7" s="5">
        <v>3200</v>
      </c>
      <c r="D7" s="5">
        <v>488.13600000000002</v>
      </c>
      <c r="E7" s="5">
        <v>3688.136</v>
      </c>
    </row>
    <row r="8" spans="1:5">
      <c r="A8" s="7" t="s">
        <v>142</v>
      </c>
      <c r="B8" s="7" t="s">
        <v>144</v>
      </c>
      <c r="C8" s="8">
        <v>1000</v>
      </c>
      <c r="D8" s="8">
        <v>47.619</v>
      </c>
      <c r="E8" s="8">
        <v>1047.6189999999999</v>
      </c>
    </row>
    <row r="9" spans="1:5">
      <c r="A9" s="4" t="s">
        <v>68</v>
      </c>
      <c r="B9" s="4" t="s">
        <v>154</v>
      </c>
      <c r="C9" s="5">
        <v>3500</v>
      </c>
      <c r="D9" s="5">
        <v>533.89800000000002</v>
      </c>
      <c r="E9" s="5">
        <v>4033.8980000000001</v>
      </c>
    </row>
    <row r="10" spans="1:5">
      <c r="A10" s="4" t="s">
        <v>166</v>
      </c>
      <c r="B10" s="4" t="s">
        <v>168</v>
      </c>
      <c r="C10" s="5">
        <v>4000</v>
      </c>
      <c r="D10" s="5">
        <v>610.16899999999998</v>
      </c>
      <c r="E10" s="5">
        <v>4610.1689999999999</v>
      </c>
    </row>
    <row r="11" spans="1:5">
      <c r="A11" s="7" t="s">
        <v>178</v>
      </c>
      <c r="B11" s="7" t="s">
        <v>181</v>
      </c>
      <c r="C11" s="8">
        <v>3465</v>
      </c>
      <c r="D11" s="8">
        <v>528.55899999999997</v>
      </c>
      <c r="E11" s="8">
        <v>3993.5590000000002</v>
      </c>
    </row>
    <row r="12" spans="1:5">
      <c r="A12" s="7" t="s">
        <v>198</v>
      </c>
      <c r="B12" s="7" t="s">
        <v>200</v>
      </c>
      <c r="C12" s="8">
        <v>3600</v>
      </c>
      <c r="D12" s="8">
        <v>549.15300000000002</v>
      </c>
      <c r="E12" s="8">
        <v>4149.1530000000002</v>
      </c>
    </row>
    <row r="13" spans="1:5">
      <c r="A13" s="4" t="s">
        <v>201</v>
      </c>
      <c r="B13" s="4" t="s">
        <v>203</v>
      </c>
      <c r="C13" s="5">
        <v>4050</v>
      </c>
      <c r="D13" s="5">
        <v>617.79700000000003</v>
      </c>
      <c r="E13" s="5">
        <v>4667.7970000000005</v>
      </c>
    </row>
    <row r="14" spans="1:5">
      <c r="A14" s="4" t="s">
        <v>220</v>
      </c>
      <c r="B14" s="4" t="s">
        <v>222</v>
      </c>
      <c r="C14" s="5">
        <v>4500</v>
      </c>
      <c r="D14" s="5">
        <v>686.44100000000003</v>
      </c>
      <c r="E14" s="5">
        <v>5186.4409999999998</v>
      </c>
    </row>
    <row r="15" spans="1:5">
      <c r="A15" s="7" t="s">
        <v>224</v>
      </c>
      <c r="B15" s="7" t="s">
        <v>226</v>
      </c>
      <c r="C15" s="8">
        <v>3000</v>
      </c>
      <c r="D15" s="8">
        <v>321.42899999999997</v>
      </c>
      <c r="E15" s="8">
        <v>3321.4290000000001</v>
      </c>
    </row>
    <row r="16" spans="1:5">
      <c r="A16" s="4" t="s">
        <v>233</v>
      </c>
      <c r="B16" s="4" t="s">
        <v>232</v>
      </c>
      <c r="C16" s="5">
        <v>3000</v>
      </c>
      <c r="D16" s="5">
        <v>321.42899999999997</v>
      </c>
      <c r="E16" s="5">
        <v>3321.4290000000001</v>
      </c>
    </row>
    <row r="17" spans="1:5">
      <c r="A17" s="4" t="s">
        <v>241</v>
      </c>
      <c r="B17" s="4" t="s">
        <v>243</v>
      </c>
      <c r="C17" s="5">
        <v>5600</v>
      </c>
      <c r="D17" s="5">
        <v>600</v>
      </c>
      <c r="E17" s="5">
        <v>6200</v>
      </c>
    </row>
    <row r="18" spans="1:5">
      <c r="A18" s="7" t="s">
        <v>244</v>
      </c>
      <c r="B18" s="7" t="s">
        <v>246</v>
      </c>
      <c r="C18" s="8">
        <v>2800</v>
      </c>
      <c r="D18" s="8">
        <v>300</v>
      </c>
      <c r="E18" s="8">
        <v>3100</v>
      </c>
    </row>
    <row r="19" spans="1:5">
      <c r="A19" s="7" t="s">
        <v>252</v>
      </c>
      <c r="B19" s="7" t="s">
        <v>250</v>
      </c>
      <c r="C19" s="8">
        <v>3375</v>
      </c>
      <c r="D19" s="8">
        <v>361.60700000000003</v>
      </c>
      <c r="E19" s="8">
        <v>3736.607</v>
      </c>
    </row>
    <row r="20" spans="1:5">
      <c r="A20" s="7" t="s">
        <v>259</v>
      </c>
      <c r="B20" s="7" t="s">
        <v>261</v>
      </c>
      <c r="C20" s="8">
        <v>2800</v>
      </c>
      <c r="D20" s="8">
        <v>300</v>
      </c>
      <c r="E20" s="8">
        <v>3100</v>
      </c>
    </row>
    <row r="21" spans="1:5">
      <c r="A21" s="7" t="s">
        <v>276</v>
      </c>
      <c r="B21" s="7" t="s">
        <v>279</v>
      </c>
      <c r="C21" s="8">
        <v>3600</v>
      </c>
      <c r="D21" s="8">
        <v>385.714</v>
      </c>
      <c r="E21" s="8">
        <v>3985.7139999999999</v>
      </c>
    </row>
    <row r="22" spans="1:5">
      <c r="A22" s="7" t="s">
        <v>282</v>
      </c>
      <c r="B22" s="7" t="s">
        <v>284</v>
      </c>
      <c r="C22" s="8">
        <v>3600</v>
      </c>
      <c r="D22" s="8">
        <v>385.714</v>
      </c>
      <c r="E22" s="8">
        <v>3985.7139999999999</v>
      </c>
    </row>
    <row r="23" spans="1:5">
      <c r="A23" s="7" t="s">
        <v>288</v>
      </c>
      <c r="B23" s="7" t="s">
        <v>287</v>
      </c>
      <c r="C23" s="8">
        <v>3600</v>
      </c>
      <c r="D23" s="8">
        <v>385.714</v>
      </c>
      <c r="E23" s="8">
        <v>3985.7139999999999</v>
      </c>
    </row>
    <row r="24" spans="1:5">
      <c r="A24" s="7" t="s">
        <v>293</v>
      </c>
      <c r="B24" s="7" t="s">
        <v>295</v>
      </c>
      <c r="C24" s="8">
        <v>3600</v>
      </c>
      <c r="D24" s="8">
        <v>385.714</v>
      </c>
      <c r="E24" s="8">
        <v>3985.7139999999999</v>
      </c>
    </row>
    <row r="25" spans="1:5">
      <c r="A25" s="7" t="s">
        <v>302</v>
      </c>
      <c r="B25" s="7" t="s">
        <v>304</v>
      </c>
      <c r="C25" s="8">
        <v>3600</v>
      </c>
      <c r="D25" s="8">
        <v>549.15300000000002</v>
      </c>
      <c r="E25" s="8">
        <v>4149.1530000000002</v>
      </c>
    </row>
    <row r="26" spans="1:5">
      <c r="A26" s="4" t="s">
        <v>306</v>
      </c>
      <c r="B26" s="4" t="s">
        <v>309</v>
      </c>
      <c r="C26" s="5">
        <v>3600</v>
      </c>
      <c r="D26" s="5">
        <v>549.15300000000002</v>
      </c>
      <c r="E26" s="5">
        <v>4149.1530000000002</v>
      </c>
    </row>
    <row r="27" spans="1:5">
      <c r="A27" s="7" t="s">
        <v>325</v>
      </c>
      <c r="B27" s="7" t="s">
        <v>322</v>
      </c>
      <c r="C27" s="8">
        <v>3600</v>
      </c>
      <c r="D27" s="8">
        <v>549.15300000000002</v>
      </c>
      <c r="E27" s="8">
        <v>4149.1530000000002</v>
      </c>
    </row>
    <row r="28" spans="1:5">
      <c r="A28" s="4" t="s">
        <v>328</v>
      </c>
      <c r="B28" s="4" t="s">
        <v>322</v>
      </c>
      <c r="C28" s="5">
        <v>3600</v>
      </c>
      <c r="D28" s="5">
        <v>549.15300000000002</v>
      </c>
      <c r="E28" s="5">
        <v>4149.1530000000002</v>
      </c>
    </row>
    <row r="29" spans="1:5">
      <c r="A29" s="7" t="s">
        <v>330</v>
      </c>
      <c r="B29" s="7" t="s">
        <v>333</v>
      </c>
      <c r="C29" s="8">
        <v>3600</v>
      </c>
      <c r="D29" s="8">
        <v>385.714</v>
      </c>
      <c r="E29" s="8">
        <v>3985.7139999999999</v>
      </c>
    </row>
    <row r="30" spans="1:5">
      <c r="A30" s="4" t="s">
        <v>344</v>
      </c>
      <c r="B30" s="4" t="s">
        <v>347</v>
      </c>
      <c r="C30" s="5">
        <v>3600</v>
      </c>
      <c r="D30" s="5">
        <v>385.714</v>
      </c>
      <c r="E30" s="5">
        <v>3985.7139999999999</v>
      </c>
    </row>
    <row r="31" spans="1:5">
      <c r="A31" s="7" t="s">
        <v>349</v>
      </c>
      <c r="B31" s="7" t="s">
        <v>347</v>
      </c>
      <c r="C31" s="8">
        <v>3600</v>
      </c>
      <c r="D31" s="8">
        <v>385.714</v>
      </c>
      <c r="E31" s="8">
        <v>3985.7139999999999</v>
      </c>
    </row>
    <row r="32" spans="1:5">
      <c r="A32" s="4" t="s">
        <v>353</v>
      </c>
      <c r="B32" s="4" t="s">
        <v>355</v>
      </c>
      <c r="C32" s="5">
        <v>3200</v>
      </c>
      <c r="D32" s="5">
        <v>342.85700000000003</v>
      </c>
      <c r="E32" s="5">
        <v>3542.857</v>
      </c>
    </row>
    <row r="33" spans="1:5">
      <c r="A33" s="4" t="s">
        <v>361</v>
      </c>
      <c r="B33" s="4" t="s">
        <v>363</v>
      </c>
      <c r="C33" s="5">
        <v>3825</v>
      </c>
      <c r="D33" s="5">
        <v>583.47500000000002</v>
      </c>
      <c r="E33" s="5">
        <v>4408.4750000000004</v>
      </c>
    </row>
    <row r="34" spans="1:5">
      <c r="A34" s="7" t="s">
        <v>365</v>
      </c>
      <c r="B34" s="7" t="s">
        <v>367</v>
      </c>
      <c r="C34" s="8">
        <v>3600</v>
      </c>
      <c r="D34" s="8">
        <v>385.714</v>
      </c>
      <c r="E34" s="8">
        <v>3985.7139999999999</v>
      </c>
    </row>
    <row r="35" spans="1:5">
      <c r="A35" s="4" t="s">
        <v>369</v>
      </c>
      <c r="B35" s="4" t="s">
        <v>371</v>
      </c>
      <c r="C35" s="5">
        <v>3600</v>
      </c>
      <c r="D35" s="5">
        <v>385.714</v>
      </c>
      <c r="E35" s="5">
        <v>3985.7139999999999</v>
      </c>
    </row>
    <row r="36" spans="1:5">
      <c r="A36" s="4" t="s">
        <v>378</v>
      </c>
      <c r="B36" s="4" t="s">
        <v>380</v>
      </c>
      <c r="C36" s="5">
        <v>3375</v>
      </c>
      <c r="D36" s="5">
        <v>361.608</v>
      </c>
      <c r="E36" s="5">
        <v>3736.6080000000002</v>
      </c>
    </row>
    <row r="37" spans="1:5">
      <c r="A37" s="7" t="s">
        <v>393</v>
      </c>
      <c r="B37" s="7" t="s">
        <v>396</v>
      </c>
      <c r="C37" s="8">
        <v>3375</v>
      </c>
      <c r="D37" s="8">
        <v>361.60700000000003</v>
      </c>
      <c r="E37" s="8">
        <v>3736.607</v>
      </c>
    </row>
    <row r="38" spans="1:5">
      <c r="A38" s="4" t="s">
        <v>397</v>
      </c>
      <c r="B38" s="4" t="s">
        <v>400</v>
      </c>
      <c r="C38" s="5">
        <v>3375</v>
      </c>
      <c r="D38" s="5">
        <v>361.60700000000003</v>
      </c>
      <c r="E38" s="5">
        <v>3736.607</v>
      </c>
    </row>
    <row r="39" spans="1:5">
      <c r="A39" s="7" t="s">
        <v>401</v>
      </c>
      <c r="B39" s="7" t="s">
        <v>404</v>
      </c>
      <c r="C39" s="8">
        <v>3375</v>
      </c>
      <c r="D39" s="8">
        <v>361.60700000000003</v>
      </c>
      <c r="E39" s="8">
        <v>3736.607</v>
      </c>
    </row>
    <row r="40" spans="1:5">
      <c r="A40" s="4" t="s">
        <v>405</v>
      </c>
      <c r="B40" s="4" t="s">
        <v>407</v>
      </c>
      <c r="C40" s="5">
        <v>3000</v>
      </c>
      <c r="D40" s="5">
        <v>321.43</v>
      </c>
      <c r="E40" s="5">
        <v>3321.43</v>
      </c>
    </row>
    <row r="41" spans="1:5">
      <c r="A41" s="4" t="s">
        <v>415</v>
      </c>
      <c r="B41" s="4" t="s">
        <v>417</v>
      </c>
      <c r="C41" s="5">
        <v>3000</v>
      </c>
      <c r="D41" s="5">
        <v>321.43</v>
      </c>
      <c r="E41" s="5">
        <v>3321.43</v>
      </c>
    </row>
    <row r="42" spans="1:5">
      <c r="A42" s="7" t="s">
        <v>418</v>
      </c>
      <c r="B42" s="7" t="s">
        <v>420</v>
      </c>
      <c r="C42" s="8">
        <v>4275</v>
      </c>
      <c r="D42" s="8">
        <v>652.11900000000003</v>
      </c>
      <c r="E42" s="8">
        <v>4927.1189999999997</v>
      </c>
    </row>
    <row r="43" spans="1:5">
      <c r="A43" s="4" t="s">
        <v>422</v>
      </c>
      <c r="B43" s="4" t="s">
        <v>424</v>
      </c>
      <c r="C43" s="5">
        <v>4275</v>
      </c>
      <c r="D43" s="5">
        <v>458.036</v>
      </c>
      <c r="E43" s="5">
        <v>4733.0360000000001</v>
      </c>
    </row>
    <row r="44" spans="1:5">
      <c r="A44" s="7" t="s">
        <v>435</v>
      </c>
      <c r="B44" s="7" t="s">
        <v>432</v>
      </c>
      <c r="C44" s="8">
        <v>3600</v>
      </c>
      <c r="D44" s="8">
        <v>549.15300000000002</v>
      </c>
      <c r="E44" s="8">
        <v>4149.1530000000002</v>
      </c>
    </row>
    <row r="45" spans="1:5">
      <c r="A45" s="4" t="s">
        <v>438</v>
      </c>
      <c r="B45" s="4" t="s">
        <v>440</v>
      </c>
      <c r="C45" s="5">
        <v>3600</v>
      </c>
      <c r="D45" s="5">
        <v>385.714</v>
      </c>
      <c r="E45" s="5">
        <v>3985.7139999999999</v>
      </c>
    </row>
    <row r="46" spans="1:5">
      <c r="A46" s="7" t="s">
        <v>450</v>
      </c>
      <c r="B46" s="7" t="s">
        <v>452</v>
      </c>
      <c r="C46" s="8">
        <v>3600</v>
      </c>
      <c r="D46" s="8">
        <v>549.15300000000002</v>
      </c>
      <c r="E46" s="8">
        <v>4149.1530000000002</v>
      </c>
    </row>
    <row r="47" spans="1:5">
      <c r="A47" s="4" t="s">
        <v>453</v>
      </c>
      <c r="B47" s="4" t="s">
        <v>455</v>
      </c>
      <c r="C47" s="5">
        <v>3600</v>
      </c>
      <c r="D47" s="5">
        <v>549.15300000000002</v>
      </c>
      <c r="E47" s="5">
        <v>4149.1530000000002</v>
      </c>
    </row>
    <row r="48" spans="1:5">
      <c r="A48" s="4" t="s">
        <v>460</v>
      </c>
      <c r="B48" s="4" t="s">
        <v>455</v>
      </c>
      <c r="C48" s="5">
        <v>3400</v>
      </c>
      <c r="D48" s="5">
        <v>364.286</v>
      </c>
      <c r="E48" s="5">
        <v>3764.2860000000001</v>
      </c>
    </row>
    <row r="49" spans="1:5">
      <c r="A49" s="4" t="s">
        <v>474</v>
      </c>
      <c r="B49" s="4" t="s">
        <v>477</v>
      </c>
      <c r="C49" s="5">
        <v>3563</v>
      </c>
      <c r="D49" s="5">
        <v>543.50800000000004</v>
      </c>
      <c r="E49" s="5">
        <v>4106.5079999999998</v>
      </c>
    </row>
    <row r="50" spans="1:5">
      <c r="A50" s="7" t="s">
        <v>488</v>
      </c>
      <c r="B50" s="7" t="s">
        <v>490</v>
      </c>
      <c r="C50" s="8">
        <v>3150</v>
      </c>
      <c r="D50" s="8">
        <v>480.50799999999998</v>
      </c>
      <c r="E50" s="8">
        <v>3630.5079999999998</v>
      </c>
    </row>
    <row r="51" spans="1:5">
      <c r="A51" s="7" t="s">
        <v>495</v>
      </c>
      <c r="B51" s="7" t="s">
        <v>497</v>
      </c>
      <c r="C51" s="8">
        <v>3600</v>
      </c>
      <c r="D51" s="8">
        <v>549.15300000000002</v>
      </c>
      <c r="E51" s="8">
        <v>4149.1530000000002</v>
      </c>
    </row>
    <row r="52" spans="1:5">
      <c r="A52" s="4" t="s">
        <v>498</v>
      </c>
      <c r="B52" s="4" t="s">
        <v>501</v>
      </c>
      <c r="C52" s="5">
        <v>3600</v>
      </c>
      <c r="D52" s="5">
        <v>549.15300000000002</v>
      </c>
      <c r="E52" s="5">
        <v>4149.1530000000002</v>
      </c>
    </row>
    <row r="53" spans="1:5">
      <c r="A53" s="4" t="s">
        <v>508</v>
      </c>
      <c r="B53" s="4" t="s">
        <v>507</v>
      </c>
      <c r="C53" s="5">
        <v>3400</v>
      </c>
      <c r="D53" s="5">
        <v>364.286</v>
      </c>
      <c r="E53" s="5">
        <v>3764.2860000000001</v>
      </c>
    </row>
    <row r="54" spans="1:5">
      <c r="A54" s="7" t="s">
        <v>510</v>
      </c>
      <c r="B54" s="7" t="s">
        <v>507</v>
      </c>
      <c r="C54" s="8">
        <v>3400</v>
      </c>
      <c r="D54" s="8">
        <v>364.286</v>
      </c>
      <c r="E54" s="8">
        <v>3764.2860000000001</v>
      </c>
    </row>
    <row r="55" spans="1:5">
      <c r="A55" s="4" t="s">
        <v>513</v>
      </c>
      <c r="B55" s="4" t="s">
        <v>516</v>
      </c>
      <c r="C55" s="5">
        <v>3400</v>
      </c>
      <c r="D55" s="5">
        <v>364.286</v>
      </c>
      <c r="E55" s="5">
        <v>3764.2860000000001</v>
      </c>
    </row>
    <row r="56" spans="1:5">
      <c r="A56" s="7" t="s">
        <v>525</v>
      </c>
      <c r="B56" s="7" t="s">
        <v>528</v>
      </c>
      <c r="C56" s="8">
        <v>3150</v>
      </c>
      <c r="D56" s="8">
        <v>480.50799999999998</v>
      </c>
      <c r="E56" s="8">
        <v>3630.5079999999998</v>
      </c>
    </row>
    <row r="57" spans="1:5">
      <c r="A57" s="4" t="s">
        <v>529</v>
      </c>
      <c r="B57" s="4" t="s">
        <v>532</v>
      </c>
      <c r="C57" s="5">
        <v>3150</v>
      </c>
      <c r="D57" s="5">
        <v>480.50799999999998</v>
      </c>
      <c r="E57" s="5">
        <v>3630.5079999999998</v>
      </c>
    </row>
    <row r="58" spans="1:5">
      <c r="A58" s="7" t="s">
        <v>540</v>
      </c>
      <c r="B58" s="7" t="s">
        <v>536</v>
      </c>
      <c r="C58" s="8">
        <v>3150</v>
      </c>
      <c r="D58" s="8">
        <v>337.5</v>
      </c>
      <c r="E58" s="8">
        <v>3487.5</v>
      </c>
    </row>
    <row r="59" spans="1:5">
      <c r="A59" s="7" t="s">
        <v>544</v>
      </c>
      <c r="B59" s="7" t="s">
        <v>543</v>
      </c>
      <c r="C59" s="8">
        <v>3150</v>
      </c>
      <c r="D59" s="8">
        <v>480.50799999999998</v>
      </c>
      <c r="E59" s="8">
        <v>3630.5079999999998</v>
      </c>
    </row>
    <row r="60" spans="1:5">
      <c r="A60" s="7" t="s">
        <v>558</v>
      </c>
      <c r="B60" s="7" t="s">
        <v>560</v>
      </c>
      <c r="C60" s="8">
        <v>3400</v>
      </c>
      <c r="D60" s="8">
        <v>364.286</v>
      </c>
      <c r="E60" s="8">
        <v>3764.2860000000001</v>
      </c>
    </row>
    <row r="61" spans="1:5">
      <c r="A61" s="4" t="s">
        <v>561</v>
      </c>
      <c r="B61" s="4" t="s">
        <v>563</v>
      </c>
      <c r="C61" s="5">
        <v>3400</v>
      </c>
      <c r="D61" s="5">
        <v>364.286</v>
      </c>
      <c r="E61" s="5">
        <v>3764.2860000000001</v>
      </c>
    </row>
    <row r="62" spans="1:5">
      <c r="A62" s="7" t="s">
        <v>571</v>
      </c>
      <c r="B62" s="7" t="s">
        <v>573</v>
      </c>
      <c r="C62" s="8">
        <v>3400</v>
      </c>
      <c r="D62" s="8">
        <v>364.286</v>
      </c>
      <c r="E62" s="8">
        <v>3764.2860000000001</v>
      </c>
    </row>
    <row r="63" spans="1:5">
      <c r="A63" s="7" t="s">
        <v>580</v>
      </c>
      <c r="B63" s="7" t="s">
        <v>582</v>
      </c>
      <c r="C63" s="8">
        <v>2600</v>
      </c>
      <c r="D63" s="8">
        <v>123.81</v>
      </c>
      <c r="E63" s="8">
        <v>2723.81</v>
      </c>
    </row>
    <row r="64" spans="1:5">
      <c r="A64" s="7" t="s">
        <v>586</v>
      </c>
      <c r="B64" s="7" t="s">
        <v>588</v>
      </c>
      <c r="C64" s="8">
        <v>3375</v>
      </c>
      <c r="D64" s="8">
        <v>514.83100000000002</v>
      </c>
      <c r="E64" s="8">
        <v>3889.8310000000001</v>
      </c>
    </row>
    <row r="65" spans="1:5">
      <c r="A65" s="4" t="s">
        <v>590</v>
      </c>
      <c r="B65" s="4" t="s">
        <v>592</v>
      </c>
      <c r="C65" s="5">
        <v>3375</v>
      </c>
      <c r="D65" s="5">
        <v>514.83100000000002</v>
      </c>
      <c r="E65" s="5">
        <v>3889.8310000000001</v>
      </c>
    </row>
    <row r="66" spans="1:5">
      <c r="A66" s="7" t="s">
        <v>593</v>
      </c>
      <c r="B66" s="7" t="s">
        <v>595</v>
      </c>
      <c r="C66" s="8">
        <v>3188</v>
      </c>
      <c r="D66" s="8">
        <v>341.57100000000003</v>
      </c>
      <c r="E66" s="8">
        <v>3529.5709999999999</v>
      </c>
    </row>
    <row r="67" spans="1:5">
      <c r="A67" s="4" t="s">
        <v>596</v>
      </c>
      <c r="B67" s="4" t="s">
        <v>599</v>
      </c>
      <c r="C67" s="5">
        <v>3188</v>
      </c>
      <c r="D67" s="5">
        <v>341.57100000000003</v>
      </c>
      <c r="E67" s="5">
        <v>3529.5709999999999</v>
      </c>
    </row>
    <row r="68" spans="1:5">
      <c r="A68" s="7" t="s">
        <v>600</v>
      </c>
      <c r="B68" s="7" t="s">
        <v>599</v>
      </c>
      <c r="C68" s="8">
        <v>3188</v>
      </c>
      <c r="D68" s="8">
        <v>341.57100000000003</v>
      </c>
      <c r="E68" s="8">
        <v>3529.5709999999999</v>
      </c>
    </row>
    <row r="69" spans="1:5">
      <c r="A69" s="4" t="s">
        <v>603</v>
      </c>
      <c r="B69" s="4" t="s">
        <v>605</v>
      </c>
      <c r="C69" s="5">
        <v>3400</v>
      </c>
      <c r="D69" s="5">
        <v>364.286</v>
      </c>
      <c r="E69" s="5">
        <v>3764.2860000000001</v>
      </c>
    </row>
    <row r="70" spans="1:5">
      <c r="A70" s="7" t="s">
        <v>612</v>
      </c>
      <c r="B70" s="7" t="s">
        <v>615</v>
      </c>
      <c r="C70" s="8">
        <v>3400</v>
      </c>
      <c r="D70" s="8">
        <v>364.286</v>
      </c>
      <c r="E70" s="8">
        <v>3764.2860000000001</v>
      </c>
    </row>
    <row r="71" spans="1:5">
      <c r="A71" s="7" t="s">
        <v>628</v>
      </c>
      <c r="B71" s="7" t="s">
        <v>630</v>
      </c>
      <c r="C71" s="8">
        <v>2025</v>
      </c>
      <c r="D71" s="8">
        <v>216.964</v>
      </c>
      <c r="E71" s="8">
        <v>2241.9639999999999</v>
      </c>
    </row>
    <row r="72" spans="1:5">
      <c r="A72" s="4" t="s">
        <v>632</v>
      </c>
      <c r="B72" s="4" t="s">
        <v>634</v>
      </c>
      <c r="C72" s="5">
        <v>2275</v>
      </c>
      <c r="D72" s="5">
        <v>108.333</v>
      </c>
      <c r="E72" s="5">
        <v>2383.3330000000001</v>
      </c>
    </row>
    <row r="73" spans="1:5">
      <c r="A73" s="4" t="s">
        <v>639</v>
      </c>
      <c r="B73" s="4" t="s">
        <v>641</v>
      </c>
      <c r="C73" s="5">
        <v>2763</v>
      </c>
      <c r="D73" s="5">
        <v>296.036</v>
      </c>
      <c r="E73" s="5">
        <v>3059.0360000000001</v>
      </c>
    </row>
    <row r="74" spans="1:5">
      <c r="A74" s="7" t="s">
        <v>642</v>
      </c>
      <c r="B74" s="7" t="s">
        <v>644</v>
      </c>
      <c r="C74" s="8">
        <v>2125</v>
      </c>
      <c r="D74" s="8">
        <v>227.679</v>
      </c>
      <c r="E74" s="8">
        <v>2352.6790000000001</v>
      </c>
    </row>
    <row r="75" spans="1:5">
      <c r="A75" s="4" t="s">
        <v>646</v>
      </c>
      <c r="B75" s="4" t="s">
        <v>648</v>
      </c>
      <c r="C75" s="5">
        <v>2000</v>
      </c>
      <c r="D75" s="5">
        <v>95.238</v>
      </c>
      <c r="E75" s="5">
        <v>2095.2379999999998</v>
      </c>
    </row>
    <row r="76" spans="1:5">
      <c r="A76" s="4" t="s">
        <v>654</v>
      </c>
      <c r="B76" s="4" t="s">
        <v>656</v>
      </c>
      <c r="C76" s="5">
        <v>2125</v>
      </c>
      <c r="D76" s="5">
        <v>227.68</v>
      </c>
      <c r="E76" s="5">
        <v>2352.6799999999998</v>
      </c>
    </row>
    <row r="77" spans="1:5">
      <c r="A77" s="7" t="s">
        <v>657</v>
      </c>
      <c r="B77" s="7" t="s">
        <v>659</v>
      </c>
      <c r="C77" s="8">
        <v>2125</v>
      </c>
      <c r="D77" s="8">
        <v>227.679</v>
      </c>
      <c r="E77" s="8">
        <v>2352.6790000000001</v>
      </c>
    </row>
    <row r="78" spans="1:5">
      <c r="A78" s="4" t="s">
        <v>660</v>
      </c>
      <c r="B78" s="4" t="s">
        <v>662</v>
      </c>
      <c r="C78" s="5">
        <v>2000</v>
      </c>
      <c r="D78" s="5">
        <v>95.238</v>
      </c>
      <c r="E78" s="5">
        <v>2095.2379999999998</v>
      </c>
    </row>
    <row r="79" spans="1:5">
      <c r="A79" s="4" t="s">
        <v>675</v>
      </c>
      <c r="B79" s="4" t="s">
        <v>677</v>
      </c>
      <c r="C79" s="5">
        <v>2338</v>
      </c>
      <c r="D79" s="5">
        <v>250.5</v>
      </c>
      <c r="E79" s="5">
        <v>2588.5</v>
      </c>
    </row>
    <row r="80" spans="1:5">
      <c r="A80" s="4" t="s">
        <v>632</v>
      </c>
      <c r="B80" s="4" t="s">
        <v>690</v>
      </c>
      <c r="C80" s="5">
        <v>2000</v>
      </c>
      <c r="D80" s="5">
        <v>95.238</v>
      </c>
      <c r="E80" s="5">
        <v>2095.2379999999998</v>
      </c>
    </row>
    <row r="81" spans="1:5">
      <c r="A81" s="7" t="s">
        <v>696</v>
      </c>
      <c r="B81" s="7" t="s">
        <v>698</v>
      </c>
      <c r="C81" s="8">
        <v>2100</v>
      </c>
      <c r="D81" s="8">
        <v>100</v>
      </c>
      <c r="E81" s="8">
        <v>2200</v>
      </c>
    </row>
    <row r="82" spans="1:5">
      <c r="A82" s="7" t="s">
        <v>642</v>
      </c>
      <c r="B82" s="7" t="s">
        <v>705</v>
      </c>
      <c r="C82" s="8">
        <v>2550</v>
      </c>
      <c r="D82" s="8">
        <v>273.214</v>
      </c>
      <c r="E82" s="8">
        <v>2823.2139999999999</v>
      </c>
    </row>
    <row r="83" spans="1:5">
      <c r="A83" s="7" t="s">
        <v>718</v>
      </c>
      <c r="B83" s="7" t="s">
        <v>721</v>
      </c>
      <c r="C83" s="8">
        <v>2763</v>
      </c>
      <c r="D83" s="8">
        <v>296.036</v>
      </c>
      <c r="E83" s="8">
        <v>3059.0360000000001</v>
      </c>
    </row>
    <row r="84" spans="1:5">
      <c r="A84" s="4" t="s">
        <v>729</v>
      </c>
      <c r="B84" s="4" t="s">
        <v>732</v>
      </c>
      <c r="C84" s="5">
        <v>2275</v>
      </c>
      <c r="D84" s="5">
        <v>243.75</v>
      </c>
      <c r="E84" s="5">
        <v>2518.75</v>
      </c>
    </row>
    <row r="85" spans="1:5">
      <c r="A85" s="7" t="s">
        <v>734</v>
      </c>
      <c r="B85" s="7" t="s">
        <v>736</v>
      </c>
      <c r="C85" s="8">
        <v>2100</v>
      </c>
      <c r="D85" s="8">
        <v>100</v>
      </c>
      <c r="E85" s="8">
        <v>2200</v>
      </c>
    </row>
    <row r="86" spans="1:5">
      <c r="A86" s="7" t="s">
        <v>739</v>
      </c>
      <c r="B86" s="7" t="s">
        <v>741</v>
      </c>
      <c r="C86" s="8">
        <v>2380</v>
      </c>
      <c r="D86" s="8">
        <v>255</v>
      </c>
      <c r="E86" s="8">
        <v>2635</v>
      </c>
    </row>
    <row r="87" spans="1:5">
      <c r="A87" s="4" t="s">
        <v>743</v>
      </c>
      <c r="B87" s="4" t="s">
        <v>745</v>
      </c>
      <c r="C87" s="5">
        <v>2240</v>
      </c>
      <c r="D87" s="5">
        <v>106.667</v>
      </c>
      <c r="E87" s="5">
        <v>2346.6669999999999</v>
      </c>
    </row>
    <row r="88" spans="1:5">
      <c r="A88" s="7" t="s">
        <v>747</v>
      </c>
      <c r="B88" s="7" t="s">
        <v>750</v>
      </c>
      <c r="C88" s="8">
        <v>2380</v>
      </c>
      <c r="D88" s="8">
        <v>255</v>
      </c>
      <c r="E88" s="8">
        <v>2635</v>
      </c>
    </row>
    <row r="89" spans="1:5">
      <c r="A89" s="7" t="s">
        <v>762</v>
      </c>
      <c r="B89" s="7" t="s">
        <v>764</v>
      </c>
      <c r="C89" s="8">
        <v>2100</v>
      </c>
      <c r="D89" s="8">
        <v>100</v>
      </c>
      <c r="E89" s="8">
        <v>2200</v>
      </c>
    </row>
    <row r="90" spans="1:5">
      <c r="A90" s="4" t="s">
        <v>765</v>
      </c>
      <c r="B90" s="4" t="s">
        <v>767</v>
      </c>
      <c r="C90" s="5">
        <v>2550</v>
      </c>
      <c r="D90" s="5">
        <v>273.214</v>
      </c>
      <c r="E90" s="5">
        <v>2823.2139999999999</v>
      </c>
    </row>
    <row r="91" spans="1:5">
      <c r="A91" s="4" t="s">
        <v>773</v>
      </c>
      <c r="B91" s="4" t="s">
        <v>775</v>
      </c>
      <c r="C91" s="5">
        <v>2275</v>
      </c>
      <c r="D91" s="5">
        <v>243.75</v>
      </c>
      <c r="E91" s="5">
        <v>2518.75</v>
      </c>
    </row>
    <row r="92" spans="1:5">
      <c r="A92" s="4" t="s">
        <v>781</v>
      </c>
      <c r="B92" s="4" t="s">
        <v>783</v>
      </c>
      <c r="C92" s="5">
        <v>2763</v>
      </c>
      <c r="D92" s="5">
        <v>296.036</v>
      </c>
      <c r="E92" s="5">
        <v>3059.0360000000001</v>
      </c>
    </row>
    <row r="93" spans="1:5">
      <c r="A93" s="4" t="s">
        <v>786</v>
      </c>
      <c r="B93" s="4" t="s">
        <v>788</v>
      </c>
      <c r="C93" s="5">
        <v>3375</v>
      </c>
      <c r="D93" s="5">
        <v>361.60700000000003</v>
      </c>
      <c r="E93" s="5">
        <v>3736.607</v>
      </c>
    </row>
    <row r="94" spans="1:5">
      <c r="A94" s="7" t="s">
        <v>794</v>
      </c>
      <c r="B94" s="7" t="s">
        <v>796</v>
      </c>
      <c r="C94" s="8">
        <v>4950</v>
      </c>
      <c r="D94" s="8">
        <v>755.08500000000004</v>
      </c>
      <c r="E94" s="8">
        <v>5705.085</v>
      </c>
    </row>
    <row r="95" spans="1:5">
      <c r="A95" s="4" t="s">
        <v>797</v>
      </c>
      <c r="B95" s="4" t="s">
        <v>799</v>
      </c>
      <c r="C95" s="5">
        <v>4125</v>
      </c>
      <c r="D95" s="5">
        <v>441.964</v>
      </c>
      <c r="E95" s="5">
        <v>4566.9639999999999</v>
      </c>
    </row>
    <row r="96" spans="1:5">
      <c r="A96" s="4" t="s">
        <v>802</v>
      </c>
      <c r="B96" s="4" t="s">
        <v>804</v>
      </c>
      <c r="C96" s="5">
        <v>4950</v>
      </c>
      <c r="D96" s="5">
        <v>755.08500000000004</v>
      </c>
      <c r="E96" s="5">
        <v>5705.085</v>
      </c>
    </row>
    <row r="97" spans="1:5">
      <c r="A97" s="4" t="s">
        <v>814</v>
      </c>
      <c r="B97" s="4" t="s">
        <v>817</v>
      </c>
      <c r="C97" s="5">
        <v>4500</v>
      </c>
      <c r="D97" s="5">
        <v>686.44100000000003</v>
      </c>
      <c r="E97" s="5">
        <v>5186.4409999999998</v>
      </c>
    </row>
    <row r="98" spans="1:5">
      <c r="A98" s="4" t="s">
        <v>820</v>
      </c>
      <c r="B98" s="4" t="s">
        <v>822</v>
      </c>
      <c r="C98" s="5">
        <v>5400</v>
      </c>
      <c r="D98" s="5">
        <v>823.72900000000004</v>
      </c>
      <c r="E98" s="5">
        <v>6223.7290000000003</v>
      </c>
    </row>
    <row r="99" spans="1:5">
      <c r="A99" s="7" t="s">
        <v>786</v>
      </c>
      <c r="B99" s="7" t="s">
        <v>824</v>
      </c>
      <c r="C99" s="8">
        <v>5100</v>
      </c>
      <c r="D99" s="8">
        <v>546.42899999999997</v>
      </c>
      <c r="E99" s="8">
        <v>5646.4290000000001</v>
      </c>
    </row>
    <row r="100" spans="1:5">
      <c r="A100" s="4" t="s">
        <v>825</v>
      </c>
      <c r="B100" s="4" t="s">
        <v>827</v>
      </c>
      <c r="C100" s="5">
        <v>4950</v>
      </c>
      <c r="D100" s="5">
        <v>755.08500000000004</v>
      </c>
      <c r="E100" s="5">
        <v>5705.085</v>
      </c>
    </row>
    <row r="101" spans="1:5">
      <c r="A101" s="7" t="s">
        <v>837</v>
      </c>
      <c r="B101" s="7" t="s">
        <v>839</v>
      </c>
      <c r="C101" s="8">
        <v>2925</v>
      </c>
      <c r="D101" s="8">
        <v>446.18599999999998</v>
      </c>
      <c r="E101" s="8">
        <v>3371.1860000000001</v>
      </c>
    </row>
    <row r="102" spans="1:5">
      <c r="A102" s="4" t="s">
        <v>849</v>
      </c>
      <c r="B102" s="4" t="s">
        <v>851</v>
      </c>
      <c r="C102" s="5">
        <v>3400</v>
      </c>
      <c r="D102" s="5">
        <v>364.286</v>
      </c>
      <c r="E102" s="5">
        <v>3764.2860000000001</v>
      </c>
    </row>
    <row r="103" spans="1:5">
      <c r="A103" s="7" t="s">
        <v>860</v>
      </c>
      <c r="B103" s="7" t="s">
        <v>859</v>
      </c>
      <c r="C103" s="8">
        <v>3150</v>
      </c>
      <c r="D103" s="8">
        <v>480.50799999999998</v>
      </c>
      <c r="E103" s="8">
        <v>3630.5079999999998</v>
      </c>
    </row>
    <row r="104" spans="1:5">
      <c r="A104" s="4" t="s">
        <v>863</v>
      </c>
      <c r="B104" s="4" t="s">
        <v>859</v>
      </c>
      <c r="C104" s="5">
        <v>2975</v>
      </c>
      <c r="D104" s="5">
        <v>318.75</v>
      </c>
      <c r="E104" s="5">
        <v>3293.75</v>
      </c>
    </row>
    <row r="105" spans="1:5">
      <c r="A105" s="4" t="s">
        <v>868</v>
      </c>
      <c r="B105" s="4" t="s">
        <v>871</v>
      </c>
      <c r="C105" s="5">
        <v>3150</v>
      </c>
      <c r="D105" s="5">
        <v>480.50799999999998</v>
      </c>
      <c r="E105" s="5">
        <v>3630.5079999999998</v>
      </c>
    </row>
    <row r="106" spans="1:5">
      <c r="A106" s="7" t="s">
        <v>872</v>
      </c>
      <c r="B106" s="7" t="s">
        <v>871</v>
      </c>
      <c r="C106" s="8">
        <v>2975</v>
      </c>
      <c r="D106" s="8">
        <v>318.75</v>
      </c>
      <c r="E106" s="8">
        <v>3293.75</v>
      </c>
    </row>
    <row r="107" spans="1:5">
      <c r="A107" s="7" t="s">
        <v>349</v>
      </c>
      <c r="B107" s="7" t="s">
        <v>876</v>
      </c>
      <c r="C107" s="8">
        <v>2975</v>
      </c>
      <c r="D107" s="8">
        <v>318.75</v>
      </c>
      <c r="E107" s="8">
        <v>3293.75</v>
      </c>
    </row>
    <row r="108" spans="1:5">
      <c r="A108" s="4" t="s">
        <v>877</v>
      </c>
      <c r="B108" s="4" t="s">
        <v>876</v>
      </c>
      <c r="C108" s="5">
        <v>2975</v>
      </c>
      <c r="D108" s="5">
        <v>318.75</v>
      </c>
      <c r="E108" s="5">
        <v>3293.75</v>
      </c>
    </row>
    <row r="109" spans="1:5">
      <c r="A109" s="7" t="s">
        <v>880</v>
      </c>
      <c r="B109" s="7" t="s">
        <v>882</v>
      </c>
      <c r="C109" s="8">
        <v>3150</v>
      </c>
      <c r="D109" s="8">
        <v>480.50799999999998</v>
      </c>
      <c r="E109" s="8">
        <v>3630.5079999999998</v>
      </c>
    </row>
    <row r="110" spans="1:5">
      <c r="A110" s="4" t="s">
        <v>453</v>
      </c>
      <c r="B110" s="4" t="s">
        <v>882</v>
      </c>
      <c r="C110" s="5">
        <v>3150</v>
      </c>
      <c r="D110" s="5">
        <v>480.50799999999998</v>
      </c>
      <c r="E110" s="5">
        <v>3630.5079999999998</v>
      </c>
    </row>
    <row r="111" spans="1:5">
      <c r="A111" s="4" t="s">
        <v>886</v>
      </c>
      <c r="B111" s="4" t="s">
        <v>889</v>
      </c>
      <c r="C111" s="5">
        <v>3600</v>
      </c>
      <c r="D111" s="5">
        <v>549.15300000000002</v>
      </c>
      <c r="E111" s="5">
        <v>4149.1530000000002</v>
      </c>
    </row>
    <row r="112" spans="1:5">
      <c r="A112" s="4" t="s">
        <v>397</v>
      </c>
      <c r="B112" s="4" t="s">
        <v>910</v>
      </c>
      <c r="C112" s="5">
        <v>3400</v>
      </c>
      <c r="D112" s="5">
        <v>364.286</v>
      </c>
      <c r="E112" s="5">
        <v>3764.2860000000001</v>
      </c>
    </row>
    <row r="113" spans="1:5">
      <c r="A113" s="7" t="s">
        <v>911</v>
      </c>
      <c r="B113" s="7" t="s">
        <v>910</v>
      </c>
      <c r="C113" s="8">
        <v>3400</v>
      </c>
      <c r="D113" s="8">
        <v>364.286</v>
      </c>
      <c r="E113" s="8">
        <v>3764.2860000000001</v>
      </c>
    </row>
    <row r="114" spans="1:5">
      <c r="A114" s="4" t="s">
        <v>913</v>
      </c>
      <c r="B114" s="4" t="s">
        <v>916</v>
      </c>
      <c r="C114" s="5">
        <v>3400</v>
      </c>
      <c r="D114" s="5">
        <v>364.286</v>
      </c>
      <c r="E114" s="5">
        <v>3764.2860000000001</v>
      </c>
    </row>
    <row r="115" spans="1:5">
      <c r="A115" s="7" t="s">
        <v>923</v>
      </c>
      <c r="B115" s="7" t="s">
        <v>926</v>
      </c>
      <c r="C115" s="8">
        <v>3400</v>
      </c>
      <c r="D115" s="8">
        <v>364.286</v>
      </c>
      <c r="E115" s="8">
        <v>3764.2860000000001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C438-EA28-4134-AAFE-5625541F726B}">
  <dimension ref="A1:F82"/>
  <sheetViews>
    <sheetView workbookViewId="0">
      <selection activeCell="B2" sqref="B2"/>
    </sheetView>
  </sheetViews>
  <sheetFormatPr defaultRowHeight="14.4"/>
  <cols>
    <col min="1" max="1" width="24.33203125" bestFit="1" customWidth="1"/>
    <col min="2" max="2" width="18.44140625" bestFit="1" customWidth="1"/>
    <col min="3" max="3" width="23.88671875" bestFit="1" customWidth="1"/>
    <col min="4" max="4" width="16.33203125" bestFit="1" customWidth="1"/>
    <col min="5" max="5" width="17.44140625" bestFit="1" customWidth="1"/>
    <col min="6" max="6" width="27.44140625" bestFit="1" customWidth="1"/>
  </cols>
  <sheetData>
    <row r="1" spans="1:6">
      <c r="A1" s="10" t="s">
        <v>2467</v>
      </c>
      <c r="B1" s="10" t="s">
        <v>3</v>
      </c>
      <c r="C1" s="10" t="s">
        <v>2453</v>
      </c>
      <c r="D1" s="10" t="s">
        <v>2454</v>
      </c>
      <c r="E1" s="10" t="s">
        <v>2455</v>
      </c>
      <c r="F1" s="10" t="s">
        <v>2471</v>
      </c>
    </row>
    <row r="2" spans="1:6">
      <c r="A2" s="4" t="s">
        <v>68</v>
      </c>
      <c r="B2" s="4" t="s">
        <v>70</v>
      </c>
      <c r="C2" s="5">
        <v>3150</v>
      </c>
      <c r="D2" s="5">
        <v>480.50799999999998</v>
      </c>
      <c r="E2" s="5">
        <v>3630.5079999999998</v>
      </c>
      <c r="F2" s="25" t="s">
        <v>2447</v>
      </c>
    </row>
    <row r="3" spans="1:6">
      <c r="A3" s="4" t="s">
        <v>104</v>
      </c>
      <c r="B3" s="4" t="s">
        <v>106</v>
      </c>
      <c r="C3" s="5">
        <v>1125</v>
      </c>
      <c r="D3" s="5">
        <v>120.536</v>
      </c>
      <c r="E3" s="5">
        <v>1245.5360000000001</v>
      </c>
      <c r="F3" s="25" t="s">
        <v>2449</v>
      </c>
    </row>
    <row r="4" spans="1:6">
      <c r="A4" s="7" t="s">
        <v>110</v>
      </c>
      <c r="B4" s="7" t="s">
        <v>113</v>
      </c>
      <c r="C4" s="8">
        <v>3600</v>
      </c>
      <c r="D4" s="8">
        <v>549.15300000000002</v>
      </c>
      <c r="E4" s="8">
        <v>4149.1530000000002</v>
      </c>
      <c r="F4" s="25" t="s">
        <v>2449</v>
      </c>
    </row>
    <row r="5" spans="1:6">
      <c r="A5" s="4" t="s">
        <v>116</v>
      </c>
      <c r="B5" s="4" t="s">
        <v>118</v>
      </c>
      <c r="C5" s="5">
        <v>3600</v>
      </c>
      <c r="D5" s="5">
        <v>549.15300000000002</v>
      </c>
      <c r="E5" s="5">
        <v>4149.1530000000002</v>
      </c>
      <c r="F5" s="25" t="s">
        <v>2450</v>
      </c>
    </row>
    <row r="6" spans="1:6">
      <c r="A6" s="7" t="s">
        <v>121</v>
      </c>
      <c r="B6" s="7" t="s">
        <v>123</v>
      </c>
      <c r="C6" s="8">
        <v>3200</v>
      </c>
      <c r="D6" s="8">
        <v>342.85700000000003</v>
      </c>
      <c r="E6" s="8">
        <v>3542.857</v>
      </c>
      <c r="F6" s="25" t="s">
        <v>2447</v>
      </c>
    </row>
    <row r="7" spans="1:6">
      <c r="A7" s="4" t="s">
        <v>138</v>
      </c>
      <c r="B7" s="4" t="s">
        <v>140</v>
      </c>
      <c r="C7" s="5">
        <v>2450</v>
      </c>
      <c r="D7" s="5">
        <v>116.667</v>
      </c>
      <c r="E7" s="5">
        <v>2566.6669999999999</v>
      </c>
      <c r="F7" s="25" t="s">
        <v>2451</v>
      </c>
    </row>
    <row r="8" spans="1:6">
      <c r="A8" s="4" t="s">
        <v>146</v>
      </c>
      <c r="B8" s="4" t="s">
        <v>148</v>
      </c>
      <c r="C8" s="5">
        <v>3000</v>
      </c>
      <c r="D8" s="5">
        <v>321.42899999999997</v>
      </c>
      <c r="E8" s="5">
        <v>3321.4290000000001</v>
      </c>
      <c r="F8" s="25" t="s">
        <v>2449</v>
      </c>
    </row>
    <row r="9" spans="1:6">
      <c r="A9" s="7" t="s">
        <v>151</v>
      </c>
      <c r="B9" s="7" t="s">
        <v>153</v>
      </c>
      <c r="C9" s="8">
        <v>3500</v>
      </c>
      <c r="D9" s="8">
        <v>533.89800000000002</v>
      </c>
      <c r="E9" s="8">
        <v>4033.8980000000001</v>
      </c>
      <c r="F9" s="25" t="s">
        <v>2447</v>
      </c>
    </row>
    <row r="10" spans="1:6">
      <c r="A10" s="4" t="s">
        <v>159</v>
      </c>
      <c r="B10" s="4" t="s">
        <v>161</v>
      </c>
      <c r="C10" s="5">
        <v>3150</v>
      </c>
      <c r="D10" s="5">
        <v>480.50799999999998</v>
      </c>
      <c r="E10" s="5">
        <v>3630.5079999999998</v>
      </c>
      <c r="F10" s="25" t="s">
        <v>2449</v>
      </c>
    </row>
    <row r="11" spans="1:6">
      <c r="A11" s="7" t="s">
        <v>162</v>
      </c>
      <c r="B11" s="7" t="s">
        <v>164</v>
      </c>
      <c r="C11" s="8">
        <v>4000</v>
      </c>
      <c r="D11" s="8">
        <v>428.57100000000003</v>
      </c>
      <c r="E11" s="8">
        <v>4428.5709999999999</v>
      </c>
      <c r="F11" s="25" t="s">
        <v>2449</v>
      </c>
    </row>
    <row r="12" spans="1:6">
      <c r="A12" s="7" t="s">
        <v>189</v>
      </c>
      <c r="B12" s="7" t="s">
        <v>192</v>
      </c>
      <c r="C12" s="8">
        <v>3465</v>
      </c>
      <c r="D12" s="8">
        <v>528.55899999999997</v>
      </c>
      <c r="E12" s="8">
        <v>3993.5590000000002</v>
      </c>
      <c r="F12" s="25" t="s">
        <v>2447</v>
      </c>
    </row>
    <row r="13" spans="1:6">
      <c r="A13" s="4" t="s">
        <v>193</v>
      </c>
      <c r="B13" s="4" t="s">
        <v>196</v>
      </c>
      <c r="C13" s="5">
        <v>3465</v>
      </c>
      <c r="D13" s="5">
        <v>528.55899999999997</v>
      </c>
      <c r="E13" s="5">
        <v>3993.5590000000002</v>
      </c>
      <c r="F13" s="25" t="s">
        <v>2449</v>
      </c>
    </row>
    <row r="14" spans="1:6">
      <c r="A14" s="7" t="s">
        <v>205</v>
      </c>
      <c r="B14" s="7" t="s">
        <v>208</v>
      </c>
      <c r="C14" s="8">
        <v>4050</v>
      </c>
      <c r="D14" s="8">
        <v>617.79700000000003</v>
      </c>
      <c r="E14" s="8">
        <v>4667.7970000000005</v>
      </c>
      <c r="F14" s="25" t="s">
        <v>2449</v>
      </c>
    </row>
    <row r="15" spans="1:6">
      <c r="A15" s="4" t="s">
        <v>210</v>
      </c>
      <c r="B15" s="4" t="s">
        <v>213</v>
      </c>
      <c r="C15" s="5">
        <v>4050</v>
      </c>
      <c r="D15" s="5">
        <v>433.92899999999997</v>
      </c>
      <c r="E15" s="5">
        <v>4483.9290000000001</v>
      </c>
      <c r="F15" s="25" t="s">
        <v>2447</v>
      </c>
    </row>
    <row r="16" spans="1:6">
      <c r="A16" s="7" t="s">
        <v>216</v>
      </c>
      <c r="B16" s="7" t="s">
        <v>219</v>
      </c>
      <c r="C16" s="8">
        <v>4050</v>
      </c>
      <c r="D16" s="8">
        <v>433.92899999999997</v>
      </c>
      <c r="E16" s="8">
        <v>4483.9290000000001</v>
      </c>
      <c r="F16" s="25" t="s">
        <v>2447</v>
      </c>
    </row>
    <row r="17" spans="1:6">
      <c r="A17" s="4" t="s">
        <v>227</v>
      </c>
      <c r="B17" s="4" t="s">
        <v>229</v>
      </c>
      <c r="C17" s="5">
        <v>3375</v>
      </c>
      <c r="D17" s="5">
        <v>361.60700000000003</v>
      </c>
      <c r="E17" s="5">
        <v>3736.607</v>
      </c>
      <c r="F17" s="25" t="s">
        <v>2447</v>
      </c>
    </row>
    <row r="18" spans="1:6">
      <c r="A18" s="7" t="s">
        <v>227</v>
      </c>
      <c r="B18" s="7" t="s">
        <v>232</v>
      </c>
      <c r="C18" s="8">
        <v>3375</v>
      </c>
      <c r="D18" s="8">
        <v>361.60700000000003</v>
      </c>
      <c r="E18" s="8">
        <v>3736.607</v>
      </c>
      <c r="F18" s="25" t="s">
        <v>2447</v>
      </c>
    </row>
    <row r="19" spans="1:6">
      <c r="A19" s="7" t="s">
        <v>237</v>
      </c>
      <c r="B19" s="7" t="s">
        <v>239</v>
      </c>
      <c r="C19" s="8">
        <v>2800</v>
      </c>
      <c r="D19" s="8">
        <v>300</v>
      </c>
      <c r="E19" s="8">
        <v>3100</v>
      </c>
      <c r="F19" s="25" t="s">
        <v>2447</v>
      </c>
    </row>
    <row r="20" spans="1:6">
      <c r="A20" s="4" t="s">
        <v>248</v>
      </c>
      <c r="B20" s="4" t="s">
        <v>250</v>
      </c>
      <c r="C20" s="5">
        <v>3375</v>
      </c>
      <c r="D20" s="5">
        <v>514.83100000000002</v>
      </c>
      <c r="E20" s="5">
        <v>3889.8310000000001</v>
      </c>
      <c r="F20" s="25" t="s">
        <v>2447</v>
      </c>
    </row>
    <row r="21" spans="1:6">
      <c r="A21" s="4" t="s">
        <v>255</v>
      </c>
      <c r="B21" s="4" t="s">
        <v>257</v>
      </c>
      <c r="C21" s="5">
        <v>2800</v>
      </c>
      <c r="D21" s="5">
        <v>427.11900000000003</v>
      </c>
      <c r="E21" s="5">
        <v>3227.1190000000001</v>
      </c>
      <c r="F21" s="25" t="s">
        <v>2451</v>
      </c>
    </row>
    <row r="22" spans="1:6">
      <c r="A22" s="4" t="s">
        <v>263</v>
      </c>
      <c r="B22" s="4" t="s">
        <v>265</v>
      </c>
      <c r="C22" s="5">
        <v>1400</v>
      </c>
      <c r="D22" s="5">
        <v>150</v>
      </c>
      <c r="E22" s="5">
        <v>1550</v>
      </c>
      <c r="F22" s="25" t="s">
        <v>2447</v>
      </c>
    </row>
    <row r="23" spans="1:6">
      <c r="A23" s="7" t="s">
        <v>267</v>
      </c>
      <c r="B23" s="7" t="s">
        <v>269</v>
      </c>
      <c r="C23" s="8">
        <v>1400</v>
      </c>
      <c r="D23" s="8">
        <v>66.667000000000002</v>
      </c>
      <c r="E23" s="8">
        <v>1466.6669999999999</v>
      </c>
      <c r="F23" s="25" t="s">
        <v>2447</v>
      </c>
    </row>
    <row r="24" spans="1:6">
      <c r="A24" s="4" t="s">
        <v>280</v>
      </c>
      <c r="B24" s="4" t="s">
        <v>279</v>
      </c>
      <c r="C24" s="5">
        <v>3600</v>
      </c>
      <c r="D24" s="5">
        <v>385.714</v>
      </c>
      <c r="E24" s="5">
        <v>3985.7139999999999</v>
      </c>
      <c r="F24" s="25" t="s">
        <v>2447</v>
      </c>
    </row>
    <row r="25" spans="1:6">
      <c r="A25" s="4" t="s">
        <v>285</v>
      </c>
      <c r="B25" s="4" t="s">
        <v>287</v>
      </c>
      <c r="C25" s="5">
        <v>4050</v>
      </c>
      <c r="D25" s="5">
        <v>617.79700000000003</v>
      </c>
      <c r="E25" s="5">
        <v>4667.7970000000005</v>
      </c>
      <c r="F25" s="25" t="s">
        <v>2447</v>
      </c>
    </row>
    <row r="26" spans="1:6">
      <c r="A26" s="4" t="s">
        <v>291</v>
      </c>
      <c r="B26" s="4" t="s">
        <v>287</v>
      </c>
      <c r="C26" s="5">
        <v>3600</v>
      </c>
      <c r="D26" s="5">
        <v>385.714</v>
      </c>
      <c r="E26" s="5">
        <v>3985.7139999999999</v>
      </c>
      <c r="F26" s="25" t="s">
        <v>2447</v>
      </c>
    </row>
    <row r="27" spans="1:6">
      <c r="A27" s="7" t="s">
        <v>340</v>
      </c>
      <c r="B27" s="7" t="s">
        <v>343</v>
      </c>
      <c r="C27" s="8">
        <v>3600</v>
      </c>
      <c r="D27" s="8">
        <v>549.15300000000002</v>
      </c>
      <c r="E27" s="8">
        <v>4149.1530000000002</v>
      </c>
      <c r="F27" s="25" t="s">
        <v>2447</v>
      </c>
    </row>
    <row r="28" spans="1:6">
      <c r="A28" s="7" t="s">
        <v>358</v>
      </c>
      <c r="B28" s="7" t="s">
        <v>360</v>
      </c>
      <c r="C28" s="8">
        <v>3200</v>
      </c>
      <c r="D28" s="8">
        <v>342.85700000000003</v>
      </c>
      <c r="E28" s="8">
        <v>3542.857</v>
      </c>
      <c r="F28" s="25" t="s">
        <v>2448</v>
      </c>
    </row>
    <row r="29" spans="1:6">
      <c r="A29" s="7" t="s">
        <v>374</v>
      </c>
      <c r="B29" s="7" t="s">
        <v>377</v>
      </c>
      <c r="C29" s="8">
        <v>3600</v>
      </c>
      <c r="D29" s="8">
        <v>385.714</v>
      </c>
      <c r="E29" s="8">
        <v>3985.7139999999999</v>
      </c>
      <c r="F29" s="25" t="s">
        <v>2447</v>
      </c>
    </row>
    <row r="30" spans="1:6">
      <c r="A30" s="7" t="s">
        <v>442</v>
      </c>
      <c r="B30" s="7" t="s">
        <v>444</v>
      </c>
      <c r="C30" s="8">
        <v>3600</v>
      </c>
      <c r="D30" s="8">
        <v>549.15300000000002</v>
      </c>
      <c r="E30" s="8">
        <v>4149.1530000000002</v>
      </c>
      <c r="F30" s="25" t="s">
        <v>2449</v>
      </c>
    </row>
    <row r="31" spans="1:6">
      <c r="A31" s="7" t="s">
        <v>457</v>
      </c>
      <c r="B31" s="7" t="s">
        <v>455</v>
      </c>
      <c r="C31" s="8">
        <v>3400</v>
      </c>
      <c r="D31" s="8">
        <v>364.286</v>
      </c>
      <c r="E31" s="8">
        <v>3764.2860000000001</v>
      </c>
      <c r="F31" s="25" t="s">
        <v>2447</v>
      </c>
    </row>
    <row r="32" spans="1:6">
      <c r="A32" s="4" t="s">
        <v>466</v>
      </c>
      <c r="B32" s="4" t="s">
        <v>468</v>
      </c>
      <c r="C32" s="5">
        <v>3400</v>
      </c>
      <c r="D32" s="5">
        <v>364.286</v>
      </c>
      <c r="E32" s="5">
        <v>3764.2860000000001</v>
      </c>
      <c r="F32" s="25" t="s">
        <v>2447</v>
      </c>
    </row>
    <row r="33" spans="1:6">
      <c r="A33" s="7" t="s">
        <v>469</v>
      </c>
      <c r="B33" s="7" t="s">
        <v>472</v>
      </c>
      <c r="C33" s="8">
        <v>3188</v>
      </c>
      <c r="D33" s="8">
        <v>341.572</v>
      </c>
      <c r="E33" s="8">
        <v>3529.5720000000001</v>
      </c>
      <c r="F33" s="25" t="s">
        <v>2447</v>
      </c>
    </row>
    <row r="34" spans="1:6">
      <c r="A34" s="7" t="s">
        <v>479</v>
      </c>
      <c r="B34" s="7" t="s">
        <v>482</v>
      </c>
      <c r="C34" s="8">
        <v>3563</v>
      </c>
      <c r="D34" s="8">
        <v>543.50800000000004</v>
      </c>
      <c r="E34" s="8">
        <v>4106.5079999999998</v>
      </c>
      <c r="F34" s="25" t="s">
        <v>2447</v>
      </c>
    </row>
    <row r="35" spans="1:6">
      <c r="A35" s="4" t="s">
        <v>483</v>
      </c>
      <c r="B35" s="4" t="s">
        <v>486</v>
      </c>
      <c r="C35" s="5">
        <v>3563</v>
      </c>
      <c r="D35" s="5">
        <v>543.50800000000004</v>
      </c>
      <c r="E35" s="5">
        <v>4106.5079999999998</v>
      </c>
      <c r="F35" s="25" t="s">
        <v>2447</v>
      </c>
    </row>
    <row r="36" spans="1:6">
      <c r="A36" s="4" t="s">
        <v>492</v>
      </c>
      <c r="B36" s="4" t="s">
        <v>494</v>
      </c>
      <c r="C36" s="5">
        <v>2975</v>
      </c>
      <c r="D36" s="5">
        <v>318.75</v>
      </c>
      <c r="E36" s="5">
        <v>3293.75</v>
      </c>
      <c r="F36" s="25" t="s">
        <v>2447</v>
      </c>
    </row>
    <row r="37" spans="1:6">
      <c r="A37" s="7" t="s">
        <v>504</v>
      </c>
      <c r="B37" s="7" t="s">
        <v>507</v>
      </c>
      <c r="C37" s="8">
        <v>3600</v>
      </c>
      <c r="D37" s="8">
        <v>549.15300000000002</v>
      </c>
      <c r="E37" s="8">
        <v>4149.1530000000002</v>
      </c>
      <c r="F37" s="25" t="s">
        <v>2447</v>
      </c>
    </row>
    <row r="38" spans="1:6">
      <c r="A38" s="7" t="s">
        <v>517</v>
      </c>
      <c r="B38" s="7" t="s">
        <v>516</v>
      </c>
      <c r="C38" s="8">
        <v>3400</v>
      </c>
      <c r="D38" s="8">
        <v>364.286</v>
      </c>
      <c r="E38" s="8">
        <v>3764.2860000000001</v>
      </c>
      <c r="F38" s="25" t="s">
        <v>2447</v>
      </c>
    </row>
    <row r="39" spans="1:6">
      <c r="A39" s="4" t="s">
        <v>520</v>
      </c>
      <c r="B39" s="4" t="s">
        <v>523</v>
      </c>
      <c r="C39" s="5">
        <v>3150</v>
      </c>
      <c r="D39" s="5">
        <v>480.50799999999998</v>
      </c>
      <c r="E39" s="5">
        <v>3630.5079999999998</v>
      </c>
      <c r="F39" s="25" t="s">
        <v>2447</v>
      </c>
    </row>
    <row r="40" spans="1:6">
      <c r="A40" s="7" t="s">
        <v>534</v>
      </c>
      <c r="B40" s="7" t="s">
        <v>536</v>
      </c>
      <c r="C40" s="8">
        <v>3150</v>
      </c>
      <c r="D40" s="8">
        <v>480.50799999999998</v>
      </c>
      <c r="E40" s="8">
        <v>3630.5079999999998</v>
      </c>
      <c r="F40" s="25" t="s">
        <v>2449</v>
      </c>
    </row>
    <row r="41" spans="1:6">
      <c r="A41" s="4" t="s">
        <v>504</v>
      </c>
      <c r="B41" s="4" t="s">
        <v>543</v>
      </c>
      <c r="C41" s="5">
        <v>3150</v>
      </c>
      <c r="D41" s="5">
        <v>480.50799999999998</v>
      </c>
      <c r="E41" s="5">
        <v>3630.5079999999998</v>
      </c>
      <c r="F41" s="25" t="s">
        <v>2447</v>
      </c>
    </row>
    <row r="42" spans="1:6">
      <c r="A42" s="4" t="s">
        <v>547</v>
      </c>
      <c r="B42" s="4" t="s">
        <v>543</v>
      </c>
      <c r="C42" s="5">
        <v>3150</v>
      </c>
      <c r="D42" s="5">
        <v>480.50799999999998</v>
      </c>
      <c r="E42" s="5">
        <v>3630.5079999999998</v>
      </c>
      <c r="F42" s="25" t="s">
        <v>2447</v>
      </c>
    </row>
    <row r="43" spans="1:6">
      <c r="A43" s="4" t="s">
        <v>568</v>
      </c>
      <c r="B43" s="4" t="s">
        <v>570</v>
      </c>
      <c r="C43" s="5">
        <v>1600</v>
      </c>
      <c r="D43" s="5">
        <v>171.429</v>
      </c>
      <c r="E43" s="5">
        <v>1771.4290000000001</v>
      </c>
      <c r="F43" s="25" t="s">
        <v>2447</v>
      </c>
    </row>
    <row r="44" spans="1:6">
      <c r="A44" s="4" t="s">
        <v>575</v>
      </c>
      <c r="B44" s="4" t="s">
        <v>578</v>
      </c>
      <c r="C44" s="5">
        <v>3600</v>
      </c>
      <c r="D44" s="5">
        <v>549.15300000000002</v>
      </c>
      <c r="E44" s="5">
        <v>4149.1530000000002</v>
      </c>
      <c r="F44" s="25" t="s">
        <v>2447</v>
      </c>
    </row>
    <row r="45" spans="1:6">
      <c r="A45" s="4" t="s">
        <v>583</v>
      </c>
      <c r="B45" s="4" t="s">
        <v>585</v>
      </c>
      <c r="C45" s="5">
        <v>2600</v>
      </c>
      <c r="D45" s="5">
        <v>278.57100000000003</v>
      </c>
      <c r="E45" s="5">
        <v>2878.5709999999999</v>
      </c>
      <c r="F45" s="25" t="s">
        <v>2447</v>
      </c>
    </row>
    <row r="46" spans="1:6">
      <c r="A46" s="7" t="s">
        <v>606</v>
      </c>
      <c r="B46" s="7" t="s">
        <v>608</v>
      </c>
      <c r="C46" s="8">
        <v>3400</v>
      </c>
      <c r="D46" s="8">
        <v>364.286</v>
      </c>
      <c r="E46" s="8">
        <v>3764.2860000000001</v>
      </c>
      <c r="F46" s="25" t="s">
        <v>2447</v>
      </c>
    </row>
    <row r="47" spans="1:6">
      <c r="A47" s="4" t="s">
        <v>609</v>
      </c>
      <c r="B47" s="4" t="s">
        <v>611</v>
      </c>
      <c r="C47" s="5">
        <v>3600</v>
      </c>
      <c r="D47" s="5">
        <v>549.15300000000002</v>
      </c>
      <c r="E47" s="5">
        <v>4149.1530000000002</v>
      </c>
      <c r="F47" s="25" t="s">
        <v>2447</v>
      </c>
    </row>
    <row r="48" spans="1:6">
      <c r="A48" s="4" t="s">
        <v>617</v>
      </c>
      <c r="B48" s="4" t="s">
        <v>619</v>
      </c>
      <c r="C48" s="5">
        <v>3825</v>
      </c>
      <c r="D48" s="5">
        <v>583.47500000000002</v>
      </c>
      <c r="E48" s="5">
        <v>4408.4750000000004</v>
      </c>
      <c r="F48" s="25" t="s">
        <v>2447</v>
      </c>
    </row>
    <row r="49" spans="1:6">
      <c r="A49" s="7" t="s">
        <v>620</v>
      </c>
      <c r="B49" s="7" t="s">
        <v>622</v>
      </c>
      <c r="C49" s="8">
        <v>2100</v>
      </c>
      <c r="D49" s="8">
        <v>100</v>
      </c>
      <c r="E49" s="8">
        <v>2200</v>
      </c>
      <c r="F49" s="25" t="s">
        <v>2449</v>
      </c>
    </row>
    <row r="50" spans="1:6">
      <c r="A50" s="4" t="s">
        <v>625</v>
      </c>
      <c r="B50" s="4" t="s">
        <v>627</v>
      </c>
      <c r="C50" s="5">
        <v>2250</v>
      </c>
      <c r="D50" s="5">
        <v>241.071</v>
      </c>
      <c r="E50" s="5">
        <v>2491.0709999999999</v>
      </c>
      <c r="F50" s="25" t="s">
        <v>2449</v>
      </c>
    </row>
    <row r="51" spans="1:6">
      <c r="A51" s="7" t="s">
        <v>636</v>
      </c>
      <c r="B51" s="7" t="s">
        <v>638</v>
      </c>
      <c r="C51" s="8">
        <v>2275</v>
      </c>
      <c r="D51" s="8">
        <v>243.75</v>
      </c>
      <c r="E51" s="8">
        <v>2518.75</v>
      </c>
      <c r="F51" s="25" t="s">
        <v>2447</v>
      </c>
    </row>
    <row r="52" spans="1:6">
      <c r="A52" s="7" t="s">
        <v>665</v>
      </c>
      <c r="B52" s="7" t="s">
        <v>662</v>
      </c>
      <c r="C52" s="8">
        <v>2125</v>
      </c>
      <c r="D52" s="8">
        <v>227.679</v>
      </c>
      <c r="E52" s="8">
        <v>2352.6790000000001</v>
      </c>
      <c r="F52" s="25" t="s">
        <v>2447</v>
      </c>
    </row>
    <row r="53" spans="1:6">
      <c r="A53" s="4" t="s">
        <v>667</v>
      </c>
      <c r="B53" s="4" t="s">
        <v>670</v>
      </c>
      <c r="C53" s="5">
        <v>2125</v>
      </c>
      <c r="D53" s="5">
        <v>227.679</v>
      </c>
      <c r="E53" s="5">
        <v>2352.6790000000001</v>
      </c>
      <c r="F53" s="25" t="s">
        <v>2449</v>
      </c>
    </row>
    <row r="54" spans="1:6">
      <c r="A54" s="7" t="s">
        <v>678</v>
      </c>
      <c r="B54" s="7" t="s">
        <v>680</v>
      </c>
      <c r="C54" s="8">
        <v>2275</v>
      </c>
      <c r="D54" s="8">
        <v>108.333</v>
      </c>
      <c r="E54" s="8">
        <v>2383.3330000000001</v>
      </c>
      <c r="F54" s="25" t="s">
        <v>2447</v>
      </c>
    </row>
    <row r="55" spans="1:6">
      <c r="A55" s="4" t="s">
        <v>682</v>
      </c>
      <c r="B55" s="4" t="s">
        <v>685</v>
      </c>
      <c r="C55" s="5">
        <v>2275</v>
      </c>
      <c r="D55" s="5">
        <v>243.75</v>
      </c>
      <c r="E55" s="5">
        <v>2518.75</v>
      </c>
      <c r="F55" s="25" t="s">
        <v>2447</v>
      </c>
    </row>
    <row r="56" spans="1:6">
      <c r="A56" s="7" t="s">
        <v>687</v>
      </c>
      <c r="B56" s="7" t="s">
        <v>689</v>
      </c>
      <c r="C56" s="8">
        <v>2763</v>
      </c>
      <c r="D56" s="8">
        <v>296.036</v>
      </c>
      <c r="E56" s="8">
        <v>3059.0360000000001</v>
      </c>
      <c r="F56" s="25" t="s">
        <v>2449</v>
      </c>
    </row>
    <row r="57" spans="1:6">
      <c r="A57" s="4" t="s">
        <v>636</v>
      </c>
      <c r="B57" s="4" t="s">
        <v>694</v>
      </c>
      <c r="C57" s="5">
        <v>2450</v>
      </c>
      <c r="D57" s="5">
        <v>262.5</v>
      </c>
      <c r="E57" s="5">
        <v>2712.5</v>
      </c>
      <c r="F57" s="25" t="s">
        <v>2447</v>
      </c>
    </row>
    <row r="58" spans="1:6">
      <c r="A58" s="7" t="s">
        <v>678</v>
      </c>
      <c r="B58" s="7" t="s">
        <v>701</v>
      </c>
      <c r="C58" s="8">
        <v>2100</v>
      </c>
      <c r="D58" s="8">
        <v>100</v>
      </c>
      <c r="E58" s="8">
        <v>2200</v>
      </c>
      <c r="F58" s="25" t="s">
        <v>2447</v>
      </c>
    </row>
    <row r="59" spans="1:6">
      <c r="A59" s="4" t="s">
        <v>702</v>
      </c>
      <c r="B59" s="4" t="s">
        <v>704</v>
      </c>
      <c r="C59" s="5">
        <v>2550</v>
      </c>
      <c r="D59" s="5">
        <v>273.214</v>
      </c>
      <c r="E59" s="5">
        <v>2823.2139999999999</v>
      </c>
      <c r="F59" s="25" t="s">
        <v>2447</v>
      </c>
    </row>
    <row r="60" spans="1:6">
      <c r="A60" s="4" t="s">
        <v>706</v>
      </c>
      <c r="B60" s="4" t="s">
        <v>708</v>
      </c>
      <c r="C60" s="5">
        <v>2550</v>
      </c>
      <c r="D60" s="5">
        <v>273.214</v>
      </c>
      <c r="E60" s="5">
        <v>2823.2139999999999</v>
      </c>
      <c r="F60" s="25" t="s">
        <v>2449</v>
      </c>
    </row>
    <row r="61" spans="1:6">
      <c r="A61" s="7" t="s">
        <v>709</v>
      </c>
      <c r="B61" s="7" t="s">
        <v>712</v>
      </c>
      <c r="C61" s="8">
        <v>2550</v>
      </c>
      <c r="D61" s="8">
        <v>273.214</v>
      </c>
      <c r="E61" s="8">
        <v>2823.2139999999999</v>
      </c>
      <c r="F61" s="25" t="s">
        <v>2449</v>
      </c>
    </row>
    <row r="62" spans="1:6">
      <c r="A62" s="4" t="s">
        <v>713</v>
      </c>
      <c r="B62" s="4" t="s">
        <v>716</v>
      </c>
      <c r="C62" s="5">
        <v>2100</v>
      </c>
      <c r="D62" s="5">
        <v>100</v>
      </c>
      <c r="E62" s="5">
        <v>2200</v>
      </c>
      <c r="F62" s="25" t="s">
        <v>2449</v>
      </c>
    </row>
    <row r="63" spans="1:6">
      <c r="A63" s="4" t="s">
        <v>722</v>
      </c>
      <c r="B63" s="4" t="s">
        <v>724</v>
      </c>
      <c r="C63" s="5">
        <v>2275</v>
      </c>
      <c r="D63" s="5">
        <v>243.75</v>
      </c>
      <c r="E63" s="5">
        <v>2518.75</v>
      </c>
      <c r="F63" s="25" t="s">
        <v>2447</v>
      </c>
    </row>
    <row r="64" spans="1:6">
      <c r="A64" s="4" t="s">
        <v>678</v>
      </c>
      <c r="B64" s="4" t="s">
        <v>738</v>
      </c>
      <c r="C64" s="5">
        <v>2100</v>
      </c>
      <c r="D64" s="5">
        <v>100</v>
      </c>
      <c r="E64" s="5">
        <v>2200</v>
      </c>
      <c r="F64" s="25" t="s">
        <v>2447</v>
      </c>
    </row>
    <row r="65" spans="1:6">
      <c r="A65" s="7" t="s">
        <v>755</v>
      </c>
      <c r="B65" s="7" t="s">
        <v>758</v>
      </c>
      <c r="C65" s="8">
        <v>2240</v>
      </c>
      <c r="D65" s="8">
        <v>106.66800000000001</v>
      </c>
      <c r="E65" s="8">
        <v>2346.6680000000001</v>
      </c>
      <c r="F65" s="25" t="s">
        <v>2447</v>
      </c>
    </row>
    <row r="66" spans="1:6">
      <c r="A66" s="7" t="s">
        <v>762</v>
      </c>
      <c r="B66" s="7" t="s">
        <v>785</v>
      </c>
      <c r="C66" s="8">
        <v>2200</v>
      </c>
      <c r="D66" s="8">
        <v>104.762</v>
      </c>
      <c r="E66" s="8">
        <v>2304.7620000000002</v>
      </c>
      <c r="F66" s="25" t="s">
        <v>2451</v>
      </c>
    </row>
    <row r="67" spans="1:6">
      <c r="A67" s="7" t="s">
        <v>790</v>
      </c>
      <c r="B67" s="7" t="s">
        <v>792</v>
      </c>
      <c r="C67" s="8">
        <v>4050</v>
      </c>
      <c r="D67" s="8">
        <v>433.92899999999997</v>
      </c>
      <c r="E67" s="8">
        <v>4483.9290000000001</v>
      </c>
      <c r="F67" s="25" t="s">
        <v>2452</v>
      </c>
    </row>
    <row r="68" spans="1:6">
      <c r="A68" s="4" t="s">
        <v>146</v>
      </c>
      <c r="B68" s="4" t="s">
        <v>793</v>
      </c>
      <c r="C68" s="5">
        <v>2625</v>
      </c>
      <c r="D68" s="5">
        <v>281.25</v>
      </c>
      <c r="E68" s="5">
        <v>2906.25</v>
      </c>
      <c r="F68" s="25" t="s">
        <v>2449</v>
      </c>
    </row>
    <row r="69" spans="1:6">
      <c r="A69" s="7" t="s">
        <v>146</v>
      </c>
      <c r="B69" s="7" t="s">
        <v>801</v>
      </c>
      <c r="C69" s="8">
        <v>4675</v>
      </c>
      <c r="D69" s="8">
        <v>500.89299999999997</v>
      </c>
      <c r="E69" s="8">
        <v>5175.893</v>
      </c>
      <c r="F69" s="25" t="s">
        <v>2449</v>
      </c>
    </row>
    <row r="70" spans="1:6">
      <c r="A70" s="7" t="s">
        <v>811</v>
      </c>
      <c r="B70" s="7" t="s">
        <v>810</v>
      </c>
      <c r="C70" s="8">
        <v>3750</v>
      </c>
      <c r="D70" s="8">
        <v>401.786</v>
      </c>
      <c r="E70" s="8">
        <v>4151.7860000000001</v>
      </c>
      <c r="F70" s="25" t="s">
        <v>2449</v>
      </c>
    </row>
    <row r="71" spans="1:6">
      <c r="A71" s="7" t="s">
        <v>818</v>
      </c>
      <c r="B71" s="7" t="s">
        <v>817</v>
      </c>
      <c r="C71" s="8">
        <v>4500</v>
      </c>
      <c r="D71" s="8">
        <v>686.44100000000003</v>
      </c>
      <c r="E71" s="8">
        <v>5186.4409999999998</v>
      </c>
      <c r="F71" s="25" t="s">
        <v>2447</v>
      </c>
    </row>
    <row r="72" spans="1:6">
      <c r="A72" s="4" t="s">
        <v>834</v>
      </c>
      <c r="B72" s="4" t="s">
        <v>836</v>
      </c>
      <c r="C72" s="5">
        <v>5908</v>
      </c>
      <c r="D72" s="5">
        <v>633</v>
      </c>
      <c r="E72" s="5">
        <v>6541</v>
      </c>
      <c r="F72" s="25" t="s">
        <v>2447</v>
      </c>
    </row>
    <row r="73" spans="1:6">
      <c r="A73" s="4" t="s">
        <v>841</v>
      </c>
      <c r="B73" s="4" t="s">
        <v>843</v>
      </c>
      <c r="C73" s="5">
        <v>3400</v>
      </c>
      <c r="D73" s="5">
        <v>364.286</v>
      </c>
      <c r="E73" s="5">
        <v>3764.2860000000001</v>
      </c>
      <c r="F73" s="25" t="s">
        <v>2447</v>
      </c>
    </row>
    <row r="74" spans="1:6">
      <c r="A74" s="7" t="s">
        <v>845</v>
      </c>
      <c r="B74" s="7" t="s">
        <v>847</v>
      </c>
      <c r="C74" s="8">
        <v>3400</v>
      </c>
      <c r="D74" s="8">
        <v>364.286</v>
      </c>
      <c r="E74" s="8">
        <v>3764.2860000000001</v>
      </c>
      <c r="F74" s="25" t="s">
        <v>2447</v>
      </c>
    </row>
    <row r="75" spans="1:6">
      <c r="A75" s="7" t="s">
        <v>854</v>
      </c>
      <c r="B75" s="7" t="s">
        <v>856</v>
      </c>
      <c r="C75" s="8">
        <v>2975</v>
      </c>
      <c r="D75" s="8">
        <v>318.75</v>
      </c>
      <c r="E75" s="8">
        <v>3293.75</v>
      </c>
      <c r="F75" s="25" t="s">
        <v>2447</v>
      </c>
    </row>
    <row r="76" spans="1:6">
      <c r="A76" s="7" t="s">
        <v>162</v>
      </c>
      <c r="B76" s="7" t="s">
        <v>867</v>
      </c>
      <c r="C76" s="8">
        <v>2975</v>
      </c>
      <c r="D76" s="8">
        <v>318.75</v>
      </c>
      <c r="E76" s="8">
        <v>3293.75</v>
      </c>
      <c r="F76" s="25" t="s">
        <v>2449</v>
      </c>
    </row>
    <row r="77" spans="1:6">
      <c r="A77" s="7" t="s">
        <v>883</v>
      </c>
      <c r="B77" s="7" t="s">
        <v>885</v>
      </c>
      <c r="C77" s="8">
        <v>3188</v>
      </c>
      <c r="D77" s="8">
        <v>341.57100000000003</v>
      </c>
      <c r="E77" s="8">
        <v>3529.5709999999999</v>
      </c>
      <c r="F77" s="25" t="s">
        <v>2446</v>
      </c>
    </row>
    <row r="78" spans="1:6">
      <c r="A78" s="4" t="s">
        <v>886</v>
      </c>
      <c r="B78" s="4" t="s">
        <v>895</v>
      </c>
      <c r="C78" s="5">
        <v>3600</v>
      </c>
      <c r="D78" s="5">
        <v>549.15300000000002</v>
      </c>
      <c r="E78" s="5">
        <v>4149.1530000000002</v>
      </c>
      <c r="F78" s="25" t="s">
        <v>2447</v>
      </c>
    </row>
    <row r="79" spans="1:6">
      <c r="A79" s="7" t="s">
        <v>896</v>
      </c>
      <c r="B79" s="7" t="s">
        <v>899</v>
      </c>
      <c r="C79" s="8">
        <v>3400</v>
      </c>
      <c r="D79" s="8">
        <v>364.286</v>
      </c>
      <c r="E79" s="8">
        <v>3764.2860000000001</v>
      </c>
      <c r="F79" s="25" t="s">
        <v>2447</v>
      </c>
    </row>
    <row r="80" spans="1:6">
      <c r="A80" s="7" t="s">
        <v>905</v>
      </c>
      <c r="B80" s="7" t="s">
        <v>908</v>
      </c>
      <c r="C80" s="8">
        <v>3600</v>
      </c>
      <c r="D80" s="8">
        <v>549.154</v>
      </c>
      <c r="E80" s="8">
        <v>4149.1540000000005</v>
      </c>
      <c r="F80" s="25" t="s">
        <v>2450</v>
      </c>
    </row>
    <row r="81" spans="1:6">
      <c r="A81" s="7" t="s">
        <v>917</v>
      </c>
      <c r="B81" s="7" t="s">
        <v>920</v>
      </c>
      <c r="C81" s="8">
        <v>3400</v>
      </c>
      <c r="D81" s="8">
        <v>364.286</v>
      </c>
      <c r="E81" s="8">
        <v>3764.2860000000001</v>
      </c>
      <c r="F81" s="25" t="s">
        <v>2447</v>
      </c>
    </row>
    <row r="82" spans="1:6">
      <c r="A82" s="4" t="s">
        <v>921</v>
      </c>
      <c r="B82" s="4" t="s">
        <v>920</v>
      </c>
      <c r="C82" s="5">
        <v>3400</v>
      </c>
      <c r="D82" s="5">
        <v>364.286</v>
      </c>
      <c r="E82" s="5">
        <v>3764.2860000000001</v>
      </c>
      <c r="F82" s="25" t="s">
        <v>2447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591E-F16C-4718-A51D-C9BCAB806438}">
  <dimension ref="A1:E24"/>
  <sheetViews>
    <sheetView workbookViewId="0">
      <selection activeCell="A2" sqref="A2"/>
    </sheetView>
  </sheetViews>
  <sheetFormatPr defaultRowHeight="14.4"/>
  <cols>
    <col min="1" max="1" width="24.33203125" bestFit="1" customWidth="1"/>
    <col min="2" max="2" width="17" bestFit="1" customWidth="1"/>
    <col min="3" max="3" width="23.88671875" bestFit="1" customWidth="1"/>
    <col min="4" max="4" width="16.33203125" bestFit="1" customWidth="1"/>
    <col min="5" max="5" width="17.44140625" bestFit="1" customWidth="1"/>
  </cols>
  <sheetData>
    <row r="1" spans="1:5">
      <c r="A1" s="9" t="s">
        <v>2467</v>
      </c>
      <c r="B1" s="9" t="s">
        <v>3</v>
      </c>
      <c r="C1" s="9" t="s">
        <v>2453</v>
      </c>
      <c r="D1" s="9" t="s">
        <v>2454</v>
      </c>
      <c r="E1" s="9" t="s">
        <v>2455</v>
      </c>
    </row>
    <row r="2" spans="1:5">
      <c r="A2" s="7" t="s">
        <v>100</v>
      </c>
      <c r="B2" s="7" t="s">
        <v>97</v>
      </c>
      <c r="C2" s="8">
        <v>1688</v>
      </c>
      <c r="D2" s="8">
        <v>180.857</v>
      </c>
      <c r="E2" s="8">
        <v>1868.857</v>
      </c>
    </row>
    <row r="3" spans="1:5">
      <c r="A3" s="7" t="s">
        <v>132</v>
      </c>
      <c r="B3" s="7" t="s">
        <v>135</v>
      </c>
      <c r="C3" s="8">
        <v>3200</v>
      </c>
      <c r="D3" s="8">
        <v>488.13600000000002</v>
      </c>
      <c r="E3" s="8">
        <v>3688.136</v>
      </c>
    </row>
    <row r="4" spans="1:5">
      <c r="A4" s="7" t="s">
        <v>155</v>
      </c>
      <c r="B4" s="7" t="s">
        <v>157</v>
      </c>
      <c r="C4" s="8">
        <v>3150</v>
      </c>
      <c r="D4" s="8">
        <v>337.5</v>
      </c>
      <c r="E4" s="8">
        <v>3487.5</v>
      </c>
    </row>
    <row r="5" spans="1:5">
      <c r="A5" s="7" t="s">
        <v>169</v>
      </c>
      <c r="B5" s="7" t="s">
        <v>171</v>
      </c>
      <c r="C5" s="8">
        <v>3750</v>
      </c>
      <c r="D5" s="8">
        <v>401.786</v>
      </c>
      <c r="E5" s="8">
        <v>4151.7860000000001</v>
      </c>
    </row>
    <row r="6" spans="1:5">
      <c r="A6" s="4" t="s">
        <v>173</v>
      </c>
      <c r="B6" s="4" t="s">
        <v>175</v>
      </c>
      <c r="C6" s="5">
        <v>3750</v>
      </c>
      <c r="D6" s="5">
        <v>401.786</v>
      </c>
      <c r="E6" s="5">
        <v>4151.7860000000001</v>
      </c>
    </row>
    <row r="7" spans="1:5">
      <c r="A7" s="4" t="s">
        <v>297</v>
      </c>
      <c r="B7" s="4" t="s">
        <v>299</v>
      </c>
      <c r="C7" s="5">
        <v>3375</v>
      </c>
      <c r="D7" s="5">
        <v>514.83100000000002</v>
      </c>
      <c r="E7" s="5">
        <v>3889.8310000000001</v>
      </c>
    </row>
    <row r="8" spans="1:5">
      <c r="A8" s="4" t="s">
        <v>334</v>
      </c>
      <c r="B8" s="4" t="s">
        <v>336</v>
      </c>
      <c r="C8" s="5">
        <v>3600</v>
      </c>
      <c r="D8" s="5">
        <v>385.714</v>
      </c>
      <c r="E8" s="5">
        <v>3985.7139999999999</v>
      </c>
    </row>
    <row r="9" spans="1:5">
      <c r="A9" s="4" t="s">
        <v>430</v>
      </c>
      <c r="B9" s="4" t="s">
        <v>432</v>
      </c>
      <c r="C9" s="5">
        <v>3600</v>
      </c>
      <c r="D9" s="5">
        <v>549.15300000000002</v>
      </c>
      <c r="E9" s="5">
        <v>4149.1530000000002</v>
      </c>
    </row>
    <row r="10" spans="1:5">
      <c r="A10" s="7" t="s">
        <v>463</v>
      </c>
      <c r="B10" s="7" t="s">
        <v>465</v>
      </c>
      <c r="C10" s="8">
        <v>3400</v>
      </c>
      <c r="D10" s="8">
        <v>364.286</v>
      </c>
      <c r="E10" s="8">
        <v>3764.2860000000001</v>
      </c>
    </row>
    <row r="11" spans="1:5">
      <c r="A11" s="4" t="s">
        <v>538</v>
      </c>
      <c r="B11" s="4" t="s">
        <v>536</v>
      </c>
      <c r="C11" s="5">
        <v>3150</v>
      </c>
      <c r="D11" s="5">
        <v>480.50799999999998</v>
      </c>
      <c r="E11" s="5">
        <v>3630.5079999999998</v>
      </c>
    </row>
    <row r="12" spans="1:5">
      <c r="A12" s="7" t="s">
        <v>550</v>
      </c>
      <c r="B12" s="7" t="s">
        <v>543</v>
      </c>
      <c r="C12" s="8">
        <v>3150</v>
      </c>
      <c r="D12" s="8">
        <v>337.5</v>
      </c>
      <c r="E12" s="8">
        <v>3487.5</v>
      </c>
    </row>
    <row r="13" spans="1:5">
      <c r="A13" s="4" t="s">
        <v>553</v>
      </c>
      <c r="B13" s="4" t="s">
        <v>556</v>
      </c>
      <c r="C13" s="5">
        <v>3150</v>
      </c>
      <c r="D13" s="5">
        <v>480.50799999999998</v>
      </c>
      <c r="E13" s="5">
        <v>3630.5079999999998</v>
      </c>
    </row>
    <row r="14" spans="1:5">
      <c r="A14" s="7" t="s">
        <v>565</v>
      </c>
      <c r="B14" s="7" t="s">
        <v>567</v>
      </c>
      <c r="C14" s="8">
        <v>1600</v>
      </c>
      <c r="D14" s="8">
        <v>171.429</v>
      </c>
      <c r="E14" s="8">
        <v>1771.4290000000001</v>
      </c>
    </row>
    <row r="15" spans="1:5">
      <c r="A15" s="7" t="s">
        <v>651</v>
      </c>
      <c r="B15" s="7" t="s">
        <v>653</v>
      </c>
      <c r="C15" s="8">
        <v>2000</v>
      </c>
      <c r="D15" s="8">
        <v>95.238</v>
      </c>
      <c r="E15" s="8">
        <v>2095.2379999999998</v>
      </c>
    </row>
    <row r="16" spans="1:5">
      <c r="A16" s="7" t="s">
        <v>691</v>
      </c>
      <c r="B16" s="7" t="s">
        <v>693</v>
      </c>
      <c r="C16" s="8">
        <v>3150</v>
      </c>
      <c r="D16" s="8">
        <v>337.5</v>
      </c>
      <c r="E16" s="8">
        <v>3487.5</v>
      </c>
    </row>
    <row r="17" spans="1:5">
      <c r="A17" s="4" t="s">
        <v>691</v>
      </c>
      <c r="B17" s="4" t="s">
        <v>700</v>
      </c>
      <c r="C17" s="5">
        <v>2925</v>
      </c>
      <c r="D17" s="5">
        <v>313.39299999999997</v>
      </c>
      <c r="E17" s="5">
        <v>3238.393</v>
      </c>
    </row>
    <row r="18" spans="1:5">
      <c r="A18" s="7" t="s">
        <v>725</v>
      </c>
      <c r="B18" s="7" t="s">
        <v>728</v>
      </c>
      <c r="C18" s="8">
        <v>2275</v>
      </c>
      <c r="D18" s="8">
        <v>243.75</v>
      </c>
      <c r="E18" s="8">
        <v>2518.75</v>
      </c>
    </row>
    <row r="19" spans="1:5">
      <c r="A19" s="4" t="s">
        <v>752</v>
      </c>
      <c r="B19" s="4" t="s">
        <v>754</v>
      </c>
      <c r="C19" s="5">
        <v>2380</v>
      </c>
      <c r="D19" s="5">
        <v>255</v>
      </c>
      <c r="E19" s="5">
        <v>2635</v>
      </c>
    </row>
    <row r="20" spans="1:5">
      <c r="A20" s="7" t="s">
        <v>777</v>
      </c>
      <c r="B20" s="7" t="s">
        <v>780</v>
      </c>
      <c r="C20" s="8">
        <v>2763</v>
      </c>
      <c r="D20" s="8">
        <v>296.036</v>
      </c>
      <c r="E20" s="8">
        <v>3059.0360000000001</v>
      </c>
    </row>
    <row r="21" spans="1:5">
      <c r="A21" s="4" t="s">
        <v>808</v>
      </c>
      <c r="B21" s="4" t="s">
        <v>810</v>
      </c>
      <c r="C21" s="5">
        <v>3750</v>
      </c>
      <c r="D21" s="5">
        <v>401.786</v>
      </c>
      <c r="E21" s="5">
        <v>4151.7860000000001</v>
      </c>
    </row>
    <row r="22" spans="1:5">
      <c r="A22" s="4" t="s">
        <v>857</v>
      </c>
      <c r="B22" s="4" t="s">
        <v>859</v>
      </c>
      <c r="C22" s="5">
        <v>3150</v>
      </c>
      <c r="D22" s="5">
        <v>480.50799999999998</v>
      </c>
      <c r="E22" s="5">
        <v>3630.5079999999998</v>
      </c>
    </row>
    <row r="23" spans="1:5">
      <c r="A23" s="4" t="s">
        <v>874</v>
      </c>
      <c r="B23" s="4" t="s">
        <v>876</v>
      </c>
      <c r="C23" s="5">
        <v>2975</v>
      </c>
      <c r="D23" s="5">
        <v>318.75</v>
      </c>
      <c r="E23" s="5">
        <v>3293.75</v>
      </c>
    </row>
    <row r="24" spans="1:5">
      <c r="A24" s="4" t="s">
        <v>901</v>
      </c>
      <c r="B24" s="4" t="s">
        <v>904</v>
      </c>
      <c r="C24" s="5">
        <v>3600</v>
      </c>
      <c r="D24" s="5">
        <v>549.15300000000002</v>
      </c>
      <c r="E24" s="5">
        <v>4149.1530000000002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B9EA-54DA-4908-97F6-EFBE7A2868E0}">
  <dimension ref="A1:F13"/>
  <sheetViews>
    <sheetView workbookViewId="0">
      <selection activeCell="E1" sqref="E1"/>
    </sheetView>
  </sheetViews>
  <sheetFormatPr defaultRowHeight="14.4"/>
  <cols>
    <col min="1" max="1" width="24.33203125" bestFit="1" customWidth="1"/>
    <col min="2" max="2" width="16" bestFit="1" customWidth="1"/>
    <col min="3" max="3" width="23.88671875" bestFit="1" customWidth="1"/>
    <col min="4" max="4" width="16.33203125" bestFit="1" customWidth="1"/>
    <col min="5" max="5" width="17.44140625" bestFit="1" customWidth="1"/>
    <col min="6" max="6" width="31.5546875" bestFit="1" customWidth="1"/>
  </cols>
  <sheetData>
    <row r="1" spans="1:6">
      <c r="A1" s="3" t="s">
        <v>2467</v>
      </c>
      <c r="B1" s="3" t="s">
        <v>3</v>
      </c>
      <c r="C1" s="3" t="s">
        <v>2453</v>
      </c>
      <c r="D1" s="3" t="s">
        <v>2454</v>
      </c>
      <c r="E1" s="3" t="s">
        <v>2455</v>
      </c>
      <c r="F1" s="3" t="s">
        <v>2444</v>
      </c>
    </row>
    <row r="2" spans="1:6">
      <c r="A2" s="4" t="s">
        <v>184</v>
      </c>
      <c r="B2" s="4" t="s">
        <v>186</v>
      </c>
      <c r="C2" s="5">
        <v>3465</v>
      </c>
      <c r="D2" s="5">
        <v>528.55899999999997</v>
      </c>
      <c r="E2" s="5">
        <v>3993.5590000000002</v>
      </c>
      <c r="F2" s="6" t="str">
        <f>VLOOKUP(A2,MarketPlace_Order_Report[[MagentoOrderNo]:[ReasonForCancellation]],14,0)</f>
        <v>Found a better price somewhere else</v>
      </c>
    </row>
    <row r="3" spans="1:6">
      <c r="A3" s="4" t="s">
        <v>270</v>
      </c>
      <c r="B3" s="4" t="s">
        <v>272</v>
      </c>
      <c r="C3" s="5">
        <v>3600</v>
      </c>
      <c r="D3" s="5">
        <v>385.714</v>
      </c>
      <c r="E3" s="5">
        <v>3985.7139999999999</v>
      </c>
      <c r="F3" s="6" t="str">
        <f>VLOOKUP(A3,MarketPlace_Order_Report[[MagentoOrderNo]:[ReasonForCancellation]],14,0)</f>
        <v>Change payment method</v>
      </c>
    </row>
    <row r="4" spans="1:6">
      <c r="A4" s="7" t="s">
        <v>311</v>
      </c>
      <c r="B4" s="7" t="s">
        <v>314</v>
      </c>
      <c r="C4" s="8">
        <v>3600</v>
      </c>
      <c r="D4" s="8">
        <v>385.714</v>
      </c>
      <c r="E4" s="8">
        <v>3985.7139999999999</v>
      </c>
      <c r="F4" s="6" t="str">
        <f>VLOOKUP(A4,MarketPlace_Order_Report[[MagentoOrderNo]:[ReasonForCancellation]],14,0)</f>
        <v>Product won’t reach on time</v>
      </c>
    </row>
    <row r="5" spans="1:6">
      <c r="A5" s="4" t="s">
        <v>319</v>
      </c>
      <c r="B5" s="4" t="s">
        <v>322</v>
      </c>
      <c r="C5" s="5">
        <v>3600</v>
      </c>
      <c r="D5" s="5">
        <v>385.714</v>
      </c>
      <c r="E5" s="5">
        <v>3985.7139999999999</v>
      </c>
      <c r="F5" s="6" t="str">
        <f>VLOOKUP(A5,MarketPlace_Order_Report[[MagentoOrderNo]:[ReasonForCancellation]],14,0)</f>
        <v>Delivery date is too late</v>
      </c>
    </row>
    <row r="6" spans="1:6">
      <c r="A6" s="7" t="s">
        <v>382</v>
      </c>
      <c r="B6" s="7" t="s">
        <v>385</v>
      </c>
      <c r="C6" s="8">
        <v>3375</v>
      </c>
      <c r="D6" s="8">
        <v>514.83199999999999</v>
      </c>
      <c r="E6" s="8">
        <v>3889.8319999999999</v>
      </c>
      <c r="F6" s="6" t="str">
        <f>VLOOKUP(A6,MarketPlace_Order_Report[[MagentoOrderNo]:[ReasonForCancellation]],14,0)</f>
        <v>Change address/ phone number</v>
      </c>
    </row>
    <row r="7" spans="1:6">
      <c r="A7" s="4" t="s">
        <v>388</v>
      </c>
      <c r="B7" s="4" t="s">
        <v>391</v>
      </c>
      <c r="C7" s="5">
        <v>3375</v>
      </c>
      <c r="D7" s="5">
        <v>514.83199999999999</v>
      </c>
      <c r="E7" s="5">
        <v>3889.8319999999999</v>
      </c>
      <c r="F7" s="6" t="str">
        <f>VLOOKUP(A7,MarketPlace_Order_Report[[MagentoOrderNo]:[ReasonForCancellation]],14,0)</f>
        <v>Found a better price somewhere else</v>
      </c>
    </row>
    <row r="8" spans="1:6">
      <c r="A8" s="7" t="s">
        <v>426</v>
      </c>
      <c r="B8" s="7" t="s">
        <v>428</v>
      </c>
      <c r="C8" s="8">
        <v>3600</v>
      </c>
      <c r="D8" s="8">
        <v>385.714</v>
      </c>
      <c r="E8" s="8">
        <v>3985.7139999999999</v>
      </c>
      <c r="F8" s="6" t="str">
        <f>VLOOKUP(A8,MarketPlace_Order_Report[[MagentoOrderNo]:[ReasonForCancellation]],14,0)</f>
        <v>Change address/ phone number</v>
      </c>
    </row>
    <row r="9" spans="1:6">
      <c r="A9" s="7" t="s">
        <v>671</v>
      </c>
      <c r="B9" s="7" t="s">
        <v>674</v>
      </c>
      <c r="C9" s="8">
        <v>2125</v>
      </c>
      <c r="D9" s="8">
        <v>227.679</v>
      </c>
      <c r="E9" s="8">
        <v>2352.6790000000001</v>
      </c>
      <c r="F9" s="6" t="str">
        <f>VLOOKUP(A9,MarketPlace_Order_Report[[MagentoOrderNo]:[ReasonForCancellation]],14,0)</f>
        <v>Delivery date is too late</v>
      </c>
    </row>
    <row r="10" spans="1:6">
      <c r="A10" s="7" t="s">
        <v>769</v>
      </c>
      <c r="B10" s="7" t="s">
        <v>771</v>
      </c>
      <c r="C10" s="8">
        <v>2275</v>
      </c>
      <c r="D10" s="8">
        <v>108.333</v>
      </c>
      <c r="E10" s="8">
        <v>2383.3330000000001</v>
      </c>
      <c r="F10" s="6" t="str">
        <f>VLOOKUP(A10,MarketPlace_Order_Report[[MagentoOrderNo]:[ReasonForCancellation]],14,0)</f>
        <v>Change style/color</v>
      </c>
    </row>
    <row r="11" spans="1:6">
      <c r="A11" s="7" t="s">
        <v>805</v>
      </c>
      <c r="B11" s="7" t="s">
        <v>807</v>
      </c>
      <c r="C11" s="8">
        <v>4500</v>
      </c>
      <c r="D11" s="8">
        <v>482.14299999999997</v>
      </c>
      <c r="E11" s="8">
        <v>4982.143</v>
      </c>
      <c r="F11" s="6" t="str">
        <f>VLOOKUP(A11,MarketPlace_Order_Report[[MagentoOrderNo]:[ReasonForCancellation]],14,0)</f>
        <v>Delivery date is too late</v>
      </c>
    </row>
    <row r="12" spans="1:6">
      <c r="A12" s="7" t="s">
        <v>828</v>
      </c>
      <c r="B12" s="7" t="s">
        <v>830</v>
      </c>
      <c r="C12" s="8">
        <v>4675</v>
      </c>
      <c r="D12" s="8">
        <v>500.89400000000001</v>
      </c>
      <c r="E12" s="8">
        <v>5175.8940000000002</v>
      </c>
      <c r="F12" s="6" t="str">
        <f>VLOOKUP(A12,MarketPlace_Order_Report[[MagentoOrderNo]:[ReasonForCancellation]],14,0)</f>
        <v>Change size</v>
      </c>
    </row>
    <row r="13" spans="1:6">
      <c r="A13" s="7" t="s">
        <v>890</v>
      </c>
      <c r="B13" s="7" t="s">
        <v>893</v>
      </c>
      <c r="C13" s="8">
        <v>3600</v>
      </c>
      <c r="D13" s="8">
        <v>549.15300000000002</v>
      </c>
      <c r="E13" s="8">
        <v>4149.1530000000002</v>
      </c>
      <c r="F13" s="6" t="str">
        <f>VLOOKUP(A13,MarketPlace_Order_Report[[MagentoOrderNo]:[ReasonForCancellation]],14,0)</f>
        <v>Change size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1166-0FEB-4817-A7CE-9DDC30D591EB}">
  <dimension ref="A1:BF292"/>
  <sheetViews>
    <sheetView topLeftCell="AU1" workbookViewId="0">
      <selection activeCell="BF1" sqref="BF1"/>
    </sheetView>
  </sheetViews>
  <sheetFormatPr defaultRowHeight="14.4"/>
  <cols>
    <col min="1" max="1" width="25.44140625" bestFit="1" customWidth="1"/>
    <col min="2" max="2" width="13.33203125" bestFit="1" customWidth="1"/>
    <col min="3" max="3" width="14.77734375" bestFit="1" customWidth="1"/>
    <col min="4" max="4" width="19" bestFit="1" customWidth="1"/>
    <col min="5" max="5" width="12.77734375" bestFit="1" customWidth="1"/>
    <col min="6" max="6" width="12.6640625" bestFit="1" customWidth="1"/>
    <col min="7" max="7" width="11" bestFit="1" customWidth="1"/>
    <col min="8" max="8" width="13.109375" bestFit="1" customWidth="1"/>
    <col min="9" max="9" width="6.77734375" bestFit="1" customWidth="1"/>
    <col min="10" max="10" width="10.88671875" bestFit="1" customWidth="1"/>
    <col min="11" max="11" width="17.5546875" bestFit="1" customWidth="1"/>
    <col min="12" max="12" width="14.77734375" bestFit="1" customWidth="1"/>
    <col min="13" max="13" width="16.5546875" bestFit="1" customWidth="1"/>
    <col min="14" max="14" width="8.21875" bestFit="1" customWidth="1"/>
    <col min="15" max="17" width="15.44140625" bestFit="1" customWidth="1"/>
    <col min="18" max="18" width="16.21875" bestFit="1" customWidth="1"/>
    <col min="19" max="19" width="19.44140625" bestFit="1" customWidth="1"/>
    <col min="20" max="20" width="15.44140625" bestFit="1" customWidth="1"/>
    <col min="21" max="21" width="31.88671875" bestFit="1" customWidth="1"/>
    <col min="22" max="22" width="11.77734375" bestFit="1" customWidth="1"/>
    <col min="23" max="23" width="38.77734375" bestFit="1" customWidth="1"/>
    <col min="24" max="24" width="17.5546875" bestFit="1" customWidth="1"/>
    <col min="25" max="25" width="14" bestFit="1" customWidth="1"/>
    <col min="26" max="26" width="13.44140625" bestFit="1" customWidth="1"/>
    <col min="27" max="27" width="21.88671875" bestFit="1" customWidth="1"/>
    <col min="28" max="28" width="21.5546875" bestFit="1" customWidth="1"/>
    <col min="29" max="29" width="13.77734375" bestFit="1" customWidth="1"/>
    <col min="30" max="30" width="15.44140625" bestFit="1" customWidth="1"/>
    <col min="31" max="31" width="16.109375" bestFit="1" customWidth="1"/>
    <col min="32" max="32" width="17.44140625" bestFit="1" customWidth="1"/>
    <col min="33" max="33" width="15.88671875" bestFit="1" customWidth="1"/>
    <col min="34" max="34" width="16.88671875" bestFit="1" customWidth="1"/>
    <col min="35" max="36" width="10" bestFit="1" customWidth="1"/>
    <col min="37" max="37" width="11.5546875" bestFit="1" customWidth="1"/>
    <col min="38" max="38" width="11.109375" bestFit="1" customWidth="1"/>
    <col min="39" max="39" width="15.44140625" bestFit="1" customWidth="1"/>
    <col min="40" max="40" width="12.77734375" bestFit="1" customWidth="1"/>
    <col min="41" max="41" width="16" bestFit="1" customWidth="1"/>
    <col min="42" max="42" width="15.109375" bestFit="1" customWidth="1"/>
    <col min="43" max="43" width="31" bestFit="1" customWidth="1"/>
    <col min="44" max="44" width="9.5546875" bestFit="1" customWidth="1"/>
    <col min="45" max="45" width="12.5546875" bestFit="1" customWidth="1"/>
    <col min="46" max="46" width="17" bestFit="1" customWidth="1"/>
    <col min="47" max="47" width="16.88671875" bestFit="1" customWidth="1"/>
    <col min="48" max="48" width="16.44140625" bestFit="1" customWidth="1"/>
    <col min="49" max="49" width="13" bestFit="1" customWidth="1"/>
    <col min="50" max="50" width="14.44140625" bestFit="1" customWidth="1"/>
    <col min="51" max="51" width="14.33203125" bestFit="1" customWidth="1"/>
    <col min="52" max="52" width="13.88671875" bestFit="1" customWidth="1"/>
    <col min="53" max="53" width="15.44140625" bestFit="1" customWidth="1"/>
    <col min="54" max="54" width="9.21875" bestFit="1" customWidth="1"/>
    <col min="55" max="55" width="15.44140625" bestFit="1" customWidth="1"/>
    <col min="56" max="56" width="26.109375" bestFit="1" customWidth="1"/>
    <col min="57" max="57" width="18.5546875" bestFit="1" customWidth="1"/>
    <col min="58" max="58" width="19.6640625" bestFit="1" customWidth="1"/>
  </cols>
  <sheetData>
    <row r="1" spans="1:58">
      <c r="A1" t="s">
        <v>0</v>
      </c>
      <c r="B1" t="s">
        <v>1</v>
      </c>
      <c r="C1" t="s">
        <v>2</v>
      </c>
      <c r="D1" t="s">
        <v>928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27" t="s">
        <v>2453</v>
      </c>
      <c r="BE1" s="27" t="s">
        <v>2454</v>
      </c>
      <c r="BF1" s="27" t="s">
        <v>2455</v>
      </c>
    </row>
    <row r="2" spans="1:58">
      <c r="A2" s="1" t="s">
        <v>929</v>
      </c>
      <c r="B2" s="1" t="s">
        <v>930</v>
      </c>
      <c r="C2" s="1" t="s">
        <v>931</v>
      </c>
      <c r="D2" s="1" t="s">
        <v>932</v>
      </c>
      <c r="E2">
        <v>1</v>
      </c>
      <c r="F2" s="1" t="s">
        <v>71</v>
      </c>
      <c r="G2">
        <v>1</v>
      </c>
      <c r="H2">
        <v>1</v>
      </c>
      <c r="I2">
        <v>2250</v>
      </c>
      <c r="J2">
        <v>1125</v>
      </c>
      <c r="K2">
        <v>0</v>
      </c>
      <c r="L2">
        <v>1125</v>
      </c>
      <c r="M2">
        <v>0</v>
      </c>
      <c r="N2" s="1" t="s">
        <v>59</v>
      </c>
      <c r="O2" s="2">
        <v>45943.565358796295</v>
      </c>
      <c r="P2" s="2">
        <v>45944.742685185185</v>
      </c>
      <c r="Q2" s="2">
        <v>45949.638460648152</v>
      </c>
      <c r="R2" s="1" t="s">
        <v>933</v>
      </c>
      <c r="S2" s="1" t="s">
        <v>60</v>
      </c>
      <c r="T2" s="2">
        <v>45943.813715277778</v>
      </c>
      <c r="U2" s="1" t="s">
        <v>61</v>
      </c>
      <c r="V2" s="1" t="s">
        <v>62</v>
      </c>
      <c r="W2" s="1" t="s">
        <v>61</v>
      </c>
      <c r="X2" s="1" t="s">
        <v>61</v>
      </c>
      <c r="Y2" s="1" t="s">
        <v>934</v>
      </c>
      <c r="Z2" s="1" t="s">
        <v>74</v>
      </c>
      <c r="AA2" s="1" t="s">
        <v>695</v>
      </c>
      <c r="AB2" s="1" t="s">
        <v>61</v>
      </c>
      <c r="AC2" s="1" t="s">
        <v>61</v>
      </c>
      <c r="AD2" s="2">
        <v>45961.49423611111</v>
      </c>
      <c r="AE2" s="1" t="s">
        <v>63</v>
      </c>
      <c r="AF2" s="1" t="s">
        <v>61</v>
      </c>
      <c r="AG2" s="1" t="s">
        <v>935</v>
      </c>
      <c r="AH2" s="1" t="s">
        <v>120</v>
      </c>
      <c r="AI2">
        <v>313001</v>
      </c>
      <c r="AJ2" s="1" t="s">
        <v>66</v>
      </c>
      <c r="AK2" s="1" t="s">
        <v>67</v>
      </c>
      <c r="AL2">
        <v>62042300</v>
      </c>
      <c r="AM2" s="2"/>
      <c r="AN2">
        <v>1125</v>
      </c>
      <c r="AO2" s="1" t="s">
        <v>936</v>
      </c>
      <c r="AP2" s="1" t="s">
        <v>937</v>
      </c>
      <c r="AQ2" s="1" t="s">
        <v>61</v>
      </c>
      <c r="AR2" s="1" t="s">
        <v>63</v>
      </c>
      <c r="AS2">
        <v>5</v>
      </c>
      <c r="AT2">
        <v>0</v>
      </c>
      <c r="AU2">
        <v>0</v>
      </c>
      <c r="AV2">
        <v>5</v>
      </c>
      <c r="AW2">
        <v>53.570999999999998</v>
      </c>
      <c r="AX2">
        <v>0</v>
      </c>
      <c r="AY2">
        <v>0</v>
      </c>
      <c r="AZ2">
        <v>53.570999999999998</v>
      </c>
      <c r="BA2" s="2"/>
      <c r="BB2">
        <v>0.75</v>
      </c>
      <c r="BC2" s="2">
        <v>45946.5</v>
      </c>
      <c r="BD2" s="27">
        <f>MarketPlace_Order_Report__2[[#This Row],[UnitPrice]]*MarketPlace_Order_Report__2[[#This Row],[OrderQty]]</f>
        <v>1125</v>
      </c>
      <c r="BE2" s="27">
        <f>IFERROR(MarketPlace_Order_Report__2[[#This Row],[CGSTAmount]]+MarketPlace_Order_Report__2[[#This Row],[SGSTAmount]]+MarketPlace_Order_Report__2[[#This Row],[IGSTAmount]],MarketPlace_Order_Report__2[[#This Row],[TaxAmount]])</f>
        <v>53.570999999999998</v>
      </c>
      <c r="BF2" s="27">
        <f>MarketPlace_Order_Report__2[[#This Row],[Gross Amount (Before Tax)]]+MarketPlace_Order_Report__2[[#This Row],[Total GST Amount]]</f>
        <v>1178.5709999999999</v>
      </c>
    </row>
    <row r="3" spans="1:58">
      <c r="A3" s="1" t="s">
        <v>938</v>
      </c>
      <c r="B3" s="1" t="s">
        <v>939</v>
      </c>
      <c r="C3" s="1" t="s">
        <v>940</v>
      </c>
      <c r="D3" s="1" t="s">
        <v>941</v>
      </c>
      <c r="E3">
        <v>1</v>
      </c>
      <c r="F3" s="1" t="s">
        <v>58</v>
      </c>
      <c r="G3">
        <v>1</v>
      </c>
      <c r="H3">
        <v>1</v>
      </c>
      <c r="I3">
        <v>2250</v>
      </c>
      <c r="J3">
        <v>1125</v>
      </c>
      <c r="K3">
        <v>0</v>
      </c>
      <c r="L3">
        <v>1125</v>
      </c>
      <c r="M3">
        <v>0</v>
      </c>
      <c r="N3" s="1" t="s">
        <v>59</v>
      </c>
      <c r="O3" s="2">
        <v>45943.517581018517</v>
      </c>
      <c r="P3" s="2">
        <v>45944.742627314816</v>
      </c>
      <c r="Q3" s="2">
        <v>45949.638460648152</v>
      </c>
      <c r="R3" s="1" t="s">
        <v>942</v>
      </c>
      <c r="S3" s="1" t="s">
        <v>60</v>
      </c>
      <c r="T3" s="2">
        <v>45943.813715277778</v>
      </c>
      <c r="U3" s="1" t="s">
        <v>61</v>
      </c>
      <c r="V3" s="1" t="s">
        <v>62</v>
      </c>
      <c r="W3" s="1" t="s">
        <v>61</v>
      </c>
      <c r="X3" s="1" t="s">
        <v>61</v>
      </c>
      <c r="Y3" s="1" t="s">
        <v>61</v>
      </c>
      <c r="Z3" s="1" t="s">
        <v>61</v>
      </c>
      <c r="AA3" s="1" t="s">
        <v>61</v>
      </c>
      <c r="AB3" s="1" t="s">
        <v>61</v>
      </c>
      <c r="AC3" s="1" t="s">
        <v>61</v>
      </c>
      <c r="AD3" s="2">
        <v>45949.639768518522</v>
      </c>
      <c r="AE3" s="1" t="s">
        <v>63</v>
      </c>
      <c r="AF3" s="1" t="s">
        <v>61</v>
      </c>
      <c r="AG3" s="1" t="s">
        <v>935</v>
      </c>
      <c r="AH3" s="1" t="s">
        <v>120</v>
      </c>
      <c r="AI3">
        <v>313001</v>
      </c>
      <c r="AJ3" s="1" t="s">
        <v>66</v>
      </c>
      <c r="AK3" s="1" t="s">
        <v>67</v>
      </c>
      <c r="AL3">
        <v>62042300</v>
      </c>
      <c r="AM3" s="2"/>
      <c r="AN3">
        <v>1125</v>
      </c>
      <c r="AO3" s="1" t="s">
        <v>943</v>
      </c>
      <c r="AP3" s="1" t="s">
        <v>937</v>
      </c>
      <c r="AQ3" s="1" t="s">
        <v>61</v>
      </c>
      <c r="AR3" s="1" t="s">
        <v>63</v>
      </c>
      <c r="AS3">
        <v>5</v>
      </c>
      <c r="AT3">
        <v>0</v>
      </c>
      <c r="AU3">
        <v>0</v>
      </c>
      <c r="AV3">
        <v>5</v>
      </c>
      <c r="AW3">
        <v>53.570999999999998</v>
      </c>
      <c r="AX3">
        <v>0</v>
      </c>
      <c r="AY3">
        <v>0</v>
      </c>
      <c r="AZ3">
        <v>53.570999999999998</v>
      </c>
      <c r="BA3" s="2"/>
      <c r="BB3">
        <v>0.75</v>
      </c>
      <c r="BC3" s="2">
        <v>45946.5</v>
      </c>
      <c r="BD3" s="27">
        <f>MarketPlace_Order_Report__2[[#This Row],[UnitPrice]]*MarketPlace_Order_Report__2[[#This Row],[OrderQty]]</f>
        <v>1125</v>
      </c>
      <c r="BE3" s="27">
        <f>IFERROR(MarketPlace_Order_Report__2[[#This Row],[CGSTAmount]]+MarketPlace_Order_Report__2[[#This Row],[SGSTAmount]]+MarketPlace_Order_Report__2[[#This Row],[IGSTAmount]],MarketPlace_Order_Report__2[[#This Row],[TaxAmount]])</f>
        <v>53.570999999999998</v>
      </c>
      <c r="BF3" s="27">
        <f>MarketPlace_Order_Report__2[[#This Row],[Gross Amount (Before Tax)]]+MarketPlace_Order_Report__2[[#This Row],[Total GST Amount]]</f>
        <v>1178.5709999999999</v>
      </c>
    </row>
    <row r="4" spans="1:58">
      <c r="A4" s="1" t="s">
        <v>944</v>
      </c>
      <c r="B4" s="1" t="s">
        <v>945</v>
      </c>
      <c r="C4" s="1" t="s">
        <v>92</v>
      </c>
      <c r="D4" s="1" t="s">
        <v>93</v>
      </c>
      <c r="E4">
        <v>1</v>
      </c>
      <c r="F4" s="1" t="s">
        <v>58</v>
      </c>
      <c r="G4">
        <v>1</v>
      </c>
      <c r="H4">
        <v>1</v>
      </c>
      <c r="I4">
        <v>2250</v>
      </c>
      <c r="J4">
        <v>1125</v>
      </c>
      <c r="K4">
        <v>0</v>
      </c>
      <c r="L4">
        <v>1154</v>
      </c>
      <c r="M4">
        <v>29</v>
      </c>
      <c r="N4" s="1" t="s">
        <v>59</v>
      </c>
      <c r="O4" s="2">
        <v>45935.598101851851</v>
      </c>
      <c r="P4" s="2">
        <v>45936.641296296293</v>
      </c>
      <c r="Q4" s="2">
        <v>45942.920486111114</v>
      </c>
      <c r="R4" s="1" t="s">
        <v>946</v>
      </c>
      <c r="S4" s="1" t="s">
        <v>73</v>
      </c>
      <c r="T4" s="2">
        <v>45935.742905092593</v>
      </c>
      <c r="U4" s="1" t="s">
        <v>61</v>
      </c>
      <c r="V4" s="1" t="s">
        <v>62</v>
      </c>
      <c r="W4" s="1" t="s">
        <v>61</v>
      </c>
      <c r="X4" s="1" t="s">
        <v>61</v>
      </c>
      <c r="Y4" s="1" t="s">
        <v>61</v>
      </c>
      <c r="Z4" s="1" t="s">
        <v>61</v>
      </c>
      <c r="AA4" s="1" t="s">
        <v>61</v>
      </c>
      <c r="AB4" s="1" t="s">
        <v>61</v>
      </c>
      <c r="AC4" s="1" t="s">
        <v>61</v>
      </c>
      <c r="AD4" s="2">
        <v>45942.920868055553</v>
      </c>
      <c r="AE4" s="1" t="s">
        <v>63</v>
      </c>
      <c r="AF4" s="1" t="s">
        <v>61</v>
      </c>
      <c r="AG4" s="1" t="s">
        <v>197</v>
      </c>
      <c r="AH4" s="1" t="s">
        <v>65</v>
      </c>
      <c r="AI4">
        <v>560043</v>
      </c>
      <c r="AJ4" s="1" t="s">
        <v>66</v>
      </c>
      <c r="AK4" s="1" t="s">
        <v>67</v>
      </c>
      <c r="AL4">
        <v>62042300</v>
      </c>
      <c r="AM4" s="2"/>
      <c r="AN4">
        <v>1125</v>
      </c>
      <c r="AO4" s="1" t="s">
        <v>947</v>
      </c>
      <c r="AP4" s="1" t="s">
        <v>78</v>
      </c>
      <c r="AQ4" s="1" t="s">
        <v>61</v>
      </c>
      <c r="AR4" s="1" t="s">
        <v>63</v>
      </c>
      <c r="AS4">
        <v>5</v>
      </c>
      <c r="AT4">
        <v>0</v>
      </c>
      <c r="AU4">
        <v>0</v>
      </c>
      <c r="AV4">
        <v>5</v>
      </c>
      <c r="AW4">
        <v>53.570999999999998</v>
      </c>
      <c r="AX4">
        <v>0</v>
      </c>
      <c r="AY4">
        <v>0</v>
      </c>
      <c r="AZ4">
        <v>53.570999999999998</v>
      </c>
      <c r="BA4" s="2"/>
      <c r="BB4">
        <v>0.7</v>
      </c>
      <c r="BC4" s="2">
        <v>45938.5</v>
      </c>
      <c r="BD4" s="27">
        <f>MarketPlace_Order_Report__2[[#This Row],[UnitPrice]]*MarketPlace_Order_Report__2[[#This Row],[OrderQty]]</f>
        <v>1125</v>
      </c>
      <c r="BE4" s="27">
        <f>IFERROR(MarketPlace_Order_Report__2[[#This Row],[CGSTAmount]]+MarketPlace_Order_Report__2[[#This Row],[SGSTAmount]]+MarketPlace_Order_Report__2[[#This Row],[IGSTAmount]],MarketPlace_Order_Report__2[[#This Row],[TaxAmount]])</f>
        <v>53.570999999999998</v>
      </c>
      <c r="BF4" s="27">
        <f>MarketPlace_Order_Report__2[[#This Row],[Gross Amount (Before Tax)]]+MarketPlace_Order_Report__2[[#This Row],[Total GST Amount]]</f>
        <v>1178.5709999999999</v>
      </c>
    </row>
    <row r="5" spans="1:58">
      <c r="A5" s="1" t="s">
        <v>948</v>
      </c>
      <c r="B5" s="1" t="s">
        <v>949</v>
      </c>
      <c r="C5" s="1" t="s">
        <v>112</v>
      </c>
      <c r="D5" s="1" t="s">
        <v>113</v>
      </c>
      <c r="E5">
        <v>2</v>
      </c>
      <c r="F5" s="1" t="s">
        <v>950</v>
      </c>
      <c r="G5">
        <v>1</v>
      </c>
      <c r="H5">
        <v>0</v>
      </c>
      <c r="I5">
        <v>4000</v>
      </c>
      <c r="J5">
        <v>3600</v>
      </c>
      <c r="K5">
        <v>0</v>
      </c>
      <c r="L5">
        <v>3624.627</v>
      </c>
      <c r="M5">
        <v>24.626999999999999</v>
      </c>
      <c r="N5" s="1" t="s">
        <v>72</v>
      </c>
      <c r="O5" s="2">
        <v>45959.998020833336</v>
      </c>
      <c r="P5" s="2"/>
      <c r="Q5" s="2"/>
      <c r="R5" s="1" t="s">
        <v>951</v>
      </c>
      <c r="S5" s="1" t="s">
        <v>60</v>
      </c>
      <c r="T5" s="2">
        <v>45961.517905092594</v>
      </c>
      <c r="U5" s="1" t="s">
        <v>61</v>
      </c>
      <c r="V5" s="1" t="s">
        <v>62</v>
      </c>
      <c r="W5" s="1" t="s">
        <v>61</v>
      </c>
      <c r="X5" s="1" t="s">
        <v>61</v>
      </c>
      <c r="Y5" s="1" t="s">
        <v>61</v>
      </c>
      <c r="Z5" s="1" t="s">
        <v>61</v>
      </c>
      <c r="AA5" s="1" t="s">
        <v>61</v>
      </c>
      <c r="AB5" s="1" t="s">
        <v>61</v>
      </c>
      <c r="AC5" s="1" t="s">
        <v>61</v>
      </c>
      <c r="AD5" s="2">
        <v>45961.517916666664</v>
      </c>
      <c r="AE5" s="1" t="s">
        <v>63</v>
      </c>
      <c r="AF5" s="1" t="s">
        <v>61</v>
      </c>
      <c r="AG5" s="1" t="s">
        <v>952</v>
      </c>
      <c r="AH5" s="1" t="s">
        <v>120</v>
      </c>
      <c r="AI5">
        <v>303702</v>
      </c>
      <c r="AJ5" s="1" t="s">
        <v>66</v>
      </c>
      <c r="AK5" s="1" t="s">
        <v>67</v>
      </c>
      <c r="AL5">
        <v>62042300</v>
      </c>
      <c r="AM5" s="2"/>
      <c r="AN5">
        <v>3600</v>
      </c>
      <c r="AO5" s="1" t="s">
        <v>953</v>
      </c>
      <c r="AP5" s="1" t="s">
        <v>61</v>
      </c>
      <c r="AQ5" s="1" t="s">
        <v>61</v>
      </c>
      <c r="AR5" s="1" t="s">
        <v>63</v>
      </c>
      <c r="AS5">
        <v>18</v>
      </c>
      <c r="AT5">
        <v>0</v>
      </c>
      <c r="AU5">
        <v>0</v>
      </c>
      <c r="AV5">
        <v>18</v>
      </c>
      <c r="AW5">
        <v>549.15300000000002</v>
      </c>
      <c r="AX5">
        <v>0</v>
      </c>
      <c r="AY5">
        <v>0</v>
      </c>
      <c r="AZ5">
        <v>549.15300000000002</v>
      </c>
      <c r="BA5" s="2"/>
      <c r="BB5">
        <v>1</v>
      </c>
      <c r="BC5" s="2">
        <v>45962.5</v>
      </c>
      <c r="BD5" s="27">
        <f>MarketPlace_Order_Report__2[[#This Row],[UnitPrice]]*MarketPlace_Order_Report__2[[#This Row],[OrderQty]]</f>
        <v>3600</v>
      </c>
      <c r="BE5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5" s="27">
        <f>MarketPlace_Order_Report__2[[#This Row],[Gross Amount (Before Tax)]]+MarketPlace_Order_Report__2[[#This Row],[Total GST Amount]]</f>
        <v>4149.1530000000002</v>
      </c>
    </row>
    <row r="6" spans="1:58">
      <c r="A6" s="1" t="s">
        <v>954</v>
      </c>
      <c r="B6" s="1" t="s">
        <v>955</v>
      </c>
      <c r="C6" s="1" t="s">
        <v>956</v>
      </c>
      <c r="D6" s="1" t="s">
        <v>957</v>
      </c>
      <c r="E6">
        <v>1</v>
      </c>
      <c r="F6" s="1" t="s">
        <v>413</v>
      </c>
      <c r="G6">
        <v>1</v>
      </c>
      <c r="H6">
        <v>1</v>
      </c>
      <c r="I6">
        <v>4000</v>
      </c>
      <c r="J6">
        <v>3600</v>
      </c>
      <c r="K6">
        <v>0</v>
      </c>
      <c r="L6">
        <v>3649</v>
      </c>
      <c r="M6">
        <v>49</v>
      </c>
      <c r="N6" s="1" t="s">
        <v>72</v>
      </c>
      <c r="O6" s="2">
        <v>45959.64466435185</v>
      </c>
      <c r="P6" s="2">
        <v>45960.624247685184</v>
      </c>
      <c r="Q6" s="2"/>
      <c r="R6" s="1" t="s">
        <v>958</v>
      </c>
      <c r="S6" s="1" t="s">
        <v>73</v>
      </c>
      <c r="T6" s="2">
        <v>45959.790451388886</v>
      </c>
      <c r="U6" s="1" t="s">
        <v>61</v>
      </c>
      <c r="V6" s="1" t="s">
        <v>62</v>
      </c>
      <c r="W6" s="1" t="s">
        <v>61</v>
      </c>
      <c r="X6" s="1" t="s">
        <v>61</v>
      </c>
      <c r="Y6" s="1" t="s">
        <v>61</v>
      </c>
      <c r="Z6" s="1" t="s">
        <v>61</v>
      </c>
      <c r="AA6" s="1" t="s">
        <v>61</v>
      </c>
      <c r="AB6" s="1" t="s">
        <v>61</v>
      </c>
      <c r="AC6" s="1" t="s">
        <v>61</v>
      </c>
      <c r="AD6" s="2">
        <v>45961.247407407405</v>
      </c>
      <c r="AE6" s="1" t="s">
        <v>63</v>
      </c>
      <c r="AF6" s="1" t="s">
        <v>61</v>
      </c>
      <c r="AG6" s="1" t="s">
        <v>197</v>
      </c>
      <c r="AH6" s="1" t="s">
        <v>65</v>
      </c>
      <c r="AI6">
        <v>560076</v>
      </c>
      <c r="AJ6" s="1" t="s">
        <v>66</v>
      </c>
      <c r="AK6" s="1" t="s">
        <v>67</v>
      </c>
      <c r="AL6">
        <v>62042300</v>
      </c>
      <c r="AM6" s="2"/>
      <c r="AN6">
        <v>3600</v>
      </c>
      <c r="AO6" s="1" t="s">
        <v>959</v>
      </c>
      <c r="AP6" s="1" t="s">
        <v>409</v>
      </c>
      <c r="AQ6" s="1" t="s">
        <v>61</v>
      </c>
      <c r="AR6" s="1" t="s">
        <v>63</v>
      </c>
      <c r="AS6">
        <v>18</v>
      </c>
      <c r="AT6">
        <v>0</v>
      </c>
      <c r="AU6">
        <v>0</v>
      </c>
      <c r="AV6">
        <v>18</v>
      </c>
      <c r="AW6">
        <v>549.15300000000002</v>
      </c>
      <c r="AX6">
        <v>0</v>
      </c>
      <c r="AY6">
        <v>0</v>
      </c>
      <c r="AZ6">
        <v>549.15300000000002</v>
      </c>
      <c r="BA6" s="2"/>
      <c r="BB6">
        <v>0.75</v>
      </c>
      <c r="BC6" s="2">
        <v>45962.5</v>
      </c>
      <c r="BD6" s="27">
        <f>MarketPlace_Order_Report__2[[#This Row],[UnitPrice]]*MarketPlace_Order_Report__2[[#This Row],[OrderQty]]</f>
        <v>3600</v>
      </c>
      <c r="BE6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6" s="27">
        <f>MarketPlace_Order_Report__2[[#This Row],[Gross Amount (Before Tax)]]+MarketPlace_Order_Report__2[[#This Row],[Total GST Amount]]</f>
        <v>4149.1530000000002</v>
      </c>
    </row>
    <row r="7" spans="1:58">
      <c r="A7" s="1" t="s">
        <v>960</v>
      </c>
      <c r="B7" s="1" t="s">
        <v>961</v>
      </c>
      <c r="C7" s="1" t="s">
        <v>956</v>
      </c>
      <c r="D7" s="1" t="s">
        <v>957</v>
      </c>
      <c r="E7">
        <v>2</v>
      </c>
      <c r="F7" s="1" t="s">
        <v>58</v>
      </c>
      <c r="G7">
        <v>1</v>
      </c>
      <c r="H7">
        <v>1</v>
      </c>
      <c r="I7">
        <v>4000</v>
      </c>
      <c r="J7">
        <v>3600</v>
      </c>
      <c r="K7">
        <v>0</v>
      </c>
      <c r="L7">
        <v>3619.33</v>
      </c>
      <c r="M7">
        <v>19.329999999999998</v>
      </c>
      <c r="N7" s="1" t="s">
        <v>59</v>
      </c>
      <c r="O7" s="2">
        <v>45946.44017361111</v>
      </c>
      <c r="P7" s="2">
        <v>45948.728310185186</v>
      </c>
      <c r="Q7" s="2">
        <v>45952.732037037036</v>
      </c>
      <c r="R7" s="1" t="s">
        <v>962</v>
      </c>
      <c r="S7" s="1" t="s">
        <v>60</v>
      </c>
      <c r="T7" s="2">
        <v>45947.714212962965</v>
      </c>
      <c r="U7" s="1" t="s">
        <v>61</v>
      </c>
      <c r="V7" s="1" t="s">
        <v>62</v>
      </c>
      <c r="W7" s="1" t="s">
        <v>61</v>
      </c>
      <c r="X7" s="1" t="s">
        <v>61</v>
      </c>
      <c r="Y7" s="1" t="s">
        <v>61</v>
      </c>
      <c r="Z7" s="1" t="s">
        <v>61</v>
      </c>
      <c r="AA7" s="1" t="s">
        <v>61</v>
      </c>
      <c r="AB7" s="1" t="s">
        <v>61</v>
      </c>
      <c r="AC7" s="1" t="s">
        <v>61</v>
      </c>
      <c r="AD7" s="2">
        <v>45952.733518518522</v>
      </c>
      <c r="AE7" s="1" t="s">
        <v>63</v>
      </c>
      <c r="AF7" s="1" t="s">
        <v>61</v>
      </c>
      <c r="AG7" s="1" t="s">
        <v>182</v>
      </c>
      <c r="AH7" s="1" t="s">
        <v>183</v>
      </c>
      <c r="AI7">
        <v>110032</v>
      </c>
      <c r="AJ7" s="1" t="s">
        <v>66</v>
      </c>
      <c r="AK7" s="1" t="s">
        <v>67</v>
      </c>
      <c r="AL7">
        <v>62042300</v>
      </c>
      <c r="AM7" s="2"/>
      <c r="AN7">
        <v>3600</v>
      </c>
      <c r="AO7" s="1" t="s">
        <v>963</v>
      </c>
      <c r="AP7" s="1" t="s">
        <v>61</v>
      </c>
      <c r="AQ7" s="1" t="s">
        <v>61</v>
      </c>
      <c r="AR7" s="1" t="s">
        <v>63</v>
      </c>
      <c r="AS7">
        <v>18</v>
      </c>
      <c r="AT7">
        <v>0</v>
      </c>
      <c r="AU7">
        <v>0</v>
      </c>
      <c r="AV7">
        <v>18</v>
      </c>
      <c r="AW7">
        <v>549.15300000000002</v>
      </c>
      <c r="AX7">
        <v>0</v>
      </c>
      <c r="AY7">
        <v>0</v>
      </c>
      <c r="AZ7">
        <v>549.15300000000002</v>
      </c>
      <c r="BA7" s="2"/>
      <c r="BB7">
        <v>0.75</v>
      </c>
      <c r="BC7" s="2">
        <v>45948.5</v>
      </c>
      <c r="BD7" s="27">
        <f>MarketPlace_Order_Report__2[[#This Row],[UnitPrice]]*MarketPlace_Order_Report__2[[#This Row],[OrderQty]]</f>
        <v>3600</v>
      </c>
      <c r="BE7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" s="27">
        <f>MarketPlace_Order_Report__2[[#This Row],[Gross Amount (Before Tax)]]+MarketPlace_Order_Report__2[[#This Row],[Total GST Amount]]</f>
        <v>4149.1530000000002</v>
      </c>
    </row>
    <row r="8" spans="1:58">
      <c r="A8" s="1" t="s">
        <v>964</v>
      </c>
      <c r="B8" s="1" t="s">
        <v>965</v>
      </c>
      <c r="C8" s="1" t="s">
        <v>966</v>
      </c>
      <c r="D8" s="1" t="s">
        <v>967</v>
      </c>
      <c r="E8">
        <v>1</v>
      </c>
      <c r="F8" s="1" t="s">
        <v>58</v>
      </c>
      <c r="G8">
        <v>1</v>
      </c>
      <c r="H8">
        <v>1</v>
      </c>
      <c r="I8">
        <v>4000</v>
      </c>
      <c r="J8">
        <v>3200</v>
      </c>
      <c r="K8">
        <v>0</v>
      </c>
      <c r="L8">
        <v>3229</v>
      </c>
      <c r="M8">
        <v>29</v>
      </c>
      <c r="N8" s="1" t="s">
        <v>59</v>
      </c>
      <c r="O8" s="2">
        <v>45951.847037037034</v>
      </c>
      <c r="P8" s="2">
        <v>45954.629108796296</v>
      </c>
      <c r="Q8" s="2">
        <v>45956.490081018521</v>
      </c>
      <c r="R8" s="1" t="s">
        <v>968</v>
      </c>
      <c r="S8" s="1" t="s">
        <v>73</v>
      </c>
      <c r="T8" s="2">
        <v>45954.500509259262</v>
      </c>
      <c r="U8" s="1" t="s">
        <v>61</v>
      </c>
      <c r="V8" s="1" t="s">
        <v>62</v>
      </c>
      <c r="W8" s="1" t="s">
        <v>61</v>
      </c>
      <c r="X8" s="1" t="s">
        <v>61</v>
      </c>
      <c r="Y8" s="1" t="s">
        <v>61</v>
      </c>
      <c r="Z8" s="1" t="s">
        <v>61</v>
      </c>
      <c r="AA8" s="1" t="s">
        <v>61</v>
      </c>
      <c r="AB8" s="1" t="s">
        <v>61</v>
      </c>
      <c r="AC8" s="1" t="s">
        <v>61</v>
      </c>
      <c r="AD8" s="2">
        <v>45956.490358796298</v>
      </c>
      <c r="AE8" s="1" t="s">
        <v>63</v>
      </c>
      <c r="AF8" s="1" t="s">
        <v>61</v>
      </c>
      <c r="AG8" s="1" t="s">
        <v>478</v>
      </c>
      <c r="AH8" s="1" t="s">
        <v>318</v>
      </c>
      <c r="AI8">
        <v>421204</v>
      </c>
      <c r="AJ8" s="1" t="s">
        <v>66</v>
      </c>
      <c r="AK8" s="1" t="s">
        <v>67</v>
      </c>
      <c r="AL8">
        <v>62042300</v>
      </c>
      <c r="AM8" s="2"/>
      <c r="AN8">
        <v>3200</v>
      </c>
      <c r="AO8" s="1" t="s">
        <v>969</v>
      </c>
      <c r="AP8" s="1" t="s">
        <v>970</v>
      </c>
      <c r="AQ8" s="1" t="s">
        <v>61</v>
      </c>
      <c r="AR8" s="1" t="s">
        <v>63</v>
      </c>
      <c r="AS8">
        <v>18</v>
      </c>
      <c r="AT8">
        <v>9</v>
      </c>
      <c r="AU8">
        <v>9</v>
      </c>
      <c r="AV8">
        <v>0</v>
      </c>
      <c r="AW8">
        <v>488.13600000000002</v>
      </c>
      <c r="AX8">
        <v>244.06800000000001</v>
      </c>
      <c r="AY8">
        <v>244.06800000000001</v>
      </c>
      <c r="AZ8">
        <v>0</v>
      </c>
      <c r="BA8" s="2"/>
      <c r="BB8">
        <v>0.85</v>
      </c>
      <c r="BC8" s="2">
        <v>45954.5</v>
      </c>
      <c r="BD8" s="27">
        <f>MarketPlace_Order_Report__2[[#This Row],[UnitPrice]]*MarketPlace_Order_Report__2[[#This Row],[OrderQty]]</f>
        <v>3200</v>
      </c>
      <c r="BE8" s="27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8" s="27">
        <f>MarketPlace_Order_Report__2[[#This Row],[Gross Amount (Before Tax)]]+MarketPlace_Order_Report__2[[#This Row],[Total GST Amount]]</f>
        <v>3688.136</v>
      </c>
    </row>
    <row r="9" spans="1:58">
      <c r="A9" s="1" t="s">
        <v>971</v>
      </c>
      <c r="B9" s="1" t="s">
        <v>972</v>
      </c>
      <c r="C9" s="1" t="s">
        <v>966</v>
      </c>
      <c r="D9" s="1" t="s">
        <v>967</v>
      </c>
      <c r="E9">
        <v>1</v>
      </c>
      <c r="F9" s="1" t="s">
        <v>71</v>
      </c>
      <c r="G9">
        <v>1</v>
      </c>
      <c r="H9">
        <v>1</v>
      </c>
      <c r="I9">
        <v>4000</v>
      </c>
      <c r="J9">
        <v>3200</v>
      </c>
      <c r="K9">
        <v>0</v>
      </c>
      <c r="L9">
        <v>3319</v>
      </c>
      <c r="M9">
        <v>119</v>
      </c>
      <c r="N9" s="1" t="s">
        <v>72</v>
      </c>
      <c r="O9" s="2">
        <v>45944.516539351855</v>
      </c>
      <c r="P9" s="2">
        <v>45945.758634259262</v>
      </c>
      <c r="Q9" s="2">
        <v>45948.620347222219</v>
      </c>
      <c r="R9" s="1" t="s">
        <v>973</v>
      </c>
      <c r="S9" s="1" t="s">
        <v>60</v>
      </c>
      <c r="T9" s="2">
        <v>45944.808067129627</v>
      </c>
      <c r="U9" s="1" t="s">
        <v>61</v>
      </c>
      <c r="V9" s="1" t="s">
        <v>62</v>
      </c>
      <c r="W9" s="1" t="s">
        <v>61</v>
      </c>
      <c r="X9" s="1" t="s">
        <v>61</v>
      </c>
      <c r="Y9" s="1" t="s">
        <v>974</v>
      </c>
      <c r="Z9" s="1" t="s">
        <v>74</v>
      </c>
      <c r="AA9" s="1" t="s">
        <v>414</v>
      </c>
      <c r="AB9" s="1" t="s">
        <v>61</v>
      </c>
      <c r="AC9" s="1" t="s">
        <v>61</v>
      </c>
      <c r="AD9" s="2">
        <v>45955.858969907407</v>
      </c>
      <c r="AE9" s="1" t="s">
        <v>63</v>
      </c>
      <c r="AF9" s="1" t="s">
        <v>61</v>
      </c>
      <c r="AG9" s="1" t="s">
        <v>197</v>
      </c>
      <c r="AH9" s="1" t="s">
        <v>65</v>
      </c>
      <c r="AI9">
        <v>560077</v>
      </c>
      <c r="AJ9" s="1" t="s">
        <v>66</v>
      </c>
      <c r="AK9" s="1" t="s">
        <v>67</v>
      </c>
      <c r="AL9">
        <v>62042300</v>
      </c>
      <c r="AM9" s="2"/>
      <c r="AN9">
        <v>3200</v>
      </c>
      <c r="AO9" s="1" t="s">
        <v>975</v>
      </c>
      <c r="AP9" s="1" t="s">
        <v>209</v>
      </c>
      <c r="AQ9" s="1" t="s">
        <v>61</v>
      </c>
      <c r="AR9" s="1" t="s">
        <v>63</v>
      </c>
      <c r="AS9">
        <v>18</v>
      </c>
      <c r="AT9">
        <v>0</v>
      </c>
      <c r="AU9">
        <v>0</v>
      </c>
      <c r="AV9">
        <v>18</v>
      </c>
      <c r="AW9">
        <v>488.13600000000002</v>
      </c>
      <c r="AX9">
        <v>0</v>
      </c>
      <c r="AY9">
        <v>0</v>
      </c>
      <c r="AZ9">
        <v>488.13600000000002</v>
      </c>
      <c r="BA9" s="2"/>
      <c r="BB9">
        <v>0.85</v>
      </c>
      <c r="BC9" s="2">
        <v>45947.5</v>
      </c>
      <c r="BD9" s="27">
        <f>MarketPlace_Order_Report__2[[#This Row],[UnitPrice]]*MarketPlace_Order_Report__2[[#This Row],[OrderQty]]</f>
        <v>3200</v>
      </c>
      <c r="BE9" s="27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9" s="27">
        <f>MarketPlace_Order_Report__2[[#This Row],[Gross Amount (Before Tax)]]+MarketPlace_Order_Report__2[[#This Row],[Total GST Amount]]</f>
        <v>3688.136</v>
      </c>
    </row>
    <row r="10" spans="1:58">
      <c r="A10" s="1" t="s">
        <v>976</v>
      </c>
      <c r="B10" s="1" t="s">
        <v>977</v>
      </c>
      <c r="C10" s="1" t="s">
        <v>128</v>
      </c>
      <c r="D10" s="1" t="s">
        <v>129</v>
      </c>
      <c r="E10">
        <v>1</v>
      </c>
      <c r="F10" s="1" t="s">
        <v>58</v>
      </c>
      <c r="G10">
        <v>1</v>
      </c>
      <c r="H10">
        <v>1</v>
      </c>
      <c r="I10">
        <v>4000</v>
      </c>
      <c r="J10">
        <v>3200</v>
      </c>
      <c r="K10">
        <v>0</v>
      </c>
      <c r="L10">
        <v>3216.38</v>
      </c>
      <c r="M10">
        <v>16.38</v>
      </c>
      <c r="N10" s="1" t="s">
        <v>59</v>
      </c>
      <c r="O10" s="2">
        <v>45954.311805555553</v>
      </c>
      <c r="P10" s="2">
        <v>45954.731793981482</v>
      </c>
      <c r="Q10" s="2">
        <v>45958.606076388889</v>
      </c>
      <c r="R10" s="1" t="s">
        <v>978</v>
      </c>
      <c r="S10" s="1" t="s">
        <v>60</v>
      </c>
      <c r="T10" s="2">
        <v>45954.500509259262</v>
      </c>
      <c r="U10" s="1" t="s">
        <v>61</v>
      </c>
      <c r="V10" s="1" t="s">
        <v>62</v>
      </c>
      <c r="W10" s="1" t="s">
        <v>61</v>
      </c>
      <c r="X10" s="1" t="s">
        <v>61</v>
      </c>
      <c r="Y10" s="1" t="s">
        <v>61</v>
      </c>
      <c r="Z10" s="1" t="s">
        <v>61</v>
      </c>
      <c r="AA10" s="1" t="s">
        <v>61</v>
      </c>
      <c r="AB10" s="1" t="s">
        <v>61</v>
      </c>
      <c r="AC10" s="1" t="s">
        <v>61</v>
      </c>
      <c r="AD10" s="2">
        <v>45958.608356481483</v>
      </c>
      <c r="AE10" s="1" t="s">
        <v>63</v>
      </c>
      <c r="AF10" s="1" t="s">
        <v>61</v>
      </c>
      <c r="AG10" s="1" t="s">
        <v>979</v>
      </c>
      <c r="AH10" s="1" t="s">
        <v>77</v>
      </c>
      <c r="AI10">
        <v>211001</v>
      </c>
      <c r="AJ10" s="1" t="s">
        <v>66</v>
      </c>
      <c r="AK10" s="1" t="s">
        <v>67</v>
      </c>
      <c r="AL10">
        <v>62042300</v>
      </c>
      <c r="AM10" s="2"/>
      <c r="AN10">
        <v>3200</v>
      </c>
      <c r="AO10" s="1" t="s">
        <v>980</v>
      </c>
      <c r="AP10" s="1" t="s">
        <v>61</v>
      </c>
      <c r="AQ10" s="1" t="s">
        <v>61</v>
      </c>
      <c r="AR10" s="1" t="s">
        <v>63</v>
      </c>
      <c r="AS10">
        <v>18</v>
      </c>
      <c r="AT10">
        <v>0</v>
      </c>
      <c r="AU10">
        <v>0</v>
      </c>
      <c r="AV10">
        <v>18</v>
      </c>
      <c r="AW10">
        <v>488.13600000000002</v>
      </c>
      <c r="AX10">
        <v>0</v>
      </c>
      <c r="AY10">
        <v>0</v>
      </c>
      <c r="AZ10">
        <v>488.13600000000002</v>
      </c>
      <c r="BA10" s="2"/>
      <c r="BB10">
        <v>0.85</v>
      </c>
      <c r="BC10" s="2">
        <v>45956.5</v>
      </c>
      <c r="BD10" s="27">
        <f>MarketPlace_Order_Report__2[[#This Row],[UnitPrice]]*MarketPlace_Order_Report__2[[#This Row],[OrderQty]]</f>
        <v>3200</v>
      </c>
      <c r="BE10" s="27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0" s="27">
        <f>MarketPlace_Order_Report__2[[#This Row],[Gross Amount (Before Tax)]]+MarketPlace_Order_Report__2[[#This Row],[Total GST Amount]]</f>
        <v>3688.136</v>
      </c>
    </row>
    <row r="11" spans="1:58">
      <c r="A11" s="1" t="s">
        <v>981</v>
      </c>
      <c r="B11" s="1" t="s">
        <v>982</v>
      </c>
      <c r="C11" s="1" t="s">
        <v>983</v>
      </c>
      <c r="D11" s="1" t="s">
        <v>984</v>
      </c>
      <c r="E11">
        <v>1</v>
      </c>
      <c r="F11" s="1" t="s">
        <v>187</v>
      </c>
      <c r="G11">
        <v>1</v>
      </c>
      <c r="H11">
        <v>0</v>
      </c>
      <c r="I11">
        <v>4000</v>
      </c>
      <c r="J11">
        <v>3200</v>
      </c>
      <c r="K11">
        <v>0</v>
      </c>
      <c r="L11">
        <v>3249</v>
      </c>
      <c r="M11">
        <v>49</v>
      </c>
      <c r="N11" s="1" t="s">
        <v>72</v>
      </c>
      <c r="O11" s="2">
        <v>45952.367326388892</v>
      </c>
      <c r="P11" s="2"/>
      <c r="Q11" s="2"/>
      <c r="R11" s="1" t="s">
        <v>61</v>
      </c>
      <c r="S11" s="1" t="s">
        <v>107</v>
      </c>
      <c r="T11" s="2"/>
      <c r="U11" s="1" t="s">
        <v>323</v>
      </c>
      <c r="V11" s="1" t="s">
        <v>62</v>
      </c>
      <c r="W11" s="1" t="s">
        <v>61</v>
      </c>
      <c r="X11" s="1" t="s">
        <v>61</v>
      </c>
      <c r="Y11" s="1" t="s">
        <v>61</v>
      </c>
      <c r="Z11" s="1" t="s">
        <v>61</v>
      </c>
      <c r="AA11" s="1" t="s">
        <v>61</v>
      </c>
      <c r="AB11" s="1" t="s">
        <v>61</v>
      </c>
      <c r="AC11" s="1" t="s">
        <v>61</v>
      </c>
      <c r="AD11" s="2">
        <v>45953.290312500001</v>
      </c>
      <c r="AE11" s="1" t="s">
        <v>63</v>
      </c>
      <c r="AF11" s="1" t="s">
        <v>61</v>
      </c>
      <c r="AG11" s="1" t="s">
        <v>108</v>
      </c>
      <c r="AH11" s="1" t="s">
        <v>109</v>
      </c>
      <c r="AI11">
        <v>500050</v>
      </c>
      <c r="AJ11" s="1" t="s">
        <v>66</v>
      </c>
      <c r="AK11" s="1" t="s">
        <v>67</v>
      </c>
      <c r="AL11">
        <v>62042300</v>
      </c>
      <c r="AM11" s="2">
        <v>45953.290312500001</v>
      </c>
      <c r="AN11">
        <v>3200</v>
      </c>
      <c r="AO11" s="1" t="s">
        <v>61</v>
      </c>
      <c r="AP11" s="1" t="s">
        <v>61</v>
      </c>
      <c r="AQ11" s="1" t="s">
        <v>61</v>
      </c>
      <c r="AR11" s="1" t="s">
        <v>63</v>
      </c>
      <c r="AS11">
        <v>18</v>
      </c>
      <c r="AT11">
        <v>0</v>
      </c>
      <c r="AU11">
        <v>0</v>
      </c>
      <c r="AV11">
        <v>18</v>
      </c>
      <c r="AW11">
        <v>488.13600000000002</v>
      </c>
      <c r="AX11">
        <v>0</v>
      </c>
      <c r="AY11">
        <v>0</v>
      </c>
      <c r="AZ11">
        <v>488.13600000000002</v>
      </c>
      <c r="BA11" s="2"/>
      <c r="BC11" s="2">
        <v>45954.5</v>
      </c>
      <c r="BD11" s="27">
        <f>MarketPlace_Order_Report__2[[#This Row],[UnitPrice]]*MarketPlace_Order_Report__2[[#This Row],[OrderQty]]</f>
        <v>3200</v>
      </c>
      <c r="BE11" s="27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1" s="27">
        <f>MarketPlace_Order_Report__2[[#This Row],[Gross Amount (Before Tax)]]+MarketPlace_Order_Report__2[[#This Row],[Total GST Amount]]</f>
        <v>3688.136</v>
      </c>
    </row>
    <row r="12" spans="1:58">
      <c r="A12" s="1" t="s">
        <v>985</v>
      </c>
      <c r="B12" s="1" t="s">
        <v>986</v>
      </c>
      <c r="C12" s="1" t="s">
        <v>134</v>
      </c>
      <c r="D12" s="1" t="s">
        <v>135</v>
      </c>
      <c r="E12">
        <v>1</v>
      </c>
      <c r="F12" s="1" t="s">
        <v>413</v>
      </c>
      <c r="G12">
        <v>1</v>
      </c>
      <c r="H12">
        <v>1</v>
      </c>
      <c r="I12">
        <v>4000</v>
      </c>
      <c r="J12">
        <v>3200</v>
      </c>
      <c r="K12">
        <v>0</v>
      </c>
      <c r="L12">
        <v>3200</v>
      </c>
      <c r="M12">
        <v>0</v>
      </c>
      <c r="N12" s="1" t="s">
        <v>59</v>
      </c>
      <c r="O12" s="2">
        <v>45957.948020833333</v>
      </c>
      <c r="P12" s="2">
        <v>45959.783333333333</v>
      </c>
      <c r="Q12" s="2"/>
      <c r="R12" s="1" t="s">
        <v>987</v>
      </c>
      <c r="S12" s="1" t="s">
        <v>988</v>
      </c>
      <c r="T12" s="2">
        <v>45958.543113425927</v>
      </c>
      <c r="U12" s="1" t="s">
        <v>61</v>
      </c>
      <c r="V12" s="1" t="s">
        <v>62</v>
      </c>
      <c r="W12" s="1" t="s">
        <v>61</v>
      </c>
      <c r="X12" s="1" t="s">
        <v>61</v>
      </c>
      <c r="Y12" s="1" t="s">
        <v>61</v>
      </c>
      <c r="Z12" s="1" t="s">
        <v>61</v>
      </c>
      <c r="AA12" s="1" t="s">
        <v>61</v>
      </c>
      <c r="AB12" s="1" t="s">
        <v>61</v>
      </c>
      <c r="AC12" s="1" t="s">
        <v>61</v>
      </c>
      <c r="AD12" s="2">
        <v>45961.445347222223</v>
      </c>
      <c r="AE12" s="1" t="s">
        <v>63</v>
      </c>
      <c r="AF12" s="1" t="s">
        <v>61</v>
      </c>
      <c r="AG12" s="1" t="s">
        <v>989</v>
      </c>
      <c r="AH12" s="1" t="s">
        <v>318</v>
      </c>
      <c r="AI12">
        <v>401303</v>
      </c>
      <c r="AJ12" s="1" t="s">
        <v>66</v>
      </c>
      <c r="AK12" s="1" t="s">
        <v>67</v>
      </c>
      <c r="AL12">
        <v>62042300</v>
      </c>
      <c r="AM12" s="2"/>
      <c r="AN12">
        <v>3200</v>
      </c>
      <c r="AO12" s="1" t="s">
        <v>990</v>
      </c>
      <c r="AP12" s="1" t="s">
        <v>381</v>
      </c>
      <c r="AQ12" s="1" t="s">
        <v>61</v>
      </c>
      <c r="AR12" s="1" t="s">
        <v>63</v>
      </c>
      <c r="AS12">
        <v>18</v>
      </c>
      <c r="AT12">
        <v>9</v>
      </c>
      <c r="AU12">
        <v>9</v>
      </c>
      <c r="AV12">
        <v>0</v>
      </c>
      <c r="AW12">
        <v>488.13600000000002</v>
      </c>
      <c r="AX12">
        <v>244.06800000000001</v>
      </c>
      <c r="AY12">
        <v>244.06800000000001</v>
      </c>
      <c r="AZ12">
        <v>0</v>
      </c>
      <c r="BA12" s="2"/>
      <c r="BB12">
        <v>0.85</v>
      </c>
      <c r="BC12" s="2">
        <v>45960.5</v>
      </c>
      <c r="BD12" s="27">
        <f>MarketPlace_Order_Report__2[[#This Row],[UnitPrice]]*MarketPlace_Order_Report__2[[#This Row],[OrderQty]]</f>
        <v>3200</v>
      </c>
      <c r="BE12" s="27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2" s="27">
        <f>MarketPlace_Order_Report__2[[#This Row],[Gross Amount (Before Tax)]]+MarketPlace_Order_Report__2[[#This Row],[Total GST Amount]]</f>
        <v>3688.136</v>
      </c>
    </row>
    <row r="13" spans="1:58">
      <c r="A13" s="1" t="s">
        <v>991</v>
      </c>
      <c r="B13" s="1" t="s">
        <v>992</v>
      </c>
      <c r="C13" s="1" t="s">
        <v>134</v>
      </c>
      <c r="D13" s="1" t="s">
        <v>135</v>
      </c>
      <c r="E13">
        <v>1</v>
      </c>
      <c r="F13" s="1" t="s">
        <v>187</v>
      </c>
      <c r="G13">
        <v>1</v>
      </c>
      <c r="H13">
        <v>0</v>
      </c>
      <c r="I13">
        <v>4000</v>
      </c>
      <c r="J13">
        <v>3200</v>
      </c>
      <c r="K13">
        <v>0</v>
      </c>
      <c r="L13">
        <v>3249</v>
      </c>
      <c r="M13">
        <v>49</v>
      </c>
      <c r="N13" s="1" t="s">
        <v>72</v>
      </c>
      <c r="O13" s="2">
        <v>45947.005995370368</v>
      </c>
      <c r="P13" s="2"/>
      <c r="Q13" s="2"/>
      <c r="R13" s="1" t="s">
        <v>61</v>
      </c>
      <c r="S13" s="1" t="s">
        <v>351</v>
      </c>
      <c r="T13" s="2"/>
      <c r="U13" s="1" t="s">
        <v>323</v>
      </c>
      <c r="V13" s="1" t="s">
        <v>62</v>
      </c>
      <c r="W13" s="1" t="s">
        <v>61</v>
      </c>
      <c r="X13" s="1" t="s">
        <v>61</v>
      </c>
      <c r="Y13" s="1" t="s">
        <v>61</v>
      </c>
      <c r="Z13" s="1" t="s">
        <v>61</v>
      </c>
      <c r="AA13" s="1" t="s">
        <v>61</v>
      </c>
      <c r="AB13" s="1" t="s">
        <v>61</v>
      </c>
      <c r="AC13" s="1" t="s">
        <v>61</v>
      </c>
      <c r="AD13" s="2">
        <v>45947.007314814815</v>
      </c>
      <c r="AE13" s="1" t="s">
        <v>63</v>
      </c>
      <c r="AF13" s="1" t="s">
        <v>61</v>
      </c>
      <c r="AG13" s="1" t="s">
        <v>993</v>
      </c>
      <c r="AH13" s="1" t="s">
        <v>318</v>
      </c>
      <c r="AI13">
        <v>442703</v>
      </c>
      <c r="AJ13" s="1" t="s">
        <v>66</v>
      </c>
      <c r="AK13" s="1" t="s">
        <v>67</v>
      </c>
      <c r="AL13">
        <v>62042300</v>
      </c>
      <c r="AM13" s="2">
        <v>45947.007314814815</v>
      </c>
      <c r="AN13">
        <v>3200</v>
      </c>
      <c r="AO13" s="1" t="s">
        <v>61</v>
      </c>
      <c r="AP13" s="1" t="s">
        <v>61</v>
      </c>
      <c r="AQ13" s="1" t="s">
        <v>61</v>
      </c>
      <c r="AR13" s="1" t="s">
        <v>63</v>
      </c>
      <c r="AS13">
        <v>18</v>
      </c>
      <c r="AT13">
        <v>9</v>
      </c>
      <c r="AU13">
        <v>9</v>
      </c>
      <c r="AV13">
        <v>0</v>
      </c>
      <c r="AW13">
        <v>488.13600000000002</v>
      </c>
      <c r="AX13">
        <v>244.06800000000001</v>
      </c>
      <c r="AY13">
        <v>244.06800000000001</v>
      </c>
      <c r="AZ13">
        <v>0</v>
      </c>
      <c r="BA13" s="2"/>
      <c r="BC13" s="2">
        <v>45949.5</v>
      </c>
      <c r="BD13" s="27">
        <f>MarketPlace_Order_Report__2[[#This Row],[UnitPrice]]*MarketPlace_Order_Report__2[[#This Row],[OrderQty]]</f>
        <v>3200</v>
      </c>
      <c r="BE13" s="27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3" s="27">
        <f>MarketPlace_Order_Report__2[[#This Row],[Gross Amount (Before Tax)]]+MarketPlace_Order_Report__2[[#This Row],[Total GST Amount]]</f>
        <v>3688.136</v>
      </c>
    </row>
    <row r="14" spans="1:58">
      <c r="A14" s="1" t="s">
        <v>994</v>
      </c>
      <c r="B14" s="1" t="s">
        <v>995</v>
      </c>
      <c r="C14" s="1" t="s">
        <v>996</v>
      </c>
      <c r="D14" s="1" t="s">
        <v>997</v>
      </c>
      <c r="E14">
        <v>1</v>
      </c>
      <c r="F14" s="1" t="s">
        <v>58</v>
      </c>
      <c r="G14">
        <v>1</v>
      </c>
      <c r="H14">
        <v>1</v>
      </c>
      <c r="I14">
        <v>4000</v>
      </c>
      <c r="J14">
        <v>3200</v>
      </c>
      <c r="K14">
        <v>0</v>
      </c>
      <c r="L14">
        <v>3229</v>
      </c>
      <c r="M14">
        <v>29</v>
      </c>
      <c r="N14" s="1" t="s">
        <v>59</v>
      </c>
      <c r="O14" s="2">
        <v>45937.406863425924</v>
      </c>
      <c r="P14" s="2">
        <v>45938.717789351853</v>
      </c>
      <c r="Q14" s="2">
        <v>45945.501793981479</v>
      </c>
      <c r="R14" s="1" t="s">
        <v>998</v>
      </c>
      <c r="S14" s="1" t="s">
        <v>60</v>
      </c>
      <c r="T14" s="2">
        <v>45937.717673611114</v>
      </c>
      <c r="U14" s="1" t="s">
        <v>61</v>
      </c>
      <c r="V14" s="1" t="s">
        <v>62</v>
      </c>
      <c r="W14" s="1" t="s">
        <v>61</v>
      </c>
      <c r="X14" s="1" t="s">
        <v>61</v>
      </c>
      <c r="Y14" s="1" t="s">
        <v>61</v>
      </c>
      <c r="Z14" s="1" t="s">
        <v>61</v>
      </c>
      <c r="AA14" s="1" t="s">
        <v>61</v>
      </c>
      <c r="AB14" s="1" t="s">
        <v>61</v>
      </c>
      <c r="AC14" s="1" t="s">
        <v>61</v>
      </c>
      <c r="AD14" s="2">
        <v>45945.504328703704</v>
      </c>
      <c r="AE14" s="1" t="s">
        <v>63</v>
      </c>
      <c r="AF14" s="1" t="s">
        <v>61</v>
      </c>
      <c r="AG14" s="1" t="s">
        <v>999</v>
      </c>
      <c r="AH14" s="1" t="s">
        <v>83</v>
      </c>
      <c r="AI14">
        <v>801106</v>
      </c>
      <c r="AJ14" s="1" t="s">
        <v>66</v>
      </c>
      <c r="AK14" s="1" t="s">
        <v>67</v>
      </c>
      <c r="AL14">
        <v>62042300</v>
      </c>
      <c r="AM14" s="2"/>
      <c r="AN14">
        <v>3200</v>
      </c>
      <c r="AO14" s="1" t="s">
        <v>1000</v>
      </c>
      <c r="AP14" s="1" t="s">
        <v>78</v>
      </c>
      <c r="AQ14" s="1" t="s">
        <v>61</v>
      </c>
      <c r="AR14" s="1" t="s">
        <v>63</v>
      </c>
      <c r="AS14">
        <v>18</v>
      </c>
      <c r="AT14">
        <v>0</v>
      </c>
      <c r="AU14">
        <v>0</v>
      </c>
      <c r="AV14">
        <v>18</v>
      </c>
      <c r="AW14">
        <v>488.13600000000002</v>
      </c>
      <c r="AX14">
        <v>0</v>
      </c>
      <c r="AY14">
        <v>0</v>
      </c>
      <c r="AZ14">
        <v>488.13600000000002</v>
      </c>
      <c r="BA14" s="2"/>
      <c r="BB14">
        <v>0.85</v>
      </c>
      <c r="BC14" s="2">
        <v>45939.5</v>
      </c>
      <c r="BD14" s="27">
        <f>MarketPlace_Order_Report__2[[#This Row],[UnitPrice]]*MarketPlace_Order_Report__2[[#This Row],[OrderQty]]</f>
        <v>3200</v>
      </c>
      <c r="BE14" s="27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4" s="27">
        <f>MarketPlace_Order_Report__2[[#This Row],[Gross Amount (Before Tax)]]+MarketPlace_Order_Report__2[[#This Row],[Total GST Amount]]</f>
        <v>3688.136</v>
      </c>
    </row>
    <row r="15" spans="1:58">
      <c r="A15" s="1" t="s">
        <v>1001</v>
      </c>
      <c r="B15" s="1" t="s">
        <v>1002</v>
      </c>
      <c r="C15" s="1" t="s">
        <v>996</v>
      </c>
      <c r="D15" s="1" t="s">
        <v>997</v>
      </c>
      <c r="E15">
        <v>2</v>
      </c>
      <c r="F15" s="1" t="s">
        <v>71</v>
      </c>
      <c r="G15">
        <v>1</v>
      </c>
      <c r="H15">
        <v>1</v>
      </c>
      <c r="I15">
        <v>4000</v>
      </c>
      <c r="J15">
        <v>3200</v>
      </c>
      <c r="K15">
        <v>0</v>
      </c>
      <c r="L15">
        <v>3222.26</v>
      </c>
      <c r="M15">
        <v>22.26</v>
      </c>
      <c r="N15" s="1" t="s">
        <v>59</v>
      </c>
      <c r="O15" s="2">
        <v>45937.043726851851</v>
      </c>
      <c r="P15" s="2">
        <v>45938.717349537037</v>
      </c>
      <c r="Q15" s="2">
        <v>45942.620752314811</v>
      </c>
      <c r="R15" s="1" t="s">
        <v>1003</v>
      </c>
      <c r="S15" s="1" t="s">
        <v>351</v>
      </c>
      <c r="T15" s="2">
        <v>45937.716180555559</v>
      </c>
      <c r="U15" s="1" t="s">
        <v>61</v>
      </c>
      <c r="V15" s="1" t="s">
        <v>62</v>
      </c>
      <c r="W15" s="1" t="s">
        <v>61</v>
      </c>
      <c r="X15" s="1" t="s">
        <v>61</v>
      </c>
      <c r="Y15" s="1" t="s">
        <v>1004</v>
      </c>
      <c r="Z15" s="1" t="s">
        <v>74</v>
      </c>
      <c r="AA15" s="1" t="s">
        <v>75</v>
      </c>
      <c r="AB15" s="1" t="s">
        <v>61</v>
      </c>
      <c r="AC15" s="1" t="s">
        <v>61</v>
      </c>
      <c r="AD15" s="2">
        <v>45957.622395833336</v>
      </c>
      <c r="AE15" s="1" t="s">
        <v>63</v>
      </c>
      <c r="AF15" s="1" t="s">
        <v>61</v>
      </c>
      <c r="AG15" s="1" t="s">
        <v>1005</v>
      </c>
      <c r="AH15" s="1" t="s">
        <v>449</v>
      </c>
      <c r="AI15">
        <v>495001</v>
      </c>
      <c r="AJ15" s="1" t="s">
        <v>66</v>
      </c>
      <c r="AK15" s="1" t="s">
        <v>67</v>
      </c>
      <c r="AL15">
        <v>62042300</v>
      </c>
      <c r="AM15" s="2"/>
      <c r="AN15">
        <v>3200</v>
      </c>
      <c r="AO15" s="1" t="s">
        <v>1006</v>
      </c>
      <c r="AP15" s="1" t="s">
        <v>1007</v>
      </c>
      <c r="AQ15" s="1" t="s">
        <v>61</v>
      </c>
      <c r="AR15" s="1" t="s">
        <v>63</v>
      </c>
      <c r="AS15">
        <v>18</v>
      </c>
      <c r="AT15">
        <v>0</v>
      </c>
      <c r="AU15">
        <v>0</v>
      </c>
      <c r="AV15">
        <v>18</v>
      </c>
      <c r="AW15">
        <v>488.13600000000002</v>
      </c>
      <c r="AX15">
        <v>0</v>
      </c>
      <c r="AY15">
        <v>0</v>
      </c>
      <c r="AZ15">
        <v>488.13600000000002</v>
      </c>
      <c r="BA15" s="2"/>
      <c r="BB15">
        <v>0.85</v>
      </c>
      <c r="BC15" s="2">
        <v>45939.5</v>
      </c>
      <c r="BD15" s="27">
        <f>MarketPlace_Order_Report__2[[#This Row],[UnitPrice]]*MarketPlace_Order_Report__2[[#This Row],[OrderQty]]</f>
        <v>3200</v>
      </c>
      <c r="BE15" s="27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5" s="27">
        <f>MarketPlace_Order_Report__2[[#This Row],[Gross Amount (Before Tax)]]+MarketPlace_Order_Report__2[[#This Row],[Total GST Amount]]</f>
        <v>3688.136</v>
      </c>
    </row>
    <row r="16" spans="1:58">
      <c r="A16" s="1" t="s">
        <v>1008</v>
      </c>
      <c r="B16" s="1" t="s">
        <v>1009</v>
      </c>
      <c r="C16" s="1" t="s">
        <v>1010</v>
      </c>
      <c r="D16" s="1" t="s">
        <v>1011</v>
      </c>
      <c r="E16">
        <v>1</v>
      </c>
      <c r="F16" s="1" t="s">
        <v>58</v>
      </c>
      <c r="G16">
        <v>1</v>
      </c>
      <c r="H16">
        <v>1</v>
      </c>
      <c r="I16">
        <v>2000</v>
      </c>
      <c r="J16">
        <v>1000</v>
      </c>
      <c r="K16">
        <v>0</v>
      </c>
      <c r="L16">
        <v>1009.3</v>
      </c>
      <c r="M16">
        <v>9.3000000000000007</v>
      </c>
      <c r="N16" s="1" t="s">
        <v>59</v>
      </c>
      <c r="O16" s="2">
        <v>45940.790972222225</v>
      </c>
      <c r="P16" s="2">
        <v>45941.748726851853</v>
      </c>
      <c r="Q16" s="2">
        <v>45944.852847222224</v>
      </c>
      <c r="R16" s="1" t="s">
        <v>1012</v>
      </c>
      <c r="S16" s="1" t="s">
        <v>60</v>
      </c>
      <c r="T16" s="2">
        <v>45940.816203703704</v>
      </c>
      <c r="U16" s="1" t="s">
        <v>61</v>
      </c>
      <c r="V16" s="1" t="s">
        <v>62</v>
      </c>
      <c r="W16" s="1" t="s">
        <v>61</v>
      </c>
      <c r="X16" s="1" t="s">
        <v>61</v>
      </c>
      <c r="Y16" s="1" t="s">
        <v>61</v>
      </c>
      <c r="Z16" s="1" t="s">
        <v>61</v>
      </c>
      <c r="AA16" s="1" t="s">
        <v>61</v>
      </c>
      <c r="AB16" s="1" t="s">
        <v>61</v>
      </c>
      <c r="AC16" s="1" t="s">
        <v>61</v>
      </c>
      <c r="AD16" s="2">
        <v>45944.855011574073</v>
      </c>
      <c r="AE16" s="1" t="s">
        <v>63</v>
      </c>
      <c r="AF16" s="1" t="s">
        <v>61</v>
      </c>
      <c r="AG16" s="1" t="s">
        <v>136</v>
      </c>
      <c r="AH16" s="1" t="s">
        <v>77</v>
      </c>
      <c r="AI16">
        <v>201307</v>
      </c>
      <c r="AJ16" s="1" t="s">
        <v>66</v>
      </c>
      <c r="AK16" s="1" t="s">
        <v>67</v>
      </c>
      <c r="AL16">
        <v>62044220</v>
      </c>
      <c r="AM16" s="2"/>
      <c r="AN16">
        <v>1000</v>
      </c>
      <c r="AO16" s="1" t="s">
        <v>1013</v>
      </c>
      <c r="AP16" s="1" t="s">
        <v>1014</v>
      </c>
      <c r="AQ16" s="1" t="s">
        <v>61</v>
      </c>
      <c r="AR16" s="1" t="s">
        <v>63</v>
      </c>
      <c r="AS16">
        <v>5</v>
      </c>
      <c r="AT16">
        <v>0</v>
      </c>
      <c r="AU16">
        <v>0</v>
      </c>
      <c r="AV16">
        <v>5</v>
      </c>
      <c r="AW16">
        <v>47.619</v>
      </c>
      <c r="AX16">
        <v>0</v>
      </c>
      <c r="AY16">
        <v>0</v>
      </c>
      <c r="AZ16">
        <v>47.619</v>
      </c>
      <c r="BA16" s="2"/>
      <c r="BB16">
        <v>0.7</v>
      </c>
      <c r="BC16" s="2">
        <v>45943.5</v>
      </c>
      <c r="BD16" s="27">
        <f>MarketPlace_Order_Report__2[[#This Row],[UnitPrice]]*MarketPlace_Order_Report__2[[#This Row],[OrderQty]]</f>
        <v>1000</v>
      </c>
      <c r="BE16" s="27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16" s="27">
        <f>MarketPlace_Order_Report__2[[#This Row],[Gross Amount (Before Tax)]]+MarketPlace_Order_Report__2[[#This Row],[Total GST Amount]]</f>
        <v>1047.6189999999999</v>
      </c>
    </row>
    <row r="17" spans="1:58">
      <c r="A17" s="1" t="s">
        <v>1015</v>
      </c>
      <c r="B17" s="1" t="s">
        <v>1016</v>
      </c>
      <c r="C17" s="1" t="s">
        <v>1017</v>
      </c>
      <c r="D17" s="1" t="s">
        <v>1018</v>
      </c>
      <c r="E17">
        <v>4</v>
      </c>
      <c r="F17" s="1" t="s">
        <v>58</v>
      </c>
      <c r="G17">
        <v>1</v>
      </c>
      <c r="H17">
        <v>1</v>
      </c>
      <c r="I17">
        <v>2000</v>
      </c>
      <c r="J17">
        <v>1000</v>
      </c>
      <c r="K17">
        <v>0</v>
      </c>
      <c r="L17">
        <v>1007.34</v>
      </c>
      <c r="M17">
        <v>7.34</v>
      </c>
      <c r="N17" s="1" t="s">
        <v>59</v>
      </c>
      <c r="O17" s="2">
        <v>45944.328645833331</v>
      </c>
      <c r="P17" s="2">
        <v>45945.759166666663</v>
      </c>
      <c r="Q17" s="2">
        <v>45949.615243055552</v>
      </c>
      <c r="R17" s="1" t="s">
        <v>1019</v>
      </c>
      <c r="S17" s="1" t="s">
        <v>351</v>
      </c>
      <c r="T17" s="2">
        <v>45944.808067129627</v>
      </c>
      <c r="U17" s="1" t="s">
        <v>61</v>
      </c>
      <c r="V17" s="1" t="s">
        <v>62</v>
      </c>
      <c r="W17" s="1" t="s">
        <v>61</v>
      </c>
      <c r="X17" s="1" t="s">
        <v>61</v>
      </c>
      <c r="Y17" s="1" t="s">
        <v>61</v>
      </c>
      <c r="Z17" s="1" t="s">
        <v>61</v>
      </c>
      <c r="AA17" s="1" t="s">
        <v>61</v>
      </c>
      <c r="AB17" s="1" t="s">
        <v>61</v>
      </c>
      <c r="AC17" s="1" t="s">
        <v>61</v>
      </c>
      <c r="AD17" s="2">
        <v>45949.615416666667</v>
      </c>
      <c r="AE17" s="1" t="s">
        <v>63</v>
      </c>
      <c r="AF17" s="1" t="s">
        <v>61</v>
      </c>
      <c r="AG17" s="1" t="s">
        <v>1020</v>
      </c>
      <c r="AH17" s="1" t="s">
        <v>434</v>
      </c>
      <c r="AI17">
        <v>390010</v>
      </c>
      <c r="AJ17" s="1" t="s">
        <v>66</v>
      </c>
      <c r="AK17" s="1" t="s">
        <v>67</v>
      </c>
      <c r="AL17">
        <v>62044220</v>
      </c>
      <c r="AM17" s="2"/>
      <c r="AN17">
        <v>1000</v>
      </c>
      <c r="AO17" s="1" t="s">
        <v>1021</v>
      </c>
      <c r="AP17" s="1" t="s">
        <v>209</v>
      </c>
      <c r="AQ17" s="1" t="s">
        <v>61</v>
      </c>
      <c r="AR17" s="1" t="s">
        <v>63</v>
      </c>
      <c r="AS17">
        <v>5</v>
      </c>
      <c r="AT17">
        <v>0</v>
      </c>
      <c r="AU17">
        <v>0</v>
      </c>
      <c r="AV17">
        <v>5</v>
      </c>
      <c r="AW17">
        <v>47.619</v>
      </c>
      <c r="AX17">
        <v>0</v>
      </c>
      <c r="AY17">
        <v>0</v>
      </c>
      <c r="AZ17">
        <v>47.619</v>
      </c>
      <c r="BA17" s="2"/>
      <c r="BB17">
        <v>0.7</v>
      </c>
      <c r="BC17" s="2">
        <v>45946.5</v>
      </c>
      <c r="BD17" s="27">
        <f>MarketPlace_Order_Report__2[[#This Row],[UnitPrice]]*MarketPlace_Order_Report__2[[#This Row],[OrderQty]]</f>
        <v>1000</v>
      </c>
      <c r="BE17" s="27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17" s="27">
        <f>MarketPlace_Order_Report__2[[#This Row],[Gross Amount (Before Tax)]]+MarketPlace_Order_Report__2[[#This Row],[Total GST Amount]]</f>
        <v>1047.6189999999999</v>
      </c>
    </row>
    <row r="18" spans="1:58">
      <c r="A18" s="1" t="s">
        <v>1022</v>
      </c>
      <c r="B18" s="1" t="s">
        <v>1023</v>
      </c>
      <c r="C18" s="1" t="s">
        <v>1024</v>
      </c>
      <c r="D18" s="1" t="s">
        <v>1025</v>
      </c>
      <c r="E18">
        <v>2</v>
      </c>
      <c r="F18" s="1" t="s">
        <v>58</v>
      </c>
      <c r="G18">
        <v>1</v>
      </c>
      <c r="H18">
        <v>1</v>
      </c>
      <c r="I18">
        <v>2000</v>
      </c>
      <c r="J18">
        <v>1000</v>
      </c>
      <c r="K18">
        <v>0</v>
      </c>
      <c r="L18">
        <v>1000</v>
      </c>
      <c r="M18">
        <v>0</v>
      </c>
      <c r="N18" s="1" t="s">
        <v>59</v>
      </c>
      <c r="O18" s="2">
        <v>45947.493831018517</v>
      </c>
      <c r="P18" s="2">
        <v>45948.802083333336</v>
      </c>
      <c r="Q18" s="2">
        <v>45950.546527777777</v>
      </c>
      <c r="R18" s="1" t="s">
        <v>1026</v>
      </c>
      <c r="S18" s="1" t="s">
        <v>988</v>
      </c>
      <c r="T18" s="2">
        <v>45947.78429398148</v>
      </c>
      <c r="U18" s="1" t="s">
        <v>61</v>
      </c>
      <c r="V18" s="1" t="s">
        <v>62</v>
      </c>
      <c r="W18" s="1" t="s">
        <v>61</v>
      </c>
      <c r="X18" s="1" t="s">
        <v>61</v>
      </c>
      <c r="Y18" s="1" t="s">
        <v>61</v>
      </c>
      <c r="Z18" s="1" t="s">
        <v>61</v>
      </c>
      <c r="AA18" s="1" t="s">
        <v>61</v>
      </c>
      <c r="AB18" s="1" t="s">
        <v>61</v>
      </c>
      <c r="AC18" s="1" t="s">
        <v>61</v>
      </c>
      <c r="AD18" s="2">
        <v>45950.688194444447</v>
      </c>
      <c r="AE18" s="1" t="s">
        <v>63</v>
      </c>
      <c r="AF18" s="1" t="s">
        <v>61</v>
      </c>
      <c r="AG18" s="1" t="s">
        <v>317</v>
      </c>
      <c r="AH18" s="1" t="s">
        <v>318</v>
      </c>
      <c r="AI18">
        <v>400703</v>
      </c>
      <c r="AJ18" s="1" t="s">
        <v>66</v>
      </c>
      <c r="AK18" s="1" t="s">
        <v>67</v>
      </c>
      <c r="AL18">
        <v>62044220</v>
      </c>
      <c r="AM18" s="2"/>
      <c r="AN18">
        <v>1000</v>
      </c>
      <c r="AO18" s="1" t="s">
        <v>1027</v>
      </c>
      <c r="AP18" s="1" t="s">
        <v>61</v>
      </c>
      <c r="AQ18" s="1" t="s">
        <v>61</v>
      </c>
      <c r="AR18" s="1" t="s">
        <v>63</v>
      </c>
      <c r="AS18">
        <v>5</v>
      </c>
      <c r="AT18">
        <v>2.5</v>
      </c>
      <c r="AU18">
        <v>2.5</v>
      </c>
      <c r="AV18">
        <v>0</v>
      </c>
      <c r="AW18">
        <v>47.619</v>
      </c>
      <c r="AX18">
        <v>23.81</v>
      </c>
      <c r="AY18">
        <v>23.81</v>
      </c>
      <c r="AZ18">
        <v>0</v>
      </c>
      <c r="BA18" s="2"/>
      <c r="BB18">
        <v>0.7</v>
      </c>
      <c r="BC18" s="2">
        <v>45949.5</v>
      </c>
      <c r="BD18" s="27">
        <f>MarketPlace_Order_Report__2[[#This Row],[UnitPrice]]*MarketPlace_Order_Report__2[[#This Row],[OrderQty]]</f>
        <v>1000</v>
      </c>
      <c r="BE18" s="27">
        <f>IFERROR(MarketPlace_Order_Report__2[[#This Row],[CGSTAmount]]+MarketPlace_Order_Report__2[[#This Row],[SGSTAmount]]+MarketPlace_Order_Report__2[[#This Row],[IGSTAmount]],MarketPlace_Order_Report__2[[#This Row],[TaxAmount]])</f>
        <v>47.62</v>
      </c>
      <c r="BF18" s="27">
        <f>MarketPlace_Order_Report__2[[#This Row],[Gross Amount (Before Tax)]]+MarketPlace_Order_Report__2[[#This Row],[Total GST Amount]]</f>
        <v>1047.6199999999999</v>
      </c>
    </row>
    <row r="19" spans="1:58">
      <c r="A19" s="1" t="s">
        <v>1028</v>
      </c>
      <c r="B19" s="1" t="s">
        <v>1029</v>
      </c>
      <c r="C19" s="1" t="s">
        <v>1024</v>
      </c>
      <c r="D19" s="1" t="s">
        <v>1025</v>
      </c>
      <c r="E19">
        <v>5</v>
      </c>
      <c r="F19" s="1" t="s">
        <v>58</v>
      </c>
      <c r="G19">
        <v>1</v>
      </c>
      <c r="H19">
        <v>1</v>
      </c>
      <c r="I19">
        <v>2000</v>
      </c>
      <c r="J19">
        <v>1000</v>
      </c>
      <c r="K19">
        <v>0</v>
      </c>
      <c r="L19">
        <v>1009.59</v>
      </c>
      <c r="M19">
        <v>9.59</v>
      </c>
      <c r="N19" s="1" t="s">
        <v>72</v>
      </c>
      <c r="O19" s="2">
        <v>45942.611145833333</v>
      </c>
      <c r="P19" s="2">
        <v>45943.779166666667</v>
      </c>
      <c r="Q19" s="2">
        <v>45953.662499999999</v>
      </c>
      <c r="R19" s="1" t="s">
        <v>1030</v>
      </c>
      <c r="S19" s="1" t="s">
        <v>107</v>
      </c>
      <c r="T19" s="2">
        <v>45942.661412037036</v>
      </c>
      <c r="U19" s="1" t="s">
        <v>61</v>
      </c>
      <c r="V19" s="1" t="s">
        <v>62</v>
      </c>
      <c r="W19" s="1" t="s">
        <v>61</v>
      </c>
      <c r="X19" s="1" t="s">
        <v>61</v>
      </c>
      <c r="Y19" s="1" t="s">
        <v>61</v>
      </c>
      <c r="Z19" s="1" t="s">
        <v>61</v>
      </c>
      <c r="AA19" s="1" t="s">
        <v>61</v>
      </c>
      <c r="AB19" s="1" t="s">
        <v>61</v>
      </c>
      <c r="AC19" s="1" t="s">
        <v>61</v>
      </c>
      <c r="AD19" s="2">
        <v>45953.671030092592</v>
      </c>
      <c r="AE19" s="1" t="s">
        <v>63</v>
      </c>
      <c r="AF19" s="1" t="s">
        <v>61</v>
      </c>
      <c r="AG19" s="1" t="s">
        <v>108</v>
      </c>
      <c r="AH19" s="1" t="s">
        <v>109</v>
      </c>
      <c r="AI19">
        <v>500001</v>
      </c>
      <c r="AJ19" s="1" t="s">
        <v>66</v>
      </c>
      <c r="AK19" s="1" t="s">
        <v>67</v>
      </c>
      <c r="AL19">
        <v>62044220</v>
      </c>
      <c r="AM19" s="2"/>
      <c r="AN19">
        <v>1000</v>
      </c>
      <c r="AO19" s="1" t="s">
        <v>1031</v>
      </c>
      <c r="AP19" s="1" t="s">
        <v>61</v>
      </c>
      <c r="AQ19" s="1" t="s">
        <v>61</v>
      </c>
      <c r="AR19" s="1" t="s">
        <v>63</v>
      </c>
      <c r="AS19">
        <v>5</v>
      </c>
      <c r="AT19">
        <v>0</v>
      </c>
      <c r="AU19">
        <v>0</v>
      </c>
      <c r="AV19">
        <v>5</v>
      </c>
      <c r="AW19">
        <v>47.619</v>
      </c>
      <c r="AX19">
        <v>0</v>
      </c>
      <c r="AY19">
        <v>0</v>
      </c>
      <c r="AZ19">
        <v>47.619</v>
      </c>
      <c r="BA19" s="2"/>
      <c r="BB19">
        <v>0.7</v>
      </c>
      <c r="BC19" s="2">
        <v>45945.5</v>
      </c>
      <c r="BD19" s="27">
        <f>MarketPlace_Order_Report__2[[#This Row],[UnitPrice]]*MarketPlace_Order_Report__2[[#This Row],[OrderQty]]</f>
        <v>1000</v>
      </c>
      <c r="BE19" s="27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19" s="27">
        <f>MarketPlace_Order_Report__2[[#This Row],[Gross Amount (Before Tax)]]+MarketPlace_Order_Report__2[[#This Row],[Total GST Amount]]</f>
        <v>1047.6189999999999</v>
      </c>
    </row>
    <row r="20" spans="1:58">
      <c r="A20" s="1" t="s">
        <v>1032</v>
      </c>
      <c r="B20" s="1" t="s">
        <v>1033</v>
      </c>
      <c r="C20" s="1" t="s">
        <v>1024</v>
      </c>
      <c r="D20" s="1" t="s">
        <v>1025</v>
      </c>
      <c r="E20">
        <v>2</v>
      </c>
      <c r="F20" s="1" t="s">
        <v>187</v>
      </c>
      <c r="G20">
        <v>1</v>
      </c>
      <c r="H20">
        <v>0</v>
      </c>
      <c r="I20">
        <v>2000</v>
      </c>
      <c r="J20">
        <v>1000</v>
      </c>
      <c r="K20">
        <v>0</v>
      </c>
      <c r="L20">
        <v>1003.92</v>
      </c>
      <c r="M20">
        <v>3.92</v>
      </c>
      <c r="N20" s="1" t="s">
        <v>72</v>
      </c>
      <c r="O20" s="2">
        <v>45942.417384259257</v>
      </c>
      <c r="P20" s="2"/>
      <c r="Q20" s="2"/>
      <c r="R20" s="1" t="s">
        <v>61</v>
      </c>
      <c r="S20" s="1" t="s">
        <v>107</v>
      </c>
      <c r="T20" s="2"/>
      <c r="U20" s="1" t="s">
        <v>831</v>
      </c>
      <c r="V20" s="1" t="s">
        <v>62</v>
      </c>
      <c r="W20" s="1" t="s">
        <v>61</v>
      </c>
      <c r="X20" s="1" t="s">
        <v>61</v>
      </c>
      <c r="Y20" s="1" t="s">
        <v>61</v>
      </c>
      <c r="Z20" s="1" t="s">
        <v>61</v>
      </c>
      <c r="AA20" s="1" t="s">
        <v>61</v>
      </c>
      <c r="AB20" s="1" t="s">
        <v>61</v>
      </c>
      <c r="AC20" s="1" t="s">
        <v>61</v>
      </c>
      <c r="AD20" s="2">
        <v>45942.535219907404</v>
      </c>
      <c r="AE20" s="1" t="s">
        <v>63</v>
      </c>
      <c r="AF20" s="1" t="s">
        <v>61</v>
      </c>
      <c r="AG20" s="1" t="s">
        <v>108</v>
      </c>
      <c r="AH20" s="1" t="s">
        <v>109</v>
      </c>
      <c r="AI20">
        <v>500001</v>
      </c>
      <c r="AJ20" s="1" t="s">
        <v>66</v>
      </c>
      <c r="AK20" s="1" t="s">
        <v>67</v>
      </c>
      <c r="AL20">
        <v>62044220</v>
      </c>
      <c r="AM20" s="2">
        <v>45942.535219907404</v>
      </c>
      <c r="AN20">
        <v>1000</v>
      </c>
      <c r="AO20" s="1" t="s">
        <v>61</v>
      </c>
      <c r="AP20" s="1" t="s">
        <v>61</v>
      </c>
      <c r="AQ20" s="1" t="s">
        <v>61</v>
      </c>
      <c r="AR20" s="1" t="s">
        <v>63</v>
      </c>
      <c r="AS20">
        <v>5</v>
      </c>
      <c r="AT20">
        <v>0</v>
      </c>
      <c r="AU20">
        <v>0</v>
      </c>
      <c r="AV20">
        <v>5</v>
      </c>
      <c r="AW20">
        <v>47.619</v>
      </c>
      <c r="AX20">
        <v>0</v>
      </c>
      <c r="AY20">
        <v>0</v>
      </c>
      <c r="AZ20">
        <v>47.619</v>
      </c>
      <c r="BA20" s="2"/>
      <c r="BC20" s="2">
        <v>45944.5</v>
      </c>
      <c r="BD20" s="27">
        <f>MarketPlace_Order_Report__2[[#This Row],[UnitPrice]]*MarketPlace_Order_Report__2[[#This Row],[OrderQty]]</f>
        <v>1000</v>
      </c>
      <c r="BE20" s="27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20" s="27">
        <f>MarketPlace_Order_Report__2[[#This Row],[Gross Amount (Before Tax)]]+MarketPlace_Order_Report__2[[#This Row],[Total GST Amount]]</f>
        <v>1047.6189999999999</v>
      </c>
    </row>
    <row r="21" spans="1:58">
      <c r="A21" s="1" t="s">
        <v>1034</v>
      </c>
      <c r="B21" s="1" t="s">
        <v>1035</v>
      </c>
      <c r="C21" s="1" t="s">
        <v>1036</v>
      </c>
      <c r="D21" s="1" t="s">
        <v>1037</v>
      </c>
      <c r="E21">
        <v>2</v>
      </c>
      <c r="F21" s="1" t="s">
        <v>58</v>
      </c>
      <c r="G21">
        <v>1</v>
      </c>
      <c r="H21">
        <v>1</v>
      </c>
      <c r="I21">
        <v>2000</v>
      </c>
      <c r="J21">
        <v>1000</v>
      </c>
      <c r="K21">
        <v>0</v>
      </c>
      <c r="L21">
        <v>1000</v>
      </c>
      <c r="M21">
        <v>0</v>
      </c>
      <c r="N21" s="1" t="s">
        <v>59</v>
      </c>
      <c r="O21" s="2">
        <v>45937.664293981485</v>
      </c>
      <c r="P21" s="2">
        <v>45938.718495370369</v>
      </c>
      <c r="Q21" s="2">
        <v>45939.632476851853</v>
      </c>
      <c r="R21" s="1" t="s">
        <v>1038</v>
      </c>
      <c r="S21" s="1" t="s">
        <v>351</v>
      </c>
      <c r="T21" s="2">
        <v>45937.717673611114</v>
      </c>
      <c r="U21" s="1" t="s">
        <v>61</v>
      </c>
      <c r="V21" s="1" t="s">
        <v>62</v>
      </c>
      <c r="W21" s="1" t="s">
        <v>61</v>
      </c>
      <c r="X21" s="1" t="s">
        <v>61</v>
      </c>
      <c r="Y21" s="1" t="s">
        <v>61</v>
      </c>
      <c r="Z21" s="1" t="s">
        <v>61</v>
      </c>
      <c r="AA21" s="1" t="s">
        <v>61</v>
      </c>
      <c r="AB21" s="1" t="s">
        <v>61</v>
      </c>
      <c r="AC21" s="1" t="s">
        <v>61</v>
      </c>
      <c r="AD21" s="2">
        <v>45939.63621527778</v>
      </c>
      <c r="AE21" s="1" t="s">
        <v>63</v>
      </c>
      <c r="AF21" s="1" t="s">
        <v>61</v>
      </c>
      <c r="AG21" s="1" t="s">
        <v>1039</v>
      </c>
      <c r="AH21" s="1" t="s">
        <v>318</v>
      </c>
      <c r="AI21">
        <v>400607</v>
      </c>
      <c r="AJ21" s="1" t="s">
        <v>66</v>
      </c>
      <c r="AK21" s="1" t="s">
        <v>67</v>
      </c>
      <c r="AL21">
        <v>62044220</v>
      </c>
      <c r="AM21" s="2"/>
      <c r="AN21">
        <v>1000</v>
      </c>
      <c r="AO21" s="1" t="s">
        <v>1040</v>
      </c>
      <c r="AP21" s="1" t="s">
        <v>937</v>
      </c>
      <c r="AQ21" s="1" t="s">
        <v>61</v>
      </c>
      <c r="AR21" s="1" t="s">
        <v>63</v>
      </c>
      <c r="AS21">
        <v>5</v>
      </c>
      <c r="AT21">
        <v>2.5</v>
      </c>
      <c r="AU21">
        <v>2.5</v>
      </c>
      <c r="AV21">
        <v>0</v>
      </c>
      <c r="AW21">
        <v>47.619</v>
      </c>
      <c r="AX21">
        <v>23.81</v>
      </c>
      <c r="AY21">
        <v>23.81</v>
      </c>
      <c r="AZ21">
        <v>0</v>
      </c>
      <c r="BA21" s="2"/>
      <c r="BB21">
        <v>0.7</v>
      </c>
      <c r="BC21" s="2">
        <v>45940.5</v>
      </c>
      <c r="BD21" s="27">
        <f>MarketPlace_Order_Report__2[[#This Row],[UnitPrice]]*MarketPlace_Order_Report__2[[#This Row],[OrderQty]]</f>
        <v>1000</v>
      </c>
      <c r="BE21" s="27">
        <f>IFERROR(MarketPlace_Order_Report__2[[#This Row],[CGSTAmount]]+MarketPlace_Order_Report__2[[#This Row],[SGSTAmount]]+MarketPlace_Order_Report__2[[#This Row],[IGSTAmount]],MarketPlace_Order_Report__2[[#This Row],[TaxAmount]])</f>
        <v>47.62</v>
      </c>
      <c r="BF21" s="27">
        <f>MarketPlace_Order_Report__2[[#This Row],[Gross Amount (Before Tax)]]+MarketPlace_Order_Report__2[[#This Row],[Total GST Amount]]</f>
        <v>1047.6199999999999</v>
      </c>
    </row>
    <row r="22" spans="1:58">
      <c r="A22" s="1" t="s">
        <v>1041</v>
      </c>
      <c r="B22" s="1" t="s">
        <v>1042</v>
      </c>
      <c r="C22" s="1" t="s">
        <v>1043</v>
      </c>
      <c r="D22" s="1" t="s">
        <v>1044</v>
      </c>
      <c r="E22">
        <v>1</v>
      </c>
      <c r="F22" s="1" t="s">
        <v>58</v>
      </c>
      <c r="G22">
        <v>1</v>
      </c>
      <c r="H22">
        <v>1</v>
      </c>
      <c r="I22">
        <v>5000</v>
      </c>
      <c r="J22">
        <v>3500</v>
      </c>
      <c r="K22">
        <v>0</v>
      </c>
      <c r="L22">
        <v>3549</v>
      </c>
      <c r="M22">
        <v>49</v>
      </c>
      <c r="N22" s="1" t="s">
        <v>72</v>
      </c>
      <c r="O22" s="2">
        <v>45931.737245370372</v>
      </c>
      <c r="P22" s="2">
        <v>45933.728148148148</v>
      </c>
      <c r="Q22" s="2">
        <v>45937.49015046296</v>
      </c>
      <c r="R22" s="1" t="s">
        <v>1045</v>
      </c>
      <c r="S22" s="1" t="s">
        <v>60</v>
      </c>
      <c r="T22" s="2">
        <v>45931.814814814818</v>
      </c>
      <c r="U22" s="1" t="s">
        <v>61</v>
      </c>
      <c r="V22" s="1" t="s">
        <v>62</v>
      </c>
      <c r="W22" s="1" t="s">
        <v>61</v>
      </c>
      <c r="X22" s="1" t="s">
        <v>61</v>
      </c>
      <c r="Y22" s="1" t="s">
        <v>61</v>
      </c>
      <c r="Z22" s="1" t="s">
        <v>61</v>
      </c>
      <c r="AA22" s="1" t="s">
        <v>61</v>
      </c>
      <c r="AB22" s="1" t="s">
        <v>61</v>
      </c>
      <c r="AC22" s="1" t="s">
        <v>61</v>
      </c>
      <c r="AD22" s="2">
        <v>45937.500810185185</v>
      </c>
      <c r="AE22" s="1" t="s">
        <v>63</v>
      </c>
      <c r="AF22" s="1" t="s">
        <v>61</v>
      </c>
      <c r="AG22" s="1" t="s">
        <v>119</v>
      </c>
      <c r="AH22" s="1" t="s">
        <v>120</v>
      </c>
      <c r="AI22">
        <v>302020</v>
      </c>
      <c r="AJ22" s="1" t="s">
        <v>66</v>
      </c>
      <c r="AK22" s="1" t="s">
        <v>67</v>
      </c>
      <c r="AL22">
        <v>62042300</v>
      </c>
      <c r="AM22" s="2"/>
      <c r="AN22">
        <v>3500</v>
      </c>
      <c r="AO22" s="1" t="s">
        <v>1046</v>
      </c>
      <c r="AP22" s="1" t="s">
        <v>61</v>
      </c>
      <c r="AQ22" s="1" t="s">
        <v>61</v>
      </c>
      <c r="AR22" s="1" t="s">
        <v>63</v>
      </c>
      <c r="AS22">
        <v>18</v>
      </c>
      <c r="AT22">
        <v>0</v>
      </c>
      <c r="AU22">
        <v>0</v>
      </c>
      <c r="AV22">
        <v>18</v>
      </c>
      <c r="AW22">
        <v>533.89800000000002</v>
      </c>
      <c r="AX22">
        <v>0</v>
      </c>
      <c r="AY22">
        <v>0</v>
      </c>
      <c r="AZ22">
        <v>533.89800000000002</v>
      </c>
      <c r="BA22" s="2"/>
      <c r="BB22">
        <v>0.75</v>
      </c>
      <c r="BC22" s="2">
        <v>45934.5</v>
      </c>
      <c r="BD22" s="27">
        <f>MarketPlace_Order_Report__2[[#This Row],[UnitPrice]]*MarketPlace_Order_Report__2[[#This Row],[OrderQty]]</f>
        <v>3500</v>
      </c>
      <c r="BE22" s="27">
        <f>IFERROR(MarketPlace_Order_Report__2[[#This Row],[CGSTAmount]]+MarketPlace_Order_Report__2[[#This Row],[SGSTAmount]]+MarketPlace_Order_Report__2[[#This Row],[IGSTAmount]],MarketPlace_Order_Report__2[[#This Row],[TaxAmount]])</f>
        <v>533.89800000000002</v>
      </c>
      <c r="BF22" s="27">
        <f>MarketPlace_Order_Report__2[[#This Row],[Gross Amount (Before Tax)]]+MarketPlace_Order_Report__2[[#This Row],[Total GST Amount]]</f>
        <v>4033.8980000000001</v>
      </c>
    </row>
    <row r="23" spans="1:58">
      <c r="A23" s="1" t="s">
        <v>1047</v>
      </c>
      <c r="B23" s="1" t="s">
        <v>1048</v>
      </c>
      <c r="C23" s="1" t="s">
        <v>1049</v>
      </c>
      <c r="D23" s="1" t="s">
        <v>1050</v>
      </c>
      <c r="E23">
        <v>2</v>
      </c>
      <c r="F23" s="1" t="s">
        <v>102</v>
      </c>
      <c r="G23">
        <v>1</v>
      </c>
      <c r="H23">
        <v>1</v>
      </c>
      <c r="I23">
        <v>2000</v>
      </c>
      <c r="J23">
        <v>1000</v>
      </c>
      <c r="K23">
        <v>0</v>
      </c>
      <c r="L23">
        <v>1059.5</v>
      </c>
      <c r="M23">
        <v>59.5</v>
      </c>
      <c r="N23" s="1" t="s">
        <v>72</v>
      </c>
      <c r="O23" s="2">
        <v>45945.413877314815</v>
      </c>
      <c r="P23" s="2">
        <v>45946.732372685183</v>
      </c>
      <c r="Q23" s="2"/>
      <c r="R23" s="1" t="s">
        <v>1051</v>
      </c>
      <c r="S23" s="1" t="s">
        <v>60</v>
      </c>
      <c r="T23" s="2">
        <v>45945.79928240741</v>
      </c>
      <c r="U23" s="1" t="s">
        <v>61</v>
      </c>
      <c r="V23" s="1" t="s">
        <v>62</v>
      </c>
      <c r="W23" s="1" t="s">
        <v>61</v>
      </c>
      <c r="X23" s="1" t="s">
        <v>61</v>
      </c>
      <c r="Y23" s="1" t="s">
        <v>1052</v>
      </c>
      <c r="Z23" s="1" t="s">
        <v>103</v>
      </c>
      <c r="AA23" s="1" t="s">
        <v>75</v>
      </c>
      <c r="AB23" s="1" t="s">
        <v>61</v>
      </c>
      <c r="AC23" s="1" t="s">
        <v>61</v>
      </c>
      <c r="AD23" s="2">
        <v>45960.854930555557</v>
      </c>
      <c r="AE23" s="1" t="s">
        <v>63</v>
      </c>
      <c r="AF23" s="1" t="s">
        <v>61</v>
      </c>
      <c r="AG23" s="1" t="s">
        <v>1053</v>
      </c>
      <c r="AH23" s="1" t="s">
        <v>77</v>
      </c>
      <c r="AI23">
        <v>273016</v>
      </c>
      <c r="AJ23" s="1" t="s">
        <v>66</v>
      </c>
      <c r="AK23" s="1" t="s">
        <v>67</v>
      </c>
      <c r="AL23">
        <v>62044220</v>
      </c>
      <c r="AM23" s="2"/>
      <c r="AN23">
        <v>1000</v>
      </c>
      <c r="AO23" s="1" t="s">
        <v>1054</v>
      </c>
      <c r="AP23" s="1" t="s">
        <v>61</v>
      </c>
      <c r="AQ23" s="1" t="s">
        <v>61</v>
      </c>
      <c r="AR23" s="1" t="s">
        <v>63</v>
      </c>
      <c r="AS23">
        <v>5</v>
      </c>
      <c r="AT23">
        <v>0</v>
      </c>
      <c r="AU23">
        <v>0</v>
      </c>
      <c r="AV23">
        <v>5</v>
      </c>
      <c r="AW23">
        <v>47.619</v>
      </c>
      <c r="AX23">
        <v>0</v>
      </c>
      <c r="AY23">
        <v>0</v>
      </c>
      <c r="AZ23">
        <v>47.619</v>
      </c>
      <c r="BA23" s="2"/>
      <c r="BB23">
        <v>0.501</v>
      </c>
      <c r="BC23" s="2">
        <v>45947.5</v>
      </c>
      <c r="BD23" s="27">
        <f>MarketPlace_Order_Report__2[[#This Row],[UnitPrice]]*MarketPlace_Order_Report__2[[#This Row],[OrderQty]]</f>
        <v>1000</v>
      </c>
      <c r="BE23" s="27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23" s="27">
        <f>MarketPlace_Order_Report__2[[#This Row],[Gross Amount (Before Tax)]]+MarketPlace_Order_Report__2[[#This Row],[Total GST Amount]]</f>
        <v>1047.6189999999999</v>
      </c>
    </row>
    <row r="24" spans="1:58">
      <c r="A24" s="1" t="s">
        <v>1055</v>
      </c>
      <c r="B24" s="1" t="s">
        <v>1056</v>
      </c>
      <c r="C24" s="1" t="s">
        <v>1049</v>
      </c>
      <c r="D24" s="1" t="s">
        <v>1050</v>
      </c>
      <c r="E24">
        <v>1</v>
      </c>
      <c r="F24" s="1" t="s">
        <v>58</v>
      </c>
      <c r="G24">
        <v>1</v>
      </c>
      <c r="H24">
        <v>1</v>
      </c>
      <c r="I24">
        <v>2000</v>
      </c>
      <c r="J24">
        <v>1000</v>
      </c>
      <c r="K24">
        <v>0</v>
      </c>
      <c r="L24">
        <v>1000</v>
      </c>
      <c r="M24">
        <v>0</v>
      </c>
      <c r="N24" s="1" t="s">
        <v>59</v>
      </c>
      <c r="O24" s="2">
        <v>45943.522916666669</v>
      </c>
      <c r="P24" s="2">
        <v>45944.74181712963</v>
      </c>
      <c r="Q24" s="2">
        <v>45949.638460648152</v>
      </c>
      <c r="R24" s="1" t="s">
        <v>1057</v>
      </c>
      <c r="S24" s="1" t="s">
        <v>60</v>
      </c>
      <c r="T24" s="2">
        <v>45943.812974537039</v>
      </c>
      <c r="U24" s="1" t="s">
        <v>61</v>
      </c>
      <c r="V24" s="1" t="s">
        <v>62</v>
      </c>
      <c r="W24" s="1" t="s">
        <v>61</v>
      </c>
      <c r="X24" s="1" t="s">
        <v>61</v>
      </c>
      <c r="Y24" s="1" t="s">
        <v>61</v>
      </c>
      <c r="Z24" s="1" t="s">
        <v>61</v>
      </c>
      <c r="AA24" s="1" t="s">
        <v>61</v>
      </c>
      <c r="AB24" s="1" t="s">
        <v>61</v>
      </c>
      <c r="AC24" s="1" t="s">
        <v>61</v>
      </c>
      <c r="AD24" s="2">
        <v>45949.639768518522</v>
      </c>
      <c r="AE24" s="1" t="s">
        <v>63</v>
      </c>
      <c r="AF24" s="1" t="s">
        <v>61</v>
      </c>
      <c r="AG24" s="1" t="s">
        <v>935</v>
      </c>
      <c r="AH24" s="1" t="s">
        <v>120</v>
      </c>
      <c r="AI24">
        <v>313001</v>
      </c>
      <c r="AJ24" s="1" t="s">
        <v>66</v>
      </c>
      <c r="AK24" s="1" t="s">
        <v>67</v>
      </c>
      <c r="AL24">
        <v>62044220</v>
      </c>
      <c r="AM24" s="2"/>
      <c r="AN24">
        <v>1000</v>
      </c>
      <c r="AO24" s="1" t="s">
        <v>1058</v>
      </c>
      <c r="AP24" s="1" t="s">
        <v>937</v>
      </c>
      <c r="AQ24" s="1" t="s">
        <v>61</v>
      </c>
      <c r="AR24" s="1" t="s">
        <v>63</v>
      </c>
      <c r="AS24">
        <v>5</v>
      </c>
      <c r="AT24">
        <v>0</v>
      </c>
      <c r="AU24">
        <v>0</v>
      </c>
      <c r="AV24">
        <v>5</v>
      </c>
      <c r="AW24">
        <v>47.619</v>
      </c>
      <c r="AX24">
        <v>0</v>
      </c>
      <c r="AY24">
        <v>0</v>
      </c>
      <c r="AZ24">
        <v>47.619</v>
      </c>
      <c r="BA24" s="2"/>
      <c r="BB24">
        <v>0.501</v>
      </c>
      <c r="BC24" s="2">
        <v>45946.5</v>
      </c>
      <c r="BD24" s="27">
        <f>MarketPlace_Order_Report__2[[#This Row],[UnitPrice]]*MarketPlace_Order_Report__2[[#This Row],[OrderQty]]</f>
        <v>1000</v>
      </c>
      <c r="BE24" s="27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24" s="27">
        <f>MarketPlace_Order_Report__2[[#This Row],[Gross Amount (Before Tax)]]+MarketPlace_Order_Report__2[[#This Row],[Total GST Amount]]</f>
        <v>1047.6189999999999</v>
      </c>
    </row>
    <row r="25" spans="1:58">
      <c r="A25" s="1" t="s">
        <v>1059</v>
      </c>
      <c r="B25" s="1" t="s">
        <v>1060</v>
      </c>
      <c r="C25" s="1" t="s">
        <v>1049</v>
      </c>
      <c r="D25" s="1" t="s">
        <v>1050</v>
      </c>
      <c r="E25">
        <v>3</v>
      </c>
      <c r="F25" s="1" t="s">
        <v>58</v>
      </c>
      <c r="G25">
        <v>1</v>
      </c>
      <c r="H25">
        <v>1</v>
      </c>
      <c r="I25">
        <v>2000</v>
      </c>
      <c r="J25">
        <v>1000</v>
      </c>
      <c r="K25">
        <v>0</v>
      </c>
      <c r="L25">
        <v>1010.5</v>
      </c>
      <c r="M25">
        <v>10.5</v>
      </c>
      <c r="N25" s="1" t="s">
        <v>59</v>
      </c>
      <c r="O25" s="2">
        <v>45942.872245370374</v>
      </c>
      <c r="P25" s="2">
        <v>45944.743009259262</v>
      </c>
      <c r="Q25" s="2">
        <v>45947.538912037038</v>
      </c>
      <c r="R25" s="1" t="s">
        <v>1061</v>
      </c>
      <c r="S25" s="1" t="s">
        <v>351</v>
      </c>
      <c r="T25" s="2">
        <v>45943.814467592594</v>
      </c>
      <c r="U25" s="1" t="s">
        <v>61</v>
      </c>
      <c r="V25" s="1" t="s">
        <v>62</v>
      </c>
      <c r="W25" s="1" t="s">
        <v>61</v>
      </c>
      <c r="X25" s="1" t="s">
        <v>61</v>
      </c>
      <c r="Y25" s="1" t="s">
        <v>61</v>
      </c>
      <c r="Z25" s="1" t="s">
        <v>61</v>
      </c>
      <c r="AA25" s="1" t="s">
        <v>61</v>
      </c>
      <c r="AB25" s="1" t="s">
        <v>61</v>
      </c>
      <c r="AC25" s="1" t="s">
        <v>61</v>
      </c>
      <c r="AD25" s="2">
        <v>45947.539201388892</v>
      </c>
      <c r="AE25" s="1" t="s">
        <v>63</v>
      </c>
      <c r="AF25" s="1" t="s">
        <v>61</v>
      </c>
      <c r="AG25" s="1" t="s">
        <v>1062</v>
      </c>
      <c r="AH25" s="1" t="s">
        <v>318</v>
      </c>
      <c r="AI25">
        <v>416003</v>
      </c>
      <c r="AJ25" s="1" t="s">
        <v>66</v>
      </c>
      <c r="AK25" s="1" t="s">
        <v>67</v>
      </c>
      <c r="AL25">
        <v>62044220</v>
      </c>
      <c r="AM25" s="2"/>
      <c r="AN25">
        <v>1000</v>
      </c>
      <c r="AO25" s="1" t="s">
        <v>1063</v>
      </c>
      <c r="AP25" s="1" t="s">
        <v>650</v>
      </c>
      <c r="AQ25" s="1" t="s">
        <v>61</v>
      </c>
      <c r="AR25" s="1" t="s">
        <v>63</v>
      </c>
      <c r="AS25">
        <v>5</v>
      </c>
      <c r="AT25">
        <v>2.5</v>
      </c>
      <c r="AU25">
        <v>2.5</v>
      </c>
      <c r="AV25">
        <v>0</v>
      </c>
      <c r="AW25">
        <v>47.619</v>
      </c>
      <c r="AX25">
        <v>23.81</v>
      </c>
      <c r="AY25">
        <v>23.81</v>
      </c>
      <c r="AZ25">
        <v>0</v>
      </c>
      <c r="BA25" s="2"/>
      <c r="BB25">
        <v>0.501</v>
      </c>
      <c r="BC25" s="2">
        <v>45945.5</v>
      </c>
      <c r="BD25" s="27">
        <f>MarketPlace_Order_Report__2[[#This Row],[UnitPrice]]*MarketPlace_Order_Report__2[[#This Row],[OrderQty]]</f>
        <v>1000</v>
      </c>
      <c r="BE25" s="27">
        <f>IFERROR(MarketPlace_Order_Report__2[[#This Row],[CGSTAmount]]+MarketPlace_Order_Report__2[[#This Row],[SGSTAmount]]+MarketPlace_Order_Report__2[[#This Row],[IGSTAmount]],MarketPlace_Order_Report__2[[#This Row],[TaxAmount]])</f>
        <v>47.62</v>
      </c>
      <c r="BF25" s="27">
        <f>MarketPlace_Order_Report__2[[#This Row],[Gross Amount (Before Tax)]]+MarketPlace_Order_Report__2[[#This Row],[Total GST Amount]]</f>
        <v>1047.6199999999999</v>
      </c>
    </row>
    <row r="26" spans="1:58">
      <c r="A26" s="1" t="s">
        <v>1064</v>
      </c>
      <c r="B26" s="1" t="s">
        <v>1065</v>
      </c>
      <c r="C26" s="1" t="s">
        <v>1066</v>
      </c>
      <c r="D26" s="1" t="s">
        <v>1067</v>
      </c>
      <c r="E26">
        <v>2</v>
      </c>
      <c r="F26" s="1" t="s">
        <v>71</v>
      </c>
      <c r="G26">
        <v>1</v>
      </c>
      <c r="H26">
        <v>1</v>
      </c>
      <c r="I26">
        <v>4000</v>
      </c>
      <c r="J26">
        <v>2400</v>
      </c>
      <c r="K26">
        <v>0</v>
      </c>
      <c r="L26">
        <v>2400</v>
      </c>
      <c r="M26">
        <v>0</v>
      </c>
      <c r="N26" s="1" t="s">
        <v>59</v>
      </c>
      <c r="O26" s="2">
        <v>45931.823310185187</v>
      </c>
      <c r="P26" s="2">
        <v>45934.652083333334</v>
      </c>
      <c r="Q26" s="2">
        <v>45936.783333333333</v>
      </c>
      <c r="R26" s="1" t="s">
        <v>1068</v>
      </c>
      <c r="S26" s="1" t="s">
        <v>107</v>
      </c>
      <c r="T26" s="2">
        <v>45933.535081018519</v>
      </c>
      <c r="U26" s="1" t="s">
        <v>61</v>
      </c>
      <c r="V26" s="1" t="s">
        <v>62</v>
      </c>
      <c r="W26" s="1" t="s">
        <v>61</v>
      </c>
      <c r="X26" s="1" t="s">
        <v>61</v>
      </c>
      <c r="Y26" s="1" t="s">
        <v>1069</v>
      </c>
      <c r="Z26" s="1" t="s">
        <v>74</v>
      </c>
      <c r="AA26" s="1" t="s">
        <v>75</v>
      </c>
      <c r="AB26" s="1" t="s">
        <v>61</v>
      </c>
      <c r="AC26" s="1" t="s">
        <v>61</v>
      </c>
      <c r="AD26" s="2">
        <v>45955.462731481479</v>
      </c>
      <c r="AE26" s="1" t="s">
        <v>63</v>
      </c>
      <c r="AF26" s="1" t="s">
        <v>61</v>
      </c>
      <c r="AG26" s="1" t="s">
        <v>1070</v>
      </c>
      <c r="AH26" s="1" t="s">
        <v>115</v>
      </c>
      <c r="AI26">
        <v>641048</v>
      </c>
      <c r="AJ26" s="1" t="s">
        <v>66</v>
      </c>
      <c r="AK26" s="1" t="s">
        <v>67</v>
      </c>
      <c r="AL26">
        <v>62044220</v>
      </c>
      <c r="AM26" s="2"/>
      <c r="AN26">
        <v>2400</v>
      </c>
      <c r="AO26" s="1" t="s">
        <v>1071</v>
      </c>
      <c r="AP26" s="1" t="s">
        <v>61</v>
      </c>
      <c r="AQ26" s="1" t="s">
        <v>61</v>
      </c>
      <c r="AR26" s="1" t="s">
        <v>63</v>
      </c>
      <c r="AS26">
        <v>5</v>
      </c>
      <c r="AT26">
        <v>0</v>
      </c>
      <c r="AU26">
        <v>0</v>
      </c>
      <c r="AV26">
        <v>5</v>
      </c>
      <c r="AW26">
        <v>114.286</v>
      </c>
      <c r="AX26">
        <v>0</v>
      </c>
      <c r="AY26">
        <v>0</v>
      </c>
      <c r="AZ26">
        <v>114.286</v>
      </c>
      <c r="BA26" s="2"/>
      <c r="BB26">
        <v>0.85</v>
      </c>
      <c r="BC26" s="2">
        <v>45934.5</v>
      </c>
      <c r="BD26" s="27">
        <f>MarketPlace_Order_Report__2[[#This Row],[UnitPrice]]*MarketPlace_Order_Report__2[[#This Row],[OrderQty]]</f>
        <v>2400</v>
      </c>
      <c r="BE26" s="27">
        <f>IFERROR(MarketPlace_Order_Report__2[[#This Row],[CGSTAmount]]+MarketPlace_Order_Report__2[[#This Row],[SGSTAmount]]+MarketPlace_Order_Report__2[[#This Row],[IGSTAmount]],MarketPlace_Order_Report__2[[#This Row],[TaxAmount]])</f>
        <v>114.286</v>
      </c>
      <c r="BF26" s="27">
        <f>MarketPlace_Order_Report__2[[#This Row],[Gross Amount (Before Tax)]]+MarketPlace_Order_Report__2[[#This Row],[Total GST Amount]]</f>
        <v>2514.2860000000001</v>
      </c>
    </row>
    <row r="27" spans="1:58">
      <c r="A27" s="1" t="s">
        <v>1072</v>
      </c>
      <c r="B27" s="1" t="s">
        <v>1073</v>
      </c>
      <c r="C27" s="1" t="s">
        <v>1074</v>
      </c>
      <c r="D27" s="1" t="s">
        <v>1075</v>
      </c>
      <c r="E27">
        <v>1</v>
      </c>
      <c r="F27" s="1" t="s">
        <v>1076</v>
      </c>
      <c r="G27">
        <v>1</v>
      </c>
      <c r="H27">
        <v>1</v>
      </c>
      <c r="I27">
        <v>4500</v>
      </c>
      <c r="J27">
        <v>4050</v>
      </c>
      <c r="K27">
        <v>0</v>
      </c>
      <c r="L27">
        <v>4079</v>
      </c>
      <c r="M27">
        <v>29</v>
      </c>
      <c r="N27" s="1" t="s">
        <v>59</v>
      </c>
      <c r="O27" s="2">
        <v>45933.322060185186</v>
      </c>
      <c r="P27" s="2">
        <v>45934.620092592595</v>
      </c>
      <c r="Q27" s="2"/>
      <c r="R27" s="1" t="s">
        <v>1077</v>
      </c>
      <c r="S27" s="1" t="s">
        <v>73</v>
      </c>
      <c r="T27" s="2">
        <v>45933.815833333334</v>
      </c>
      <c r="U27" s="1" t="s">
        <v>61</v>
      </c>
      <c r="V27" s="1" t="s">
        <v>62</v>
      </c>
      <c r="W27" s="1" t="s">
        <v>61</v>
      </c>
      <c r="X27" s="1" t="s">
        <v>61</v>
      </c>
      <c r="Y27" s="1" t="s">
        <v>61</v>
      </c>
      <c r="Z27" s="1" t="s">
        <v>61</v>
      </c>
      <c r="AA27" s="1" t="s">
        <v>61</v>
      </c>
      <c r="AB27" s="1" t="s">
        <v>61</v>
      </c>
      <c r="AC27" s="1" t="s">
        <v>61</v>
      </c>
      <c r="AD27" s="2">
        <v>45937.771793981483</v>
      </c>
      <c r="AE27" s="1" t="s">
        <v>63</v>
      </c>
      <c r="AF27" s="1" t="s">
        <v>61</v>
      </c>
      <c r="AG27" s="1" t="s">
        <v>408</v>
      </c>
      <c r="AH27" s="1" t="s">
        <v>318</v>
      </c>
      <c r="AI27">
        <v>400050</v>
      </c>
      <c r="AJ27" s="1" t="s">
        <v>66</v>
      </c>
      <c r="AK27" s="1" t="s">
        <v>67</v>
      </c>
      <c r="AL27">
        <v>62042300</v>
      </c>
      <c r="AM27" s="2"/>
      <c r="AN27">
        <v>4050</v>
      </c>
      <c r="AO27" s="1" t="s">
        <v>1078</v>
      </c>
      <c r="AP27" s="1" t="s">
        <v>61</v>
      </c>
      <c r="AQ27" s="1" t="s">
        <v>61</v>
      </c>
      <c r="AR27" s="1" t="s">
        <v>63</v>
      </c>
      <c r="AS27">
        <v>18</v>
      </c>
      <c r="AT27">
        <v>9</v>
      </c>
      <c r="AU27">
        <v>9</v>
      </c>
      <c r="AV27">
        <v>0</v>
      </c>
      <c r="AW27">
        <v>617.79700000000003</v>
      </c>
      <c r="AX27">
        <v>308.899</v>
      </c>
      <c r="AY27">
        <v>308.899</v>
      </c>
      <c r="AZ27">
        <v>0</v>
      </c>
      <c r="BA27" s="2"/>
      <c r="BB27">
        <v>0.75</v>
      </c>
      <c r="BC27" s="2">
        <v>45935.5</v>
      </c>
      <c r="BD27" s="27">
        <f>MarketPlace_Order_Report__2[[#This Row],[UnitPrice]]*MarketPlace_Order_Report__2[[#This Row],[OrderQty]]</f>
        <v>4050</v>
      </c>
      <c r="BE27" s="27">
        <f>IFERROR(MarketPlace_Order_Report__2[[#This Row],[CGSTAmount]]+MarketPlace_Order_Report__2[[#This Row],[SGSTAmount]]+MarketPlace_Order_Report__2[[#This Row],[IGSTAmount]],MarketPlace_Order_Report__2[[#This Row],[TaxAmount]])</f>
        <v>617.798</v>
      </c>
      <c r="BF27" s="27">
        <f>MarketPlace_Order_Report__2[[#This Row],[Gross Amount (Before Tax)]]+MarketPlace_Order_Report__2[[#This Row],[Total GST Amount]]</f>
        <v>4667.7979999999998</v>
      </c>
    </row>
    <row r="28" spans="1:58">
      <c r="A28" s="1" t="s">
        <v>1079</v>
      </c>
      <c r="B28" s="1" t="s">
        <v>1080</v>
      </c>
      <c r="C28" s="1" t="s">
        <v>1081</v>
      </c>
      <c r="D28" s="1" t="s">
        <v>1082</v>
      </c>
      <c r="E28">
        <v>2</v>
      </c>
      <c r="F28" s="1" t="s">
        <v>71</v>
      </c>
      <c r="G28">
        <v>1</v>
      </c>
      <c r="H28">
        <v>1</v>
      </c>
      <c r="I28">
        <v>3500</v>
      </c>
      <c r="J28">
        <v>2800</v>
      </c>
      <c r="K28">
        <v>0</v>
      </c>
      <c r="L28">
        <v>2827.86</v>
      </c>
      <c r="M28">
        <v>27.86</v>
      </c>
      <c r="N28" s="1" t="s">
        <v>72</v>
      </c>
      <c r="O28" s="2">
        <v>45934.847534722219</v>
      </c>
      <c r="P28" s="2">
        <v>45936.641296296293</v>
      </c>
      <c r="Q28" s="2">
        <v>45942.867974537039</v>
      </c>
      <c r="R28" s="1" t="s">
        <v>1083</v>
      </c>
      <c r="S28" s="1" t="s">
        <v>73</v>
      </c>
      <c r="T28" s="2">
        <v>45935.742905092593</v>
      </c>
      <c r="U28" s="1" t="s">
        <v>61</v>
      </c>
      <c r="V28" s="1" t="s">
        <v>62</v>
      </c>
      <c r="W28" s="1" t="s">
        <v>61</v>
      </c>
      <c r="X28" s="1" t="s">
        <v>61</v>
      </c>
      <c r="Y28" s="1" t="s">
        <v>1084</v>
      </c>
      <c r="Z28" s="1" t="s">
        <v>74</v>
      </c>
      <c r="AA28" s="1" t="s">
        <v>75</v>
      </c>
      <c r="AB28" s="1" t="s">
        <v>61</v>
      </c>
      <c r="AC28" s="1" t="s">
        <v>61</v>
      </c>
      <c r="AD28" s="2">
        <v>45948.823819444442</v>
      </c>
      <c r="AE28" s="1" t="s">
        <v>63</v>
      </c>
      <c r="AF28" s="1" t="s">
        <v>61</v>
      </c>
      <c r="AG28" s="1" t="s">
        <v>1085</v>
      </c>
      <c r="AH28" s="1" t="s">
        <v>318</v>
      </c>
      <c r="AI28">
        <v>444105</v>
      </c>
      <c r="AJ28" s="1" t="s">
        <v>66</v>
      </c>
      <c r="AK28" s="1" t="s">
        <v>67</v>
      </c>
      <c r="AL28">
        <v>62042300</v>
      </c>
      <c r="AM28" s="2"/>
      <c r="AN28">
        <v>2800</v>
      </c>
      <c r="AO28" s="1" t="s">
        <v>1086</v>
      </c>
      <c r="AP28" s="1" t="s">
        <v>61</v>
      </c>
      <c r="AQ28" s="1" t="s">
        <v>61</v>
      </c>
      <c r="AR28" s="1" t="s">
        <v>63</v>
      </c>
      <c r="AS28">
        <v>18</v>
      </c>
      <c r="AT28">
        <v>9</v>
      </c>
      <c r="AU28">
        <v>9</v>
      </c>
      <c r="AV28">
        <v>0</v>
      </c>
      <c r="AW28">
        <v>427.11900000000003</v>
      </c>
      <c r="AX28">
        <v>213.56</v>
      </c>
      <c r="AY28">
        <v>213.56</v>
      </c>
      <c r="AZ28">
        <v>0</v>
      </c>
      <c r="BA28" s="2"/>
      <c r="BB28">
        <v>0.75</v>
      </c>
      <c r="BC28" s="2">
        <v>45937.5</v>
      </c>
      <c r="BD28" s="27">
        <f>MarketPlace_Order_Report__2[[#This Row],[UnitPrice]]*MarketPlace_Order_Report__2[[#This Row],[OrderQty]]</f>
        <v>2800</v>
      </c>
      <c r="BE28" s="27">
        <f>IFERROR(MarketPlace_Order_Report__2[[#This Row],[CGSTAmount]]+MarketPlace_Order_Report__2[[#This Row],[SGSTAmount]]+MarketPlace_Order_Report__2[[#This Row],[IGSTAmount]],MarketPlace_Order_Report__2[[#This Row],[TaxAmount]])</f>
        <v>427.12</v>
      </c>
      <c r="BF28" s="27">
        <f>MarketPlace_Order_Report__2[[#This Row],[Gross Amount (Before Tax)]]+MarketPlace_Order_Report__2[[#This Row],[Total GST Amount]]</f>
        <v>3227.12</v>
      </c>
    </row>
    <row r="29" spans="1:58">
      <c r="A29" s="1" t="s">
        <v>1087</v>
      </c>
      <c r="B29" s="1" t="s">
        <v>1088</v>
      </c>
      <c r="C29" s="1" t="s">
        <v>1089</v>
      </c>
      <c r="D29" s="1" t="s">
        <v>1090</v>
      </c>
      <c r="E29">
        <v>1</v>
      </c>
      <c r="F29" s="1" t="s">
        <v>187</v>
      </c>
      <c r="G29">
        <v>1</v>
      </c>
      <c r="H29">
        <v>0</v>
      </c>
      <c r="I29">
        <v>3500</v>
      </c>
      <c r="J29">
        <v>2800</v>
      </c>
      <c r="K29">
        <v>0</v>
      </c>
      <c r="L29">
        <v>2849</v>
      </c>
      <c r="M29">
        <v>49</v>
      </c>
      <c r="N29" s="1" t="s">
        <v>72</v>
      </c>
      <c r="O29" s="2">
        <v>45956.583553240744</v>
      </c>
      <c r="P29" s="2"/>
      <c r="Q29" s="2"/>
      <c r="R29" s="1" t="s">
        <v>61</v>
      </c>
      <c r="S29" s="1" t="s">
        <v>60</v>
      </c>
      <c r="T29" s="2"/>
      <c r="U29" s="1" t="s">
        <v>323</v>
      </c>
      <c r="V29" s="1" t="s">
        <v>62</v>
      </c>
      <c r="W29" s="1" t="s">
        <v>61</v>
      </c>
      <c r="X29" s="1" t="s">
        <v>61</v>
      </c>
      <c r="Y29" s="1" t="s">
        <v>61</v>
      </c>
      <c r="Z29" s="1" t="s">
        <v>61</v>
      </c>
      <c r="AA29" s="1" t="s">
        <v>61</v>
      </c>
      <c r="AB29" s="1" t="s">
        <v>61</v>
      </c>
      <c r="AC29" s="1" t="s">
        <v>61</v>
      </c>
      <c r="AD29" s="2">
        <v>45956.586493055554</v>
      </c>
      <c r="AE29" s="1" t="s">
        <v>63</v>
      </c>
      <c r="AF29" s="1" t="s">
        <v>61</v>
      </c>
      <c r="AG29" s="1" t="s">
        <v>197</v>
      </c>
      <c r="AH29" s="1" t="s">
        <v>65</v>
      </c>
      <c r="AI29">
        <v>560076</v>
      </c>
      <c r="AJ29" s="1" t="s">
        <v>66</v>
      </c>
      <c r="AK29" s="1" t="s">
        <v>67</v>
      </c>
      <c r="AL29">
        <v>62042300</v>
      </c>
      <c r="AM29" s="2">
        <v>45956.586493055554</v>
      </c>
      <c r="AN29">
        <v>2800</v>
      </c>
      <c r="AO29" s="1" t="s">
        <v>61</v>
      </c>
      <c r="AP29" s="1" t="s">
        <v>61</v>
      </c>
      <c r="AQ29" s="1" t="s">
        <v>61</v>
      </c>
      <c r="AR29" s="1" t="s">
        <v>63</v>
      </c>
      <c r="AS29">
        <v>18</v>
      </c>
      <c r="AT29">
        <v>0</v>
      </c>
      <c r="AU29">
        <v>0</v>
      </c>
      <c r="AV29">
        <v>18</v>
      </c>
      <c r="AW29">
        <v>427.11900000000003</v>
      </c>
      <c r="AX29">
        <v>0</v>
      </c>
      <c r="AY29">
        <v>0</v>
      </c>
      <c r="AZ29">
        <v>427.11900000000003</v>
      </c>
      <c r="BA29" s="2"/>
      <c r="BC29" s="2">
        <v>45959.5</v>
      </c>
      <c r="BD29" s="27">
        <f>MarketPlace_Order_Report__2[[#This Row],[UnitPrice]]*MarketPlace_Order_Report__2[[#This Row],[OrderQty]]</f>
        <v>2800</v>
      </c>
      <c r="BE29" s="27">
        <f>IFERROR(MarketPlace_Order_Report__2[[#This Row],[CGSTAmount]]+MarketPlace_Order_Report__2[[#This Row],[SGSTAmount]]+MarketPlace_Order_Report__2[[#This Row],[IGSTAmount]],MarketPlace_Order_Report__2[[#This Row],[TaxAmount]])</f>
        <v>427.11900000000003</v>
      </c>
      <c r="BF29" s="27">
        <f>MarketPlace_Order_Report__2[[#This Row],[Gross Amount (Before Tax)]]+MarketPlace_Order_Report__2[[#This Row],[Total GST Amount]]</f>
        <v>3227.1190000000001</v>
      </c>
    </row>
    <row r="30" spans="1:58">
      <c r="A30" s="1" t="s">
        <v>1091</v>
      </c>
      <c r="B30" s="1" t="s">
        <v>1092</v>
      </c>
      <c r="C30" s="1" t="s">
        <v>1093</v>
      </c>
      <c r="D30" s="1" t="s">
        <v>1094</v>
      </c>
      <c r="E30">
        <v>1</v>
      </c>
      <c r="F30" s="1" t="s">
        <v>58</v>
      </c>
      <c r="G30">
        <v>1</v>
      </c>
      <c r="H30">
        <v>1</v>
      </c>
      <c r="I30">
        <v>3500</v>
      </c>
      <c r="J30">
        <v>2450</v>
      </c>
      <c r="K30">
        <v>0</v>
      </c>
      <c r="L30">
        <v>2479</v>
      </c>
      <c r="M30">
        <v>29</v>
      </c>
      <c r="N30" s="1" t="s">
        <v>59</v>
      </c>
      <c r="O30" s="2">
        <v>45953.946111111109</v>
      </c>
      <c r="P30" s="2">
        <v>45954.730902777781</v>
      </c>
      <c r="Q30" s="2">
        <v>45958.391782407409</v>
      </c>
      <c r="R30" s="1" t="s">
        <v>1095</v>
      </c>
      <c r="S30" s="1" t="s">
        <v>60</v>
      </c>
      <c r="T30" s="2">
        <v>45954.500509259262</v>
      </c>
      <c r="U30" s="1" t="s">
        <v>61</v>
      </c>
      <c r="V30" s="1" t="s">
        <v>62</v>
      </c>
      <c r="W30" s="1" t="s">
        <v>61</v>
      </c>
      <c r="X30" s="1" t="s">
        <v>61</v>
      </c>
      <c r="Y30" s="1" t="s">
        <v>61</v>
      </c>
      <c r="Z30" s="1" t="s">
        <v>61</v>
      </c>
      <c r="AA30" s="1" t="s">
        <v>61</v>
      </c>
      <c r="AB30" s="1" t="s">
        <v>61</v>
      </c>
      <c r="AC30" s="1" t="s">
        <v>61</v>
      </c>
      <c r="AD30" s="2">
        <v>45958.393217592595</v>
      </c>
      <c r="AE30" s="1" t="s">
        <v>63</v>
      </c>
      <c r="AF30" s="1" t="s">
        <v>61</v>
      </c>
      <c r="AG30" s="1" t="s">
        <v>1096</v>
      </c>
      <c r="AH30" s="1" t="s">
        <v>503</v>
      </c>
      <c r="AI30">
        <v>151001</v>
      </c>
      <c r="AJ30" s="1" t="s">
        <v>66</v>
      </c>
      <c r="AK30" s="1" t="s">
        <v>67</v>
      </c>
      <c r="AL30">
        <v>62042300</v>
      </c>
      <c r="AM30" s="2"/>
      <c r="AN30">
        <v>2450</v>
      </c>
      <c r="AO30" s="1" t="s">
        <v>1097</v>
      </c>
      <c r="AP30" s="1" t="s">
        <v>970</v>
      </c>
      <c r="AQ30" s="1" t="s">
        <v>61</v>
      </c>
      <c r="AR30" s="1" t="s">
        <v>63</v>
      </c>
      <c r="AS30">
        <v>5</v>
      </c>
      <c r="AT30">
        <v>0</v>
      </c>
      <c r="AU30">
        <v>0</v>
      </c>
      <c r="AV30">
        <v>5</v>
      </c>
      <c r="AW30">
        <v>116.667</v>
      </c>
      <c r="AX30">
        <v>0</v>
      </c>
      <c r="AY30">
        <v>0</v>
      </c>
      <c r="AZ30">
        <v>116.667</v>
      </c>
      <c r="BA30" s="2"/>
      <c r="BB30">
        <v>0.75</v>
      </c>
      <c r="BC30" s="2">
        <v>45956.5</v>
      </c>
      <c r="BD30" s="27">
        <f>MarketPlace_Order_Report__2[[#This Row],[UnitPrice]]*MarketPlace_Order_Report__2[[#This Row],[OrderQty]]</f>
        <v>2450</v>
      </c>
      <c r="BE30" s="27">
        <f>IFERROR(MarketPlace_Order_Report__2[[#This Row],[CGSTAmount]]+MarketPlace_Order_Report__2[[#This Row],[SGSTAmount]]+MarketPlace_Order_Report__2[[#This Row],[IGSTAmount]],MarketPlace_Order_Report__2[[#This Row],[TaxAmount]])</f>
        <v>116.667</v>
      </c>
      <c r="BF30" s="27">
        <f>MarketPlace_Order_Report__2[[#This Row],[Gross Amount (Before Tax)]]+MarketPlace_Order_Report__2[[#This Row],[Total GST Amount]]</f>
        <v>2566.6669999999999</v>
      </c>
    </row>
    <row r="31" spans="1:58">
      <c r="A31" s="1" t="s">
        <v>1098</v>
      </c>
      <c r="B31" s="1" t="s">
        <v>1099</v>
      </c>
      <c r="C31" s="1" t="s">
        <v>1100</v>
      </c>
      <c r="D31" s="1" t="s">
        <v>1101</v>
      </c>
      <c r="E31">
        <v>1</v>
      </c>
      <c r="F31" s="1" t="s">
        <v>58</v>
      </c>
      <c r="G31">
        <v>1</v>
      </c>
      <c r="H31">
        <v>1</v>
      </c>
      <c r="I31">
        <v>4000</v>
      </c>
      <c r="J31">
        <v>2800</v>
      </c>
      <c r="K31">
        <v>0</v>
      </c>
      <c r="L31">
        <v>2849</v>
      </c>
      <c r="M31">
        <v>49</v>
      </c>
      <c r="N31" s="1" t="s">
        <v>72</v>
      </c>
      <c r="O31" s="2">
        <v>45933.797280092593</v>
      </c>
      <c r="P31" s="2">
        <v>45934.720648148148</v>
      </c>
      <c r="Q31" s="2">
        <v>45937.516539351855</v>
      </c>
      <c r="R31" s="1" t="s">
        <v>1102</v>
      </c>
      <c r="S31" s="1" t="s">
        <v>351</v>
      </c>
      <c r="T31" s="2">
        <v>45933.815821759257</v>
      </c>
      <c r="U31" s="1" t="s">
        <v>61</v>
      </c>
      <c r="V31" s="1" t="s">
        <v>62</v>
      </c>
      <c r="W31" s="1" t="s">
        <v>61</v>
      </c>
      <c r="X31" s="1" t="s">
        <v>61</v>
      </c>
      <c r="Y31" s="1" t="s">
        <v>61</v>
      </c>
      <c r="Z31" s="1" t="s">
        <v>61</v>
      </c>
      <c r="AA31" s="1" t="s">
        <v>61</v>
      </c>
      <c r="AB31" s="1" t="s">
        <v>61</v>
      </c>
      <c r="AC31" s="1" t="s">
        <v>61</v>
      </c>
      <c r="AD31" s="2">
        <v>45937.524895833332</v>
      </c>
      <c r="AE31" s="1" t="s">
        <v>63</v>
      </c>
      <c r="AF31" s="1" t="s">
        <v>61</v>
      </c>
      <c r="AG31" s="1" t="s">
        <v>1103</v>
      </c>
      <c r="AH31" s="1" t="s">
        <v>434</v>
      </c>
      <c r="AI31">
        <v>390002</v>
      </c>
      <c r="AJ31" s="1" t="s">
        <v>66</v>
      </c>
      <c r="AK31" s="1" t="s">
        <v>67</v>
      </c>
      <c r="AL31">
        <v>62042300</v>
      </c>
      <c r="AM31" s="2"/>
      <c r="AN31">
        <v>2800</v>
      </c>
      <c r="AO31" s="1" t="s">
        <v>1104</v>
      </c>
      <c r="AP31" s="1" t="s">
        <v>1105</v>
      </c>
      <c r="AQ31" s="1" t="s">
        <v>61</v>
      </c>
      <c r="AR31" s="1" t="s">
        <v>63</v>
      </c>
      <c r="AS31">
        <v>18</v>
      </c>
      <c r="AT31">
        <v>0</v>
      </c>
      <c r="AU31">
        <v>0</v>
      </c>
      <c r="AV31">
        <v>18</v>
      </c>
      <c r="AW31">
        <v>427.11900000000003</v>
      </c>
      <c r="AX31">
        <v>0</v>
      </c>
      <c r="AY31">
        <v>0</v>
      </c>
      <c r="AZ31">
        <v>427.11900000000003</v>
      </c>
      <c r="BA31" s="2"/>
      <c r="BB31">
        <v>0.75</v>
      </c>
      <c r="BC31" s="2">
        <v>45936.5</v>
      </c>
      <c r="BD31" s="27">
        <f>MarketPlace_Order_Report__2[[#This Row],[UnitPrice]]*MarketPlace_Order_Report__2[[#This Row],[OrderQty]]</f>
        <v>2800</v>
      </c>
      <c r="BE31" s="27">
        <f>IFERROR(MarketPlace_Order_Report__2[[#This Row],[CGSTAmount]]+MarketPlace_Order_Report__2[[#This Row],[SGSTAmount]]+MarketPlace_Order_Report__2[[#This Row],[IGSTAmount]],MarketPlace_Order_Report__2[[#This Row],[TaxAmount]])</f>
        <v>427.11900000000003</v>
      </c>
      <c r="BF31" s="27">
        <f>MarketPlace_Order_Report__2[[#This Row],[Gross Amount (Before Tax)]]+MarketPlace_Order_Report__2[[#This Row],[Total GST Amount]]</f>
        <v>3227.1190000000001</v>
      </c>
    </row>
    <row r="32" spans="1:58">
      <c r="A32" s="1" t="s">
        <v>1106</v>
      </c>
      <c r="B32" s="1" t="s">
        <v>1107</v>
      </c>
      <c r="C32" s="1" t="s">
        <v>1108</v>
      </c>
      <c r="D32" s="1" t="s">
        <v>1109</v>
      </c>
      <c r="E32">
        <v>1</v>
      </c>
      <c r="F32" s="1" t="s">
        <v>1076</v>
      </c>
      <c r="G32">
        <v>1</v>
      </c>
      <c r="H32">
        <v>1</v>
      </c>
      <c r="I32">
        <v>5000</v>
      </c>
      <c r="J32">
        <v>4000</v>
      </c>
      <c r="K32">
        <v>0</v>
      </c>
      <c r="L32">
        <v>4029</v>
      </c>
      <c r="M32">
        <v>29</v>
      </c>
      <c r="N32" s="1" t="s">
        <v>59</v>
      </c>
      <c r="O32" s="2">
        <v>45932.889664351853</v>
      </c>
      <c r="P32" s="2">
        <v>45934.620092592595</v>
      </c>
      <c r="Q32" s="2"/>
      <c r="R32" s="1" t="s">
        <v>1110</v>
      </c>
      <c r="S32" s="1" t="s">
        <v>73</v>
      </c>
      <c r="T32" s="2">
        <v>45933.815833333334</v>
      </c>
      <c r="U32" s="1" t="s">
        <v>61</v>
      </c>
      <c r="V32" s="1" t="s">
        <v>62</v>
      </c>
      <c r="W32" s="1" t="s">
        <v>61</v>
      </c>
      <c r="X32" s="1" t="s">
        <v>61</v>
      </c>
      <c r="Y32" s="1" t="s">
        <v>61</v>
      </c>
      <c r="Z32" s="1" t="s">
        <v>61</v>
      </c>
      <c r="AA32" s="1" t="s">
        <v>61</v>
      </c>
      <c r="AB32" s="1" t="s">
        <v>61</v>
      </c>
      <c r="AC32" s="1" t="s">
        <v>61</v>
      </c>
      <c r="AD32" s="2">
        <v>45937.771793981483</v>
      </c>
      <c r="AE32" s="1" t="s">
        <v>63</v>
      </c>
      <c r="AF32" s="1" t="s">
        <v>61</v>
      </c>
      <c r="AG32" s="1" t="s">
        <v>408</v>
      </c>
      <c r="AH32" s="1" t="s">
        <v>318</v>
      </c>
      <c r="AI32">
        <v>400050</v>
      </c>
      <c r="AJ32" s="1" t="s">
        <v>66</v>
      </c>
      <c r="AK32" s="1" t="s">
        <v>67</v>
      </c>
      <c r="AL32">
        <v>62042300</v>
      </c>
      <c r="AM32" s="2"/>
      <c r="AN32">
        <v>4000</v>
      </c>
      <c r="AO32" s="1" t="s">
        <v>1111</v>
      </c>
      <c r="AP32" s="1" t="s">
        <v>61</v>
      </c>
      <c r="AQ32" s="1" t="s">
        <v>61</v>
      </c>
      <c r="AR32" s="1" t="s">
        <v>63</v>
      </c>
      <c r="AS32">
        <v>18</v>
      </c>
      <c r="AT32">
        <v>9</v>
      </c>
      <c r="AU32">
        <v>9</v>
      </c>
      <c r="AV32">
        <v>0</v>
      </c>
      <c r="AW32">
        <v>610.16899999999998</v>
      </c>
      <c r="AX32">
        <v>305.08499999999998</v>
      </c>
      <c r="AY32">
        <v>305.08499999999998</v>
      </c>
      <c r="AZ32">
        <v>0</v>
      </c>
      <c r="BA32" s="2"/>
      <c r="BB32">
        <v>0.75</v>
      </c>
      <c r="BC32" s="2">
        <v>45935.5</v>
      </c>
      <c r="BD32" s="27">
        <f>MarketPlace_Order_Report__2[[#This Row],[UnitPrice]]*MarketPlace_Order_Report__2[[#This Row],[OrderQty]]</f>
        <v>4000</v>
      </c>
      <c r="BE32" s="27">
        <f>IFERROR(MarketPlace_Order_Report__2[[#This Row],[CGSTAmount]]+MarketPlace_Order_Report__2[[#This Row],[SGSTAmount]]+MarketPlace_Order_Report__2[[#This Row],[IGSTAmount]],MarketPlace_Order_Report__2[[#This Row],[TaxAmount]])</f>
        <v>610.16999999999996</v>
      </c>
      <c r="BF32" s="27">
        <f>MarketPlace_Order_Report__2[[#This Row],[Gross Amount (Before Tax)]]+MarketPlace_Order_Report__2[[#This Row],[Total GST Amount]]</f>
        <v>4610.17</v>
      </c>
    </row>
    <row r="33" spans="1:58">
      <c r="A33" s="1" t="s">
        <v>1112</v>
      </c>
      <c r="B33" s="1" t="s">
        <v>1113</v>
      </c>
      <c r="C33" s="1" t="s">
        <v>180</v>
      </c>
      <c r="D33" s="1" t="s">
        <v>181</v>
      </c>
      <c r="E33">
        <v>1</v>
      </c>
      <c r="F33" s="1" t="s">
        <v>413</v>
      </c>
      <c r="G33">
        <v>1</v>
      </c>
      <c r="H33">
        <v>1</v>
      </c>
      <c r="I33">
        <v>3850</v>
      </c>
      <c r="J33">
        <v>3465</v>
      </c>
      <c r="K33">
        <v>0</v>
      </c>
      <c r="L33">
        <v>3485</v>
      </c>
      <c r="M33">
        <v>20</v>
      </c>
      <c r="N33" s="1" t="s">
        <v>72</v>
      </c>
      <c r="O33" s="2">
        <v>45959.644618055558</v>
      </c>
      <c r="P33" s="2">
        <v>45960.624282407407</v>
      </c>
      <c r="Q33" s="2"/>
      <c r="R33" s="1" t="s">
        <v>1114</v>
      </c>
      <c r="S33" s="1" t="s">
        <v>73</v>
      </c>
      <c r="T33" s="2">
        <v>45959.790451388886</v>
      </c>
      <c r="U33" s="1" t="s">
        <v>61</v>
      </c>
      <c r="V33" s="1" t="s">
        <v>62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  <c r="AC33" s="1" t="s">
        <v>61</v>
      </c>
      <c r="AD33" s="2">
        <v>45960.914143518516</v>
      </c>
      <c r="AE33" s="1" t="s">
        <v>63</v>
      </c>
      <c r="AF33" s="1" t="s">
        <v>61</v>
      </c>
      <c r="AG33" s="1" t="s">
        <v>324</v>
      </c>
      <c r="AH33" s="1" t="s">
        <v>318</v>
      </c>
      <c r="AI33">
        <v>411015</v>
      </c>
      <c r="AJ33" s="1" t="s">
        <v>66</v>
      </c>
      <c r="AK33" s="1" t="s">
        <v>67</v>
      </c>
      <c r="AL33">
        <v>62044220</v>
      </c>
      <c r="AM33" s="2"/>
      <c r="AN33">
        <v>3465</v>
      </c>
      <c r="AO33" s="1" t="s">
        <v>1115</v>
      </c>
      <c r="AP33" s="1" t="s">
        <v>381</v>
      </c>
      <c r="AQ33" s="1" t="s">
        <v>61</v>
      </c>
      <c r="AR33" s="1" t="s">
        <v>63</v>
      </c>
      <c r="AS33">
        <v>18</v>
      </c>
      <c r="AT33">
        <v>9</v>
      </c>
      <c r="AU33">
        <v>9</v>
      </c>
      <c r="AV33">
        <v>0</v>
      </c>
      <c r="AW33">
        <v>528.55899999999997</v>
      </c>
      <c r="AX33">
        <v>264.27999999999997</v>
      </c>
      <c r="AY33">
        <v>264.27999999999997</v>
      </c>
      <c r="AZ33">
        <v>0</v>
      </c>
      <c r="BA33" s="2"/>
      <c r="BB33">
        <v>0.75</v>
      </c>
      <c r="BC33" s="2">
        <v>45962.5</v>
      </c>
      <c r="BD33" s="27">
        <f>MarketPlace_Order_Report__2[[#This Row],[UnitPrice]]*MarketPlace_Order_Report__2[[#This Row],[OrderQty]]</f>
        <v>3465</v>
      </c>
      <c r="BE33" s="27">
        <f>IFERROR(MarketPlace_Order_Report__2[[#This Row],[CGSTAmount]]+MarketPlace_Order_Report__2[[#This Row],[SGSTAmount]]+MarketPlace_Order_Report__2[[#This Row],[IGSTAmount]],MarketPlace_Order_Report__2[[#This Row],[TaxAmount]])</f>
        <v>528.55999999999995</v>
      </c>
      <c r="BF33" s="27">
        <f>MarketPlace_Order_Report__2[[#This Row],[Gross Amount (Before Tax)]]+MarketPlace_Order_Report__2[[#This Row],[Total GST Amount]]</f>
        <v>3993.56</v>
      </c>
    </row>
    <row r="34" spans="1:58">
      <c r="A34" s="1" t="s">
        <v>1116</v>
      </c>
      <c r="B34" s="1" t="s">
        <v>1117</v>
      </c>
      <c r="C34" s="1" t="s">
        <v>191</v>
      </c>
      <c r="D34" s="1" t="s">
        <v>192</v>
      </c>
      <c r="E34">
        <v>2</v>
      </c>
      <c r="F34" s="1" t="s">
        <v>58</v>
      </c>
      <c r="G34">
        <v>1</v>
      </c>
      <c r="H34">
        <v>1</v>
      </c>
      <c r="I34">
        <v>3850</v>
      </c>
      <c r="J34">
        <v>3465</v>
      </c>
      <c r="K34">
        <v>0</v>
      </c>
      <c r="L34">
        <v>3479.6909999999998</v>
      </c>
      <c r="M34">
        <v>14.691000000000001</v>
      </c>
      <c r="N34" s="1" t="s">
        <v>59</v>
      </c>
      <c r="O34" s="2">
        <v>45958.410671296297</v>
      </c>
      <c r="P34" s="2">
        <v>45958.715821759259</v>
      </c>
      <c r="Q34" s="2">
        <v>45961.456782407404</v>
      </c>
      <c r="R34" s="1" t="s">
        <v>1118</v>
      </c>
      <c r="S34" s="1" t="s">
        <v>60</v>
      </c>
      <c r="T34" s="2">
        <v>45958.543124999997</v>
      </c>
      <c r="U34" s="1" t="s">
        <v>61</v>
      </c>
      <c r="V34" s="1" t="s">
        <v>62</v>
      </c>
      <c r="W34" s="1" t="s">
        <v>61</v>
      </c>
      <c r="X34" s="1" t="s">
        <v>61</v>
      </c>
      <c r="Y34" s="1" t="s">
        <v>61</v>
      </c>
      <c r="Z34" s="1" t="s">
        <v>61</v>
      </c>
      <c r="AA34" s="1" t="s">
        <v>61</v>
      </c>
      <c r="AB34" s="1" t="s">
        <v>61</v>
      </c>
      <c r="AC34" s="1" t="s">
        <v>61</v>
      </c>
      <c r="AD34" s="2">
        <v>45961.480266203704</v>
      </c>
      <c r="AE34" s="1" t="s">
        <v>63</v>
      </c>
      <c r="AF34" s="1" t="s">
        <v>61</v>
      </c>
      <c r="AG34" s="1" t="s">
        <v>197</v>
      </c>
      <c r="AH34" s="1" t="s">
        <v>65</v>
      </c>
      <c r="AI34">
        <v>560087</v>
      </c>
      <c r="AJ34" s="1" t="s">
        <v>66</v>
      </c>
      <c r="AK34" s="1" t="s">
        <v>67</v>
      </c>
      <c r="AL34">
        <v>62044220</v>
      </c>
      <c r="AM34" s="2"/>
      <c r="AN34">
        <v>3465</v>
      </c>
      <c r="AO34" s="1" t="s">
        <v>1119</v>
      </c>
      <c r="AP34" s="1" t="s">
        <v>61</v>
      </c>
      <c r="AQ34" s="1" t="s">
        <v>61</v>
      </c>
      <c r="AR34" s="1" t="s">
        <v>63</v>
      </c>
      <c r="AS34">
        <v>18</v>
      </c>
      <c r="AT34">
        <v>0</v>
      </c>
      <c r="AU34">
        <v>0</v>
      </c>
      <c r="AV34">
        <v>18</v>
      </c>
      <c r="AW34">
        <v>528.55899999999997</v>
      </c>
      <c r="AX34">
        <v>0</v>
      </c>
      <c r="AY34">
        <v>0</v>
      </c>
      <c r="AZ34">
        <v>528.55899999999997</v>
      </c>
      <c r="BA34" s="2"/>
      <c r="BB34">
        <v>1.1000000000000001</v>
      </c>
      <c r="BC34" s="2">
        <v>45960.5</v>
      </c>
      <c r="BD34" s="27">
        <f>MarketPlace_Order_Report__2[[#This Row],[UnitPrice]]*MarketPlace_Order_Report__2[[#This Row],[OrderQty]]</f>
        <v>3465</v>
      </c>
      <c r="BE34" s="27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BF34" s="27">
        <f>MarketPlace_Order_Report__2[[#This Row],[Gross Amount (Before Tax)]]+MarketPlace_Order_Report__2[[#This Row],[Total GST Amount]]</f>
        <v>3993.5590000000002</v>
      </c>
    </row>
    <row r="35" spans="1:58">
      <c r="A35" s="1" t="s">
        <v>1120</v>
      </c>
      <c r="B35" s="1" t="s">
        <v>1121</v>
      </c>
      <c r="C35" s="1" t="s">
        <v>191</v>
      </c>
      <c r="D35" s="1" t="s">
        <v>192</v>
      </c>
      <c r="E35">
        <v>1</v>
      </c>
      <c r="F35" s="1" t="s">
        <v>58</v>
      </c>
      <c r="G35">
        <v>1</v>
      </c>
      <c r="H35">
        <v>1</v>
      </c>
      <c r="I35">
        <v>3850</v>
      </c>
      <c r="J35">
        <v>3465</v>
      </c>
      <c r="K35">
        <v>0</v>
      </c>
      <c r="L35">
        <v>3465</v>
      </c>
      <c r="M35">
        <v>0</v>
      </c>
      <c r="N35" s="1" t="s">
        <v>59</v>
      </c>
      <c r="O35" s="2">
        <v>45942.395173611112</v>
      </c>
      <c r="P35" s="2">
        <v>45943.762280092589</v>
      </c>
      <c r="Q35" s="2">
        <v>45950.532870370371</v>
      </c>
      <c r="R35" s="1" t="s">
        <v>1122</v>
      </c>
      <c r="S35" s="1" t="s">
        <v>351</v>
      </c>
      <c r="T35" s="2">
        <v>45942.661412037036</v>
      </c>
      <c r="U35" s="1" t="s">
        <v>61</v>
      </c>
      <c r="V35" s="1" t="s">
        <v>62</v>
      </c>
      <c r="W35" s="1" t="s">
        <v>61</v>
      </c>
      <c r="X35" s="1" t="s">
        <v>61</v>
      </c>
      <c r="Y35" s="1" t="s">
        <v>61</v>
      </c>
      <c r="Z35" s="1" t="s">
        <v>61</v>
      </c>
      <c r="AA35" s="1" t="s">
        <v>61</v>
      </c>
      <c r="AB35" s="1" t="s">
        <v>61</v>
      </c>
      <c r="AC35" s="1" t="s">
        <v>61</v>
      </c>
      <c r="AD35" s="2">
        <v>45950.587789351855</v>
      </c>
      <c r="AE35" s="1" t="s">
        <v>63</v>
      </c>
      <c r="AF35" s="1" t="s">
        <v>61</v>
      </c>
      <c r="AG35" s="1" t="s">
        <v>1123</v>
      </c>
      <c r="AH35" s="1" t="s">
        <v>449</v>
      </c>
      <c r="AI35">
        <v>497001</v>
      </c>
      <c r="AJ35" s="1" t="s">
        <v>66</v>
      </c>
      <c r="AK35" s="1" t="s">
        <v>67</v>
      </c>
      <c r="AL35">
        <v>62044220</v>
      </c>
      <c r="AM35" s="2"/>
      <c r="AN35">
        <v>3465</v>
      </c>
      <c r="AO35" s="1" t="s">
        <v>1124</v>
      </c>
      <c r="AP35" s="1" t="s">
        <v>650</v>
      </c>
      <c r="AQ35" s="1" t="s">
        <v>61</v>
      </c>
      <c r="AR35" s="1" t="s">
        <v>63</v>
      </c>
      <c r="AS35">
        <v>18</v>
      </c>
      <c r="AT35">
        <v>0</v>
      </c>
      <c r="AU35">
        <v>0</v>
      </c>
      <c r="AV35">
        <v>18</v>
      </c>
      <c r="AW35">
        <v>528.55899999999997</v>
      </c>
      <c r="AX35">
        <v>0</v>
      </c>
      <c r="AY35">
        <v>0</v>
      </c>
      <c r="AZ35">
        <v>528.55899999999997</v>
      </c>
      <c r="BA35" s="2"/>
      <c r="BB35">
        <v>0.75</v>
      </c>
      <c r="BC35" s="2">
        <v>45944.5</v>
      </c>
      <c r="BD35" s="27">
        <f>MarketPlace_Order_Report__2[[#This Row],[UnitPrice]]*MarketPlace_Order_Report__2[[#This Row],[OrderQty]]</f>
        <v>3465</v>
      </c>
      <c r="BE35" s="27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BF35" s="27">
        <f>MarketPlace_Order_Report__2[[#This Row],[Gross Amount (Before Tax)]]+MarketPlace_Order_Report__2[[#This Row],[Total GST Amount]]</f>
        <v>3993.5590000000002</v>
      </c>
    </row>
    <row r="36" spans="1:58">
      <c r="A36" s="1" t="s">
        <v>1125</v>
      </c>
      <c r="B36" s="1" t="s">
        <v>1126</v>
      </c>
      <c r="C36" s="1" t="s">
        <v>195</v>
      </c>
      <c r="D36" s="1" t="s">
        <v>196</v>
      </c>
      <c r="E36">
        <v>1</v>
      </c>
      <c r="F36" s="1" t="s">
        <v>71</v>
      </c>
      <c r="G36">
        <v>1</v>
      </c>
      <c r="H36">
        <v>1</v>
      </c>
      <c r="I36">
        <v>3850</v>
      </c>
      <c r="J36">
        <v>3465</v>
      </c>
      <c r="K36">
        <v>0</v>
      </c>
      <c r="L36">
        <v>3489.8220000000001</v>
      </c>
      <c r="M36">
        <v>24.821999999999999</v>
      </c>
      <c r="N36" s="1" t="s">
        <v>72</v>
      </c>
      <c r="O36" s="2">
        <v>45937.45045138889</v>
      </c>
      <c r="P36" s="2">
        <v>45939.734652777777</v>
      </c>
      <c r="Q36" s="2">
        <v>45949.724004629628</v>
      </c>
      <c r="R36" s="1" t="s">
        <v>1127</v>
      </c>
      <c r="S36" s="1" t="s">
        <v>60</v>
      </c>
      <c r="T36" s="2">
        <v>45938.725810185184</v>
      </c>
      <c r="U36" s="1" t="s">
        <v>61</v>
      </c>
      <c r="V36" s="1" t="s">
        <v>62</v>
      </c>
      <c r="W36" s="1" t="s">
        <v>61</v>
      </c>
      <c r="X36" s="1" t="s">
        <v>61</v>
      </c>
      <c r="Y36" s="1" t="s">
        <v>1128</v>
      </c>
      <c r="Z36" s="1" t="s">
        <v>74</v>
      </c>
      <c r="AA36" s="1" t="s">
        <v>695</v>
      </c>
      <c r="AB36" s="1" t="s">
        <v>61</v>
      </c>
      <c r="AC36" s="1" t="s">
        <v>61</v>
      </c>
      <c r="AD36" s="2">
        <v>45961.49423611111</v>
      </c>
      <c r="AE36" s="1" t="s">
        <v>63</v>
      </c>
      <c r="AF36" s="1" t="s">
        <v>61</v>
      </c>
      <c r="AG36" s="1" t="s">
        <v>1129</v>
      </c>
      <c r="AH36" s="1" t="s">
        <v>77</v>
      </c>
      <c r="AI36">
        <v>242001</v>
      </c>
      <c r="AJ36" s="1" t="s">
        <v>66</v>
      </c>
      <c r="AK36" s="1" t="s">
        <v>67</v>
      </c>
      <c r="AL36">
        <v>62044220</v>
      </c>
      <c r="AM36" s="2"/>
      <c r="AN36">
        <v>3465</v>
      </c>
      <c r="AO36" s="1" t="s">
        <v>1130</v>
      </c>
      <c r="AP36" s="1" t="s">
        <v>61</v>
      </c>
      <c r="AQ36" s="1" t="s">
        <v>61</v>
      </c>
      <c r="AR36" s="1" t="s">
        <v>63</v>
      </c>
      <c r="AS36">
        <v>18</v>
      </c>
      <c r="AT36">
        <v>0</v>
      </c>
      <c r="AU36">
        <v>0</v>
      </c>
      <c r="AV36">
        <v>18</v>
      </c>
      <c r="AW36">
        <v>528.55899999999997</v>
      </c>
      <c r="AX36">
        <v>0</v>
      </c>
      <c r="AY36">
        <v>0</v>
      </c>
      <c r="AZ36">
        <v>528.55899999999997</v>
      </c>
      <c r="BA36" s="2"/>
      <c r="BB36">
        <v>1.1000000000000001</v>
      </c>
      <c r="BC36" s="2">
        <v>45939.5</v>
      </c>
      <c r="BD36" s="27">
        <f>MarketPlace_Order_Report__2[[#This Row],[UnitPrice]]*MarketPlace_Order_Report__2[[#This Row],[OrderQty]]</f>
        <v>3465</v>
      </c>
      <c r="BE36" s="27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BF36" s="27">
        <f>MarketPlace_Order_Report__2[[#This Row],[Gross Amount (Before Tax)]]+MarketPlace_Order_Report__2[[#This Row],[Total GST Amount]]</f>
        <v>3993.5590000000002</v>
      </c>
    </row>
    <row r="37" spans="1:58">
      <c r="A37" s="1" t="s">
        <v>1131</v>
      </c>
      <c r="B37" s="1" t="s">
        <v>1132</v>
      </c>
      <c r="C37" s="1" t="s">
        <v>195</v>
      </c>
      <c r="D37" s="1" t="s">
        <v>196</v>
      </c>
      <c r="E37">
        <v>1</v>
      </c>
      <c r="F37" s="1" t="s">
        <v>187</v>
      </c>
      <c r="G37">
        <v>1</v>
      </c>
      <c r="H37">
        <v>0</v>
      </c>
      <c r="I37">
        <v>3850</v>
      </c>
      <c r="J37">
        <v>3465</v>
      </c>
      <c r="K37">
        <v>0</v>
      </c>
      <c r="L37">
        <v>3514</v>
      </c>
      <c r="M37">
        <v>49</v>
      </c>
      <c r="N37" s="1" t="s">
        <v>72</v>
      </c>
      <c r="O37" s="2">
        <v>45935.674016203702</v>
      </c>
      <c r="P37" s="2"/>
      <c r="Q37" s="2"/>
      <c r="R37" s="1" t="s">
        <v>61</v>
      </c>
      <c r="S37" s="1" t="s">
        <v>60</v>
      </c>
      <c r="T37" s="2"/>
      <c r="U37" s="1" t="s">
        <v>1133</v>
      </c>
      <c r="V37" s="1" t="s">
        <v>62</v>
      </c>
      <c r="W37" s="1" t="s">
        <v>1134</v>
      </c>
      <c r="X37" s="1" t="s">
        <v>61</v>
      </c>
      <c r="Y37" s="1" t="s">
        <v>61</v>
      </c>
      <c r="Z37" s="1" t="s">
        <v>61</v>
      </c>
      <c r="AA37" s="1" t="s">
        <v>61</v>
      </c>
      <c r="AB37" s="1" t="s">
        <v>61</v>
      </c>
      <c r="AC37" s="1" t="s">
        <v>61</v>
      </c>
      <c r="AD37" s="2">
        <v>45936.479768518519</v>
      </c>
      <c r="AE37" s="1" t="s">
        <v>63</v>
      </c>
      <c r="AF37" s="1" t="s">
        <v>61</v>
      </c>
      <c r="AG37" s="1" t="s">
        <v>1129</v>
      </c>
      <c r="AH37" s="1" t="s">
        <v>77</v>
      </c>
      <c r="AI37">
        <v>242001</v>
      </c>
      <c r="AJ37" s="1" t="s">
        <v>66</v>
      </c>
      <c r="AK37" s="1" t="s">
        <v>67</v>
      </c>
      <c r="AL37">
        <v>62044220</v>
      </c>
      <c r="AM37" s="2">
        <v>45936.479768518519</v>
      </c>
      <c r="AN37">
        <v>3465</v>
      </c>
      <c r="AO37" s="1" t="s">
        <v>61</v>
      </c>
      <c r="AP37" s="1" t="s">
        <v>61</v>
      </c>
      <c r="AQ37" s="1" t="s">
        <v>832</v>
      </c>
      <c r="AR37" s="1" t="s">
        <v>833</v>
      </c>
      <c r="AS37">
        <v>18</v>
      </c>
      <c r="AT37">
        <v>0</v>
      </c>
      <c r="AU37">
        <v>0</v>
      </c>
      <c r="AV37">
        <v>18</v>
      </c>
      <c r="AW37">
        <v>528.55899999999997</v>
      </c>
      <c r="AX37">
        <v>0</v>
      </c>
      <c r="AY37">
        <v>0</v>
      </c>
      <c r="AZ37">
        <v>528.55899999999997</v>
      </c>
      <c r="BA37" s="2"/>
      <c r="BC37" s="2">
        <v>45938.5</v>
      </c>
      <c r="BD37" s="27">
        <f>MarketPlace_Order_Report__2[[#This Row],[UnitPrice]]*MarketPlace_Order_Report__2[[#This Row],[OrderQty]]</f>
        <v>3465</v>
      </c>
      <c r="BE37" s="27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BF37" s="27">
        <f>MarketPlace_Order_Report__2[[#This Row],[Gross Amount (Before Tax)]]+MarketPlace_Order_Report__2[[#This Row],[Total GST Amount]]</f>
        <v>3993.5590000000002</v>
      </c>
    </row>
    <row r="38" spans="1:58">
      <c r="A38" s="1" t="s">
        <v>1135</v>
      </c>
      <c r="B38" s="1" t="s">
        <v>1136</v>
      </c>
      <c r="C38" s="1" t="s">
        <v>1137</v>
      </c>
      <c r="D38" s="1" t="s">
        <v>1138</v>
      </c>
      <c r="E38">
        <v>4</v>
      </c>
      <c r="F38" s="1" t="s">
        <v>58</v>
      </c>
      <c r="G38">
        <v>1</v>
      </c>
      <c r="H38">
        <v>1</v>
      </c>
      <c r="I38">
        <v>3500</v>
      </c>
      <c r="J38">
        <v>2800</v>
      </c>
      <c r="K38">
        <v>0</v>
      </c>
      <c r="L38">
        <v>2806.66</v>
      </c>
      <c r="M38">
        <v>6.66</v>
      </c>
      <c r="N38" s="1" t="s">
        <v>59</v>
      </c>
      <c r="O38" s="2">
        <v>45958.074641203704</v>
      </c>
      <c r="P38" s="2">
        <v>45958.71570601852</v>
      </c>
      <c r="Q38" s="2">
        <v>45960.732951388891</v>
      </c>
      <c r="R38" s="1" t="s">
        <v>1139</v>
      </c>
      <c r="S38" s="1" t="s">
        <v>60</v>
      </c>
      <c r="T38" s="2">
        <v>45958.543113425927</v>
      </c>
      <c r="U38" s="1" t="s">
        <v>61</v>
      </c>
      <c r="V38" s="1" t="s">
        <v>62</v>
      </c>
      <c r="W38" s="1" t="s">
        <v>61</v>
      </c>
      <c r="X38" s="1" t="s">
        <v>61</v>
      </c>
      <c r="Y38" s="1" t="s">
        <v>61</v>
      </c>
      <c r="Z38" s="1" t="s">
        <v>61</v>
      </c>
      <c r="AA38" s="1" t="s">
        <v>61</v>
      </c>
      <c r="AB38" s="1" t="s">
        <v>61</v>
      </c>
      <c r="AC38" s="1" t="s">
        <v>61</v>
      </c>
      <c r="AD38" s="2">
        <v>45960.733391203707</v>
      </c>
      <c r="AE38" s="1" t="s">
        <v>63</v>
      </c>
      <c r="AF38" s="1" t="s">
        <v>61</v>
      </c>
      <c r="AG38" s="1" t="s">
        <v>136</v>
      </c>
      <c r="AH38" s="1" t="s">
        <v>77</v>
      </c>
      <c r="AI38">
        <v>201305</v>
      </c>
      <c r="AJ38" s="1" t="s">
        <v>66</v>
      </c>
      <c r="AK38" s="1" t="s">
        <v>67</v>
      </c>
      <c r="AL38">
        <v>62042300</v>
      </c>
      <c r="AM38" s="2"/>
      <c r="AN38">
        <v>2800</v>
      </c>
      <c r="AO38" s="1" t="s">
        <v>1140</v>
      </c>
      <c r="AP38" s="1" t="s">
        <v>1105</v>
      </c>
      <c r="AQ38" s="1" t="s">
        <v>61</v>
      </c>
      <c r="AR38" s="1" t="s">
        <v>63</v>
      </c>
      <c r="AS38">
        <v>18</v>
      </c>
      <c r="AT38">
        <v>0</v>
      </c>
      <c r="AU38">
        <v>0</v>
      </c>
      <c r="AV38">
        <v>18</v>
      </c>
      <c r="AW38">
        <v>427.11900000000003</v>
      </c>
      <c r="AX38">
        <v>0</v>
      </c>
      <c r="AY38">
        <v>0</v>
      </c>
      <c r="AZ38">
        <v>427.11900000000003</v>
      </c>
      <c r="BA38" s="2"/>
      <c r="BB38">
        <v>0.85</v>
      </c>
      <c r="BC38" s="2">
        <v>45960.5</v>
      </c>
      <c r="BD38" s="27">
        <f>MarketPlace_Order_Report__2[[#This Row],[UnitPrice]]*MarketPlace_Order_Report__2[[#This Row],[OrderQty]]</f>
        <v>2800</v>
      </c>
      <c r="BE38" s="27">
        <f>IFERROR(MarketPlace_Order_Report__2[[#This Row],[CGSTAmount]]+MarketPlace_Order_Report__2[[#This Row],[SGSTAmount]]+MarketPlace_Order_Report__2[[#This Row],[IGSTAmount]],MarketPlace_Order_Report__2[[#This Row],[TaxAmount]])</f>
        <v>427.11900000000003</v>
      </c>
      <c r="BF38" s="27">
        <f>MarketPlace_Order_Report__2[[#This Row],[Gross Amount (Before Tax)]]+MarketPlace_Order_Report__2[[#This Row],[Total GST Amount]]</f>
        <v>3227.1190000000001</v>
      </c>
    </row>
    <row r="39" spans="1:58">
      <c r="A39" s="1" t="s">
        <v>1141</v>
      </c>
      <c r="B39" s="1" t="s">
        <v>1142</v>
      </c>
      <c r="C39" s="1" t="s">
        <v>1143</v>
      </c>
      <c r="D39" s="1" t="s">
        <v>1144</v>
      </c>
      <c r="E39">
        <v>1</v>
      </c>
      <c r="F39" s="1" t="s">
        <v>71</v>
      </c>
      <c r="G39">
        <v>1</v>
      </c>
      <c r="H39">
        <v>1</v>
      </c>
      <c r="I39">
        <v>4500</v>
      </c>
      <c r="J39">
        <v>3600</v>
      </c>
      <c r="K39">
        <v>0</v>
      </c>
      <c r="L39">
        <v>3629</v>
      </c>
      <c r="M39">
        <v>29</v>
      </c>
      <c r="N39" s="1" t="s">
        <v>59</v>
      </c>
      <c r="O39" s="2">
        <v>45943.332835648151</v>
      </c>
      <c r="P39" s="2">
        <v>45944.740173611113</v>
      </c>
      <c r="Q39" s="2">
        <v>45949.578750000001</v>
      </c>
      <c r="R39" s="1" t="s">
        <v>1145</v>
      </c>
      <c r="S39" s="1" t="s">
        <v>60</v>
      </c>
      <c r="T39" s="2">
        <v>45943.812962962962</v>
      </c>
      <c r="U39" s="1" t="s">
        <v>61</v>
      </c>
      <c r="V39" s="1" t="s">
        <v>62</v>
      </c>
      <c r="W39" s="1" t="s">
        <v>61</v>
      </c>
      <c r="X39" s="1" t="s">
        <v>61</v>
      </c>
      <c r="Y39" s="1" t="s">
        <v>1146</v>
      </c>
      <c r="Z39" s="1" t="s">
        <v>74</v>
      </c>
      <c r="AA39" s="1" t="s">
        <v>695</v>
      </c>
      <c r="AB39" s="1" t="s">
        <v>61</v>
      </c>
      <c r="AC39" s="1" t="s">
        <v>61</v>
      </c>
      <c r="AD39" s="2">
        <v>45961.105057870373</v>
      </c>
      <c r="AE39" s="1" t="s">
        <v>63</v>
      </c>
      <c r="AF39" s="1" t="s">
        <v>61</v>
      </c>
      <c r="AG39" s="1" t="s">
        <v>1147</v>
      </c>
      <c r="AH39" s="1" t="s">
        <v>120</v>
      </c>
      <c r="AI39">
        <v>335512</v>
      </c>
      <c r="AJ39" s="1" t="s">
        <v>66</v>
      </c>
      <c r="AK39" s="1" t="s">
        <v>67</v>
      </c>
      <c r="AL39">
        <v>62042300</v>
      </c>
      <c r="AM39" s="2"/>
      <c r="AN39">
        <v>3600</v>
      </c>
      <c r="AO39" s="1" t="s">
        <v>1148</v>
      </c>
      <c r="AP39" s="1" t="s">
        <v>209</v>
      </c>
      <c r="AQ39" s="1" t="s">
        <v>61</v>
      </c>
      <c r="AR39" s="1" t="s">
        <v>63</v>
      </c>
      <c r="AS39">
        <v>18</v>
      </c>
      <c r="AT39">
        <v>0</v>
      </c>
      <c r="AU39">
        <v>0</v>
      </c>
      <c r="AV39">
        <v>18</v>
      </c>
      <c r="AW39">
        <v>549.15300000000002</v>
      </c>
      <c r="AX39">
        <v>0</v>
      </c>
      <c r="AY39">
        <v>0</v>
      </c>
      <c r="AZ39">
        <v>549.15300000000002</v>
      </c>
      <c r="BA39" s="2"/>
      <c r="BB39">
        <v>0.75</v>
      </c>
      <c r="BC39" s="2">
        <v>45945.5</v>
      </c>
      <c r="BD39" s="27">
        <f>MarketPlace_Order_Report__2[[#This Row],[UnitPrice]]*MarketPlace_Order_Report__2[[#This Row],[OrderQty]]</f>
        <v>3600</v>
      </c>
      <c r="BE39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39" s="27">
        <f>MarketPlace_Order_Report__2[[#This Row],[Gross Amount (Before Tax)]]+MarketPlace_Order_Report__2[[#This Row],[Total GST Amount]]</f>
        <v>4149.1530000000002</v>
      </c>
    </row>
    <row r="40" spans="1:58">
      <c r="A40" s="1" t="s">
        <v>1149</v>
      </c>
      <c r="B40" s="1" t="s">
        <v>1150</v>
      </c>
      <c r="C40" s="1" t="s">
        <v>207</v>
      </c>
      <c r="D40" s="1" t="s">
        <v>208</v>
      </c>
      <c r="E40">
        <v>1</v>
      </c>
      <c r="F40" s="1" t="s">
        <v>187</v>
      </c>
      <c r="G40">
        <v>1</v>
      </c>
      <c r="H40">
        <v>0</v>
      </c>
      <c r="I40">
        <v>4500</v>
      </c>
      <c r="J40">
        <v>4050</v>
      </c>
      <c r="K40">
        <v>0</v>
      </c>
      <c r="L40">
        <v>4099</v>
      </c>
      <c r="M40">
        <v>49</v>
      </c>
      <c r="N40" s="1" t="s">
        <v>72</v>
      </c>
      <c r="O40" s="2">
        <v>45935.066076388888</v>
      </c>
      <c r="P40" s="2"/>
      <c r="Q40" s="2"/>
      <c r="R40" s="1" t="s">
        <v>61</v>
      </c>
      <c r="S40" s="1" t="s">
        <v>60</v>
      </c>
      <c r="T40" s="2"/>
      <c r="U40" s="1" t="s">
        <v>188</v>
      </c>
      <c r="V40" s="1" t="s">
        <v>62</v>
      </c>
      <c r="W40" s="1" t="s">
        <v>61</v>
      </c>
      <c r="X40" s="1" t="s">
        <v>61</v>
      </c>
      <c r="Y40" s="1" t="s">
        <v>61</v>
      </c>
      <c r="Z40" s="1" t="s">
        <v>61</v>
      </c>
      <c r="AA40" s="1" t="s">
        <v>61</v>
      </c>
      <c r="AB40" s="1" t="s">
        <v>61</v>
      </c>
      <c r="AC40" s="1" t="s">
        <v>61</v>
      </c>
      <c r="AD40" s="2">
        <v>45935.388877314814</v>
      </c>
      <c r="AE40" s="1" t="s">
        <v>63</v>
      </c>
      <c r="AF40" s="1" t="s">
        <v>61</v>
      </c>
      <c r="AG40" s="1" t="s">
        <v>1151</v>
      </c>
      <c r="AH40" s="1" t="s">
        <v>77</v>
      </c>
      <c r="AI40">
        <v>284001</v>
      </c>
      <c r="AJ40" s="1" t="s">
        <v>66</v>
      </c>
      <c r="AK40" s="1" t="s">
        <v>67</v>
      </c>
      <c r="AL40">
        <v>62042300</v>
      </c>
      <c r="AM40" s="2">
        <v>45935.388877314814</v>
      </c>
      <c r="AN40">
        <v>4050</v>
      </c>
      <c r="AO40" s="1" t="s">
        <v>61</v>
      </c>
      <c r="AP40" s="1" t="s">
        <v>61</v>
      </c>
      <c r="AQ40" s="1" t="s">
        <v>61</v>
      </c>
      <c r="AR40" s="1" t="s">
        <v>63</v>
      </c>
      <c r="AS40">
        <v>18</v>
      </c>
      <c r="AT40">
        <v>0</v>
      </c>
      <c r="AU40">
        <v>0</v>
      </c>
      <c r="AV40">
        <v>18</v>
      </c>
      <c r="AW40">
        <v>617.79700000000003</v>
      </c>
      <c r="AX40">
        <v>0</v>
      </c>
      <c r="AY40">
        <v>0</v>
      </c>
      <c r="AZ40">
        <v>617.79700000000003</v>
      </c>
      <c r="BA40" s="2"/>
      <c r="BC40" s="2">
        <v>45937.5</v>
      </c>
      <c r="BD40" s="27">
        <f>MarketPlace_Order_Report__2[[#This Row],[UnitPrice]]*MarketPlace_Order_Report__2[[#This Row],[OrderQty]]</f>
        <v>4050</v>
      </c>
      <c r="BE40" s="27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40" s="27">
        <f>MarketPlace_Order_Report__2[[#This Row],[Gross Amount (Before Tax)]]+MarketPlace_Order_Report__2[[#This Row],[Total GST Amount]]</f>
        <v>4667.7970000000005</v>
      </c>
    </row>
    <row r="41" spans="1:58">
      <c r="A41" s="1" t="s">
        <v>1152</v>
      </c>
      <c r="B41" s="1" t="s">
        <v>1153</v>
      </c>
      <c r="C41" s="1" t="s">
        <v>212</v>
      </c>
      <c r="D41" s="1" t="s">
        <v>213</v>
      </c>
      <c r="E41">
        <v>2</v>
      </c>
      <c r="F41" s="1" t="s">
        <v>58</v>
      </c>
      <c r="G41">
        <v>1</v>
      </c>
      <c r="H41">
        <v>1</v>
      </c>
      <c r="I41">
        <v>4500</v>
      </c>
      <c r="J41">
        <v>4050</v>
      </c>
      <c r="K41">
        <v>0</v>
      </c>
      <c r="L41">
        <v>4065.9250000000002</v>
      </c>
      <c r="M41">
        <v>15.925000000000001</v>
      </c>
      <c r="N41" s="1" t="s">
        <v>59</v>
      </c>
      <c r="O41" s="2">
        <v>45942.552453703705</v>
      </c>
      <c r="P41" s="2">
        <v>45943.761608796296</v>
      </c>
      <c r="Q41" s="2">
        <v>45946.461747685185</v>
      </c>
      <c r="R41" s="1" t="s">
        <v>1154</v>
      </c>
      <c r="S41" s="1" t="s">
        <v>351</v>
      </c>
      <c r="T41" s="2">
        <v>45942.661412037036</v>
      </c>
      <c r="U41" s="1" t="s">
        <v>61</v>
      </c>
      <c r="V41" s="1" t="s">
        <v>62</v>
      </c>
      <c r="W41" s="1" t="s">
        <v>61</v>
      </c>
      <c r="X41" s="1" t="s">
        <v>61</v>
      </c>
      <c r="Y41" s="1" t="s">
        <v>61</v>
      </c>
      <c r="Z41" s="1" t="s">
        <v>61</v>
      </c>
      <c r="AA41" s="1" t="s">
        <v>61</v>
      </c>
      <c r="AB41" s="1" t="s">
        <v>61</v>
      </c>
      <c r="AC41" s="1" t="s">
        <v>61</v>
      </c>
      <c r="AD41" s="2">
        <v>45946.483437499999</v>
      </c>
      <c r="AE41" s="1" t="s">
        <v>63</v>
      </c>
      <c r="AF41" s="1" t="s">
        <v>61</v>
      </c>
      <c r="AG41" s="1" t="s">
        <v>408</v>
      </c>
      <c r="AH41" s="1" t="s">
        <v>318</v>
      </c>
      <c r="AI41">
        <v>400059</v>
      </c>
      <c r="AJ41" s="1" t="s">
        <v>66</v>
      </c>
      <c r="AK41" s="1" t="s">
        <v>67</v>
      </c>
      <c r="AL41">
        <v>62042300</v>
      </c>
      <c r="AM41" s="2"/>
      <c r="AN41">
        <v>4050</v>
      </c>
      <c r="AO41" s="1" t="s">
        <v>1155</v>
      </c>
      <c r="AP41" s="1" t="s">
        <v>1156</v>
      </c>
      <c r="AQ41" s="1" t="s">
        <v>61</v>
      </c>
      <c r="AR41" s="1" t="s">
        <v>63</v>
      </c>
      <c r="AS41">
        <v>18</v>
      </c>
      <c r="AT41">
        <v>9</v>
      </c>
      <c r="AU41">
        <v>9</v>
      </c>
      <c r="AV41">
        <v>0</v>
      </c>
      <c r="AW41">
        <v>617.79700000000003</v>
      </c>
      <c r="AX41">
        <v>308.899</v>
      </c>
      <c r="AY41">
        <v>308.899</v>
      </c>
      <c r="AZ41">
        <v>0</v>
      </c>
      <c r="BA41" s="2"/>
      <c r="BB41">
        <v>1.2</v>
      </c>
      <c r="BC41" s="2">
        <v>45945.5</v>
      </c>
      <c r="BD41" s="27">
        <f>MarketPlace_Order_Report__2[[#This Row],[UnitPrice]]*MarketPlace_Order_Report__2[[#This Row],[OrderQty]]</f>
        <v>4050</v>
      </c>
      <c r="BE41" s="27">
        <f>IFERROR(MarketPlace_Order_Report__2[[#This Row],[CGSTAmount]]+MarketPlace_Order_Report__2[[#This Row],[SGSTAmount]]+MarketPlace_Order_Report__2[[#This Row],[IGSTAmount]],MarketPlace_Order_Report__2[[#This Row],[TaxAmount]])</f>
        <v>617.798</v>
      </c>
      <c r="BF41" s="27">
        <f>MarketPlace_Order_Report__2[[#This Row],[Gross Amount (Before Tax)]]+MarketPlace_Order_Report__2[[#This Row],[Total GST Amount]]</f>
        <v>4667.7979999999998</v>
      </c>
    </row>
    <row r="42" spans="1:58">
      <c r="A42" s="1" t="s">
        <v>1157</v>
      </c>
      <c r="B42" s="1" t="s">
        <v>1158</v>
      </c>
      <c r="C42" s="1" t="s">
        <v>218</v>
      </c>
      <c r="D42" s="1" t="s">
        <v>219</v>
      </c>
      <c r="E42">
        <v>1</v>
      </c>
      <c r="F42" s="1" t="s">
        <v>58</v>
      </c>
      <c r="G42">
        <v>1</v>
      </c>
      <c r="H42">
        <v>1</v>
      </c>
      <c r="I42">
        <v>4500</v>
      </c>
      <c r="J42">
        <v>4050</v>
      </c>
      <c r="K42">
        <v>0</v>
      </c>
      <c r="L42">
        <v>4099</v>
      </c>
      <c r="M42">
        <v>49</v>
      </c>
      <c r="N42" s="1" t="s">
        <v>72</v>
      </c>
      <c r="O42" s="2">
        <v>45939.732546296298</v>
      </c>
      <c r="P42" s="2">
        <v>45943.763124999998</v>
      </c>
      <c r="Q42" s="2">
        <v>45946.454664351855</v>
      </c>
      <c r="R42" s="1" t="s">
        <v>1159</v>
      </c>
      <c r="S42" s="1" t="s">
        <v>60</v>
      </c>
      <c r="T42" s="2">
        <v>45939.786874999998</v>
      </c>
      <c r="U42" s="1" t="s">
        <v>61</v>
      </c>
      <c r="V42" s="1" t="s">
        <v>62</v>
      </c>
      <c r="W42" s="1" t="s">
        <v>61</v>
      </c>
      <c r="X42" s="1" t="s">
        <v>61</v>
      </c>
      <c r="Y42" s="1" t="s">
        <v>61</v>
      </c>
      <c r="Z42" s="1" t="s">
        <v>61</v>
      </c>
      <c r="AA42" s="1" t="s">
        <v>61</v>
      </c>
      <c r="AB42" s="1" t="s">
        <v>61</v>
      </c>
      <c r="AC42" s="1" t="s">
        <v>61</v>
      </c>
      <c r="AD42" s="2">
        <v>45946.455717592595</v>
      </c>
      <c r="AE42" s="1" t="s">
        <v>63</v>
      </c>
      <c r="AF42" s="1" t="s">
        <v>61</v>
      </c>
      <c r="AG42" s="1" t="s">
        <v>751</v>
      </c>
      <c r="AH42" s="1" t="s">
        <v>275</v>
      </c>
      <c r="AI42">
        <v>700055</v>
      </c>
      <c r="AJ42" s="1" t="s">
        <v>66</v>
      </c>
      <c r="AK42" s="1" t="s">
        <v>67</v>
      </c>
      <c r="AL42">
        <v>62042300</v>
      </c>
      <c r="AM42" s="2"/>
      <c r="AN42">
        <v>4050</v>
      </c>
      <c r="AO42" s="1" t="s">
        <v>1160</v>
      </c>
      <c r="AP42" s="1" t="s">
        <v>61</v>
      </c>
      <c r="AQ42" s="1" t="s">
        <v>61</v>
      </c>
      <c r="AR42" s="1" t="s">
        <v>63</v>
      </c>
      <c r="AS42">
        <v>18</v>
      </c>
      <c r="AT42">
        <v>0</v>
      </c>
      <c r="AU42">
        <v>0</v>
      </c>
      <c r="AV42">
        <v>18</v>
      </c>
      <c r="AW42">
        <v>617.79700000000003</v>
      </c>
      <c r="AX42">
        <v>0</v>
      </c>
      <c r="AY42">
        <v>0</v>
      </c>
      <c r="AZ42">
        <v>617.79700000000003</v>
      </c>
      <c r="BA42" s="2"/>
      <c r="BB42">
        <v>0.85</v>
      </c>
      <c r="BC42" s="2">
        <v>45942.5</v>
      </c>
      <c r="BD42" s="27">
        <f>MarketPlace_Order_Report__2[[#This Row],[UnitPrice]]*MarketPlace_Order_Report__2[[#This Row],[OrderQty]]</f>
        <v>4050</v>
      </c>
      <c r="BE42" s="27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42" s="27">
        <f>MarketPlace_Order_Report__2[[#This Row],[Gross Amount (Before Tax)]]+MarketPlace_Order_Report__2[[#This Row],[Total GST Amount]]</f>
        <v>4667.7970000000005</v>
      </c>
    </row>
    <row r="43" spans="1:58">
      <c r="A43" s="1" t="s">
        <v>1161</v>
      </c>
      <c r="B43" s="1" t="s">
        <v>1162</v>
      </c>
      <c r="C43" s="1" t="s">
        <v>1163</v>
      </c>
      <c r="D43" s="1" t="s">
        <v>1164</v>
      </c>
      <c r="E43">
        <v>1</v>
      </c>
      <c r="F43" s="1" t="s">
        <v>58</v>
      </c>
      <c r="G43">
        <v>1</v>
      </c>
      <c r="H43">
        <v>1</v>
      </c>
      <c r="I43">
        <v>5000</v>
      </c>
      <c r="J43">
        <v>4500</v>
      </c>
      <c r="K43">
        <v>0</v>
      </c>
      <c r="L43">
        <v>4520.76</v>
      </c>
      <c r="M43">
        <v>20.76</v>
      </c>
      <c r="N43" s="1" t="s">
        <v>59</v>
      </c>
      <c r="O43" s="2">
        <v>45953.363229166665</v>
      </c>
      <c r="P43" s="2">
        <v>45954.730717592596</v>
      </c>
      <c r="Q43" s="2">
        <v>45956.693124999998</v>
      </c>
      <c r="R43" s="1" t="s">
        <v>1165</v>
      </c>
      <c r="S43" s="1" t="s">
        <v>60</v>
      </c>
      <c r="T43" s="2">
        <v>45954.500509259262</v>
      </c>
      <c r="U43" s="1" t="s">
        <v>61</v>
      </c>
      <c r="V43" s="1" t="s">
        <v>62</v>
      </c>
      <c r="W43" s="1" t="s">
        <v>61</v>
      </c>
      <c r="X43" s="1" t="s">
        <v>61</v>
      </c>
      <c r="Y43" s="1" t="s">
        <v>61</v>
      </c>
      <c r="Z43" s="1" t="s">
        <v>61</v>
      </c>
      <c r="AA43" s="1" t="s">
        <v>61</v>
      </c>
      <c r="AB43" s="1" t="s">
        <v>61</v>
      </c>
      <c r="AC43" s="1" t="s">
        <v>61</v>
      </c>
      <c r="AD43" s="2">
        <v>45956.695520833331</v>
      </c>
      <c r="AE43" s="1" t="s">
        <v>63</v>
      </c>
      <c r="AF43" s="1" t="s">
        <v>61</v>
      </c>
      <c r="AG43" s="1" t="s">
        <v>197</v>
      </c>
      <c r="AH43" s="1" t="s">
        <v>65</v>
      </c>
      <c r="AI43">
        <v>560102</v>
      </c>
      <c r="AJ43" s="1" t="s">
        <v>66</v>
      </c>
      <c r="AK43" s="1" t="s">
        <v>67</v>
      </c>
      <c r="AL43">
        <v>62042300</v>
      </c>
      <c r="AM43" s="2"/>
      <c r="AN43">
        <v>4500</v>
      </c>
      <c r="AO43" s="1" t="s">
        <v>1166</v>
      </c>
      <c r="AP43" s="1" t="s">
        <v>78</v>
      </c>
      <c r="AQ43" s="1" t="s">
        <v>61</v>
      </c>
      <c r="AR43" s="1" t="s">
        <v>63</v>
      </c>
      <c r="AS43">
        <v>18</v>
      </c>
      <c r="AT43">
        <v>0</v>
      </c>
      <c r="AU43">
        <v>0</v>
      </c>
      <c r="AV43">
        <v>18</v>
      </c>
      <c r="AW43">
        <v>686.44100000000003</v>
      </c>
      <c r="AX43">
        <v>0</v>
      </c>
      <c r="AY43">
        <v>0</v>
      </c>
      <c r="AZ43">
        <v>686.44100000000003</v>
      </c>
      <c r="BA43" s="2"/>
      <c r="BB43">
        <v>0.85</v>
      </c>
      <c r="BC43" s="2">
        <v>45955.5</v>
      </c>
      <c r="BD43" s="27">
        <f>MarketPlace_Order_Report__2[[#This Row],[UnitPrice]]*MarketPlace_Order_Report__2[[#This Row],[OrderQty]]</f>
        <v>4500</v>
      </c>
      <c r="BE43" s="27">
        <f>IFERROR(MarketPlace_Order_Report__2[[#This Row],[CGSTAmount]]+MarketPlace_Order_Report__2[[#This Row],[SGSTAmount]]+MarketPlace_Order_Report__2[[#This Row],[IGSTAmount]],MarketPlace_Order_Report__2[[#This Row],[TaxAmount]])</f>
        <v>686.44100000000003</v>
      </c>
      <c r="BF43" s="27">
        <f>MarketPlace_Order_Report__2[[#This Row],[Gross Amount (Before Tax)]]+MarketPlace_Order_Report__2[[#This Row],[Total GST Amount]]</f>
        <v>5186.4409999999998</v>
      </c>
    </row>
    <row r="44" spans="1:58">
      <c r="A44" s="1" t="s">
        <v>1167</v>
      </c>
      <c r="B44" s="1" t="s">
        <v>1168</v>
      </c>
      <c r="C44" s="1" t="s">
        <v>1169</v>
      </c>
      <c r="D44" s="1" t="s">
        <v>1170</v>
      </c>
      <c r="E44">
        <v>30</v>
      </c>
      <c r="F44" s="1" t="s">
        <v>71</v>
      </c>
      <c r="G44">
        <v>1</v>
      </c>
      <c r="H44">
        <v>1</v>
      </c>
      <c r="I44">
        <v>4500</v>
      </c>
      <c r="J44">
        <v>2700</v>
      </c>
      <c r="K44">
        <v>0</v>
      </c>
      <c r="L44">
        <v>2700</v>
      </c>
      <c r="M44">
        <v>0</v>
      </c>
      <c r="N44" s="1" t="s">
        <v>59</v>
      </c>
      <c r="O44" s="2">
        <v>45935.873217592591</v>
      </c>
      <c r="P44" s="2">
        <v>45937.725925925923</v>
      </c>
      <c r="Q44" s="2">
        <v>45940.739317129628</v>
      </c>
      <c r="R44" s="1" t="s">
        <v>1171</v>
      </c>
      <c r="S44" s="1" t="s">
        <v>60</v>
      </c>
      <c r="T44" s="2">
        <v>45936.813321759262</v>
      </c>
      <c r="U44" s="1" t="s">
        <v>61</v>
      </c>
      <c r="V44" s="1" t="s">
        <v>62</v>
      </c>
      <c r="W44" s="1" t="s">
        <v>61</v>
      </c>
      <c r="X44" s="1" t="s">
        <v>61</v>
      </c>
      <c r="Y44" s="1" t="s">
        <v>1172</v>
      </c>
      <c r="Z44" s="1" t="s">
        <v>74</v>
      </c>
      <c r="AA44" s="1" t="s">
        <v>75</v>
      </c>
      <c r="AB44" s="1" t="s">
        <v>61</v>
      </c>
      <c r="AC44" s="1" t="s">
        <v>61</v>
      </c>
      <c r="AD44" s="2">
        <v>45948.823819444442</v>
      </c>
      <c r="AE44" s="1" t="s">
        <v>63</v>
      </c>
      <c r="AF44" s="1" t="s">
        <v>61</v>
      </c>
      <c r="AG44" s="1" t="s">
        <v>64</v>
      </c>
      <c r="AH44" s="1" t="s">
        <v>65</v>
      </c>
      <c r="AI44">
        <v>575001</v>
      </c>
      <c r="AJ44" s="1" t="s">
        <v>66</v>
      </c>
      <c r="AK44" s="1" t="s">
        <v>67</v>
      </c>
      <c r="AL44">
        <v>62042300</v>
      </c>
      <c r="AM44" s="2"/>
      <c r="AN44">
        <v>2700</v>
      </c>
      <c r="AO44" s="1" t="s">
        <v>1173</v>
      </c>
      <c r="AP44" s="1" t="s">
        <v>61</v>
      </c>
      <c r="AQ44" s="1" t="s">
        <v>61</v>
      </c>
      <c r="AR44" s="1" t="s">
        <v>63</v>
      </c>
      <c r="AS44">
        <v>18</v>
      </c>
      <c r="AT44">
        <v>0</v>
      </c>
      <c r="AU44">
        <v>0</v>
      </c>
      <c r="AV44">
        <v>18</v>
      </c>
      <c r="AW44">
        <v>411.86399999999998</v>
      </c>
      <c r="AX44">
        <v>0</v>
      </c>
      <c r="AY44">
        <v>0</v>
      </c>
      <c r="AZ44">
        <v>411.86399999999998</v>
      </c>
      <c r="BA44" s="2"/>
      <c r="BB44">
        <v>1.2</v>
      </c>
      <c r="BC44" s="2">
        <v>45938.5</v>
      </c>
      <c r="BD44" s="27">
        <f>MarketPlace_Order_Report__2[[#This Row],[UnitPrice]]*MarketPlace_Order_Report__2[[#This Row],[OrderQty]]</f>
        <v>2700</v>
      </c>
      <c r="BE44" s="27">
        <f>IFERROR(MarketPlace_Order_Report__2[[#This Row],[CGSTAmount]]+MarketPlace_Order_Report__2[[#This Row],[SGSTAmount]]+MarketPlace_Order_Report__2[[#This Row],[IGSTAmount]],MarketPlace_Order_Report__2[[#This Row],[TaxAmount]])</f>
        <v>411.86399999999998</v>
      </c>
      <c r="BF44" s="27">
        <f>MarketPlace_Order_Report__2[[#This Row],[Gross Amount (Before Tax)]]+MarketPlace_Order_Report__2[[#This Row],[Total GST Amount]]</f>
        <v>3111.864</v>
      </c>
    </row>
    <row r="45" spans="1:58">
      <c r="A45" s="1" t="s">
        <v>1174</v>
      </c>
      <c r="B45" s="1" t="s">
        <v>1175</v>
      </c>
      <c r="C45" s="1" t="s">
        <v>1176</v>
      </c>
      <c r="D45" s="1" t="s">
        <v>1177</v>
      </c>
      <c r="E45">
        <v>1</v>
      </c>
      <c r="F45" s="1" t="s">
        <v>71</v>
      </c>
      <c r="G45">
        <v>1</v>
      </c>
      <c r="H45">
        <v>1</v>
      </c>
      <c r="I45">
        <v>3500</v>
      </c>
      <c r="J45">
        <v>3150</v>
      </c>
      <c r="K45">
        <v>0</v>
      </c>
      <c r="L45">
        <v>3164.52</v>
      </c>
      <c r="M45">
        <v>14.52</v>
      </c>
      <c r="N45" s="1" t="s">
        <v>59</v>
      </c>
      <c r="O45" s="2">
        <v>45934.805787037039</v>
      </c>
      <c r="P45" s="2">
        <v>45936.714699074073</v>
      </c>
      <c r="Q45" s="2">
        <v>45943.710347222222</v>
      </c>
      <c r="R45" s="1" t="s">
        <v>1178</v>
      </c>
      <c r="S45" s="1" t="s">
        <v>351</v>
      </c>
      <c r="T45" s="2">
        <v>45934.839085648149</v>
      </c>
      <c r="U45" s="1" t="s">
        <v>61</v>
      </c>
      <c r="V45" s="1" t="s">
        <v>62</v>
      </c>
      <c r="W45" s="1" t="s">
        <v>61</v>
      </c>
      <c r="X45" s="1" t="s">
        <v>61</v>
      </c>
      <c r="Y45" s="1" t="s">
        <v>1179</v>
      </c>
      <c r="Z45" s="1" t="s">
        <v>74</v>
      </c>
      <c r="AA45" s="1" t="s">
        <v>75</v>
      </c>
      <c r="AB45" s="1" t="s">
        <v>61</v>
      </c>
      <c r="AC45" s="1" t="s">
        <v>61</v>
      </c>
      <c r="AD45" s="2">
        <v>45954.629421296297</v>
      </c>
      <c r="AE45" s="1" t="s">
        <v>63</v>
      </c>
      <c r="AF45" s="1" t="s">
        <v>61</v>
      </c>
      <c r="AG45" s="1" t="s">
        <v>1180</v>
      </c>
      <c r="AH45" s="1" t="s">
        <v>88</v>
      </c>
      <c r="AI45">
        <v>462003</v>
      </c>
      <c r="AJ45" s="1" t="s">
        <v>66</v>
      </c>
      <c r="AK45" s="1" t="s">
        <v>67</v>
      </c>
      <c r="AL45">
        <v>62042300</v>
      </c>
      <c r="AM45" s="2"/>
      <c r="AN45">
        <v>3150</v>
      </c>
      <c r="AO45" s="1" t="s">
        <v>1181</v>
      </c>
      <c r="AP45" s="1" t="s">
        <v>61</v>
      </c>
      <c r="AQ45" s="1" t="s">
        <v>61</v>
      </c>
      <c r="AR45" s="1" t="s">
        <v>63</v>
      </c>
      <c r="AS45">
        <v>18</v>
      </c>
      <c r="AT45">
        <v>0</v>
      </c>
      <c r="AU45">
        <v>0</v>
      </c>
      <c r="AV45">
        <v>18</v>
      </c>
      <c r="AW45">
        <v>480.50799999999998</v>
      </c>
      <c r="AX45">
        <v>0</v>
      </c>
      <c r="AY45">
        <v>0</v>
      </c>
      <c r="AZ45">
        <v>480.50799999999998</v>
      </c>
      <c r="BA45" s="2"/>
      <c r="BB45">
        <v>0.85</v>
      </c>
      <c r="BC45" s="2">
        <v>45937.5</v>
      </c>
      <c r="BD45" s="27">
        <f>MarketPlace_Order_Report__2[[#This Row],[UnitPrice]]*MarketPlace_Order_Report__2[[#This Row],[OrderQty]]</f>
        <v>3150</v>
      </c>
      <c r="BE45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45" s="27">
        <f>MarketPlace_Order_Report__2[[#This Row],[Gross Amount (Before Tax)]]+MarketPlace_Order_Report__2[[#This Row],[Total GST Amount]]</f>
        <v>3630.5079999999998</v>
      </c>
    </row>
    <row r="46" spans="1:58">
      <c r="A46" s="1" t="s">
        <v>1182</v>
      </c>
      <c r="B46" s="1" t="s">
        <v>1183</v>
      </c>
      <c r="C46" s="1" t="s">
        <v>1184</v>
      </c>
      <c r="D46" s="1" t="s">
        <v>1185</v>
      </c>
      <c r="E46">
        <v>2</v>
      </c>
      <c r="F46" s="1" t="s">
        <v>187</v>
      </c>
      <c r="G46">
        <v>1</v>
      </c>
      <c r="H46">
        <v>0</v>
      </c>
      <c r="I46">
        <v>3500</v>
      </c>
      <c r="J46">
        <v>3150</v>
      </c>
      <c r="K46">
        <v>0</v>
      </c>
      <c r="L46">
        <v>3157.84</v>
      </c>
      <c r="M46">
        <v>7.84</v>
      </c>
      <c r="N46" s="1" t="s">
        <v>59</v>
      </c>
      <c r="O46" s="2">
        <v>45957.72488425926</v>
      </c>
      <c r="P46" s="2"/>
      <c r="Q46" s="2"/>
      <c r="R46" s="1" t="s">
        <v>61</v>
      </c>
      <c r="S46" s="1" t="s">
        <v>60</v>
      </c>
      <c r="T46" s="2"/>
      <c r="U46" s="1" t="s">
        <v>323</v>
      </c>
      <c r="V46" s="1" t="s">
        <v>62</v>
      </c>
      <c r="W46" s="1" t="s">
        <v>61</v>
      </c>
      <c r="X46" s="1" t="s">
        <v>61</v>
      </c>
      <c r="Y46" s="1" t="s">
        <v>61</v>
      </c>
      <c r="Z46" s="1" t="s">
        <v>61</v>
      </c>
      <c r="AA46" s="1" t="s">
        <v>61</v>
      </c>
      <c r="AB46" s="1" t="s">
        <v>61</v>
      </c>
      <c r="AC46" s="1" t="s">
        <v>61</v>
      </c>
      <c r="AD46" s="2">
        <v>45957.733587962961</v>
      </c>
      <c r="AE46" s="1" t="s">
        <v>63</v>
      </c>
      <c r="AF46" s="1" t="s">
        <v>61</v>
      </c>
      <c r="AG46" s="1" t="s">
        <v>197</v>
      </c>
      <c r="AH46" s="1" t="s">
        <v>65</v>
      </c>
      <c r="AI46">
        <v>560086</v>
      </c>
      <c r="AJ46" s="1" t="s">
        <v>66</v>
      </c>
      <c r="AK46" s="1" t="s">
        <v>67</v>
      </c>
      <c r="AL46">
        <v>62042300</v>
      </c>
      <c r="AM46" s="2">
        <v>45957.733587962961</v>
      </c>
      <c r="AN46">
        <v>3150</v>
      </c>
      <c r="AO46" s="1" t="s">
        <v>61</v>
      </c>
      <c r="AP46" s="1" t="s">
        <v>61</v>
      </c>
      <c r="AQ46" s="1" t="s">
        <v>61</v>
      </c>
      <c r="AR46" s="1" t="s">
        <v>63</v>
      </c>
      <c r="AS46">
        <v>18</v>
      </c>
      <c r="AT46">
        <v>0</v>
      </c>
      <c r="AU46">
        <v>0</v>
      </c>
      <c r="AV46">
        <v>18</v>
      </c>
      <c r="AW46">
        <v>480.50799999999998</v>
      </c>
      <c r="AX46">
        <v>0</v>
      </c>
      <c r="AY46">
        <v>0</v>
      </c>
      <c r="AZ46">
        <v>480.50799999999998</v>
      </c>
      <c r="BA46" s="2"/>
      <c r="BC46" s="2">
        <v>45960.5</v>
      </c>
      <c r="BD46" s="27">
        <f>MarketPlace_Order_Report__2[[#This Row],[UnitPrice]]*MarketPlace_Order_Report__2[[#This Row],[OrderQty]]</f>
        <v>3150</v>
      </c>
      <c r="BE46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46" s="27">
        <f>MarketPlace_Order_Report__2[[#This Row],[Gross Amount (Before Tax)]]+MarketPlace_Order_Report__2[[#This Row],[Total GST Amount]]</f>
        <v>3630.5079999999998</v>
      </c>
    </row>
    <row r="47" spans="1:58">
      <c r="A47" s="1" t="s">
        <v>1186</v>
      </c>
      <c r="B47" s="1" t="s">
        <v>1187</v>
      </c>
      <c r="C47" s="1" t="s">
        <v>1188</v>
      </c>
      <c r="D47" s="1" t="s">
        <v>1189</v>
      </c>
      <c r="E47">
        <v>2</v>
      </c>
      <c r="F47" s="1" t="s">
        <v>102</v>
      </c>
      <c r="G47">
        <v>1</v>
      </c>
      <c r="H47">
        <v>1</v>
      </c>
      <c r="I47">
        <v>3500</v>
      </c>
      <c r="J47">
        <v>3150</v>
      </c>
      <c r="K47">
        <v>0</v>
      </c>
      <c r="L47">
        <v>3156.83</v>
      </c>
      <c r="M47">
        <v>6.83</v>
      </c>
      <c r="N47" s="1" t="s">
        <v>72</v>
      </c>
      <c r="O47" s="2">
        <v>45934.059745370374</v>
      </c>
      <c r="P47" s="2">
        <v>45936.714629629627</v>
      </c>
      <c r="Q47" s="2"/>
      <c r="R47" s="1" t="s">
        <v>1190</v>
      </c>
      <c r="S47" s="1" t="s">
        <v>60</v>
      </c>
      <c r="T47" s="2">
        <v>45934.839085648149</v>
      </c>
      <c r="U47" s="1" t="s">
        <v>61</v>
      </c>
      <c r="V47" s="1" t="s">
        <v>62</v>
      </c>
      <c r="W47" s="1" t="s">
        <v>61</v>
      </c>
      <c r="X47" s="1" t="s">
        <v>61</v>
      </c>
      <c r="Y47" s="1" t="s">
        <v>1191</v>
      </c>
      <c r="Z47" s="1" t="s">
        <v>103</v>
      </c>
      <c r="AA47" s="1" t="s">
        <v>75</v>
      </c>
      <c r="AB47" s="1" t="s">
        <v>61</v>
      </c>
      <c r="AC47" s="1" t="s">
        <v>61</v>
      </c>
      <c r="AD47" s="2">
        <v>45946.89298611111</v>
      </c>
      <c r="AE47" s="1" t="s">
        <v>63</v>
      </c>
      <c r="AF47" s="1" t="s">
        <v>61</v>
      </c>
      <c r="AG47" s="1" t="s">
        <v>746</v>
      </c>
      <c r="AH47" s="1" t="s">
        <v>115</v>
      </c>
      <c r="AI47">
        <v>603202</v>
      </c>
      <c r="AJ47" s="1" t="s">
        <v>66</v>
      </c>
      <c r="AK47" s="1" t="s">
        <v>67</v>
      </c>
      <c r="AL47">
        <v>62042300</v>
      </c>
      <c r="AM47" s="2"/>
      <c r="AN47">
        <v>3150</v>
      </c>
      <c r="AO47" s="1" t="s">
        <v>1192</v>
      </c>
      <c r="AP47" s="1" t="s">
        <v>937</v>
      </c>
      <c r="AQ47" s="1" t="s">
        <v>61</v>
      </c>
      <c r="AR47" s="1" t="s">
        <v>63</v>
      </c>
      <c r="AS47">
        <v>18</v>
      </c>
      <c r="AT47">
        <v>0</v>
      </c>
      <c r="AU47">
        <v>0</v>
      </c>
      <c r="AV47">
        <v>18</v>
      </c>
      <c r="AW47">
        <v>480.50799999999998</v>
      </c>
      <c r="AX47">
        <v>0</v>
      </c>
      <c r="AY47">
        <v>0</v>
      </c>
      <c r="AZ47">
        <v>480.50799999999998</v>
      </c>
      <c r="BA47" s="2"/>
      <c r="BB47">
        <v>0.85</v>
      </c>
      <c r="BC47" s="2">
        <v>45936.5</v>
      </c>
      <c r="BD47" s="27">
        <f>MarketPlace_Order_Report__2[[#This Row],[UnitPrice]]*MarketPlace_Order_Report__2[[#This Row],[OrderQty]]</f>
        <v>3150</v>
      </c>
      <c r="BE47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47" s="27">
        <f>MarketPlace_Order_Report__2[[#This Row],[Gross Amount (Before Tax)]]+MarketPlace_Order_Report__2[[#This Row],[Total GST Amount]]</f>
        <v>3630.5079999999998</v>
      </c>
    </row>
    <row r="48" spans="1:58">
      <c r="A48" s="1" t="s">
        <v>1193</v>
      </c>
      <c r="B48" s="1" t="s">
        <v>1194</v>
      </c>
      <c r="C48" s="1" t="s">
        <v>1195</v>
      </c>
      <c r="D48" s="1" t="s">
        <v>1196</v>
      </c>
      <c r="E48">
        <v>4</v>
      </c>
      <c r="F48" s="1" t="s">
        <v>71</v>
      </c>
      <c r="G48">
        <v>1</v>
      </c>
      <c r="H48">
        <v>1</v>
      </c>
      <c r="I48">
        <v>3750</v>
      </c>
      <c r="J48">
        <v>3375</v>
      </c>
      <c r="K48">
        <v>0</v>
      </c>
      <c r="L48">
        <v>3378.77</v>
      </c>
      <c r="M48">
        <v>3.77</v>
      </c>
      <c r="N48" s="1" t="s">
        <v>59</v>
      </c>
      <c r="O48" s="2">
        <v>45933.962627314817</v>
      </c>
      <c r="P48" s="2">
        <v>45936.714212962965</v>
      </c>
      <c r="Q48" s="2">
        <v>45938.539861111109</v>
      </c>
      <c r="R48" s="1" t="s">
        <v>1197</v>
      </c>
      <c r="S48" s="1" t="s">
        <v>351</v>
      </c>
      <c r="T48" s="2">
        <v>45934.839085648149</v>
      </c>
      <c r="U48" s="1" t="s">
        <v>61</v>
      </c>
      <c r="V48" s="1" t="s">
        <v>62</v>
      </c>
      <c r="W48" s="1" t="s">
        <v>61</v>
      </c>
      <c r="X48" s="1" t="s">
        <v>61</v>
      </c>
      <c r="Y48" s="1" t="s">
        <v>1198</v>
      </c>
      <c r="Z48" s="1" t="s">
        <v>74</v>
      </c>
      <c r="AA48" s="1" t="s">
        <v>75</v>
      </c>
      <c r="AB48" s="1" t="s">
        <v>61</v>
      </c>
      <c r="AC48" s="1" t="s">
        <v>61</v>
      </c>
      <c r="AD48" s="2">
        <v>45944.861990740741</v>
      </c>
      <c r="AE48" s="1" t="s">
        <v>63</v>
      </c>
      <c r="AF48" s="1" t="s">
        <v>61</v>
      </c>
      <c r="AG48" s="1" t="s">
        <v>408</v>
      </c>
      <c r="AH48" s="1" t="s">
        <v>318</v>
      </c>
      <c r="AI48">
        <v>400086</v>
      </c>
      <c r="AJ48" s="1" t="s">
        <v>66</v>
      </c>
      <c r="AK48" s="1" t="s">
        <v>67</v>
      </c>
      <c r="AL48">
        <v>62042300</v>
      </c>
      <c r="AM48" s="2"/>
      <c r="AN48">
        <v>3375</v>
      </c>
      <c r="AO48" s="1" t="s">
        <v>1199</v>
      </c>
      <c r="AP48" s="1" t="s">
        <v>1105</v>
      </c>
      <c r="AQ48" s="1" t="s">
        <v>61</v>
      </c>
      <c r="AR48" s="1" t="s">
        <v>63</v>
      </c>
      <c r="AS48">
        <v>18</v>
      </c>
      <c r="AT48">
        <v>9</v>
      </c>
      <c r="AU48">
        <v>9</v>
      </c>
      <c r="AV48">
        <v>0</v>
      </c>
      <c r="AW48">
        <v>514.83100000000002</v>
      </c>
      <c r="AX48">
        <v>257.416</v>
      </c>
      <c r="AY48">
        <v>257.416</v>
      </c>
      <c r="AZ48">
        <v>0</v>
      </c>
      <c r="BA48" s="2"/>
      <c r="BB48">
        <v>0.85</v>
      </c>
      <c r="BC48" s="2">
        <v>45936.5</v>
      </c>
      <c r="BD48" s="27">
        <f>MarketPlace_Order_Report__2[[#This Row],[UnitPrice]]*MarketPlace_Order_Report__2[[#This Row],[OrderQty]]</f>
        <v>3375</v>
      </c>
      <c r="BE48" s="27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BF48" s="27">
        <f>MarketPlace_Order_Report__2[[#This Row],[Gross Amount (Before Tax)]]+MarketPlace_Order_Report__2[[#This Row],[Total GST Amount]]</f>
        <v>3889.8319999999999</v>
      </c>
    </row>
    <row r="49" spans="1:58">
      <c r="A49" s="1" t="s">
        <v>1116</v>
      </c>
      <c r="B49" s="1" t="s">
        <v>1117</v>
      </c>
      <c r="C49" s="1" t="s">
        <v>1200</v>
      </c>
      <c r="D49" s="1" t="s">
        <v>1201</v>
      </c>
      <c r="E49">
        <v>1</v>
      </c>
      <c r="F49" s="1" t="s">
        <v>58</v>
      </c>
      <c r="G49">
        <v>1</v>
      </c>
      <c r="H49">
        <v>1</v>
      </c>
      <c r="I49">
        <v>3750</v>
      </c>
      <c r="J49">
        <v>3375</v>
      </c>
      <c r="K49">
        <v>0</v>
      </c>
      <c r="L49">
        <v>3389.3090000000002</v>
      </c>
      <c r="M49">
        <v>14.308999999999999</v>
      </c>
      <c r="N49" s="1" t="s">
        <v>59</v>
      </c>
      <c r="O49" s="2">
        <v>45958.410671296297</v>
      </c>
      <c r="P49" s="2">
        <v>45958.715821759259</v>
      </c>
      <c r="Q49" s="2">
        <v>45961.456782407404</v>
      </c>
      <c r="R49" s="1" t="s">
        <v>1118</v>
      </c>
      <c r="S49" s="1" t="s">
        <v>60</v>
      </c>
      <c r="T49" s="2">
        <v>45958.543124999997</v>
      </c>
      <c r="U49" s="1" t="s">
        <v>61</v>
      </c>
      <c r="V49" s="1" t="s">
        <v>62</v>
      </c>
      <c r="W49" s="1" t="s">
        <v>61</v>
      </c>
      <c r="X49" s="1" t="s">
        <v>61</v>
      </c>
      <c r="Y49" s="1" t="s">
        <v>61</v>
      </c>
      <c r="Z49" s="1" t="s">
        <v>61</v>
      </c>
      <c r="AA49" s="1" t="s">
        <v>61</v>
      </c>
      <c r="AB49" s="1" t="s">
        <v>61</v>
      </c>
      <c r="AC49" s="1" t="s">
        <v>61</v>
      </c>
      <c r="AD49" s="2">
        <v>45961.480266203704</v>
      </c>
      <c r="AE49" s="1" t="s">
        <v>63</v>
      </c>
      <c r="AF49" s="1" t="s">
        <v>61</v>
      </c>
      <c r="AG49" s="1" t="s">
        <v>197</v>
      </c>
      <c r="AH49" s="1" t="s">
        <v>65</v>
      </c>
      <c r="AI49">
        <v>560087</v>
      </c>
      <c r="AJ49" s="1" t="s">
        <v>66</v>
      </c>
      <c r="AK49" s="1" t="s">
        <v>67</v>
      </c>
      <c r="AL49">
        <v>62042300</v>
      </c>
      <c r="AM49" s="2"/>
      <c r="AN49">
        <v>3375</v>
      </c>
      <c r="AO49" s="1" t="s">
        <v>1119</v>
      </c>
      <c r="AP49" s="1" t="s">
        <v>61</v>
      </c>
      <c r="AQ49" s="1" t="s">
        <v>61</v>
      </c>
      <c r="AR49" s="1" t="s">
        <v>63</v>
      </c>
      <c r="AS49">
        <v>18</v>
      </c>
      <c r="AT49">
        <v>0</v>
      </c>
      <c r="AU49">
        <v>0</v>
      </c>
      <c r="AV49">
        <v>18</v>
      </c>
      <c r="AW49">
        <v>514.83100000000002</v>
      </c>
      <c r="AX49">
        <v>0</v>
      </c>
      <c r="AY49">
        <v>0</v>
      </c>
      <c r="AZ49">
        <v>514.83100000000002</v>
      </c>
      <c r="BA49" s="2"/>
      <c r="BB49">
        <v>1.1000000000000001</v>
      </c>
      <c r="BC49" s="2">
        <v>45960.5</v>
      </c>
      <c r="BD49" s="27">
        <f>MarketPlace_Order_Report__2[[#This Row],[UnitPrice]]*MarketPlace_Order_Report__2[[#This Row],[OrderQty]]</f>
        <v>3375</v>
      </c>
      <c r="BE49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49" s="27">
        <f>MarketPlace_Order_Report__2[[#This Row],[Gross Amount (Before Tax)]]+MarketPlace_Order_Report__2[[#This Row],[Total GST Amount]]</f>
        <v>3889.8310000000001</v>
      </c>
    </row>
    <row r="50" spans="1:58">
      <c r="A50" s="1" t="s">
        <v>1125</v>
      </c>
      <c r="B50" s="1" t="s">
        <v>1126</v>
      </c>
      <c r="C50" s="1" t="s">
        <v>1202</v>
      </c>
      <c r="D50" s="1" t="s">
        <v>1203</v>
      </c>
      <c r="E50">
        <v>2</v>
      </c>
      <c r="F50" s="1" t="s">
        <v>71</v>
      </c>
      <c r="G50">
        <v>1</v>
      </c>
      <c r="H50">
        <v>1</v>
      </c>
      <c r="I50">
        <v>3750</v>
      </c>
      <c r="J50">
        <v>3375</v>
      </c>
      <c r="K50">
        <v>0</v>
      </c>
      <c r="L50">
        <v>3399.1779999999999</v>
      </c>
      <c r="M50">
        <v>24.178000000000001</v>
      </c>
      <c r="N50" s="1" t="s">
        <v>72</v>
      </c>
      <c r="O50" s="2">
        <v>45937.45045138889</v>
      </c>
      <c r="P50" s="2">
        <v>45939.734652777777</v>
      </c>
      <c r="Q50" s="2">
        <v>45949.724004629628</v>
      </c>
      <c r="R50" s="1" t="s">
        <v>1127</v>
      </c>
      <c r="S50" s="1" t="s">
        <v>60</v>
      </c>
      <c r="T50" s="2">
        <v>45938.725810185184</v>
      </c>
      <c r="U50" s="1" t="s">
        <v>61</v>
      </c>
      <c r="V50" s="1" t="s">
        <v>62</v>
      </c>
      <c r="W50" s="1" t="s">
        <v>61</v>
      </c>
      <c r="X50" s="1" t="s">
        <v>61</v>
      </c>
      <c r="Y50" s="1" t="s">
        <v>1204</v>
      </c>
      <c r="Z50" s="1" t="s">
        <v>74</v>
      </c>
      <c r="AA50" s="1" t="s">
        <v>695</v>
      </c>
      <c r="AB50" s="1" t="s">
        <v>61</v>
      </c>
      <c r="AC50" s="1" t="s">
        <v>61</v>
      </c>
      <c r="AD50" s="2">
        <v>45957.209224537037</v>
      </c>
      <c r="AE50" s="1" t="s">
        <v>63</v>
      </c>
      <c r="AF50" s="1" t="s">
        <v>61</v>
      </c>
      <c r="AG50" s="1" t="s">
        <v>1129</v>
      </c>
      <c r="AH50" s="1" t="s">
        <v>77</v>
      </c>
      <c r="AI50">
        <v>242001</v>
      </c>
      <c r="AJ50" s="1" t="s">
        <v>66</v>
      </c>
      <c r="AK50" s="1" t="s">
        <v>67</v>
      </c>
      <c r="AL50">
        <v>62042300</v>
      </c>
      <c r="AM50" s="2"/>
      <c r="AN50">
        <v>3375</v>
      </c>
      <c r="AO50" s="1" t="s">
        <v>1130</v>
      </c>
      <c r="AP50" s="1" t="s">
        <v>61</v>
      </c>
      <c r="AQ50" s="1" t="s">
        <v>61</v>
      </c>
      <c r="AR50" s="1" t="s">
        <v>63</v>
      </c>
      <c r="AS50">
        <v>18</v>
      </c>
      <c r="AT50">
        <v>0</v>
      </c>
      <c r="AU50">
        <v>0</v>
      </c>
      <c r="AV50">
        <v>18</v>
      </c>
      <c r="AW50">
        <v>514.83100000000002</v>
      </c>
      <c r="AX50">
        <v>0</v>
      </c>
      <c r="AY50">
        <v>0</v>
      </c>
      <c r="AZ50">
        <v>514.83100000000002</v>
      </c>
      <c r="BA50" s="2"/>
      <c r="BB50">
        <v>1.1000000000000001</v>
      </c>
      <c r="BC50" s="2">
        <v>45939.5</v>
      </c>
      <c r="BD50" s="27">
        <f>MarketPlace_Order_Report__2[[#This Row],[UnitPrice]]*MarketPlace_Order_Report__2[[#This Row],[OrderQty]]</f>
        <v>3375</v>
      </c>
      <c r="BE50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50" s="27">
        <f>MarketPlace_Order_Report__2[[#This Row],[Gross Amount (Before Tax)]]+MarketPlace_Order_Report__2[[#This Row],[Total GST Amount]]</f>
        <v>3889.8310000000001</v>
      </c>
    </row>
    <row r="51" spans="1:58">
      <c r="A51" s="1" t="s">
        <v>1205</v>
      </c>
      <c r="B51" s="1" t="s">
        <v>1206</v>
      </c>
      <c r="C51" s="1" t="s">
        <v>1202</v>
      </c>
      <c r="D51" s="1" t="s">
        <v>1203</v>
      </c>
      <c r="E51">
        <v>1</v>
      </c>
      <c r="F51" s="1" t="s">
        <v>187</v>
      </c>
      <c r="G51">
        <v>1</v>
      </c>
      <c r="H51">
        <v>0</v>
      </c>
      <c r="I51">
        <v>3750</v>
      </c>
      <c r="J51">
        <v>3375</v>
      </c>
      <c r="K51">
        <v>0</v>
      </c>
      <c r="L51">
        <v>3424</v>
      </c>
      <c r="M51">
        <v>49</v>
      </c>
      <c r="N51" s="1" t="s">
        <v>72</v>
      </c>
      <c r="O51" s="2">
        <v>45935.66920138889</v>
      </c>
      <c r="P51" s="2"/>
      <c r="Q51" s="2"/>
      <c r="R51" s="1" t="s">
        <v>61</v>
      </c>
      <c r="S51" s="1" t="s">
        <v>60</v>
      </c>
      <c r="T51" s="2"/>
      <c r="U51" s="1" t="s">
        <v>1133</v>
      </c>
      <c r="V51" s="1" t="s">
        <v>62</v>
      </c>
      <c r="W51" s="1" t="s">
        <v>1134</v>
      </c>
      <c r="X51" s="1" t="s">
        <v>61</v>
      </c>
      <c r="Y51" s="1" t="s">
        <v>61</v>
      </c>
      <c r="Z51" s="1" t="s">
        <v>61</v>
      </c>
      <c r="AA51" s="1" t="s">
        <v>61</v>
      </c>
      <c r="AB51" s="1" t="s">
        <v>61</v>
      </c>
      <c r="AC51" s="1" t="s">
        <v>61</v>
      </c>
      <c r="AD51" s="2">
        <v>45936.479756944442</v>
      </c>
      <c r="AE51" s="1" t="s">
        <v>63</v>
      </c>
      <c r="AF51" s="1" t="s">
        <v>61</v>
      </c>
      <c r="AG51" s="1" t="s">
        <v>1129</v>
      </c>
      <c r="AH51" s="1" t="s">
        <v>77</v>
      </c>
      <c r="AI51">
        <v>242001</v>
      </c>
      <c r="AJ51" s="1" t="s">
        <v>66</v>
      </c>
      <c r="AK51" s="1" t="s">
        <v>67</v>
      </c>
      <c r="AL51">
        <v>62042300</v>
      </c>
      <c r="AM51" s="2">
        <v>45936.479756944442</v>
      </c>
      <c r="AN51">
        <v>3375</v>
      </c>
      <c r="AO51" s="1" t="s">
        <v>61</v>
      </c>
      <c r="AP51" s="1" t="s">
        <v>61</v>
      </c>
      <c r="AQ51" s="1" t="s">
        <v>832</v>
      </c>
      <c r="AR51" s="1" t="s">
        <v>833</v>
      </c>
      <c r="AS51">
        <v>18</v>
      </c>
      <c r="AT51">
        <v>0</v>
      </c>
      <c r="AU51">
        <v>0</v>
      </c>
      <c r="AV51">
        <v>18</v>
      </c>
      <c r="AW51">
        <v>514.83100000000002</v>
      </c>
      <c r="AX51">
        <v>0</v>
      </c>
      <c r="AY51">
        <v>0</v>
      </c>
      <c r="AZ51">
        <v>514.83100000000002</v>
      </c>
      <c r="BA51" s="2"/>
      <c r="BC51" s="2">
        <v>45938.5</v>
      </c>
      <c r="BD51" s="27">
        <f>MarketPlace_Order_Report__2[[#This Row],[UnitPrice]]*MarketPlace_Order_Report__2[[#This Row],[OrderQty]]</f>
        <v>3375</v>
      </c>
      <c r="BE51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51" s="27">
        <f>MarketPlace_Order_Report__2[[#This Row],[Gross Amount (Before Tax)]]+MarketPlace_Order_Report__2[[#This Row],[Total GST Amount]]</f>
        <v>3889.8310000000001</v>
      </c>
    </row>
    <row r="52" spans="1:58">
      <c r="A52" s="1" t="s">
        <v>1207</v>
      </c>
      <c r="B52" s="1" t="s">
        <v>1208</v>
      </c>
      <c r="C52" s="1" t="s">
        <v>1209</v>
      </c>
      <c r="D52" s="1" t="s">
        <v>1210</v>
      </c>
      <c r="E52">
        <v>1</v>
      </c>
      <c r="F52" s="1" t="s">
        <v>58</v>
      </c>
      <c r="G52">
        <v>1</v>
      </c>
      <c r="H52">
        <v>1</v>
      </c>
      <c r="I52">
        <v>3500</v>
      </c>
      <c r="J52">
        <v>3150</v>
      </c>
      <c r="K52">
        <v>0</v>
      </c>
      <c r="L52">
        <v>3179</v>
      </c>
      <c r="M52">
        <v>29</v>
      </c>
      <c r="N52" s="1" t="s">
        <v>59</v>
      </c>
      <c r="O52" s="2">
        <v>45932.495520833334</v>
      </c>
      <c r="P52" s="2">
        <v>45933.728113425925</v>
      </c>
      <c r="Q52" s="2">
        <v>45935.641365740739</v>
      </c>
      <c r="R52" s="1" t="s">
        <v>1211</v>
      </c>
      <c r="S52" s="1" t="s">
        <v>60</v>
      </c>
      <c r="T52" s="2">
        <v>45933.535081018519</v>
      </c>
      <c r="U52" s="1" t="s">
        <v>61</v>
      </c>
      <c r="V52" s="1" t="s">
        <v>62</v>
      </c>
      <c r="W52" s="1" t="s">
        <v>61</v>
      </c>
      <c r="X52" s="1" t="s">
        <v>61</v>
      </c>
      <c r="Y52" s="1" t="s">
        <v>61</v>
      </c>
      <c r="Z52" s="1" t="s">
        <v>61</v>
      </c>
      <c r="AA52" s="1" t="s">
        <v>61</v>
      </c>
      <c r="AB52" s="1" t="s">
        <v>61</v>
      </c>
      <c r="AC52" s="1" t="s">
        <v>61</v>
      </c>
      <c r="AD52" s="2">
        <v>45935.643275462964</v>
      </c>
      <c r="AE52" s="1" t="s">
        <v>63</v>
      </c>
      <c r="AF52" s="1" t="s">
        <v>61</v>
      </c>
      <c r="AG52" s="1" t="s">
        <v>136</v>
      </c>
      <c r="AH52" s="1" t="s">
        <v>77</v>
      </c>
      <c r="AI52">
        <v>201308</v>
      </c>
      <c r="AJ52" s="1" t="s">
        <v>66</v>
      </c>
      <c r="AK52" s="1" t="s">
        <v>67</v>
      </c>
      <c r="AL52">
        <v>62042300</v>
      </c>
      <c r="AM52" s="2"/>
      <c r="AN52">
        <v>3150</v>
      </c>
      <c r="AO52" s="1" t="s">
        <v>1212</v>
      </c>
      <c r="AP52" s="1" t="s">
        <v>61</v>
      </c>
      <c r="AQ52" s="1" t="s">
        <v>61</v>
      </c>
      <c r="AR52" s="1" t="s">
        <v>63</v>
      </c>
      <c r="AS52">
        <v>18</v>
      </c>
      <c r="AT52">
        <v>0</v>
      </c>
      <c r="AU52">
        <v>0</v>
      </c>
      <c r="AV52">
        <v>18</v>
      </c>
      <c r="AW52">
        <v>480.50799999999998</v>
      </c>
      <c r="AX52">
        <v>0</v>
      </c>
      <c r="AY52">
        <v>0</v>
      </c>
      <c r="AZ52">
        <v>480.50799999999998</v>
      </c>
      <c r="BA52" s="2"/>
      <c r="BB52">
        <v>0.85</v>
      </c>
      <c r="BC52" s="2">
        <v>45934.5</v>
      </c>
      <c r="BD52" s="27">
        <f>MarketPlace_Order_Report__2[[#This Row],[UnitPrice]]*MarketPlace_Order_Report__2[[#This Row],[OrderQty]]</f>
        <v>3150</v>
      </c>
      <c r="BE52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52" s="27">
        <f>MarketPlace_Order_Report__2[[#This Row],[Gross Amount (Before Tax)]]+MarketPlace_Order_Report__2[[#This Row],[Total GST Amount]]</f>
        <v>3630.5079999999998</v>
      </c>
    </row>
    <row r="53" spans="1:58">
      <c r="A53" s="1" t="s">
        <v>1213</v>
      </c>
      <c r="B53" s="1" t="s">
        <v>1214</v>
      </c>
      <c r="C53" s="1" t="s">
        <v>1215</v>
      </c>
      <c r="D53" s="1" t="s">
        <v>1216</v>
      </c>
      <c r="E53">
        <v>1</v>
      </c>
      <c r="F53" s="1" t="s">
        <v>71</v>
      </c>
      <c r="G53">
        <v>1</v>
      </c>
      <c r="H53">
        <v>1</v>
      </c>
      <c r="I53">
        <v>3500</v>
      </c>
      <c r="J53">
        <v>3150</v>
      </c>
      <c r="K53">
        <v>0</v>
      </c>
      <c r="L53">
        <v>3170</v>
      </c>
      <c r="M53">
        <v>20</v>
      </c>
      <c r="N53" s="1" t="s">
        <v>72</v>
      </c>
      <c r="O53" s="2">
        <v>45942.420752314814</v>
      </c>
      <c r="P53" s="2">
        <v>45943.761400462965</v>
      </c>
      <c r="Q53" s="2">
        <v>45947.541342592594</v>
      </c>
      <c r="R53" s="1" t="s">
        <v>1217</v>
      </c>
      <c r="S53" s="1" t="s">
        <v>60</v>
      </c>
      <c r="T53" s="2">
        <v>45942.661412037036</v>
      </c>
      <c r="U53" s="1" t="s">
        <v>61</v>
      </c>
      <c r="V53" s="1" t="s">
        <v>62</v>
      </c>
      <c r="W53" s="1" t="s">
        <v>61</v>
      </c>
      <c r="X53" s="1" t="s">
        <v>61</v>
      </c>
      <c r="Y53" s="1" t="s">
        <v>1218</v>
      </c>
      <c r="Z53" s="1" t="s">
        <v>74</v>
      </c>
      <c r="AA53" s="1" t="s">
        <v>695</v>
      </c>
      <c r="AB53" s="1" t="s">
        <v>61</v>
      </c>
      <c r="AC53" s="1" t="s">
        <v>61</v>
      </c>
      <c r="AD53" s="2">
        <v>45958.296076388891</v>
      </c>
      <c r="AE53" s="1" t="s">
        <v>63</v>
      </c>
      <c r="AF53" s="1" t="s">
        <v>61</v>
      </c>
      <c r="AG53" s="1" t="s">
        <v>94</v>
      </c>
      <c r="AH53" s="1" t="s">
        <v>77</v>
      </c>
      <c r="AI53">
        <v>208011</v>
      </c>
      <c r="AJ53" s="1" t="s">
        <v>66</v>
      </c>
      <c r="AK53" s="1" t="s">
        <v>67</v>
      </c>
      <c r="AL53">
        <v>62044220</v>
      </c>
      <c r="AM53" s="2"/>
      <c r="AN53">
        <v>3150</v>
      </c>
      <c r="AO53" s="1" t="s">
        <v>1219</v>
      </c>
      <c r="AP53" s="1" t="s">
        <v>61</v>
      </c>
      <c r="AQ53" s="1" t="s">
        <v>61</v>
      </c>
      <c r="AR53" s="1" t="s">
        <v>63</v>
      </c>
      <c r="AS53">
        <v>18</v>
      </c>
      <c r="AT53">
        <v>0</v>
      </c>
      <c r="AU53">
        <v>0</v>
      </c>
      <c r="AV53">
        <v>18</v>
      </c>
      <c r="AW53">
        <v>480.50799999999998</v>
      </c>
      <c r="AX53">
        <v>0</v>
      </c>
      <c r="AY53">
        <v>0</v>
      </c>
      <c r="AZ53">
        <v>480.50799999999998</v>
      </c>
      <c r="BA53" s="2"/>
      <c r="BB53">
        <v>0.75</v>
      </c>
      <c r="BC53" s="2">
        <v>45944.5</v>
      </c>
      <c r="BD53" s="27">
        <f>MarketPlace_Order_Report__2[[#This Row],[UnitPrice]]*MarketPlace_Order_Report__2[[#This Row],[OrderQty]]</f>
        <v>3150</v>
      </c>
      <c r="BE53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53" s="27">
        <f>MarketPlace_Order_Report__2[[#This Row],[Gross Amount (Before Tax)]]+MarketPlace_Order_Report__2[[#This Row],[Total GST Amount]]</f>
        <v>3630.5079999999998</v>
      </c>
    </row>
    <row r="54" spans="1:58">
      <c r="A54" s="1" t="s">
        <v>1220</v>
      </c>
      <c r="B54" s="1" t="s">
        <v>1221</v>
      </c>
      <c r="C54" s="1" t="s">
        <v>1222</v>
      </c>
      <c r="D54" s="1" t="s">
        <v>1223</v>
      </c>
      <c r="E54">
        <v>8</v>
      </c>
      <c r="F54" s="1" t="s">
        <v>71</v>
      </c>
      <c r="G54">
        <v>1</v>
      </c>
      <c r="H54">
        <v>1</v>
      </c>
      <c r="I54">
        <v>1750</v>
      </c>
      <c r="J54">
        <v>1400</v>
      </c>
      <c r="K54">
        <v>0</v>
      </c>
      <c r="L54">
        <v>1415.26</v>
      </c>
      <c r="M54">
        <v>15.26</v>
      </c>
      <c r="N54" s="1" t="s">
        <v>59</v>
      </c>
      <c r="O54" s="2">
        <v>45932.598564814813</v>
      </c>
      <c r="P54" s="2">
        <v>45934.721134259256</v>
      </c>
      <c r="Q54" s="2">
        <v>45935.919907407406</v>
      </c>
      <c r="R54" s="1" t="s">
        <v>1224</v>
      </c>
      <c r="S54" s="1" t="s">
        <v>351</v>
      </c>
      <c r="T54" s="2">
        <v>45933.815833333334</v>
      </c>
      <c r="U54" s="1" t="s">
        <v>61</v>
      </c>
      <c r="V54" s="1" t="s">
        <v>62</v>
      </c>
      <c r="W54" s="1" t="s">
        <v>61</v>
      </c>
      <c r="X54" s="1" t="s">
        <v>61</v>
      </c>
      <c r="Y54" s="1" t="s">
        <v>1225</v>
      </c>
      <c r="Z54" s="1" t="s">
        <v>74</v>
      </c>
      <c r="AA54" s="1" t="s">
        <v>75</v>
      </c>
      <c r="AB54" s="1" t="s">
        <v>61</v>
      </c>
      <c r="AC54" s="1" t="s">
        <v>61</v>
      </c>
      <c r="AD54" s="2">
        <v>45945.723229166666</v>
      </c>
      <c r="AE54" s="1" t="s">
        <v>63</v>
      </c>
      <c r="AF54" s="1" t="s">
        <v>61</v>
      </c>
      <c r="AG54" s="1" t="s">
        <v>1039</v>
      </c>
      <c r="AH54" s="1" t="s">
        <v>318</v>
      </c>
      <c r="AI54">
        <v>400608</v>
      </c>
      <c r="AJ54" s="1" t="s">
        <v>66</v>
      </c>
      <c r="AK54" s="1" t="s">
        <v>67</v>
      </c>
      <c r="AL54">
        <v>62044220</v>
      </c>
      <c r="AM54" s="2"/>
      <c r="AN54">
        <v>1400</v>
      </c>
      <c r="AO54" s="1" t="s">
        <v>1226</v>
      </c>
      <c r="AP54" s="1" t="s">
        <v>137</v>
      </c>
      <c r="AQ54" s="1" t="s">
        <v>61</v>
      </c>
      <c r="AR54" s="1" t="s">
        <v>63</v>
      </c>
      <c r="AS54">
        <v>5</v>
      </c>
      <c r="AT54">
        <v>2.5</v>
      </c>
      <c r="AU54">
        <v>2.5</v>
      </c>
      <c r="AV54">
        <v>0</v>
      </c>
      <c r="AW54">
        <v>66.667000000000002</v>
      </c>
      <c r="AX54">
        <v>33.334000000000003</v>
      </c>
      <c r="AY54">
        <v>33.334000000000003</v>
      </c>
      <c r="AZ54">
        <v>0</v>
      </c>
      <c r="BA54" s="2"/>
      <c r="BB54">
        <v>0.75</v>
      </c>
      <c r="BC54" s="2">
        <v>45935.5</v>
      </c>
      <c r="BD54" s="27">
        <f>MarketPlace_Order_Report__2[[#This Row],[UnitPrice]]*MarketPlace_Order_Report__2[[#This Row],[OrderQty]]</f>
        <v>1400</v>
      </c>
      <c r="BE54" s="27">
        <f>IFERROR(MarketPlace_Order_Report__2[[#This Row],[CGSTAmount]]+MarketPlace_Order_Report__2[[#This Row],[SGSTAmount]]+MarketPlace_Order_Report__2[[#This Row],[IGSTAmount]],MarketPlace_Order_Report__2[[#This Row],[TaxAmount]])</f>
        <v>66.668000000000006</v>
      </c>
      <c r="BF54" s="27">
        <f>MarketPlace_Order_Report__2[[#This Row],[Gross Amount (Before Tax)]]+MarketPlace_Order_Report__2[[#This Row],[Total GST Amount]]</f>
        <v>1466.6680000000001</v>
      </c>
    </row>
    <row r="55" spans="1:58">
      <c r="A55" s="1" t="s">
        <v>1227</v>
      </c>
      <c r="B55" s="1" t="s">
        <v>1228</v>
      </c>
      <c r="C55" s="1" t="s">
        <v>278</v>
      </c>
      <c r="D55" s="1" t="s">
        <v>279</v>
      </c>
      <c r="E55">
        <v>4</v>
      </c>
      <c r="F55" s="1" t="s">
        <v>71</v>
      </c>
      <c r="G55">
        <v>1</v>
      </c>
      <c r="H55">
        <v>1</v>
      </c>
      <c r="I55">
        <v>4500</v>
      </c>
      <c r="J55">
        <v>4050</v>
      </c>
      <c r="K55">
        <v>0</v>
      </c>
      <c r="L55">
        <v>4060.85</v>
      </c>
      <c r="M55">
        <v>10.85</v>
      </c>
      <c r="N55" s="1" t="s">
        <v>59</v>
      </c>
      <c r="O55" s="2">
        <v>45937.629710648151</v>
      </c>
      <c r="P55" s="2">
        <v>45938.718275462961</v>
      </c>
      <c r="Q55" s="2">
        <v>45941.493703703702</v>
      </c>
      <c r="R55" s="1" t="s">
        <v>1229</v>
      </c>
      <c r="S55" s="1" t="s">
        <v>60</v>
      </c>
      <c r="T55" s="2">
        <v>45937.716180555559</v>
      </c>
      <c r="U55" s="1" t="s">
        <v>61</v>
      </c>
      <c r="V55" s="1" t="s">
        <v>62</v>
      </c>
      <c r="W55" s="1" t="s">
        <v>61</v>
      </c>
      <c r="X55" s="1" t="s">
        <v>61</v>
      </c>
      <c r="Y55" s="1" t="s">
        <v>1230</v>
      </c>
      <c r="Z55" s="1" t="s">
        <v>74</v>
      </c>
      <c r="AA55" s="1" t="s">
        <v>75</v>
      </c>
      <c r="AB55" s="1" t="s">
        <v>61</v>
      </c>
      <c r="AC55" s="1" t="s">
        <v>61</v>
      </c>
      <c r="AD55" s="2">
        <v>45954.629421296297</v>
      </c>
      <c r="AE55" s="1" t="s">
        <v>63</v>
      </c>
      <c r="AF55" s="1" t="s">
        <v>61</v>
      </c>
      <c r="AG55" s="1" t="s">
        <v>98</v>
      </c>
      <c r="AH55" s="1" t="s">
        <v>99</v>
      </c>
      <c r="AI55">
        <v>122004</v>
      </c>
      <c r="AJ55" s="1" t="s">
        <v>66</v>
      </c>
      <c r="AK55" s="1" t="s">
        <v>67</v>
      </c>
      <c r="AL55">
        <v>62042300</v>
      </c>
      <c r="AM55" s="2"/>
      <c r="AN55">
        <v>4050</v>
      </c>
      <c r="AO55" s="1" t="s">
        <v>1231</v>
      </c>
      <c r="AP55" s="1" t="s">
        <v>310</v>
      </c>
      <c r="AQ55" s="1" t="s">
        <v>61</v>
      </c>
      <c r="AR55" s="1" t="s">
        <v>63</v>
      </c>
      <c r="AS55">
        <v>18</v>
      </c>
      <c r="AT55">
        <v>0</v>
      </c>
      <c r="AU55">
        <v>0</v>
      </c>
      <c r="AV55">
        <v>18</v>
      </c>
      <c r="AW55">
        <v>617.79700000000003</v>
      </c>
      <c r="AX55">
        <v>0</v>
      </c>
      <c r="AY55">
        <v>0</v>
      </c>
      <c r="AZ55">
        <v>617.79700000000003</v>
      </c>
      <c r="BA55" s="2"/>
      <c r="BB55">
        <v>0.85</v>
      </c>
      <c r="BC55" s="2">
        <v>45940.5</v>
      </c>
      <c r="BD55" s="27">
        <f>MarketPlace_Order_Report__2[[#This Row],[UnitPrice]]*MarketPlace_Order_Report__2[[#This Row],[OrderQty]]</f>
        <v>4050</v>
      </c>
      <c r="BE55" s="27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55" s="27">
        <f>MarketPlace_Order_Report__2[[#This Row],[Gross Amount (Before Tax)]]+MarketPlace_Order_Report__2[[#This Row],[Total GST Amount]]</f>
        <v>4667.7970000000005</v>
      </c>
    </row>
    <row r="56" spans="1:58">
      <c r="A56" s="1" t="s">
        <v>1232</v>
      </c>
      <c r="B56" s="1" t="s">
        <v>1233</v>
      </c>
      <c r="C56" s="1" t="s">
        <v>1234</v>
      </c>
      <c r="D56" s="1" t="s">
        <v>1235</v>
      </c>
      <c r="E56">
        <v>1</v>
      </c>
      <c r="F56" s="1" t="s">
        <v>58</v>
      </c>
      <c r="G56">
        <v>1</v>
      </c>
      <c r="H56">
        <v>1</v>
      </c>
      <c r="I56">
        <v>4500</v>
      </c>
      <c r="J56">
        <v>4050</v>
      </c>
      <c r="K56">
        <v>0</v>
      </c>
      <c r="L56">
        <v>4099</v>
      </c>
      <c r="M56">
        <v>49</v>
      </c>
      <c r="N56" s="1" t="s">
        <v>72</v>
      </c>
      <c r="O56" s="2">
        <v>45937.412164351852</v>
      </c>
      <c r="P56" s="2">
        <v>45938.718599537038</v>
      </c>
      <c r="Q56" s="2">
        <v>45948.630856481483</v>
      </c>
      <c r="R56" s="1" t="s">
        <v>1236</v>
      </c>
      <c r="S56" s="1" t="s">
        <v>60</v>
      </c>
      <c r="T56" s="2">
        <v>45937.716180555559</v>
      </c>
      <c r="U56" s="1" t="s">
        <v>61</v>
      </c>
      <c r="V56" s="1" t="s">
        <v>62</v>
      </c>
      <c r="W56" s="1" t="s">
        <v>61</v>
      </c>
      <c r="X56" s="1" t="s">
        <v>61</v>
      </c>
      <c r="Y56" s="1" t="s">
        <v>61</v>
      </c>
      <c r="Z56" s="1" t="s">
        <v>61</v>
      </c>
      <c r="AA56" s="1" t="s">
        <v>61</v>
      </c>
      <c r="AB56" s="1" t="s">
        <v>61</v>
      </c>
      <c r="AC56" s="1" t="s">
        <v>61</v>
      </c>
      <c r="AD56" s="2">
        <v>45948.636342592596</v>
      </c>
      <c r="AE56" s="1" t="s">
        <v>63</v>
      </c>
      <c r="AF56" s="1" t="s">
        <v>61</v>
      </c>
      <c r="AG56" s="1" t="s">
        <v>1129</v>
      </c>
      <c r="AH56" s="1" t="s">
        <v>77</v>
      </c>
      <c r="AI56">
        <v>242001</v>
      </c>
      <c r="AJ56" s="1" t="s">
        <v>66</v>
      </c>
      <c r="AK56" s="1" t="s">
        <v>67</v>
      </c>
      <c r="AL56">
        <v>62042300</v>
      </c>
      <c r="AM56" s="2"/>
      <c r="AN56">
        <v>4050</v>
      </c>
      <c r="AO56" s="1" t="s">
        <v>1237</v>
      </c>
      <c r="AP56" s="1" t="s">
        <v>61</v>
      </c>
      <c r="AQ56" s="1" t="s">
        <v>61</v>
      </c>
      <c r="AR56" s="1" t="s">
        <v>63</v>
      </c>
      <c r="AS56">
        <v>18</v>
      </c>
      <c r="AT56">
        <v>0</v>
      </c>
      <c r="AU56">
        <v>0</v>
      </c>
      <c r="AV56">
        <v>18</v>
      </c>
      <c r="AW56">
        <v>617.79700000000003</v>
      </c>
      <c r="AX56">
        <v>0</v>
      </c>
      <c r="AY56">
        <v>0</v>
      </c>
      <c r="AZ56">
        <v>617.79700000000003</v>
      </c>
      <c r="BA56" s="2"/>
      <c r="BB56">
        <v>0.85</v>
      </c>
      <c r="BC56" s="2">
        <v>45939.5</v>
      </c>
      <c r="BD56" s="27">
        <f>MarketPlace_Order_Report__2[[#This Row],[UnitPrice]]*MarketPlace_Order_Report__2[[#This Row],[OrderQty]]</f>
        <v>4050</v>
      </c>
      <c r="BE56" s="27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56" s="27">
        <f>MarketPlace_Order_Report__2[[#This Row],[Gross Amount (Before Tax)]]+MarketPlace_Order_Report__2[[#This Row],[Total GST Amount]]</f>
        <v>4667.7970000000005</v>
      </c>
    </row>
    <row r="57" spans="1:58">
      <c r="A57" s="1" t="s">
        <v>1238</v>
      </c>
      <c r="B57" s="1" t="s">
        <v>1239</v>
      </c>
      <c r="C57" s="1" t="s">
        <v>1234</v>
      </c>
      <c r="D57" s="1" t="s">
        <v>1235</v>
      </c>
      <c r="E57">
        <v>1</v>
      </c>
      <c r="F57" s="1" t="s">
        <v>187</v>
      </c>
      <c r="G57">
        <v>1</v>
      </c>
      <c r="H57">
        <v>0</v>
      </c>
      <c r="I57">
        <v>4500</v>
      </c>
      <c r="J57">
        <v>4050</v>
      </c>
      <c r="K57">
        <v>0</v>
      </c>
      <c r="L57">
        <v>4099</v>
      </c>
      <c r="M57">
        <v>49</v>
      </c>
      <c r="N57" s="1" t="s">
        <v>72</v>
      </c>
      <c r="O57" s="2">
        <v>45935.815983796296</v>
      </c>
      <c r="P57" s="2"/>
      <c r="Q57" s="2"/>
      <c r="R57" s="1" t="s">
        <v>61</v>
      </c>
      <c r="S57" s="1" t="s">
        <v>60</v>
      </c>
      <c r="T57" s="2"/>
      <c r="U57" s="1" t="s">
        <v>1133</v>
      </c>
      <c r="V57" s="1" t="s">
        <v>62</v>
      </c>
      <c r="W57" s="1" t="s">
        <v>1134</v>
      </c>
      <c r="X57" s="1" t="s">
        <v>61</v>
      </c>
      <c r="Y57" s="1" t="s">
        <v>61</v>
      </c>
      <c r="Z57" s="1" t="s">
        <v>61</v>
      </c>
      <c r="AA57" s="1" t="s">
        <v>61</v>
      </c>
      <c r="AB57" s="1" t="s">
        <v>61</v>
      </c>
      <c r="AC57" s="1" t="s">
        <v>61</v>
      </c>
      <c r="AD57" s="2">
        <v>45936.479780092595</v>
      </c>
      <c r="AE57" s="1" t="s">
        <v>63</v>
      </c>
      <c r="AF57" s="1" t="s">
        <v>61</v>
      </c>
      <c r="AG57" s="1" t="s">
        <v>1129</v>
      </c>
      <c r="AH57" s="1" t="s">
        <v>77</v>
      </c>
      <c r="AI57">
        <v>242001</v>
      </c>
      <c r="AJ57" s="1" t="s">
        <v>66</v>
      </c>
      <c r="AK57" s="1" t="s">
        <v>67</v>
      </c>
      <c r="AL57">
        <v>62042300</v>
      </c>
      <c r="AM57" s="2">
        <v>45936.479780092595</v>
      </c>
      <c r="AN57">
        <v>4050</v>
      </c>
      <c r="AO57" s="1" t="s">
        <v>61</v>
      </c>
      <c r="AP57" s="1" t="s">
        <v>1240</v>
      </c>
      <c r="AQ57" s="1" t="s">
        <v>832</v>
      </c>
      <c r="AR57" s="1" t="s">
        <v>833</v>
      </c>
      <c r="AS57">
        <v>18</v>
      </c>
      <c r="AT57">
        <v>0</v>
      </c>
      <c r="AU57">
        <v>0</v>
      </c>
      <c r="AV57">
        <v>18</v>
      </c>
      <c r="AW57">
        <v>617.79700000000003</v>
      </c>
      <c r="AX57">
        <v>0</v>
      </c>
      <c r="AY57">
        <v>0</v>
      </c>
      <c r="AZ57">
        <v>617.79700000000003</v>
      </c>
      <c r="BA57" s="2"/>
      <c r="BC57" s="2">
        <v>45938.5</v>
      </c>
      <c r="BD57" s="27">
        <f>MarketPlace_Order_Report__2[[#This Row],[UnitPrice]]*MarketPlace_Order_Report__2[[#This Row],[OrderQty]]</f>
        <v>4050</v>
      </c>
      <c r="BE57" s="27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57" s="27">
        <f>MarketPlace_Order_Report__2[[#This Row],[Gross Amount (Before Tax)]]+MarketPlace_Order_Report__2[[#This Row],[Total GST Amount]]</f>
        <v>4667.7970000000005</v>
      </c>
    </row>
    <row r="58" spans="1:58">
      <c r="A58" s="1" t="s">
        <v>1241</v>
      </c>
      <c r="B58" s="1" t="s">
        <v>1242</v>
      </c>
      <c r="C58" s="1" t="s">
        <v>1243</v>
      </c>
      <c r="D58" s="1" t="s">
        <v>1244</v>
      </c>
      <c r="E58">
        <v>1</v>
      </c>
      <c r="F58" s="1" t="s">
        <v>58</v>
      </c>
      <c r="G58">
        <v>1</v>
      </c>
      <c r="H58">
        <v>1</v>
      </c>
      <c r="I58">
        <v>4500</v>
      </c>
      <c r="J58">
        <v>4050</v>
      </c>
      <c r="K58">
        <v>0</v>
      </c>
      <c r="L58">
        <v>4099</v>
      </c>
      <c r="M58">
        <v>49</v>
      </c>
      <c r="N58" s="1" t="s">
        <v>72</v>
      </c>
      <c r="O58" s="2">
        <v>45938.437106481484</v>
      </c>
      <c r="P58" s="2">
        <v>45939.734791666669</v>
      </c>
      <c r="Q58" s="2">
        <v>45943.525370370371</v>
      </c>
      <c r="R58" s="1" t="s">
        <v>1245</v>
      </c>
      <c r="S58" s="1" t="s">
        <v>60</v>
      </c>
      <c r="T58" s="2">
        <v>45938.725821759261</v>
      </c>
      <c r="U58" s="1" t="s">
        <v>61</v>
      </c>
      <c r="V58" s="1" t="s">
        <v>62</v>
      </c>
      <c r="W58" s="1" t="s">
        <v>61</v>
      </c>
      <c r="X58" s="1" t="s">
        <v>61</v>
      </c>
      <c r="Y58" s="1" t="s">
        <v>61</v>
      </c>
      <c r="Z58" s="1" t="s">
        <v>61</v>
      </c>
      <c r="AA58" s="1" t="s">
        <v>61</v>
      </c>
      <c r="AB58" s="1" t="s">
        <v>61</v>
      </c>
      <c r="AC58" s="1" t="s">
        <v>61</v>
      </c>
      <c r="AD58" s="2">
        <v>45943.528622685182</v>
      </c>
      <c r="AE58" s="1" t="s">
        <v>63</v>
      </c>
      <c r="AF58" s="1" t="s">
        <v>61</v>
      </c>
      <c r="AG58" s="1" t="s">
        <v>76</v>
      </c>
      <c r="AH58" s="1" t="s">
        <v>77</v>
      </c>
      <c r="AI58">
        <v>201005</v>
      </c>
      <c r="AJ58" s="1" t="s">
        <v>66</v>
      </c>
      <c r="AK58" s="1" t="s">
        <v>67</v>
      </c>
      <c r="AL58">
        <v>62042300</v>
      </c>
      <c r="AM58" s="2"/>
      <c r="AN58">
        <v>4050</v>
      </c>
      <c r="AO58" s="1" t="s">
        <v>1246</v>
      </c>
      <c r="AP58" s="1" t="s">
        <v>61</v>
      </c>
      <c r="AQ58" s="1" t="s">
        <v>61</v>
      </c>
      <c r="AR58" s="1" t="s">
        <v>63</v>
      </c>
      <c r="AS58">
        <v>18</v>
      </c>
      <c r="AT58">
        <v>0</v>
      </c>
      <c r="AU58">
        <v>0</v>
      </c>
      <c r="AV58">
        <v>18</v>
      </c>
      <c r="AW58">
        <v>617.79700000000003</v>
      </c>
      <c r="AX58">
        <v>0</v>
      </c>
      <c r="AY58">
        <v>0</v>
      </c>
      <c r="AZ58">
        <v>617.79700000000003</v>
      </c>
      <c r="BA58" s="2"/>
      <c r="BB58">
        <v>0.85</v>
      </c>
      <c r="BC58" s="2">
        <v>45940.5</v>
      </c>
      <c r="BD58" s="27">
        <f>MarketPlace_Order_Report__2[[#This Row],[UnitPrice]]*MarketPlace_Order_Report__2[[#This Row],[OrderQty]]</f>
        <v>4050</v>
      </c>
      <c r="BE58" s="27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58" s="27">
        <f>MarketPlace_Order_Report__2[[#This Row],[Gross Amount (Before Tax)]]+MarketPlace_Order_Report__2[[#This Row],[Total GST Amount]]</f>
        <v>4667.7970000000005</v>
      </c>
    </row>
    <row r="59" spans="1:58">
      <c r="A59" s="1" t="s">
        <v>1247</v>
      </c>
      <c r="B59" s="1" t="s">
        <v>1248</v>
      </c>
      <c r="C59" s="1" t="s">
        <v>1249</v>
      </c>
      <c r="D59" s="1" t="s">
        <v>1250</v>
      </c>
      <c r="E59">
        <v>1</v>
      </c>
      <c r="F59" s="1" t="s">
        <v>1076</v>
      </c>
      <c r="G59">
        <v>1</v>
      </c>
      <c r="H59">
        <v>1</v>
      </c>
      <c r="I59">
        <v>4000</v>
      </c>
      <c r="J59">
        <v>3600</v>
      </c>
      <c r="K59">
        <v>0</v>
      </c>
      <c r="L59">
        <v>3600</v>
      </c>
      <c r="M59">
        <v>0</v>
      </c>
      <c r="N59" s="1" t="s">
        <v>59</v>
      </c>
      <c r="O59" s="2">
        <v>45932.769328703704</v>
      </c>
      <c r="P59" s="2">
        <v>45934.620092592595</v>
      </c>
      <c r="Q59" s="2"/>
      <c r="R59" s="1" t="s">
        <v>1251</v>
      </c>
      <c r="S59" s="1" t="s">
        <v>73</v>
      </c>
      <c r="T59" s="2">
        <v>45933.815833333334</v>
      </c>
      <c r="U59" s="1" t="s">
        <v>61</v>
      </c>
      <c r="V59" s="1" t="s">
        <v>62</v>
      </c>
      <c r="W59" s="1" t="s">
        <v>61</v>
      </c>
      <c r="X59" s="1" t="s">
        <v>61</v>
      </c>
      <c r="Y59" s="1" t="s">
        <v>61</v>
      </c>
      <c r="Z59" s="1" t="s">
        <v>61</v>
      </c>
      <c r="AA59" s="1" t="s">
        <v>61</v>
      </c>
      <c r="AB59" s="1" t="s">
        <v>61</v>
      </c>
      <c r="AC59" s="1" t="s">
        <v>61</v>
      </c>
      <c r="AD59" s="2">
        <v>45948.042546296296</v>
      </c>
      <c r="AE59" s="1" t="s">
        <v>63</v>
      </c>
      <c r="AF59" s="1" t="s">
        <v>61</v>
      </c>
      <c r="AG59" s="1" t="s">
        <v>197</v>
      </c>
      <c r="AH59" s="1" t="s">
        <v>65</v>
      </c>
      <c r="AI59">
        <v>560035</v>
      </c>
      <c r="AJ59" s="1" t="s">
        <v>66</v>
      </c>
      <c r="AK59" s="1" t="s">
        <v>67</v>
      </c>
      <c r="AL59">
        <v>62042300</v>
      </c>
      <c r="AM59" s="2"/>
      <c r="AN59">
        <v>3600</v>
      </c>
      <c r="AO59" s="1" t="s">
        <v>1252</v>
      </c>
      <c r="AP59" s="1" t="s">
        <v>89</v>
      </c>
      <c r="AQ59" s="1" t="s">
        <v>61</v>
      </c>
      <c r="AR59" s="1" t="s">
        <v>63</v>
      </c>
      <c r="AS59">
        <v>18</v>
      </c>
      <c r="AT59">
        <v>0</v>
      </c>
      <c r="AU59">
        <v>0</v>
      </c>
      <c r="AV59">
        <v>18</v>
      </c>
      <c r="AW59">
        <v>549.15300000000002</v>
      </c>
      <c r="AX59">
        <v>0</v>
      </c>
      <c r="AY59">
        <v>0</v>
      </c>
      <c r="AZ59">
        <v>549.15300000000002</v>
      </c>
      <c r="BA59" s="2"/>
      <c r="BB59">
        <v>0.85</v>
      </c>
      <c r="BC59" s="2">
        <v>45935.5</v>
      </c>
      <c r="BD59" s="27">
        <f>MarketPlace_Order_Report__2[[#This Row],[UnitPrice]]*MarketPlace_Order_Report__2[[#This Row],[OrderQty]]</f>
        <v>3600</v>
      </c>
      <c r="BE59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59" s="27">
        <f>MarketPlace_Order_Report__2[[#This Row],[Gross Amount (Before Tax)]]+MarketPlace_Order_Report__2[[#This Row],[Total GST Amount]]</f>
        <v>4149.1530000000002</v>
      </c>
    </row>
    <row r="60" spans="1:58">
      <c r="A60" s="1" t="s">
        <v>1253</v>
      </c>
      <c r="B60" s="1" t="s">
        <v>1254</v>
      </c>
      <c r="C60" s="1" t="s">
        <v>1255</v>
      </c>
      <c r="D60" s="1" t="s">
        <v>1256</v>
      </c>
      <c r="E60">
        <v>1</v>
      </c>
      <c r="F60" s="1" t="s">
        <v>413</v>
      </c>
      <c r="G60">
        <v>1</v>
      </c>
      <c r="H60">
        <v>1</v>
      </c>
      <c r="I60">
        <v>3750</v>
      </c>
      <c r="J60">
        <v>3375</v>
      </c>
      <c r="K60">
        <v>0</v>
      </c>
      <c r="L60">
        <v>3424</v>
      </c>
      <c r="M60">
        <v>49</v>
      </c>
      <c r="N60" s="1" t="s">
        <v>72</v>
      </c>
      <c r="O60" s="2">
        <v>45942.434548611112</v>
      </c>
      <c r="P60" s="2">
        <v>45943.762754629628</v>
      </c>
      <c r="Q60" s="2"/>
      <c r="R60" s="1" t="s">
        <v>1257</v>
      </c>
      <c r="S60" s="1" t="s">
        <v>60</v>
      </c>
      <c r="T60" s="2">
        <v>45942.661412037036</v>
      </c>
      <c r="U60" s="1" t="s">
        <v>61</v>
      </c>
      <c r="V60" s="1" t="s">
        <v>62</v>
      </c>
      <c r="W60" s="1" t="s">
        <v>61</v>
      </c>
      <c r="X60" s="1" t="s">
        <v>61</v>
      </c>
      <c r="Y60" s="1" t="s">
        <v>1258</v>
      </c>
      <c r="Z60" s="1" t="s">
        <v>103</v>
      </c>
      <c r="AA60" s="1" t="s">
        <v>414</v>
      </c>
      <c r="AB60" s="1" t="s">
        <v>61</v>
      </c>
      <c r="AC60" s="1" t="s">
        <v>61</v>
      </c>
      <c r="AD60" s="2">
        <v>45961.434930555559</v>
      </c>
      <c r="AE60" s="1" t="s">
        <v>63</v>
      </c>
      <c r="AF60" s="1" t="s">
        <v>61</v>
      </c>
      <c r="AG60" s="1" t="s">
        <v>1259</v>
      </c>
      <c r="AH60" s="1" t="s">
        <v>77</v>
      </c>
      <c r="AI60">
        <v>202001</v>
      </c>
      <c r="AJ60" s="1" t="s">
        <v>66</v>
      </c>
      <c r="AK60" s="1" t="s">
        <v>67</v>
      </c>
      <c r="AL60">
        <v>62042300</v>
      </c>
      <c r="AM60" s="2"/>
      <c r="AN60">
        <v>3375</v>
      </c>
      <c r="AO60" s="1" t="s">
        <v>1260</v>
      </c>
      <c r="AP60" s="1" t="s">
        <v>650</v>
      </c>
      <c r="AQ60" s="1" t="s">
        <v>61</v>
      </c>
      <c r="AR60" s="1" t="s">
        <v>63</v>
      </c>
      <c r="AS60">
        <v>18</v>
      </c>
      <c r="AT60">
        <v>0</v>
      </c>
      <c r="AU60">
        <v>0</v>
      </c>
      <c r="AV60">
        <v>18</v>
      </c>
      <c r="AW60">
        <v>514.83100000000002</v>
      </c>
      <c r="AX60">
        <v>0</v>
      </c>
      <c r="AY60">
        <v>0</v>
      </c>
      <c r="AZ60">
        <v>514.83100000000002</v>
      </c>
      <c r="BA60" s="2"/>
      <c r="BB60">
        <v>0.85</v>
      </c>
      <c r="BC60" s="2">
        <v>45944.5</v>
      </c>
      <c r="BD60" s="27">
        <f>MarketPlace_Order_Report__2[[#This Row],[UnitPrice]]*MarketPlace_Order_Report__2[[#This Row],[OrderQty]]</f>
        <v>3375</v>
      </c>
      <c r="BE60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60" s="27">
        <f>MarketPlace_Order_Report__2[[#This Row],[Gross Amount (Before Tax)]]+MarketPlace_Order_Report__2[[#This Row],[Total GST Amount]]</f>
        <v>3889.8310000000001</v>
      </c>
    </row>
    <row r="61" spans="1:58">
      <c r="A61" s="1" t="s">
        <v>1261</v>
      </c>
      <c r="B61" s="1" t="s">
        <v>1262</v>
      </c>
      <c r="C61" s="1" t="s">
        <v>1255</v>
      </c>
      <c r="D61" s="1" t="s">
        <v>1256</v>
      </c>
      <c r="E61">
        <v>1</v>
      </c>
      <c r="F61" s="1" t="s">
        <v>71</v>
      </c>
      <c r="G61">
        <v>1</v>
      </c>
      <c r="H61">
        <v>1</v>
      </c>
      <c r="I61">
        <v>3750</v>
      </c>
      <c r="J61">
        <v>3375</v>
      </c>
      <c r="K61">
        <v>0</v>
      </c>
      <c r="L61">
        <v>3424</v>
      </c>
      <c r="M61">
        <v>49</v>
      </c>
      <c r="N61" s="1" t="s">
        <v>72</v>
      </c>
      <c r="O61" s="2">
        <v>45934.938680555555</v>
      </c>
      <c r="P61" s="2">
        <v>45936.641296296293</v>
      </c>
      <c r="Q61" s="2">
        <v>45943.831701388888</v>
      </c>
      <c r="R61" s="1" t="s">
        <v>1263</v>
      </c>
      <c r="S61" s="1" t="s">
        <v>73</v>
      </c>
      <c r="T61" s="2">
        <v>45935.742905092593</v>
      </c>
      <c r="U61" s="1" t="s">
        <v>61</v>
      </c>
      <c r="V61" s="1" t="s">
        <v>62</v>
      </c>
      <c r="W61" s="1" t="s">
        <v>61</v>
      </c>
      <c r="X61" s="1" t="s">
        <v>61</v>
      </c>
      <c r="Y61" s="1" t="s">
        <v>1264</v>
      </c>
      <c r="Z61" s="1" t="s">
        <v>74</v>
      </c>
      <c r="AA61" s="1" t="s">
        <v>75</v>
      </c>
      <c r="AB61" s="1" t="s">
        <v>61</v>
      </c>
      <c r="AC61" s="1" t="s">
        <v>61</v>
      </c>
      <c r="AD61" s="2">
        <v>45959.264826388891</v>
      </c>
      <c r="AE61" s="1" t="s">
        <v>63</v>
      </c>
      <c r="AF61" s="1" t="s">
        <v>61</v>
      </c>
      <c r="AG61" s="1" t="s">
        <v>300</v>
      </c>
      <c r="AH61" s="1" t="s">
        <v>88</v>
      </c>
      <c r="AI61">
        <v>452014</v>
      </c>
      <c r="AJ61" s="1" t="s">
        <v>66</v>
      </c>
      <c r="AK61" s="1" t="s">
        <v>67</v>
      </c>
      <c r="AL61">
        <v>62042300</v>
      </c>
      <c r="AM61" s="2"/>
      <c r="AN61">
        <v>3375</v>
      </c>
      <c r="AO61" s="1" t="s">
        <v>1265</v>
      </c>
      <c r="AP61" s="1" t="s">
        <v>61</v>
      </c>
      <c r="AQ61" s="1" t="s">
        <v>61</v>
      </c>
      <c r="AR61" s="1" t="s">
        <v>63</v>
      </c>
      <c r="AS61">
        <v>18</v>
      </c>
      <c r="AT61">
        <v>0</v>
      </c>
      <c r="AU61">
        <v>0</v>
      </c>
      <c r="AV61">
        <v>18</v>
      </c>
      <c r="AW61">
        <v>514.83100000000002</v>
      </c>
      <c r="AX61">
        <v>0</v>
      </c>
      <c r="AY61">
        <v>0</v>
      </c>
      <c r="AZ61">
        <v>514.83100000000002</v>
      </c>
      <c r="BA61" s="2"/>
      <c r="BB61">
        <v>0.85</v>
      </c>
      <c r="BC61" s="2">
        <v>45937.5</v>
      </c>
      <c r="BD61" s="27">
        <f>MarketPlace_Order_Report__2[[#This Row],[UnitPrice]]*MarketPlace_Order_Report__2[[#This Row],[OrderQty]]</f>
        <v>3375</v>
      </c>
      <c r="BE61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61" s="27">
        <f>MarketPlace_Order_Report__2[[#This Row],[Gross Amount (Before Tax)]]+MarketPlace_Order_Report__2[[#This Row],[Total GST Amount]]</f>
        <v>3889.8310000000001</v>
      </c>
    </row>
    <row r="62" spans="1:58">
      <c r="A62" s="1" t="s">
        <v>1266</v>
      </c>
      <c r="B62" s="1" t="s">
        <v>1267</v>
      </c>
      <c r="C62" s="1" t="s">
        <v>1268</v>
      </c>
      <c r="D62" s="1" t="s">
        <v>1269</v>
      </c>
      <c r="E62">
        <v>2</v>
      </c>
      <c r="F62" s="1" t="s">
        <v>58</v>
      </c>
      <c r="G62">
        <v>1</v>
      </c>
      <c r="H62">
        <v>1</v>
      </c>
      <c r="I62">
        <v>3750</v>
      </c>
      <c r="J62">
        <v>3375</v>
      </c>
      <c r="K62">
        <v>0</v>
      </c>
      <c r="L62">
        <v>3404.34</v>
      </c>
      <c r="M62">
        <v>29.34</v>
      </c>
      <c r="N62" s="1" t="s">
        <v>72</v>
      </c>
      <c r="O62" s="2">
        <v>45943.495949074073</v>
      </c>
      <c r="P62" s="2">
        <v>45944.740231481483</v>
      </c>
      <c r="Q62" s="2">
        <v>45948.738078703704</v>
      </c>
      <c r="R62" s="1" t="s">
        <v>1270</v>
      </c>
      <c r="S62" s="1" t="s">
        <v>60</v>
      </c>
      <c r="T62" s="2">
        <v>45943.814467592594</v>
      </c>
      <c r="U62" s="1" t="s">
        <v>61</v>
      </c>
      <c r="V62" s="1" t="s">
        <v>62</v>
      </c>
      <c r="W62" s="1" t="s">
        <v>61</v>
      </c>
      <c r="X62" s="1" t="s">
        <v>61</v>
      </c>
      <c r="Y62" s="1" t="s">
        <v>61</v>
      </c>
      <c r="Z62" s="1" t="s">
        <v>61</v>
      </c>
      <c r="AA62" s="1" t="s">
        <v>61</v>
      </c>
      <c r="AB62" s="1" t="s">
        <v>61</v>
      </c>
      <c r="AC62" s="1" t="s">
        <v>61</v>
      </c>
      <c r="AD62" s="2">
        <v>45948.74050925926</v>
      </c>
      <c r="AE62" s="1" t="s">
        <v>63</v>
      </c>
      <c r="AF62" s="1" t="s">
        <v>61</v>
      </c>
      <c r="AG62" s="1" t="s">
        <v>197</v>
      </c>
      <c r="AH62" s="1" t="s">
        <v>65</v>
      </c>
      <c r="AI62">
        <v>560035</v>
      </c>
      <c r="AJ62" s="1" t="s">
        <v>66</v>
      </c>
      <c r="AK62" s="1" t="s">
        <v>67</v>
      </c>
      <c r="AL62">
        <v>62042300</v>
      </c>
      <c r="AM62" s="2"/>
      <c r="AN62">
        <v>3375</v>
      </c>
      <c r="AO62" s="1" t="s">
        <v>1271</v>
      </c>
      <c r="AP62" s="1" t="s">
        <v>61</v>
      </c>
      <c r="AQ62" s="1" t="s">
        <v>61</v>
      </c>
      <c r="AR62" s="1" t="s">
        <v>63</v>
      </c>
      <c r="AS62">
        <v>18</v>
      </c>
      <c r="AT62">
        <v>0</v>
      </c>
      <c r="AU62">
        <v>0</v>
      </c>
      <c r="AV62">
        <v>18</v>
      </c>
      <c r="AW62">
        <v>514.83100000000002</v>
      </c>
      <c r="AX62">
        <v>0</v>
      </c>
      <c r="AY62">
        <v>0</v>
      </c>
      <c r="AZ62">
        <v>514.83100000000002</v>
      </c>
      <c r="BA62" s="2"/>
      <c r="BB62">
        <v>0.85</v>
      </c>
      <c r="BC62" s="2">
        <v>45945.5</v>
      </c>
      <c r="BD62" s="27">
        <f>MarketPlace_Order_Report__2[[#This Row],[UnitPrice]]*MarketPlace_Order_Report__2[[#This Row],[OrderQty]]</f>
        <v>3375</v>
      </c>
      <c r="BE62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62" s="27">
        <f>MarketPlace_Order_Report__2[[#This Row],[Gross Amount (Before Tax)]]+MarketPlace_Order_Report__2[[#This Row],[Total GST Amount]]</f>
        <v>3889.8310000000001</v>
      </c>
    </row>
    <row r="63" spans="1:58">
      <c r="A63" s="1" t="s">
        <v>1272</v>
      </c>
      <c r="B63" s="1" t="s">
        <v>1273</v>
      </c>
      <c r="C63" s="1" t="s">
        <v>1268</v>
      </c>
      <c r="D63" s="1" t="s">
        <v>1269</v>
      </c>
      <c r="E63">
        <v>1</v>
      </c>
      <c r="F63" s="1" t="s">
        <v>58</v>
      </c>
      <c r="G63">
        <v>1</v>
      </c>
      <c r="H63">
        <v>1</v>
      </c>
      <c r="I63">
        <v>3750</v>
      </c>
      <c r="J63">
        <v>3375</v>
      </c>
      <c r="K63">
        <v>0</v>
      </c>
      <c r="L63">
        <v>3394.25</v>
      </c>
      <c r="M63">
        <v>19.25</v>
      </c>
      <c r="N63" s="1" t="s">
        <v>59</v>
      </c>
      <c r="O63" s="2">
        <v>45943.482175925928</v>
      </c>
      <c r="P63" s="2">
        <v>45944.738993055558</v>
      </c>
      <c r="Q63" s="2">
        <v>45949.477187500001</v>
      </c>
      <c r="R63" s="1" t="s">
        <v>1274</v>
      </c>
      <c r="S63" s="1" t="s">
        <v>60</v>
      </c>
      <c r="T63" s="2">
        <v>45943.814467592594</v>
      </c>
      <c r="U63" s="1" t="s">
        <v>61</v>
      </c>
      <c r="V63" s="1" t="s">
        <v>62</v>
      </c>
      <c r="W63" s="1" t="s">
        <v>61</v>
      </c>
      <c r="X63" s="1" t="s">
        <v>61</v>
      </c>
      <c r="Y63" s="1" t="s">
        <v>61</v>
      </c>
      <c r="Z63" s="1" t="s">
        <v>61</v>
      </c>
      <c r="AA63" s="1" t="s">
        <v>61</v>
      </c>
      <c r="AB63" s="1" t="s">
        <v>61</v>
      </c>
      <c r="AC63" s="1" t="s">
        <v>61</v>
      </c>
      <c r="AD63" s="2">
        <v>45949.480196759258</v>
      </c>
      <c r="AE63" s="1" t="s">
        <v>63</v>
      </c>
      <c r="AF63" s="1" t="s">
        <v>61</v>
      </c>
      <c r="AG63" s="1" t="s">
        <v>1275</v>
      </c>
      <c r="AH63" s="1" t="s">
        <v>115</v>
      </c>
      <c r="AI63">
        <v>641035</v>
      </c>
      <c r="AJ63" s="1" t="s">
        <v>66</v>
      </c>
      <c r="AK63" s="1" t="s">
        <v>67</v>
      </c>
      <c r="AL63">
        <v>62042300</v>
      </c>
      <c r="AM63" s="2"/>
      <c r="AN63">
        <v>3375</v>
      </c>
      <c r="AO63" s="1" t="s">
        <v>1276</v>
      </c>
      <c r="AP63" s="1" t="s">
        <v>61</v>
      </c>
      <c r="AQ63" s="1" t="s">
        <v>61</v>
      </c>
      <c r="AR63" s="1" t="s">
        <v>63</v>
      </c>
      <c r="AS63">
        <v>18</v>
      </c>
      <c r="AT63">
        <v>0</v>
      </c>
      <c r="AU63">
        <v>0</v>
      </c>
      <c r="AV63">
        <v>18</v>
      </c>
      <c r="AW63">
        <v>514.83100000000002</v>
      </c>
      <c r="AX63">
        <v>0</v>
      </c>
      <c r="AY63">
        <v>0</v>
      </c>
      <c r="AZ63">
        <v>514.83100000000002</v>
      </c>
      <c r="BA63" s="2"/>
      <c r="BB63">
        <v>0.85</v>
      </c>
      <c r="BC63" s="2">
        <v>45945.5</v>
      </c>
      <c r="BD63" s="27">
        <f>MarketPlace_Order_Report__2[[#This Row],[UnitPrice]]*MarketPlace_Order_Report__2[[#This Row],[OrderQty]]</f>
        <v>3375</v>
      </c>
      <c r="BE63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63" s="27">
        <f>MarketPlace_Order_Report__2[[#This Row],[Gross Amount (Before Tax)]]+MarketPlace_Order_Report__2[[#This Row],[Total GST Amount]]</f>
        <v>3889.8310000000001</v>
      </c>
    </row>
    <row r="64" spans="1:58">
      <c r="A64" s="1" t="s">
        <v>1277</v>
      </c>
      <c r="B64" s="1" t="s">
        <v>1278</v>
      </c>
      <c r="C64" s="1" t="s">
        <v>1279</v>
      </c>
      <c r="D64" s="1" t="s">
        <v>1280</v>
      </c>
      <c r="E64">
        <v>3</v>
      </c>
      <c r="F64" s="1" t="s">
        <v>71</v>
      </c>
      <c r="G64">
        <v>1</v>
      </c>
      <c r="H64">
        <v>1</v>
      </c>
      <c r="I64">
        <v>3750</v>
      </c>
      <c r="J64">
        <v>3375</v>
      </c>
      <c r="K64">
        <v>0</v>
      </c>
      <c r="L64">
        <v>3391.55</v>
      </c>
      <c r="M64">
        <v>16.55</v>
      </c>
      <c r="N64" s="1" t="s">
        <v>59</v>
      </c>
      <c r="O64" s="2">
        <v>45946.847037037034</v>
      </c>
      <c r="P64" s="2">
        <v>45948.728263888886</v>
      </c>
      <c r="Q64" s="2">
        <v>45955.73364583333</v>
      </c>
      <c r="R64" s="1" t="s">
        <v>1281</v>
      </c>
      <c r="S64" s="1" t="s">
        <v>60</v>
      </c>
      <c r="T64" s="2">
        <v>45947.781145833331</v>
      </c>
      <c r="U64" s="1" t="s">
        <v>61</v>
      </c>
      <c r="V64" s="1" t="s">
        <v>62</v>
      </c>
      <c r="W64" s="1" t="s">
        <v>61</v>
      </c>
      <c r="X64" s="1" t="s">
        <v>61</v>
      </c>
      <c r="Y64" s="1" t="s">
        <v>1282</v>
      </c>
      <c r="Z64" s="1" t="s">
        <v>74</v>
      </c>
      <c r="AA64" s="1" t="s">
        <v>695</v>
      </c>
      <c r="AB64" s="1" t="s">
        <v>61</v>
      </c>
      <c r="AC64" s="1" t="s">
        <v>61</v>
      </c>
      <c r="AD64" s="2">
        <v>45957.705740740741</v>
      </c>
      <c r="AE64" s="1" t="s">
        <v>63</v>
      </c>
      <c r="AF64" s="1" t="s">
        <v>61</v>
      </c>
      <c r="AG64" s="1" t="s">
        <v>119</v>
      </c>
      <c r="AH64" s="1" t="s">
        <v>120</v>
      </c>
      <c r="AI64">
        <v>302021</v>
      </c>
      <c r="AJ64" s="1" t="s">
        <v>66</v>
      </c>
      <c r="AK64" s="1" t="s">
        <v>67</v>
      </c>
      <c r="AL64">
        <v>62042300</v>
      </c>
      <c r="AM64" s="2"/>
      <c r="AN64">
        <v>3375</v>
      </c>
      <c r="AO64" s="1" t="s">
        <v>1283</v>
      </c>
      <c r="AP64" s="1" t="s">
        <v>209</v>
      </c>
      <c r="AQ64" s="1" t="s">
        <v>61</v>
      </c>
      <c r="AR64" s="1" t="s">
        <v>63</v>
      </c>
      <c r="AS64">
        <v>18</v>
      </c>
      <c r="AT64">
        <v>0</v>
      </c>
      <c r="AU64">
        <v>0</v>
      </c>
      <c r="AV64">
        <v>18</v>
      </c>
      <c r="AW64">
        <v>514.83100000000002</v>
      </c>
      <c r="AX64">
        <v>0</v>
      </c>
      <c r="AY64">
        <v>0</v>
      </c>
      <c r="AZ64">
        <v>514.83100000000002</v>
      </c>
      <c r="BA64" s="2"/>
      <c r="BB64">
        <v>0.85</v>
      </c>
      <c r="BC64" s="2">
        <v>45949.5</v>
      </c>
      <c r="BD64" s="27">
        <f>MarketPlace_Order_Report__2[[#This Row],[UnitPrice]]*MarketPlace_Order_Report__2[[#This Row],[OrderQty]]</f>
        <v>3375</v>
      </c>
      <c r="BE64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64" s="27">
        <f>MarketPlace_Order_Report__2[[#This Row],[Gross Amount (Before Tax)]]+MarketPlace_Order_Report__2[[#This Row],[Total GST Amount]]</f>
        <v>3889.8310000000001</v>
      </c>
    </row>
    <row r="65" spans="1:58">
      <c r="A65" s="1" t="s">
        <v>1284</v>
      </c>
      <c r="B65" s="1" t="s">
        <v>1285</v>
      </c>
      <c r="C65" s="1" t="s">
        <v>1286</v>
      </c>
      <c r="D65" s="1" t="s">
        <v>1287</v>
      </c>
      <c r="E65">
        <v>1</v>
      </c>
      <c r="F65" s="1" t="s">
        <v>58</v>
      </c>
      <c r="G65">
        <v>1</v>
      </c>
      <c r="H65">
        <v>1</v>
      </c>
      <c r="I65">
        <v>4000</v>
      </c>
      <c r="J65">
        <v>3600</v>
      </c>
      <c r="K65">
        <v>0</v>
      </c>
      <c r="L65">
        <v>3649</v>
      </c>
      <c r="M65">
        <v>49</v>
      </c>
      <c r="N65" s="1" t="s">
        <v>72</v>
      </c>
      <c r="O65" s="2">
        <v>45942.889120370368</v>
      </c>
      <c r="P65" s="2">
        <v>45944.743067129632</v>
      </c>
      <c r="Q65" s="2">
        <v>45949.696793981479</v>
      </c>
      <c r="R65" s="1" t="s">
        <v>1288</v>
      </c>
      <c r="S65" s="1" t="s">
        <v>60</v>
      </c>
      <c r="T65" s="2">
        <v>45943.814467592594</v>
      </c>
      <c r="U65" s="1" t="s">
        <v>61</v>
      </c>
      <c r="V65" s="1" t="s">
        <v>62</v>
      </c>
      <c r="W65" s="1" t="s">
        <v>61</v>
      </c>
      <c r="X65" s="1" t="s">
        <v>61</v>
      </c>
      <c r="Y65" s="1" t="s">
        <v>61</v>
      </c>
      <c r="Z65" s="1" t="s">
        <v>61</v>
      </c>
      <c r="AA65" s="1" t="s">
        <v>61</v>
      </c>
      <c r="AB65" s="1" t="s">
        <v>61</v>
      </c>
      <c r="AC65" s="1" t="s">
        <v>61</v>
      </c>
      <c r="AD65" s="2">
        <v>45949.698784722219</v>
      </c>
      <c r="AE65" s="1" t="s">
        <v>63</v>
      </c>
      <c r="AF65" s="1" t="s">
        <v>61</v>
      </c>
      <c r="AG65" s="1" t="s">
        <v>1289</v>
      </c>
      <c r="AH65" s="1" t="s">
        <v>77</v>
      </c>
      <c r="AI65">
        <v>281001</v>
      </c>
      <c r="AJ65" s="1" t="s">
        <v>66</v>
      </c>
      <c r="AK65" s="1" t="s">
        <v>67</v>
      </c>
      <c r="AL65">
        <v>62042300</v>
      </c>
      <c r="AM65" s="2"/>
      <c r="AN65">
        <v>3600</v>
      </c>
      <c r="AO65" s="1" t="s">
        <v>1290</v>
      </c>
      <c r="AP65" s="1" t="s">
        <v>650</v>
      </c>
      <c r="AQ65" s="1" t="s">
        <v>61</v>
      </c>
      <c r="AR65" s="1" t="s">
        <v>63</v>
      </c>
      <c r="AS65">
        <v>18</v>
      </c>
      <c r="AT65">
        <v>0</v>
      </c>
      <c r="AU65">
        <v>0</v>
      </c>
      <c r="AV65">
        <v>18</v>
      </c>
      <c r="AW65">
        <v>549.15300000000002</v>
      </c>
      <c r="AX65">
        <v>0</v>
      </c>
      <c r="AY65">
        <v>0</v>
      </c>
      <c r="AZ65">
        <v>549.15300000000002</v>
      </c>
      <c r="BA65" s="2"/>
      <c r="BB65">
        <v>0.85</v>
      </c>
      <c r="BC65" s="2">
        <v>45945.5</v>
      </c>
      <c r="BD65" s="27">
        <f>MarketPlace_Order_Report__2[[#This Row],[UnitPrice]]*MarketPlace_Order_Report__2[[#This Row],[OrderQty]]</f>
        <v>3600</v>
      </c>
      <c r="BE65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65" s="27">
        <f>MarketPlace_Order_Report__2[[#This Row],[Gross Amount (Before Tax)]]+MarketPlace_Order_Report__2[[#This Row],[Total GST Amount]]</f>
        <v>4149.1530000000002</v>
      </c>
    </row>
    <row r="66" spans="1:58">
      <c r="A66" s="1" t="s">
        <v>1291</v>
      </c>
      <c r="B66" s="1" t="s">
        <v>1292</v>
      </c>
      <c r="C66" s="1" t="s">
        <v>308</v>
      </c>
      <c r="D66" s="1" t="s">
        <v>309</v>
      </c>
      <c r="E66">
        <v>1</v>
      </c>
      <c r="F66" s="1" t="s">
        <v>58</v>
      </c>
      <c r="G66">
        <v>1</v>
      </c>
      <c r="H66">
        <v>1</v>
      </c>
      <c r="I66">
        <v>4000</v>
      </c>
      <c r="J66">
        <v>3600</v>
      </c>
      <c r="K66">
        <v>0</v>
      </c>
      <c r="L66">
        <v>3649</v>
      </c>
      <c r="M66">
        <v>49</v>
      </c>
      <c r="N66" s="1" t="s">
        <v>72</v>
      </c>
      <c r="O66" s="2">
        <v>45943.468784722223</v>
      </c>
      <c r="P66" s="2">
        <v>45944.740891203706</v>
      </c>
      <c r="Q66" s="2">
        <v>45946.699988425928</v>
      </c>
      <c r="R66" s="1" t="s">
        <v>1293</v>
      </c>
      <c r="S66" s="1" t="s">
        <v>351</v>
      </c>
      <c r="T66" s="2">
        <v>45943.813715277778</v>
      </c>
      <c r="U66" s="1" t="s">
        <v>61</v>
      </c>
      <c r="V66" s="1" t="s">
        <v>62</v>
      </c>
      <c r="W66" s="1" t="s">
        <v>61</v>
      </c>
      <c r="X66" s="1" t="s">
        <v>61</v>
      </c>
      <c r="Y66" s="1" t="s">
        <v>61</v>
      </c>
      <c r="Z66" s="1" t="s">
        <v>61</v>
      </c>
      <c r="AA66" s="1" t="s">
        <v>61</v>
      </c>
      <c r="AB66" s="1" t="s">
        <v>61</v>
      </c>
      <c r="AC66" s="1" t="s">
        <v>61</v>
      </c>
      <c r="AD66" s="2">
        <v>45946.70590277778</v>
      </c>
      <c r="AE66" s="1" t="s">
        <v>63</v>
      </c>
      <c r="AF66" s="1" t="s">
        <v>61</v>
      </c>
      <c r="AG66" s="1" t="s">
        <v>324</v>
      </c>
      <c r="AH66" s="1" t="s">
        <v>318</v>
      </c>
      <c r="AI66">
        <v>411014</v>
      </c>
      <c r="AJ66" s="1" t="s">
        <v>66</v>
      </c>
      <c r="AK66" s="1" t="s">
        <v>67</v>
      </c>
      <c r="AL66">
        <v>62042300</v>
      </c>
      <c r="AM66" s="2"/>
      <c r="AN66">
        <v>3600</v>
      </c>
      <c r="AO66" s="1" t="s">
        <v>1294</v>
      </c>
      <c r="AP66" s="1" t="s">
        <v>61</v>
      </c>
      <c r="AQ66" s="1" t="s">
        <v>61</v>
      </c>
      <c r="AR66" s="1" t="s">
        <v>63</v>
      </c>
      <c r="AS66">
        <v>18</v>
      </c>
      <c r="AT66">
        <v>9</v>
      </c>
      <c r="AU66">
        <v>9</v>
      </c>
      <c r="AV66">
        <v>0</v>
      </c>
      <c r="AW66">
        <v>549.15300000000002</v>
      </c>
      <c r="AX66">
        <v>274.577</v>
      </c>
      <c r="AY66">
        <v>274.577</v>
      </c>
      <c r="AZ66">
        <v>0</v>
      </c>
      <c r="BA66" s="2"/>
      <c r="BB66">
        <v>0.85</v>
      </c>
      <c r="BC66" s="2">
        <v>45945.5</v>
      </c>
      <c r="BD66" s="27">
        <f>MarketPlace_Order_Report__2[[#This Row],[UnitPrice]]*MarketPlace_Order_Report__2[[#This Row],[OrderQty]]</f>
        <v>3600</v>
      </c>
      <c r="BE66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66" s="27">
        <f>MarketPlace_Order_Report__2[[#This Row],[Gross Amount (Before Tax)]]+MarketPlace_Order_Report__2[[#This Row],[Total GST Amount]]</f>
        <v>4149.1540000000005</v>
      </c>
    </row>
    <row r="67" spans="1:58">
      <c r="A67" s="1" t="s">
        <v>1295</v>
      </c>
      <c r="B67" s="1" t="s">
        <v>1296</v>
      </c>
      <c r="C67" s="1" t="s">
        <v>1297</v>
      </c>
      <c r="D67" s="1" t="s">
        <v>1298</v>
      </c>
      <c r="E67">
        <v>1</v>
      </c>
      <c r="F67" s="1" t="s">
        <v>413</v>
      </c>
      <c r="G67">
        <v>1</v>
      </c>
      <c r="H67">
        <v>1</v>
      </c>
      <c r="I67">
        <v>4000</v>
      </c>
      <c r="J67">
        <v>3600</v>
      </c>
      <c r="K67">
        <v>0</v>
      </c>
      <c r="L67">
        <v>3629</v>
      </c>
      <c r="M67">
        <v>29</v>
      </c>
      <c r="N67" s="1" t="s">
        <v>59</v>
      </c>
      <c r="O67" s="2">
        <v>45959.09107638889</v>
      </c>
      <c r="P67" s="2">
        <v>45959.783333333333</v>
      </c>
      <c r="Q67" s="2"/>
      <c r="R67" s="1" t="s">
        <v>1299</v>
      </c>
      <c r="S67" s="1" t="s">
        <v>988</v>
      </c>
      <c r="T67" s="2">
        <v>45959.459155092591</v>
      </c>
      <c r="U67" s="1" t="s">
        <v>61</v>
      </c>
      <c r="V67" s="1" t="s">
        <v>62</v>
      </c>
      <c r="W67" s="1" t="s">
        <v>61</v>
      </c>
      <c r="X67" s="1" t="s">
        <v>61</v>
      </c>
      <c r="Y67" s="1" t="s">
        <v>61</v>
      </c>
      <c r="Z67" s="1" t="s">
        <v>61</v>
      </c>
      <c r="AA67" s="1" t="s">
        <v>61</v>
      </c>
      <c r="AB67" s="1" t="s">
        <v>61</v>
      </c>
      <c r="AC67" s="1" t="s">
        <v>61</v>
      </c>
      <c r="AD67" s="2">
        <v>45961.483738425923</v>
      </c>
      <c r="AE67" s="1" t="s">
        <v>63</v>
      </c>
      <c r="AF67" s="1" t="s">
        <v>61</v>
      </c>
      <c r="AG67" s="1" t="s">
        <v>408</v>
      </c>
      <c r="AH67" s="1" t="s">
        <v>318</v>
      </c>
      <c r="AI67">
        <v>400076</v>
      </c>
      <c r="AJ67" s="1" t="s">
        <v>66</v>
      </c>
      <c r="AK67" s="1" t="s">
        <v>67</v>
      </c>
      <c r="AL67">
        <v>62042300</v>
      </c>
      <c r="AM67" s="2"/>
      <c r="AN67">
        <v>3600</v>
      </c>
      <c r="AO67" s="1" t="s">
        <v>1300</v>
      </c>
      <c r="AP67" s="1" t="s">
        <v>1301</v>
      </c>
      <c r="AQ67" s="1" t="s">
        <v>61</v>
      </c>
      <c r="AR67" s="1" t="s">
        <v>63</v>
      </c>
      <c r="AS67">
        <v>18</v>
      </c>
      <c r="AT67">
        <v>9</v>
      </c>
      <c r="AU67">
        <v>9</v>
      </c>
      <c r="AV67">
        <v>0</v>
      </c>
      <c r="AW67">
        <v>549.15300000000002</v>
      </c>
      <c r="AX67">
        <v>274.577</v>
      </c>
      <c r="AY67">
        <v>274.577</v>
      </c>
      <c r="AZ67">
        <v>0</v>
      </c>
      <c r="BA67" s="2"/>
      <c r="BB67">
        <v>0.85</v>
      </c>
      <c r="BC67" s="2">
        <v>45961.5</v>
      </c>
      <c r="BD67" s="27">
        <f>MarketPlace_Order_Report__2[[#This Row],[UnitPrice]]*MarketPlace_Order_Report__2[[#This Row],[OrderQty]]</f>
        <v>3600</v>
      </c>
      <c r="BE67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67" s="27">
        <f>MarketPlace_Order_Report__2[[#This Row],[Gross Amount (Before Tax)]]+MarketPlace_Order_Report__2[[#This Row],[Total GST Amount]]</f>
        <v>4149.1540000000005</v>
      </c>
    </row>
    <row r="68" spans="1:58">
      <c r="A68" s="1" t="s">
        <v>1302</v>
      </c>
      <c r="B68" s="1" t="s">
        <v>1303</v>
      </c>
      <c r="C68" s="1" t="s">
        <v>313</v>
      </c>
      <c r="D68" s="1" t="s">
        <v>314</v>
      </c>
      <c r="E68">
        <v>1</v>
      </c>
      <c r="F68" s="1" t="s">
        <v>58</v>
      </c>
      <c r="G68">
        <v>1</v>
      </c>
      <c r="H68">
        <v>1</v>
      </c>
      <c r="I68">
        <v>4000</v>
      </c>
      <c r="J68">
        <v>3600</v>
      </c>
      <c r="K68">
        <v>0</v>
      </c>
      <c r="L68">
        <v>3600</v>
      </c>
      <c r="M68">
        <v>0</v>
      </c>
      <c r="N68" s="1" t="s">
        <v>59</v>
      </c>
      <c r="O68" s="2">
        <v>45953.643761574072</v>
      </c>
      <c r="P68" s="2">
        <v>45954.762499999997</v>
      </c>
      <c r="Q68" s="2">
        <v>45956.401388888888</v>
      </c>
      <c r="R68" s="1" t="s">
        <v>1304</v>
      </c>
      <c r="S68" s="1" t="s">
        <v>988</v>
      </c>
      <c r="T68" s="2">
        <v>45954.500509259262</v>
      </c>
      <c r="U68" s="1" t="s">
        <v>61</v>
      </c>
      <c r="V68" s="1" t="s">
        <v>62</v>
      </c>
      <c r="W68" s="1" t="s">
        <v>61</v>
      </c>
      <c r="X68" s="1" t="s">
        <v>61</v>
      </c>
      <c r="Y68" s="1" t="s">
        <v>61</v>
      </c>
      <c r="Z68" s="1" t="s">
        <v>61</v>
      </c>
      <c r="AA68" s="1" t="s">
        <v>61</v>
      </c>
      <c r="AB68" s="1" t="s">
        <v>61</v>
      </c>
      <c r="AC68" s="1" t="s">
        <v>61</v>
      </c>
      <c r="AD68" s="2">
        <v>45956.650381944448</v>
      </c>
      <c r="AE68" s="1" t="s">
        <v>63</v>
      </c>
      <c r="AF68" s="1" t="s">
        <v>61</v>
      </c>
      <c r="AG68" s="1" t="s">
        <v>324</v>
      </c>
      <c r="AH68" s="1" t="s">
        <v>318</v>
      </c>
      <c r="AI68">
        <v>411014</v>
      </c>
      <c r="AJ68" s="1" t="s">
        <v>66</v>
      </c>
      <c r="AK68" s="1" t="s">
        <v>67</v>
      </c>
      <c r="AL68">
        <v>62042300</v>
      </c>
      <c r="AM68" s="2"/>
      <c r="AN68">
        <v>3600</v>
      </c>
      <c r="AO68" s="1" t="s">
        <v>1305</v>
      </c>
      <c r="AP68" s="1" t="s">
        <v>381</v>
      </c>
      <c r="AQ68" s="1" t="s">
        <v>61</v>
      </c>
      <c r="AR68" s="1" t="s">
        <v>63</v>
      </c>
      <c r="AS68">
        <v>18</v>
      </c>
      <c r="AT68">
        <v>9</v>
      </c>
      <c r="AU68">
        <v>9</v>
      </c>
      <c r="AV68">
        <v>0</v>
      </c>
      <c r="AW68">
        <v>549.15300000000002</v>
      </c>
      <c r="AX68">
        <v>274.577</v>
      </c>
      <c r="AY68">
        <v>274.577</v>
      </c>
      <c r="AZ68">
        <v>0</v>
      </c>
      <c r="BA68" s="2"/>
      <c r="BB68">
        <v>1.2</v>
      </c>
      <c r="BC68" s="2">
        <v>45956.5</v>
      </c>
      <c r="BD68" s="27">
        <f>MarketPlace_Order_Report__2[[#This Row],[UnitPrice]]*MarketPlace_Order_Report__2[[#This Row],[OrderQty]]</f>
        <v>3600</v>
      </c>
      <c r="BE68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68" s="27">
        <f>MarketPlace_Order_Report__2[[#This Row],[Gross Amount (Before Tax)]]+MarketPlace_Order_Report__2[[#This Row],[Total GST Amount]]</f>
        <v>4149.1540000000005</v>
      </c>
    </row>
    <row r="69" spans="1:58">
      <c r="A69" s="1" t="s">
        <v>1306</v>
      </c>
      <c r="B69" s="1" t="s">
        <v>1307</v>
      </c>
      <c r="C69" s="1" t="s">
        <v>313</v>
      </c>
      <c r="D69" s="1" t="s">
        <v>314</v>
      </c>
      <c r="E69">
        <v>1</v>
      </c>
      <c r="F69" s="1" t="s">
        <v>58</v>
      </c>
      <c r="G69">
        <v>1</v>
      </c>
      <c r="H69">
        <v>1</v>
      </c>
      <c r="I69">
        <v>4000</v>
      </c>
      <c r="J69">
        <v>3600</v>
      </c>
      <c r="K69">
        <v>0</v>
      </c>
      <c r="L69">
        <v>3629</v>
      </c>
      <c r="M69">
        <v>29</v>
      </c>
      <c r="N69" s="1" t="s">
        <v>59</v>
      </c>
      <c r="O69" s="2">
        <v>45943.699583333335</v>
      </c>
      <c r="P69" s="2">
        <v>45944.669444444444</v>
      </c>
      <c r="Q69" s="2">
        <v>45947.703472222223</v>
      </c>
      <c r="R69" s="1" t="s">
        <v>1308</v>
      </c>
      <c r="S69" s="1" t="s">
        <v>107</v>
      </c>
      <c r="T69" s="2">
        <v>45943.813715277778</v>
      </c>
      <c r="U69" s="1" t="s">
        <v>61</v>
      </c>
      <c r="V69" s="1" t="s">
        <v>62</v>
      </c>
      <c r="W69" s="1" t="s">
        <v>61</v>
      </c>
      <c r="X69" s="1" t="s">
        <v>61</v>
      </c>
      <c r="Y69" s="1" t="s">
        <v>61</v>
      </c>
      <c r="Z69" s="1" t="s">
        <v>61</v>
      </c>
      <c r="AA69" s="1" t="s">
        <v>61</v>
      </c>
      <c r="AB69" s="1" t="s">
        <v>61</v>
      </c>
      <c r="AC69" s="1" t="s">
        <v>61</v>
      </c>
      <c r="AD69" s="2">
        <v>45947.709293981483</v>
      </c>
      <c r="AE69" s="1" t="s">
        <v>63</v>
      </c>
      <c r="AF69" s="1" t="s">
        <v>61</v>
      </c>
      <c r="AG69" s="1" t="s">
        <v>746</v>
      </c>
      <c r="AH69" s="1" t="s">
        <v>115</v>
      </c>
      <c r="AI69">
        <v>600080</v>
      </c>
      <c r="AJ69" s="1" t="s">
        <v>66</v>
      </c>
      <c r="AK69" s="1" t="s">
        <v>67</v>
      </c>
      <c r="AL69">
        <v>62042300</v>
      </c>
      <c r="AM69" s="2"/>
      <c r="AN69">
        <v>3600</v>
      </c>
      <c r="AO69" s="1" t="s">
        <v>1309</v>
      </c>
      <c r="AP69" s="1" t="s">
        <v>209</v>
      </c>
      <c r="AQ69" s="1" t="s">
        <v>61</v>
      </c>
      <c r="AR69" s="1" t="s">
        <v>63</v>
      </c>
      <c r="AS69">
        <v>18</v>
      </c>
      <c r="AT69">
        <v>0</v>
      </c>
      <c r="AU69">
        <v>0</v>
      </c>
      <c r="AV69">
        <v>18</v>
      </c>
      <c r="AW69">
        <v>549.15300000000002</v>
      </c>
      <c r="AX69">
        <v>0</v>
      </c>
      <c r="AY69">
        <v>0</v>
      </c>
      <c r="AZ69">
        <v>549.15300000000002</v>
      </c>
      <c r="BA69" s="2"/>
      <c r="BB69">
        <v>0.85</v>
      </c>
      <c r="BC69" s="2">
        <v>45946.5</v>
      </c>
      <c r="BD69" s="27">
        <f>MarketPlace_Order_Report__2[[#This Row],[UnitPrice]]*MarketPlace_Order_Report__2[[#This Row],[OrderQty]]</f>
        <v>3600</v>
      </c>
      <c r="BE69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69" s="27">
        <f>MarketPlace_Order_Report__2[[#This Row],[Gross Amount (Before Tax)]]+MarketPlace_Order_Report__2[[#This Row],[Total GST Amount]]</f>
        <v>4149.1530000000002</v>
      </c>
    </row>
    <row r="70" spans="1:58">
      <c r="A70" s="1" t="s">
        <v>1310</v>
      </c>
      <c r="B70" s="1" t="s">
        <v>1311</v>
      </c>
      <c r="C70" s="1" t="s">
        <v>313</v>
      </c>
      <c r="D70" s="1" t="s">
        <v>314</v>
      </c>
      <c r="E70">
        <v>1</v>
      </c>
      <c r="F70" s="1" t="s">
        <v>71</v>
      </c>
      <c r="G70">
        <v>1</v>
      </c>
      <c r="H70">
        <v>1</v>
      </c>
      <c r="I70">
        <v>4000</v>
      </c>
      <c r="J70">
        <v>3600</v>
      </c>
      <c r="K70">
        <v>0</v>
      </c>
      <c r="L70">
        <v>3622.22</v>
      </c>
      <c r="M70">
        <v>22.22</v>
      </c>
      <c r="N70" s="1" t="s">
        <v>59</v>
      </c>
      <c r="O70" s="2">
        <v>45942.979745370372</v>
      </c>
      <c r="P70" s="2">
        <v>45944.735902777778</v>
      </c>
      <c r="Q70" s="2">
        <v>45946.753842592596</v>
      </c>
      <c r="R70" s="1" t="s">
        <v>1312</v>
      </c>
      <c r="S70" s="1" t="s">
        <v>351</v>
      </c>
      <c r="T70" s="2">
        <v>45943.814467592594</v>
      </c>
      <c r="U70" s="1" t="s">
        <v>61</v>
      </c>
      <c r="V70" s="1" t="s">
        <v>62</v>
      </c>
      <c r="W70" s="1" t="s">
        <v>61</v>
      </c>
      <c r="X70" s="1" t="s">
        <v>61</v>
      </c>
      <c r="Y70" s="1" t="s">
        <v>1313</v>
      </c>
      <c r="Z70" s="1" t="s">
        <v>74</v>
      </c>
      <c r="AA70" s="1" t="s">
        <v>75</v>
      </c>
      <c r="AB70" s="1" t="s">
        <v>61</v>
      </c>
      <c r="AC70" s="1" t="s">
        <v>61</v>
      </c>
      <c r="AD70" s="2">
        <v>45954.629421296297</v>
      </c>
      <c r="AE70" s="1" t="s">
        <v>63</v>
      </c>
      <c r="AF70" s="1" t="s">
        <v>61</v>
      </c>
      <c r="AG70" s="1" t="s">
        <v>408</v>
      </c>
      <c r="AH70" s="1" t="s">
        <v>318</v>
      </c>
      <c r="AI70">
        <v>400076</v>
      </c>
      <c r="AJ70" s="1" t="s">
        <v>66</v>
      </c>
      <c r="AK70" s="1" t="s">
        <v>67</v>
      </c>
      <c r="AL70">
        <v>62042300</v>
      </c>
      <c r="AM70" s="2"/>
      <c r="AN70">
        <v>3600</v>
      </c>
      <c r="AO70" s="1" t="s">
        <v>1314</v>
      </c>
      <c r="AP70" s="1" t="s">
        <v>650</v>
      </c>
      <c r="AQ70" s="1" t="s">
        <v>61</v>
      </c>
      <c r="AR70" s="1" t="s">
        <v>63</v>
      </c>
      <c r="AS70">
        <v>18</v>
      </c>
      <c r="AT70">
        <v>9</v>
      </c>
      <c r="AU70">
        <v>9</v>
      </c>
      <c r="AV70">
        <v>0</v>
      </c>
      <c r="AW70">
        <v>549.15300000000002</v>
      </c>
      <c r="AX70">
        <v>274.577</v>
      </c>
      <c r="AY70">
        <v>274.577</v>
      </c>
      <c r="AZ70">
        <v>0</v>
      </c>
      <c r="BA70" s="2"/>
      <c r="BB70">
        <v>0.85</v>
      </c>
      <c r="BC70" s="2">
        <v>45945.5</v>
      </c>
      <c r="BD70" s="27">
        <f>MarketPlace_Order_Report__2[[#This Row],[UnitPrice]]*MarketPlace_Order_Report__2[[#This Row],[OrderQty]]</f>
        <v>3600</v>
      </c>
      <c r="BE70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70" s="27">
        <f>MarketPlace_Order_Report__2[[#This Row],[Gross Amount (Before Tax)]]+MarketPlace_Order_Report__2[[#This Row],[Total GST Amount]]</f>
        <v>4149.1540000000005</v>
      </c>
    </row>
    <row r="71" spans="1:58">
      <c r="A71" s="1" t="s">
        <v>1302</v>
      </c>
      <c r="B71" s="1" t="s">
        <v>1303</v>
      </c>
      <c r="C71" s="1" t="s">
        <v>321</v>
      </c>
      <c r="D71" s="1" t="s">
        <v>322</v>
      </c>
      <c r="E71">
        <v>4</v>
      </c>
      <c r="F71" s="1" t="s">
        <v>71</v>
      </c>
      <c r="G71">
        <v>1</v>
      </c>
      <c r="H71">
        <v>1</v>
      </c>
      <c r="I71">
        <v>4000</v>
      </c>
      <c r="J71">
        <v>3600</v>
      </c>
      <c r="K71">
        <v>0</v>
      </c>
      <c r="L71">
        <v>3600</v>
      </c>
      <c r="M71">
        <v>0</v>
      </c>
      <c r="N71" s="1" t="s">
        <v>59</v>
      </c>
      <c r="O71" s="2">
        <v>45953.643761574072</v>
      </c>
      <c r="P71" s="2">
        <v>45954.762499999997</v>
      </c>
      <c r="Q71" s="2">
        <v>45956.401388888888</v>
      </c>
      <c r="R71" s="1" t="s">
        <v>1304</v>
      </c>
      <c r="S71" s="1" t="s">
        <v>988</v>
      </c>
      <c r="T71" s="2">
        <v>45954.500509259262</v>
      </c>
      <c r="U71" s="1" t="s">
        <v>61</v>
      </c>
      <c r="V71" s="1" t="s">
        <v>62</v>
      </c>
      <c r="W71" s="1" t="s">
        <v>61</v>
      </c>
      <c r="X71" s="1" t="s">
        <v>61</v>
      </c>
      <c r="Y71" s="1" t="s">
        <v>1315</v>
      </c>
      <c r="Z71" s="1" t="s">
        <v>74</v>
      </c>
      <c r="AA71" s="1" t="s">
        <v>414</v>
      </c>
      <c r="AB71" s="1" t="s">
        <v>61</v>
      </c>
      <c r="AC71" s="1" t="s">
        <v>61</v>
      </c>
      <c r="AD71" s="2">
        <v>45957.79619212963</v>
      </c>
      <c r="AE71" s="1" t="s">
        <v>63</v>
      </c>
      <c r="AF71" s="1" t="s">
        <v>61</v>
      </c>
      <c r="AG71" s="1" t="s">
        <v>324</v>
      </c>
      <c r="AH71" s="1" t="s">
        <v>318</v>
      </c>
      <c r="AI71">
        <v>411014</v>
      </c>
      <c r="AJ71" s="1" t="s">
        <v>66</v>
      </c>
      <c r="AK71" s="1" t="s">
        <v>67</v>
      </c>
      <c r="AL71">
        <v>62042300</v>
      </c>
      <c r="AM71" s="2"/>
      <c r="AN71">
        <v>3600</v>
      </c>
      <c r="AO71" s="1" t="s">
        <v>1305</v>
      </c>
      <c r="AP71" s="1" t="s">
        <v>381</v>
      </c>
      <c r="AQ71" s="1" t="s">
        <v>61</v>
      </c>
      <c r="AR71" s="1" t="s">
        <v>63</v>
      </c>
      <c r="AS71">
        <v>18</v>
      </c>
      <c r="AT71">
        <v>9</v>
      </c>
      <c r="AU71">
        <v>9</v>
      </c>
      <c r="AV71">
        <v>0</v>
      </c>
      <c r="AW71">
        <v>549.15300000000002</v>
      </c>
      <c r="AX71">
        <v>274.577</v>
      </c>
      <c r="AY71">
        <v>274.577</v>
      </c>
      <c r="AZ71">
        <v>0</v>
      </c>
      <c r="BA71" s="2"/>
      <c r="BB71">
        <v>1.2</v>
      </c>
      <c r="BC71" s="2">
        <v>45956.5</v>
      </c>
      <c r="BD71" s="27">
        <f>MarketPlace_Order_Report__2[[#This Row],[UnitPrice]]*MarketPlace_Order_Report__2[[#This Row],[OrderQty]]</f>
        <v>3600</v>
      </c>
      <c r="BE71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71" s="27">
        <f>MarketPlace_Order_Report__2[[#This Row],[Gross Amount (Before Tax)]]+MarketPlace_Order_Report__2[[#This Row],[Total GST Amount]]</f>
        <v>4149.1540000000005</v>
      </c>
    </row>
    <row r="72" spans="1:58">
      <c r="A72" s="1" t="s">
        <v>1316</v>
      </c>
      <c r="B72" s="1" t="s">
        <v>1317</v>
      </c>
      <c r="C72" s="1" t="s">
        <v>332</v>
      </c>
      <c r="D72" s="1" t="s">
        <v>333</v>
      </c>
      <c r="E72">
        <v>2</v>
      </c>
      <c r="F72" s="1" t="s">
        <v>58</v>
      </c>
      <c r="G72">
        <v>1</v>
      </c>
      <c r="H72">
        <v>1</v>
      </c>
      <c r="I72">
        <v>4000</v>
      </c>
      <c r="J72">
        <v>3600</v>
      </c>
      <c r="K72">
        <v>0</v>
      </c>
      <c r="L72">
        <v>3609.759</v>
      </c>
      <c r="M72">
        <v>9.7590000000000003</v>
      </c>
      <c r="N72" s="1" t="s">
        <v>59</v>
      </c>
      <c r="O72" s="2">
        <v>45958.070393518516</v>
      </c>
      <c r="P72" s="2">
        <v>45958.715520833335</v>
      </c>
      <c r="Q72" s="2">
        <v>45960.514664351853</v>
      </c>
      <c r="R72" s="1" t="s">
        <v>1318</v>
      </c>
      <c r="S72" s="1" t="s">
        <v>60</v>
      </c>
      <c r="T72" s="2">
        <v>45958.543113425927</v>
      </c>
      <c r="U72" s="1" t="s">
        <v>61</v>
      </c>
      <c r="V72" s="1" t="s">
        <v>62</v>
      </c>
      <c r="W72" s="1" t="s">
        <v>61</v>
      </c>
      <c r="X72" s="1" t="s">
        <v>61</v>
      </c>
      <c r="Y72" s="1" t="s">
        <v>61</v>
      </c>
      <c r="Z72" s="1" t="s">
        <v>61</v>
      </c>
      <c r="AA72" s="1" t="s">
        <v>61</v>
      </c>
      <c r="AB72" s="1" t="s">
        <v>61</v>
      </c>
      <c r="AC72" s="1" t="s">
        <v>61</v>
      </c>
      <c r="AD72" s="2">
        <v>45960.518541666665</v>
      </c>
      <c r="AE72" s="1" t="s">
        <v>63</v>
      </c>
      <c r="AF72" s="1" t="s">
        <v>61</v>
      </c>
      <c r="AG72" s="1" t="s">
        <v>182</v>
      </c>
      <c r="AH72" s="1" t="s">
        <v>183</v>
      </c>
      <c r="AI72">
        <v>110031</v>
      </c>
      <c r="AJ72" s="1" t="s">
        <v>66</v>
      </c>
      <c r="AK72" s="1" t="s">
        <v>67</v>
      </c>
      <c r="AL72">
        <v>62042300</v>
      </c>
      <c r="AM72" s="2"/>
      <c r="AN72">
        <v>3600</v>
      </c>
      <c r="AO72" s="1" t="s">
        <v>1319</v>
      </c>
      <c r="AP72" s="1" t="s">
        <v>1320</v>
      </c>
      <c r="AQ72" s="1" t="s">
        <v>61</v>
      </c>
      <c r="AR72" s="1" t="s">
        <v>63</v>
      </c>
      <c r="AS72">
        <v>18</v>
      </c>
      <c r="AT72">
        <v>0</v>
      </c>
      <c r="AU72">
        <v>0</v>
      </c>
      <c r="AV72">
        <v>18</v>
      </c>
      <c r="AW72">
        <v>549.15300000000002</v>
      </c>
      <c r="AX72">
        <v>0</v>
      </c>
      <c r="AY72">
        <v>0</v>
      </c>
      <c r="AZ72">
        <v>549.15300000000002</v>
      </c>
      <c r="BA72" s="2"/>
      <c r="BB72">
        <v>1.2</v>
      </c>
      <c r="BC72" s="2">
        <v>45960.5</v>
      </c>
      <c r="BD72" s="27">
        <f>MarketPlace_Order_Report__2[[#This Row],[UnitPrice]]*MarketPlace_Order_Report__2[[#This Row],[OrderQty]]</f>
        <v>3600</v>
      </c>
      <c r="BE72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2" s="27">
        <f>MarketPlace_Order_Report__2[[#This Row],[Gross Amount (Before Tax)]]+MarketPlace_Order_Report__2[[#This Row],[Total GST Amount]]</f>
        <v>4149.1530000000002</v>
      </c>
    </row>
    <row r="73" spans="1:58">
      <c r="A73" s="1" t="s">
        <v>1321</v>
      </c>
      <c r="B73" s="1" t="s">
        <v>1322</v>
      </c>
      <c r="C73" s="1" t="s">
        <v>1323</v>
      </c>
      <c r="D73" s="1" t="s">
        <v>1324</v>
      </c>
      <c r="E73">
        <v>5</v>
      </c>
      <c r="F73" s="1" t="s">
        <v>1076</v>
      </c>
      <c r="G73">
        <v>1</v>
      </c>
      <c r="H73">
        <v>1</v>
      </c>
      <c r="I73">
        <v>4000</v>
      </c>
      <c r="J73">
        <v>3600</v>
      </c>
      <c r="K73">
        <v>0</v>
      </c>
      <c r="L73">
        <v>3603.62</v>
      </c>
      <c r="M73">
        <v>3.62</v>
      </c>
      <c r="N73" s="1" t="s">
        <v>59</v>
      </c>
      <c r="O73" s="2">
        <v>45933.423958333333</v>
      </c>
      <c r="P73" s="2">
        <v>45934.620092592595</v>
      </c>
      <c r="Q73" s="2"/>
      <c r="R73" s="1" t="s">
        <v>1325</v>
      </c>
      <c r="S73" s="1" t="s">
        <v>73</v>
      </c>
      <c r="T73" s="2">
        <v>45933.815833333334</v>
      </c>
      <c r="U73" s="1" t="s">
        <v>61</v>
      </c>
      <c r="V73" s="1" t="s">
        <v>62</v>
      </c>
      <c r="W73" s="1" t="s">
        <v>61</v>
      </c>
      <c r="X73" s="1" t="s">
        <v>61</v>
      </c>
      <c r="Y73" s="1" t="s">
        <v>61</v>
      </c>
      <c r="Z73" s="1" t="s">
        <v>61</v>
      </c>
      <c r="AA73" s="1" t="s">
        <v>61</v>
      </c>
      <c r="AB73" s="1" t="s">
        <v>61</v>
      </c>
      <c r="AC73" s="1" t="s">
        <v>61</v>
      </c>
      <c r="AD73" s="2">
        <v>45948.046018518522</v>
      </c>
      <c r="AE73" s="1" t="s">
        <v>63</v>
      </c>
      <c r="AF73" s="1" t="s">
        <v>61</v>
      </c>
      <c r="AG73" s="1" t="s">
        <v>76</v>
      </c>
      <c r="AH73" s="1" t="s">
        <v>77</v>
      </c>
      <c r="AI73">
        <v>201009</v>
      </c>
      <c r="AJ73" s="1" t="s">
        <v>66</v>
      </c>
      <c r="AK73" s="1" t="s">
        <v>67</v>
      </c>
      <c r="AL73">
        <v>62042300</v>
      </c>
      <c r="AM73" s="2"/>
      <c r="AN73">
        <v>3600</v>
      </c>
      <c r="AO73" s="1" t="s">
        <v>1326</v>
      </c>
      <c r="AP73" s="1" t="s">
        <v>61</v>
      </c>
      <c r="AQ73" s="1" t="s">
        <v>61</v>
      </c>
      <c r="AR73" s="1" t="s">
        <v>63</v>
      </c>
      <c r="AS73">
        <v>18</v>
      </c>
      <c r="AT73">
        <v>0</v>
      </c>
      <c r="AU73">
        <v>0</v>
      </c>
      <c r="AV73">
        <v>18</v>
      </c>
      <c r="AW73">
        <v>549.15300000000002</v>
      </c>
      <c r="AX73">
        <v>0</v>
      </c>
      <c r="AY73">
        <v>0</v>
      </c>
      <c r="AZ73">
        <v>549.15300000000002</v>
      </c>
      <c r="BA73" s="2"/>
      <c r="BB73">
        <v>0.85</v>
      </c>
      <c r="BC73" s="2">
        <v>45935.5</v>
      </c>
      <c r="BD73" s="27">
        <f>MarketPlace_Order_Report__2[[#This Row],[UnitPrice]]*MarketPlace_Order_Report__2[[#This Row],[OrderQty]]</f>
        <v>3600</v>
      </c>
      <c r="BE73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3" s="27">
        <f>MarketPlace_Order_Report__2[[#This Row],[Gross Amount (Before Tax)]]+MarketPlace_Order_Report__2[[#This Row],[Total GST Amount]]</f>
        <v>4149.1530000000002</v>
      </c>
    </row>
    <row r="74" spans="1:58">
      <c r="A74" s="1" t="s">
        <v>1327</v>
      </c>
      <c r="B74" s="1" t="s">
        <v>1328</v>
      </c>
      <c r="C74" s="1" t="s">
        <v>342</v>
      </c>
      <c r="D74" s="1" t="s">
        <v>343</v>
      </c>
      <c r="E74">
        <v>1</v>
      </c>
      <c r="F74" s="1" t="s">
        <v>950</v>
      </c>
      <c r="G74">
        <v>1</v>
      </c>
      <c r="H74">
        <v>0</v>
      </c>
      <c r="I74">
        <v>4000</v>
      </c>
      <c r="J74">
        <v>3600</v>
      </c>
      <c r="K74">
        <v>0</v>
      </c>
      <c r="L74">
        <v>3629</v>
      </c>
      <c r="M74">
        <v>29</v>
      </c>
      <c r="N74" s="1" t="s">
        <v>59</v>
      </c>
      <c r="O74" s="2">
        <v>45960.44568287037</v>
      </c>
      <c r="P74" s="2"/>
      <c r="Q74" s="2"/>
      <c r="R74" s="1" t="s">
        <v>1329</v>
      </c>
      <c r="S74" s="1" t="s">
        <v>60</v>
      </c>
      <c r="T74" s="2">
        <v>45961.517905092594</v>
      </c>
      <c r="U74" s="1" t="s">
        <v>61</v>
      </c>
      <c r="V74" s="1" t="s">
        <v>62</v>
      </c>
      <c r="W74" s="1" t="s">
        <v>61</v>
      </c>
      <c r="X74" s="1" t="s">
        <v>61</v>
      </c>
      <c r="Y74" s="1" t="s">
        <v>61</v>
      </c>
      <c r="Z74" s="1" t="s">
        <v>61</v>
      </c>
      <c r="AA74" s="1" t="s">
        <v>61</v>
      </c>
      <c r="AB74" s="1" t="s">
        <v>61</v>
      </c>
      <c r="AC74" s="1" t="s">
        <v>61</v>
      </c>
      <c r="AD74" s="2">
        <v>45961.517905092594</v>
      </c>
      <c r="AE74" s="1" t="s">
        <v>63</v>
      </c>
      <c r="AF74" s="1" t="s">
        <v>61</v>
      </c>
      <c r="AG74" s="1" t="s">
        <v>98</v>
      </c>
      <c r="AH74" s="1" t="s">
        <v>99</v>
      </c>
      <c r="AI74">
        <v>122004</v>
      </c>
      <c r="AJ74" s="1" t="s">
        <v>66</v>
      </c>
      <c r="AK74" s="1" t="s">
        <v>67</v>
      </c>
      <c r="AL74">
        <v>62042300</v>
      </c>
      <c r="AM74" s="2"/>
      <c r="AN74">
        <v>3600</v>
      </c>
      <c r="AO74" s="1" t="s">
        <v>1330</v>
      </c>
      <c r="AP74" s="1" t="s">
        <v>409</v>
      </c>
      <c r="AQ74" s="1" t="s">
        <v>61</v>
      </c>
      <c r="AR74" s="1" t="s">
        <v>63</v>
      </c>
      <c r="AS74">
        <v>18</v>
      </c>
      <c r="AT74">
        <v>0</v>
      </c>
      <c r="AU74">
        <v>0</v>
      </c>
      <c r="AV74">
        <v>18</v>
      </c>
      <c r="AW74">
        <v>549.15300000000002</v>
      </c>
      <c r="AX74">
        <v>0</v>
      </c>
      <c r="AY74">
        <v>0</v>
      </c>
      <c r="AZ74">
        <v>549.15300000000002</v>
      </c>
      <c r="BA74" s="2"/>
      <c r="BB74">
        <v>0.85</v>
      </c>
      <c r="BC74" s="2">
        <v>45962.5</v>
      </c>
      <c r="BD74" s="27">
        <f>MarketPlace_Order_Report__2[[#This Row],[UnitPrice]]*MarketPlace_Order_Report__2[[#This Row],[OrderQty]]</f>
        <v>3600</v>
      </c>
      <c r="BE74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4" s="27">
        <f>MarketPlace_Order_Report__2[[#This Row],[Gross Amount (Before Tax)]]+MarketPlace_Order_Report__2[[#This Row],[Total GST Amount]]</f>
        <v>4149.1530000000002</v>
      </c>
    </row>
    <row r="75" spans="1:58">
      <c r="A75" s="1" t="s">
        <v>1331</v>
      </c>
      <c r="B75" s="1" t="s">
        <v>1332</v>
      </c>
      <c r="C75" s="1" t="s">
        <v>346</v>
      </c>
      <c r="D75" s="1" t="s">
        <v>347</v>
      </c>
      <c r="E75">
        <v>4</v>
      </c>
      <c r="F75" s="1" t="s">
        <v>58</v>
      </c>
      <c r="G75">
        <v>1</v>
      </c>
      <c r="H75">
        <v>1</v>
      </c>
      <c r="I75">
        <v>4000</v>
      </c>
      <c r="J75">
        <v>3600</v>
      </c>
      <c r="K75">
        <v>0</v>
      </c>
      <c r="L75">
        <v>3608.18</v>
      </c>
      <c r="M75">
        <v>8.18</v>
      </c>
      <c r="N75" s="1" t="s">
        <v>59</v>
      </c>
      <c r="O75" s="2">
        <v>45937.021516203706</v>
      </c>
      <c r="P75" s="2">
        <v>45938.718182870369</v>
      </c>
      <c r="Q75" s="2">
        <v>45942.618530092594</v>
      </c>
      <c r="R75" s="1" t="s">
        <v>1333</v>
      </c>
      <c r="S75" s="1" t="s">
        <v>351</v>
      </c>
      <c r="T75" s="2">
        <v>45937.717673611114</v>
      </c>
      <c r="U75" s="1" t="s">
        <v>61</v>
      </c>
      <c r="V75" s="1" t="s">
        <v>62</v>
      </c>
      <c r="W75" s="1" t="s">
        <v>61</v>
      </c>
      <c r="X75" s="1" t="s">
        <v>61</v>
      </c>
      <c r="Y75" s="1" t="s">
        <v>61</v>
      </c>
      <c r="Z75" s="1" t="s">
        <v>61</v>
      </c>
      <c r="AA75" s="1" t="s">
        <v>61</v>
      </c>
      <c r="AB75" s="1" t="s">
        <v>61</v>
      </c>
      <c r="AC75" s="1" t="s">
        <v>61</v>
      </c>
      <c r="AD75" s="2">
        <v>45942.618958333333</v>
      </c>
      <c r="AE75" s="1" t="s">
        <v>63</v>
      </c>
      <c r="AF75" s="1" t="s">
        <v>61</v>
      </c>
      <c r="AG75" s="1" t="s">
        <v>448</v>
      </c>
      <c r="AH75" s="1" t="s">
        <v>449</v>
      </c>
      <c r="AI75">
        <v>492099</v>
      </c>
      <c r="AJ75" s="1" t="s">
        <v>66</v>
      </c>
      <c r="AK75" s="1" t="s">
        <v>67</v>
      </c>
      <c r="AL75">
        <v>62042300</v>
      </c>
      <c r="AM75" s="2"/>
      <c r="AN75">
        <v>3600</v>
      </c>
      <c r="AO75" s="1" t="s">
        <v>1334</v>
      </c>
      <c r="AP75" s="1" t="s">
        <v>1335</v>
      </c>
      <c r="AQ75" s="1" t="s">
        <v>61</v>
      </c>
      <c r="AR75" s="1" t="s">
        <v>63</v>
      </c>
      <c r="AS75">
        <v>18</v>
      </c>
      <c r="AT75">
        <v>0</v>
      </c>
      <c r="AU75">
        <v>0</v>
      </c>
      <c r="AV75">
        <v>18</v>
      </c>
      <c r="AW75">
        <v>549.15300000000002</v>
      </c>
      <c r="AX75">
        <v>0</v>
      </c>
      <c r="AY75">
        <v>0</v>
      </c>
      <c r="AZ75">
        <v>549.15300000000002</v>
      </c>
      <c r="BA75" s="2"/>
      <c r="BB75">
        <v>0.85</v>
      </c>
      <c r="BC75" s="2">
        <v>45939.5</v>
      </c>
      <c r="BD75" s="27">
        <f>MarketPlace_Order_Report__2[[#This Row],[UnitPrice]]*MarketPlace_Order_Report__2[[#This Row],[OrderQty]]</f>
        <v>3600</v>
      </c>
      <c r="BE75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5" s="27">
        <f>MarketPlace_Order_Report__2[[#This Row],[Gross Amount (Before Tax)]]+MarketPlace_Order_Report__2[[#This Row],[Total GST Amount]]</f>
        <v>4149.1530000000002</v>
      </c>
    </row>
    <row r="76" spans="1:58">
      <c r="A76" s="1" t="s">
        <v>1336</v>
      </c>
      <c r="B76" s="1" t="s">
        <v>1337</v>
      </c>
      <c r="C76" s="1" t="s">
        <v>1338</v>
      </c>
      <c r="D76" s="1" t="s">
        <v>1339</v>
      </c>
      <c r="E76">
        <v>1</v>
      </c>
      <c r="F76" s="1" t="s">
        <v>58</v>
      </c>
      <c r="G76">
        <v>1</v>
      </c>
      <c r="H76">
        <v>1</v>
      </c>
      <c r="I76">
        <v>4000</v>
      </c>
      <c r="J76">
        <v>3600</v>
      </c>
      <c r="K76">
        <v>0</v>
      </c>
      <c r="L76">
        <v>3600</v>
      </c>
      <c r="M76">
        <v>0</v>
      </c>
      <c r="N76" s="1" t="s">
        <v>59</v>
      </c>
      <c r="O76" s="2">
        <v>45937.655972222223</v>
      </c>
      <c r="P76" s="2">
        <v>45938.717442129629</v>
      </c>
      <c r="Q76" s="2">
        <v>45942.558437500003</v>
      </c>
      <c r="R76" s="1" t="s">
        <v>1340</v>
      </c>
      <c r="S76" s="1" t="s">
        <v>60</v>
      </c>
      <c r="T76" s="2">
        <v>45937.717673611114</v>
      </c>
      <c r="U76" s="1" t="s">
        <v>61</v>
      </c>
      <c r="V76" s="1" t="s">
        <v>62</v>
      </c>
      <c r="W76" s="1" t="s">
        <v>61</v>
      </c>
      <c r="X76" s="1" t="s">
        <v>61</v>
      </c>
      <c r="Y76" s="1" t="s">
        <v>61</v>
      </c>
      <c r="Z76" s="1" t="s">
        <v>61</v>
      </c>
      <c r="AA76" s="1" t="s">
        <v>61</v>
      </c>
      <c r="AB76" s="1" t="s">
        <v>61</v>
      </c>
      <c r="AC76" s="1" t="s">
        <v>61</v>
      </c>
      <c r="AD76" s="2">
        <v>45942.559930555559</v>
      </c>
      <c r="AE76" s="1" t="s">
        <v>63</v>
      </c>
      <c r="AF76" s="1" t="s">
        <v>61</v>
      </c>
      <c r="AG76" s="1" t="s">
        <v>1341</v>
      </c>
      <c r="AH76" s="1" t="s">
        <v>215</v>
      </c>
      <c r="AI76">
        <v>759147</v>
      </c>
      <c r="AJ76" s="1" t="s">
        <v>66</v>
      </c>
      <c r="AK76" s="1" t="s">
        <v>67</v>
      </c>
      <c r="AL76">
        <v>62042300</v>
      </c>
      <c r="AM76" s="2"/>
      <c r="AN76">
        <v>3600</v>
      </c>
      <c r="AO76" s="1" t="s">
        <v>1342</v>
      </c>
      <c r="AP76" s="1" t="s">
        <v>61</v>
      </c>
      <c r="AQ76" s="1" t="s">
        <v>61</v>
      </c>
      <c r="AR76" s="1" t="s">
        <v>63</v>
      </c>
      <c r="AS76">
        <v>18</v>
      </c>
      <c r="AT76">
        <v>0</v>
      </c>
      <c r="AU76">
        <v>0</v>
      </c>
      <c r="AV76">
        <v>18</v>
      </c>
      <c r="AW76">
        <v>549.15300000000002</v>
      </c>
      <c r="AX76">
        <v>0</v>
      </c>
      <c r="AY76">
        <v>0</v>
      </c>
      <c r="AZ76">
        <v>549.15300000000002</v>
      </c>
      <c r="BA76" s="2"/>
      <c r="BB76">
        <v>0.85</v>
      </c>
      <c r="BC76" s="2">
        <v>45940.5</v>
      </c>
      <c r="BD76" s="27">
        <f>MarketPlace_Order_Report__2[[#This Row],[UnitPrice]]*MarketPlace_Order_Report__2[[#This Row],[OrderQty]]</f>
        <v>3600</v>
      </c>
      <c r="BE76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6" s="27">
        <f>MarketPlace_Order_Report__2[[#This Row],[Gross Amount (Before Tax)]]+MarketPlace_Order_Report__2[[#This Row],[Total GST Amount]]</f>
        <v>4149.1530000000002</v>
      </c>
    </row>
    <row r="77" spans="1:58">
      <c r="A77" s="1" t="s">
        <v>1343</v>
      </c>
      <c r="B77" s="1" t="s">
        <v>1344</v>
      </c>
      <c r="C77" s="1" t="s">
        <v>376</v>
      </c>
      <c r="D77" s="1" t="s">
        <v>377</v>
      </c>
      <c r="E77">
        <v>2</v>
      </c>
      <c r="F77" s="1" t="s">
        <v>71</v>
      </c>
      <c r="G77">
        <v>1</v>
      </c>
      <c r="H77">
        <v>1</v>
      </c>
      <c r="I77">
        <v>4000</v>
      </c>
      <c r="J77">
        <v>3600</v>
      </c>
      <c r="K77">
        <v>0</v>
      </c>
      <c r="L77">
        <v>3614.5749999999998</v>
      </c>
      <c r="M77">
        <v>14.574999999999999</v>
      </c>
      <c r="N77" s="1" t="s">
        <v>59</v>
      </c>
      <c r="O77" s="2">
        <v>45942.706701388888</v>
      </c>
      <c r="P77" s="2">
        <v>45944.741712962961</v>
      </c>
      <c r="Q77" s="2">
        <v>45948.507592592592</v>
      </c>
      <c r="R77" s="1" t="s">
        <v>1345</v>
      </c>
      <c r="S77" s="1" t="s">
        <v>60</v>
      </c>
      <c r="T77" s="2">
        <v>45943.814479166664</v>
      </c>
      <c r="U77" s="1" t="s">
        <v>61</v>
      </c>
      <c r="V77" s="1" t="s">
        <v>62</v>
      </c>
      <c r="W77" s="1" t="s">
        <v>61</v>
      </c>
      <c r="X77" s="1" t="s">
        <v>61</v>
      </c>
      <c r="Y77" s="1" t="s">
        <v>1346</v>
      </c>
      <c r="Z77" s="1" t="s">
        <v>74</v>
      </c>
      <c r="AA77" s="1" t="s">
        <v>75</v>
      </c>
      <c r="AB77" s="1" t="s">
        <v>61</v>
      </c>
      <c r="AC77" s="1" t="s">
        <v>61</v>
      </c>
      <c r="AD77" s="2">
        <v>45959.907002314816</v>
      </c>
      <c r="AE77" s="1" t="s">
        <v>63</v>
      </c>
      <c r="AF77" s="1" t="s">
        <v>61</v>
      </c>
      <c r="AG77" s="1" t="s">
        <v>574</v>
      </c>
      <c r="AH77" s="1" t="s">
        <v>215</v>
      </c>
      <c r="AI77">
        <v>770076</v>
      </c>
      <c r="AJ77" s="1" t="s">
        <v>66</v>
      </c>
      <c r="AK77" s="1" t="s">
        <v>67</v>
      </c>
      <c r="AL77">
        <v>62042300</v>
      </c>
      <c r="AM77" s="2"/>
      <c r="AN77">
        <v>3600</v>
      </c>
      <c r="AO77" s="1" t="s">
        <v>1347</v>
      </c>
      <c r="AP77" s="1" t="s">
        <v>61</v>
      </c>
      <c r="AQ77" s="1" t="s">
        <v>61</v>
      </c>
      <c r="AR77" s="1" t="s">
        <v>63</v>
      </c>
      <c r="AS77">
        <v>18</v>
      </c>
      <c r="AT77">
        <v>0</v>
      </c>
      <c r="AU77">
        <v>0</v>
      </c>
      <c r="AV77">
        <v>18</v>
      </c>
      <c r="AW77">
        <v>549.15300000000002</v>
      </c>
      <c r="AX77">
        <v>0</v>
      </c>
      <c r="AY77">
        <v>0</v>
      </c>
      <c r="AZ77">
        <v>549.15300000000002</v>
      </c>
      <c r="BA77" s="2"/>
      <c r="BB77">
        <v>1.2</v>
      </c>
      <c r="BC77" s="2">
        <v>45945.5</v>
      </c>
      <c r="BD77" s="27">
        <f>MarketPlace_Order_Report__2[[#This Row],[UnitPrice]]*MarketPlace_Order_Report__2[[#This Row],[OrderQty]]</f>
        <v>3600</v>
      </c>
      <c r="BE77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7" s="27">
        <f>MarketPlace_Order_Report__2[[#This Row],[Gross Amount (Before Tax)]]+MarketPlace_Order_Report__2[[#This Row],[Total GST Amount]]</f>
        <v>4149.1530000000002</v>
      </c>
    </row>
    <row r="78" spans="1:58">
      <c r="A78" s="1" t="s">
        <v>1348</v>
      </c>
      <c r="B78" s="1" t="s">
        <v>1349</v>
      </c>
      <c r="C78" s="1" t="s">
        <v>1350</v>
      </c>
      <c r="D78" s="1" t="s">
        <v>1351</v>
      </c>
      <c r="E78">
        <v>1</v>
      </c>
      <c r="F78" s="1" t="s">
        <v>58</v>
      </c>
      <c r="G78">
        <v>1</v>
      </c>
      <c r="H78">
        <v>1</v>
      </c>
      <c r="I78">
        <v>4000</v>
      </c>
      <c r="J78">
        <v>3600</v>
      </c>
      <c r="K78">
        <v>0</v>
      </c>
      <c r="L78">
        <v>3629</v>
      </c>
      <c r="M78">
        <v>29</v>
      </c>
      <c r="N78" s="1" t="s">
        <v>59</v>
      </c>
      <c r="O78" s="2">
        <v>45943.615289351852</v>
      </c>
      <c r="P78" s="2">
        <v>45944.738923611112</v>
      </c>
      <c r="Q78" s="2">
        <v>45947.510775462964</v>
      </c>
      <c r="R78" s="1" t="s">
        <v>1352</v>
      </c>
      <c r="S78" s="1" t="s">
        <v>60</v>
      </c>
      <c r="T78" s="2">
        <v>45943.814467592594</v>
      </c>
      <c r="U78" s="1" t="s">
        <v>61</v>
      </c>
      <c r="V78" s="1" t="s">
        <v>62</v>
      </c>
      <c r="W78" s="1" t="s">
        <v>61</v>
      </c>
      <c r="X78" s="1" t="s">
        <v>61</v>
      </c>
      <c r="Y78" s="1" t="s">
        <v>61</v>
      </c>
      <c r="Z78" s="1" t="s">
        <v>61</v>
      </c>
      <c r="AA78" s="1" t="s">
        <v>61</v>
      </c>
      <c r="AB78" s="1" t="s">
        <v>61</v>
      </c>
      <c r="AC78" s="1" t="s">
        <v>61</v>
      </c>
      <c r="AD78" s="2">
        <v>45947.514930555553</v>
      </c>
      <c r="AE78" s="1" t="s">
        <v>63</v>
      </c>
      <c r="AF78" s="1" t="s">
        <v>61</v>
      </c>
      <c r="AG78" s="1" t="s">
        <v>1053</v>
      </c>
      <c r="AH78" s="1" t="s">
        <v>77</v>
      </c>
      <c r="AI78">
        <v>273001</v>
      </c>
      <c r="AJ78" s="1" t="s">
        <v>66</v>
      </c>
      <c r="AK78" s="1" t="s">
        <v>67</v>
      </c>
      <c r="AL78">
        <v>62042300</v>
      </c>
      <c r="AM78" s="2"/>
      <c r="AN78">
        <v>3600</v>
      </c>
      <c r="AO78" s="1" t="s">
        <v>1353</v>
      </c>
      <c r="AP78" s="1" t="s">
        <v>209</v>
      </c>
      <c r="AQ78" s="1" t="s">
        <v>61</v>
      </c>
      <c r="AR78" s="1" t="s">
        <v>63</v>
      </c>
      <c r="AS78">
        <v>18</v>
      </c>
      <c r="AT78">
        <v>0</v>
      </c>
      <c r="AU78">
        <v>0</v>
      </c>
      <c r="AV78">
        <v>18</v>
      </c>
      <c r="AW78">
        <v>549.15300000000002</v>
      </c>
      <c r="AX78">
        <v>0</v>
      </c>
      <c r="AY78">
        <v>0</v>
      </c>
      <c r="AZ78">
        <v>549.15300000000002</v>
      </c>
      <c r="BA78" s="2"/>
      <c r="BB78">
        <v>0.85</v>
      </c>
      <c r="BC78" s="2">
        <v>45946.5</v>
      </c>
      <c r="BD78" s="27">
        <f>MarketPlace_Order_Report__2[[#This Row],[UnitPrice]]*MarketPlace_Order_Report__2[[#This Row],[OrderQty]]</f>
        <v>3600</v>
      </c>
      <c r="BE78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8" s="27">
        <f>MarketPlace_Order_Report__2[[#This Row],[Gross Amount (Before Tax)]]+MarketPlace_Order_Report__2[[#This Row],[Total GST Amount]]</f>
        <v>4149.1530000000002</v>
      </c>
    </row>
    <row r="79" spans="1:58">
      <c r="A79" s="1" t="s">
        <v>1354</v>
      </c>
      <c r="B79" s="1" t="s">
        <v>1355</v>
      </c>
      <c r="C79" s="1" t="s">
        <v>1350</v>
      </c>
      <c r="D79" s="1" t="s">
        <v>1351</v>
      </c>
      <c r="E79">
        <v>4</v>
      </c>
      <c r="F79" s="1" t="s">
        <v>58</v>
      </c>
      <c r="G79">
        <v>1</v>
      </c>
      <c r="H79">
        <v>1</v>
      </c>
      <c r="I79">
        <v>4000</v>
      </c>
      <c r="J79">
        <v>3600</v>
      </c>
      <c r="K79">
        <v>0</v>
      </c>
      <c r="L79">
        <v>3616.06</v>
      </c>
      <c r="M79">
        <v>16.059999999999999</v>
      </c>
      <c r="N79" s="1" t="s">
        <v>59</v>
      </c>
      <c r="O79" s="2">
        <v>45936.828553240739</v>
      </c>
      <c r="P79" s="2">
        <v>45938.71770833333</v>
      </c>
      <c r="Q79" s="2">
        <v>45941.76935185185</v>
      </c>
      <c r="R79" s="1" t="s">
        <v>1356</v>
      </c>
      <c r="S79" s="1" t="s">
        <v>60</v>
      </c>
      <c r="T79" s="2">
        <v>45937.717673611114</v>
      </c>
      <c r="U79" s="1" t="s">
        <v>61</v>
      </c>
      <c r="V79" s="1" t="s">
        <v>62</v>
      </c>
      <c r="W79" s="1" t="s">
        <v>61</v>
      </c>
      <c r="X79" s="1" t="s">
        <v>61</v>
      </c>
      <c r="Y79" s="1" t="s">
        <v>61</v>
      </c>
      <c r="Z79" s="1" t="s">
        <v>61</v>
      </c>
      <c r="AA79" s="1" t="s">
        <v>61</v>
      </c>
      <c r="AB79" s="1" t="s">
        <v>61</v>
      </c>
      <c r="AC79" s="1" t="s">
        <v>61</v>
      </c>
      <c r="AD79" s="2">
        <v>45941.771793981483</v>
      </c>
      <c r="AE79" s="1" t="s">
        <v>63</v>
      </c>
      <c r="AF79" s="1" t="s">
        <v>61</v>
      </c>
      <c r="AG79" s="1" t="s">
        <v>124</v>
      </c>
      <c r="AH79" s="1" t="s">
        <v>99</v>
      </c>
      <c r="AI79">
        <v>122102</v>
      </c>
      <c r="AJ79" s="1" t="s">
        <v>66</v>
      </c>
      <c r="AK79" s="1" t="s">
        <v>67</v>
      </c>
      <c r="AL79">
        <v>62042300</v>
      </c>
      <c r="AM79" s="2"/>
      <c r="AN79">
        <v>3600</v>
      </c>
      <c r="AO79" s="1" t="s">
        <v>1357</v>
      </c>
      <c r="AP79" s="1" t="s">
        <v>61</v>
      </c>
      <c r="AQ79" s="1" t="s">
        <v>832</v>
      </c>
      <c r="AR79" s="1" t="s">
        <v>63</v>
      </c>
      <c r="AS79">
        <v>18</v>
      </c>
      <c r="AT79">
        <v>0</v>
      </c>
      <c r="AU79">
        <v>0</v>
      </c>
      <c r="AV79">
        <v>18</v>
      </c>
      <c r="AW79">
        <v>549.15300000000002</v>
      </c>
      <c r="AX79">
        <v>0</v>
      </c>
      <c r="AY79">
        <v>0</v>
      </c>
      <c r="AZ79">
        <v>549.15300000000002</v>
      </c>
      <c r="BA79" s="2">
        <v>45937.62195601852</v>
      </c>
      <c r="BB79">
        <v>0.85</v>
      </c>
      <c r="BC79" s="2">
        <v>45940.5</v>
      </c>
      <c r="BD79" s="27">
        <f>MarketPlace_Order_Report__2[[#This Row],[UnitPrice]]*MarketPlace_Order_Report__2[[#This Row],[OrderQty]]</f>
        <v>3600</v>
      </c>
      <c r="BE79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9" s="27">
        <f>MarketPlace_Order_Report__2[[#This Row],[Gross Amount (Before Tax)]]+MarketPlace_Order_Report__2[[#This Row],[Total GST Amount]]</f>
        <v>4149.1530000000002</v>
      </c>
    </row>
    <row r="80" spans="1:58">
      <c r="A80" s="1" t="s">
        <v>1167</v>
      </c>
      <c r="B80" s="1" t="s">
        <v>1168</v>
      </c>
      <c r="C80" s="1" t="s">
        <v>1350</v>
      </c>
      <c r="D80" s="1" t="s">
        <v>1351</v>
      </c>
      <c r="E80">
        <v>31</v>
      </c>
      <c r="F80" s="1" t="s">
        <v>58</v>
      </c>
      <c r="G80">
        <v>1</v>
      </c>
      <c r="H80">
        <v>1</v>
      </c>
      <c r="I80">
        <v>4000</v>
      </c>
      <c r="J80">
        <v>3600</v>
      </c>
      <c r="K80">
        <v>0</v>
      </c>
      <c r="L80">
        <v>3600</v>
      </c>
      <c r="M80">
        <v>0</v>
      </c>
      <c r="N80" s="1" t="s">
        <v>59</v>
      </c>
      <c r="O80" s="2">
        <v>45935.873217592591</v>
      </c>
      <c r="P80" s="2">
        <v>45937.725925925923</v>
      </c>
      <c r="Q80" s="2">
        <v>45940.739317129628</v>
      </c>
      <c r="R80" s="1" t="s">
        <v>1171</v>
      </c>
      <c r="S80" s="1" t="s">
        <v>60</v>
      </c>
      <c r="T80" s="2">
        <v>45936.813321759262</v>
      </c>
      <c r="U80" s="1" t="s">
        <v>61</v>
      </c>
      <c r="V80" s="1" t="s">
        <v>62</v>
      </c>
      <c r="W80" s="1" t="s">
        <v>61</v>
      </c>
      <c r="X80" s="1" t="s">
        <v>61</v>
      </c>
      <c r="Y80" s="1" t="s">
        <v>61</v>
      </c>
      <c r="Z80" s="1" t="s">
        <v>61</v>
      </c>
      <c r="AA80" s="1" t="s">
        <v>61</v>
      </c>
      <c r="AB80" s="1" t="s">
        <v>61</v>
      </c>
      <c r="AC80" s="1" t="s">
        <v>61</v>
      </c>
      <c r="AD80" s="2">
        <v>45940.740300925929</v>
      </c>
      <c r="AE80" s="1" t="s">
        <v>63</v>
      </c>
      <c r="AF80" s="1" t="s">
        <v>61</v>
      </c>
      <c r="AG80" s="1" t="s">
        <v>64</v>
      </c>
      <c r="AH80" s="1" t="s">
        <v>65</v>
      </c>
      <c r="AI80">
        <v>575001</v>
      </c>
      <c r="AJ80" s="1" t="s">
        <v>66</v>
      </c>
      <c r="AK80" s="1" t="s">
        <v>67</v>
      </c>
      <c r="AL80">
        <v>62042300</v>
      </c>
      <c r="AM80" s="2"/>
      <c r="AN80">
        <v>3600</v>
      </c>
      <c r="AO80" s="1" t="s">
        <v>1173</v>
      </c>
      <c r="AP80" s="1" t="s">
        <v>61</v>
      </c>
      <c r="AQ80" s="1" t="s">
        <v>61</v>
      </c>
      <c r="AR80" s="1" t="s">
        <v>63</v>
      </c>
      <c r="AS80">
        <v>18</v>
      </c>
      <c r="AT80">
        <v>0</v>
      </c>
      <c r="AU80">
        <v>0</v>
      </c>
      <c r="AV80">
        <v>18</v>
      </c>
      <c r="AW80">
        <v>549.15300000000002</v>
      </c>
      <c r="AX80">
        <v>0</v>
      </c>
      <c r="AY80">
        <v>0</v>
      </c>
      <c r="AZ80">
        <v>549.15300000000002</v>
      </c>
      <c r="BA80" s="2"/>
      <c r="BB80">
        <v>1.2</v>
      </c>
      <c r="BC80" s="2">
        <v>45938.5</v>
      </c>
      <c r="BD80" s="27">
        <f>MarketPlace_Order_Report__2[[#This Row],[UnitPrice]]*MarketPlace_Order_Report__2[[#This Row],[OrderQty]]</f>
        <v>3600</v>
      </c>
      <c r="BE80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80" s="27">
        <f>MarketPlace_Order_Report__2[[#This Row],[Gross Amount (Before Tax)]]+MarketPlace_Order_Report__2[[#This Row],[Total GST Amount]]</f>
        <v>4149.1530000000002</v>
      </c>
    </row>
    <row r="81" spans="1:58">
      <c r="A81" s="1" t="s">
        <v>1358</v>
      </c>
      <c r="B81" s="1" t="s">
        <v>1359</v>
      </c>
      <c r="C81" s="1" t="s">
        <v>1350</v>
      </c>
      <c r="D81" s="1" t="s">
        <v>1351</v>
      </c>
      <c r="E81">
        <v>1</v>
      </c>
      <c r="F81" s="1" t="s">
        <v>187</v>
      </c>
      <c r="G81">
        <v>1</v>
      </c>
      <c r="H81">
        <v>0</v>
      </c>
      <c r="I81">
        <v>4000</v>
      </c>
      <c r="J81">
        <v>3600</v>
      </c>
      <c r="K81">
        <v>0</v>
      </c>
      <c r="L81">
        <v>3649</v>
      </c>
      <c r="M81">
        <v>49</v>
      </c>
      <c r="N81" s="1" t="s">
        <v>72</v>
      </c>
      <c r="O81" s="2">
        <v>45935.469687500001</v>
      </c>
      <c r="P81" s="2"/>
      <c r="Q81" s="2"/>
      <c r="R81" s="1" t="s">
        <v>61</v>
      </c>
      <c r="S81" s="1" t="s">
        <v>73</v>
      </c>
      <c r="T81" s="2"/>
      <c r="U81" s="1" t="s">
        <v>1133</v>
      </c>
      <c r="V81" s="1" t="s">
        <v>62</v>
      </c>
      <c r="W81" s="1" t="s">
        <v>1134</v>
      </c>
      <c r="X81" s="1" t="s">
        <v>61</v>
      </c>
      <c r="Y81" s="1" t="s">
        <v>61</v>
      </c>
      <c r="Z81" s="1" t="s">
        <v>61</v>
      </c>
      <c r="AA81" s="1" t="s">
        <v>61</v>
      </c>
      <c r="AB81" s="1" t="s">
        <v>61</v>
      </c>
      <c r="AC81" s="1" t="s">
        <v>61</v>
      </c>
      <c r="AD81" s="2">
        <v>45935.687326388892</v>
      </c>
      <c r="AE81" s="1" t="s">
        <v>63</v>
      </c>
      <c r="AF81" s="1" t="s">
        <v>61</v>
      </c>
      <c r="AG81" s="1" t="s">
        <v>124</v>
      </c>
      <c r="AH81" s="1" t="s">
        <v>99</v>
      </c>
      <c r="AI81">
        <v>122102</v>
      </c>
      <c r="AJ81" s="1" t="s">
        <v>66</v>
      </c>
      <c r="AK81" s="1" t="s">
        <v>67</v>
      </c>
      <c r="AL81">
        <v>62042300</v>
      </c>
      <c r="AM81" s="2">
        <v>45935.687326388892</v>
      </c>
      <c r="AN81">
        <v>3600</v>
      </c>
      <c r="AO81" s="1" t="s">
        <v>61</v>
      </c>
      <c r="AP81" s="1" t="s">
        <v>209</v>
      </c>
      <c r="AQ81" s="1" t="s">
        <v>832</v>
      </c>
      <c r="AR81" s="1" t="s">
        <v>833</v>
      </c>
      <c r="AS81">
        <v>18</v>
      </c>
      <c r="AT81">
        <v>0</v>
      </c>
      <c r="AU81">
        <v>0</v>
      </c>
      <c r="AV81">
        <v>18</v>
      </c>
      <c r="AW81">
        <v>549.15300000000002</v>
      </c>
      <c r="AX81">
        <v>0</v>
      </c>
      <c r="AY81">
        <v>0</v>
      </c>
      <c r="AZ81">
        <v>549.15300000000002</v>
      </c>
      <c r="BA81" s="2"/>
      <c r="BC81" s="2">
        <v>45937.5</v>
      </c>
      <c r="BD81" s="27">
        <f>MarketPlace_Order_Report__2[[#This Row],[UnitPrice]]*MarketPlace_Order_Report__2[[#This Row],[OrderQty]]</f>
        <v>3600</v>
      </c>
      <c r="BE81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81" s="27">
        <f>MarketPlace_Order_Report__2[[#This Row],[Gross Amount (Before Tax)]]+MarketPlace_Order_Report__2[[#This Row],[Total GST Amount]]</f>
        <v>4149.1530000000002</v>
      </c>
    </row>
    <row r="82" spans="1:58">
      <c r="A82" s="1" t="s">
        <v>1360</v>
      </c>
      <c r="B82" s="1" t="s">
        <v>1361</v>
      </c>
      <c r="C82" s="1" t="s">
        <v>1362</v>
      </c>
      <c r="D82" s="1" t="s">
        <v>1363</v>
      </c>
      <c r="E82">
        <v>1</v>
      </c>
      <c r="F82" s="1" t="s">
        <v>187</v>
      </c>
      <c r="G82">
        <v>1</v>
      </c>
      <c r="H82">
        <v>0</v>
      </c>
      <c r="I82">
        <v>3000</v>
      </c>
      <c r="J82">
        <v>2700</v>
      </c>
      <c r="K82">
        <v>0</v>
      </c>
      <c r="L82">
        <v>2720</v>
      </c>
      <c r="M82">
        <v>20</v>
      </c>
      <c r="N82" s="1" t="s">
        <v>72</v>
      </c>
      <c r="O82" s="2">
        <v>45939.491307870368</v>
      </c>
      <c r="P82" s="2"/>
      <c r="Q82" s="2"/>
      <c r="R82" s="1" t="s">
        <v>61</v>
      </c>
      <c r="S82" s="1" t="s">
        <v>60</v>
      </c>
      <c r="T82" s="2"/>
      <c r="U82" s="1" t="s">
        <v>188</v>
      </c>
      <c r="V82" s="1" t="s">
        <v>62</v>
      </c>
      <c r="W82" s="1" t="s">
        <v>61</v>
      </c>
      <c r="X82" s="1" t="s">
        <v>61</v>
      </c>
      <c r="Y82" s="1" t="s">
        <v>61</v>
      </c>
      <c r="Z82" s="1" t="s">
        <v>61</v>
      </c>
      <c r="AA82" s="1" t="s">
        <v>61</v>
      </c>
      <c r="AB82" s="1" t="s">
        <v>61</v>
      </c>
      <c r="AC82" s="1" t="s">
        <v>61</v>
      </c>
      <c r="AD82" s="2">
        <v>45939.565474537034</v>
      </c>
      <c r="AE82" s="1" t="s">
        <v>63</v>
      </c>
      <c r="AF82" s="1" t="s">
        <v>61</v>
      </c>
      <c r="AG82" s="1" t="s">
        <v>1364</v>
      </c>
      <c r="AH82" s="1" t="s">
        <v>65</v>
      </c>
      <c r="AI82">
        <v>570019</v>
      </c>
      <c r="AJ82" s="1" t="s">
        <v>66</v>
      </c>
      <c r="AK82" s="1" t="s">
        <v>67</v>
      </c>
      <c r="AL82">
        <v>62042300</v>
      </c>
      <c r="AM82" s="2">
        <v>45939.565474537034</v>
      </c>
      <c r="AN82">
        <v>2700</v>
      </c>
      <c r="AO82" s="1" t="s">
        <v>61</v>
      </c>
      <c r="AP82" s="1" t="s">
        <v>61</v>
      </c>
      <c r="AQ82" s="1" t="s">
        <v>61</v>
      </c>
      <c r="AR82" s="1" t="s">
        <v>63</v>
      </c>
      <c r="AS82">
        <v>18</v>
      </c>
      <c r="AT82">
        <v>0</v>
      </c>
      <c r="AU82">
        <v>0</v>
      </c>
      <c r="AV82">
        <v>18</v>
      </c>
      <c r="AW82">
        <v>411.86399999999998</v>
      </c>
      <c r="AX82">
        <v>0</v>
      </c>
      <c r="AY82">
        <v>0</v>
      </c>
      <c r="AZ82">
        <v>411.86399999999998</v>
      </c>
      <c r="BA82" s="2"/>
      <c r="BC82" s="2">
        <v>45941.5</v>
      </c>
      <c r="BD82" s="27">
        <f>MarketPlace_Order_Report__2[[#This Row],[UnitPrice]]*MarketPlace_Order_Report__2[[#This Row],[OrderQty]]</f>
        <v>2700</v>
      </c>
      <c r="BE82" s="27">
        <f>IFERROR(MarketPlace_Order_Report__2[[#This Row],[CGSTAmount]]+MarketPlace_Order_Report__2[[#This Row],[SGSTAmount]]+MarketPlace_Order_Report__2[[#This Row],[IGSTAmount]],MarketPlace_Order_Report__2[[#This Row],[TaxAmount]])</f>
        <v>411.86399999999998</v>
      </c>
      <c r="BF82" s="27">
        <f>MarketPlace_Order_Report__2[[#This Row],[Gross Amount (Before Tax)]]+MarketPlace_Order_Report__2[[#This Row],[Total GST Amount]]</f>
        <v>3111.864</v>
      </c>
    </row>
    <row r="83" spans="1:58">
      <c r="A83" s="1" t="s">
        <v>1365</v>
      </c>
      <c r="B83" s="1" t="s">
        <v>1366</v>
      </c>
      <c r="C83" s="1" t="s">
        <v>1367</v>
      </c>
      <c r="D83" s="1" t="s">
        <v>1368</v>
      </c>
      <c r="E83">
        <v>4</v>
      </c>
      <c r="F83" s="1" t="s">
        <v>58</v>
      </c>
      <c r="G83">
        <v>1</v>
      </c>
      <c r="H83">
        <v>1</v>
      </c>
      <c r="I83">
        <v>4000</v>
      </c>
      <c r="J83">
        <v>3800</v>
      </c>
      <c r="K83">
        <v>0</v>
      </c>
      <c r="L83">
        <v>3808.03</v>
      </c>
      <c r="M83">
        <v>8.0299999999999994</v>
      </c>
      <c r="N83" s="1" t="s">
        <v>59</v>
      </c>
      <c r="O83" s="2">
        <v>45959.368321759262</v>
      </c>
      <c r="P83" s="2">
        <v>45959.704675925925</v>
      </c>
      <c r="Q83" s="2">
        <v>45961.526516203703</v>
      </c>
      <c r="R83" s="1" t="s">
        <v>1369</v>
      </c>
      <c r="S83" s="1" t="s">
        <v>60</v>
      </c>
      <c r="T83" s="2">
        <v>45959.459155092591</v>
      </c>
      <c r="U83" s="1" t="s">
        <v>61</v>
      </c>
      <c r="V83" s="1" t="s">
        <v>62</v>
      </c>
      <c r="W83" s="1" t="s">
        <v>61</v>
      </c>
      <c r="X83" s="1" t="s">
        <v>61</v>
      </c>
      <c r="Y83" s="1" t="s">
        <v>61</v>
      </c>
      <c r="Z83" s="1" t="s">
        <v>61</v>
      </c>
      <c r="AA83" s="1" t="s">
        <v>61</v>
      </c>
      <c r="AB83" s="1" t="s">
        <v>61</v>
      </c>
      <c r="AC83" s="1" t="s">
        <v>61</v>
      </c>
      <c r="AD83" s="2">
        <v>45961.528715277775</v>
      </c>
      <c r="AE83" s="1" t="s">
        <v>63</v>
      </c>
      <c r="AF83" s="1" t="s">
        <v>61</v>
      </c>
      <c r="AG83" s="1" t="s">
        <v>519</v>
      </c>
      <c r="AH83" s="1" t="s">
        <v>177</v>
      </c>
      <c r="AI83">
        <v>781038</v>
      </c>
      <c r="AJ83" s="1" t="s">
        <v>66</v>
      </c>
      <c r="AK83" s="1" t="s">
        <v>67</v>
      </c>
      <c r="AL83">
        <v>62044220</v>
      </c>
      <c r="AM83" s="2"/>
      <c r="AN83">
        <v>3800</v>
      </c>
      <c r="AO83" s="1" t="s">
        <v>1370</v>
      </c>
      <c r="AP83" s="1" t="s">
        <v>61</v>
      </c>
      <c r="AQ83" s="1" t="s">
        <v>61</v>
      </c>
      <c r="AR83" s="1" t="s">
        <v>63</v>
      </c>
      <c r="AS83">
        <v>18</v>
      </c>
      <c r="AT83">
        <v>0</v>
      </c>
      <c r="AU83">
        <v>0</v>
      </c>
      <c r="AV83">
        <v>18</v>
      </c>
      <c r="AW83">
        <v>579.66099999999994</v>
      </c>
      <c r="AX83">
        <v>0</v>
      </c>
      <c r="AY83">
        <v>0</v>
      </c>
      <c r="AZ83">
        <v>579.66099999999994</v>
      </c>
      <c r="BA83" s="2"/>
      <c r="BB83">
        <v>1.1000000000000001</v>
      </c>
      <c r="BC83" s="2">
        <v>45961.5</v>
      </c>
      <c r="BD83" s="27">
        <f>MarketPlace_Order_Report__2[[#This Row],[UnitPrice]]*MarketPlace_Order_Report__2[[#This Row],[OrderQty]]</f>
        <v>3800</v>
      </c>
      <c r="BE83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83" s="27">
        <f>MarketPlace_Order_Report__2[[#This Row],[Gross Amount (Before Tax)]]+MarketPlace_Order_Report__2[[#This Row],[Total GST Amount]]</f>
        <v>4379.6610000000001</v>
      </c>
    </row>
    <row r="84" spans="1:58">
      <c r="A84" s="1" t="s">
        <v>1371</v>
      </c>
      <c r="B84" s="1" t="s">
        <v>1372</v>
      </c>
      <c r="C84" s="1" t="s">
        <v>1373</v>
      </c>
      <c r="D84" s="1" t="s">
        <v>1374</v>
      </c>
      <c r="E84">
        <v>1</v>
      </c>
      <c r="F84" s="1" t="s">
        <v>71</v>
      </c>
      <c r="G84">
        <v>1</v>
      </c>
      <c r="H84">
        <v>1</v>
      </c>
      <c r="I84">
        <v>4000</v>
      </c>
      <c r="J84">
        <v>3800</v>
      </c>
      <c r="K84">
        <v>0</v>
      </c>
      <c r="L84">
        <v>3849</v>
      </c>
      <c r="M84">
        <v>49</v>
      </c>
      <c r="N84" s="1" t="s">
        <v>72</v>
      </c>
      <c r="O84" s="2">
        <v>45946.373414351852</v>
      </c>
      <c r="P84" s="2">
        <v>45948.728449074071</v>
      </c>
      <c r="Q84" s="2">
        <v>45952.608217592591</v>
      </c>
      <c r="R84" s="1" t="s">
        <v>1375</v>
      </c>
      <c r="S84" s="1" t="s">
        <v>60</v>
      </c>
      <c r="T84" s="2">
        <v>45947.713888888888</v>
      </c>
      <c r="U84" s="1" t="s">
        <v>61</v>
      </c>
      <c r="V84" s="1" t="s">
        <v>62</v>
      </c>
      <c r="W84" s="1" t="s">
        <v>61</v>
      </c>
      <c r="X84" s="1" t="s">
        <v>61</v>
      </c>
      <c r="Y84" s="1" t="s">
        <v>1376</v>
      </c>
      <c r="Z84" s="1" t="s">
        <v>74</v>
      </c>
      <c r="AA84" s="1" t="s">
        <v>414</v>
      </c>
      <c r="AB84" s="1" t="s">
        <v>61</v>
      </c>
      <c r="AC84" s="1" t="s">
        <v>61</v>
      </c>
      <c r="AD84" s="2">
        <v>45956.768819444442</v>
      </c>
      <c r="AE84" s="1" t="s">
        <v>63</v>
      </c>
      <c r="AF84" s="1" t="s">
        <v>61</v>
      </c>
      <c r="AG84" s="1" t="s">
        <v>182</v>
      </c>
      <c r="AH84" s="1" t="s">
        <v>183</v>
      </c>
      <c r="AI84">
        <v>110092</v>
      </c>
      <c r="AJ84" s="1" t="s">
        <v>66</v>
      </c>
      <c r="AK84" s="1" t="s">
        <v>67</v>
      </c>
      <c r="AL84">
        <v>62044220</v>
      </c>
      <c r="AM84" s="2"/>
      <c r="AN84">
        <v>3800</v>
      </c>
      <c r="AO84" s="1" t="s">
        <v>1377</v>
      </c>
      <c r="AP84" s="1" t="s">
        <v>209</v>
      </c>
      <c r="AQ84" s="1" t="s">
        <v>61</v>
      </c>
      <c r="AR84" s="1" t="s">
        <v>63</v>
      </c>
      <c r="AS84">
        <v>18</v>
      </c>
      <c r="AT84">
        <v>0</v>
      </c>
      <c r="AU84">
        <v>0</v>
      </c>
      <c r="AV84">
        <v>18</v>
      </c>
      <c r="AW84">
        <v>579.66099999999994</v>
      </c>
      <c r="AX84">
        <v>0</v>
      </c>
      <c r="AY84">
        <v>0</v>
      </c>
      <c r="AZ84">
        <v>579.66099999999994</v>
      </c>
      <c r="BA84" s="2"/>
      <c r="BB84">
        <v>0.75</v>
      </c>
      <c r="BC84" s="2">
        <v>45948.5</v>
      </c>
      <c r="BD84" s="27">
        <f>MarketPlace_Order_Report__2[[#This Row],[UnitPrice]]*MarketPlace_Order_Report__2[[#This Row],[OrderQty]]</f>
        <v>3800</v>
      </c>
      <c r="BE84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84" s="27">
        <f>MarketPlace_Order_Report__2[[#This Row],[Gross Amount (Before Tax)]]+MarketPlace_Order_Report__2[[#This Row],[Total GST Amount]]</f>
        <v>4379.6610000000001</v>
      </c>
    </row>
    <row r="85" spans="1:58">
      <c r="A85" s="1" t="s">
        <v>1378</v>
      </c>
      <c r="B85" s="1" t="s">
        <v>1379</v>
      </c>
      <c r="C85" s="1" t="s">
        <v>1380</v>
      </c>
      <c r="D85" s="1" t="s">
        <v>1381</v>
      </c>
      <c r="E85">
        <v>1</v>
      </c>
      <c r="F85" s="1" t="s">
        <v>58</v>
      </c>
      <c r="G85">
        <v>1</v>
      </c>
      <c r="H85">
        <v>1</v>
      </c>
      <c r="I85">
        <v>4000</v>
      </c>
      <c r="J85">
        <v>3800</v>
      </c>
      <c r="K85">
        <v>0</v>
      </c>
      <c r="L85">
        <v>3829</v>
      </c>
      <c r="M85">
        <v>29</v>
      </c>
      <c r="N85" s="1" t="s">
        <v>59</v>
      </c>
      <c r="O85" s="2">
        <v>45947.964398148149</v>
      </c>
      <c r="P85" s="2">
        <v>45954.732256944444</v>
      </c>
      <c r="Q85" s="2">
        <v>45959.600011574075</v>
      </c>
      <c r="R85" s="1" t="s">
        <v>1382</v>
      </c>
      <c r="S85" s="1" t="s">
        <v>60</v>
      </c>
      <c r="T85" s="2">
        <v>45948.802071759259</v>
      </c>
      <c r="U85" s="1" t="s">
        <v>61</v>
      </c>
      <c r="V85" s="1" t="s">
        <v>62</v>
      </c>
      <c r="W85" s="1" t="s">
        <v>61</v>
      </c>
      <c r="X85" s="1" t="s">
        <v>61</v>
      </c>
      <c r="Y85" s="1" t="s">
        <v>61</v>
      </c>
      <c r="Z85" s="1" t="s">
        <v>61</v>
      </c>
      <c r="AA85" s="1" t="s">
        <v>61</v>
      </c>
      <c r="AB85" s="1" t="s">
        <v>61</v>
      </c>
      <c r="AC85" s="1" t="s">
        <v>61</v>
      </c>
      <c r="AD85" s="2">
        <v>45959.608703703707</v>
      </c>
      <c r="AE85" s="1" t="s">
        <v>63</v>
      </c>
      <c r="AF85" s="1" t="s">
        <v>61</v>
      </c>
      <c r="AG85" s="1" t="s">
        <v>813</v>
      </c>
      <c r="AH85" s="1" t="s">
        <v>503</v>
      </c>
      <c r="AI85">
        <v>140603</v>
      </c>
      <c r="AJ85" s="1" t="s">
        <v>66</v>
      </c>
      <c r="AK85" s="1" t="s">
        <v>67</v>
      </c>
      <c r="AL85">
        <v>62044220</v>
      </c>
      <c r="AM85" s="2"/>
      <c r="AN85">
        <v>3800</v>
      </c>
      <c r="AO85" s="1" t="s">
        <v>1383</v>
      </c>
      <c r="AP85" s="1" t="s">
        <v>1105</v>
      </c>
      <c r="AQ85" s="1" t="s">
        <v>61</v>
      </c>
      <c r="AR85" s="1" t="s">
        <v>63</v>
      </c>
      <c r="AS85">
        <v>18</v>
      </c>
      <c r="AT85">
        <v>0</v>
      </c>
      <c r="AU85">
        <v>0</v>
      </c>
      <c r="AV85">
        <v>18</v>
      </c>
      <c r="AW85">
        <v>579.66099999999994</v>
      </c>
      <c r="AX85">
        <v>0</v>
      </c>
      <c r="AY85">
        <v>0</v>
      </c>
      <c r="AZ85">
        <v>579.66099999999994</v>
      </c>
      <c r="BA85" s="2"/>
      <c r="BB85">
        <v>0.75</v>
      </c>
      <c r="BC85" s="2">
        <v>45950.5</v>
      </c>
      <c r="BD85" s="27">
        <f>MarketPlace_Order_Report__2[[#This Row],[UnitPrice]]*MarketPlace_Order_Report__2[[#This Row],[OrderQty]]</f>
        <v>3800</v>
      </c>
      <c r="BE85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85" s="27">
        <f>MarketPlace_Order_Report__2[[#This Row],[Gross Amount (Before Tax)]]+MarketPlace_Order_Report__2[[#This Row],[Total GST Amount]]</f>
        <v>4379.6610000000001</v>
      </c>
    </row>
    <row r="86" spans="1:58">
      <c r="A86" s="1" t="s">
        <v>1384</v>
      </c>
      <c r="B86" s="1" t="s">
        <v>1385</v>
      </c>
      <c r="C86" s="1" t="s">
        <v>384</v>
      </c>
      <c r="D86" s="1" t="s">
        <v>385</v>
      </c>
      <c r="E86">
        <v>1</v>
      </c>
      <c r="F86" s="1" t="s">
        <v>413</v>
      </c>
      <c r="G86">
        <v>1</v>
      </c>
      <c r="H86">
        <v>1</v>
      </c>
      <c r="I86">
        <v>4000</v>
      </c>
      <c r="J86">
        <v>3800</v>
      </c>
      <c r="K86">
        <v>0</v>
      </c>
      <c r="L86">
        <v>3849</v>
      </c>
      <c r="M86">
        <v>49</v>
      </c>
      <c r="N86" s="1" t="s">
        <v>72</v>
      </c>
      <c r="O86" s="2">
        <v>45952.694618055553</v>
      </c>
      <c r="P86" s="2">
        <v>45954.730578703704</v>
      </c>
      <c r="Q86" s="2"/>
      <c r="R86" s="1" t="s">
        <v>1386</v>
      </c>
      <c r="S86" s="1" t="s">
        <v>60</v>
      </c>
      <c r="T86" s="2">
        <v>45954.500509259262</v>
      </c>
      <c r="U86" s="1" t="s">
        <v>61</v>
      </c>
      <c r="V86" s="1" t="s">
        <v>62</v>
      </c>
      <c r="W86" s="1" t="s">
        <v>61</v>
      </c>
      <c r="X86" s="1" t="s">
        <v>61</v>
      </c>
      <c r="Y86" s="1" t="s">
        <v>61</v>
      </c>
      <c r="Z86" s="1" t="s">
        <v>61</v>
      </c>
      <c r="AA86" s="1" t="s">
        <v>61</v>
      </c>
      <c r="AB86" s="1" t="s">
        <v>61</v>
      </c>
      <c r="AC86" s="1" t="s">
        <v>61</v>
      </c>
      <c r="AD86" s="2">
        <v>45961.480266203704</v>
      </c>
      <c r="AE86" s="1" t="s">
        <v>63</v>
      </c>
      <c r="AF86" s="1" t="s">
        <v>61</v>
      </c>
      <c r="AG86" s="1" t="s">
        <v>1387</v>
      </c>
      <c r="AH86" s="1" t="s">
        <v>83</v>
      </c>
      <c r="AI86">
        <v>823000</v>
      </c>
      <c r="AJ86" s="1" t="s">
        <v>66</v>
      </c>
      <c r="AK86" s="1" t="s">
        <v>67</v>
      </c>
      <c r="AL86">
        <v>62042300</v>
      </c>
      <c r="AM86" s="2"/>
      <c r="AN86">
        <v>3800</v>
      </c>
      <c r="AO86" s="1" t="s">
        <v>1388</v>
      </c>
      <c r="AP86" s="1" t="s">
        <v>61</v>
      </c>
      <c r="AQ86" s="1" t="s">
        <v>61</v>
      </c>
      <c r="AR86" s="1" t="s">
        <v>63</v>
      </c>
      <c r="AS86">
        <v>18</v>
      </c>
      <c r="AT86">
        <v>0</v>
      </c>
      <c r="AU86">
        <v>0</v>
      </c>
      <c r="AV86">
        <v>18</v>
      </c>
      <c r="AW86">
        <v>579.66099999999994</v>
      </c>
      <c r="AX86">
        <v>0</v>
      </c>
      <c r="AY86">
        <v>0</v>
      </c>
      <c r="AZ86">
        <v>579.66099999999994</v>
      </c>
      <c r="BA86" s="2"/>
      <c r="BB86">
        <v>0.85</v>
      </c>
      <c r="BC86" s="2">
        <v>45955.5</v>
      </c>
      <c r="BD86" s="27">
        <f>MarketPlace_Order_Report__2[[#This Row],[UnitPrice]]*MarketPlace_Order_Report__2[[#This Row],[OrderQty]]</f>
        <v>3800</v>
      </c>
      <c r="BE86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86" s="27">
        <f>MarketPlace_Order_Report__2[[#This Row],[Gross Amount (Before Tax)]]+MarketPlace_Order_Report__2[[#This Row],[Total GST Amount]]</f>
        <v>4379.6610000000001</v>
      </c>
    </row>
    <row r="87" spans="1:58">
      <c r="A87" s="1" t="s">
        <v>1365</v>
      </c>
      <c r="B87" s="1" t="s">
        <v>1366</v>
      </c>
      <c r="C87" s="1" t="s">
        <v>1389</v>
      </c>
      <c r="D87" s="1" t="s">
        <v>1390</v>
      </c>
      <c r="E87">
        <v>3</v>
      </c>
      <c r="F87" s="1" t="s">
        <v>58</v>
      </c>
      <c r="G87">
        <v>1</v>
      </c>
      <c r="H87">
        <v>1</v>
      </c>
      <c r="I87">
        <v>4000</v>
      </c>
      <c r="J87">
        <v>3800</v>
      </c>
      <c r="K87">
        <v>0</v>
      </c>
      <c r="L87">
        <v>3808.03</v>
      </c>
      <c r="M87">
        <v>8.0299999999999994</v>
      </c>
      <c r="N87" s="1" t="s">
        <v>59</v>
      </c>
      <c r="O87" s="2">
        <v>45959.368321759262</v>
      </c>
      <c r="P87" s="2">
        <v>45959.704675925925</v>
      </c>
      <c r="Q87" s="2">
        <v>45961.526516203703</v>
      </c>
      <c r="R87" s="1" t="s">
        <v>1369</v>
      </c>
      <c r="S87" s="1" t="s">
        <v>60</v>
      </c>
      <c r="T87" s="2">
        <v>45959.459155092591</v>
      </c>
      <c r="U87" s="1" t="s">
        <v>61</v>
      </c>
      <c r="V87" s="1" t="s">
        <v>62</v>
      </c>
      <c r="W87" s="1" t="s">
        <v>61</v>
      </c>
      <c r="X87" s="1" t="s">
        <v>61</v>
      </c>
      <c r="Y87" s="1" t="s">
        <v>61</v>
      </c>
      <c r="Z87" s="1" t="s">
        <v>61</v>
      </c>
      <c r="AA87" s="1" t="s">
        <v>61</v>
      </c>
      <c r="AB87" s="1" t="s">
        <v>61</v>
      </c>
      <c r="AC87" s="1" t="s">
        <v>61</v>
      </c>
      <c r="AD87" s="2">
        <v>45961.528715277775</v>
      </c>
      <c r="AE87" s="1" t="s">
        <v>63</v>
      </c>
      <c r="AF87" s="1" t="s">
        <v>61</v>
      </c>
      <c r="AG87" s="1" t="s">
        <v>519</v>
      </c>
      <c r="AH87" s="1" t="s">
        <v>177</v>
      </c>
      <c r="AI87">
        <v>781038</v>
      </c>
      <c r="AJ87" s="1" t="s">
        <v>66</v>
      </c>
      <c r="AK87" s="1" t="s">
        <v>67</v>
      </c>
      <c r="AL87">
        <v>62042300</v>
      </c>
      <c r="AM87" s="2"/>
      <c r="AN87">
        <v>3800</v>
      </c>
      <c r="AO87" s="1" t="s">
        <v>1370</v>
      </c>
      <c r="AP87" s="1" t="s">
        <v>61</v>
      </c>
      <c r="AQ87" s="1" t="s">
        <v>61</v>
      </c>
      <c r="AR87" s="1" t="s">
        <v>63</v>
      </c>
      <c r="AS87">
        <v>18</v>
      </c>
      <c r="AT87">
        <v>0</v>
      </c>
      <c r="AU87">
        <v>0</v>
      </c>
      <c r="AV87">
        <v>18</v>
      </c>
      <c r="AW87">
        <v>579.66099999999994</v>
      </c>
      <c r="AX87">
        <v>0</v>
      </c>
      <c r="AY87">
        <v>0</v>
      </c>
      <c r="AZ87">
        <v>579.66099999999994</v>
      </c>
      <c r="BA87" s="2"/>
      <c r="BB87">
        <v>1.1000000000000001</v>
      </c>
      <c r="BC87" s="2">
        <v>45961.5</v>
      </c>
      <c r="BD87" s="27">
        <f>MarketPlace_Order_Report__2[[#This Row],[UnitPrice]]*MarketPlace_Order_Report__2[[#This Row],[OrderQty]]</f>
        <v>3800</v>
      </c>
      <c r="BE87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87" s="27">
        <f>MarketPlace_Order_Report__2[[#This Row],[Gross Amount (Before Tax)]]+MarketPlace_Order_Report__2[[#This Row],[Total GST Amount]]</f>
        <v>4379.6610000000001</v>
      </c>
    </row>
    <row r="88" spans="1:58">
      <c r="A88" s="1" t="s">
        <v>1391</v>
      </c>
      <c r="B88" s="1" t="s">
        <v>1392</v>
      </c>
      <c r="C88" s="1" t="s">
        <v>1389</v>
      </c>
      <c r="D88" s="1" t="s">
        <v>1390</v>
      </c>
      <c r="E88">
        <v>1</v>
      </c>
      <c r="F88" s="1" t="s">
        <v>102</v>
      </c>
      <c r="G88">
        <v>1</v>
      </c>
      <c r="H88">
        <v>1</v>
      </c>
      <c r="I88">
        <v>3750</v>
      </c>
      <c r="J88">
        <v>3563</v>
      </c>
      <c r="K88">
        <v>0</v>
      </c>
      <c r="L88">
        <v>3583</v>
      </c>
      <c r="M88">
        <v>20</v>
      </c>
      <c r="N88" s="1" t="s">
        <v>72</v>
      </c>
      <c r="O88" s="2">
        <v>45942.899826388886</v>
      </c>
      <c r="P88" s="2">
        <v>45944.738321759258</v>
      </c>
      <c r="Q88" s="2"/>
      <c r="R88" s="1" t="s">
        <v>1393</v>
      </c>
      <c r="S88" s="1" t="s">
        <v>60</v>
      </c>
      <c r="T88" s="2">
        <v>45943.814467592594</v>
      </c>
      <c r="U88" s="1" t="s">
        <v>61</v>
      </c>
      <c r="V88" s="1" t="s">
        <v>62</v>
      </c>
      <c r="W88" s="1" t="s">
        <v>61</v>
      </c>
      <c r="X88" s="1" t="s">
        <v>61</v>
      </c>
      <c r="Y88" s="1" t="s">
        <v>1394</v>
      </c>
      <c r="Z88" s="1" t="s">
        <v>103</v>
      </c>
      <c r="AA88" s="1" t="s">
        <v>75</v>
      </c>
      <c r="AB88" s="1" t="s">
        <v>61</v>
      </c>
      <c r="AC88" s="1" t="s">
        <v>61</v>
      </c>
      <c r="AD88" s="2">
        <v>45959.709016203706</v>
      </c>
      <c r="AE88" s="1" t="s">
        <v>63</v>
      </c>
      <c r="AF88" s="1" t="s">
        <v>61</v>
      </c>
      <c r="AG88" s="1" t="s">
        <v>1387</v>
      </c>
      <c r="AH88" s="1" t="s">
        <v>83</v>
      </c>
      <c r="AI88">
        <v>823000</v>
      </c>
      <c r="AJ88" s="1" t="s">
        <v>66</v>
      </c>
      <c r="AK88" s="1" t="s">
        <v>67</v>
      </c>
      <c r="AL88">
        <v>62042300</v>
      </c>
      <c r="AM88" s="2"/>
      <c r="AN88">
        <v>3563</v>
      </c>
      <c r="AO88" s="1" t="s">
        <v>1395</v>
      </c>
      <c r="AP88" s="1" t="s">
        <v>61</v>
      </c>
      <c r="AQ88" s="1" t="s">
        <v>61</v>
      </c>
      <c r="AR88" s="1" t="s">
        <v>63</v>
      </c>
      <c r="AS88">
        <v>18</v>
      </c>
      <c r="AT88">
        <v>0</v>
      </c>
      <c r="AU88">
        <v>0</v>
      </c>
      <c r="AV88">
        <v>18</v>
      </c>
      <c r="AW88">
        <v>543.50800000000004</v>
      </c>
      <c r="AX88">
        <v>0</v>
      </c>
      <c r="AY88">
        <v>0</v>
      </c>
      <c r="AZ88">
        <v>543.50800000000004</v>
      </c>
      <c r="BA88" s="2"/>
      <c r="BB88">
        <v>0.85</v>
      </c>
      <c r="BC88" s="2">
        <v>45945.5</v>
      </c>
      <c r="BD88" s="27">
        <f>MarketPlace_Order_Report__2[[#This Row],[UnitPrice]]*MarketPlace_Order_Report__2[[#This Row],[OrderQty]]</f>
        <v>3563</v>
      </c>
      <c r="BE88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88" s="27">
        <f>MarketPlace_Order_Report__2[[#This Row],[Gross Amount (Before Tax)]]+MarketPlace_Order_Report__2[[#This Row],[Total GST Amount]]</f>
        <v>4106.5079999999998</v>
      </c>
    </row>
    <row r="89" spans="1:58">
      <c r="A89" s="1" t="s">
        <v>1396</v>
      </c>
      <c r="B89" s="1" t="s">
        <v>1397</v>
      </c>
      <c r="C89" s="1" t="s">
        <v>390</v>
      </c>
      <c r="D89" s="1" t="s">
        <v>391</v>
      </c>
      <c r="E89">
        <v>1</v>
      </c>
      <c r="F89" s="1" t="s">
        <v>187</v>
      </c>
      <c r="G89">
        <v>1</v>
      </c>
      <c r="H89">
        <v>0</v>
      </c>
      <c r="I89">
        <v>4000</v>
      </c>
      <c r="J89">
        <v>3800</v>
      </c>
      <c r="K89">
        <v>0</v>
      </c>
      <c r="L89">
        <v>3820</v>
      </c>
      <c r="M89">
        <v>20</v>
      </c>
      <c r="N89" s="1" t="s">
        <v>72</v>
      </c>
      <c r="O89" s="2">
        <v>45949.859710648147</v>
      </c>
      <c r="P89" s="2"/>
      <c r="Q89" s="2"/>
      <c r="R89" s="1" t="s">
        <v>61</v>
      </c>
      <c r="S89" s="1" t="s">
        <v>988</v>
      </c>
      <c r="T89" s="2"/>
      <c r="U89" s="1" t="s">
        <v>323</v>
      </c>
      <c r="V89" s="1" t="s">
        <v>62</v>
      </c>
      <c r="W89" s="1" t="s">
        <v>61</v>
      </c>
      <c r="X89" s="1" t="s">
        <v>61</v>
      </c>
      <c r="Y89" s="1" t="s">
        <v>61</v>
      </c>
      <c r="Z89" s="1" t="s">
        <v>61</v>
      </c>
      <c r="AA89" s="1" t="s">
        <v>61</v>
      </c>
      <c r="AB89" s="1" t="s">
        <v>61</v>
      </c>
      <c r="AC89" s="1" t="s">
        <v>61</v>
      </c>
      <c r="AD89" s="2">
        <v>45952.882048611114</v>
      </c>
      <c r="AE89" s="1" t="s">
        <v>63</v>
      </c>
      <c r="AF89" s="1" t="s">
        <v>61</v>
      </c>
      <c r="AG89" s="1" t="s">
        <v>324</v>
      </c>
      <c r="AH89" s="1" t="s">
        <v>318</v>
      </c>
      <c r="AI89">
        <v>411047</v>
      </c>
      <c r="AJ89" s="1" t="s">
        <v>66</v>
      </c>
      <c r="AK89" s="1" t="s">
        <v>67</v>
      </c>
      <c r="AL89">
        <v>62042300</v>
      </c>
      <c r="AM89" s="2">
        <v>45952.882048611114</v>
      </c>
      <c r="AN89">
        <v>3800</v>
      </c>
      <c r="AO89" s="1" t="s">
        <v>61</v>
      </c>
      <c r="AP89" s="1" t="s">
        <v>89</v>
      </c>
      <c r="AQ89" s="1" t="s">
        <v>61</v>
      </c>
      <c r="AR89" s="1" t="s">
        <v>63</v>
      </c>
      <c r="AS89">
        <v>18</v>
      </c>
      <c r="AT89">
        <v>9</v>
      </c>
      <c r="AU89">
        <v>9</v>
      </c>
      <c r="AV89">
        <v>0</v>
      </c>
      <c r="AW89">
        <v>579.66099999999994</v>
      </c>
      <c r="AX89">
        <v>289.83100000000002</v>
      </c>
      <c r="AY89">
        <v>289.83100000000002</v>
      </c>
      <c r="AZ89">
        <v>0</v>
      </c>
      <c r="BA89" s="2"/>
      <c r="BC89" s="2">
        <v>45952.5</v>
      </c>
      <c r="BD89" s="27">
        <f>MarketPlace_Order_Report__2[[#This Row],[UnitPrice]]*MarketPlace_Order_Report__2[[#This Row],[OrderQty]]</f>
        <v>3800</v>
      </c>
      <c r="BE89" s="27">
        <f>IFERROR(MarketPlace_Order_Report__2[[#This Row],[CGSTAmount]]+MarketPlace_Order_Report__2[[#This Row],[SGSTAmount]]+MarketPlace_Order_Report__2[[#This Row],[IGSTAmount]],MarketPlace_Order_Report__2[[#This Row],[TaxAmount]])</f>
        <v>579.66200000000003</v>
      </c>
      <c r="BF89" s="27">
        <f>MarketPlace_Order_Report__2[[#This Row],[Gross Amount (Before Tax)]]+MarketPlace_Order_Report__2[[#This Row],[Total GST Amount]]</f>
        <v>4379.6620000000003</v>
      </c>
    </row>
    <row r="90" spans="1:58">
      <c r="A90" s="1" t="s">
        <v>1398</v>
      </c>
      <c r="B90" s="1" t="s">
        <v>1399</v>
      </c>
      <c r="C90" s="1" t="s">
        <v>395</v>
      </c>
      <c r="D90" s="1" t="s">
        <v>396</v>
      </c>
      <c r="E90">
        <v>1</v>
      </c>
      <c r="F90" s="1" t="s">
        <v>102</v>
      </c>
      <c r="G90">
        <v>1</v>
      </c>
      <c r="H90">
        <v>1</v>
      </c>
      <c r="I90">
        <v>3750</v>
      </c>
      <c r="J90">
        <v>3375</v>
      </c>
      <c r="K90">
        <v>0</v>
      </c>
      <c r="L90">
        <v>3424</v>
      </c>
      <c r="M90">
        <v>49</v>
      </c>
      <c r="N90" s="1" t="s">
        <v>72</v>
      </c>
      <c r="O90" s="2">
        <v>45935.963495370372</v>
      </c>
      <c r="P90" s="2">
        <v>45937.726122685184</v>
      </c>
      <c r="Q90" s="2"/>
      <c r="R90" s="1" t="s">
        <v>1400</v>
      </c>
      <c r="S90" s="1" t="s">
        <v>60</v>
      </c>
      <c r="T90" s="2">
        <v>45936.813321759262</v>
      </c>
      <c r="U90" s="1" t="s">
        <v>61</v>
      </c>
      <c r="V90" s="1" t="s">
        <v>62</v>
      </c>
      <c r="W90" s="1" t="s">
        <v>61</v>
      </c>
      <c r="X90" s="1" t="s">
        <v>61</v>
      </c>
      <c r="Y90" s="1" t="s">
        <v>1401</v>
      </c>
      <c r="Z90" s="1" t="s">
        <v>103</v>
      </c>
      <c r="AA90" s="1" t="s">
        <v>75</v>
      </c>
      <c r="AB90" s="1" t="s">
        <v>61</v>
      </c>
      <c r="AC90" s="1" t="s">
        <v>61</v>
      </c>
      <c r="AD90" s="2">
        <v>45947.861990740741</v>
      </c>
      <c r="AE90" s="1" t="s">
        <v>63</v>
      </c>
      <c r="AF90" s="1" t="s">
        <v>61</v>
      </c>
      <c r="AG90" s="1" t="s">
        <v>1053</v>
      </c>
      <c r="AH90" s="1" t="s">
        <v>77</v>
      </c>
      <c r="AI90">
        <v>273015</v>
      </c>
      <c r="AJ90" s="1" t="s">
        <v>66</v>
      </c>
      <c r="AK90" s="1" t="s">
        <v>67</v>
      </c>
      <c r="AL90">
        <v>62042300</v>
      </c>
      <c r="AM90" s="2"/>
      <c r="AN90">
        <v>3375</v>
      </c>
      <c r="AO90" s="1" t="s">
        <v>1402</v>
      </c>
      <c r="AP90" s="1" t="s">
        <v>209</v>
      </c>
      <c r="AQ90" s="1" t="s">
        <v>61</v>
      </c>
      <c r="AR90" s="1" t="s">
        <v>63</v>
      </c>
      <c r="AS90">
        <v>18</v>
      </c>
      <c r="AT90">
        <v>0</v>
      </c>
      <c r="AU90">
        <v>0</v>
      </c>
      <c r="AV90">
        <v>18</v>
      </c>
      <c r="AW90">
        <v>514.83100000000002</v>
      </c>
      <c r="AX90">
        <v>0</v>
      </c>
      <c r="AY90">
        <v>0</v>
      </c>
      <c r="AZ90">
        <v>514.83100000000002</v>
      </c>
      <c r="BA90" s="2"/>
      <c r="BB90">
        <v>0.85</v>
      </c>
      <c r="BC90" s="2">
        <v>45938.5</v>
      </c>
      <c r="BD90" s="27">
        <f>MarketPlace_Order_Report__2[[#This Row],[UnitPrice]]*MarketPlace_Order_Report__2[[#This Row],[OrderQty]]</f>
        <v>3375</v>
      </c>
      <c r="BE90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90" s="27">
        <f>MarketPlace_Order_Report__2[[#This Row],[Gross Amount (Before Tax)]]+MarketPlace_Order_Report__2[[#This Row],[Total GST Amount]]</f>
        <v>3889.8310000000001</v>
      </c>
    </row>
    <row r="91" spans="1:58">
      <c r="A91" s="1" t="s">
        <v>1403</v>
      </c>
      <c r="B91" s="1" t="s">
        <v>1404</v>
      </c>
      <c r="C91" s="1" t="s">
        <v>1405</v>
      </c>
      <c r="D91" s="1" t="s">
        <v>1406</v>
      </c>
      <c r="E91">
        <v>2</v>
      </c>
      <c r="F91" s="1" t="s">
        <v>71</v>
      </c>
      <c r="G91">
        <v>1</v>
      </c>
      <c r="H91">
        <v>1</v>
      </c>
      <c r="I91">
        <v>3750</v>
      </c>
      <c r="J91">
        <v>3375</v>
      </c>
      <c r="K91">
        <v>0</v>
      </c>
      <c r="L91">
        <v>3415.87</v>
      </c>
      <c r="M91">
        <v>40.869999999999997</v>
      </c>
      <c r="N91" s="1" t="s">
        <v>72</v>
      </c>
      <c r="O91" s="2">
        <v>45934.344583333332</v>
      </c>
      <c r="P91" s="2">
        <v>45936.714791666665</v>
      </c>
      <c r="Q91" s="2">
        <v>45939.661770833336</v>
      </c>
      <c r="R91" s="1" t="s">
        <v>1407</v>
      </c>
      <c r="S91" s="1" t="s">
        <v>60</v>
      </c>
      <c r="T91" s="2">
        <v>45934.839085648149</v>
      </c>
      <c r="U91" s="1" t="s">
        <v>61</v>
      </c>
      <c r="V91" s="1" t="s">
        <v>62</v>
      </c>
      <c r="W91" s="1" t="s">
        <v>61</v>
      </c>
      <c r="X91" s="1" t="s">
        <v>61</v>
      </c>
      <c r="Y91" s="1" t="s">
        <v>1408</v>
      </c>
      <c r="Z91" s="1" t="s">
        <v>74</v>
      </c>
      <c r="AA91" s="1" t="s">
        <v>75</v>
      </c>
      <c r="AB91" s="1" t="s">
        <v>61</v>
      </c>
      <c r="AC91" s="1" t="s">
        <v>61</v>
      </c>
      <c r="AD91" s="2">
        <v>45954.629421296297</v>
      </c>
      <c r="AE91" s="1" t="s">
        <v>63</v>
      </c>
      <c r="AF91" s="1" t="s">
        <v>61</v>
      </c>
      <c r="AG91" s="1" t="s">
        <v>1053</v>
      </c>
      <c r="AH91" s="1" t="s">
        <v>77</v>
      </c>
      <c r="AI91">
        <v>273015</v>
      </c>
      <c r="AJ91" s="1" t="s">
        <v>66</v>
      </c>
      <c r="AK91" s="1" t="s">
        <v>67</v>
      </c>
      <c r="AL91">
        <v>62042300</v>
      </c>
      <c r="AM91" s="2"/>
      <c r="AN91">
        <v>3375</v>
      </c>
      <c r="AO91" s="1" t="s">
        <v>1409</v>
      </c>
      <c r="AP91" s="1" t="s">
        <v>310</v>
      </c>
      <c r="AQ91" s="1" t="s">
        <v>61</v>
      </c>
      <c r="AR91" s="1" t="s">
        <v>63</v>
      </c>
      <c r="AS91">
        <v>18</v>
      </c>
      <c r="AT91">
        <v>0</v>
      </c>
      <c r="AU91">
        <v>0</v>
      </c>
      <c r="AV91">
        <v>18</v>
      </c>
      <c r="AW91">
        <v>514.83100000000002</v>
      </c>
      <c r="AX91">
        <v>0</v>
      </c>
      <c r="AY91">
        <v>0</v>
      </c>
      <c r="AZ91">
        <v>514.83100000000002</v>
      </c>
      <c r="BA91" s="2"/>
      <c r="BB91">
        <v>0.85</v>
      </c>
      <c r="BC91" s="2">
        <v>45936.5</v>
      </c>
      <c r="BD91" s="27">
        <f>MarketPlace_Order_Report__2[[#This Row],[UnitPrice]]*MarketPlace_Order_Report__2[[#This Row],[OrderQty]]</f>
        <v>3375</v>
      </c>
      <c r="BE91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91" s="27">
        <f>MarketPlace_Order_Report__2[[#This Row],[Gross Amount (Before Tax)]]+MarketPlace_Order_Report__2[[#This Row],[Total GST Amount]]</f>
        <v>3889.8310000000001</v>
      </c>
    </row>
    <row r="92" spans="1:58">
      <c r="A92" s="1" t="s">
        <v>1410</v>
      </c>
      <c r="B92" s="1" t="s">
        <v>1411</v>
      </c>
      <c r="C92" s="1" t="s">
        <v>399</v>
      </c>
      <c r="D92" s="1" t="s">
        <v>400</v>
      </c>
      <c r="E92">
        <v>1</v>
      </c>
      <c r="F92" s="1" t="s">
        <v>58</v>
      </c>
      <c r="G92">
        <v>1</v>
      </c>
      <c r="H92">
        <v>1</v>
      </c>
      <c r="I92">
        <v>4000</v>
      </c>
      <c r="J92">
        <v>3800</v>
      </c>
      <c r="K92">
        <v>0</v>
      </c>
      <c r="L92">
        <v>3800</v>
      </c>
      <c r="M92">
        <v>0</v>
      </c>
      <c r="N92" s="1" t="s">
        <v>59</v>
      </c>
      <c r="O92" s="2">
        <v>45956.56077546296</v>
      </c>
      <c r="P92" s="2">
        <v>45958.714074074072</v>
      </c>
      <c r="Q92" s="2">
        <v>45960.647951388892</v>
      </c>
      <c r="R92" s="1" t="s">
        <v>1412</v>
      </c>
      <c r="S92" s="1" t="s">
        <v>60</v>
      </c>
      <c r="T92" s="2">
        <v>45957.797627314816</v>
      </c>
      <c r="U92" s="1" t="s">
        <v>61</v>
      </c>
      <c r="V92" s="1" t="s">
        <v>62</v>
      </c>
      <c r="W92" s="1" t="s">
        <v>61</v>
      </c>
      <c r="X92" s="1" t="s">
        <v>61</v>
      </c>
      <c r="Y92" s="1" t="s">
        <v>61</v>
      </c>
      <c r="Z92" s="1" t="s">
        <v>61</v>
      </c>
      <c r="AA92" s="1" t="s">
        <v>61</v>
      </c>
      <c r="AB92" s="1" t="s">
        <v>61</v>
      </c>
      <c r="AC92" s="1" t="s">
        <v>61</v>
      </c>
      <c r="AD92" s="2">
        <v>45960.650069444448</v>
      </c>
      <c r="AE92" s="1" t="s">
        <v>63</v>
      </c>
      <c r="AF92" s="1" t="s">
        <v>61</v>
      </c>
      <c r="AG92" s="1" t="s">
        <v>197</v>
      </c>
      <c r="AH92" s="1" t="s">
        <v>65</v>
      </c>
      <c r="AI92">
        <v>560099</v>
      </c>
      <c r="AJ92" s="1" t="s">
        <v>66</v>
      </c>
      <c r="AK92" s="1" t="s">
        <v>67</v>
      </c>
      <c r="AL92">
        <v>62042300</v>
      </c>
      <c r="AM92" s="2"/>
      <c r="AN92">
        <v>3800</v>
      </c>
      <c r="AO92" s="1" t="s">
        <v>1413</v>
      </c>
      <c r="AP92" s="1" t="s">
        <v>381</v>
      </c>
      <c r="AQ92" s="1" t="s">
        <v>61</v>
      </c>
      <c r="AR92" s="1" t="s">
        <v>63</v>
      </c>
      <c r="AS92">
        <v>18</v>
      </c>
      <c r="AT92">
        <v>0</v>
      </c>
      <c r="AU92">
        <v>0</v>
      </c>
      <c r="AV92">
        <v>18</v>
      </c>
      <c r="AW92">
        <v>579.66099999999994</v>
      </c>
      <c r="AX92">
        <v>0</v>
      </c>
      <c r="AY92">
        <v>0</v>
      </c>
      <c r="AZ92">
        <v>579.66099999999994</v>
      </c>
      <c r="BA92" s="2"/>
      <c r="BB92">
        <v>0.85</v>
      </c>
      <c r="BC92" s="2">
        <v>45959.5</v>
      </c>
      <c r="BD92" s="27">
        <f>MarketPlace_Order_Report__2[[#This Row],[UnitPrice]]*MarketPlace_Order_Report__2[[#This Row],[OrderQty]]</f>
        <v>3800</v>
      </c>
      <c r="BE92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92" s="27">
        <f>MarketPlace_Order_Report__2[[#This Row],[Gross Amount (Before Tax)]]+MarketPlace_Order_Report__2[[#This Row],[Total GST Amount]]</f>
        <v>4379.6610000000001</v>
      </c>
    </row>
    <row r="93" spans="1:58">
      <c r="A93" s="1" t="s">
        <v>1414</v>
      </c>
      <c r="B93" s="1" t="s">
        <v>1415</v>
      </c>
      <c r="C93" s="1" t="s">
        <v>403</v>
      </c>
      <c r="D93" s="1" t="s">
        <v>404</v>
      </c>
      <c r="E93">
        <v>2</v>
      </c>
      <c r="F93" s="1" t="s">
        <v>71</v>
      </c>
      <c r="G93">
        <v>1</v>
      </c>
      <c r="H93">
        <v>1</v>
      </c>
      <c r="I93">
        <v>3750</v>
      </c>
      <c r="J93">
        <v>3375</v>
      </c>
      <c r="K93">
        <v>0</v>
      </c>
      <c r="L93">
        <v>3440.08</v>
      </c>
      <c r="M93">
        <v>65.08</v>
      </c>
      <c r="N93" s="1" t="s">
        <v>59</v>
      </c>
      <c r="O93" s="2">
        <v>45937.611932870372</v>
      </c>
      <c r="P93" s="2">
        <v>45938.717928240738</v>
      </c>
      <c r="Q93" s="2">
        <v>45942.676064814812</v>
      </c>
      <c r="R93" s="1" t="s">
        <v>1416</v>
      </c>
      <c r="S93" s="1" t="s">
        <v>60</v>
      </c>
      <c r="T93" s="2">
        <v>45937.716180555559</v>
      </c>
      <c r="U93" s="1" t="s">
        <v>61</v>
      </c>
      <c r="V93" s="1" t="s">
        <v>62</v>
      </c>
      <c r="W93" s="1" t="s">
        <v>61</v>
      </c>
      <c r="X93" s="1" t="s">
        <v>61</v>
      </c>
      <c r="Y93" s="1" t="s">
        <v>1417</v>
      </c>
      <c r="Z93" s="1" t="s">
        <v>74</v>
      </c>
      <c r="AA93" s="1" t="s">
        <v>75</v>
      </c>
      <c r="AB93" s="1" t="s">
        <v>61</v>
      </c>
      <c r="AC93" s="1" t="s">
        <v>61</v>
      </c>
      <c r="AD93" s="2">
        <v>45959.750798611109</v>
      </c>
      <c r="AE93" s="1" t="s">
        <v>63</v>
      </c>
      <c r="AF93" s="1" t="s">
        <v>61</v>
      </c>
      <c r="AG93" s="1" t="s">
        <v>136</v>
      </c>
      <c r="AH93" s="1" t="s">
        <v>77</v>
      </c>
      <c r="AI93">
        <v>201301</v>
      </c>
      <c r="AJ93" s="1" t="s">
        <v>66</v>
      </c>
      <c r="AK93" s="1" t="s">
        <v>67</v>
      </c>
      <c r="AL93">
        <v>62042300</v>
      </c>
      <c r="AM93" s="2"/>
      <c r="AN93">
        <v>3375</v>
      </c>
      <c r="AO93" s="1" t="s">
        <v>1418</v>
      </c>
      <c r="AP93" s="1" t="s">
        <v>61</v>
      </c>
      <c r="AQ93" s="1" t="s">
        <v>61</v>
      </c>
      <c r="AR93" s="1" t="s">
        <v>63</v>
      </c>
      <c r="AS93">
        <v>18</v>
      </c>
      <c r="AT93">
        <v>0</v>
      </c>
      <c r="AU93">
        <v>0</v>
      </c>
      <c r="AV93">
        <v>18</v>
      </c>
      <c r="AW93">
        <v>514.83100000000002</v>
      </c>
      <c r="AX93">
        <v>0</v>
      </c>
      <c r="AY93">
        <v>0</v>
      </c>
      <c r="AZ93">
        <v>514.83100000000002</v>
      </c>
      <c r="BA93" s="2"/>
      <c r="BB93">
        <v>0.85</v>
      </c>
      <c r="BC93" s="2">
        <v>45940.5</v>
      </c>
      <c r="BD93" s="27">
        <f>MarketPlace_Order_Report__2[[#This Row],[UnitPrice]]*MarketPlace_Order_Report__2[[#This Row],[OrderQty]]</f>
        <v>3375</v>
      </c>
      <c r="BE93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93" s="27">
        <f>MarketPlace_Order_Report__2[[#This Row],[Gross Amount (Before Tax)]]+MarketPlace_Order_Report__2[[#This Row],[Total GST Amount]]</f>
        <v>3889.8310000000001</v>
      </c>
    </row>
    <row r="94" spans="1:58">
      <c r="A94" s="1" t="s">
        <v>1419</v>
      </c>
      <c r="B94" s="1" t="s">
        <v>1420</v>
      </c>
      <c r="C94" s="1" t="s">
        <v>1421</v>
      </c>
      <c r="D94" s="1" t="s">
        <v>1422</v>
      </c>
      <c r="E94">
        <v>1</v>
      </c>
      <c r="F94" s="1" t="s">
        <v>71</v>
      </c>
      <c r="G94">
        <v>1</v>
      </c>
      <c r="H94">
        <v>1</v>
      </c>
      <c r="I94">
        <v>4750</v>
      </c>
      <c r="J94">
        <v>4275</v>
      </c>
      <c r="K94">
        <v>0</v>
      </c>
      <c r="L94">
        <v>4304</v>
      </c>
      <c r="M94">
        <v>29</v>
      </c>
      <c r="N94" s="1" t="s">
        <v>59</v>
      </c>
      <c r="O94" s="2">
        <v>45938.773969907408</v>
      </c>
      <c r="P94" s="2">
        <v>45940.731828703705</v>
      </c>
      <c r="Q94" s="2">
        <v>45947.807916666665</v>
      </c>
      <c r="R94" s="1" t="s">
        <v>1423</v>
      </c>
      <c r="S94" s="1" t="s">
        <v>351</v>
      </c>
      <c r="T94" s="2">
        <v>45939.786874999998</v>
      </c>
      <c r="U94" s="1" t="s">
        <v>61</v>
      </c>
      <c r="V94" s="1" t="s">
        <v>62</v>
      </c>
      <c r="W94" s="1" t="s">
        <v>61</v>
      </c>
      <c r="X94" s="1" t="s">
        <v>61</v>
      </c>
      <c r="Y94" s="1" t="s">
        <v>1424</v>
      </c>
      <c r="Z94" s="1" t="s">
        <v>74</v>
      </c>
      <c r="AA94" s="1" t="s">
        <v>695</v>
      </c>
      <c r="AB94" s="1" t="s">
        <v>61</v>
      </c>
      <c r="AC94" s="1" t="s">
        <v>61</v>
      </c>
      <c r="AD94" s="2">
        <v>45958.292604166665</v>
      </c>
      <c r="AE94" s="1" t="s">
        <v>63</v>
      </c>
      <c r="AF94" s="1" t="s">
        <v>61</v>
      </c>
      <c r="AG94" s="1" t="s">
        <v>1425</v>
      </c>
      <c r="AH94" s="1" t="s">
        <v>88</v>
      </c>
      <c r="AI94">
        <v>484334</v>
      </c>
      <c r="AJ94" s="1" t="s">
        <v>66</v>
      </c>
      <c r="AK94" s="1" t="s">
        <v>67</v>
      </c>
      <c r="AL94">
        <v>62042300</v>
      </c>
      <c r="AM94" s="2"/>
      <c r="AN94">
        <v>4275</v>
      </c>
      <c r="AO94" s="1" t="s">
        <v>1426</v>
      </c>
      <c r="AP94" s="1" t="s">
        <v>61</v>
      </c>
      <c r="AQ94" s="1" t="s">
        <v>61</v>
      </c>
      <c r="AR94" s="1" t="s">
        <v>63</v>
      </c>
      <c r="AS94">
        <v>18</v>
      </c>
      <c r="AT94">
        <v>0</v>
      </c>
      <c r="AU94">
        <v>0</v>
      </c>
      <c r="AV94">
        <v>18</v>
      </c>
      <c r="AW94">
        <v>652.11900000000003</v>
      </c>
      <c r="AX94">
        <v>0</v>
      </c>
      <c r="AY94">
        <v>0</v>
      </c>
      <c r="AZ94">
        <v>652.11900000000003</v>
      </c>
      <c r="BA94" s="2"/>
      <c r="BB94">
        <v>0.85</v>
      </c>
      <c r="BC94" s="2">
        <v>45941.5</v>
      </c>
      <c r="BD94" s="27">
        <f>MarketPlace_Order_Report__2[[#This Row],[UnitPrice]]*MarketPlace_Order_Report__2[[#This Row],[OrderQty]]</f>
        <v>4275</v>
      </c>
      <c r="BE94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94" s="27">
        <f>MarketPlace_Order_Report__2[[#This Row],[Gross Amount (Before Tax)]]+MarketPlace_Order_Report__2[[#This Row],[Total GST Amount]]</f>
        <v>4927.1189999999997</v>
      </c>
    </row>
    <row r="95" spans="1:58">
      <c r="A95" s="1" t="s">
        <v>1427</v>
      </c>
      <c r="B95" s="1" t="s">
        <v>1428</v>
      </c>
      <c r="C95" s="1" t="s">
        <v>1429</v>
      </c>
      <c r="D95" s="1" t="s">
        <v>1430</v>
      </c>
      <c r="E95">
        <v>1</v>
      </c>
      <c r="F95" s="1" t="s">
        <v>58</v>
      </c>
      <c r="G95">
        <v>1</v>
      </c>
      <c r="H95">
        <v>1</v>
      </c>
      <c r="I95">
        <v>4000</v>
      </c>
      <c r="J95">
        <v>3600</v>
      </c>
      <c r="K95">
        <v>0</v>
      </c>
      <c r="L95">
        <v>3649</v>
      </c>
      <c r="M95">
        <v>49</v>
      </c>
      <c r="N95" s="1" t="s">
        <v>72</v>
      </c>
      <c r="O95" s="2">
        <v>45945.350729166668</v>
      </c>
      <c r="P95" s="2">
        <v>45946.732430555552</v>
      </c>
      <c r="Q95" s="2">
        <v>45952.811631944445</v>
      </c>
      <c r="R95" s="1" t="s">
        <v>1431</v>
      </c>
      <c r="S95" s="1" t="s">
        <v>60</v>
      </c>
      <c r="T95" s="2">
        <v>45945.79928240741</v>
      </c>
      <c r="U95" s="1" t="s">
        <v>61</v>
      </c>
      <c r="V95" s="1" t="s">
        <v>62</v>
      </c>
      <c r="W95" s="1" t="s">
        <v>61</v>
      </c>
      <c r="X95" s="1" t="s">
        <v>61</v>
      </c>
      <c r="Y95" s="1" t="s">
        <v>61</v>
      </c>
      <c r="Z95" s="1" t="s">
        <v>61</v>
      </c>
      <c r="AA95" s="1" t="s">
        <v>61</v>
      </c>
      <c r="AB95" s="1" t="s">
        <v>61</v>
      </c>
      <c r="AC95" s="1" t="s">
        <v>61</v>
      </c>
      <c r="AD95" s="2">
        <v>45952.813310185185</v>
      </c>
      <c r="AE95" s="1" t="s">
        <v>63</v>
      </c>
      <c r="AF95" s="1" t="s">
        <v>61</v>
      </c>
      <c r="AG95" s="1" t="s">
        <v>813</v>
      </c>
      <c r="AH95" s="1" t="s">
        <v>503</v>
      </c>
      <c r="AI95">
        <v>140603</v>
      </c>
      <c r="AJ95" s="1" t="s">
        <v>66</v>
      </c>
      <c r="AK95" s="1" t="s">
        <v>67</v>
      </c>
      <c r="AL95">
        <v>62044220</v>
      </c>
      <c r="AM95" s="2"/>
      <c r="AN95">
        <v>3600</v>
      </c>
      <c r="AO95" s="1" t="s">
        <v>1432</v>
      </c>
      <c r="AP95" s="1" t="s">
        <v>209</v>
      </c>
      <c r="AQ95" s="1" t="s">
        <v>61</v>
      </c>
      <c r="AR95" s="1" t="s">
        <v>63</v>
      </c>
      <c r="AS95">
        <v>18</v>
      </c>
      <c r="AT95">
        <v>0</v>
      </c>
      <c r="AU95">
        <v>0</v>
      </c>
      <c r="AV95">
        <v>18</v>
      </c>
      <c r="AW95">
        <v>549.15300000000002</v>
      </c>
      <c r="AX95">
        <v>0</v>
      </c>
      <c r="AY95">
        <v>0</v>
      </c>
      <c r="AZ95">
        <v>549.15300000000002</v>
      </c>
      <c r="BA95" s="2"/>
      <c r="BB95">
        <v>0.85</v>
      </c>
      <c r="BC95" s="2">
        <v>45947.5</v>
      </c>
      <c r="BD95" s="27">
        <f>MarketPlace_Order_Report__2[[#This Row],[UnitPrice]]*MarketPlace_Order_Report__2[[#This Row],[OrderQty]]</f>
        <v>3600</v>
      </c>
      <c r="BE95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95" s="27">
        <f>MarketPlace_Order_Report__2[[#This Row],[Gross Amount (Before Tax)]]+MarketPlace_Order_Report__2[[#This Row],[Total GST Amount]]</f>
        <v>4149.1530000000002</v>
      </c>
    </row>
    <row r="96" spans="1:58">
      <c r="A96" s="1" t="s">
        <v>1433</v>
      </c>
      <c r="B96" s="1" t="s">
        <v>1434</v>
      </c>
      <c r="C96" s="1" t="s">
        <v>1435</v>
      </c>
      <c r="D96" s="1" t="s">
        <v>1436</v>
      </c>
      <c r="E96">
        <v>1</v>
      </c>
      <c r="F96" s="1" t="s">
        <v>58</v>
      </c>
      <c r="G96">
        <v>1</v>
      </c>
      <c r="H96">
        <v>1</v>
      </c>
      <c r="I96">
        <v>4000</v>
      </c>
      <c r="J96">
        <v>3600</v>
      </c>
      <c r="K96">
        <v>0</v>
      </c>
      <c r="L96">
        <v>3649</v>
      </c>
      <c r="M96">
        <v>49</v>
      </c>
      <c r="N96" s="1" t="s">
        <v>72</v>
      </c>
      <c r="O96" s="2">
        <v>45935.833240740743</v>
      </c>
      <c r="P96" s="2">
        <v>45937.619120370371</v>
      </c>
      <c r="Q96" s="2">
        <v>45944.752314814818</v>
      </c>
      <c r="R96" s="1" t="s">
        <v>1437</v>
      </c>
      <c r="S96" s="1" t="s">
        <v>73</v>
      </c>
      <c r="T96" s="2">
        <v>45936.813321759262</v>
      </c>
      <c r="U96" s="1" t="s">
        <v>61</v>
      </c>
      <c r="V96" s="1" t="s">
        <v>62</v>
      </c>
      <c r="W96" s="1" t="s">
        <v>61</v>
      </c>
      <c r="X96" s="1" t="s">
        <v>61</v>
      </c>
      <c r="Y96" s="1" t="s">
        <v>61</v>
      </c>
      <c r="Z96" s="1" t="s">
        <v>61</v>
      </c>
      <c r="AA96" s="1" t="s">
        <v>61</v>
      </c>
      <c r="AB96" s="1" t="s">
        <v>61</v>
      </c>
      <c r="AC96" s="1" t="s">
        <v>61</v>
      </c>
      <c r="AD96" s="2">
        <v>45944.754386574074</v>
      </c>
      <c r="AE96" s="1" t="s">
        <v>63</v>
      </c>
      <c r="AF96" s="1" t="s">
        <v>61</v>
      </c>
      <c r="AG96" s="1" t="s">
        <v>76</v>
      </c>
      <c r="AH96" s="1" t="s">
        <v>77</v>
      </c>
      <c r="AI96">
        <v>201014</v>
      </c>
      <c r="AJ96" s="1" t="s">
        <v>66</v>
      </c>
      <c r="AK96" s="1" t="s">
        <v>67</v>
      </c>
      <c r="AL96">
        <v>62044220</v>
      </c>
      <c r="AM96" s="2"/>
      <c r="AN96">
        <v>3600</v>
      </c>
      <c r="AO96" s="1" t="s">
        <v>1438</v>
      </c>
      <c r="AP96" s="1" t="s">
        <v>209</v>
      </c>
      <c r="AQ96" s="1" t="s">
        <v>61</v>
      </c>
      <c r="AR96" s="1" t="s">
        <v>63</v>
      </c>
      <c r="AS96">
        <v>18</v>
      </c>
      <c r="AT96">
        <v>0</v>
      </c>
      <c r="AU96">
        <v>0</v>
      </c>
      <c r="AV96">
        <v>18</v>
      </c>
      <c r="AW96">
        <v>549.15300000000002</v>
      </c>
      <c r="AX96">
        <v>0</v>
      </c>
      <c r="AY96">
        <v>0</v>
      </c>
      <c r="AZ96">
        <v>549.15300000000002</v>
      </c>
      <c r="BA96" s="2"/>
      <c r="BB96">
        <v>0.85</v>
      </c>
      <c r="BC96" s="2">
        <v>45938.5</v>
      </c>
      <c r="BD96" s="27">
        <f>MarketPlace_Order_Report__2[[#This Row],[UnitPrice]]*MarketPlace_Order_Report__2[[#This Row],[OrderQty]]</f>
        <v>3600</v>
      </c>
      <c r="BE96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96" s="27">
        <f>MarketPlace_Order_Report__2[[#This Row],[Gross Amount (Before Tax)]]+MarketPlace_Order_Report__2[[#This Row],[Total GST Amount]]</f>
        <v>4149.1530000000002</v>
      </c>
    </row>
    <row r="97" spans="1:58">
      <c r="A97" s="1" t="s">
        <v>1439</v>
      </c>
      <c r="B97" s="1" t="s">
        <v>1440</v>
      </c>
      <c r="C97" s="1" t="s">
        <v>1441</v>
      </c>
      <c r="D97" s="1" t="s">
        <v>1442</v>
      </c>
      <c r="E97">
        <v>1</v>
      </c>
      <c r="F97" s="1" t="s">
        <v>58</v>
      </c>
      <c r="G97">
        <v>1</v>
      </c>
      <c r="H97">
        <v>1</v>
      </c>
      <c r="I97">
        <v>3750</v>
      </c>
      <c r="J97">
        <v>3563</v>
      </c>
      <c r="K97">
        <v>0</v>
      </c>
      <c r="L97">
        <v>3583</v>
      </c>
      <c r="M97">
        <v>20</v>
      </c>
      <c r="N97" s="1" t="s">
        <v>72</v>
      </c>
      <c r="O97" s="2">
        <v>45950.098726851851</v>
      </c>
      <c r="P97" s="2">
        <v>45954.731400462966</v>
      </c>
      <c r="Q97" s="2">
        <v>45961.519849537035</v>
      </c>
      <c r="R97" s="1" t="s">
        <v>1443</v>
      </c>
      <c r="S97" s="1" t="s">
        <v>60</v>
      </c>
      <c r="T97" s="2">
        <v>45954.500509259262</v>
      </c>
      <c r="U97" s="1" t="s">
        <v>61</v>
      </c>
      <c r="V97" s="1" t="s">
        <v>62</v>
      </c>
      <c r="W97" s="1" t="s">
        <v>61</v>
      </c>
      <c r="X97" s="1" t="s">
        <v>61</v>
      </c>
      <c r="Y97" s="1" t="s">
        <v>61</v>
      </c>
      <c r="Z97" s="1" t="s">
        <v>61</v>
      </c>
      <c r="AA97" s="1" t="s">
        <v>61</v>
      </c>
      <c r="AB97" s="1" t="s">
        <v>61</v>
      </c>
      <c r="AC97" s="1" t="s">
        <v>61</v>
      </c>
      <c r="AD97" s="2">
        <v>45961.521782407406</v>
      </c>
      <c r="AE97" s="1" t="s">
        <v>63</v>
      </c>
      <c r="AF97" s="1" t="s">
        <v>61</v>
      </c>
      <c r="AG97" s="1" t="s">
        <v>1151</v>
      </c>
      <c r="AH97" s="1" t="s">
        <v>77</v>
      </c>
      <c r="AI97">
        <v>284003</v>
      </c>
      <c r="AJ97" s="1" t="s">
        <v>66</v>
      </c>
      <c r="AK97" s="1" t="s">
        <v>67</v>
      </c>
      <c r="AL97">
        <v>62044220</v>
      </c>
      <c r="AM97" s="2"/>
      <c r="AN97">
        <v>3563</v>
      </c>
      <c r="AO97" s="1" t="s">
        <v>1444</v>
      </c>
      <c r="AP97" s="1" t="s">
        <v>61</v>
      </c>
      <c r="AQ97" s="1" t="s">
        <v>61</v>
      </c>
      <c r="AR97" s="1" t="s">
        <v>63</v>
      </c>
      <c r="AS97">
        <v>18</v>
      </c>
      <c r="AT97">
        <v>0</v>
      </c>
      <c r="AU97">
        <v>0</v>
      </c>
      <c r="AV97">
        <v>18</v>
      </c>
      <c r="AW97">
        <v>543.50800000000004</v>
      </c>
      <c r="AX97">
        <v>0</v>
      </c>
      <c r="AY97">
        <v>0</v>
      </c>
      <c r="AZ97">
        <v>543.50800000000004</v>
      </c>
      <c r="BA97" s="2"/>
      <c r="BB97">
        <v>0.85</v>
      </c>
      <c r="BC97" s="2">
        <v>45952.5</v>
      </c>
      <c r="BD97" s="27">
        <f>MarketPlace_Order_Report__2[[#This Row],[UnitPrice]]*MarketPlace_Order_Report__2[[#This Row],[OrderQty]]</f>
        <v>3563</v>
      </c>
      <c r="BE97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97" s="27">
        <f>MarketPlace_Order_Report__2[[#This Row],[Gross Amount (Before Tax)]]+MarketPlace_Order_Report__2[[#This Row],[Total GST Amount]]</f>
        <v>4106.5079999999998</v>
      </c>
    </row>
    <row r="98" spans="1:58">
      <c r="A98" s="1" t="s">
        <v>948</v>
      </c>
      <c r="B98" s="1" t="s">
        <v>949</v>
      </c>
      <c r="C98" s="1" t="s">
        <v>1445</v>
      </c>
      <c r="D98" s="1" t="s">
        <v>1446</v>
      </c>
      <c r="E98">
        <v>1</v>
      </c>
      <c r="F98" s="1" t="s">
        <v>950</v>
      </c>
      <c r="G98">
        <v>1</v>
      </c>
      <c r="H98">
        <v>0</v>
      </c>
      <c r="I98">
        <v>3750</v>
      </c>
      <c r="J98">
        <v>3563</v>
      </c>
      <c r="K98">
        <v>0</v>
      </c>
      <c r="L98">
        <v>3587.373</v>
      </c>
      <c r="M98">
        <v>24.373000000000001</v>
      </c>
      <c r="N98" s="1" t="s">
        <v>72</v>
      </c>
      <c r="O98" s="2">
        <v>45959.998020833336</v>
      </c>
      <c r="P98" s="2"/>
      <c r="Q98" s="2"/>
      <c r="R98" s="1" t="s">
        <v>951</v>
      </c>
      <c r="S98" s="1" t="s">
        <v>60</v>
      </c>
      <c r="T98" s="2">
        <v>45961.517905092594</v>
      </c>
      <c r="U98" s="1" t="s">
        <v>61</v>
      </c>
      <c r="V98" s="1" t="s">
        <v>62</v>
      </c>
      <c r="W98" s="1" t="s">
        <v>61</v>
      </c>
      <c r="X98" s="1" t="s">
        <v>61</v>
      </c>
      <c r="Y98" s="1" t="s">
        <v>61</v>
      </c>
      <c r="Z98" s="1" t="s">
        <v>61</v>
      </c>
      <c r="AA98" s="1" t="s">
        <v>61</v>
      </c>
      <c r="AB98" s="1" t="s">
        <v>61</v>
      </c>
      <c r="AC98" s="1" t="s">
        <v>61</v>
      </c>
      <c r="AD98" s="2">
        <v>45961.517916666664</v>
      </c>
      <c r="AE98" s="1" t="s">
        <v>63</v>
      </c>
      <c r="AF98" s="1" t="s">
        <v>61</v>
      </c>
      <c r="AG98" s="1" t="s">
        <v>952</v>
      </c>
      <c r="AH98" s="1" t="s">
        <v>120</v>
      </c>
      <c r="AI98">
        <v>303702</v>
      </c>
      <c r="AJ98" s="1" t="s">
        <v>66</v>
      </c>
      <c r="AK98" s="1" t="s">
        <v>67</v>
      </c>
      <c r="AL98">
        <v>62044220</v>
      </c>
      <c r="AM98" s="2"/>
      <c r="AN98">
        <v>3563</v>
      </c>
      <c r="AO98" s="1" t="s">
        <v>953</v>
      </c>
      <c r="AP98" s="1" t="s">
        <v>61</v>
      </c>
      <c r="AQ98" s="1" t="s">
        <v>61</v>
      </c>
      <c r="AR98" s="1" t="s">
        <v>63</v>
      </c>
      <c r="AS98">
        <v>18</v>
      </c>
      <c r="AT98">
        <v>0</v>
      </c>
      <c r="AU98">
        <v>0</v>
      </c>
      <c r="AV98">
        <v>18</v>
      </c>
      <c r="AW98">
        <v>543.50800000000004</v>
      </c>
      <c r="AX98">
        <v>0</v>
      </c>
      <c r="AY98">
        <v>0</v>
      </c>
      <c r="AZ98">
        <v>543.50800000000004</v>
      </c>
      <c r="BA98" s="2"/>
      <c r="BB98">
        <v>1</v>
      </c>
      <c r="BC98" s="2">
        <v>45962.5</v>
      </c>
      <c r="BD98" s="27">
        <f>MarketPlace_Order_Report__2[[#This Row],[UnitPrice]]*MarketPlace_Order_Report__2[[#This Row],[OrderQty]]</f>
        <v>3563</v>
      </c>
      <c r="BE98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98" s="27">
        <f>MarketPlace_Order_Report__2[[#This Row],[Gross Amount (Before Tax)]]+MarketPlace_Order_Report__2[[#This Row],[Total GST Amount]]</f>
        <v>4106.5079999999998</v>
      </c>
    </row>
    <row r="99" spans="1:58">
      <c r="A99" s="1" t="s">
        <v>1447</v>
      </c>
      <c r="B99" s="1" t="s">
        <v>1448</v>
      </c>
      <c r="C99" s="1" t="s">
        <v>1445</v>
      </c>
      <c r="D99" s="1" t="s">
        <v>1446</v>
      </c>
      <c r="E99">
        <v>1</v>
      </c>
      <c r="F99" s="1" t="s">
        <v>58</v>
      </c>
      <c r="G99">
        <v>1</v>
      </c>
      <c r="H99">
        <v>1</v>
      </c>
      <c r="I99">
        <v>3750</v>
      </c>
      <c r="J99">
        <v>3563</v>
      </c>
      <c r="K99">
        <v>0</v>
      </c>
      <c r="L99">
        <v>3583</v>
      </c>
      <c r="M99">
        <v>20</v>
      </c>
      <c r="N99" s="1" t="s">
        <v>72</v>
      </c>
      <c r="O99" s="2">
        <v>45950.633067129631</v>
      </c>
      <c r="P99" s="2">
        <v>45954.731192129628</v>
      </c>
      <c r="Q99" s="2">
        <v>45957.576956018522</v>
      </c>
      <c r="R99" s="1" t="s">
        <v>1449</v>
      </c>
      <c r="S99" s="1" t="s">
        <v>60</v>
      </c>
      <c r="T99" s="2">
        <v>45954.500509259262</v>
      </c>
      <c r="U99" s="1" t="s">
        <v>61</v>
      </c>
      <c r="V99" s="1" t="s">
        <v>62</v>
      </c>
      <c r="W99" s="1" t="s">
        <v>61</v>
      </c>
      <c r="X99" s="1" t="s">
        <v>61</v>
      </c>
      <c r="Y99" s="1" t="s">
        <v>61</v>
      </c>
      <c r="Z99" s="1" t="s">
        <v>61</v>
      </c>
      <c r="AA99" s="1" t="s">
        <v>61</v>
      </c>
      <c r="AB99" s="1" t="s">
        <v>61</v>
      </c>
      <c r="AC99" s="1" t="s">
        <v>61</v>
      </c>
      <c r="AD99" s="2">
        <v>45957.577245370368</v>
      </c>
      <c r="AE99" s="1" t="s">
        <v>63</v>
      </c>
      <c r="AF99" s="1" t="s">
        <v>61</v>
      </c>
      <c r="AG99" s="1" t="s">
        <v>1450</v>
      </c>
      <c r="AH99" s="1" t="s">
        <v>77</v>
      </c>
      <c r="AI99">
        <v>273403</v>
      </c>
      <c r="AJ99" s="1" t="s">
        <v>66</v>
      </c>
      <c r="AK99" s="1" t="s">
        <v>67</v>
      </c>
      <c r="AL99">
        <v>62044220</v>
      </c>
      <c r="AM99" s="2"/>
      <c r="AN99">
        <v>3563</v>
      </c>
      <c r="AO99" s="1" t="s">
        <v>1451</v>
      </c>
      <c r="AP99" s="1" t="s">
        <v>61</v>
      </c>
      <c r="AQ99" s="1" t="s">
        <v>61</v>
      </c>
      <c r="AR99" s="1" t="s">
        <v>63</v>
      </c>
      <c r="AS99">
        <v>18</v>
      </c>
      <c r="AT99">
        <v>0</v>
      </c>
      <c r="AU99">
        <v>0</v>
      </c>
      <c r="AV99">
        <v>18</v>
      </c>
      <c r="AW99">
        <v>543.50800000000004</v>
      </c>
      <c r="AX99">
        <v>0</v>
      </c>
      <c r="AY99">
        <v>0</v>
      </c>
      <c r="AZ99">
        <v>543.50800000000004</v>
      </c>
      <c r="BA99" s="2"/>
      <c r="BB99">
        <v>0.75</v>
      </c>
      <c r="BC99" s="2">
        <v>45953.5</v>
      </c>
      <c r="BD99" s="27">
        <f>MarketPlace_Order_Report__2[[#This Row],[UnitPrice]]*MarketPlace_Order_Report__2[[#This Row],[OrderQty]]</f>
        <v>3563</v>
      </c>
      <c r="BE99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99" s="27">
        <f>MarketPlace_Order_Report__2[[#This Row],[Gross Amount (Before Tax)]]+MarketPlace_Order_Report__2[[#This Row],[Total GST Amount]]</f>
        <v>4106.5079999999998</v>
      </c>
    </row>
    <row r="100" spans="1:58">
      <c r="A100" s="1" t="s">
        <v>1452</v>
      </c>
      <c r="B100" s="1" t="s">
        <v>1453</v>
      </c>
      <c r="C100" s="1" t="s">
        <v>1454</v>
      </c>
      <c r="D100" s="1" t="s">
        <v>1455</v>
      </c>
      <c r="E100">
        <v>1</v>
      </c>
      <c r="F100" s="1" t="s">
        <v>58</v>
      </c>
      <c r="G100">
        <v>1</v>
      </c>
      <c r="H100">
        <v>1</v>
      </c>
      <c r="I100">
        <v>3750</v>
      </c>
      <c r="J100">
        <v>3563</v>
      </c>
      <c r="K100">
        <v>0</v>
      </c>
      <c r="L100">
        <v>3587.5</v>
      </c>
      <c r="M100">
        <v>24.5</v>
      </c>
      <c r="N100" s="1" t="s">
        <v>72</v>
      </c>
      <c r="O100" s="2">
        <v>45935.6637962963</v>
      </c>
      <c r="P100" s="2">
        <v>45936.718564814815</v>
      </c>
      <c r="Q100" s="2">
        <v>45944.823495370372</v>
      </c>
      <c r="R100" s="1" t="s">
        <v>1456</v>
      </c>
      <c r="S100" s="1" t="s">
        <v>60</v>
      </c>
      <c r="T100" s="2">
        <v>45935.742905092593</v>
      </c>
      <c r="U100" s="1" t="s">
        <v>61</v>
      </c>
      <c r="V100" s="1" t="s">
        <v>62</v>
      </c>
      <c r="W100" s="1" t="s">
        <v>61</v>
      </c>
      <c r="X100" s="1" t="s">
        <v>61</v>
      </c>
      <c r="Y100" s="1" t="s">
        <v>61</v>
      </c>
      <c r="Z100" s="1" t="s">
        <v>61</v>
      </c>
      <c r="AA100" s="1" t="s">
        <v>61</v>
      </c>
      <c r="AB100" s="1" t="s">
        <v>61</v>
      </c>
      <c r="AC100" s="1" t="s">
        <v>61</v>
      </c>
      <c r="AD100" s="2">
        <v>45944.823773148149</v>
      </c>
      <c r="AE100" s="1" t="s">
        <v>63</v>
      </c>
      <c r="AF100" s="1" t="s">
        <v>61</v>
      </c>
      <c r="AG100" s="1" t="s">
        <v>519</v>
      </c>
      <c r="AH100" s="1" t="s">
        <v>177</v>
      </c>
      <c r="AI100">
        <v>781005</v>
      </c>
      <c r="AJ100" s="1" t="s">
        <v>66</v>
      </c>
      <c r="AK100" s="1" t="s">
        <v>67</v>
      </c>
      <c r="AL100">
        <v>62044220</v>
      </c>
      <c r="AM100" s="2"/>
      <c r="AN100">
        <v>3563</v>
      </c>
      <c r="AO100" s="1" t="s">
        <v>1457</v>
      </c>
      <c r="AP100" s="1" t="s">
        <v>61</v>
      </c>
      <c r="AQ100" s="1" t="s">
        <v>61</v>
      </c>
      <c r="AR100" s="1" t="s">
        <v>63</v>
      </c>
      <c r="AS100">
        <v>18</v>
      </c>
      <c r="AT100">
        <v>0</v>
      </c>
      <c r="AU100">
        <v>0</v>
      </c>
      <c r="AV100">
        <v>18</v>
      </c>
      <c r="AW100">
        <v>543.50800000000004</v>
      </c>
      <c r="AX100">
        <v>0</v>
      </c>
      <c r="AY100">
        <v>0</v>
      </c>
      <c r="AZ100">
        <v>543.50800000000004</v>
      </c>
      <c r="BA100" s="2"/>
      <c r="BB100">
        <v>1</v>
      </c>
      <c r="BC100" s="2">
        <v>45938.5</v>
      </c>
      <c r="BD100" s="27">
        <f>MarketPlace_Order_Report__2[[#This Row],[UnitPrice]]*MarketPlace_Order_Report__2[[#This Row],[OrderQty]]</f>
        <v>3563</v>
      </c>
      <c r="BE100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0" s="27">
        <f>MarketPlace_Order_Report__2[[#This Row],[Gross Amount (Before Tax)]]+MarketPlace_Order_Report__2[[#This Row],[Total GST Amount]]</f>
        <v>4106.5079999999998</v>
      </c>
    </row>
    <row r="101" spans="1:58">
      <c r="A101" s="1" t="s">
        <v>1458</v>
      </c>
      <c r="B101" s="1" t="s">
        <v>1459</v>
      </c>
      <c r="C101" s="1" t="s">
        <v>1460</v>
      </c>
      <c r="D101" s="1" t="s">
        <v>1461</v>
      </c>
      <c r="E101">
        <v>2</v>
      </c>
      <c r="F101" s="1" t="s">
        <v>58</v>
      </c>
      <c r="G101">
        <v>1</v>
      </c>
      <c r="H101">
        <v>1</v>
      </c>
      <c r="I101">
        <v>3750</v>
      </c>
      <c r="J101">
        <v>3563</v>
      </c>
      <c r="K101">
        <v>0</v>
      </c>
      <c r="L101">
        <v>3571.15</v>
      </c>
      <c r="M101">
        <v>8.15</v>
      </c>
      <c r="N101" s="1" t="s">
        <v>72</v>
      </c>
      <c r="O101" s="2">
        <v>45936.709178240744</v>
      </c>
      <c r="P101" s="2">
        <v>45937.725439814814</v>
      </c>
      <c r="Q101" s="2">
        <v>45944.558981481481</v>
      </c>
      <c r="R101" s="1" t="s">
        <v>1462</v>
      </c>
      <c r="S101" s="1" t="s">
        <v>60</v>
      </c>
      <c r="T101" s="2">
        <v>45936.813321759262</v>
      </c>
      <c r="U101" s="1" t="s">
        <v>61</v>
      </c>
      <c r="V101" s="1" t="s">
        <v>62</v>
      </c>
      <c r="W101" s="1" t="s">
        <v>61</v>
      </c>
      <c r="X101" s="1" t="s">
        <v>61</v>
      </c>
      <c r="Y101" s="1" t="s">
        <v>61</v>
      </c>
      <c r="Z101" s="1" t="s">
        <v>61</v>
      </c>
      <c r="AA101" s="1" t="s">
        <v>61</v>
      </c>
      <c r="AB101" s="1" t="s">
        <v>61</v>
      </c>
      <c r="AC101" s="1" t="s">
        <v>61</v>
      </c>
      <c r="AD101" s="2">
        <v>45944.559861111113</v>
      </c>
      <c r="AE101" s="1" t="s">
        <v>63</v>
      </c>
      <c r="AF101" s="1" t="s">
        <v>61</v>
      </c>
      <c r="AG101" s="1" t="s">
        <v>1463</v>
      </c>
      <c r="AH101" s="1" t="s">
        <v>83</v>
      </c>
      <c r="AI101">
        <v>824101</v>
      </c>
      <c r="AJ101" s="1" t="s">
        <v>66</v>
      </c>
      <c r="AK101" s="1" t="s">
        <v>67</v>
      </c>
      <c r="AL101">
        <v>62044220</v>
      </c>
      <c r="AM101" s="2"/>
      <c r="AN101">
        <v>3563</v>
      </c>
      <c r="AO101" s="1" t="s">
        <v>1464</v>
      </c>
      <c r="AP101" s="1" t="s">
        <v>61</v>
      </c>
      <c r="AQ101" s="1" t="s">
        <v>61</v>
      </c>
      <c r="AR101" s="1" t="s">
        <v>63</v>
      </c>
      <c r="AS101">
        <v>18</v>
      </c>
      <c r="AT101">
        <v>0</v>
      </c>
      <c r="AU101">
        <v>0</v>
      </c>
      <c r="AV101">
        <v>18</v>
      </c>
      <c r="AW101">
        <v>543.50800000000004</v>
      </c>
      <c r="AX101">
        <v>0</v>
      </c>
      <c r="AY101">
        <v>0</v>
      </c>
      <c r="AZ101">
        <v>543.50800000000004</v>
      </c>
      <c r="BA101" s="2"/>
      <c r="BB101">
        <v>0.75</v>
      </c>
      <c r="BC101" s="2">
        <v>45939.5</v>
      </c>
      <c r="BD101" s="27">
        <f>MarketPlace_Order_Report__2[[#This Row],[UnitPrice]]*MarketPlace_Order_Report__2[[#This Row],[OrderQty]]</f>
        <v>3563</v>
      </c>
      <c r="BE101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1" s="27">
        <f>MarketPlace_Order_Report__2[[#This Row],[Gross Amount (Before Tax)]]+MarketPlace_Order_Report__2[[#This Row],[Total GST Amount]]</f>
        <v>4106.5079999999998</v>
      </c>
    </row>
    <row r="102" spans="1:58">
      <c r="A102" s="1" t="s">
        <v>1465</v>
      </c>
      <c r="B102" s="1" t="s">
        <v>1466</v>
      </c>
      <c r="C102" s="1" t="s">
        <v>471</v>
      </c>
      <c r="D102" s="1" t="s">
        <v>472</v>
      </c>
      <c r="E102">
        <v>1</v>
      </c>
      <c r="F102" s="1" t="s">
        <v>58</v>
      </c>
      <c r="G102">
        <v>1</v>
      </c>
      <c r="H102">
        <v>1</v>
      </c>
      <c r="I102">
        <v>3750</v>
      </c>
      <c r="J102">
        <v>3563</v>
      </c>
      <c r="K102">
        <v>0</v>
      </c>
      <c r="L102">
        <v>3592</v>
      </c>
      <c r="M102">
        <v>29</v>
      </c>
      <c r="N102" s="1" t="s">
        <v>59</v>
      </c>
      <c r="O102" s="2">
        <v>45953.003923611112</v>
      </c>
      <c r="P102" s="2">
        <v>45954.731122685182</v>
      </c>
      <c r="Q102" s="2">
        <v>45958.40047453704</v>
      </c>
      <c r="R102" s="1" t="s">
        <v>1467</v>
      </c>
      <c r="S102" s="1" t="s">
        <v>60</v>
      </c>
      <c r="T102" s="2">
        <v>45954.500509259262</v>
      </c>
      <c r="U102" s="1" t="s">
        <v>61</v>
      </c>
      <c r="V102" s="1" t="s">
        <v>62</v>
      </c>
      <c r="W102" s="1" t="s">
        <v>61</v>
      </c>
      <c r="X102" s="1" t="s">
        <v>61</v>
      </c>
      <c r="Y102" s="1" t="s">
        <v>61</v>
      </c>
      <c r="Z102" s="1" t="s">
        <v>61</v>
      </c>
      <c r="AA102" s="1" t="s">
        <v>61</v>
      </c>
      <c r="AB102" s="1" t="s">
        <v>61</v>
      </c>
      <c r="AC102" s="1" t="s">
        <v>61</v>
      </c>
      <c r="AD102" s="2">
        <v>45958.403634259259</v>
      </c>
      <c r="AE102" s="1" t="s">
        <v>63</v>
      </c>
      <c r="AF102" s="1" t="s">
        <v>61</v>
      </c>
      <c r="AG102" s="1" t="s">
        <v>1096</v>
      </c>
      <c r="AH102" s="1" t="s">
        <v>503</v>
      </c>
      <c r="AI102">
        <v>151001</v>
      </c>
      <c r="AJ102" s="1" t="s">
        <v>66</v>
      </c>
      <c r="AK102" s="1" t="s">
        <v>67</v>
      </c>
      <c r="AL102">
        <v>62044220</v>
      </c>
      <c r="AM102" s="2"/>
      <c r="AN102">
        <v>3563</v>
      </c>
      <c r="AO102" s="1" t="s">
        <v>1468</v>
      </c>
      <c r="AP102" s="1" t="s">
        <v>970</v>
      </c>
      <c r="AQ102" s="1" t="s">
        <v>61</v>
      </c>
      <c r="AR102" s="1" t="s">
        <v>63</v>
      </c>
      <c r="AS102">
        <v>18</v>
      </c>
      <c r="AT102">
        <v>0</v>
      </c>
      <c r="AU102">
        <v>0</v>
      </c>
      <c r="AV102">
        <v>18</v>
      </c>
      <c r="AW102">
        <v>543.50800000000004</v>
      </c>
      <c r="AX102">
        <v>0</v>
      </c>
      <c r="AY102">
        <v>0</v>
      </c>
      <c r="AZ102">
        <v>543.50800000000004</v>
      </c>
      <c r="BA102" s="2"/>
      <c r="BB102">
        <v>0.75</v>
      </c>
      <c r="BC102" s="2">
        <v>45955.5</v>
      </c>
      <c r="BD102" s="27">
        <f>MarketPlace_Order_Report__2[[#This Row],[UnitPrice]]*MarketPlace_Order_Report__2[[#This Row],[OrderQty]]</f>
        <v>3563</v>
      </c>
      <c r="BE102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2" s="27">
        <f>MarketPlace_Order_Report__2[[#This Row],[Gross Amount (Before Tax)]]+MarketPlace_Order_Report__2[[#This Row],[Total GST Amount]]</f>
        <v>4106.5079999999998</v>
      </c>
    </row>
    <row r="103" spans="1:58">
      <c r="A103" s="1" t="s">
        <v>1469</v>
      </c>
      <c r="B103" s="1" t="s">
        <v>1470</v>
      </c>
      <c r="C103" s="1" t="s">
        <v>471</v>
      </c>
      <c r="D103" s="1" t="s">
        <v>472</v>
      </c>
      <c r="E103">
        <v>1</v>
      </c>
      <c r="F103" s="1" t="s">
        <v>413</v>
      </c>
      <c r="G103">
        <v>1</v>
      </c>
      <c r="H103">
        <v>1</v>
      </c>
      <c r="I103">
        <v>3750</v>
      </c>
      <c r="J103">
        <v>3563</v>
      </c>
      <c r="K103">
        <v>0</v>
      </c>
      <c r="L103">
        <v>3583</v>
      </c>
      <c r="M103">
        <v>20</v>
      </c>
      <c r="N103" s="1" t="s">
        <v>72</v>
      </c>
      <c r="O103" s="2">
        <v>45946.922442129631</v>
      </c>
      <c r="P103" s="2">
        <v>45948.728495370371</v>
      </c>
      <c r="Q103" s="2"/>
      <c r="R103" s="1" t="s">
        <v>1471</v>
      </c>
      <c r="S103" s="1" t="s">
        <v>60</v>
      </c>
      <c r="T103" s="2">
        <v>45947.781412037039</v>
      </c>
      <c r="U103" s="1" t="s">
        <v>61</v>
      </c>
      <c r="V103" s="1" t="s">
        <v>62</v>
      </c>
      <c r="W103" s="1" t="s">
        <v>61</v>
      </c>
      <c r="X103" s="1" t="s">
        <v>61</v>
      </c>
      <c r="Y103" s="1" t="s">
        <v>1472</v>
      </c>
      <c r="Z103" s="1" t="s">
        <v>103</v>
      </c>
      <c r="AA103" s="1" t="s">
        <v>414</v>
      </c>
      <c r="AB103" s="1" t="s">
        <v>61</v>
      </c>
      <c r="AC103" s="1" t="s">
        <v>61</v>
      </c>
      <c r="AD103" s="2">
        <v>45961.347962962966</v>
      </c>
      <c r="AE103" s="1" t="s">
        <v>63</v>
      </c>
      <c r="AF103" s="1" t="s">
        <v>61</v>
      </c>
      <c r="AG103" s="1" t="s">
        <v>1473</v>
      </c>
      <c r="AH103" s="1" t="s">
        <v>177</v>
      </c>
      <c r="AI103">
        <v>783380</v>
      </c>
      <c r="AJ103" s="1" t="s">
        <v>66</v>
      </c>
      <c r="AK103" s="1" t="s">
        <v>67</v>
      </c>
      <c r="AL103">
        <v>62044220</v>
      </c>
      <c r="AM103" s="2"/>
      <c r="AN103">
        <v>3563</v>
      </c>
      <c r="AO103" s="1" t="s">
        <v>1474</v>
      </c>
      <c r="AP103" s="1" t="s">
        <v>61</v>
      </c>
      <c r="AQ103" s="1" t="s">
        <v>61</v>
      </c>
      <c r="AR103" s="1" t="s">
        <v>63</v>
      </c>
      <c r="AS103">
        <v>18</v>
      </c>
      <c r="AT103">
        <v>0</v>
      </c>
      <c r="AU103">
        <v>0</v>
      </c>
      <c r="AV103">
        <v>18</v>
      </c>
      <c r="AW103">
        <v>543.50800000000004</v>
      </c>
      <c r="AX103">
        <v>0</v>
      </c>
      <c r="AY103">
        <v>0</v>
      </c>
      <c r="AZ103">
        <v>543.50800000000004</v>
      </c>
      <c r="BA103" s="2"/>
      <c r="BB103">
        <v>0.75</v>
      </c>
      <c r="BC103" s="2">
        <v>45949.5</v>
      </c>
      <c r="BD103" s="27">
        <f>MarketPlace_Order_Report__2[[#This Row],[UnitPrice]]*MarketPlace_Order_Report__2[[#This Row],[OrderQty]]</f>
        <v>3563</v>
      </c>
      <c r="BE103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3" s="27">
        <f>MarketPlace_Order_Report__2[[#This Row],[Gross Amount (Before Tax)]]+MarketPlace_Order_Report__2[[#This Row],[Total GST Amount]]</f>
        <v>4106.5079999999998</v>
      </c>
    </row>
    <row r="104" spans="1:58">
      <c r="A104" s="1" t="s">
        <v>1475</v>
      </c>
      <c r="B104" s="1" t="s">
        <v>1476</v>
      </c>
      <c r="C104" s="1" t="s">
        <v>471</v>
      </c>
      <c r="D104" s="1" t="s">
        <v>472</v>
      </c>
      <c r="E104">
        <v>1</v>
      </c>
      <c r="F104" s="1" t="s">
        <v>58</v>
      </c>
      <c r="G104">
        <v>1</v>
      </c>
      <c r="H104">
        <v>1</v>
      </c>
      <c r="I104">
        <v>3750</v>
      </c>
      <c r="J104">
        <v>3563</v>
      </c>
      <c r="K104">
        <v>0</v>
      </c>
      <c r="L104">
        <v>3592</v>
      </c>
      <c r="M104">
        <v>29</v>
      </c>
      <c r="N104" s="1" t="s">
        <v>59</v>
      </c>
      <c r="O104" s="2">
        <v>45938.337858796294</v>
      </c>
      <c r="P104" s="2">
        <v>45939.734710648147</v>
      </c>
      <c r="Q104" s="2">
        <v>45942.61378472222</v>
      </c>
      <c r="R104" s="1" t="s">
        <v>1477</v>
      </c>
      <c r="S104" s="1" t="s">
        <v>60</v>
      </c>
      <c r="T104" s="2">
        <v>45938.725810185184</v>
      </c>
      <c r="U104" s="1" t="s">
        <v>61</v>
      </c>
      <c r="V104" s="1" t="s">
        <v>62</v>
      </c>
      <c r="W104" s="1" t="s">
        <v>61</v>
      </c>
      <c r="X104" s="1" t="s">
        <v>61</v>
      </c>
      <c r="Y104" s="1" t="s">
        <v>61</v>
      </c>
      <c r="Z104" s="1" t="s">
        <v>61</v>
      </c>
      <c r="AA104" s="1" t="s">
        <v>61</v>
      </c>
      <c r="AB104" s="1" t="s">
        <v>61</v>
      </c>
      <c r="AC104" s="1" t="s">
        <v>61</v>
      </c>
      <c r="AD104" s="2">
        <v>45942.615486111114</v>
      </c>
      <c r="AE104" s="1" t="s">
        <v>63</v>
      </c>
      <c r="AF104" s="1" t="s">
        <v>61</v>
      </c>
      <c r="AG104" s="1" t="s">
        <v>813</v>
      </c>
      <c r="AH104" s="1" t="s">
        <v>503</v>
      </c>
      <c r="AI104">
        <v>140603</v>
      </c>
      <c r="AJ104" s="1" t="s">
        <v>66</v>
      </c>
      <c r="AK104" s="1" t="s">
        <v>67</v>
      </c>
      <c r="AL104">
        <v>62044220</v>
      </c>
      <c r="AM104" s="2"/>
      <c r="AN104">
        <v>3563</v>
      </c>
      <c r="AO104" s="1" t="s">
        <v>1478</v>
      </c>
      <c r="AP104" s="1" t="s">
        <v>61</v>
      </c>
      <c r="AQ104" s="1" t="s">
        <v>61</v>
      </c>
      <c r="AR104" s="1" t="s">
        <v>63</v>
      </c>
      <c r="AS104">
        <v>18</v>
      </c>
      <c r="AT104">
        <v>0</v>
      </c>
      <c r="AU104">
        <v>0</v>
      </c>
      <c r="AV104">
        <v>18</v>
      </c>
      <c r="AW104">
        <v>543.50800000000004</v>
      </c>
      <c r="AX104">
        <v>0</v>
      </c>
      <c r="AY104">
        <v>0</v>
      </c>
      <c r="AZ104">
        <v>543.50800000000004</v>
      </c>
      <c r="BA104" s="2"/>
      <c r="BB104">
        <v>0.75</v>
      </c>
      <c r="BC104" s="2">
        <v>45940.5</v>
      </c>
      <c r="BD104" s="27">
        <f>MarketPlace_Order_Report__2[[#This Row],[UnitPrice]]*MarketPlace_Order_Report__2[[#This Row],[OrderQty]]</f>
        <v>3563</v>
      </c>
      <c r="BE104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4" s="27">
        <f>MarketPlace_Order_Report__2[[#This Row],[Gross Amount (Before Tax)]]+MarketPlace_Order_Report__2[[#This Row],[Total GST Amount]]</f>
        <v>4106.5079999999998</v>
      </c>
    </row>
    <row r="105" spans="1:58">
      <c r="A105" s="1" t="s">
        <v>1479</v>
      </c>
      <c r="B105" s="1" t="s">
        <v>1480</v>
      </c>
      <c r="C105" s="1" t="s">
        <v>476</v>
      </c>
      <c r="D105" s="1" t="s">
        <v>477</v>
      </c>
      <c r="E105">
        <v>1</v>
      </c>
      <c r="F105" s="1" t="s">
        <v>102</v>
      </c>
      <c r="G105">
        <v>1</v>
      </c>
      <c r="H105">
        <v>1</v>
      </c>
      <c r="I105">
        <v>3750</v>
      </c>
      <c r="J105">
        <v>3563</v>
      </c>
      <c r="K105">
        <v>0</v>
      </c>
      <c r="L105">
        <v>3612</v>
      </c>
      <c r="M105">
        <v>49</v>
      </c>
      <c r="N105" s="1" t="s">
        <v>72</v>
      </c>
      <c r="O105" s="2">
        <v>45941.636620370373</v>
      </c>
      <c r="P105" s="2">
        <v>45943.76185185185</v>
      </c>
      <c r="Q105" s="2"/>
      <c r="R105" s="1" t="s">
        <v>1481</v>
      </c>
      <c r="S105" s="1" t="s">
        <v>60</v>
      </c>
      <c r="T105" s="2">
        <v>45941.806620370371</v>
      </c>
      <c r="U105" s="1" t="s">
        <v>61</v>
      </c>
      <c r="V105" s="1" t="s">
        <v>62</v>
      </c>
      <c r="W105" s="1" t="s">
        <v>61</v>
      </c>
      <c r="X105" s="1" t="s">
        <v>61</v>
      </c>
      <c r="Y105" s="1" t="s">
        <v>1482</v>
      </c>
      <c r="Z105" s="1" t="s">
        <v>103</v>
      </c>
      <c r="AA105" s="1" t="s">
        <v>75</v>
      </c>
      <c r="AB105" s="1" t="s">
        <v>61</v>
      </c>
      <c r="AC105" s="1" t="s">
        <v>61</v>
      </c>
      <c r="AD105" s="2">
        <v>45957.886099537034</v>
      </c>
      <c r="AE105" s="1" t="s">
        <v>63</v>
      </c>
      <c r="AF105" s="1" t="s">
        <v>61</v>
      </c>
      <c r="AG105" s="1" t="s">
        <v>1483</v>
      </c>
      <c r="AH105" s="1" t="s">
        <v>83</v>
      </c>
      <c r="AI105">
        <v>852129</v>
      </c>
      <c r="AJ105" s="1" t="s">
        <v>66</v>
      </c>
      <c r="AK105" s="1" t="s">
        <v>67</v>
      </c>
      <c r="AL105">
        <v>62044220</v>
      </c>
      <c r="AM105" s="2"/>
      <c r="AN105">
        <v>3563</v>
      </c>
      <c r="AO105" s="1" t="s">
        <v>1484</v>
      </c>
      <c r="AP105" s="1" t="s">
        <v>61</v>
      </c>
      <c r="AQ105" s="1" t="s">
        <v>61</v>
      </c>
      <c r="AR105" s="1" t="s">
        <v>63</v>
      </c>
      <c r="AS105">
        <v>18</v>
      </c>
      <c r="AT105">
        <v>0</v>
      </c>
      <c r="AU105">
        <v>0</v>
      </c>
      <c r="AV105">
        <v>18</v>
      </c>
      <c r="AW105">
        <v>543.50800000000004</v>
      </c>
      <c r="AX105">
        <v>0</v>
      </c>
      <c r="AY105">
        <v>0</v>
      </c>
      <c r="AZ105">
        <v>543.50800000000004</v>
      </c>
      <c r="BA105" s="2"/>
      <c r="BB105">
        <v>0.75</v>
      </c>
      <c r="BC105" s="2">
        <v>45944.5</v>
      </c>
      <c r="BD105" s="27">
        <f>MarketPlace_Order_Report__2[[#This Row],[UnitPrice]]*MarketPlace_Order_Report__2[[#This Row],[OrderQty]]</f>
        <v>3563</v>
      </c>
      <c r="BE105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5" s="27">
        <f>MarketPlace_Order_Report__2[[#This Row],[Gross Amount (Before Tax)]]+MarketPlace_Order_Report__2[[#This Row],[Total GST Amount]]</f>
        <v>4106.5079999999998</v>
      </c>
    </row>
    <row r="106" spans="1:58">
      <c r="A106" s="1" t="s">
        <v>1485</v>
      </c>
      <c r="B106" s="1" t="s">
        <v>1486</v>
      </c>
      <c r="C106" s="1" t="s">
        <v>476</v>
      </c>
      <c r="D106" s="1" t="s">
        <v>477</v>
      </c>
      <c r="E106">
        <v>1</v>
      </c>
      <c r="F106" s="1" t="s">
        <v>102</v>
      </c>
      <c r="G106">
        <v>1</v>
      </c>
      <c r="H106">
        <v>1</v>
      </c>
      <c r="I106">
        <v>3750</v>
      </c>
      <c r="J106">
        <v>3563</v>
      </c>
      <c r="K106">
        <v>0</v>
      </c>
      <c r="L106">
        <v>3604.86</v>
      </c>
      <c r="M106">
        <v>41.86</v>
      </c>
      <c r="N106" s="1" t="s">
        <v>72</v>
      </c>
      <c r="O106" s="2">
        <v>45937.548703703702</v>
      </c>
      <c r="P106" s="2">
        <v>45938.717546296299</v>
      </c>
      <c r="Q106" s="2"/>
      <c r="R106" s="1" t="s">
        <v>1487</v>
      </c>
      <c r="S106" s="1" t="s">
        <v>60</v>
      </c>
      <c r="T106" s="2">
        <v>45937.717673611114</v>
      </c>
      <c r="U106" s="1" t="s">
        <v>61</v>
      </c>
      <c r="V106" s="1" t="s">
        <v>62</v>
      </c>
      <c r="W106" s="1" t="s">
        <v>61</v>
      </c>
      <c r="X106" s="1" t="s">
        <v>61</v>
      </c>
      <c r="Y106" s="1" t="s">
        <v>1488</v>
      </c>
      <c r="Z106" s="1" t="s">
        <v>103</v>
      </c>
      <c r="AA106" s="1" t="s">
        <v>75</v>
      </c>
      <c r="AB106" s="1" t="s">
        <v>61</v>
      </c>
      <c r="AC106" s="1" t="s">
        <v>61</v>
      </c>
      <c r="AD106" s="2">
        <v>45947.861990740741</v>
      </c>
      <c r="AE106" s="1" t="s">
        <v>63</v>
      </c>
      <c r="AF106" s="1" t="s">
        <v>61</v>
      </c>
      <c r="AG106" s="1" t="s">
        <v>76</v>
      </c>
      <c r="AH106" s="1" t="s">
        <v>77</v>
      </c>
      <c r="AI106">
        <v>201001</v>
      </c>
      <c r="AJ106" s="1" t="s">
        <v>66</v>
      </c>
      <c r="AK106" s="1" t="s">
        <v>67</v>
      </c>
      <c r="AL106">
        <v>62044220</v>
      </c>
      <c r="AM106" s="2"/>
      <c r="AN106">
        <v>3563</v>
      </c>
      <c r="AO106" s="1" t="s">
        <v>1489</v>
      </c>
      <c r="AP106" s="1" t="s">
        <v>61</v>
      </c>
      <c r="AQ106" s="1" t="s">
        <v>61</v>
      </c>
      <c r="AR106" s="1" t="s">
        <v>63</v>
      </c>
      <c r="AS106">
        <v>18</v>
      </c>
      <c r="AT106">
        <v>0</v>
      </c>
      <c r="AU106">
        <v>0</v>
      </c>
      <c r="AV106">
        <v>18</v>
      </c>
      <c r="AW106">
        <v>543.50800000000004</v>
      </c>
      <c r="AX106">
        <v>0</v>
      </c>
      <c r="AY106">
        <v>0</v>
      </c>
      <c r="AZ106">
        <v>543.50800000000004</v>
      </c>
      <c r="BA106" s="2"/>
      <c r="BB106">
        <v>0.75</v>
      </c>
      <c r="BC106" s="2">
        <v>45940.5</v>
      </c>
      <c r="BD106" s="27">
        <f>MarketPlace_Order_Report__2[[#This Row],[UnitPrice]]*MarketPlace_Order_Report__2[[#This Row],[OrderQty]]</f>
        <v>3563</v>
      </c>
      <c r="BE106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6" s="27">
        <f>MarketPlace_Order_Report__2[[#This Row],[Gross Amount (Before Tax)]]+MarketPlace_Order_Report__2[[#This Row],[Total GST Amount]]</f>
        <v>4106.5079999999998</v>
      </c>
    </row>
    <row r="107" spans="1:58">
      <c r="A107" s="1" t="s">
        <v>1490</v>
      </c>
      <c r="B107" s="1" t="s">
        <v>1491</v>
      </c>
      <c r="C107" s="1" t="s">
        <v>1492</v>
      </c>
      <c r="D107" s="1" t="s">
        <v>1493</v>
      </c>
      <c r="E107">
        <v>3</v>
      </c>
      <c r="F107" s="1" t="s">
        <v>71</v>
      </c>
      <c r="G107">
        <v>1</v>
      </c>
      <c r="H107">
        <v>1</v>
      </c>
      <c r="I107">
        <v>3750</v>
      </c>
      <c r="J107">
        <v>3563</v>
      </c>
      <c r="K107">
        <v>0</v>
      </c>
      <c r="L107">
        <v>3596.16</v>
      </c>
      <c r="M107">
        <v>33.159999999999997</v>
      </c>
      <c r="N107" s="1" t="s">
        <v>59</v>
      </c>
      <c r="O107" s="2">
        <v>45952.96665509259</v>
      </c>
      <c r="P107" s="2">
        <v>45954.73196759259</v>
      </c>
      <c r="Q107" s="2">
        <v>45957.505833333336</v>
      </c>
      <c r="R107" s="1" t="s">
        <v>1494</v>
      </c>
      <c r="S107" s="1" t="s">
        <v>60</v>
      </c>
      <c r="T107" s="2">
        <v>45954.500509259262</v>
      </c>
      <c r="U107" s="1" t="s">
        <v>61</v>
      </c>
      <c r="V107" s="1" t="s">
        <v>62</v>
      </c>
      <c r="W107" s="1" t="s">
        <v>61</v>
      </c>
      <c r="X107" s="1" t="s">
        <v>61</v>
      </c>
      <c r="Y107" s="1" t="s">
        <v>1495</v>
      </c>
      <c r="Z107" s="1" t="s">
        <v>74</v>
      </c>
      <c r="AA107" s="1" t="s">
        <v>695</v>
      </c>
      <c r="AB107" s="1" t="s">
        <v>61</v>
      </c>
      <c r="AC107" s="1" t="s">
        <v>61</v>
      </c>
      <c r="AD107" s="2">
        <v>45961.413969907408</v>
      </c>
      <c r="AE107" s="1" t="s">
        <v>63</v>
      </c>
      <c r="AF107" s="1" t="s">
        <v>61</v>
      </c>
      <c r="AG107" s="1" t="s">
        <v>76</v>
      </c>
      <c r="AH107" s="1" t="s">
        <v>77</v>
      </c>
      <c r="AI107">
        <v>201001</v>
      </c>
      <c r="AJ107" s="1" t="s">
        <v>66</v>
      </c>
      <c r="AK107" s="1" t="s">
        <v>67</v>
      </c>
      <c r="AL107">
        <v>62044220</v>
      </c>
      <c r="AM107" s="2"/>
      <c r="AN107">
        <v>3563</v>
      </c>
      <c r="AO107" s="1" t="s">
        <v>1496</v>
      </c>
      <c r="AP107" s="1" t="s">
        <v>970</v>
      </c>
      <c r="AQ107" s="1" t="s">
        <v>61</v>
      </c>
      <c r="AR107" s="1" t="s">
        <v>63</v>
      </c>
      <c r="AS107">
        <v>18</v>
      </c>
      <c r="AT107">
        <v>0</v>
      </c>
      <c r="AU107">
        <v>0</v>
      </c>
      <c r="AV107">
        <v>18</v>
      </c>
      <c r="AW107">
        <v>543.50800000000004</v>
      </c>
      <c r="AX107">
        <v>0</v>
      </c>
      <c r="AY107">
        <v>0</v>
      </c>
      <c r="AZ107">
        <v>543.50800000000004</v>
      </c>
      <c r="BA107" s="2"/>
      <c r="BB107">
        <v>0.75</v>
      </c>
      <c r="BC107" s="2">
        <v>45955.5</v>
      </c>
      <c r="BD107" s="27">
        <f>MarketPlace_Order_Report__2[[#This Row],[UnitPrice]]*MarketPlace_Order_Report__2[[#This Row],[OrderQty]]</f>
        <v>3563</v>
      </c>
      <c r="BE107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7" s="27">
        <f>MarketPlace_Order_Report__2[[#This Row],[Gross Amount (Before Tax)]]+MarketPlace_Order_Report__2[[#This Row],[Total GST Amount]]</f>
        <v>4106.5079999999998</v>
      </c>
    </row>
    <row r="108" spans="1:58">
      <c r="A108" s="1" t="s">
        <v>1497</v>
      </c>
      <c r="B108" s="1" t="s">
        <v>1498</v>
      </c>
      <c r="C108" s="1" t="s">
        <v>1492</v>
      </c>
      <c r="D108" s="1" t="s">
        <v>1493</v>
      </c>
      <c r="E108">
        <v>1</v>
      </c>
      <c r="F108" s="1" t="s">
        <v>71</v>
      </c>
      <c r="G108">
        <v>1</v>
      </c>
      <c r="H108">
        <v>1</v>
      </c>
      <c r="I108">
        <v>3750</v>
      </c>
      <c r="J108">
        <v>3563</v>
      </c>
      <c r="K108">
        <v>0</v>
      </c>
      <c r="L108">
        <v>3662</v>
      </c>
      <c r="M108">
        <v>99</v>
      </c>
      <c r="N108" s="1" t="s">
        <v>59</v>
      </c>
      <c r="O108" s="2">
        <v>45936.676979166667</v>
      </c>
      <c r="P108" s="2">
        <v>45937.726203703707</v>
      </c>
      <c r="Q108" s="2">
        <v>45941.784861111111</v>
      </c>
      <c r="R108" s="1" t="s">
        <v>1499</v>
      </c>
      <c r="S108" s="1" t="s">
        <v>60</v>
      </c>
      <c r="T108" s="2">
        <v>45936.813321759262</v>
      </c>
      <c r="U108" s="1" t="s">
        <v>61</v>
      </c>
      <c r="V108" s="1" t="s">
        <v>62</v>
      </c>
      <c r="W108" s="1" t="s">
        <v>61</v>
      </c>
      <c r="X108" s="1" t="s">
        <v>61</v>
      </c>
      <c r="Y108" s="1" t="s">
        <v>1500</v>
      </c>
      <c r="Z108" s="1" t="s">
        <v>74</v>
      </c>
      <c r="AA108" s="1" t="s">
        <v>75</v>
      </c>
      <c r="AB108" s="1" t="s">
        <v>61</v>
      </c>
      <c r="AC108" s="1" t="s">
        <v>61</v>
      </c>
      <c r="AD108" s="2">
        <v>45959.372465277775</v>
      </c>
      <c r="AE108" s="1" t="s">
        <v>63</v>
      </c>
      <c r="AF108" s="1" t="s">
        <v>61</v>
      </c>
      <c r="AG108" s="1" t="s">
        <v>182</v>
      </c>
      <c r="AH108" s="1" t="s">
        <v>183</v>
      </c>
      <c r="AI108">
        <v>110059</v>
      </c>
      <c r="AJ108" s="1" t="s">
        <v>66</v>
      </c>
      <c r="AK108" s="1" t="s">
        <v>67</v>
      </c>
      <c r="AL108">
        <v>62044220</v>
      </c>
      <c r="AM108" s="2"/>
      <c r="AN108">
        <v>3563</v>
      </c>
      <c r="AO108" s="1" t="s">
        <v>1501</v>
      </c>
      <c r="AP108" s="1" t="s">
        <v>61</v>
      </c>
      <c r="AQ108" s="1" t="s">
        <v>61</v>
      </c>
      <c r="AR108" s="1" t="s">
        <v>63</v>
      </c>
      <c r="AS108">
        <v>18</v>
      </c>
      <c r="AT108">
        <v>0</v>
      </c>
      <c r="AU108">
        <v>0</v>
      </c>
      <c r="AV108">
        <v>18</v>
      </c>
      <c r="AW108">
        <v>543.50800000000004</v>
      </c>
      <c r="AX108">
        <v>0</v>
      </c>
      <c r="AY108">
        <v>0</v>
      </c>
      <c r="AZ108">
        <v>543.50800000000004</v>
      </c>
      <c r="BA108" s="2"/>
      <c r="BB108">
        <v>0.75</v>
      </c>
      <c r="BC108" s="2">
        <v>45939.5</v>
      </c>
      <c r="BD108" s="27">
        <f>MarketPlace_Order_Report__2[[#This Row],[UnitPrice]]*MarketPlace_Order_Report__2[[#This Row],[OrderQty]]</f>
        <v>3563</v>
      </c>
      <c r="BE108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8" s="27">
        <f>MarketPlace_Order_Report__2[[#This Row],[Gross Amount (Before Tax)]]+MarketPlace_Order_Report__2[[#This Row],[Total GST Amount]]</f>
        <v>4106.5079999999998</v>
      </c>
    </row>
    <row r="109" spans="1:58">
      <c r="A109" s="1" t="s">
        <v>1502</v>
      </c>
      <c r="B109" s="1" t="s">
        <v>1503</v>
      </c>
      <c r="C109" s="1" t="s">
        <v>1504</v>
      </c>
      <c r="D109" s="1" t="s">
        <v>1505</v>
      </c>
      <c r="E109">
        <v>1</v>
      </c>
      <c r="F109" s="1" t="s">
        <v>187</v>
      </c>
      <c r="G109">
        <v>1</v>
      </c>
      <c r="H109">
        <v>0</v>
      </c>
      <c r="I109">
        <v>3750</v>
      </c>
      <c r="J109">
        <v>3563</v>
      </c>
      <c r="K109">
        <v>0</v>
      </c>
      <c r="L109">
        <v>3612</v>
      </c>
      <c r="M109">
        <v>49</v>
      </c>
      <c r="N109" s="1" t="s">
        <v>72</v>
      </c>
      <c r="O109" s="2">
        <v>45944.294571759259</v>
      </c>
      <c r="P109" s="2"/>
      <c r="Q109" s="2"/>
      <c r="R109" s="1" t="s">
        <v>61</v>
      </c>
      <c r="S109" s="1" t="s">
        <v>60</v>
      </c>
      <c r="T109" s="2"/>
      <c r="U109" s="1" t="s">
        <v>323</v>
      </c>
      <c r="V109" s="1" t="s">
        <v>62</v>
      </c>
      <c r="W109" s="1" t="s">
        <v>61</v>
      </c>
      <c r="X109" s="1" t="s">
        <v>61</v>
      </c>
      <c r="Y109" s="1" t="s">
        <v>61</v>
      </c>
      <c r="Z109" s="1" t="s">
        <v>61</v>
      </c>
      <c r="AA109" s="1" t="s">
        <v>61</v>
      </c>
      <c r="AB109" s="1" t="s">
        <v>61</v>
      </c>
      <c r="AC109" s="1" t="s">
        <v>61</v>
      </c>
      <c r="AD109" s="2">
        <v>45944.393240740741</v>
      </c>
      <c r="AE109" s="1" t="s">
        <v>63</v>
      </c>
      <c r="AF109" s="1" t="s">
        <v>61</v>
      </c>
      <c r="AG109" s="1" t="s">
        <v>1506</v>
      </c>
      <c r="AH109" s="1" t="s">
        <v>120</v>
      </c>
      <c r="AI109">
        <v>321607</v>
      </c>
      <c r="AJ109" s="1" t="s">
        <v>66</v>
      </c>
      <c r="AK109" s="1" t="s">
        <v>67</v>
      </c>
      <c r="AL109">
        <v>62044220</v>
      </c>
      <c r="AM109" s="2">
        <v>45944.393240740741</v>
      </c>
      <c r="AN109">
        <v>3563</v>
      </c>
      <c r="AO109" s="1" t="s">
        <v>61</v>
      </c>
      <c r="AP109" s="1" t="s">
        <v>209</v>
      </c>
      <c r="AQ109" s="1" t="s">
        <v>61</v>
      </c>
      <c r="AR109" s="1" t="s">
        <v>63</v>
      </c>
      <c r="AS109">
        <v>18</v>
      </c>
      <c r="AT109">
        <v>0</v>
      </c>
      <c r="AU109">
        <v>0</v>
      </c>
      <c r="AV109">
        <v>18</v>
      </c>
      <c r="AW109">
        <v>543.50800000000004</v>
      </c>
      <c r="AX109">
        <v>0</v>
      </c>
      <c r="AY109">
        <v>0</v>
      </c>
      <c r="AZ109">
        <v>543.50800000000004</v>
      </c>
      <c r="BA109" s="2"/>
      <c r="BC109" s="2">
        <v>45946.5</v>
      </c>
      <c r="BD109" s="27">
        <f>MarketPlace_Order_Report__2[[#This Row],[UnitPrice]]*MarketPlace_Order_Report__2[[#This Row],[OrderQty]]</f>
        <v>3563</v>
      </c>
      <c r="BE109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9" s="27">
        <f>MarketPlace_Order_Report__2[[#This Row],[Gross Amount (Before Tax)]]+MarketPlace_Order_Report__2[[#This Row],[Total GST Amount]]</f>
        <v>4106.5079999999998</v>
      </c>
    </row>
    <row r="110" spans="1:58">
      <c r="A110" s="1" t="s">
        <v>1507</v>
      </c>
      <c r="B110" s="1" t="s">
        <v>1508</v>
      </c>
      <c r="C110" s="1" t="s">
        <v>1504</v>
      </c>
      <c r="D110" s="1" t="s">
        <v>1505</v>
      </c>
      <c r="E110">
        <v>3</v>
      </c>
      <c r="F110" s="1" t="s">
        <v>58</v>
      </c>
      <c r="G110">
        <v>1</v>
      </c>
      <c r="H110">
        <v>1</v>
      </c>
      <c r="I110">
        <v>3750</v>
      </c>
      <c r="J110">
        <v>3563</v>
      </c>
      <c r="K110">
        <v>0</v>
      </c>
      <c r="L110">
        <v>3600.78</v>
      </c>
      <c r="M110">
        <v>37.78</v>
      </c>
      <c r="N110" s="1" t="s">
        <v>72</v>
      </c>
      <c r="O110" s="2">
        <v>45942.915347222224</v>
      </c>
      <c r="P110" s="2">
        <v>45944.736319444448</v>
      </c>
      <c r="Q110" s="2">
        <v>45948.475069444445</v>
      </c>
      <c r="R110" s="1" t="s">
        <v>1509</v>
      </c>
      <c r="S110" s="1" t="s">
        <v>351</v>
      </c>
      <c r="T110" s="2">
        <v>45943.813715277778</v>
      </c>
      <c r="U110" s="1" t="s">
        <v>61</v>
      </c>
      <c r="V110" s="1" t="s">
        <v>62</v>
      </c>
      <c r="W110" s="1" t="s">
        <v>61</v>
      </c>
      <c r="X110" s="1" t="s">
        <v>61</v>
      </c>
      <c r="Y110" s="1" t="s">
        <v>61</v>
      </c>
      <c r="Z110" s="1" t="s">
        <v>61</v>
      </c>
      <c r="AA110" s="1" t="s">
        <v>61</v>
      </c>
      <c r="AB110" s="1" t="s">
        <v>61</v>
      </c>
      <c r="AC110" s="1" t="s">
        <v>61</v>
      </c>
      <c r="AD110" s="2">
        <v>45948.476469907408</v>
      </c>
      <c r="AE110" s="1" t="s">
        <v>63</v>
      </c>
      <c r="AF110" s="1" t="s">
        <v>61</v>
      </c>
      <c r="AG110" s="1" t="s">
        <v>1510</v>
      </c>
      <c r="AH110" s="1" t="s">
        <v>449</v>
      </c>
      <c r="AI110">
        <v>491665</v>
      </c>
      <c r="AJ110" s="1" t="s">
        <v>66</v>
      </c>
      <c r="AK110" s="1" t="s">
        <v>67</v>
      </c>
      <c r="AL110">
        <v>62044220</v>
      </c>
      <c r="AM110" s="2"/>
      <c r="AN110">
        <v>3563</v>
      </c>
      <c r="AO110" s="1" t="s">
        <v>1511</v>
      </c>
      <c r="AP110" s="1" t="s">
        <v>61</v>
      </c>
      <c r="AQ110" s="1" t="s">
        <v>61</v>
      </c>
      <c r="AR110" s="1" t="s">
        <v>63</v>
      </c>
      <c r="AS110">
        <v>18</v>
      </c>
      <c r="AT110">
        <v>0</v>
      </c>
      <c r="AU110">
        <v>0</v>
      </c>
      <c r="AV110">
        <v>18</v>
      </c>
      <c r="AW110">
        <v>543.50800000000004</v>
      </c>
      <c r="AX110">
        <v>0</v>
      </c>
      <c r="AY110">
        <v>0</v>
      </c>
      <c r="AZ110">
        <v>543.50800000000004</v>
      </c>
      <c r="BA110" s="2"/>
      <c r="BB110">
        <v>0.75</v>
      </c>
      <c r="BC110" s="2">
        <v>45945.5</v>
      </c>
      <c r="BD110" s="27">
        <f>MarketPlace_Order_Report__2[[#This Row],[UnitPrice]]*MarketPlace_Order_Report__2[[#This Row],[OrderQty]]</f>
        <v>3563</v>
      </c>
      <c r="BE110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0" s="27">
        <f>MarketPlace_Order_Report__2[[#This Row],[Gross Amount (Before Tax)]]+MarketPlace_Order_Report__2[[#This Row],[Total GST Amount]]</f>
        <v>4106.5079999999998</v>
      </c>
    </row>
    <row r="111" spans="1:58">
      <c r="A111" s="1" t="s">
        <v>1512</v>
      </c>
      <c r="B111" s="1" t="s">
        <v>1513</v>
      </c>
      <c r="C111" s="1" t="s">
        <v>1504</v>
      </c>
      <c r="D111" s="1" t="s">
        <v>1505</v>
      </c>
      <c r="E111">
        <v>2</v>
      </c>
      <c r="F111" s="1" t="s">
        <v>71</v>
      </c>
      <c r="G111">
        <v>1</v>
      </c>
      <c r="H111">
        <v>1</v>
      </c>
      <c r="I111">
        <v>3750</v>
      </c>
      <c r="J111">
        <v>3563</v>
      </c>
      <c r="K111">
        <v>0</v>
      </c>
      <c r="L111">
        <v>3572.38</v>
      </c>
      <c r="M111">
        <v>9.3800000000000008</v>
      </c>
      <c r="N111" s="1" t="s">
        <v>59</v>
      </c>
      <c r="O111" s="2">
        <v>45942.356076388889</v>
      </c>
      <c r="P111" s="2">
        <v>45943.762800925928</v>
      </c>
      <c r="Q111" s="2">
        <v>45948.414409722223</v>
      </c>
      <c r="R111" s="1" t="s">
        <v>1514</v>
      </c>
      <c r="S111" s="1" t="s">
        <v>60</v>
      </c>
      <c r="T111" s="2">
        <v>45942.661412037036</v>
      </c>
      <c r="U111" s="1" t="s">
        <v>61</v>
      </c>
      <c r="V111" s="1" t="s">
        <v>62</v>
      </c>
      <c r="W111" s="1" t="s">
        <v>61</v>
      </c>
      <c r="X111" s="1" t="s">
        <v>61</v>
      </c>
      <c r="Y111" s="1" t="s">
        <v>1515</v>
      </c>
      <c r="Z111" s="1" t="s">
        <v>74</v>
      </c>
      <c r="AA111" s="1" t="s">
        <v>75</v>
      </c>
      <c r="AB111" s="1" t="s">
        <v>61</v>
      </c>
      <c r="AC111" s="1" t="s">
        <v>61</v>
      </c>
      <c r="AD111" s="2">
        <v>45959.62263888889</v>
      </c>
      <c r="AE111" s="1" t="s">
        <v>63</v>
      </c>
      <c r="AF111" s="1" t="s">
        <v>61</v>
      </c>
      <c r="AG111" s="1" t="s">
        <v>1516</v>
      </c>
      <c r="AH111" s="1" t="s">
        <v>275</v>
      </c>
      <c r="AI111">
        <v>713303</v>
      </c>
      <c r="AJ111" s="1" t="s">
        <v>66</v>
      </c>
      <c r="AK111" s="1" t="s">
        <v>67</v>
      </c>
      <c r="AL111">
        <v>62044220</v>
      </c>
      <c r="AM111" s="2"/>
      <c r="AN111">
        <v>3563</v>
      </c>
      <c r="AO111" s="1" t="s">
        <v>1517</v>
      </c>
      <c r="AP111" s="1" t="s">
        <v>1156</v>
      </c>
      <c r="AQ111" s="1" t="s">
        <v>61</v>
      </c>
      <c r="AR111" s="1" t="s">
        <v>63</v>
      </c>
      <c r="AS111">
        <v>18</v>
      </c>
      <c r="AT111">
        <v>0</v>
      </c>
      <c r="AU111">
        <v>0</v>
      </c>
      <c r="AV111">
        <v>18</v>
      </c>
      <c r="AW111">
        <v>543.50800000000004</v>
      </c>
      <c r="AX111">
        <v>0</v>
      </c>
      <c r="AY111">
        <v>0</v>
      </c>
      <c r="AZ111">
        <v>543.50800000000004</v>
      </c>
      <c r="BA111" s="2"/>
      <c r="BB111">
        <v>1</v>
      </c>
      <c r="BC111" s="2">
        <v>45944.5</v>
      </c>
      <c r="BD111" s="27">
        <f>MarketPlace_Order_Report__2[[#This Row],[UnitPrice]]*MarketPlace_Order_Report__2[[#This Row],[OrderQty]]</f>
        <v>3563</v>
      </c>
      <c r="BE111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1" s="27">
        <f>MarketPlace_Order_Report__2[[#This Row],[Gross Amount (Before Tax)]]+MarketPlace_Order_Report__2[[#This Row],[Total GST Amount]]</f>
        <v>4106.5079999999998</v>
      </c>
    </row>
    <row r="112" spans="1:58">
      <c r="A112" s="1" t="s">
        <v>1518</v>
      </c>
      <c r="B112" s="1" t="s">
        <v>1519</v>
      </c>
      <c r="C112" s="1" t="s">
        <v>1504</v>
      </c>
      <c r="D112" s="1" t="s">
        <v>1505</v>
      </c>
      <c r="E112">
        <v>2</v>
      </c>
      <c r="F112" s="1" t="s">
        <v>71</v>
      </c>
      <c r="G112">
        <v>1</v>
      </c>
      <c r="H112">
        <v>1</v>
      </c>
      <c r="I112">
        <v>3750</v>
      </c>
      <c r="J112">
        <v>3563</v>
      </c>
      <c r="K112">
        <v>0</v>
      </c>
      <c r="L112">
        <v>3573.2719999999999</v>
      </c>
      <c r="M112">
        <v>10.272</v>
      </c>
      <c r="N112" s="1" t="s">
        <v>72</v>
      </c>
      <c r="O112" s="2">
        <v>45935.87568287037</v>
      </c>
      <c r="P112" s="2">
        <v>45937.725740740738</v>
      </c>
      <c r="Q112" s="2">
        <v>45943.449282407404</v>
      </c>
      <c r="R112" s="1" t="s">
        <v>1520</v>
      </c>
      <c r="S112" s="1" t="s">
        <v>60</v>
      </c>
      <c r="T112" s="2">
        <v>45936.813321759262</v>
      </c>
      <c r="U112" s="1" t="s">
        <v>61</v>
      </c>
      <c r="V112" s="1" t="s">
        <v>62</v>
      </c>
      <c r="W112" s="1" t="s">
        <v>61</v>
      </c>
      <c r="X112" s="1" t="s">
        <v>61</v>
      </c>
      <c r="Y112" s="1" t="s">
        <v>1521</v>
      </c>
      <c r="Z112" s="1" t="s">
        <v>74</v>
      </c>
      <c r="AA112" s="1" t="s">
        <v>75</v>
      </c>
      <c r="AB112" s="1" t="s">
        <v>61</v>
      </c>
      <c r="AC112" s="1" t="s">
        <v>61</v>
      </c>
      <c r="AD112" s="2">
        <v>45957.622395833336</v>
      </c>
      <c r="AE112" s="1" t="s">
        <v>63</v>
      </c>
      <c r="AF112" s="1" t="s">
        <v>61</v>
      </c>
      <c r="AG112" s="1" t="s">
        <v>1522</v>
      </c>
      <c r="AH112" s="1" t="s">
        <v>120</v>
      </c>
      <c r="AI112">
        <v>307027</v>
      </c>
      <c r="AJ112" s="1" t="s">
        <v>66</v>
      </c>
      <c r="AK112" s="1" t="s">
        <v>67</v>
      </c>
      <c r="AL112">
        <v>62044220</v>
      </c>
      <c r="AM112" s="2"/>
      <c r="AN112">
        <v>3563</v>
      </c>
      <c r="AO112" s="1" t="s">
        <v>1523</v>
      </c>
      <c r="AP112" s="1" t="s">
        <v>209</v>
      </c>
      <c r="AQ112" s="1" t="s">
        <v>61</v>
      </c>
      <c r="AR112" s="1" t="s">
        <v>63</v>
      </c>
      <c r="AS112">
        <v>18</v>
      </c>
      <c r="AT112">
        <v>0</v>
      </c>
      <c r="AU112">
        <v>0</v>
      </c>
      <c r="AV112">
        <v>18</v>
      </c>
      <c r="AW112">
        <v>543.50800000000004</v>
      </c>
      <c r="AX112">
        <v>0</v>
      </c>
      <c r="AY112">
        <v>0</v>
      </c>
      <c r="AZ112">
        <v>543.50800000000004</v>
      </c>
      <c r="BA112" s="2"/>
      <c r="BB112">
        <v>1</v>
      </c>
      <c r="BC112" s="2">
        <v>45938.5</v>
      </c>
      <c r="BD112" s="27">
        <f>MarketPlace_Order_Report__2[[#This Row],[UnitPrice]]*MarketPlace_Order_Report__2[[#This Row],[OrderQty]]</f>
        <v>3563</v>
      </c>
      <c r="BE112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2" s="27">
        <f>MarketPlace_Order_Report__2[[#This Row],[Gross Amount (Before Tax)]]+MarketPlace_Order_Report__2[[#This Row],[Total GST Amount]]</f>
        <v>4106.5079999999998</v>
      </c>
    </row>
    <row r="113" spans="1:58">
      <c r="A113" s="1" t="s">
        <v>1524</v>
      </c>
      <c r="B113" s="1" t="s">
        <v>1525</v>
      </c>
      <c r="C113" s="1" t="s">
        <v>1504</v>
      </c>
      <c r="D113" s="1" t="s">
        <v>1505</v>
      </c>
      <c r="E113">
        <v>1</v>
      </c>
      <c r="F113" s="1" t="s">
        <v>71</v>
      </c>
      <c r="G113">
        <v>1</v>
      </c>
      <c r="H113">
        <v>1</v>
      </c>
      <c r="I113">
        <v>3750</v>
      </c>
      <c r="J113">
        <v>3563</v>
      </c>
      <c r="K113">
        <v>0</v>
      </c>
      <c r="L113">
        <v>3592</v>
      </c>
      <c r="M113">
        <v>29</v>
      </c>
      <c r="N113" s="1" t="s">
        <v>59</v>
      </c>
      <c r="O113" s="2">
        <v>45935.827349537038</v>
      </c>
      <c r="P113" s="2">
        <v>45937.619120370371</v>
      </c>
      <c r="Q113" s="2">
        <v>45943.611597222225</v>
      </c>
      <c r="R113" s="1" t="s">
        <v>1526</v>
      </c>
      <c r="S113" s="1" t="s">
        <v>73</v>
      </c>
      <c r="T113" s="2">
        <v>45936.813321759262</v>
      </c>
      <c r="U113" s="1" t="s">
        <v>61</v>
      </c>
      <c r="V113" s="1" t="s">
        <v>62</v>
      </c>
      <c r="W113" s="1" t="s">
        <v>61</v>
      </c>
      <c r="X113" s="1" t="s">
        <v>61</v>
      </c>
      <c r="Y113" s="1" t="s">
        <v>1527</v>
      </c>
      <c r="Z113" s="1" t="s">
        <v>74</v>
      </c>
      <c r="AA113" s="1" t="s">
        <v>75</v>
      </c>
      <c r="AB113" s="1" t="s">
        <v>61</v>
      </c>
      <c r="AC113" s="1" t="s">
        <v>61</v>
      </c>
      <c r="AD113" s="2">
        <v>45954.629421296297</v>
      </c>
      <c r="AE113" s="1" t="s">
        <v>63</v>
      </c>
      <c r="AF113" s="1" t="s">
        <v>61</v>
      </c>
      <c r="AG113" s="1" t="s">
        <v>197</v>
      </c>
      <c r="AH113" s="1" t="s">
        <v>65</v>
      </c>
      <c r="AI113">
        <v>560087</v>
      </c>
      <c r="AJ113" s="1" t="s">
        <v>66</v>
      </c>
      <c r="AK113" s="1" t="s">
        <v>67</v>
      </c>
      <c r="AL113">
        <v>62044220</v>
      </c>
      <c r="AM113" s="2"/>
      <c r="AN113">
        <v>3563</v>
      </c>
      <c r="AO113" s="1" t="s">
        <v>1528</v>
      </c>
      <c r="AP113" s="1" t="s">
        <v>209</v>
      </c>
      <c r="AQ113" s="1" t="s">
        <v>61</v>
      </c>
      <c r="AR113" s="1" t="s">
        <v>63</v>
      </c>
      <c r="AS113">
        <v>18</v>
      </c>
      <c r="AT113">
        <v>0</v>
      </c>
      <c r="AU113">
        <v>0</v>
      </c>
      <c r="AV113">
        <v>18</v>
      </c>
      <c r="AW113">
        <v>543.50800000000004</v>
      </c>
      <c r="AX113">
        <v>0</v>
      </c>
      <c r="AY113">
        <v>0</v>
      </c>
      <c r="AZ113">
        <v>543.50800000000004</v>
      </c>
      <c r="BA113" s="2"/>
      <c r="BB113">
        <v>0.75</v>
      </c>
      <c r="BC113" s="2">
        <v>45938.5</v>
      </c>
      <c r="BD113" s="27">
        <f>MarketPlace_Order_Report__2[[#This Row],[UnitPrice]]*MarketPlace_Order_Report__2[[#This Row],[OrderQty]]</f>
        <v>3563</v>
      </c>
      <c r="BE113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3" s="27">
        <f>MarketPlace_Order_Report__2[[#This Row],[Gross Amount (Before Tax)]]+MarketPlace_Order_Report__2[[#This Row],[Total GST Amount]]</f>
        <v>4106.5079999999998</v>
      </c>
    </row>
    <row r="114" spans="1:58">
      <c r="A114" s="1" t="s">
        <v>1529</v>
      </c>
      <c r="B114" s="1" t="s">
        <v>1530</v>
      </c>
      <c r="C114" s="1" t="s">
        <v>481</v>
      </c>
      <c r="D114" s="1" t="s">
        <v>482</v>
      </c>
      <c r="E114">
        <v>1</v>
      </c>
      <c r="F114" s="1" t="s">
        <v>58</v>
      </c>
      <c r="G114">
        <v>1</v>
      </c>
      <c r="H114">
        <v>1</v>
      </c>
      <c r="I114">
        <v>3750</v>
      </c>
      <c r="J114">
        <v>3563</v>
      </c>
      <c r="K114">
        <v>0</v>
      </c>
      <c r="L114">
        <v>3621.53</v>
      </c>
      <c r="M114">
        <v>58.53</v>
      </c>
      <c r="N114" s="1" t="s">
        <v>59</v>
      </c>
      <c r="O114" s="2">
        <v>45951.034479166665</v>
      </c>
      <c r="P114" s="2">
        <v>45954.73133101852</v>
      </c>
      <c r="Q114" s="2">
        <v>45958.585069444445</v>
      </c>
      <c r="R114" s="1" t="s">
        <v>1531</v>
      </c>
      <c r="S114" s="1" t="s">
        <v>60</v>
      </c>
      <c r="T114" s="2">
        <v>45954.500509259262</v>
      </c>
      <c r="U114" s="1" t="s">
        <v>61</v>
      </c>
      <c r="V114" s="1" t="s">
        <v>62</v>
      </c>
      <c r="W114" s="1" t="s">
        <v>61</v>
      </c>
      <c r="X114" s="1" t="s">
        <v>61</v>
      </c>
      <c r="Y114" s="1" t="s">
        <v>61</v>
      </c>
      <c r="Z114" s="1" t="s">
        <v>61</v>
      </c>
      <c r="AA114" s="1" t="s">
        <v>61</v>
      </c>
      <c r="AB114" s="1" t="s">
        <v>61</v>
      </c>
      <c r="AC114" s="1" t="s">
        <v>61</v>
      </c>
      <c r="AD114" s="2">
        <v>45958.587523148148</v>
      </c>
      <c r="AE114" s="1" t="s">
        <v>63</v>
      </c>
      <c r="AF114" s="1" t="s">
        <v>61</v>
      </c>
      <c r="AG114" s="1" t="s">
        <v>1532</v>
      </c>
      <c r="AH114" s="1" t="s">
        <v>503</v>
      </c>
      <c r="AI114">
        <v>140401</v>
      </c>
      <c r="AJ114" s="1" t="s">
        <v>66</v>
      </c>
      <c r="AK114" s="1" t="s">
        <v>67</v>
      </c>
      <c r="AL114">
        <v>62044220</v>
      </c>
      <c r="AM114" s="2"/>
      <c r="AN114">
        <v>3563</v>
      </c>
      <c r="AO114" s="1" t="s">
        <v>1533</v>
      </c>
      <c r="AP114" s="1" t="s">
        <v>61</v>
      </c>
      <c r="AQ114" s="1" t="s">
        <v>61</v>
      </c>
      <c r="AR114" s="1" t="s">
        <v>63</v>
      </c>
      <c r="AS114">
        <v>18</v>
      </c>
      <c r="AT114">
        <v>0</v>
      </c>
      <c r="AU114">
        <v>0</v>
      </c>
      <c r="AV114">
        <v>18</v>
      </c>
      <c r="AW114">
        <v>543.50800000000004</v>
      </c>
      <c r="AX114">
        <v>0</v>
      </c>
      <c r="AY114">
        <v>0</v>
      </c>
      <c r="AZ114">
        <v>543.50800000000004</v>
      </c>
      <c r="BA114" s="2"/>
      <c r="BB114">
        <v>0.75</v>
      </c>
      <c r="BC114" s="2">
        <v>45953.5</v>
      </c>
      <c r="BD114" s="27">
        <f>MarketPlace_Order_Report__2[[#This Row],[UnitPrice]]*MarketPlace_Order_Report__2[[#This Row],[OrderQty]]</f>
        <v>3563</v>
      </c>
      <c r="BE114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4" s="27">
        <f>MarketPlace_Order_Report__2[[#This Row],[Gross Amount (Before Tax)]]+MarketPlace_Order_Report__2[[#This Row],[Total GST Amount]]</f>
        <v>4106.5079999999998</v>
      </c>
    </row>
    <row r="115" spans="1:58">
      <c r="A115" s="1" t="s">
        <v>1512</v>
      </c>
      <c r="B115" s="1" t="s">
        <v>1513</v>
      </c>
      <c r="C115" s="1" t="s">
        <v>481</v>
      </c>
      <c r="D115" s="1" t="s">
        <v>482</v>
      </c>
      <c r="E115">
        <v>1</v>
      </c>
      <c r="F115" s="1" t="s">
        <v>58</v>
      </c>
      <c r="G115">
        <v>1</v>
      </c>
      <c r="H115">
        <v>1</v>
      </c>
      <c r="I115">
        <v>3750</v>
      </c>
      <c r="J115">
        <v>3563</v>
      </c>
      <c r="K115">
        <v>0</v>
      </c>
      <c r="L115">
        <v>3572.38</v>
      </c>
      <c r="M115">
        <v>9.3800000000000008</v>
      </c>
      <c r="N115" s="1" t="s">
        <v>59</v>
      </c>
      <c r="O115" s="2">
        <v>45942.356076388889</v>
      </c>
      <c r="P115" s="2">
        <v>45943.762800925928</v>
      </c>
      <c r="Q115" s="2">
        <v>45948.414409722223</v>
      </c>
      <c r="R115" s="1" t="s">
        <v>1514</v>
      </c>
      <c r="S115" s="1" t="s">
        <v>60</v>
      </c>
      <c r="T115" s="2">
        <v>45942.661412037036</v>
      </c>
      <c r="U115" s="1" t="s">
        <v>61</v>
      </c>
      <c r="V115" s="1" t="s">
        <v>62</v>
      </c>
      <c r="W115" s="1" t="s">
        <v>61</v>
      </c>
      <c r="X115" s="1" t="s">
        <v>61</v>
      </c>
      <c r="Y115" s="1" t="s">
        <v>61</v>
      </c>
      <c r="Z115" s="1" t="s">
        <v>61</v>
      </c>
      <c r="AA115" s="1" t="s">
        <v>61</v>
      </c>
      <c r="AB115" s="1" t="s">
        <v>61</v>
      </c>
      <c r="AC115" s="1" t="s">
        <v>61</v>
      </c>
      <c r="AD115" s="2">
        <v>45948.417592592596</v>
      </c>
      <c r="AE115" s="1" t="s">
        <v>63</v>
      </c>
      <c r="AF115" s="1" t="s">
        <v>61</v>
      </c>
      <c r="AG115" s="1" t="s">
        <v>1516</v>
      </c>
      <c r="AH115" s="1" t="s">
        <v>275</v>
      </c>
      <c r="AI115">
        <v>713303</v>
      </c>
      <c r="AJ115" s="1" t="s">
        <v>66</v>
      </c>
      <c r="AK115" s="1" t="s">
        <v>67</v>
      </c>
      <c r="AL115">
        <v>62044220</v>
      </c>
      <c r="AM115" s="2"/>
      <c r="AN115">
        <v>3563</v>
      </c>
      <c r="AO115" s="1" t="s">
        <v>1517</v>
      </c>
      <c r="AP115" s="1" t="s">
        <v>1156</v>
      </c>
      <c r="AQ115" s="1" t="s">
        <v>61</v>
      </c>
      <c r="AR115" s="1" t="s">
        <v>63</v>
      </c>
      <c r="AS115">
        <v>18</v>
      </c>
      <c r="AT115">
        <v>0</v>
      </c>
      <c r="AU115">
        <v>0</v>
      </c>
      <c r="AV115">
        <v>18</v>
      </c>
      <c r="AW115">
        <v>543.50800000000004</v>
      </c>
      <c r="AX115">
        <v>0</v>
      </c>
      <c r="AY115">
        <v>0</v>
      </c>
      <c r="AZ115">
        <v>543.50800000000004</v>
      </c>
      <c r="BA115" s="2"/>
      <c r="BB115">
        <v>1</v>
      </c>
      <c r="BC115" s="2">
        <v>45944.5</v>
      </c>
      <c r="BD115" s="27">
        <f>MarketPlace_Order_Report__2[[#This Row],[UnitPrice]]*MarketPlace_Order_Report__2[[#This Row],[OrderQty]]</f>
        <v>3563</v>
      </c>
      <c r="BE115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5" s="27">
        <f>MarketPlace_Order_Report__2[[#This Row],[Gross Amount (Before Tax)]]+MarketPlace_Order_Report__2[[#This Row],[Total GST Amount]]</f>
        <v>4106.5079999999998</v>
      </c>
    </row>
    <row r="116" spans="1:58">
      <c r="A116" s="1" t="s">
        <v>1534</v>
      </c>
      <c r="B116" s="1" t="s">
        <v>1535</v>
      </c>
      <c r="C116" s="1" t="s">
        <v>481</v>
      </c>
      <c r="D116" s="1" t="s">
        <v>482</v>
      </c>
      <c r="E116">
        <v>2</v>
      </c>
      <c r="F116" s="1" t="s">
        <v>187</v>
      </c>
      <c r="G116">
        <v>1</v>
      </c>
      <c r="H116">
        <v>0</v>
      </c>
      <c r="I116">
        <v>3750</v>
      </c>
      <c r="J116">
        <v>3563</v>
      </c>
      <c r="K116">
        <v>0</v>
      </c>
      <c r="L116">
        <v>3608.8</v>
      </c>
      <c r="M116">
        <v>45.8</v>
      </c>
      <c r="N116" s="1" t="s">
        <v>72</v>
      </c>
      <c r="O116" s="2">
        <v>45942.028935185182</v>
      </c>
      <c r="P116" s="2"/>
      <c r="Q116" s="2"/>
      <c r="R116" s="1" t="s">
        <v>61</v>
      </c>
      <c r="S116" s="1" t="s">
        <v>60</v>
      </c>
      <c r="T116" s="2"/>
      <c r="U116" s="1" t="s">
        <v>1536</v>
      </c>
      <c r="V116" s="1" t="s">
        <v>62</v>
      </c>
      <c r="W116" s="1" t="s">
        <v>61</v>
      </c>
      <c r="X116" s="1" t="s">
        <v>61</v>
      </c>
      <c r="Y116" s="1" t="s">
        <v>61</v>
      </c>
      <c r="Z116" s="1" t="s">
        <v>61</v>
      </c>
      <c r="AA116" s="1" t="s">
        <v>61</v>
      </c>
      <c r="AB116" s="1" t="s">
        <v>61</v>
      </c>
      <c r="AC116" s="1" t="s">
        <v>61</v>
      </c>
      <c r="AD116" s="2">
        <v>45942.347569444442</v>
      </c>
      <c r="AE116" s="1" t="s">
        <v>63</v>
      </c>
      <c r="AF116" s="1" t="s">
        <v>61</v>
      </c>
      <c r="AG116" s="1" t="s">
        <v>1516</v>
      </c>
      <c r="AH116" s="1" t="s">
        <v>275</v>
      </c>
      <c r="AI116">
        <v>713303</v>
      </c>
      <c r="AJ116" s="1" t="s">
        <v>66</v>
      </c>
      <c r="AK116" s="1" t="s">
        <v>67</v>
      </c>
      <c r="AL116">
        <v>62044220</v>
      </c>
      <c r="AM116" s="2">
        <v>45942.347569444442</v>
      </c>
      <c r="AN116">
        <v>3563</v>
      </c>
      <c r="AO116" s="1" t="s">
        <v>61</v>
      </c>
      <c r="AP116" s="1" t="s">
        <v>650</v>
      </c>
      <c r="AQ116" s="1" t="s">
        <v>61</v>
      </c>
      <c r="AR116" s="1" t="s">
        <v>63</v>
      </c>
      <c r="AS116">
        <v>18</v>
      </c>
      <c r="AT116">
        <v>0</v>
      </c>
      <c r="AU116">
        <v>0</v>
      </c>
      <c r="AV116">
        <v>18</v>
      </c>
      <c r="AW116">
        <v>543.50800000000004</v>
      </c>
      <c r="AX116">
        <v>0</v>
      </c>
      <c r="AY116">
        <v>0</v>
      </c>
      <c r="AZ116">
        <v>543.50800000000004</v>
      </c>
      <c r="BA116" s="2"/>
      <c r="BC116" s="2">
        <v>45944.5</v>
      </c>
      <c r="BD116" s="27">
        <f>MarketPlace_Order_Report__2[[#This Row],[UnitPrice]]*MarketPlace_Order_Report__2[[#This Row],[OrderQty]]</f>
        <v>3563</v>
      </c>
      <c r="BE116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6" s="27">
        <f>MarketPlace_Order_Report__2[[#This Row],[Gross Amount (Before Tax)]]+MarketPlace_Order_Report__2[[#This Row],[Total GST Amount]]</f>
        <v>4106.5079999999998</v>
      </c>
    </row>
    <row r="117" spans="1:58">
      <c r="A117" s="1" t="s">
        <v>1537</v>
      </c>
      <c r="B117" s="1" t="s">
        <v>1538</v>
      </c>
      <c r="C117" s="1" t="s">
        <v>485</v>
      </c>
      <c r="D117" s="1" t="s">
        <v>486</v>
      </c>
      <c r="E117">
        <v>1</v>
      </c>
      <c r="F117" s="1" t="s">
        <v>58</v>
      </c>
      <c r="G117">
        <v>1</v>
      </c>
      <c r="H117">
        <v>1</v>
      </c>
      <c r="I117">
        <v>3750</v>
      </c>
      <c r="J117">
        <v>3563</v>
      </c>
      <c r="K117">
        <v>0</v>
      </c>
      <c r="L117">
        <v>3592</v>
      </c>
      <c r="M117">
        <v>29</v>
      </c>
      <c r="N117" s="1" t="s">
        <v>59</v>
      </c>
      <c r="O117" s="2">
        <v>45940.440289351849</v>
      </c>
      <c r="P117" s="2">
        <v>45941.746516203704</v>
      </c>
      <c r="Q117" s="2">
        <v>45946.571446759262</v>
      </c>
      <c r="R117" s="1" t="s">
        <v>1539</v>
      </c>
      <c r="S117" s="1" t="s">
        <v>60</v>
      </c>
      <c r="T117" s="2">
        <v>45940.816203703704</v>
      </c>
      <c r="U117" s="1" t="s">
        <v>61</v>
      </c>
      <c r="V117" s="1" t="s">
        <v>62</v>
      </c>
      <c r="W117" s="1" t="s">
        <v>61</v>
      </c>
      <c r="X117" s="1" t="s">
        <v>61</v>
      </c>
      <c r="Y117" s="1" t="s">
        <v>61</v>
      </c>
      <c r="Z117" s="1" t="s">
        <v>61</v>
      </c>
      <c r="AA117" s="1" t="s">
        <v>61</v>
      </c>
      <c r="AB117" s="1" t="s">
        <v>61</v>
      </c>
      <c r="AC117" s="1" t="s">
        <v>61</v>
      </c>
      <c r="AD117" s="2">
        <v>45946.573773148149</v>
      </c>
      <c r="AE117" s="1" t="s">
        <v>63</v>
      </c>
      <c r="AF117" s="1" t="s">
        <v>61</v>
      </c>
      <c r="AG117" s="1" t="s">
        <v>1540</v>
      </c>
      <c r="AH117" s="1" t="s">
        <v>236</v>
      </c>
      <c r="AI117">
        <v>533003</v>
      </c>
      <c r="AJ117" s="1" t="s">
        <v>66</v>
      </c>
      <c r="AK117" s="1" t="s">
        <v>67</v>
      </c>
      <c r="AL117">
        <v>62044220</v>
      </c>
      <c r="AM117" s="2"/>
      <c r="AN117">
        <v>3563</v>
      </c>
      <c r="AO117" s="1" t="s">
        <v>1541</v>
      </c>
      <c r="AP117" s="1" t="s">
        <v>1014</v>
      </c>
      <c r="AQ117" s="1" t="s">
        <v>61</v>
      </c>
      <c r="AR117" s="1" t="s">
        <v>63</v>
      </c>
      <c r="AS117">
        <v>18</v>
      </c>
      <c r="AT117">
        <v>0</v>
      </c>
      <c r="AU117">
        <v>0</v>
      </c>
      <c r="AV117">
        <v>18</v>
      </c>
      <c r="AW117">
        <v>543.50800000000004</v>
      </c>
      <c r="AX117">
        <v>0</v>
      </c>
      <c r="AY117">
        <v>0</v>
      </c>
      <c r="AZ117">
        <v>543.50800000000004</v>
      </c>
      <c r="BA117" s="2"/>
      <c r="BB117">
        <v>0.75</v>
      </c>
      <c r="BC117" s="2">
        <v>45942.5</v>
      </c>
      <c r="BD117" s="27">
        <f>MarketPlace_Order_Report__2[[#This Row],[UnitPrice]]*MarketPlace_Order_Report__2[[#This Row],[OrderQty]]</f>
        <v>3563</v>
      </c>
      <c r="BE117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7" s="27">
        <f>MarketPlace_Order_Report__2[[#This Row],[Gross Amount (Before Tax)]]+MarketPlace_Order_Report__2[[#This Row],[Total GST Amount]]</f>
        <v>4106.5079999999998</v>
      </c>
    </row>
    <row r="118" spans="1:58">
      <c r="A118" s="1" t="s">
        <v>1452</v>
      </c>
      <c r="B118" s="1" t="s">
        <v>1453</v>
      </c>
      <c r="C118" s="1" t="s">
        <v>485</v>
      </c>
      <c r="D118" s="1" t="s">
        <v>486</v>
      </c>
      <c r="E118">
        <v>2</v>
      </c>
      <c r="F118" s="1" t="s">
        <v>58</v>
      </c>
      <c r="G118">
        <v>1</v>
      </c>
      <c r="H118">
        <v>1</v>
      </c>
      <c r="I118">
        <v>3750</v>
      </c>
      <c r="J118">
        <v>3563</v>
      </c>
      <c r="K118">
        <v>0</v>
      </c>
      <c r="L118">
        <v>3587.5</v>
      </c>
      <c r="M118">
        <v>24.5</v>
      </c>
      <c r="N118" s="1" t="s">
        <v>72</v>
      </c>
      <c r="O118" s="2">
        <v>45935.6637962963</v>
      </c>
      <c r="P118" s="2">
        <v>45936.718564814815</v>
      </c>
      <c r="Q118" s="2">
        <v>45944.823495370372</v>
      </c>
      <c r="R118" s="1" t="s">
        <v>1456</v>
      </c>
      <c r="S118" s="1" t="s">
        <v>60</v>
      </c>
      <c r="T118" s="2">
        <v>45935.742905092593</v>
      </c>
      <c r="U118" s="1" t="s">
        <v>61</v>
      </c>
      <c r="V118" s="1" t="s">
        <v>62</v>
      </c>
      <c r="W118" s="1" t="s">
        <v>61</v>
      </c>
      <c r="X118" s="1" t="s">
        <v>61</v>
      </c>
      <c r="Y118" s="1" t="s">
        <v>61</v>
      </c>
      <c r="Z118" s="1" t="s">
        <v>61</v>
      </c>
      <c r="AA118" s="1" t="s">
        <v>61</v>
      </c>
      <c r="AB118" s="1" t="s">
        <v>61</v>
      </c>
      <c r="AC118" s="1" t="s">
        <v>61</v>
      </c>
      <c r="AD118" s="2">
        <v>45944.823773148149</v>
      </c>
      <c r="AE118" s="1" t="s">
        <v>63</v>
      </c>
      <c r="AF118" s="1" t="s">
        <v>61</v>
      </c>
      <c r="AG118" s="1" t="s">
        <v>519</v>
      </c>
      <c r="AH118" s="1" t="s">
        <v>177</v>
      </c>
      <c r="AI118">
        <v>781005</v>
      </c>
      <c r="AJ118" s="1" t="s">
        <v>66</v>
      </c>
      <c r="AK118" s="1" t="s">
        <v>67</v>
      </c>
      <c r="AL118">
        <v>62044220</v>
      </c>
      <c r="AM118" s="2"/>
      <c r="AN118">
        <v>3563</v>
      </c>
      <c r="AO118" s="1" t="s">
        <v>1457</v>
      </c>
      <c r="AP118" s="1" t="s">
        <v>61</v>
      </c>
      <c r="AQ118" s="1" t="s">
        <v>61</v>
      </c>
      <c r="AR118" s="1" t="s">
        <v>63</v>
      </c>
      <c r="AS118">
        <v>18</v>
      </c>
      <c r="AT118">
        <v>0</v>
      </c>
      <c r="AU118">
        <v>0</v>
      </c>
      <c r="AV118">
        <v>18</v>
      </c>
      <c r="AW118">
        <v>543.50800000000004</v>
      </c>
      <c r="AX118">
        <v>0</v>
      </c>
      <c r="AY118">
        <v>0</v>
      </c>
      <c r="AZ118">
        <v>543.50800000000004</v>
      </c>
      <c r="BA118" s="2"/>
      <c r="BB118">
        <v>1</v>
      </c>
      <c r="BC118" s="2">
        <v>45938.5</v>
      </c>
      <c r="BD118" s="27">
        <f>MarketPlace_Order_Report__2[[#This Row],[UnitPrice]]*MarketPlace_Order_Report__2[[#This Row],[OrderQty]]</f>
        <v>3563</v>
      </c>
      <c r="BE118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8" s="27">
        <f>MarketPlace_Order_Report__2[[#This Row],[Gross Amount (Before Tax)]]+MarketPlace_Order_Report__2[[#This Row],[Total GST Amount]]</f>
        <v>4106.5079999999998</v>
      </c>
    </row>
    <row r="119" spans="1:58">
      <c r="A119" s="1" t="s">
        <v>1542</v>
      </c>
      <c r="B119" s="1" t="s">
        <v>1543</v>
      </c>
      <c r="C119" s="1" t="s">
        <v>1544</v>
      </c>
      <c r="D119" s="1" t="s">
        <v>1545</v>
      </c>
      <c r="E119">
        <v>1</v>
      </c>
      <c r="F119" s="1" t="s">
        <v>413</v>
      </c>
      <c r="G119">
        <v>1</v>
      </c>
      <c r="H119">
        <v>1</v>
      </c>
      <c r="I119">
        <v>4000</v>
      </c>
      <c r="J119">
        <v>3600</v>
      </c>
      <c r="K119">
        <v>0</v>
      </c>
      <c r="L119">
        <v>3629</v>
      </c>
      <c r="M119">
        <v>29</v>
      </c>
      <c r="N119" s="1" t="s">
        <v>59</v>
      </c>
      <c r="O119" s="2">
        <v>45959.674872685187</v>
      </c>
      <c r="P119" s="2">
        <v>45960.624340277776</v>
      </c>
      <c r="Q119" s="2"/>
      <c r="R119" s="1" t="s">
        <v>1546</v>
      </c>
      <c r="S119" s="1" t="s">
        <v>73</v>
      </c>
      <c r="T119" s="2">
        <v>45959.790451388886</v>
      </c>
      <c r="U119" s="1" t="s">
        <v>61</v>
      </c>
      <c r="V119" s="1" t="s">
        <v>62</v>
      </c>
      <c r="W119" s="1" t="s">
        <v>61</v>
      </c>
      <c r="X119" s="1" t="s">
        <v>61</v>
      </c>
      <c r="Y119" s="1" t="s">
        <v>61</v>
      </c>
      <c r="Z119" s="1" t="s">
        <v>61</v>
      </c>
      <c r="AA119" s="1" t="s">
        <v>61</v>
      </c>
      <c r="AB119" s="1" t="s">
        <v>61</v>
      </c>
      <c r="AC119" s="1" t="s">
        <v>61</v>
      </c>
      <c r="AD119" s="2">
        <v>45961.26462962963</v>
      </c>
      <c r="AE119" s="1" t="s">
        <v>63</v>
      </c>
      <c r="AF119" s="1" t="s">
        <v>61</v>
      </c>
      <c r="AG119" s="1" t="s">
        <v>197</v>
      </c>
      <c r="AH119" s="1" t="s">
        <v>65</v>
      </c>
      <c r="AI119">
        <v>560078</v>
      </c>
      <c r="AJ119" s="1" t="s">
        <v>66</v>
      </c>
      <c r="AK119" s="1" t="s">
        <v>67</v>
      </c>
      <c r="AL119">
        <v>62044220</v>
      </c>
      <c r="AM119" s="2"/>
      <c r="AN119">
        <v>3600</v>
      </c>
      <c r="AO119" s="1" t="s">
        <v>1547</v>
      </c>
      <c r="AP119" s="1" t="s">
        <v>61</v>
      </c>
      <c r="AQ119" s="1" t="s">
        <v>61</v>
      </c>
      <c r="AR119" s="1" t="s">
        <v>63</v>
      </c>
      <c r="AS119">
        <v>18</v>
      </c>
      <c r="AT119">
        <v>0</v>
      </c>
      <c r="AU119">
        <v>0</v>
      </c>
      <c r="AV119">
        <v>18</v>
      </c>
      <c r="AW119">
        <v>549.15300000000002</v>
      </c>
      <c r="AX119">
        <v>0</v>
      </c>
      <c r="AY119">
        <v>0</v>
      </c>
      <c r="AZ119">
        <v>549.15300000000002</v>
      </c>
      <c r="BA119" s="2"/>
      <c r="BB119">
        <v>0.75</v>
      </c>
      <c r="BC119" s="2">
        <v>45962.5</v>
      </c>
      <c r="BD119" s="27">
        <f>MarketPlace_Order_Report__2[[#This Row],[UnitPrice]]*MarketPlace_Order_Report__2[[#This Row],[OrderQty]]</f>
        <v>3600</v>
      </c>
      <c r="BE119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19" s="27">
        <f>MarketPlace_Order_Report__2[[#This Row],[Gross Amount (Before Tax)]]+MarketPlace_Order_Report__2[[#This Row],[Total GST Amount]]</f>
        <v>4149.1530000000002</v>
      </c>
    </row>
    <row r="120" spans="1:58">
      <c r="A120" s="1" t="s">
        <v>1548</v>
      </c>
      <c r="B120" s="1" t="s">
        <v>1549</v>
      </c>
      <c r="C120" s="1" t="s">
        <v>1544</v>
      </c>
      <c r="D120" s="1" t="s">
        <v>1545</v>
      </c>
      <c r="E120">
        <v>1</v>
      </c>
      <c r="F120" s="1" t="s">
        <v>58</v>
      </c>
      <c r="G120">
        <v>1</v>
      </c>
      <c r="H120">
        <v>1</v>
      </c>
      <c r="I120">
        <v>4000</v>
      </c>
      <c r="J120">
        <v>3600</v>
      </c>
      <c r="K120">
        <v>0</v>
      </c>
      <c r="L120">
        <v>3613.04</v>
      </c>
      <c r="M120">
        <v>13.04</v>
      </c>
      <c r="N120" s="1" t="s">
        <v>59</v>
      </c>
      <c r="O120" s="2">
        <v>45938.837500000001</v>
      </c>
      <c r="P120" s="2">
        <v>45940.731122685182</v>
      </c>
      <c r="Q120" s="2">
        <v>45942.617002314815</v>
      </c>
      <c r="R120" s="1" t="s">
        <v>1550</v>
      </c>
      <c r="S120" s="1" t="s">
        <v>351</v>
      </c>
      <c r="T120" s="2">
        <v>45939.786319444444</v>
      </c>
      <c r="U120" s="1" t="s">
        <v>61</v>
      </c>
      <c r="V120" s="1" t="s">
        <v>62</v>
      </c>
      <c r="W120" s="1" t="s">
        <v>61</v>
      </c>
      <c r="X120" s="1" t="s">
        <v>61</v>
      </c>
      <c r="Y120" s="1" t="s">
        <v>61</v>
      </c>
      <c r="Z120" s="1" t="s">
        <v>61</v>
      </c>
      <c r="AA120" s="1" t="s">
        <v>61</v>
      </c>
      <c r="AB120" s="1" t="s">
        <v>61</v>
      </c>
      <c r="AC120" s="1" t="s">
        <v>61</v>
      </c>
      <c r="AD120" s="2">
        <v>45942.618958333333</v>
      </c>
      <c r="AE120" s="1" t="s">
        <v>63</v>
      </c>
      <c r="AF120" s="1" t="s">
        <v>61</v>
      </c>
      <c r="AG120" s="1" t="s">
        <v>408</v>
      </c>
      <c r="AH120" s="1" t="s">
        <v>318</v>
      </c>
      <c r="AI120">
        <v>400060</v>
      </c>
      <c r="AJ120" s="1" t="s">
        <v>66</v>
      </c>
      <c r="AK120" s="1" t="s">
        <v>67</v>
      </c>
      <c r="AL120">
        <v>62044220</v>
      </c>
      <c r="AM120" s="2"/>
      <c r="AN120">
        <v>3600</v>
      </c>
      <c r="AO120" s="1" t="s">
        <v>1551</v>
      </c>
      <c r="AP120" s="1" t="s">
        <v>1552</v>
      </c>
      <c r="AQ120" s="1" t="s">
        <v>61</v>
      </c>
      <c r="AR120" s="1" t="s">
        <v>63</v>
      </c>
      <c r="AS120">
        <v>18</v>
      </c>
      <c r="AT120">
        <v>9</v>
      </c>
      <c r="AU120">
        <v>9</v>
      </c>
      <c r="AV120">
        <v>0</v>
      </c>
      <c r="AW120">
        <v>549.15300000000002</v>
      </c>
      <c r="AX120">
        <v>274.577</v>
      </c>
      <c r="AY120">
        <v>274.577</v>
      </c>
      <c r="AZ120">
        <v>0</v>
      </c>
      <c r="BA120" s="2"/>
      <c r="BB120">
        <v>0.75</v>
      </c>
      <c r="BC120" s="2">
        <v>45941.5</v>
      </c>
      <c r="BD120" s="27">
        <f>MarketPlace_Order_Report__2[[#This Row],[UnitPrice]]*MarketPlace_Order_Report__2[[#This Row],[OrderQty]]</f>
        <v>3600</v>
      </c>
      <c r="BE120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20" s="27">
        <f>MarketPlace_Order_Report__2[[#This Row],[Gross Amount (Before Tax)]]+MarketPlace_Order_Report__2[[#This Row],[Total GST Amount]]</f>
        <v>4149.1540000000005</v>
      </c>
    </row>
    <row r="121" spans="1:58">
      <c r="A121" s="1" t="s">
        <v>1553</v>
      </c>
      <c r="B121" s="1" t="s">
        <v>1554</v>
      </c>
      <c r="C121" s="1" t="s">
        <v>1555</v>
      </c>
      <c r="D121" s="1" t="s">
        <v>1556</v>
      </c>
      <c r="E121">
        <v>1</v>
      </c>
      <c r="F121" s="1" t="s">
        <v>58</v>
      </c>
      <c r="G121">
        <v>1</v>
      </c>
      <c r="H121">
        <v>1</v>
      </c>
      <c r="I121">
        <v>4000</v>
      </c>
      <c r="J121">
        <v>3600</v>
      </c>
      <c r="K121">
        <v>0</v>
      </c>
      <c r="L121">
        <v>3629</v>
      </c>
      <c r="M121">
        <v>29</v>
      </c>
      <c r="N121" s="1" t="s">
        <v>59</v>
      </c>
      <c r="O121" s="2">
        <v>45941.30878472222</v>
      </c>
      <c r="P121" s="2">
        <v>45941.746793981481</v>
      </c>
      <c r="Q121" s="2">
        <v>45943.650752314818</v>
      </c>
      <c r="R121" s="1" t="s">
        <v>1557</v>
      </c>
      <c r="S121" s="1" t="s">
        <v>60</v>
      </c>
      <c r="T121" s="2">
        <v>45941.595370370371</v>
      </c>
      <c r="U121" s="1" t="s">
        <v>61</v>
      </c>
      <c r="V121" s="1" t="s">
        <v>62</v>
      </c>
      <c r="W121" s="1" t="s">
        <v>61</v>
      </c>
      <c r="X121" s="1" t="s">
        <v>61</v>
      </c>
      <c r="Y121" s="1" t="s">
        <v>61</v>
      </c>
      <c r="Z121" s="1" t="s">
        <v>61</v>
      </c>
      <c r="AA121" s="1" t="s">
        <v>61</v>
      </c>
      <c r="AB121" s="1" t="s">
        <v>61</v>
      </c>
      <c r="AC121" s="1" t="s">
        <v>61</v>
      </c>
      <c r="AD121" s="2">
        <v>45943.653923611113</v>
      </c>
      <c r="AE121" s="1" t="s">
        <v>63</v>
      </c>
      <c r="AF121" s="1" t="s">
        <v>61</v>
      </c>
      <c r="AG121" s="1" t="s">
        <v>197</v>
      </c>
      <c r="AH121" s="1" t="s">
        <v>65</v>
      </c>
      <c r="AI121">
        <v>560103</v>
      </c>
      <c r="AJ121" s="1" t="s">
        <v>66</v>
      </c>
      <c r="AK121" s="1" t="s">
        <v>67</v>
      </c>
      <c r="AL121">
        <v>62044220</v>
      </c>
      <c r="AM121" s="2"/>
      <c r="AN121">
        <v>3600</v>
      </c>
      <c r="AO121" s="1" t="s">
        <v>1558</v>
      </c>
      <c r="AP121" s="1" t="s">
        <v>61</v>
      </c>
      <c r="AQ121" s="1" t="s">
        <v>61</v>
      </c>
      <c r="AR121" s="1" t="s">
        <v>63</v>
      </c>
      <c r="AS121">
        <v>18</v>
      </c>
      <c r="AT121">
        <v>0</v>
      </c>
      <c r="AU121">
        <v>0</v>
      </c>
      <c r="AV121">
        <v>18</v>
      </c>
      <c r="AW121">
        <v>549.15300000000002</v>
      </c>
      <c r="AX121">
        <v>0</v>
      </c>
      <c r="AY121">
        <v>0</v>
      </c>
      <c r="AZ121">
        <v>549.15300000000002</v>
      </c>
      <c r="BA121" s="2"/>
      <c r="BB121">
        <v>0.75</v>
      </c>
      <c r="BC121" s="2">
        <v>45943.5</v>
      </c>
      <c r="BD121" s="27">
        <f>MarketPlace_Order_Report__2[[#This Row],[UnitPrice]]*MarketPlace_Order_Report__2[[#This Row],[OrderQty]]</f>
        <v>3600</v>
      </c>
      <c r="BE121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1" s="27">
        <f>MarketPlace_Order_Report__2[[#This Row],[Gross Amount (Before Tax)]]+MarketPlace_Order_Report__2[[#This Row],[Total GST Amount]]</f>
        <v>4149.1530000000002</v>
      </c>
    </row>
    <row r="122" spans="1:58">
      <c r="A122" s="1" t="s">
        <v>1559</v>
      </c>
      <c r="B122" s="1" t="s">
        <v>1560</v>
      </c>
      <c r="C122" s="1" t="s">
        <v>1561</v>
      </c>
      <c r="D122" s="1" t="s">
        <v>1562</v>
      </c>
      <c r="E122">
        <v>4</v>
      </c>
      <c r="F122" s="1" t="s">
        <v>102</v>
      </c>
      <c r="G122">
        <v>1</v>
      </c>
      <c r="H122">
        <v>1</v>
      </c>
      <c r="I122">
        <v>4000</v>
      </c>
      <c r="J122">
        <v>3600</v>
      </c>
      <c r="K122">
        <v>0</v>
      </c>
      <c r="L122">
        <v>3624.77</v>
      </c>
      <c r="M122">
        <v>24.77</v>
      </c>
      <c r="N122" s="1" t="s">
        <v>72</v>
      </c>
      <c r="O122" s="2">
        <v>45941.648206018515</v>
      </c>
      <c r="P122" s="2">
        <v>45943.762662037036</v>
      </c>
      <c r="Q122" s="2"/>
      <c r="R122" s="1" t="s">
        <v>1563</v>
      </c>
      <c r="S122" s="1" t="s">
        <v>60</v>
      </c>
      <c r="T122" s="2">
        <v>45941.806620370371</v>
      </c>
      <c r="U122" s="1" t="s">
        <v>61</v>
      </c>
      <c r="V122" s="1" t="s">
        <v>62</v>
      </c>
      <c r="W122" s="1" t="s">
        <v>61</v>
      </c>
      <c r="X122" s="1" t="s">
        <v>61</v>
      </c>
      <c r="Y122" s="1" t="s">
        <v>1564</v>
      </c>
      <c r="Z122" s="1" t="s">
        <v>103</v>
      </c>
      <c r="AA122" s="1" t="s">
        <v>75</v>
      </c>
      <c r="AB122" s="1" t="s">
        <v>61</v>
      </c>
      <c r="AC122" s="1" t="s">
        <v>61</v>
      </c>
      <c r="AD122" s="2">
        <v>45958.868807870371</v>
      </c>
      <c r="AE122" s="1" t="s">
        <v>63</v>
      </c>
      <c r="AF122" s="1" t="s">
        <v>61</v>
      </c>
      <c r="AG122" s="1" t="s">
        <v>519</v>
      </c>
      <c r="AH122" s="1" t="s">
        <v>177</v>
      </c>
      <c r="AI122">
        <v>781011</v>
      </c>
      <c r="AJ122" s="1" t="s">
        <v>66</v>
      </c>
      <c r="AK122" s="1" t="s">
        <v>67</v>
      </c>
      <c r="AL122">
        <v>62044220</v>
      </c>
      <c r="AM122" s="2"/>
      <c r="AN122">
        <v>3600</v>
      </c>
      <c r="AO122" s="1" t="s">
        <v>1565</v>
      </c>
      <c r="AP122" s="1" t="s">
        <v>61</v>
      </c>
      <c r="AQ122" s="1" t="s">
        <v>61</v>
      </c>
      <c r="AR122" s="1" t="s">
        <v>63</v>
      </c>
      <c r="AS122">
        <v>18</v>
      </c>
      <c r="AT122">
        <v>0</v>
      </c>
      <c r="AU122">
        <v>0</v>
      </c>
      <c r="AV122">
        <v>18</v>
      </c>
      <c r="AW122">
        <v>549.15300000000002</v>
      </c>
      <c r="AX122">
        <v>0</v>
      </c>
      <c r="AY122">
        <v>0</v>
      </c>
      <c r="AZ122">
        <v>549.15300000000002</v>
      </c>
      <c r="BA122" s="2"/>
      <c r="BB122">
        <v>0.75</v>
      </c>
      <c r="BC122" s="2">
        <v>45944.5</v>
      </c>
      <c r="BD122" s="27">
        <f>MarketPlace_Order_Report__2[[#This Row],[UnitPrice]]*MarketPlace_Order_Report__2[[#This Row],[OrderQty]]</f>
        <v>3600</v>
      </c>
      <c r="BE122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2" s="27">
        <f>MarketPlace_Order_Report__2[[#This Row],[Gross Amount (Before Tax)]]+MarketPlace_Order_Report__2[[#This Row],[Total GST Amount]]</f>
        <v>4149.1530000000002</v>
      </c>
    </row>
    <row r="123" spans="1:58">
      <c r="A123" s="1" t="s">
        <v>1566</v>
      </c>
      <c r="B123" s="1" t="s">
        <v>1567</v>
      </c>
      <c r="C123" s="1" t="s">
        <v>500</v>
      </c>
      <c r="D123" s="1" t="s">
        <v>501</v>
      </c>
      <c r="E123">
        <v>2</v>
      </c>
      <c r="F123" s="1" t="s">
        <v>950</v>
      </c>
      <c r="G123">
        <v>1</v>
      </c>
      <c r="H123">
        <v>0</v>
      </c>
      <c r="I123">
        <v>4000</v>
      </c>
      <c r="J123">
        <v>3600</v>
      </c>
      <c r="K123">
        <v>0</v>
      </c>
      <c r="L123">
        <v>3600</v>
      </c>
      <c r="M123">
        <v>0</v>
      </c>
      <c r="N123" s="1" t="s">
        <v>59</v>
      </c>
      <c r="O123" s="2">
        <v>45949.849259259259</v>
      </c>
      <c r="P123" s="2"/>
      <c r="Q123" s="2"/>
      <c r="R123" s="1" t="s">
        <v>1568</v>
      </c>
      <c r="S123" s="1" t="s">
        <v>73</v>
      </c>
      <c r="T123" s="2">
        <v>45961.517905092594</v>
      </c>
      <c r="U123" s="1" t="s">
        <v>61</v>
      </c>
      <c r="V123" s="1" t="s">
        <v>62</v>
      </c>
      <c r="W123" s="1" t="s">
        <v>61</v>
      </c>
      <c r="X123" s="1" t="s">
        <v>61</v>
      </c>
      <c r="Y123" s="1" t="s">
        <v>61</v>
      </c>
      <c r="Z123" s="1" t="s">
        <v>61</v>
      </c>
      <c r="AA123" s="1" t="s">
        <v>61</v>
      </c>
      <c r="AB123" s="1" t="s">
        <v>61</v>
      </c>
      <c r="AC123" s="1" t="s">
        <v>61</v>
      </c>
      <c r="AD123" s="2">
        <v>45961.517905092594</v>
      </c>
      <c r="AE123" s="1" t="s">
        <v>63</v>
      </c>
      <c r="AF123" s="1" t="s">
        <v>61</v>
      </c>
      <c r="AG123" s="1" t="s">
        <v>1569</v>
      </c>
      <c r="AH123" s="1" t="s">
        <v>318</v>
      </c>
      <c r="AI123">
        <v>415001</v>
      </c>
      <c r="AJ123" s="1" t="s">
        <v>66</v>
      </c>
      <c r="AK123" s="1" t="s">
        <v>67</v>
      </c>
      <c r="AL123">
        <v>62044220</v>
      </c>
      <c r="AM123" s="2"/>
      <c r="AN123">
        <v>3600</v>
      </c>
      <c r="AO123" s="1" t="s">
        <v>1570</v>
      </c>
      <c r="AP123" s="1" t="s">
        <v>61</v>
      </c>
      <c r="AQ123" s="1" t="s">
        <v>373</v>
      </c>
      <c r="AR123" s="1" t="s">
        <v>63</v>
      </c>
      <c r="AS123">
        <v>18</v>
      </c>
      <c r="AT123">
        <v>9</v>
      </c>
      <c r="AU123">
        <v>9</v>
      </c>
      <c r="AV123">
        <v>0</v>
      </c>
      <c r="AW123">
        <v>549.15300000000002</v>
      </c>
      <c r="AX123">
        <v>274.577</v>
      </c>
      <c r="AY123">
        <v>274.577</v>
      </c>
      <c r="AZ123">
        <v>0</v>
      </c>
      <c r="BA123" s="2"/>
      <c r="BB123">
        <v>0.75</v>
      </c>
      <c r="BC123" s="2">
        <v>45962.5</v>
      </c>
      <c r="BD123" s="27">
        <f>MarketPlace_Order_Report__2[[#This Row],[UnitPrice]]*MarketPlace_Order_Report__2[[#This Row],[OrderQty]]</f>
        <v>3600</v>
      </c>
      <c r="BE123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23" s="27">
        <f>MarketPlace_Order_Report__2[[#This Row],[Gross Amount (Before Tax)]]+MarketPlace_Order_Report__2[[#This Row],[Total GST Amount]]</f>
        <v>4149.1540000000005</v>
      </c>
    </row>
    <row r="124" spans="1:58">
      <c r="A124" s="1" t="s">
        <v>1571</v>
      </c>
      <c r="B124" s="1" t="s">
        <v>1572</v>
      </c>
      <c r="C124" s="1" t="s">
        <v>500</v>
      </c>
      <c r="D124" s="1" t="s">
        <v>501</v>
      </c>
      <c r="E124">
        <v>1</v>
      </c>
      <c r="F124" s="1" t="s">
        <v>71</v>
      </c>
      <c r="G124">
        <v>1</v>
      </c>
      <c r="H124">
        <v>1</v>
      </c>
      <c r="I124">
        <v>4000</v>
      </c>
      <c r="J124">
        <v>3600</v>
      </c>
      <c r="K124">
        <v>0</v>
      </c>
      <c r="L124">
        <v>3649</v>
      </c>
      <c r="M124">
        <v>49</v>
      </c>
      <c r="N124" s="1" t="s">
        <v>72</v>
      </c>
      <c r="O124" s="2">
        <v>45943.920231481483</v>
      </c>
      <c r="P124" s="2">
        <v>45945.759398148148</v>
      </c>
      <c r="Q124" s="2">
        <v>45948.753622685188</v>
      </c>
      <c r="R124" s="1" t="s">
        <v>1573</v>
      </c>
      <c r="S124" s="1" t="s">
        <v>60</v>
      </c>
      <c r="T124" s="2">
        <v>45944.808067129627</v>
      </c>
      <c r="U124" s="1" t="s">
        <v>61</v>
      </c>
      <c r="V124" s="1" t="s">
        <v>62</v>
      </c>
      <c r="W124" s="1" t="s">
        <v>61</v>
      </c>
      <c r="X124" s="1" t="s">
        <v>61</v>
      </c>
      <c r="Y124" s="1" t="s">
        <v>1574</v>
      </c>
      <c r="Z124" s="1" t="s">
        <v>74</v>
      </c>
      <c r="AA124" s="1" t="s">
        <v>695</v>
      </c>
      <c r="AB124" s="1" t="s">
        <v>61</v>
      </c>
      <c r="AC124" s="1" t="s">
        <v>61</v>
      </c>
      <c r="AD124" s="2">
        <v>45956.278807870367</v>
      </c>
      <c r="AE124" s="1" t="s">
        <v>63</v>
      </c>
      <c r="AF124" s="1" t="s">
        <v>61</v>
      </c>
      <c r="AG124" s="1" t="s">
        <v>197</v>
      </c>
      <c r="AH124" s="1" t="s">
        <v>65</v>
      </c>
      <c r="AI124">
        <v>560002</v>
      </c>
      <c r="AJ124" s="1" t="s">
        <v>66</v>
      </c>
      <c r="AK124" s="1" t="s">
        <v>67</v>
      </c>
      <c r="AL124">
        <v>62044220</v>
      </c>
      <c r="AM124" s="2"/>
      <c r="AN124">
        <v>3600</v>
      </c>
      <c r="AO124" s="1" t="s">
        <v>1575</v>
      </c>
      <c r="AP124" s="1" t="s">
        <v>209</v>
      </c>
      <c r="AQ124" s="1" t="s">
        <v>61</v>
      </c>
      <c r="AR124" s="1" t="s">
        <v>63</v>
      </c>
      <c r="AS124">
        <v>18</v>
      </c>
      <c r="AT124">
        <v>0</v>
      </c>
      <c r="AU124">
        <v>0</v>
      </c>
      <c r="AV124">
        <v>18</v>
      </c>
      <c r="AW124">
        <v>549.15300000000002</v>
      </c>
      <c r="AX124">
        <v>0</v>
      </c>
      <c r="AY124">
        <v>0</v>
      </c>
      <c r="AZ124">
        <v>549.15300000000002</v>
      </c>
      <c r="BA124" s="2"/>
      <c r="BB124">
        <v>0.75</v>
      </c>
      <c r="BC124" s="2">
        <v>45946.5</v>
      </c>
      <c r="BD124" s="27">
        <f>MarketPlace_Order_Report__2[[#This Row],[UnitPrice]]*MarketPlace_Order_Report__2[[#This Row],[OrderQty]]</f>
        <v>3600</v>
      </c>
      <c r="BE124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4" s="27">
        <f>MarketPlace_Order_Report__2[[#This Row],[Gross Amount (Before Tax)]]+MarketPlace_Order_Report__2[[#This Row],[Total GST Amount]]</f>
        <v>4149.1530000000002</v>
      </c>
    </row>
    <row r="125" spans="1:58">
      <c r="A125" s="1" t="s">
        <v>1576</v>
      </c>
      <c r="B125" s="1" t="s">
        <v>1577</v>
      </c>
      <c r="C125" s="1" t="s">
        <v>500</v>
      </c>
      <c r="D125" s="1" t="s">
        <v>501</v>
      </c>
      <c r="E125">
        <v>3</v>
      </c>
      <c r="F125" s="1" t="s">
        <v>71</v>
      </c>
      <c r="G125">
        <v>1</v>
      </c>
      <c r="H125">
        <v>1</v>
      </c>
      <c r="I125">
        <v>4000</v>
      </c>
      <c r="J125">
        <v>3600</v>
      </c>
      <c r="K125">
        <v>0</v>
      </c>
      <c r="L125">
        <v>3600</v>
      </c>
      <c r="M125">
        <v>0</v>
      </c>
      <c r="N125" s="1" t="s">
        <v>59</v>
      </c>
      <c r="O125" s="2">
        <v>45935.807152777779</v>
      </c>
      <c r="P125" s="2">
        <v>45937.619120370371</v>
      </c>
      <c r="Q125" s="2">
        <v>45944.615937499999</v>
      </c>
      <c r="R125" s="1" t="s">
        <v>1578</v>
      </c>
      <c r="S125" s="1" t="s">
        <v>73</v>
      </c>
      <c r="T125" s="2">
        <v>45936.813321759262</v>
      </c>
      <c r="U125" s="1" t="s">
        <v>61</v>
      </c>
      <c r="V125" s="1" t="s">
        <v>62</v>
      </c>
      <c r="W125" s="1" t="s">
        <v>61</v>
      </c>
      <c r="X125" s="1" t="s">
        <v>61</v>
      </c>
      <c r="Y125" s="1" t="s">
        <v>1579</v>
      </c>
      <c r="Z125" s="1" t="s">
        <v>74</v>
      </c>
      <c r="AA125" s="1" t="s">
        <v>695</v>
      </c>
      <c r="AB125" s="1" t="s">
        <v>61</v>
      </c>
      <c r="AC125" s="1" t="s">
        <v>61</v>
      </c>
      <c r="AD125" s="2">
        <v>45956.264918981484</v>
      </c>
      <c r="AE125" s="1" t="s">
        <v>63</v>
      </c>
      <c r="AF125" s="1" t="s">
        <v>61</v>
      </c>
      <c r="AG125" s="1" t="s">
        <v>136</v>
      </c>
      <c r="AH125" s="1" t="s">
        <v>77</v>
      </c>
      <c r="AI125">
        <v>201310</v>
      </c>
      <c r="AJ125" s="1" t="s">
        <v>66</v>
      </c>
      <c r="AK125" s="1" t="s">
        <v>67</v>
      </c>
      <c r="AL125">
        <v>62044220</v>
      </c>
      <c r="AM125" s="2"/>
      <c r="AN125">
        <v>3600</v>
      </c>
      <c r="AO125" s="1" t="s">
        <v>1580</v>
      </c>
      <c r="AP125" s="1" t="s">
        <v>61</v>
      </c>
      <c r="AQ125" s="1" t="s">
        <v>61</v>
      </c>
      <c r="AR125" s="1" t="s">
        <v>63</v>
      </c>
      <c r="AS125">
        <v>18</v>
      </c>
      <c r="AT125">
        <v>0</v>
      </c>
      <c r="AU125">
        <v>0</v>
      </c>
      <c r="AV125">
        <v>18</v>
      </c>
      <c r="AW125">
        <v>549.15300000000002</v>
      </c>
      <c r="AX125">
        <v>0</v>
      </c>
      <c r="AY125">
        <v>0</v>
      </c>
      <c r="AZ125">
        <v>549.15300000000002</v>
      </c>
      <c r="BA125" s="2"/>
      <c r="BB125">
        <v>0.75</v>
      </c>
      <c r="BC125" s="2">
        <v>45938.5</v>
      </c>
      <c r="BD125" s="27">
        <f>MarketPlace_Order_Report__2[[#This Row],[UnitPrice]]*MarketPlace_Order_Report__2[[#This Row],[OrderQty]]</f>
        <v>3600</v>
      </c>
      <c r="BE125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5" s="27">
        <f>MarketPlace_Order_Report__2[[#This Row],[Gross Amount (Before Tax)]]+MarketPlace_Order_Report__2[[#This Row],[Total GST Amount]]</f>
        <v>4149.1530000000002</v>
      </c>
    </row>
    <row r="126" spans="1:58">
      <c r="A126" s="1" t="s">
        <v>1581</v>
      </c>
      <c r="B126" s="1" t="s">
        <v>1582</v>
      </c>
      <c r="C126" s="1" t="s">
        <v>500</v>
      </c>
      <c r="D126" s="1" t="s">
        <v>501</v>
      </c>
      <c r="E126">
        <v>1</v>
      </c>
      <c r="F126" s="1" t="s">
        <v>187</v>
      </c>
      <c r="G126">
        <v>1</v>
      </c>
      <c r="H126">
        <v>0</v>
      </c>
      <c r="I126">
        <v>4000</v>
      </c>
      <c r="J126">
        <v>3600</v>
      </c>
      <c r="K126">
        <v>0</v>
      </c>
      <c r="L126">
        <v>3620</v>
      </c>
      <c r="M126">
        <v>20</v>
      </c>
      <c r="N126" s="1" t="s">
        <v>72</v>
      </c>
      <c r="O126" s="2">
        <v>45932.543726851851</v>
      </c>
      <c r="P126" s="2"/>
      <c r="Q126" s="2"/>
      <c r="R126" s="1" t="s">
        <v>61</v>
      </c>
      <c r="S126" s="1" t="s">
        <v>60</v>
      </c>
      <c r="T126" s="2"/>
      <c r="U126" s="1" t="s">
        <v>323</v>
      </c>
      <c r="V126" s="1" t="s">
        <v>62</v>
      </c>
      <c r="W126" s="1" t="s">
        <v>61</v>
      </c>
      <c r="X126" s="1" t="s">
        <v>61</v>
      </c>
      <c r="Y126" s="1" t="s">
        <v>61</v>
      </c>
      <c r="Z126" s="1" t="s">
        <v>61</v>
      </c>
      <c r="AA126" s="1" t="s">
        <v>61</v>
      </c>
      <c r="AB126" s="1" t="s">
        <v>61</v>
      </c>
      <c r="AC126" s="1" t="s">
        <v>61</v>
      </c>
      <c r="AD126" s="2">
        <v>45933.428912037038</v>
      </c>
      <c r="AE126" s="1" t="s">
        <v>63</v>
      </c>
      <c r="AF126" s="1" t="s">
        <v>61</v>
      </c>
      <c r="AG126" s="1" t="s">
        <v>1583</v>
      </c>
      <c r="AH126" s="1" t="s">
        <v>215</v>
      </c>
      <c r="AI126">
        <v>769012</v>
      </c>
      <c r="AJ126" s="1" t="s">
        <v>66</v>
      </c>
      <c r="AK126" s="1" t="s">
        <v>67</v>
      </c>
      <c r="AL126">
        <v>62044220</v>
      </c>
      <c r="AM126" s="2">
        <v>45933.428912037038</v>
      </c>
      <c r="AN126">
        <v>3600</v>
      </c>
      <c r="AO126" s="1" t="s">
        <v>61</v>
      </c>
      <c r="AP126" s="1" t="s">
        <v>61</v>
      </c>
      <c r="AQ126" s="1" t="s">
        <v>61</v>
      </c>
      <c r="AR126" s="1" t="s">
        <v>63</v>
      </c>
      <c r="AS126">
        <v>18</v>
      </c>
      <c r="AT126">
        <v>0</v>
      </c>
      <c r="AU126">
        <v>0</v>
      </c>
      <c r="AV126">
        <v>18</v>
      </c>
      <c r="AW126">
        <v>549.15300000000002</v>
      </c>
      <c r="AX126">
        <v>0</v>
      </c>
      <c r="AY126">
        <v>0</v>
      </c>
      <c r="AZ126">
        <v>549.15300000000002</v>
      </c>
      <c r="BA126" s="2"/>
      <c r="BC126" s="2">
        <v>45935.5</v>
      </c>
      <c r="BD126" s="27">
        <f>MarketPlace_Order_Report__2[[#This Row],[UnitPrice]]*MarketPlace_Order_Report__2[[#This Row],[OrderQty]]</f>
        <v>3600</v>
      </c>
      <c r="BE126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6" s="27">
        <f>MarketPlace_Order_Report__2[[#This Row],[Gross Amount (Before Tax)]]+MarketPlace_Order_Report__2[[#This Row],[Total GST Amount]]</f>
        <v>4149.1530000000002</v>
      </c>
    </row>
    <row r="127" spans="1:58">
      <c r="A127" s="1" t="s">
        <v>1584</v>
      </c>
      <c r="B127" s="1" t="s">
        <v>1585</v>
      </c>
      <c r="C127" s="1" t="s">
        <v>506</v>
      </c>
      <c r="D127" s="1" t="s">
        <v>507</v>
      </c>
      <c r="E127">
        <v>2</v>
      </c>
      <c r="F127" s="1" t="s">
        <v>71</v>
      </c>
      <c r="G127">
        <v>1</v>
      </c>
      <c r="H127">
        <v>1</v>
      </c>
      <c r="I127">
        <v>4000</v>
      </c>
      <c r="J127">
        <v>3600</v>
      </c>
      <c r="K127">
        <v>0</v>
      </c>
      <c r="L127">
        <v>3622.03</v>
      </c>
      <c r="M127">
        <v>22.03</v>
      </c>
      <c r="N127" s="1" t="s">
        <v>59</v>
      </c>
      <c r="O127" s="2">
        <v>45944.607233796298</v>
      </c>
      <c r="P127" s="2">
        <v>45945.760289351849</v>
      </c>
      <c r="Q127" s="2">
        <v>45948.582476851851</v>
      </c>
      <c r="R127" s="1" t="s">
        <v>1586</v>
      </c>
      <c r="S127" s="1" t="s">
        <v>351</v>
      </c>
      <c r="T127" s="2">
        <v>45944.808067129627</v>
      </c>
      <c r="U127" s="1" t="s">
        <v>61</v>
      </c>
      <c r="V127" s="1" t="s">
        <v>62</v>
      </c>
      <c r="W127" s="1" t="s">
        <v>61</v>
      </c>
      <c r="X127" s="1" t="s">
        <v>61</v>
      </c>
      <c r="Y127" s="1" t="s">
        <v>1587</v>
      </c>
      <c r="Z127" s="1" t="s">
        <v>74</v>
      </c>
      <c r="AA127" s="1" t="s">
        <v>695</v>
      </c>
      <c r="AB127" s="1" t="s">
        <v>61</v>
      </c>
      <c r="AC127" s="1" t="s">
        <v>61</v>
      </c>
      <c r="AD127" s="2">
        <v>45961.539189814815</v>
      </c>
      <c r="AE127" s="1" t="s">
        <v>63</v>
      </c>
      <c r="AF127" s="1" t="s">
        <v>61</v>
      </c>
      <c r="AG127" s="1" t="s">
        <v>1569</v>
      </c>
      <c r="AH127" s="1" t="s">
        <v>318</v>
      </c>
      <c r="AI127">
        <v>415001</v>
      </c>
      <c r="AJ127" s="1" t="s">
        <v>66</v>
      </c>
      <c r="AK127" s="1" t="s">
        <v>67</v>
      </c>
      <c r="AL127">
        <v>62044220</v>
      </c>
      <c r="AM127" s="2"/>
      <c r="AN127">
        <v>3600</v>
      </c>
      <c r="AO127" s="1" t="s">
        <v>1588</v>
      </c>
      <c r="AP127" s="1" t="s">
        <v>61</v>
      </c>
      <c r="AQ127" s="1" t="s">
        <v>832</v>
      </c>
      <c r="AR127" s="1" t="s">
        <v>63</v>
      </c>
      <c r="AS127">
        <v>18</v>
      </c>
      <c r="AT127">
        <v>9</v>
      </c>
      <c r="AU127">
        <v>9</v>
      </c>
      <c r="AV127">
        <v>0</v>
      </c>
      <c r="AW127">
        <v>549.15300000000002</v>
      </c>
      <c r="AX127">
        <v>274.577</v>
      </c>
      <c r="AY127">
        <v>274.577</v>
      </c>
      <c r="AZ127">
        <v>0</v>
      </c>
      <c r="BA127" s="2">
        <v>45944.787465277775</v>
      </c>
      <c r="BB127">
        <v>0.75</v>
      </c>
      <c r="BC127" s="2">
        <v>45947.5</v>
      </c>
      <c r="BD127" s="27">
        <f>MarketPlace_Order_Report__2[[#This Row],[UnitPrice]]*MarketPlace_Order_Report__2[[#This Row],[OrderQty]]</f>
        <v>3600</v>
      </c>
      <c r="BE127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27" s="27">
        <f>MarketPlace_Order_Report__2[[#This Row],[Gross Amount (Before Tax)]]+MarketPlace_Order_Report__2[[#This Row],[Total GST Amount]]</f>
        <v>4149.1540000000005</v>
      </c>
    </row>
    <row r="128" spans="1:58">
      <c r="A128" s="1" t="s">
        <v>1589</v>
      </c>
      <c r="B128" s="1" t="s">
        <v>1590</v>
      </c>
      <c r="C128" s="1" t="s">
        <v>506</v>
      </c>
      <c r="D128" s="1" t="s">
        <v>507</v>
      </c>
      <c r="E128">
        <v>1</v>
      </c>
      <c r="F128" s="1" t="s">
        <v>58</v>
      </c>
      <c r="G128">
        <v>1</v>
      </c>
      <c r="H128">
        <v>1</v>
      </c>
      <c r="I128">
        <v>4000</v>
      </c>
      <c r="J128">
        <v>3600</v>
      </c>
      <c r="K128">
        <v>0</v>
      </c>
      <c r="L128">
        <v>3629</v>
      </c>
      <c r="M128">
        <v>29</v>
      </c>
      <c r="N128" s="1" t="s">
        <v>59</v>
      </c>
      <c r="O128" s="2">
        <v>45941.901053240741</v>
      </c>
      <c r="P128" s="2">
        <v>45943.762777777774</v>
      </c>
      <c r="Q128" s="2">
        <v>45946.551689814813</v>
      </c>
      <c r="R128" s="1" t="s">
        <v>1591</v>
      </c>
      <c r="S128" s="1" t="s">
        <v>60</v>
      </c>
      <c r="T128" s="2">
        <v>45942.661412037036</v>
      </c>
      <c r="U128" s="1" t="s">
        <v>61</v>
      </c>
      <c r="V128" s="1" t="s">
        <v>62</v>
      </c>
      <c r="W128" s="1" t="s">
        <v>61</v>
      </c>
      <c r="X128" s="1" t="s">
        <v>61</v>
      </c>
      <c r="Y128" s="1" t="s">
        <v>61</v>
      </c>
      <c r="Z128" s="1" t="s">
        <v>61</v>
      </c>
      <c r="AA128" s="1" t="s">
        <v>61</v>
      </c>
      <c r="AB128" s="1" t="s">
        <v>61</v>
      </c>
      <c r="AC128" s="1" t="s">
        <v>61</v>
      </c>
      <c r="AD128" s="2">
        <v>45946.55641203704</v>
      </c>
      <c r="AE128" s="1" t="s">
        <v>63</v>
      </c>
      <c r="AF128" s="1" t="s">
        <v>61</v>
      </c>
      <c r="AG128" s="1" t="s">
        <v>119</v>
      </c>
      <c r="AH128" s="1" t="s">
        <v>120</v>
      </c>
      <c r="AI128">
        <v>302021</v>
      </c>
      <c r="AJ128" s="1" t="s">
        <v>66</v>
      </c>
      <c r="AK128" s="1" t="s">
        <v>67</v>
      </c>
      <c r="AL128">
        <v>62044220</v>
      </c>
      <c r="AM128" s="2"/>
      <c r="AN128">
        <v>3600</v>
      </c>
      <c r="AO128" s="1" t="s">
        <v>1592</v>
      </c>
      <c r="AP128" s="1" t="s">
        <v>209</v>
      </c>
      <c r="AQ128" s="1" t="s">
        <v>61</v>
      </c>
      <c r="AR128" s="1" t="s">
        <v>63</v>
      </c>
      <c r="AS128">
        <v>18</v>
      </c>
      <c r="AT128">
        <v>0</v>
      </c>
      <c r="AU128">
        <v>0</v>
      </c>
      <c r="AV128">
        <v>18</v>
      </c>
      <c r="AW128">
        <v>549.15300000000002</v>
      </c>
      <c r="AX128">
        <v>0</v>
      </c>
      <c r="AY128">
        <v>0</v>
      </c>
      <c r="AZ128">
        <v>549.15300000000002</v>
      </c>
      <c r="BA128" s="2"/>
      <c r="BB128">
        <v>0.75</v>
      </c>
      <c r="BC128" s="2">
        <v>45944.5</v>
      </c>
      <c r="BD128" s="27">
        <f>MarketPlace_Order_Report__2[[#This Row],[UnitPrice]]*MarketPlace_Order_Report__2[[#This Row],[OrderQty]]</f>
        <v>3600</v>
      </c>
      <c r="BE128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8" s="27">
        <f>MarketPlace_Order_Report__2[[#This Row],[Gross Amount (Before Tax)]]+MarketPlace_Order_Report__2[[#This Row],[Total GST Amount]]</f>
        <v>4149.1530000000002</v>
      </c>
    </row>
    <row r="129" spans="1:58">
      <c r="A129" s="1" t="s">
        <v>1593</v>
      </c>
      <c r="B129" s="1" t="s">
        <v>1594</v>
      </c>
      <c r="C129" s="1" t="s">
        <v>506</v>
      </c>
      <c r="D129" s="1" t="s">
        <v>507</v>
      </c>
      <c r="E129">
        <v>1</v>
      </c>
      <c r="F129" s="1" t="s">
        <v>187</v>
      </c>
      <c r="G129">
        <v>1</v>
      </c>
      <c r="H129">
        <v>0</v>
      </c>
      <c r="I129">
        <v>4000</v>
      </c>
      <c r="J129">
        <v>3600</v>
      </c>
      <c r="K129">
        <v>0</v>
      </c>
      <c r="L129">
        <v>3629</v>
      </c>
      <c r="M129">
        <v>29</v>
      </c>
      <c r="N129" s="1" t="s">
        <v>59</v>
      </c>
      <c r="O129" s="2">
        <v>45940.929212962961</v>
      </c>
      <c r="P129" s="2"/>
      <c r="Q129" s="2"/>
      <c r="R129" s="1" t="s">
        <v>61</v>
      </c>
      <c r="S129" s="1" t="s">
        <v>351</v>
      </c>
      <c r="T129" s="2"/>
      <c r="U129" s="1" t="s">
        <v>273</v>
      </c>
      <c r="V129" s="1" t="s">
        <v>62</v>
      </c>
      <c r="W129" s="1" t="s">
        <v>61</v>
      </c>
      <c r="X129" s="1" t="s">
        <v>61</v>
      </c>
      <c r="Y129" s="1" t="s">
        <v>61</v>
      </c>
      <c r="Z129" s="1" t="s">
        <v>61</v>
      </c>
      <c r="AA129" s="1" t="s">
        <v>61</v>
      </c>
      <c r="AB129" s="1" t="s">
        <v>61</v>
      </c>
      <c r="AC129" s="1" t="s">
        <v>61</v>
      </c>
      <c r="AD129" s="2">
        <v>45940.935636574075</v>
      </c>
      <c r="AE129" s="1" t="s">
        <v>63</v>
      </c>
      <c r="AF129" s="1" t="s">
        <v>61</v>
      </c>
      <c r="AG129" s="1" t="s">
        <v>1569</v>
      </c>
      <c r="AH129" s="1" t="s">
        <v>318</v>
      </c>
      <c r="AI129">
        <v>415001</v>
      </c>
      <c r="AJ129" s="1" t="s">
        <v>66</v>
      </c>
      <c r="AK129" s="1" t="s">
        <v>67</v>
      </c>
      <c r="AL129">
        <v>62044220</v>
      </c>
      <c r="AM129" s="2">
        <v>45940.935636574075</v>
      </c>
      <c r="AN129">
        <v>3600</v>
      </c>
      <c r="AO129" s="1" t="s">
        <v>61</v>
      </c>
      <c r="AP129" s="1" t="s">
        <v>61</v>
      </c>
      <c r="AQ129" s="1" t="s">
        <v>832</v>
      </c>
      <c r="AR129" s="1" t="s">
        <v>833</v>
      </c>
      <c r="AS129">
        <v>18</v>
      </c>
      <c r="AT129">
        <v>9</v>
      </c>
      <c r="AU129">
        <v>9</v>
      </c>
      <c r="AV129">
        <v>0</v>
      </c>
      <c r="AW129">
        <v>549.15300000000002</v>
      </c>
      <c r="AX129">
        <v>274.577</v>
      </c>
      <c r="AY129">
        <v>274.577</v>
      </c>
      <c r="AZ129">
        <v>0</v>
      </c>
      <c r="BA129" s="2"/>
      <c r="BC129" s="2">
        <v>45943.5</v>
      </c>
      <c r="BD129" s="27">
        <f>MarketPlace_Order_Report__2[[#This Row],[UnitPrice]]*MarketPlace_Order_Report__2[[#This Row],[OrderQty]]</f>
        <v>3600</v>
      </c>
      <c r="BE129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29" s="27">
        <f>MarketPlace_Order_Report__2[[#This Row],[Gross Amount (Before Tax)]]+MarketPlace_Order_Report__2[[#This Row],[Total GST Amount]]</f>
        <v>4149.1540000000005</v>
      </c>
    </row>
    <row r="130" spans="1:58">
      <c r="A130" s="1" t="s">
        <v>1595</v>
      </c>
      <c r="B130" s="1" t="s">
        <v>1596</v>
      </c>
      <c r="C130" s="1" t="s">
        <v>506</v>
      </c>
      <c r="D130" s="1" t="s">
        <v>507</v>
      </c>
      <c r="E130">
        <v>1</v>
      </c>
      <c r="F130" s="1" t="s">
        <v>58</v>
      </c>
      <c r="G130">
        <v>1</v>
      </c>
      <c r="H130">
        <v>1</v>
      </c>
      <c r="I130">
        <v>4000</v>
      </c>
      <c r="J130">
        <v>3600</v>
      </c>
      <c r="K130">
        <v>0</v>
      </c>
      <c r="L130">
        <v>3629</v>
      </c>
      <c r="M130">
        <v>29</v>
      </c>
      <c r="N130" s="1" t="s">
        <v>59</v>
      </c>
      <c r="O130" s="2">
        <v>45940.892916666664</v>
      </c>
      <c r="P130" s="2">
        <v>45941.748553240737</v>
      </c>
      <c r="Q130" s="2">
        <v>45944.451504629629</v>
      </c>
      <c r="R130" s="1" t="s">
        <v>1597</v>
      </c>
      <c r="S130" s="1" t="s">
        <v>60</v>
      </c>
      <c r="T130" s="2">
        <v>45941.595370370371</v>
      </c>
      <c r="U130" s="1" t="s">
        <v>61</v>
      </c>
      <c r="V130" s="1" t="s">
        <v>62</v>
      </c>
      <c r="W130" s="1" t="s">
        <v>61</v>
      </c>
      <c r="X130" s="1" t="s">
        <v>61</v>
      </c>
      <c r="Y130" s="1" t="s">
        <v>61</v>
      </c>
      <c r="Z130" s="1" t="s">
        <v>61</v>
      </c>
      <c r="AA130" s="1" t="s">
        <v>61</v>
      </c>
      <c r="AB130" s="1" t="s">
        <v>61</v>
      </c>
      <c r="AC130" s="1" t="s">
        <v>61</v>
      </c>
      <c r="AD130" s="2">
        <v>45944.452037037037</v>
      </c>
      <c r="AE130" s="1" t="s">
        <v>63</v>
      </c>
      <c r="AF130" s="1" t="s">
        <v>61</v>
      </c>
      <c r="AG130" s="1" t="s">
        <v>182</v>
      </c>
      <c r="AH130" s="1" t="s">
        <v>183</v>
      </c>
      <c r="AI130">
        <v>110075</v>
      </c>
      <c r="AJ130" s="1" t="s">
        <v>66</v>
      </c>
      <c r="AK130" s="1" t="s">
        <v>67</v>
      </c>
      <c r="AL130">
        <v>62044220</v>
      </c>
      <c r="AM130" s="2"/>
      <c r="AN130">
        <v>3600</v>
      </c>
      <c r="AO130" s="1" t="s">
        <v>1598</v>
      </c>
      <c r="AP130" s="1" t="s">
        <v>1014</v>
      </c>
      <c r="AQ130" s="1" t="s">
        <v>61</v>
      </c>
      <c r="AR130" s="1" t="s">
        <v>63</v>
      </c>
      <c r="AS130">
        <v>18</v>
      </c>
      <c r="AT130">
        <v>0</v>
      </c>
      <c r="AU130">
        <v>0</v>
      </c>
      <c r="AV130">
        <v>18</v>
      </c>
      <c r="AW130">
        <v>549.15300000000002</v>
      </c>
      <c r="AX130">
        <v>0</v>
      </c>
      <c r="AY130">
        <v>0</v>
      </c>
      <c r="AZ130">
        <v>549.15300000000002</v>
      </c>
      <c r="BA130" s="2"/>
      <c r="BB130">
        <v>0.75</v>
      </c>
      <c r="BC130" s="2">
        <v>45943.5</v>
      </c>
      <c r="BD130" s="27">
        <f>MarketPlace_Order_Report__2[[#This Row],[UnitPrice]]*MarketPlace_Order_Report__2[[#This Row],[OrderQty]]</f>
        <v>3600</v>
      </c>
      <c r="BE130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30" s="27">
        <f>MarketPlace_Order_Report__2[[#This Row],[Gross Amount (Before Tax)]]+MarketPlace_Order_Report__2[[#This Row],[Total GST Amount]]</f>
        <v>4149.1530000000002</v>
      </c>
    </row>
    <row r="131" spans="1:58">
      <c r="A131" s="1" t="s">
        <v>1599</v>
      </c>
      <c r="B131" s="1" t="s">
        <v>1600</v>
      </c>
      <c r="C131" s="1" t="s">
        <v>506</v>
      </c>
      <c r="D131" s="1" t="s">
        <v>507</v>
      </c>
      <c r="E131">
        <v>1</v>
      </c>
      <c r="F131" s="1" t="s">
        <v>58</v>
      </c>
      <c r="G131">
        <v>1</v>
      </c>
      <c r="H131">
        <v>1</v>
      </c>
      <c r="I131">
        <v>4000</v>
      </c>
      <c r="J131">
        <v>3600</v>
      </c>
      <c r="K131">
        <v>0</v>
      </c>
      <c r="L131">
        <v>3629</v>
      </c>
      <c r="M131">
        <v>29</v>
      </c>
      <c r="N131" s="1" t="s">
        <v>59</v>
      </c>
      <c r="O131" s="2">
        <v>45938.427245370367</v>
      </c>
      <c r="P131" s="2">
        <v>45939.734525462962</v>
      </c>
      <c r="Q131" s="2">
        <v>45941.834421296298</v>
      </c>
      <c r="R131" s="1" t="s">
        <v>1601</v>
      </c>
      <c r="S131" s="1" t="s">
        <v>351</v>
      </c>
      <c r="T131" s="2">
        <v>45938.725810185184</v>
      </c>
      <c r="U131" s="1" t="s">
        <v>61</v>
      </c>
      <c r="V131" s="1" t="s">
        <v>62</v>
      </c>
      <c r="W131" s="1" t="s">
        <v>61</v>
      </c>
      <c r="X131" s="1" t="s">
        <v>61</v>
      </c>
      <c r="Y131" s="1" t="s">
        <v>61</v>
      </c>
      <c r="Z131" s="1" t="s">
        <v>61</v>
      </c>
      <c r="AA131" s="1" t="s">
        <v>61</v>
      </c>
      <c r="AB131" s="1" t="s">
        <v>61</v>
      </c>
      <c r="AC131" s="1" t="s">
        <v>61</v>
      </c>
      <c r="AD131" s="2">
        <v>45941.837754629632</v>
      </c>
      <c r="AE131" s="1" t="s">
        <v>63</v>
      </c>
      <c r="AF131" s="1" t="s">
        <v>61</v>
      </c>
      <c r="AG131" s="1" t="s">
        <v>324</v>
      </c>
      <c r="AH131" s="1" t="s">
        <v>318</v>
      </c>
      <c r="AI131">
        <v>411045</v>
      </c>
      <c r="AJ131" s="1" t="s">
        <v>66</v>
      </c>
      <c r="AK131" s="1" t="s">
        <v>67</v>
      </c>
      <c r="AL131">
        <v>62044220</v>
      </c>
      <c r="AM131" s="2"/>
      <c r="AN131">
        <v>3600</v>
      </c>
      <c r="AO131" s="1" t="s">
        <v>1602</v>
      </c>
      <c r="AP131" s="1" t="s">
        <v>78</v>
      </c>
      <c r="AQ131" s="1" t="s">
        <v>61</v>
      </c>
      <c r="AR131" s="1" t="s">
        <v>63</v>
      </c>
      <c r="AS131">
        <v>18</v>
      </c>
      <c r="AT131">
        <v>9</v>
      </c>
      <c r="AU131">
        <v>9</v>
      </c>
      <c r="AV131">
        <v>0</v>
      </c>
      <c r="AW131">
        <v>549.15300000000002</v>
      </c>
      <c r="AX131">
        <v>274.577</v>
      </c>
      <c r="AY131">
        <v>274.577</v>
      </c>
      <c r="AZ131">
        <v>0</v>
      </c>
      <c r="BA131" s="2"/>
      <c r="BB131">
        <v>0.75</v>
      </c>
      <c r="BC131" s="2">
        <v>45940.5</v>
      </c>
      <c r="BD131" s="27">
        <f>MarketPlace_Order_Report__2[[#This Row],[UnitPrice]]*MarketPlace_Order_Report__2[[#This Row],[OrderQty]]</f>
        <v>3600</v>
      </c>
      <c r="BE131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31" s="27">
        <f>MarketPlace_Order_Report__2[[#This Row],[Gross Amount (Before Tax)]]+MarketPlace_Order_Report__2[[#This Row],[Total GST Amount]]</f>
        <v>4149.1540000000005</v>
      </c>
    </row>
    <row r="132" spans="1:58">
      <c r="A132" s="1" t="s">
        <v>1603</v>
      </c>
      <c r="B132" s="1" t="s">
        <v>1604</v>
      </c>
      <c r="C132" s="1" t="s">
        <v>515</v>
      </c>
      <c r="D132" s="1" t="s">
        <v>516</v>
      </c>
      <c r="E132">
        <v>1</v>
      </c>
      <c r="F132" s="1" t="s">
        <v>71</v>
      </c>
      <c r="G132">
        <v>1</v>
      </c>
      <c r="H132">
        <v>1</v>
      </c>
      <c r="I132">
        <v>4000</v>
      </c>
      <c r="J132">
        <v>3600</v>
      </c>
      <c r="K132">
        <v>0</v>
      </c>
      <c r="L132">
        <v>3629</v>
      </c>
      <c r="M132">
        <v>29</v>
      </c>
      <c r="N132" s="1" t="s">
        <v>59</v>
      </c>
      <c r="O132" s="2">
        <v>45943.513310185182</v>
      </c>
      <c r="P132" s="2">
        <v>45944.740057870367</v>
      </c>
      <c r="Q132" s="2">
        <v>45946.642118055555</v>
      </c>
      <c r="R132" s="1" t="s">
        <v>1605</v>
      </c>
      <c r="S132" s="1" t="s">
        <v>60</v>
      </c>
      <c r="T132" s="2">
        <v>45943.814467592594</v>
      </c>
      <c r="U132" s="1" t="s">
        <v>61</v>
      </c>
      <c r="V132" s="1" t="s">
        <v>62</v>
      </c>
      <c r="W132" s="1" t="s">
        <v>61</v>
      </c>
      <c r="X132" s="1" t="s">
        <v>61</v>
      </c>
      <c r="Y132" s="1" t="s">
        <v>1606</v>
      </c>
      <c r="Z132" s="1" t="s">
        <v>74</v>
      </c>
      <c r="AA132" s="1" t="s">
        <v>75</v>
      </c>
      <c r="AB132" s="1" t="s">
        <v>61</v>
      </c>
      <c r="AC132" s="1" t="s">
        <v>61</v>
      </c>
      <c r="AD132" s="2">
        <v>45959.532256944447</v>
      </c>
      <c r="AE132" s="1" t="s">
        <v>63</v>
      </c>
      <c r="AF132" s="1" t="s">
        <v>61</v>
      </c>
      <c r="AG132" s="1" t="s">
        <v>124</v>
      </c>
      <c r="AH132" s="1" t="s">
        <v>99</v>
      </c>
      <c r="AI132">
        <v>122018</v>
      </c>
      <c r="AJ132" s="1" t="s">
        <v>66</v>
      </c>
      <c r="AK132" s="1" t="s">
        <v>67</v>
      </c>
      <c r="AL132">
        <v>62044220</v>
      </c>
      <c r="AM132" s="2"/>
      <c r="AN132">
        <v>3600</v>
      </c>
      <c r="AO132" s="1" t="s">
        <v>1607</v>
      </c>
      <c r="AP132" s="1" t="s">
        <v>209</v>
      </c>
      <c r="AQ132" s="1" t="s">
        <v>61</v>
      </c>
      <c r="AR132" s="1" t="s">
        <v>63</v>
      </c>
      <c r="AS132">
        <v>18</v>
      </c>
      <c r="AT132">
        <v>0</v>
      </c>
      <c r="AU132">
        <v>0</v>
      </c>
      <c r="AV132">
        <v>18</v>
      </c>
      <c r="AW132">
        <v>549.15300000000002</v>
      </c>
      <c r="AX132">
        <v>0</v>
      </c>
      <c r="AY132">
        <v>0</v>
      </c>
      <c r="AZ132">
        <v>549.15300000000002</v>
      </c>
      <c r="BA132" s="2"/>
      <c r="BB132">
        <v>0.75</v>
      </c>
      <c r="BC132" s="2">
        <v>45946.5</v>
      </c>
      <c r="BD132" s="27">
        <f>MarketPlace_Order_Report__2[[#This Row],[UnitPrice]]*MarketPlace_Order_Report__2[[#This Row],[OrderQty]]</f>
        <v>3600</v>
      </c>
      <c r="BE132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32" s="27">
        <f>MarketPlace_Order_Report__2[[#This Row],[Gross Amount (Before Tax)]]+MarketPlace_Order_Report__2[[#This Row],[Total GST Amount]]</f>
        <v>4149.1530000000002</v>
      </c>
    </row>
    <row r="133" spans="1:58">
      <c r="A133" s="1" t="s">
        <v>1608</v>
      </c>
      <c r="B133" s="1" t="s">
        <v>1609</v>
      </c>
      <c r="C133" s="1" t="s">
        <v>1610</v>
      </c>
      <c r="D133" s="1" t="s">
        <v>1611</v>
      </c>
      <c r="E133">
        <v>3</v>
      </c>
      <c r="F133" s="1" t="s">
        <v>58</v>
      </c>
      <c r="G133">
        <v>1</v>
      </c>
      <c r="H133">
        <v>1</v>
      </c>
      <c r="I133">
        <v>4000</v>
      </c>
      <c r="J133">
        <v>3600</v>
      </c>
      <c r="K133">
        <v>0</v>
      </c>
      <c r="L133">
        <v>3608.92</v>
      </c>
      <c r="M133">
        <v>8.92</v>
      </c>
      <c r="N133" s="1" t="s">
        <v>59</v>
      </c>
      <c r="O133" s="2">
        <v>45935.755219907405</v>
      </c>
      <c r="P133" s="2">
        <v>45937.726018518515</v>
      </c>
      <c r="Q133" s="2">
        <v>45939.71769675926</v>
      </c>
      <c r="R133" s="1" t="s">
        <v>1612</v>
      </c>
      <c r="S133" s="1" t="s">
        <v>351</v>
      </c>
      <c r="T133" s="2">
        <v>45936.813321759262</v>
      </c>
      <c r="U133" s="1" t="s">
        <v>61</v>
      </c>
      <c r="V133" s="1" t="s">
        <v>62</v>
      </c>
      <c r="W133" s="1" t="s">
        <v>61</v>
      </c>
      <c r="X133" s="1" t="s">
        <v>61</v>
      </c>
      <c r="Y133" s="1" t="s">
        <v>61</v>
      </c>
      <c r="Z133" s="1" t="s">
        <v>61</v>
      </c>
      <c r="AA133" s="1" t="s">
        <v>61</v>
      </c>
      <c r="AB133" s="1" t="s">
        <v>61</v>
      </c>
      <c r="AC133" s="1" t="s">
        <v>61</v>
      </c>
      <c r="AD133" s="2">
        <v>45939.719537037039</v>
      </c>
      <c r="AE133" s="1" t="s">
        <v>63</v>
      </c>
      <c r="AF133" s="1" t="s">
        <v>61</v>
      </c>
      <c r="AG133" s="1" t="s">
        <v>408</v>
      </c>
      <c r="AH133" s="1" t="s">
        <v>318</v>
      </c>
      <c r="AI133">
        <v>401107</v>
      </c>
      <c r="AJ133" s="1" t="s">
        <v>66</v>
      </c>
      <c r="AK133" s="1" t="s">
        <v>67</v>
      </c>
      <c r="AL133">
        <v>62044220</v>
      </c>
      <c r="AM133" s="2"/>
      <c r="AN133">
        <v>3600</v>
      </c>
      <c r="AO133" s="1" t="s">
        <v>1613</v>
      </c>
      <c r="AP133" s="1" t="s">
        <v>209</v>
      </c>
      <c r="AQ133" s="1" t="s">
        <v>61</v>
      </c>
      <c r="AR133" s="1" t="s">
        <v>63</v>
      </c>
      <c r="AS133">
        <v>18</v>
      </c>
      <c r="AT133">
        <v>9</v>
      </c>
      <c r="AU133">
        <v>9</v>
      </c>
      <c r="AV133">
        <v>0</v>
      </c>
      <c r="AW133">
        <v>549.15300000000002</v>
      </c>
      <c r="AX133">
        <v>274.577</v>
      </c>
      <c r="AY133">
        <v>274.577</v>
      </c>
      <c r="AZ133">
        <v>0</v>
      </c>
      <c r="BA133" s="2"/>
      <c r="BB133">
        <v>0.75</v>
      </c>
      <c r="BC133" s="2">
        <v>45938.5</v>
      </c>
      <c r="BD133" s="27">
        <f>MarketPlace_Order_Report__2[[#This Row],[UnitPrice]]*MarketPlace_Order_Report__2[[#This Row],[OrderQty]]</f>
        <v>3600</v>
      </c>
      <c r="BE133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33" s="27">
        <f>MarketPlace_Order_Report__2[[#This Row],[Gross Amount (Before Tax)]]+MarketPlace_Order_Report__2[[#This Row],[Total GST Amount]]</f>
        <v>4149.1540000000005</v>
      </c>
    </row>
    <row r="134" spans="1:58">
      <c r="A134" s="1" t="s">
        <v>1614</v>
      </c>
      <c r="B134" s="1" t="s">
        <v>1615</v>
      </c>
      <c r="C134" s="1" t="s">
        <v>1616</v>
      </c>
      <c r="D134" s="1" t="s">
        <v>1617</v>
      </c>
      <c r="E134">
        <v>1</v>
      </c>
      <c r="F134" s="1" t="s">
        <v>58</v>
      </c>
      <c r="G134">
        <v>1</v>
      </c>
      <c r="H134">
        <v>1</v>
      </c>
      <c r="I134">
        <v>4000</v>
      </c>
      <c r="J134">
        <v>3600</v>
      </c>
      <c r="K134">
        <v>0</v>
      </c>
      <c r="L134">
        <v>3610.3229999999999</v>
      </c>
      <c r="M134">
        <v>10.323</v>
      </c>
      <c r="N134" s="1" t="s">
        <v>72</v>
      </c>
      <c r="O134" s="2">
        <v>45944.744768518518</v>
      </c>
      <c r="P134" s="2">
        <v>45945.759652777779</v>
      </c>
      <c r="Q134" s="2">
        <v>45948.659861111111</v>
      </c>
      <c r="R134" s="1" t="s">
        <v>1618</v>
      </c>
      <c r="S134" s="1" t="s">
        <v>60</v>
      </c>
      <c r="T134" s="2">
        <v>45944.808067129627</v>
      </c>
      <c r="U134" s="1" t="s">
        <v>61</v>
      </c>
      <c r="V134" s="1" t="s">
        <v>62</v>
      </c>
      <c r="W134" s="1" t="s">
        <v>61</v>
      </c>
      <c r="X134" s="1" t="s">
        <v>61</v>
      </c>
      <c r="Y134" s="1" t="s">
        <v>61</v>
      </c>
      <c r="Z134" s="1" t="s">
        <v>61</v>
      </c>
      <c r="AA134" s="1" t="s">
        <v>61</v>
      </c>
      <c r="AB134" s="1" t="s">
        <v>61</v>
      </c>
      <c r="AC134" s="1" t="s">
        <v>61</v>
      </c>
      <c r="AD134" s="2">
        <v>45948.660636574074</v>
      </c>
      <c r="AE134" s="1" t="s">
        <v>63</v>
      </c>
      <c r="AF134" s="1" t="s">
        <v>61</v>
      </c>
      <c r="AG134" s="1" t="s">
        <v>136</v>
      </c>
      <c r="AH134" s="1" t="s">
        <v>77</v>
      </c>
      <c r="AI134">
        <v>201301</v>
      </c>
      <c r="AJ134" s="1" t="s">
        <v>66</v>
      </c>
      <c r="AK134" s="1" t="s">
        <v>67</v>
      </c>
      <c r="AL134">
        <v>62044220</v>
      </c>
      <c r="AM134" s="2"/>
      <c r="AN134">
        <v>3600</v>
      </c>
      <c r="AO134" s="1" t="s">
        <v>1619</v>
      </c>
      <c r="AP134" s="1" t="s">
        <v>1620</v>
      </c>
      <c r="AQ134" s="1" t="s">
        <v>61</v>
      </c>
      <c r="AR134" s="1" t="s">
        <v>63</v>
      </c>
      <c r="AS134">
        <v>18</v>
      </c>
      <c r="AT134">
        <v>0</v>
      </c>
      <c r="AU134">
        <v>0</v>
      </c>
      <c r="AV134">
        <v>18</v>
      </c>
      <c r="AW134">
        <v>549.15300000000002</v>
      </c>
      <c r="AX134">
        <v>0</v>
      </c>
      <c r="AY134">
        <v>0</v>
      </c>
      <c r="AZ134">
        <v>549.15300000000002</v>
      </c>
      <c r="BA134" s="2"/>
      <c r="BB134">
        <v>1</v>
      </c>
      <c r="BC134" s="2">
        <v>45947.5</v>
      </c>
      <c r="BD134" s="27">
        <f>MarketPlace_Order_Report__2[[#This Row],[UnitPrice]]*MarketPlace_Order_Report__2[[#This Row],[OrderQty]]</f>
        <v>3600</v>
      </c>
      <c r="BE134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34" s="27">
        <f>MarketPlace_Order_Report__2[[#This Row],[Gross Amount (Before Tax)]]+MarketPlace_Order_Report__2[[#This Row],[Total GST Amount]]</f>
        <v>4149.1530000000002</v>
      </c>
    </row>
    <row r="135" spans="1:58">
      <c r="A135" s="1" t="s">
        <v>1621</v>
      </c>
      <c r="B135" s="1" t="s">
        <v>1622</v>
      </c>
      <c r="C135" s="1" t="s">
        <v>522</v>
      </c>
      <c r="D135" s="1" t="s">
        <v>523</v>
      </c>
      <c r="E135">
        <v>1</v>
      </c>
      <c r="F135" s="1" t="s">
        <v>71</v>
      </c>
      <c r="G135">
        <v>1</v>
      </c>
      <c r="H135">
        <v>1</v>
      </c>
      <c r="I135">
        <v>3500</v>
      </c>
      <c r="J135">
        <v>3150</v>
      </c>
      <c r="K135">
        <v>0</v>
      </c>
      <c r="L135">
        <v>3249</v>
      </c>
      <c r="M135">
        <v>99</v>
      </c>
      <c r="N135" s="1" t="s">
        <v>59</v>
      </c>
      <c r="O135" s="2">
        <v>45940.828935185185</v>
      </c>
      <c r="P135" s="2">
        <v>45941.747233796297</v>
      </c>
      <c r="Q135" s="2">
        <v>45944.552164351851</v>
      </c>
      <c r="R135" s="1" t="s">
        <v>1623</v>
      </c>
      <c r="S135" s="1" t="s">
        <v>351</v>
      </c>
      <c r="T135" s="2">
        <v>45941.595370370371</v>
      </c>
      <c r="U135" s="1" t="s">
        <v>61</v>
      </c>
      <c r="V135" s="1" t="s">
        <v>62</v>
      </c>
      <c r="W135" s="1" t="s">
        <v>61</v>
      </c>
      <c r="X135" s="1" t="s">
        <v>61</v>
      </c>
      <c r="Y135" s="1" t="s">
        <v>1624</v>
      </c>
      <c r="Z135" s="1" t="s">
        <v>74</v>
      </c>
      <c r="AA135" s="1" t="s">
        <v>75</v>
      </c>
      <c r="AB135" s="1" t="s">
        <v>61</v>
      </c>
      <c r="AC135" s="1" t="s">
        <v>61</v>
      </c>
      <c r="AD135" s="2">
        <v>45958.625763888886</v>
      </c>
      <c r="AE135" s="1" t="s">
        <v>63</v>
      </c>
      <c r="AF135" s="1" t="s">
        <v>61</v>
      </c>
      <c r="AG135" s="1" t="s">
        <v>408</v>
      </c>
      <c r="AH135" s="1" t="s">
        <v>318</v>
      </c>
      <c r="AI135">
        <v>400104</v>
      </c>
      <c r="AJ135" s="1" t="s">
        <v>66</v>
      </c>
      <c r="AK135" s="1" t="s">
        <v>67</v>
      </c>
      <c r="AL135">
        <v>62044220</v>
      </c>
      <c r="AM135" s="2"/>
      <c r="AN135">
        <v>3150</v>
      </c>
      <c r="AO135" s="1" t="s">
        <v>1625</v>
      </c>
      <c r="AP135" s="1" t="s">
        <v>1014</v>
      </c>
      <c r="AQ135" s="1" t="s">
        <v>61</v>
      </c>
      <c r="AR135" s="1" t="s">
        <v>63</v>
      </c>
      <c r="AS135">
        <v>18</v>
      </c>
      <c r="AT135">
        <v>9</v>
      </c>
      <c r="AU135">
        <v>9</v>
      </c>
      <c r="AV135">
        <v>0</v>
      </c>
      <c r="AW135">
        <v>480.50799999999998</v>
      </c>
      <c r="AX135">
        <v>240.25399999999999</v>
      </c>
      <c r="AY135">
        <v>240.25399999999999</v>
      </c>
      <c r="AZ135">
        <v>0</v>
      </c>
      <c r="BA135" s="2"/>
      <c r="BB135">
        <v>0.75</v>
      </c>
      <c r="BC135" s="2">
        <v>45943.5</v>
      </c>
      <c r="BD135" s="27">
        <f>MarketPlace_Order_Report__2[[#This Row],[UnitPrice]]*MarketPlace_Order_Report__2[[#This Row],[OrderQty]]</f>
        <v>3150</v>
      </c>
      <c r="BE135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35" s="27">
        <f>MarketPlace_Order_Report__2[[#This Row],[Gross Amount (Before Tax)]]+MarketPlace_Order_Report__2[[#This Row],[Total GST Amount]]</f>
        <v>3630.5079999999998</v>
      </c>
    </row>
    <row r="136" spans="1:58">
      <c r="A136" s="1" t="s">
        <v>1626</v>
      </c>
      <c r="B136" s="1" t="s">
        <v>1627</v>
      </c>
      <c r="C136" s="1" t="s">
        <v>522</v>
      </c>
      <c r="D136" s="1" t="s">
        <v>523</v>
      </c>
      <c r="E136">
        <v>1</v>
      </c>
      <c r="F136" s="1" t="s">
        <v>71</v>
      </c>
      <c r="G136">
        <v>1</v>
      </c>
      <c r="H136">
        <v>1</v>
      </c>
      <c r="I136">
        <v>3500</v>
      </c>
      <c r="J136">
        <v>3150</v>
      </c>
      <c r="K136">
        <v>0</v>
      </c>
      <c r="L136">
        <v>3199</v>
      </c>
      <c r="M136">
        <v>49</v>
      </c>
      <c r="N136" s="1" t="s">
        <v>72</v>
      </c>
      <c r="O136" s="2">
        <v>45939.49900462963</v>
      </c>
      <c r="P136" s="2">
        <v>45940.730787037035</v>
      </c>
      <c r="Q136" s="2">
        <v>45946.545960648145</v>
      </c>
      <c r="R136" s="1" t="s">
        <v>1628</v>
      </c>
      <c r="S136" s="1" t="s">
        <v>351</v>
      </c>
      <c r="T136" s="2">
        <v>45939.786319444444</v>
      </c>
      <c r="U136" s="1" t="s">
        <v>61</v>
      </c>
      <c r="V136" s="1" t="s">
        <v>62</v>
      </c>
      <c r="W136" s="1" t="s">
        <v>61</v>
      </c>
      <c r="X136" s="1" t="s">
        <v>61</v>
      </c>
      <c r="Y136" s="1" t="s">
        <v>1629</v>
      </c>
      <c r="Z136" s="1" t="s">
        <v>74</v>
      </c>
      <c r="AA136" s="1" t="s">
        <v>75</v>
      </c>
      <c r="AB136" s="1" t="s">
        <v>61</v>
      </c>
      <c r="AC136" s="1" t="s">
        <v>61</v>
      </c>
      <c r="AD136" s="2">
        <v>45959.62263888889</v>
      </c>
      <c r="AE136" s="1" t="s">
        <v>63</v>
      </c>
      <c r="AF136" s="1" t="s">
        <v>61</v>
      </c>
      <c r="AG136" s="1" t="s">
        <v>172</v>
      </c>
      <c r="AH136" s="1" t="s">
        <v>88</v>
      </c>
      <c r="AI136">
        <v>474001</v>
      </c>
      <c r="AJ136" s="1" t="s">
        <v>66</v>
      </c>
      <c r="AK136" s="1" t="s">
        <v>67</v>
      </c>
      <c r="AL136">
        <v>62044220</v>
      </c>
      <c r="AM136" s="2"/>
      <c r="AN136">
        <v>3150</v>
      </c>
      <c r="AO136" s="1" t="s">
        <v>1630</v>
      </c>
      <c r="AP136" s="1" t="s">
        <v>1240</v>
      </c>
      <c r="AQ136" s="1" t="s">
        <v>61</v>
      </c>
      <c r="AR136" s="1" t="s">
        <v>63</v>
      </c>
      <c r="AS136">
        <v>18</v>
      </c>
      <c r="AT136">
        <v>0</v>
      </c>
      <c r="AU136">
        <v>0</v>
      </c>
      <c r="AV136">
        <v>18</v>
      </c>
      <c r="AW136">
        <v>480.50799999999998</v>
      </c>
      <c r="AX136">
        <v>0</v>
      </c>
      <c r="AY136">
        <v>0</v>
      </c>
      <c r="AZ136">
        <v>480.50799999999998</v>
      </c>
      <c r="BA136" s="2"/>
      <c r="BB136">
        <v>0.75</v>
      </c>
      <c r="BC136" s="2">
        <v>45941.5</v>
      </c>
      <c r="BD136" s="27">
        <f>MarketPlace_Order_Report__2[[#This Row],[UnitPrice]]*MarketPlace_Order_Report__2[[#This Row],[OrderQty]]</f>
        <v>3150</v>
      </c>
      <c r="BE136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36" s="27">
        <f>MarketPlace_Order_Report__2[[#This Row],[Gross Amount (Before Tax)]]+MarketPlace_Order_Report__2[[#This Row],[Total GST Amount]]</f>
        <v>3630.5079999999998</v>
      </c>
    </row>
    <row r="137" spans="1:58">
      <c r="A137" s="1" t="s">
        <v>1631</v>
      </c>
      <c r="B137" s="1" t="s">
        <v>1632</v>
      </c>
      <c r="C137" s="1" t="s">
        <v>522</v>
      </c>
      <c r="D137" s="1" t="s">
        <v>523</v>
      </c>
      <c r="E137">
        <v>1</v>
      </c>
      <c r="F137" s="1" t="s">
        <v>71</v>
      </c>
      <c r="G137">
        <v>1</v>
      </c>
      <c r="H137">
        <v>1</v>
      </c>
      <c r="I137">
        <v>3500</v>
      </c>
      <c r="J137">
        <v>3150</v>
      </c>
      <c r="K137">
        <v>0</v>
      </c>
      <c r="L137">
        <v>3165.54</v>
      </c>
      <c r="M137">
        <v>15.54</v>
      </c>
      <c r="N137" s="1" t="s">
        <v>59</v>
      </c>
      <c r="O137" s="2">
        <v>45938.870983796296</v>
      </c>
      <c r="P137" s="2">
        <v>45940.73065972222</v>
      </c>
      <c r="Q137" s="2">
        <v>45948.729930555557</v>
      </c>
      <c r="R137" s="1" t="s">
        <v>1633</v>
      </c>
      <c r="S137" s="1" t="s">
        <v>60</v>
      </c>
      <c r="T137" s="2">
        <v>45939.786319444444</v>
      </c>
      <c r="U137" s="1" t="s">
        <v>61</v>
      </c>
      <c r="V137" s="1" t="s">
        <v>62</v>
      </c>
      <c r="W137" s="1" t="s">
        <v>61</v>
      </c>
      <c r="X137" s="1" t="s">
        <v>61</v>
      </c>
      <c r="Y137" s="1" t="s">
        <v>1634</v>
      </c>
      <c r="Z137" s="1" t="s">
        <v>74</v>
      </c>
      <c r="AA137" s="1" t="s">
        <v>695</v>
      </c>
      <c r="AB137" s="1" t="s">
        <v>61</v>
      </c>
      <c r="AC137" s="1" t="s">
        <v>61</v>
      </c>
      <c r="AD137" s="2">
        <v>45961.49423611111</v>
      </c>
      <c r="AE137" s="1" t="s">
        <v>63</v>
      </c>
      <c r="AF137" s="1" t="s">
        <v>61</v>
      </c>
      <c r="AG137" s="1" t="s">
        <v>1635</v>
      </c>
      <c r="AH137" s="1" t="s">
        <v>77</v>
      </c>
      <c r="AI137">
        <v>281306</v>
      </c>
      <c r="AJ137" s="1" t="s">
        <v>66</v>
      </c>
      <c r="AK137" s="1" t="s">
        <v>67</v>
      </c>
      <c r="AL137">
        <v>62044220</v>
      </c>
      <c r="AM137" s="2"/>
      <c r="AN137">
        <v>3150</v>
      </c>
      <c r="AO137" s="1" t="s">
        <v>1636</v>
      </c>
      <c r="AP137" s="1" t="s">
        <v>1552</v>
      </c>
      <c r="AQ137" s="1" t="s">
        <v>61</v>
      </c>
      <c r="AR137" s="1" t="s">
        <v>63</v>
      </c>
      <c r="AS137">
        <v>18</v>
      </c>
      <c r="AT137">
        <v>0</v>
      </c>
      <c r="AU137">
        <v>0</v>
      </c>
      <c r="AV137">
        <v>18</v>
      </c>
      <c r="AW137">
        <v>480.50799999999998</v>
      </c>
      <c r="AX137">
        <v>0</v>
      </c>
      <c r="AY137">
        <v>0</v>
      </c>
      <c r="AZ137">
        <v>480.50799999999998</v>
      </c>
      <c r="BA137" s="2"/>
      <c r="BB137">
        <v>0.75</v>
      </c>
      <c r="BC137" s="2">
        <v>45941.5</v>
      </c>
      <c r="BD137" s="27">
        <f>MarketPlace_Order_Report__2[[#This Row],[UnitPrice]]*MarketPlace_Order_Report__2[[#This Row],[OrderQty]]</f>
        <v>3150</v>
      </c>
      <c r="BE137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37" s="27">
        <f>MarketPlace_Order_Report__2[[#This Row],[Gross Amount (Before Tax)]]+MarketPlace_Order_Report__2[[#This Row],[Total GST Amount]]</f>
        <v>3630.5079999999998</v>
      </c>
    </row>
    <row r="138" spans="1:58">
      <c r="A138" s="1" t="s">
        <v>1637</v>
      </c>
      <c r="B138" s="1" t="s">
        <v>1638</v>
      </c>
      <c r="C138" s="1" t="s">
        <v>522</v>
      </c>
      <c r="D138" s="1" t="s">
        <v>523</v>
      </c>
      <c r="E138">
        <v>1</v>
      </c>
      <c r="F138" s="1" t="s">
        <v>58</v>
      </c>
      <c r="G138">
        <v>1</v>
      </c>
      <c r="H138">
        <v>1</v>
      </c>
      <c r="I138">
        <v>3500</v>
      </c>
      <c r="J138">
        <v>3150</v>
      </c>
      <c r="K138">
        <v>0</v>
      </c>
      <c r="L138">
        <v>3179</v>
      </c>
      <c r="M138">
        <v>29</v>
      </c>
      <c r="N138" s="1" t="s">
        <v>59</v>
      </c>
      <c r="O138" s="2">
        <v>45936.64439814815</v>
      </c>
      <c r="P138" s="2">
        <v>45941.748287037037</v>
      </c>
      <c r="Q138" s="2">
        <v>45945.628506944442</v>
      </c>
      <c r="R138" s="1" t="s">
        <v>1639</v>
      </c>
      <c r="S138" s="1" t="s">
        <v>60</v>
      </c>
      <c r="T138" s="2">
        <v>45936.813321759262</v>
      </c>
      <c r="U138" s="1" t="s">
        <v>61</v>
      </c>
      <c r="V138" s="1" t="s">
        <v>62</v>
      </c>
      <c r="W138" s="1" t="s">
        <v>61</v>
      </c>
      <c r="X138" s="1" t="s">
        <v>61</v>
      </c>
      <c r="Y138" s="1" t="s">
        <v>61</v>
      </c>
      <c r="Z138" s="1" t="s">
        <v>61</v>
      </c>
      <c r="AA138" s="1" t="s">
        <v>61</v>
      </c>
      <c r="AB138" s="1" t="s">
        <v>61</v>
      </c>
      <c r="AC138" s="1" t="s">
        <v>61</v>
      </c>
      <c r="AD138" s="2">
        <v>45945.629374999997</v>
      </c>
      <c r="AE138" s="1" t="s">
        <v>63</v>
      </c>
      <c r="AF138" s="1" t="s">
        <v>61</v>
      </c>
      <c r="AG138" s="1" t="s">
        <v>1640</v>
      </c>
      <c r="AH138" s="1" t="s">
        <v>231</v>
      </c>
      <c r="AI138">
        <v>831005</v>
      </c>
      <c r="AJ138" s="1" t="s">
        <v>66</v>
      </c>
      <c r="AK138" s="1" t="s">
        <v>67</v>
      </c>
      <c r="AL138">
        <v>62044220</v>
      </c>
      <c r="AM138" s="2"/>
      <c r="AN138">
        <v>3150</v>
      </c>
      <c r="AO138" s="1" t="s">
        <v>1641</v>
      </c>
      <c r="AP138" s="1" t="s">
        <v>61</v>
      </c>
      <c r="AQ138" s="1" t="s">
        <v>61</v>
      </c>
      <c r="AR138" s="1" t="s">
        <v>63</v>
      </c>
      <c r="AS138">
        <v>18</v>
      </c>
      <c r="AT138">
        <v>0</v>
      </c>
      <c r="AU138">
        <v>0</v>
      </c>
      <c r="AV138">
        <v>18</v>
      </c>
      <c r="AW138">
        <v>480.50799999999998</v>
      </c>
      <c r="AX138">
        <v>0</v>
      </c>
      <c r="AY138">
        <v>0</v>
      </c>
      <c r="AZ138">
        <v>480.50799999999998</v>
      </c>
      <c r="BA138" s="2"/>
      <c r="BB138">
        <v>0.75</v>
      </c>
      <c r="BC138" s="2">
        <v>45939.5</v>
      </c>
      <c r="BD138" s="27">
        <f>MarketPlace_Order_Report__2[[#This Row],[UnitPrice]]*MarketPlace_Order_Report__2[[#This Row],[OrderQty]]</f>
        <v>3150</v>
      </c>
      <c r="BE138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38" s="27">
        <f>MarketPlace_Order_Report__2[[#This Row],[Gross Amount (Before Tax)]]+MarketPlace_Order_Report__2[[#This Row],[Total GST Amount]]</f>
        <v>3630.5079999999998</v>
      </c>
    </row>
    <row r="139" spans="1:58">
      <c r="A139" s="1" t="s">
        <v>1642</v>
      </c>
      <c r="B139" s="1" t="s">
        <v>1643</v>
      </c>
      <c r="C139" s="1" t="s">
        <v>527</v>
      </c>
      <c r="D139" s="1" t="s">
        <v>528</v>
      </c>
      <c r="E139">
        <v>1</v>
      </c>
      <c r="F139" s="1" t="s">
        <v>58</v>
      </c>
      <c r="G139">
        <v>1</v>
      </c>
      <c r="H139">
        <v>1</v>
      </c>
      <c r="I139">
        <v>3500</v>
      </c>
      <c r="J139">
        <v>3150</v>
      </c>
      <c r="K139">
        <v>0</v>
      </c>
      <c r="L139">
        <v>3199</v>
      </c>
      <c r="M139">
        <v>49</v>
      </c>
      <c r="N139" s="1" t="s">
        <v>72</v>
      </c>
      <c r="O139" s="2">
        <v>45934.516770833332</v>
      </c>
      <c r="P139" s="2">
        <v>45936.641296296293</v>
      </c>
      <c r="Q139" s="2">
        <v>45942.80300925926</v>
      </c>
      <c r="R139" s="1" t="s">
        <v>1644</v>
      </c>
      <c r="S139" s="1" t="s">
        <v>73</v>
      </c>
      <c r="T139" s="2">
        <v>45934.839085648149</v>
      </c>
      <c r="U139" s="1" t="s">
        <v>61</v>
      </c>
      <c r="V139" s="1" t="s">
        <v>62</v>
      </c>
      <c r="W139" s="1" t="s">
        <v>61</v>
      </c>
      <c r="X139" s="1" t="s">
        <v>61</v>
      </c>
      <c r="Y139" s="1" t="s">
        <v>61</v>
      </c>
      <c r="Z139" s="1" t="s">
        <v>61</v>
      </c>
      <c r="AA139" s="1" t="s">
        <v>61</v>
      </c>
      <c r="AB139" s="1" t="s">
        <v>61</v>
      </c>
      <c r="AC139" s="1" t="s">
        <v>61</v>
      </c>
      <c r="AD139" s="2">
        <v>45942.80641203704</v>
      </c>
      <c r="AE139" s="1" t="s">
        <v>63</v>
      </c>
      <c r="AF139" s="1" t="s">
        <v>61</v>
      </c>
      <c r="AG139" s="1" t="s">
        <v>456</v>
      </c>
      <c r="AH139" s="1" t="s">
        <v>83</v>
      </c>
      <c r="AI139">
        <v>800003</v>
      </c>
      <c r="AJ139" s="1" t="s">
        <v>66</v>
      </c>
      <c r="AK139" s="1" t="s">
        <v>67</v>
      </c>
      <c r="AL139">
        <v>62044220</v>
      </c>
      <c r="AM139" s="2"/>
      <c r="AN139">
        <v>3150</v>
      </c>
      <c r="AO139" s="1" t="s">
        <v>1645</v>
      </c>
      <c r="AP139" s="1" t="s">
        <v>1646</v>
      </c>
      <c r="AQ139" s="1" t="s">
        <v>61</v>
      </c>
      <c r="AR139" s="1" t="s">
        <v>63</v>
      </c>
      <c r="AS139">
        <v>18</v>
      </c>
      <c r="AT139">
        <v>0</v>
      </c>
      <c r="AU139">
        <v>0</v>
      </c>
      <c r="AV139">
        <v>18</v>
      </c>
      <c r="AW139">
        <v>480.50799999999998</v>
      </c>
      <c r="AX139">
        <v>0</v>
      </c>
      <c r="AY139">
        <v>0</v>
      </c>
      <c r="AZ139">
        <v>480.50799999999998</v>
      </c>
      <c r="BA139" s="2"/>
      <c r="BB139">
        <v>0.75</v>
      </c>
      <c r="BC139" s="2">
        <v>45937.5</v>
      </c>
      <c r="BD139" s="27">
        <f>MarketPlace_Order_Report__2[[#This Row],[UnitPrice]]*MarketPlace_Order_Report__2[[#This Row],[OrderQty]]</f>
        <v>3150</v>
      </c>
      <c r="BE139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39" s="27">
        <f>MarketPlace_Order_Report__2[[#This Row],[Gross Amount (Before Tax)]]+MarketPlace_Order_Report__2[[#This Row],[Total GST Amount]]</f>
        <v>3630.5079999999998</v>
      </c>
    </row>
    <row r="140" spans="1:58">
      <c r="A140" s="1" t="s">
        <v>1647</v>
      </c>
      <c r="B140" s="1" t="s">
        <v>1648</v>
      </c>
      <c r="C140" s="1" t="s">
        <v>527</v>
      </c>
      <c r="D140" s="1" t="s">
        <v>528</v>
      </c>
      <c r="E140">
        <v>4</v>
      </c>
      <c r="F140" s="1" t="s">
        <v>1076</v>
      </c>
      <c r="G140">
        <v>1</v>
      </c>
      <c r="H140">
        <v>1</v>
      </c>
      <c r="I140">
        <v>3500</v>
      </c>
      <c r="J140">
        <v>3150</v>
      </c>
      <c r="K140">
        <v>0</v>
      </c>
      <c r="L140">
        <v>3156.7530000000002</v>
      </c>
      <c r="M140">
        <v>6.7530000000000001</v>
      </c>
      <c r="N140" s="1" t="s">
        <v>59</v>
      </c>
      <c r="O140" s="2">
        <v>45933.581516203703</v>
      </c>
      <c r="P140" s="2">
        <v>45934.620092592595</v>
      </c>
      <c r="Q140" s="2"/>
      <c r="R140" s="1" t="s">
        <v>1649</v>
      </c>
      <c r="S140" s="1" t="s">
        <v>73</v>
      </c>
      <c r="T140" s="2">
        <v>45933.815833333334</v>
      </c>
      <c r="U140" s="1" t="s">
        <v>61</v>
      </c>
      <c r="V140" s="1" t="s">
        <v>62</v>
      </c>
      <c r="W140" s="1" t="s">
        <v>61</v>
      </c>
      <c r="X140" s="1" t="s">
        <v>61</v>
      </c>
      <c r="Y140" s="1" t="s">
        <v>61</v>
      </c>
      <c r="Z140" s="1" t="s">
        <v>61</v>
      </c>
      <c r="AA140" s="1" t="s">
        <v>61</v>
      </c>
      <c r="AB140" s="1" t="s">
        <v>61</v>
      </c>
      <c r="AC140" s="1" t="s">
        <v>61</v>
      </c>
      <c r="AD140" s="2">
        <v>45948.046018518522</v>
      </c>
      <c r="AE140" s="1" t="s">
        <v>63</v>
      </c>
      <c r="AF140" s="1" t="s">
        <v>61</v>
      </c>
      <c r="AG140" s="1" t="s">
        <v>352</v>
      </c>
      <c r="AH140" s="1" t="s">
        <v>318</v>
      </c>
      <c r="AI140">
        <v>440017</v>
      </c>
      <c r="AJ140" s="1" t="s">
        <v>66</v>
      </c>
      <c r="AK140" s="1" t="s">
        <v>67</v>
      </c>
      <c r="AL140">
        <v>62044220</v>
      </c>
      <c r="AM140" s="2"/>
      <c r="AN140">
        <v>3150</v>
      </c>
      <c r="AO140" s="1" t="s">
        <v>1650</v>
      </c>
      <c r="AP140" s="1" t="s">
        <v>1240</v>
      </c>
      <c r="AQ140" s="1" t="s">
        <v>61</v>
      </c>
      <c r="AR140" s="1" t="s">
        <v>63</v>
      </c>
      <c r="AS140">
        <v>18</v>
      </c>
      <c r="AT140">
        <v>9</v>
      </c>
      <c r="AU140">
        <v>9</v>
      </c>
      <c r="AV140">
        <v>0</v>
      </c>
      <c r="AW140">
        <v>480.50799999999998</v>
      </c>
      <c r="AX140">
        <v>240.25399999999999</v>
      </c>
      <c r="AY140">
        <v>240.25399999999999</v>
      </c>
      <c r="AZ140">
        <v>0</v>
      </c>
      <c r="BA140" s="2"/>
      <c r="BB140">
        <v>1.1000000000000001</v>
      </c>
      <c r="BC140" s="2">
        <v>45936.5</v>
      </c>
      <c r="BD140" s="27">
        <f>MarketPlace_Order_Report__2[[#This Row],[UnitPrice]]*MarketPlace_Order_Report__2[[#This Row],[OrderQty]]</f>
        <v>3150</v>
      </c>
      <c r="BE140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0" s="27">
        <f>MarketPlace_Order_Report__2[[#This Row],[Gross Amount (Before Tax)]]+MarketPlace_Order_Report__2[[#This Row],[Total GST Amount]]</f>
        <v>3630.5079999999998</v>
      </c>
    </row>
    <row r="141" spans="1:58">
      <c r="A141" s="1" t="s">
        <v>1651</v>
      </c>
      <c r="B141" s="1" t="s">
        <v>1652</v>
      </c>
      <c r="C141" s="1" t="s">
        <v>1653</v>
      </c>
      <c r="D141" s="1" t="s">
        <v>1654</v>
      </c>
      <c r="E141">
        <v>1</v>
      </c>
      <c r="F141" s="1" t="s">
        <v>58</v>
      </c>
      <c r="G141">
        <v>1</v>
      </c>
      <c r="H141">
        <v>1</v>
      </c>
      <c r="I141">
        <v>3500</v>
      </c>
      <c r="J141">
        <v>3150</v>
      </c>
      <c r="K141">
        <v>0</v>
      </c>
      <c r="L141">
        <v>3170</v>
      </c>
      <c r="M141">
        <v>20</v>
      </c>
      <c r="N141" s="1" t="s">
        <v>72</v>
      </c>
      <c r="O141" s="2">
        <v>45936.367928240739</v>
      </c>
      <c r="P141" s="2">
        <v>45937.726076388892</v>
      </c>
      <c r="Q141" s="2">
        <v>45943.550532407404</v>
      </c>
      <c r="R141" s="1" t="s">
        <v>1655</v>
      </c>
      <c r="S141" s="1" t="s">
        <v>60</v>
      </c>
      <c r="T141" s="2">
        <v>45936.813321759262</v>
      </c>
      <c r="U141" s="1" t="s">
        <v>61</v>
      </c>
      <c r="V141" s="1" t="s">
        <v>62</v>
      </c>
      <c r="W141" s="1" t="s">
        <v>61</v>
      </c>
      <c r="X141" s="1" t="s">
        <v>61</v>
      </c>
      <c r="Y141" s="1" t="s">
        <v>61</v>
      </c>
      <c r="Z141" s="1" t="s">
        <v>61</v>
      </c>
      <c r="AA141" s="1" t="s">
        <v>61</v>
      </c>
      <c r="AB141" s="1" t="s">
        <v>61</v>
      </c>
      <c r="AC141" s="1" t="s">
        <v>61</v>
      </c>
      <c r="AD141" s="2">
        <v>45943.552939814814</v>
      </c>
      <c r="AE141" s="1" t="s">
        <v>63</v>
      </c>
      <c r="AF141" s="1" t="s">
        <v>61</v>
      </c>
      <c r="AG141" s="1" t="s">
        <v>230</v>
      </c>
      <c r="AH141" s="1" t="s">
        <v>231</v>
      </c>
      <c r="AI141">
        <v>827013</v>
      </c>
      <c r="AJ141" s="1" t="s">
        <v>66</v>
      </c>
      <c r="AK141" s="1" t="s">
        <v>67</v>
      </c>
      <c r="AL141">
        <v>62044220</v>
      </c>
      <c r="AM141" s="2"/>
      <c r="AN141">
        <v>3150</v>
      </c>
      <c r="AO141" s="1" t="s">
        <v>1656</v>
      </c>
      <c r="AP141" s="1" t="s">
        <v>937</v>
      </c>
      <c r="AQ141" s="1" t="s">
        <v>61</v>
      </c>
      <c r="AR141" s="1" t="s">
        <v>63</v>
      </c>
      <c r="AS141">
        <v>18</v>
      </c>
      <c r="AT141">
        <v>0</v>
      </c>
      <c r="AU141">
        <v>0</v>
      </c>
      <c r="AV141">
        <v>18</v>
      </c>
      <c r="AW141">
        <v>480.50799999999998</v>
      </c>
      <c r="AX141">
        <v>0</v>
      </c>
      <c r="AY141">
        <v>0</v>
      </c>
      <c r="AZ141">
        <v>480.50799999999998</v>
      </c>
      <c r="BA141" s="2"/>
      <c r="BB141">
        <v>0.75</v>
      </c>
      <c r="BC141" s="2">
        <v>45938.5</v>
      </c>
      <c r="BD141" s="27">
        <f>MarketPlace_Order_Report__2[[#This Row],[UnitPrice]]*MarketPlace_Order_Report__2[[#This Row],[OrderQty]]</f>
        <v>3150</v>
      </c>
      <c r="BE141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1" s="27">
        <f>MarketPlace_Order_Report__2[[#This Row],[Gross Amount (Before Tax)]]+MarketPlace_Order_Report__2[[#This Row],[Total GST Amount]]</f>
        <v>3630.5079999999998</v>
      </c>
    </row>
    <row r="142" spans="1:58">
      <c r="A142" s="1" t="s">
        <v>1657</v>
      </c>
      <c r="B142" s="1" t="s">
        <v>1658</v>
      </c>
      <c r="C142" s="1" t="s">
        <v>1653</v>
      </c>
      <c r="D142" s="1" t="s">
        <v>1654</v>
      </c>
      <c r="E142">
        <v>1</v>
      </c>
      <c r="F142" s="1" t="s">
        <v>58</v>
      </c>
      <c r="G142">
        <v>1</v>
      </c>
      <c r="H142">
        <v>1</v>
      </c>
      <c r="I142">
        <v>3500</v>
      </c>
      <c r="J142">
        <v>3150</v>
      </c>
      <c r="K142">
        <v>0</v>
      </c>
      <c r="L142">
        <v>3199</v>
      </c>
      <c r="M142">
        <v>49</v>
      </c>
      <c r="N142" s="1" t="s">
        <v>72</v>
      </c>
      <c r="O142" s="2">
        <v>45934.94222222222</v>
      </c>
      <c r="P142" s="2">
        <v>45936.717974537038</v>
      </c>
      <c r="Q142" s="2">
        <v>45939.604317129626</v>
      </c>
      <c r="R142" s="1" t="s">
        <v>1659</v>
      </c>
      <c r="S142" s="1" t="s">
        <v>60</v>
      </c>
      <c r="T142" s="2">
        <v>45935.742905092593</v>
      </c>
      <c r="U142" s="1" t="s">
        <v>61</v>
      </c>
      <c r="V142" s="1" t="s">
        <v>62</v>
      </c>
      <c r="W142" s="1" t="s">
        <v>61</v>
      </c>
      <c r="X142" s="1" t="s">
        <v>61</v>
      </c>
      <c r="Y142" s="1" t="s">
        <v>61</v>
      </c>
      <c r="Z142" s="1" t="s">
        <v>61</v>
      </c>
      <c r="AA142" s="1" t="s">
        <v>61</v>
      </c>
      <c r="AB142" s="1" t="s">
        <v>61</v>
      </c>
      <c r="AC142" s="1" t="s">
        <v>61</v>
      </c>
      <c r="AD142" s="2">
        <v>45939.605092592596</v>
      </c>
      <c r="AE142" s="1" t="s">
        <v>63</v>
      </c>
      <c r="AF142" s="1" t="s">
        <v>61</v>
      </c>
      <c r="AG142" s="1" t="s">
        <v>579</v>
      </c>
      <c r="AH142" s="1" t="s">
        <v>231</v>
      </c>
      <c r="AI142">
        <v>834009</v>
      </c>
      <c r="AJ142" s="1" t="s">
        <v>66</v>
      </c>
      <c r="AK142" s="1" t="s">
        <v>67</v>
      </c>
      <c r="AL142">
        <v>62044220</v>
      </c>
      <c r="AM142" s="2"/>
      <c r="AN142">
        <v>3150</v>
      </c>
      <c r="AO142" s="1" t="s">
        <v>1660</v>
      </c>
      <c r="AP142" s="1" t="s">
        <v>1646</v>
      </c>
      <c r="AQ142" s="1" t="s">
        <v>61</v>
      </c>
      <c r="AR142" s="1" t="s">
        <v>63</v>
      </c>
      <c r="AS142">
        <v>18</v>
      </c>
      <c r="AT142">
        <v>0</v>
      </c>
      <c r="AU142">
        <v>0</v>
      </c>
      <c r="AV142">
        <v>18</v>
      </c>
      <c r="AW142">
        <v>480.50799999999998</v>
      </c>
      <c r="AX142">
        <v>0</v>
      </c>
      <c r="AY142">
        <v>0</v>
      </c>
      <c r="AZ142">
        <v>480.50799999999998</v>
      </c>
      <c r="BA142" s="2"/>
      <c r="BB142">
        <v>0.75</v>
      </c>
      <c r="BC142" s="2">
        <v>45937.5</v>
      </c>
      <c r="BD142" s="27">
        <f>MarketPlace_Order_Report__2[[#This Row],[UnitPrice]]*MarketPlace_Order_Report__2[[#This Row],[OrderQty]]</f>
        <v>3150</v>
      </c>
      <c r="BE142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2" s="27">
        <f>MarketPlace_Order_Report__2[[#This Row],[Gross Amount (Before Tax)]]+MarketPlace_Order_Report__2[[#This Row],[Total GST Amount]]</f>
        <v>3630.5079999999998</v>
      </c>
    </row>
    <row r="143" spans="1:58">
      <c r="A143" s="1" t="s">
        <v>1661</v>
      </c>
      <c r="B143" s="1" t="s">
        <v>1662</v>
      </c>
      <c r="C143" s="1" t="s">
        <v>531</v>
      </c>
      <c r="D143" s="1" t="s">
        <v>532</v>
      </c>
      <c r="E143">
        <v>1</v>
      </c>
      <c r="F143" s="1" t="s">
        <v>413</v>
      </c>
      <c r="G143">
        <v>1</v>
      </c>
      <c r="H143">
        <v>1</v>
      </c>
      <c r="I143">
        <v>3500</v>
      </c>
      <c r="J143">
        <v>3150</v>
      </c>
      <c r="K143">
        <v>0</v>
      </c>
      <c r="L143">
        <v>3199</v>
      </c>
      <c r="M143">
        <v>49</v>
      </c>
      <c r="N143" s="1" t="s">
        <v>72</v>
      </c>
      <c r="O143" s="2">
        <v>45948.926655092589</v>
      </c>
      <c r="P143" s="2">
        <v>45954.730821759258</v>
      </c>
      <c r="Q143" s="2"/>
      <c r="R143" s="1" t="s">
        <v>1663</v>
      </c>
      <c r="S143" s="1" t="s">
        <v>60</v>
      </c>
      <c r="T143" s="2">
        <v>45949.555543981478</v>
      </c>
      <c r="U143" s="1" t="s">
        <v>61</v>
      </c>
      <c r="V143" s="1" t="s">
        <v>62</v>
      </c>
      <c r="W143" s="1" t="s">
        <v>61</v>
      </c>
      <c r="X143" s="1" t="s">
        <v>61</v>
      </c>
      <c r="Y143" s="1" t="s">
        <v>1664</v>
      </c>
      <c r="Z143" s="1" t="s">
        <v>103</v>
      </c>
      <c r="AA143" s="1" t="s">
        <v>414</v>
      </c>
      <c r="AB143" s="1" t="s">
        <v>61</v>
      </c>
      <c r="AC143" s="1" t="s">
        <v>61</v>
      </c>
      <c r="AD143" s="2">
        <v>45961.365324074075</v>
      </c>
      <c r="AE143" s="1" t="s">
        <v>63</v>
      </c>
      <c r="AF143" s="1" t="s">
        <v>61</v>
      </c>
      <c r="AG143" s="1" t="s">
        <v>1665</v>
      </c>
      <c r="AH143" s="1" t="s">
        <v>77</v>
      </c>
      <c r="AI143">
        <v>246761</v>
      </c>
      <c r="AJ143" s="1" t="s">
        <v>66</v>
      </c>
      <c r="AK143" s="1" t="s">
        <v>67</v>
      </c>
      <c r="AL143">
        <v>62044220</v>
      </c>
      <c r="AM143" s="2"/>
      <c r="AN143">
        <v>3150</v>
      </c>
      <c r="AO143" s="1" t="s">
        <v>1666</v>
      </c>
      <c r="AP143" s="1" t="s">
        <v>61</v>
      </c>
      <c r="AQ143" s="1" t="s">
        <v>61</v>
      </c>
      <c r="AR143" s="1" t="s">
        <v>63</v>
      </c>
      <c r="AS143">
        <v>18</v>
      </c>
      <c r="AT143">
        <v>0</v>
      </c>
      <c r="AU143">
        <v>0</v>
      </c>
      <c r="AV143">
        <v>18</v>
      </c>
      <c r="AW143">
        <v>480.50799999999998</v>
      </c>
      <c r="AX143">
        <v>0</v>
      </c>
      <c r="AY143">
        <v>0</v>
      </c>
      <c r="AZ143">
        <v>480.50799999999998</v>
      </c>
      <c r="BA143" s="2"/>
      <c r="BB143">
        <v>0.75</v>
      </c>
      <c r="BC143" s="2">
        <v>45951.5</v>
      </c>
      <c r="BD143" s="27">
        <f>MarketPlace_Order_Report__2[[#This Row],[UnitPrice]]*MarketPlace_Order_Report__2[[#This Row],[OrderQty]]</f>
        <v>3150</v>
      </c>
      <c r="BE143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3" s="27">
        <f>MarketPlace_Order_Report__2[[#This Row],[Gross Amount (Before Tax)]]+MarketPlace_Order_Report__2[[#This Row],[Total GST Amount]]</f>
        <v>3630.5079999999998</v>
      </c>
    </row>
    <row r="144" spans="1:58">
      <c r="A144" s="1" t="s">
        <v>1667</v>
      </c>
      <c r="B144" s="1" t="s">
        <v>1668</v>
      </c>
      <c r="C144" s="1" t="s">
        <v>531</v>
      </c>
      <c r="D144" s="1" t="s">
        <v>532</v>
      </c>
      <c r="E144">
        <v>1</v>
      </c>
      <c r="F144" s="1" t="s">
        <v>58</v>
      </c>
      <c r="G144">
        <v>1</v>
      </c>
      <c r="H144">
        <v>1</v>
      </c>
      <c r="I144">
        <v>3500</v>
      </c>
      <c r="J144">
        <v>3150</v>
      </c>
      <c r="K144">
        <v>0</v>
      </c>
      <c r="L144">
        <v>3166.3</v>
      </c>
      <c r="M144">
        <v>16.3</v>
      </c>
      <c r="N144" s="1" t="s">
        <v>72</v>
      </c>
      <c r="O144" s="2">
        <v>45938.81459490741</v>
      </c>
      <c r="P144" s="2">
        <v>45945.760381944441</v>
      </c>
      <c r="Q144" s="2">
        <v>45953.672175925924</v>
      </c>
      <c r="R144" s="1" t="s">
        <v>1669</v>
      </c>
      <c r="S144" s="1" t="s">
        <v>60</v>
      </c>
      <c r="T144" s="2">
        <v>45939.786168981482</v>
      </c>
      <c r="U144" s="1" t="s">
        <v>61</v>
      </c>
      <c r="V144" s="1" t="s">
        <v>62</v>
      </c>
      <c r="W144" s="1" t="s">
        <v>61</v>
      </c>
      <c r="X144" s="1" t="s">
        <v>61</v>
      </c>
      <c r="Y144" s="1" t="s">
        <v>61</v>
      </c>
      <c r="Z144" s="1" t="s">
        <v>61</v>
      </c>
      <c r="AA144" s="1" t="s">
        <v>61</v>
      </c>
      <c r="AB144" s="1" t="s">
        <v>61</v>
      </c>
      <c r="AC144" s="1" t="s">
        <v>61</v>
      </c>
      <c r="AD144" s="2">
        <v>45953.674513888887</v>
      </c>
      <c r="AE144" s="1" t="s">
        <v>63</v>
      </c>
      <c r="AF144" s="1" t="s">
        <v>61</v>
      </c>
      <c r="AG144" s="1" t="s">
        <v>456</v>
      </c>
      <c r="AH144" s="1" t="s">
        <v>83</v>
      </c>
      <c r="AI144">
        <v>801503</v>
      </c>
      <c r="AJ144" s="1" t="s">
        <v>66</v>
      </c>
      <c r="AK144" s="1" t="s">
        <v>67</v>
      </c>
      <c r="AL144">
        <v>62044220</v>
      </c>
      <c r="AM144" s="2"/>
      <c r="AN144">
        <v>3150</v>
      </c>
      <c r="AO144" s="1" t="s">
        <v>1670</v>
      </c>
      <c r="AP144" s="1" t="s">
        <v>61</v>
      </c>
      <c r="AQ144" s="1" t="s">
        <v>61</v>
      </c>
      <c r="AR144" s="1" t="s">
        <v>63</v>
      </c>
      <c r="AS144">
        <v>18</v>
      </c>
      <c r="AT144">
        <v>0</v>
      </c>
      <c r="AU144">
        <v>0</v>
      </c>
      <c r="AV144">
        <v>18</v>
      </c>
      <c r="AW144">
        <v>480.50799999999998</v>
      </c>
      <c r="AX144">
        <v>0</v>
      </c>
      <c r="AY144">
        <v>0</v>
      </c>
      <c r="AZ144">
        <v>480.50799999999998</v>
      </c>
      <c r="BA144" s="2"/>
      <c r="BB144">
        <v>0.75</v>
      </c>
      <c r="BC144" s="2">
        <v>45941.5</v>
      </c>
      <c r="BD144" s="27">
        <f>MarketPlace_Order_Report__2[[#This Row],[UnitPrice]]*MarketPlace_Order_Report__2[[#This Row],[OrderQty]]</f>
        <v>3150</v>
      </c>
      <c r="BE144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4" s="27">
        <f>MarketPlace_Order_Report__2[[#This Row],[Gross Amount (Before Tax)]]+MarketPlace_Order_Report__2[[#This Row],[Total GST Amount]]</f>
        <v>3630.5079999999998</v>
      </c>
    </row>
    <row r="145" spans="1:58">
      <c r="A145" s="1" t="s">
        <v>1671</v>
      </c>
      <c r="B145" s="1" t="s">
        <v>1672</v>
      </c>
      <c r="C145" s="1" t="s">
        <v>1673</v>
      </c>
      <c r="D145" s="1" t="s">
        <v>1674</v>
      </c>
      <c r="E145">
        <v>1</v>
      </c>
      <c r="F145" s="1" t="s">
        <v>58</v>
      </c>
      <c r="G145">
        <v>1</v>
      </c>
      <c r="H145">
        <v>1</v>
      </c>
      <c r="I145">
        <v>3500</v>
      </c>
      <c r="J145">
        <v>3150</v>
      </c>
      <c r="K145">
        <v>0</v>
      </c>
      <c r="L145">
        <v>3199</v>
      </c>
      <c r="M145">
        <v>49</v>
      </c>
      <c r="N145" s="1" t="s">
        <v>72</v>
      </c>
      <c r="O145" s="2">
        <v>45934.654282407406</v>
      </c>
      <c r="P145" s="2">
        <v>45936.641296296293</v>
      </c>
      <c r="Q145" s="2">
        <v>45941.682037037041</v>
      </c>
      <c r="R145" s="1" t="s">
        <v>1675</v>
      </c>
      <c r="S145" s="1" t="s">
        <v>73</v>
      </c>
      <c r="T145" s="2">
        <v>45934.839085648149</v>
      </c>
      <c r="U145" s="1" t="s">
        <v>61</v>
      </c>
      <c r="V145" s="1" t="s">
        <v>62</v>
      </c>
      <c r="W145" s="1" t="s">
        <v>61</v>
      </c>
      <c r="X145" s="1" t="s">
        <v>61</v>
      </c>
      <c r="Y145" s="1" t="s">
        <v>61</v>
      </c>
      <c r="Z145" s="1" t="s">
        <v>61</v>
      </c>
      <c r="AA145" s="1" t="s">
        <v>61</v>
      </c>
      <c r="AB145" s="1" t="s">
        <v>61</v>
      </c>
      <c r="AC145" s="1" t="s">
        <v>61</v>
      </c>
      <c r="AD145" s="2">
        <v>45941.684699074074</v>
      </c>
      <c r="AE145" s="1" t="s">
        <v>63</v>
      </c>
      <c r="AF145" s="1" t="s">
        <v>61</v>
      </c>
      <c r="AG145" s="1" t="s">
        <v>1676</v>
      </c>
      <c r="AH145" s="1" t="s">
        <v>318</v>
      </c>
      <c r="AI145">
        <v>442905</v>
      </c>
      <c r="AJ145" s="1" t="s">
        <v>66</v>
      </c>
      <c r="AK145" s="1" t="s">
        <v>67</v>
      </c>
      <c r="AL145">
        <v>62044220</v>
      </c>
      <c r="AM145" s="2"/>
      <c r="AN145">
        <v>3150</v>
      </c>
      <c r="AO145" s="1" t="s">
        <v>1677</v>
      </c>
      <c r="AP145" s="1" t="s">
        <v>61</v>
      </c>
      <c r="AQ145" s="1" t="s">
        <v>61</v>
      </c>
      <c r="AR145" s="1" t="s">
        <v>63</v>
      </c>
      <c r="AS145">
        <v>18</v>
      </c>
      <c r="AT145">
        <v>9</v>
      </c>
      <c r="AU145">
        <v>9</v>
      </c>
      <c r="AV145">
        <v>0</v>
      </c>
      <c r="AW145">
        <v>480.50799999999998</v>
      </c>
      <c r="AX145">
        <v>240.25399999999999</v>
      </c>
      <c r="AY145">
        <v>240.25399999999999</v>
      </c>
      <c r="AZ145">
        <v>0</v>
      </c>
      <c r="BA145" s="2"/>
      <c r="BB145">
        <v>0.75</v>
      </c>
      <c r="BC145" s="2">
        <v>45937.5</v>
      </c>
      <c r="BD145" s="27">
        <f>MarketPlace_Order_Report__2[[#This Row],[UnitPrice]]*MarketPlace_Order_Report__2[[#This Row],[OrderQty]]</f>
        <v>3150</v>
      </c>
      <c r="BE145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5" s="27">
        <f>MarketPlace_Order_Report__2[[#This Row],[Gross Amount (Before Tax)]]+MarketPlace_Order_Report__2[[#This Row],[Total GST Amount]]</f>
        <v>3630.5079999999998</v>
      </c>
    </row>
    <row r="146" spans="1:58">
      <c r="A146" s="1" t="s">
        <v>1678</v>
      </c>
      <c r="B146" s="1" t="s">
        <v>1679</v>
      </c>
      <c r="C146" s="1" t="s">
        <v>1673</v>
      </c>
      <c r="D146" s="1" t="s">
        <v>1674</v>
      </c>
      <c r="E146">
        <v>20</v>
      </c>
      <c r="F146" s="1" t="s">
        <v>1076</v>
      </c>
      <c r="G146">
        <v>1</v>
      </c>
      <c r="H146">
        <v>1</v>
      </c>
      <c r="I146">
        <v>3500</v>
      </c>
      <c r="J146">
        <v>3150</v>
      </c>
      <c r="K146">
        <v>0</v>
      </c>
      <c r="L146">
        <v>3150</v>
      </c>
      <c r="M146">
        <v>0</v>
      </c>
      <c r="N146" s="1" t="s">
        <v>59</v>
      </c>
      <c r="O146" s="2">
        <v>45933.803703703707</v>
      </c>
      <c r="P146" s="2">
        <v>45934.620092592595</v>
      </c>
      <c r="Q146" s="2"/>
      <c r="R146" s="1" t="s">
        <v>1680</v>
      </c>
      <c r="S146" s="1" t="s">
        <v>73</v>
      </c>
      <c r="T146" s="2">
        <v>45933.820567129631</v>
      </c>
      <c r="U146" s="1" t="s">
        <v>61</v>
      </c>
      <c r="V146" s="1" t="s">
        <v>62</v>
      </c>
      <c r="W146" s="1" t="s">
        <v>61</v>
      </c>
      <c r="X146" s="1" t="s">
        <v>61</v>
      </c>
      <c r="Y146" s="1" t="s">
        <v>61</v>
      </c>
      <c r="Z146" s="1" t="s">
        <v>61</v>
      </c>
      <c r="AA146" s="1" t="s">
        <v>61</v>
      </c>
      <c r="AB146" s="1" t="s">
        <v>61</v>
      </c>
      <c r="AC146" s="1" t="s">
        <v>61</v>
      </c>
      <c r="AD146" s="2">
        <v>45948.046018518522</v>
      </c>
      <c r="AE146" s="1" t="s">
        <v>63</v>
      </c>
      <c r="AF146" s="1" t="s">
        <v>61</v>
      </c>
      <c r="AG146" s="1" t="s">
        <v>300</v>
      </c>
      <c r="AH146" s="1" t="s">
        <v>88</v>
      </c>
      <c r="AI146">
        <v>452010</v>
      </c>
      <c r="AJ146" s="1" t="s">
        <v>66</v>
      </c>
      <c r="AK146" s="1" t="s">
        <v>67</v>
      </c>
      <c r="AL146">
        <v>62044220</v>
      </c>
      <c r="AM146" s="2"/>
      <c r="AN146">
        <v>3150</v>
      </c>
      <c r="AO146" s="1" t="s">
        <v>1681</v>
      </c>
      <c r="AP146" s="1" t="s">
        <v>61</v>
      </c>
      <c r="AQ146" s="1" t="s">
        <v>61</v>
      </c>
      <c r="AR146" s="1" t="s">
        <v>63</v>
      </c>
      <c r="AS146">
        <v>18</v>
      </c>
      <c r="AT146">
        <v>0</v>
      </c>
      <c r="AU146">
        <v>0</v>
      </c>
      <c r="AV146">
        <v>18</v>
      </c>
      <c r="AW146">
        <v>480.50799999999998</v>
      </c>
      <c r="AX146">
        <v>0</v>
      </c>
      <c r="AY146">
        <v>0</v>
      </c>
      <c r="AZ146">
        <v>480.50799999999998</v>
      </c>
      <c r="BA146" s="2"/>
      <c r="BB146">
        <v>0.75</v>
      </c>
      <c r="BC146" s="2">
        <v>45936.5</v>
      </c>
      <c r="BD146" s="27">
        <f>MarketPlace_Order_Report__2[[#This Row],[UnitPrice]]*MarketPlace_Order_Report__2[[#This Row],[OrderQty]]</f>
        <v>3150</v>
      </c>
      <c r="BE146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6" s="27">
        <f>MarketPlace_Order_Report__2[[#This Row],[Gross Amount (Before Tax)]]+MarketPlace_Order_Report__2[[#This Row],[Total GST Amount]]</f>
        <v>3630.5079999999998</v>
      </c>
    </row>
    <row r="147" spans="1:58">
      <c r="A147" s="1" t="s">
        <v>1682</v>
      </c>
      <c r="B147" s="1" t="s">
        <v>1683</v>
      </c>
      <c r="C147" s="1" t="s">
        <v>1673</v>
      </c>
      <c r="D147" s="1" t="s">
        <v>1674</v>
      </c>
      <c r="E147">
        <v>1</v>
      </c>
      <c r="F147" s="1" t="s">
        <v>71</v>
      </c>
      <c r="G147">
        <v>1</v>
      </c>
      <c r="H147">
        <v>1</v>
      </c>
      <c r="I147">
        <v>3500</v>
      </c>
      <c r="J147">
        <v>3150</v>
      </c>
      <c r="K147">
        <v>0</v>
      </c>
      <c r="L147">
        <v>3199</v>
      </c>
      <c r="M147">
        <v>49</v>
      </c>
      <c r="N147" s="1" t="s">
        <v>72</v>
      </c>
      <c r="O147" s="2">
        <v>45933.008043981485</v>
      </c>
      <c r="P147" s="2">
        <v>45934.720821759256</v>
      </c>
      <c r="Q147" s="2">
        <v>45938.783715277779</v>
      </c>
      <c r="R147" s="1" t="s">
        <v>1684</v>
      </c>
      <c r="S147" s="1" t="s">
        <v>60</v>
      </c>
      <c r="T147" s="2">
        <v>45933.815833333334</v>
      </c>
      <c r="U147" s="1" t="s">
        <v>61</v>
      </c>
      <c r="V147" s="1" t="s">
        <v>62</v>
      </c>
      <c r="W147" s="1" t="s">
        <v>61</v>
      </c>
      <c r="X147" s="1" t="s">
        <v>61</v>
      </c>
      <c r="Y147" s="1" t="s">
        <v>1685</v>
      </c>
      <c r="Z147" s="1" t="s">
        <v>74</v>
      </c>
      <c r="AA147" s="1" t="s">
        <v>75</v>
      </c>
      <c r="AB147" s="1" t="s">
        <v>61</v>
      </c>
      <c r="AC147" s="1" t="s">
        <v>61</v>
      </c>
      <c r="AD147" s="2">
        <v>45959.539166666669</v>
      </c>
      <c r="AE147" s="1" t="s">
        <v>63</v>
      </c>
      <c r="AF147" s="1" t="s">
        <v>61</v>
      </c>
      <c r="AG147" s="1" t="s">
        <v>337</v>
      </c>
      <c r="AH147" s="1" t="s">
        <v>338</v>
      </c>
      <c r="AI147">
        <v>190011</v>
      </c>
      <c r="AJ147" s="1" t="s">
        <v>66</v>
      </c>
      <c r="AK147" s="1" t="s">
        <v>67</v>
      </c>
      <c r="AL147">
        <v>62044220</v>
      </c>
      <c r="AM147" s="2"/>
      <c r="AN147">
        <v>3150</v>
      </c>
      <c r="AO147" s="1" t="s">
        <v>1686</v>
      </c>
      <c r="AP147" s="1" t="s">
        <v>158</v>
      </c>
      <c r="AQ147" s="1" t="s">
        <v>339</v>
      </c>
      <c r="AR147" s="1" t="s">
        <v>63</v>
      </c>
      <c r="AS147">
        <v>18</v>
      </c>
      <c r="AT147">
        <v>0</v>
      </c>
      <c r="AU147">
        <v>0</v>
      </c>
      <c r="AV147">
        <v>18</v>
      </c>
      <c r="AW147">
        <v>480.50799999999998</v>
      </c>
      <c r="AX147">
        <v>0</v>
      </c>
      <c r="AY147">
        <v>0</v>
      </c>
      <c r="AZ147">
        <v>480.50799999999998</v>
      </c>
      <c r="BA147" s="2">
        <v>45933.602152777778</v>
      </c>
      <c r="BB147">
        <v>0.75</v>
      </c>
      <c r="BC147" s="2">
        <v>45936.5</v>
      </c>
      <c r="BD147" s="27">
        <f>MarketPlace_Order_Report__2[[#This Row],[UnitPrice]]*MarketPlace_Order_Report__2[[#This Row],[OrderQty]]</f>
        <v>3150</v>
      </c>
      <c r="BE147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7" s="27">
        <f>MarketPlace_Order_Report__2[[#This Row],[Gross Amount (Before Tax)]]+MarketPlace_Order_Report__2[[#This Row],[Total GST Amount]]</f>
        <v>3630.5079999999998</v>
      </c>
    </row>
    <row r="148" spans="1:58">
      <c r="A148" s="1" t="s">
        <v>1687</v>
      </c>
      <c r="B148" s="1" t="s">
        <v>1688</v>
      </c>
      <c r="C148" s="1" t="s">
        <v>542</v>
      </c>
      <c r="D148" s="1" t="s">
        <v>543</v>
      </c>
      <c r="E148">
        <v>1</v>
      </c>
      <c r="F148" s="1" t="s">
        <v>71</v>
      </c>
      <c r="G148">
        <v>1</v>
      </c>
      <c r="H148">
        <v>1</v>
      </c>
      <c r="I148">
        <v>3500</v>
      </c>
      <c r="J148">
        <v>3150</v>
      </c>
      <c r="K148">
        <v>0</v>
      </c>
      <c r="L148">
        <v>3199</v>
      </c>
      <c r="M148">
        <v>49</v>
      </c>
      <c r="N148" s="1" t="s">
        <v>72</v>
      </c>
      <c r="O148" s="2">
        <v>45934.435474537036</v>
      </c>
      <c r="P148" s="2">
        <v>45936.714490740742</v>
      </c>
      <c r="Q148" s="2">
        <v>45944.748854166668</v>
      </c>
      <c r="R148" s="1" t="s">
        <v>1689</v>
      </c>
      <c r="S148" s="1" t="s">
        <v>60</v>
      </c>
      <c r="T148" s="2">
        <v>45934.839085648149</v>
      </c>
      <c r="U148" s="1" t="s">
        <v>61</v>
      </c>
      <c r="V148" s="1" t="s">
        <v>62</v>
      </c>
      <c r="W148" s="1" t="s">
        <v>61</v>
      </c>
      <c r="X148" s="1" t="s">
        <v>61</v>
      </c>
      <c r="Y148" s="1" t="s">
        <v>1690</v>
      </c>
      <c r="Z148" s="1" t="s">
        <v>74</v>
      </c>
      <c r="AA148" s="1" t="s">
        <v>75</v>
      </c>
      <c r="AB148" s="1" t="s">
        <v>61</v>
      </c>
      <c r="AC148" s="1" t="s">
        <v>61</v>
      </c>
      <c r="AD148" s="2">
        <v>45958.823692129627</v>
      </c>
      <c r="AE148" s="1" t="s">
        <v>63</v>
      </c>
      <c r="AF148" s="1" t="s">
        <v>61</v>
      </c>
      <c r="AG148" s="1" t="s">
        <v>1691</v>
      </c>
      <c r="AH148" s="1" t="s">
        <v>177</v>
      </c>
      <c r="AI148">
        <v>786003</v>
      </c>
      <c r="AJ148" s="1" t="s">
        <v>66</v>
      </c>
      <c r="AK148" s="1" t="s">
        <v>67</v>
      </c>
      <c r="AL148">
        <v>62044220</v>
      </c>
      <c r="AM148" s="2"/>
      <c r="AN148">
        <v>3150</v>
      </c>
      <c r="AO148" s="1" t="s">
        <v>1692</v>
      </c>
      <c r="AP148" s="1" t="s">
        <v>61</v>
      </c>
      <c r="AQ148" s="1" t="s">
        <v>61</v>
      </c>
      <c r="AR148" s="1" t="s">
        <v>63</v>
      </c>
      <c r="AS148">
        <v>18</v>
      </c>
      <c r="AT148">
        <v>0</v>
      </c>
      <c r="AU148">
        <v>0</v>
      </c>
      <c r="AV148">
        <v>18</v>
      </c>
      <c r="AW148">
        <v>480.50799999999998</v>
      </c>
      <c r="AX148">
        <v>0</v>
      </c>
      <c r="AY148">
        <v>0</v>
      </c>
      <c r="AZ148">
        <v>480.50799999999998</v>
      </c>
      <c r="BA148" s="2"/>
      <c r="BB148">
        <v>0.75</v>
      </c>
      <c r="BC148" s="2">
        <v>45936.5</v>
      </c>
      <c r="BD148" s="27">
        <f>MarketPlace_Order_Report__2[[#This Row],[UnitPrice]]*MarketPlace_Order_Report__2[[#This Row],[OrderQty]]</f>
        <v>3150</v>
      </c>
      <c r="BE148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8" s="27">
        <f>MarketPlace_Order_Report__2[[#This Row],[Gross Amount (Before Tax)]]+MarketPlace_Order_Report__2[[#This Row],[Total GST Amount]]</f>
        <v>3630.5079999999998</v>
      </c>
    </row>
    <row r="149" spans="1:58">
      <c r="A149" s="1" t="s">
        <v>1693</v>
      </c>
      <c r="B149" s="1" t="s">
        <v>1694</v>
      </c>
      <c r="C149" s="1" t="s">
        <v>542</v>
      </c>
      <c r="D149" s="1" t="s">
        <v>543</v>
      </c>
      <c r="E149">
        <v>1</v>
      </c>
      <c r="F149" s="1" t="s">
        <v>58</v>
      </c>
      <c r="G149">
        <v>1</v>
      </c>
      <c r="H149">
        <v>1</v>
      </c>
      <c r="I149">
        <v>3500</v>
      </c>
      <c r="J149">
        <v>3150</v>
      </c>
      <c r="K149">
        <v>0</v>
      </c>
      <c r="L149">
        <v>3170</v>
      </c>
      <c r="M149">
        <v>20</v>
      </c>
      <c r="N149" s="1" t="s">
        <v>72</v>
      </c>
      <c r="O149" s="2">
        <v>45933.694861111115</v>
      </c>
      <c r="P149" s="2">
        <v>45934.721412037034</v>
      </c>
      <c r="Q149" s="2">
        <v>45937.518171296295</v>
      </c>
      <c r="R149" s="1" t="s">
        <v>1695</v>
      </c>
      <c r="S149" s="1" t="s">
        <v>60</v>
      </c>
      <c r="T149" s="2">
        <v>45933.815821759257</v>
      </c>
      <c r="U149" s="1" t="s">
        <v>61</v>
      </c>
      <c r="V149" s="1" t="s">
        <v>62</v>
      </c>
      <c r="W149" s="1" t="s">
        <v>61</v>
      </c>
      <c r="X149" s="1" t="s">
        <v>61</v>
      </c>
      <c r="Y149" s="1" t="s">
        <v>61</v>
      </c>
      <c r="Z149" s="1" t="s">
        <v>61</v>
      </c>
      <c r="AA149" s="1" t="s">
        <v>61</v>
      </c>
      <c r="AB149" s="1" t="s">
        <v>61</v>
      </c>
      <c r="AC149" s="1" t="s">
        <v>61</v>
      </c>
      <c r="AD149" s="2">
        <v>45937.524930555555</v>
      </c>
      <c r="AE149" s="1" t="s">
        <v>63</v>
      </c>
      <c r="AF149" s="1" t="s">
        <v>61</v>
      </c>
      <c r="AG149" s="1" t="s">
        <v>1696</v>
      </c>
      <c r="AH149" s="1" t="s">
        <v>99</v>
      </c>
      <c r="AI149">
        <v>132001</v>
      </c>
      <c r="AJ149" s="1" t="s">
        <v>66</v>
      </c>
      <c r="AK149" s="1" t="s">
        <v>67</v>
      </c>
      <c r="AL149">
        <v>62044220</v>
      </c>
      <c r="AM149" s="2"/>
      <c r="AN149">
        <v>3150</v>
      </c>
      <c r="AO149" s="1" t="s">
        <v>1697</v>
      </c>
      <c r="AP149" s="1" t="s">
        <v>937</v>
      </c>
      <c r="AQ149" s="1" t="s">
        <v>61</v>
      </c>
      <c r="AR149" s="1" t="s">
        <v>63</v>
      </c>
      <c r="AS149">
        <v>18</v>
      </c>
      <c r="AT149">
        <v>0</v>
      </c>
      <c r="AU149">
        <v>0</v>
      </c>
      <c r="AV149">
        <v>18</v>
      </c>
      <c r="AW149">
        <v>480.50799999999998</v>
      </c>
      <c r="AX149">
        <v>0</v>
      </c>
      <c r="AY149">
        <v>0</v>
      </c>
      <c r="AZ149">
        <v>480.50799999999998</v>
      </c>
      <c r="BA149" s="2"/>
      <c r="BB149">
        <v>0.75</v>
      </c>
      <c r="BC149" s="2">
        <v>45936.5</v>
      </c>
      <c r="BD149" s="27">
        <f>MarketPlace_Order_Report__2[[#This Row],[UnitPrice]]*MarketPlace_Order_Report__2[[#This Row],[OrderQty]]</f>
        <v>3150</v>
      </c>
      <c r="BE149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9" s="27">
        <f>MarketPlace_Order_Report__2[[#This Row],[Gross Amount (Before Tax)]]+MarketPlace_Order_Report__2[[#This Row],[Total GST Amount]]</f>
        <v>3630.5079999999998</v>
      </c>
    </row>
    <row r="150" spans="1:58">
      <c r="A150" s="1" t="s">
        <v>1698</v>
      </c>
      <c r="B150" s="1" t="s">
        <v>1699</v>
      </c>
      <c r="C150" s="1" t="s">
        <v>542</v>
      </c>
      <c r="D150" s="1" t="s">
        <v>543</v>
      </c>
      <c r="E150">
        <v>1</v>
      </c>
      <c r="F150" s="1" t="s">
        <v>1076</v>
      </c>
      <c r="G150">
        <v>1</v>
      </c>
      <c r="H150">
        <v>1</v>
      </c>
      <c r="I150">
        <v>3500</v>
      </c>
      <c r="J150">
        <v>3150</v>
      </c>
      <c r="K150">
        <v>0</v>
      </c>
      <c r="L150">
        <v>3179</v>
      </c>
      <c r="M150">
        <v>29</v>
      </c>
      <c r="N150" s="1" t="s">
        <v>59</v>
      </c>
      <c r="O150" s="2">
        <v>45932.9846412037</v>
      </c>
      <c r="P150" s="2">
        <v>45934.620092592595</v>
      </c>
      <c r="Q150" s="2"/>
      <c r="R150" s="1" t="s">
        <v>1700</v>
      </c>
      <c r="S150" s="1" t="s">
        <v>73</v>
      </c>
      <c r="T150" s="2">
        <v>45933.815833333334</v>
      </c>
      <c r="U150" s="1" t="s">
        <v>61</v>
      </c>
      <c r="V150" s="1" t="s">
        <v>62</v>
      </c>
      <c r="W150" s="1" t="s">
        <v>61</v>
      </c>
      <c r="X150" s="1" t="s">
        <v>61</v>
      </c>
      <c r="Y150" s="1" t="s">
        <v>61</v>
      </c>
      <c r="Z150" s="1" t="s">
        <v>61</v>
      </c>
      <c r="AA150" s="1" t="s">
        <v>61</v>
      </c>
      <c r="AB150" s="1" t="s">
        <v>61</v>
      </c>
      <c r="AC150" s="1" t="s">
        <v>61</v>
      </c>
      <c r="AD150" s="2">
        <v>45937.771793981483</v>
      </c>
      <c r="AE150" s="1" t="s">
        <v>63</v>
      </c>
      <c r="AF150" s="1" t="s">
        <v>61</v>
      </c>
      <c r="AG150" s="1" t="s">
        <v>387</v>
      </c>
      <c r="AH150" s="1" t="s">
        <v>318</v>
      </c>
      <c r="AI150">
        <v>421306</v>
      </c>
      <c r="AJ150" s="1" t="s">
        <v>66</v>
      </c>
      <c r="AK150" s="1" t="s">
        <v>67</v>
      </c>
      <c r="AL150">
        <v>62044220</v>
      </c>
      <c r="AM150" s="2"/>
      <c r="AN150">
        <v>3150</v>
      </c>
      <c r="AO150" s="1" t="s">
        <v>1701</v>
      </c>
      <c r="AP150" s="1" t="s">
        <v>61</v>
      </c>
      <c r="AQ150" s="1" t="s">
        <v>61</v>
      </c>
      <c r="AR150" s="1" t="s">
        <v>63</v>
      </c>
      <c r="AS150">
        <v>18</v>
      </c>
      <c r="AT150">
        <v>9</v>
      </c>
      <c r="AU150">
        <v>9</v>
      </c>
      <c r="AV150">
        <v>0</v>
      </c>
      <c r="AW150">
        <v>480.50799999999998</v>
      </c>
      <c r="AX150">
        <v>240.25399999999999</v>
      </c>
      <c r="AY150">
        <v>240.25399999999999</v>
      </c>
      <c r="AZ150">
        <v>0</v>
      </c>
      <c r="BA150" s="2"/>
      <c r="BB150">
        <v>0.75</v>
      </c>
      <c r="BC150" s="2">
        <v>45935.5</v>
      </c>
      <c r="BD150" s="27">
        <f>MarketPlace_Order_Report__2[[#This Row],[UnitPrice]]*MarketPlace_Order_Report__2[[#This Row],[OrderQty]]</f>
        <v>3150</v>
      </c>
      <c r="BE150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0" s="27">
        <f>MarketPlace_Order_Report__2[[#This Row],[Gross Amount (Before Tax)]]+MarketPlace_Order_Report__2[[#This Row],[Total GST Amount]]</f>
        <v>3630.5079999999998</v>
      </c>
    </row>
    <row r="151" spans="1:58">
      <c r="A151" s="1" t="s">
        <v>1702</v>
      </c>
      <c r="B151" s="1" t="s">
        <v>1703</v>
      </c>
      <c r="C151" s="1" t="s">
        <v>542</v>
      </c>
      <c r="D151" s="1" t="s">
        <v>543</v>
      </c>
      <c r="E151">
        <v>1</v>
      </c>
      <c r="F151" s="1" t="s">
        <v>187</v>
      </c>
      <c r="G151">
        <v>1</v>
      </c>
      <c r="H151">
        <v>0</v>
      </c>
      <c r="I151">
        <v>3500</v>
      </c>
      <c r="J151">
        <v>3150</v>
      </c>
      <c r="K151">
        <v>0</v>
      </c>
      <c r="L151">
        <v>3199</v>
      </c>
      <c r="M151">
        <v>49</v>
      </c>
      <c r="N151" s="1" t="s">
        <v>72</v>
      </c>
      <c r="O151" s="2">
        <v>45932.956006944441</v>
      </c>
      <c r="P151" s="2"/>
      <c r="Q151" s="2"/>
      <c r="R151" s="1" t="s">
        <v>61</v>
      </c>
      <c r="S151" s="1" t="s">
        <v>60</v>
      </c>
      <c r="T151" s="2"/>
      <c r="U151" s="1" t="s">
        <v>188</v>
      </c>
      <c r="V151" s="1" t="s">
        <v>62</v>
      </c>
      <c r="W151" s="1" t="s">
        <v>61</v>
      </c>
      <c r="X151" s="1" t="s">
        <v>61</v>
      </c>
      <c r="Y151" s="1" t="s">
        <v>61</v>
      </c>
      <c r="Z151" s="1" t="s">
        <v>61</v>
      </c>
      <c r="AA151" s="1" t="s">
        <v>61</v>
      </c>
      <c r="AB151" s="1" t="s">
        <v>61</v>
      </c>
      <c r="AC151" s="1" t="s">
        <v>61</v>
      </c>
      <c r="AD151" s="2">
        <v>45932.958067129628</v>
      </c>
      <c r="AE151" s="1" t="s">
        <v>63</v>
      </c>
      <c r="AF151" s="1" t="s">
        <v>61</v>
      </c>
      <c r="AG151" s="1" t="s">
        <v>1704</v>
      </c>
      <c r="AH151" s="1" t="s">
        <v>83</v>
      </c>
      <c r="AI151">
        <v>841428</v>
      </c>
      <c r="AJ151" s="1" t="s">
        <v>66</v>
      </c>
      <c r="AK151" s="1" t="s">
        <v>67</v>
      </c>
      <c r="AL151">
        <v>62044220</v>
      </c>
      <c r="AM151" s="2">
        <v>45932.958067129628</v>
      </c>
      <c r="AN151">
        <v>3150</v>
      </c>
      <c r="AO151" s="1" t="s">
        <v>61</v>
      </c>
      <c r="AP151" s="1" t="s">
        <v>125</v>
      </c>
      <c r="AQ151" s="1" t="s">
        <v>61</v>
      </c>
      <c r="AR151" s="1" t="s">
        <v>63</v>
      </c>
      <c r="AS151">
        <v>18</v>
      </c>
      <c r="AT151">
        <v>0</v>
      </c>
      <c r="AU151">
        <v>0</v>
      </c>
      <c r="AV151">
        <v>18</v>
      </c>
      <c r="AW151">
        <v>480.50799999999998</v>
      </c>
      <c r="AX151">
        <v>0</v>
      </c>
      <c r="AY151">
        <v>0</v>
      </c>
      <c r="AZ151">
        <v>480.50799999999998</v>
      </c>
      <c r="BA151" s="2"/>
      <c r="BC151" s="2">
        <v>45935.5</v>
      </c>
      <c r="BD151" s="27">
        <f>MarketPlace_Order_Report__2[[#This Row],[UnitPrice]]*MarketPlace_Order_Report__2[[#This Row],[OrderQty]]</f>
        <v>3150</v>
      </c>
      <c r="BE151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1" s="27">
        <f>MarketPlace_Order_Report__2[[#This Row],[Gross Amount (Before Tax)]]+MarketPlace_Order_Report__2[[#This Row],[Total GST Amount]]</f>
        <v>3630.5079999999998</v>
      </c>
    </row>
    <row r="152" spans="1:58">
      <c r="A152" s="1" t="s">
        <v>1705</v>
      </c>
      <c r="B152" s="1" t="s">
        <v>1706</v>
      </c>
      <c r="C152" s="1" t="s">
        <v>555</v>
      </c>
      <c r="D152" s="1" t="s">
        <v>556</v>
      </c>
      <c r="E152">
        <v>1</v>
      </c>
      <c r="F152" s="1" t="s">
        <v>187</v>
      </c>
      <c r="G152">
        <v>1</v>
      </c>
      <c r="H152">
        <v>0</v>
      </c>
      <c r="I152">
        <v>3500</v>
      </c>
      <c r="J152">
        <v>3150</v>
      </c>
      <c r="K152">
        <v>0</v>
      </c>
      <c r="L152">
        <v>3150</v>
      </c>
      <c r="M152">
        <v>0</v>
      </c>
      <c r="N152" s="1" t="s">
        <v>59</v>
      </c>
      <c r="O152" s="2">
        <v>45936.326828703706</v>
      </c>
      <c r="P152" s="2"/>
      <c r="Q152" s="2"/>
      <c r="R152" s="1" t="s">
        <v>61</v>
      </c>
      <c r="S152" s="1" t="s">
        <v>351</v>
      </c>
      <c r="T152" s="2"/>
      <c r="U152" s="1" t="s">
        <v>831</v>
      </c>
      <c r="V152" s="1" t="s">
        <v>62</v>
      </c>
      <c r="W152" s="1" t="s">
        <v>61</v>
      </c>
      <c r="X152" s="1" t="s">
        <v>61</v>
      </c>
      <c r="Y152" s="1" t="s">
        <v>61</v>
      </c>
      <c r="Z152" s="1" t="s">
        <v>61</v>
      </c>
      <c r="AA152" s="1" t="s">
        <v>61</v>
      </c>
      <c r="AB152" s="1" t="s">
        <v>61</v>
      </c>
      <c r="AC152" s="1" t="s">
        <v>61</v>
      </c>
      <c r="AD152" s="2">
        <v>45936.328888888886</v>
      </c>
      <c r="AE152" s="1" t="s">
        <v>63</v>
      </c>
      <c r="AF152" s="1" t="s">
        <v>61</v>
      </c>
      <c r="AG152" s="1" t="s">
        <v>408</v>
      </c>
      <c r="AH152" s="1" t="s">
        <v>318</v>
      </c>
      <c r="AI152">
        <v>400072</v>
      </c>
      <c r="AJ152" s="1" t="s">
        <v>66</v>
      </c>
      <c r="AK152" s="1" t="s">
        <v>67</v>
      </c>
      <c r="AL152">
        <v>62044220</v>
      </c>
      <c r="AM152" s="2">
        <v>45936.328888888886</v>
      </c>
      <c r="AN152">
        <v>3150</v>
      </c>
      <c r="AO152" s="1" t="s">
        <v>61</v>
      </c>
      <c r="AP152" s="1" t="s">
        <v>937</v>
      </c>
      <c r="AQ152" s="1" t="s">
        <v>61</v>
      </c>
      <c r="AR152" s="1" t="s">
        <v>63</v>
      </c>
      <c r="AS152">
        <v>18</v>
      </c>
      <c r="AT152">
        <v>9</v>
      </c>
      <c r="AU152">
        <v>9</v>
      </c>
      <c r="AV152">
        <v>0</v>
      </c>
      <c r="AW152">
        <v>480.50799999999998</v>
      </c>
      <c r="AX152">
        <v>240.25399999999999</v>
      </c>
      <c r="AY152">
        <v>240.25399999999999</v>
      </c>
      <c r="AZ152">
        <v>0</v>
      </c>
      <c r="BA152" s="2"/>
      <c r="BC152" s="2">
        <v>45938.5</v>
      </c>
      <c r="BD152" s="27">
        <f>MarketPlace_Order_Report__2[[#This Row],[UnitPrice]]*MarketPlace_Order_Report__2[[#This Row],[OrderQty]]</f>
        <v>3150</v>
      </c>
      <c r="BE152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2" s="27">
        <f>MarketPlace_Order_Report__2[[#This Row],[Gross Amount (Before Tax)]]+MarketPlace_Order_Report__2[[#This Row],[Total GST Amount]]</f>
        <v>3630.5079999999998</v>
      </c>
    </row>
    <row r="153" spans="1:58">
      <c r="A153" s="1" t="s">
        <v>1707</v>
      </c>
      <c r="B153" s="1" t="s">
        <v>1708</v>
      </c>
      <c r="C153" s="1" t="s">
        <v>555</v>
      </c>
      <c r="D153" s="1" t="s">
        <v>556</v>
      </c>
      <c r="E153">
        <v>2</v>
      </c>
      <c r="F153" s="1" t="s">
        <v>58</v>
      </c>
      <c r="G153">
        <v>1</v>
      </c>
      <c r="H153">
        <v>1</v>
      </c>
      <c r="I153">
        <v>3500</v>
      </c>
      <c r="J153">
        <v>3150</v>
      </c>
      <c r="K153">
        <v>0</v>
      </c>
      <c r="L153">
        <v>3170.95</v>
      </c>
      <c r="M153">
        <v>20.95</v>
      </c>
      <c r="N153" s="1" t="s">
        <v>72</v>
      </c>
      <c r="O153" s="2">
        <v>45934.950810185182</v>
      </c>
      <c r="P153" s="2">
        <v>45936.717997685184</v>
      </c>
      <c r="Q153" s="2">
        <v>45940.443252314813</v>
      </c>
      <c r="R153" s="1" t="s">
        <v>1709</v>
      </c>
      <c r="S153" s="1" t="s">
        <v>60</v>
      </c>
      <c r="T153" s="2">
        <v>45935.742905092593</v>
      </c>
      <c r="U153" s="1" t="s">
        <v>61</v>
      </c>
      <c r="V153" s="1" t="s">
        <v>62</v>
      </c>
      <c r="W153" s="1" t="s">
        <v>61</v>
      </c>
      <c r="X153" s="1" t="s">
        <v>61</v>
      </c>
      <c r="Y153" s="1" t="s">
        <v>61</v>
      </c>
      <c r="Z153" s="1" t="s">
        <v>61</v>
      </c>
      <c r="AA153" s="1" t="s">
        <v>61</v>
      </c>
      <c r="AB153" s="1" t="s">
        <v>61</v>
      </c>
      <c r="AC153" s="1" t="s">
        <v>61</v>
      </c>
      <c r="AD153" s="2">
        <v>45940.445324074077</v>
      </c>
      <c r="AE153" s="1" t="s">
        <v>63</v>
      </c>
      <c r="AF153" s="1" t="s">
        <v>61</v>
      </c>
      <c r="AG153" s="1" t="s">
        <v>1710</v>
      </c>
      <c r="AH153" s="1" t="s">
        <v>77</v>
      </c>
      <c r="AI153">
        <v>272201</v>
      </c>
      <c r="AJ153" s="1" t="s">
        <v>66</v>
      </c>
      <c r="AK153" s="1" t="s">
        <v>67</v>
      </c>
      <c r="AL153">
        <v>62044220</v>
      </c>
      <c r="AM153" s="2"/>
      <c r="AN153">
        <v>3150</v>
      </c>
      <c r="AO153" s="1" t="s">
        <v>1711</v>
      </c>
      <c r="AP153" s="1" t="s">
        <v>61</v>
      </c>
      <c r="AQ153" s="1" t="s">
        <v>61</v>
      </c>
      <c r="AR153" s="1" t="s">
        <v>63</v>
      </c>
      <c r="AS153">
        <v>18</v>
      </c>
      <c r="AT153">
        <v>0</v>
      </c>
      <c r="AU153">
        <v>0</v>
      </c>
      <c r="AV153">
        <v>18</v>
      </c>
      <c r="AW153">
        <v>480.50799999999998</v>
      </c>
      <c r="AX153">
        <v>0</v>
      </c>
      <c r="AY153">
        <v>0</v>
      </c>
      <c r="AZ153">
        <v>480.50799999999998</v>
      </c>
      <c r="BA153" s="2"/>
      <c r="BB153">
        <v>0.75</v>
      </c>
      <c r="BC153" s="2">
        <v>45937.5</v>
      </c>
      <c r="BD153" s="27">
        <f>MarketPlace_Order_Report__2[[#This Row],[UnitPrice]]*MarketPlace_Order_Report__2[[#This Row],[OrderQty]]</f>
        <v>3150</v>
      </c>
      <c r="BE153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3" s="27">
        <f>MarketPlace_Order_Report__2[[#This Row],[Gross Amount (Before Tax)]]+MarketPlace_Order_Report__2[[#This Row],[Total GST Amount]]</f>
        <v>3630.5079999999998</v>
      </c>
    </row>
    <row r="154" spans="1:58">
      <c r="A154" s="1" t="s">
        <v>1712</v>
      </c>
      <c r="B154" s="1" t="s">
        <v>1713</v>
      </c>
      <c r="C154" s="1" t="s">
        <v>555</v>
      </c>
      <c r="D154" s="1" t="s">
        <v>556</v>
      </c>
      <c r="E154">
        <v>2</v>
      </c>
      <c r="F154" s="1" t="s">
        <v>1076</v>
      </c>
      <c r="G154">
        <v>1</v>
      </c>
      <c r="H154">
        <v>1</v>
      </c>
      <c r="I154">
        <v>3500</v>
      </c>
      <c r="J154">
        <v>3150</v>
      </c>
      <c r="K154">
        <v>0</v>
      </c>
      <c r="L154">
        <v>3169.77</v>
      </c>
      <c r="M154">
        <v>19.77</v>
      </c>
      <c r="N154" s="1" t="s">
        <v>59</v>
      </c>
      <c r="O154" s="2">
        <v>45933.516215277778</v>
      </c>
      <c r="P154" s="2">
        <v>45934.620092592595</v>
      </c>
      <c r="Q154" s="2"/>
      <c r="R154" s="1" t="s">
        <v>1714</v>
      </c>
      <c r="S154" s="1" t="s">
        <v>73</v>
      </c>
      <c r="T154" s="2">
        <v>45933.815844907411</v>
      </c>
      <c r="U154" s="1" t="s">
        <v>61</v>
      </c>
      <c r="V154" s="1" t="s">
        <v>62</v>
      </c>
      <c r="W154" s="1" t="s">
        <v>61</v>
      </c>
      <c r="X154" s="1" t="s">
        <v>61</v>
      </c>
      <c r="Y154" s="1" t="s">
        <v>61</v>
      </c>
      <c r="Z154" s="1" t="s">
        <v>61</v>
      </c>
      <c r="AA154" s="1" t="s">
        <v>61</v>
      </c>
      <c r="AB154" s="1" t="s">
        <v>61</v>
      </c>
      <c r="AC154" s="1" t="s">
        <v>61</v>
      </c>
      <c r="AD154" s="2">
        <v>45948.042546296296</v>
      </c>
      <c r="AE154" s="1" t="s">
        <v>63</v>
      </c>
      <c r="AF154" s="1" t="s">
        <v>61</v>
      </c>
      <c r="AG154" s="1" t="s">
        <v>76</v>
      </c>
      <c r="AH154" s="1" t="s">
        <v>77</v>
      </c>
      <c r="AI154">
        <v>201014</v>
      </c>
      <c r="AJ154" s="1" t="s">
        <v>66</v>
      </c>
      <c r="AK154" s="1" t="s">
        <v>67</v>
      </c>
      <c r="AL154">
        <v>62044220</v>
      </c>
      <c r="AM154" s="2"/>
      <c r="AN154">
        <v>3150</v>
      </c>
      <c r="AO154" s="1" t="s">
        <v>1715</v>
      </c>
      <c r="AP154" s="1" t="s">
        <v>1105</v>
      </c>
      <c r="AQ154" s="1" t="s">
        <v>61</v>
      </c>
      <c r="AR154" s="1" t="s">
        <v>63</v>
      </c>
      <c r="AS154">
        <v>18</v>
      </c>
      <c r="AT154">
        <v>0</v>
      </c>
      <c r="AU154">
        <v>0</v>
      </c>
      <c r="AV154">
        <v>18</v>
      </c>
      <c r="AW154">
        <v>480.50799999999998</v>
      </c>
      <c r="AX154">
        <v>0</v>
      </c>
      <c r="AY154">
        <v>0</v>
      </c>
      <c r="AZ154">
        <v>480.50799999999998</v>
      </c>
      <c r="BA154" s="2"/>
      <c r="BB154">
        <v>0.75</v>
      </c>
      <c r="BC154" s="2">
        <v>45936.5</v>
      </c>
      <c r="BD154" s="27">
        <f>MarketPlace_Order_Report__2[[#This Row],[UnitPrice]]*MarketPlace_Order_Report__2[[#This Row],[OrderQty]]</f>
        <v>3150</v>
      </c>
      <c r="BE154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4" s="27">
        <f>MarketPlace_Order_Report__2[[#This Row],[Gross Amount (Before Tax)]]+MarketPlace_Order_Report__2[[#This Row],[Total GST Amount]]</f>
        <v>3630.5079999999998</v>
      </c>
    </row>
    <row r="155" spans="1:58">
      <c r="A155" s="1" t="s">
        <v>1716</v>
      </c>
      <c r="B155" s="1" t="s">
        <v>1717</v>
      </c>
      <c r="C155" s="1" t="s">
        <v>555</v>
      </c>
      <c r="D155" s="1" t="s">
        <v>556</v>
      </c>
      <c r="E155">
        <v>1</v>
      </c>
      <c r="F155" s="1" t="s">
        <v>71</v>
      </c>
      <c r="G155">
        <v>1</v>
      </c>
      <c r="H155">
        <v>1</v>
      </c>
      <c r="I155">
        <v>3500</v>
      </c>
      <c r="J155">
        <v>3150</v>
      </c>
      <c r="K155">
        <v>0</v>
      </c>
      <c r="L155">
        <v>3179</v>
      </c>
      <c r="M155">
        <v>29</v>
      </c>
      <c r="N155" s="1" t="s">
        <v>59</v>
      </c>
      <c r="O155" s="2">
        <v>45931.969178240739</v>
      </c>
      <c r="P155" s="2">
        <v>45933.728136574071</v>
      </c>
      <c r="Q155" s="2">
        <v>45936.764953703707</v>
      </c>
      <c r="R155" s="1" t="s">
        <v>1718</v>
      </c>
      <c r="S155" s="1" t="s">
        <v>60</v>
      </c>
      <c r="T155" s="2">
        <v>45933.535081018519</v>
      </c>
      <c r="U155" s="1" t="s">
        <v>61</v>
      </c>
      <c r="V155" s="1" t="s">
        <v>62</v>
      </c>
      <c r="W155" s="1" t="s">
        <v>61</v>
      </c>
      <c r="X155" s="1" t="s">
        <v>61</v>
      </c>
      <c r="Y155" s="1" t="s">
        <v>1719</v>
      </c>
      <c r="Z155" s="1" t="s">
        <v>74</v>
      </c>
      <c r="AA155" s="1" t="s">
        <v>75</v>
      </c>
      <c r="AB155" s="1" t="s">
        <v>61</v>
      </c>
      <c r="AC155" s="1" t="s">
        <v>61</v>
      </c>
      <c r="AD155" s="2">
        <v>45954.636273148149</v>
      </c>
      <c r="AE155" s="1" t="s">
        <v>63</v>
      </c>
      <c r="AF155" s="1" t="s">
        <v>61</v>
      </c>
      <c r="AG155" s="1" t="s">
        <v>165</v>
      </c>
      <c r="AH155" s="1" t="s">
        <v>77</v>
      </c>
      <c r="AI155">
        <v>226021</v>
      </c>
      <c r="AJ155" s="1" t="s">
        <v>66</v>
      </c>
      <c r="AK155" s="1" t="s">
        <v>67</v>
      </c>
      <c r="AL155">
        <v>62044220</v>
      </c>
      <c r="AM155" s="2"/>
      <c r="AN155">
        <v>3150</v>
      </c>
      <c r="AO155" s="1" t="s">
        <v>1720</v>
      </c>
      <c r="AP155" s="1" t="s">
        <v>310</v>
      </c>
      <c r="AQ155" s="1" t="s">
        <v>61</v>
      </c>
      <c r="AR155" s="1" t="s">
        <v>63</v>
      </c>
      <c r="AS155">
        <v>18</v>
      </c>
      <c r="AT155">
        <v>0</v>
      </c>
      <c r="AU155">
        <v>0</v>
      </c>
      <c r="AV155">
        <v>18</v>
      </c>
      <c r="AW155">
        <v>480.50799999999998</v>
      </c>
      <c r="AX155">
        <v>0</v>
      </c>
      <c r="AY155">
        <v>0</v>
      </c>
      <c r="AZ155">
        <v>480.50799999999998</v>
      </c>
      <c r="BA155" s="2"/>
      <c r="BB155">
        <v>0.75</v>
      </c>
      <c r="BC155" s="2">
        <v>45934.5</v>
      </c>
      <c r="BD155" s="27">
        <f>MarketPlace_Order_Report__2[[#This Row],[UnitPrice]]*MarketPlace_Order_Report__2[[#This Row],[OrderQty]]</f>
        <v>3150</v>
      </c>
      <c r="BE155" s="27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5" s="27">
        <f>MarketPlace_Order_Report__2[[#This Row],[Gross Amount (Before Tax)]]+MarketPlace_Order_Report__2[[#This Row],[Total GST Amount]]</f>
        <v>3630.5079999999998</v>
      </c>
    </row>
    <row r="156" spans="1:58">
      <c r="A156" s="1" t="s">
        <v>1721</v>
      </c>
      <c r="B156" s="1" t="s">
        <v>1722</v>
      </c>
      <c r="C156" s="1" t="s">
        <v>1723</v>
      </c>
      <c r="D156" s="1" t="s">
        <v>1724</v>
      </c>
      <c r="E156">
        <v>1</v>
      </c>
      <c r="F156" s="1" t="s">
        <v>58</v>
      </c>
      <c r="G156">
        <v>1</v>
      </c>
      <c r="H156">
        <v>1</v>
      </c>
      <c r="I156">
        <v>4000</v>
      </c>
      <c r="J156">
        <v>3600</v>
      </c>
      <c r="K156">
        <v>0</v>
      </c>
      <c r="L156">
        <v>3649</v>
      </c>
      <c r="M156">
        <v>49</v>
      </c>
      <c r="N156" s="1" t="s">
        <v>72</v>
      </c>
      <c r="O156" s="2">
        <v>45935.864560185182</v>
      </c>
      <c r="P156" s="2">
        <v>45937.725856481484</v>
      </c>
      <c r="Q156" s="2">
        <v>45941.61141203704</v>
      </c>
      <c r="R156" s="1" t="s">
        <v>1725</v>
      </c>
      <c r="S156" s="1" t="s">
        <v>60</v>
      </c>
      <c r="T156" s="2">
        <v>45936.813321759262</v>
      </c>
      <c r="U156" s="1" t="s">
        <v>61</v>
      </c>
      <c r="V156" s="1" t="s">
        <v>62</v>
      </c>
      <c r="W156" s="1" t="s">
        <v>61</v>
      </c>
      <c r="X156" s="1" t="s">
        <v>61</v>
      </c>
      <c r="Y156" s="1" t="s">
        <v>61</v>
      </c>
      <c r="Z156" s="1" t="s">
        <v>61</v>
      </c>
      <c r="AA156" s="1" t="s">
        <v>61</v>
      </c>
      <c r="AB156" s="1" t="s">
        <v>61</v>
      </c>
      <c r="AC156" s="1" t="s">
        <v>61</v>
      </c>
      <c r="AD156" s="2">
        <v>45941.61215277778</v>
      </c>
      <c r="AE156" s="1" t="s">
        <v>63</v>
      </c>
      <c r="AF156" s="1" t="s">
        <v>61</v>
      </c>
      <c r="AG156" s="1" t="s">
        <v>337</v>
      </c>
      <c r="AH156" s="1" t="s">
        <v>338</v>
      </c>
      <c r="AI156">
        <v>190011</v>
      </c>
      <c r="AJ156" s="1" t="s">
        <v>66</v>
      </c>
      <c r="AK156" s="1" t="s">
        <v>67</v>
      </c>
      <c r="AL156">
        <v>62044220</v>
      </c>
      <c r="AM156" s="2"/>
      <c r="AN156">
        <v>3600</v>
      </c>
      <c r="AO156" s="1" t="s">
        <v>1726</v>
      </c>
      <c r="AP156" s="1" t="s">
        <v>209</v>
      </c>
      <c r="AQ156" s="1" t="s">
        <v>339</v>
      </c>
      <c r="AR156" s="1" t="s">
        <v>63</v>
      </c>
      <c r="AS156">
        <v>18</v>
      </c>
      <c r="AT156">
        <v>0</v>
      </c>
      <c r="AU156">
        <v>0</v>
      </c>
      <c r="AV156">
        <v>18</v>
      </c>
      <c r="AW156">
        <v>549.15300000000002</v>
      </c>
      <c r="AX156">
        <v>0</v>
      </c>
      <c r="AY156">
        <v>0</v>
      </c>
      <c r="AZ156">
        <v>549.15300000000002</v>
      </c>
      <c r="BA156" s="2">
        <v>45936.602812500001</v>
      </c>
      <c r="BB156">
        <v>0.75</v>
      </c>
      <c r="BC156" s="2">
        <v>45939.5</v>
      </c>
      <c r="BD156" s="27">
        <f>MarketPlace_Order_Report__2[[#This Row],[UnitPrice]]*MarketPlace_Order_Report__2[[#This Row],[OrderQty]]</f>
        <v>3600</v>
      </c>
      <c r="BE156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56" s="27">
        <f>MarketPlace_Order_Report__2[[#This Row],[Gross Amount (Before Tax)]]+MarketPlace_Order_Report__2[[#This Row],[Total GST Amount]]</f>
        <v>4149.1530000000002</v>
      </c>
    </row>
    <row r="157" spans="1:58">
      <c r="A157" s="1" t="s">
        <v>1727</v>
      </c>
      <c r="B157" s="1" t="s">
        <v>1728</v>
      </c>
      <c r="C157" s="1" t="s">
        <v>1729</v>
      </c>
      <c r="D157" s="1" t="s">
        <v>1730</v>
      </c>
      <c r="E157">
        <v>4</v>
      </c>
      <c r="F157" s="1" t="s">
        <v>71</v>
      </c>
      <c r="G157">
        <v>1</v>
      </c>
      <c r="H157">
        <v>1</v>
      </c>
      <c r="I157">
        <v>2000</v>
      </c>
      <c r="J157">
        <v>1600</v>
      </c>
      <c r="K157">
        <v>0</v>
      </c>
      <c r="L157">
        <v>1613.8</v>
      </c>
      <c r="M157">
        <v>13.8</v>
      </c>
      <c r="N157" s="1" t="s">
        <v>72</v>
      </c>
      <c r="O157" s="2">
        <v>45934.006076388891</v>
      </c>
      <c r="P157" s="2">
        <v>45936.714317129627</v>
      </c>
      <c r="Q157" s="2">
        <v>45940.74796296296</v>
      </c>
      <c r="R157" s="1" t="s">
        <v>1731</v>
      </c>
      <c r="S157" s="1" t="s">
        <v>351</v>
      </c>
      <c r="T157" s="2">
        <v>45934.839085648149</v>
      </c>
      <c r="U157" s="1" t="s">
        <v>61</v>
      </c>
      <c r="V157" s="1" t="s">
        <v>62</v>
      </c>
      <c r="W157" s="1" t="s">
        <v>61</v>
      </c>
      <c r="X157" s="1" t="s">
        <v>61</v>
      </c>
      <c r="Y157" s="1" t="s">
        <v>1732</v>
      </c>
      <c r="Z157" s="1" t="s">
        <v>74</v>
      </c>
      <c r="AA157" s="1" t="s">
        <v>75</v>
      </c>
      <c r="AB157" s="1" t="s">
        <v>61</v>
      </c>
      <c r="AC157" s="1" t="s">
        <v>61</v>
      </c>
      <c r="AD157" s="2">
        <v>45948.823819444442</v>
      </c>
      <c r="AE157" s="1" t="s">
        <v>63</v>
      </c>
      <c r="AF157" s="1" t="s">
        <v>61</v>
      </c>
      <c r="AG157" s="1" t="s">
        <v>408</v>
      </c>
      <c r="AH157" s="1" t="s">
        <v>318</v>
      </c>
      <c r="AI157">
        <v>400049</v>
      </c>
      <c r="AJ157" s="1" t="s">
        <v>66</v>
      </c>
      <c r="AK157" s="1" t="s">
        <v>67</v>
      </c>
      <c r="AL157">
        <v>62044220</v>
      </c>
      <c r="AM157" s="2"/>
      <c r="AN157">
        <v>1600</v>
      </c>
      <c r="AO157" s="1" t="s">
        <v>1733</v>
      </c>
      <c r="AP157" s="1" t="s">
        <v>61</v>
      </c>
      <c r="AQ157" s="1" t="s">
        <v>61</v>
      </c>
      <c r="AR157" s="1" t="s">
        <v>63</v>
      </c>
      <c r="AS157">
        <v>5</v>
      </c>
      <c r="AT157">
        <v>2.5</v>
      </c>
      <c r="AU157">
        <v>2.5</v>
      </c>
      <c r="AV157">
        <v>0</v>
      </c>
      <c r="AW157">
        <v>76.19</v>
      </c>
      <c r="AX157">
        <v>38.094999999999999</v>
      </c>
      <c r="AY157">
        <v>38.094999999999999</v>
      </c>
      <c r="AZ157">
        <v>0</v>
      </c>
      <c r="BA157" s="2"/>
      <c r="BB157">
        <v>0.75</v>
      </c>
      <c r="BC157" s="2">
        <v>45936.5</v>
      </c>
      <c r="BD157" s="27">
        <f>MarketPlace_Order_Report__2[[#This Row],[UnitPrice]]*MarketPlace_Order_Report__2[[#This Row],[OrderQty]]</f>
        <v>1600</v>
      </c>
      <c r="BE157" s="27">
        <f>IFERROR(MarketPlace_Order_Report__2[[#This Row],[CGSTAmount]]+MarketPlace_Order_Report__2[[#This Row],[SGSTAmount]]+MarketPlace_Order_Report__2[[#This Row],[IGSTAmount]],MarketPlace_Order_Report__2[[#This Row],[TaxAmount]])</f>
        <v>76.19</v>
      </c>
      <c r="BF157" s="27">
        <f>MarketPlace_Order_Report__2[[#This Row],[Gross Amount (Before Tax)]]+MarketPlace_Order_Report__2[[#This Row],[Total GST Amount]]</f>
        <v>1676.19</v>
      </c>
    </row>
    <row r="158" spans="1:58">
      <c r="A158" s="1" t="s">
        <v>1734</v>
      </c>
      <c r="B158" s="1" t="s">
        <v>1735</v>
      </c>
      <c r="C158" s="1" t="s">
        <v>1736</v>
      </c>
      <c r="D158" s="1" t="s">
        <v>1737</v>
      </c>
      <c r="E158">
        <v>1</v>
      </c>
      <c r="F158" s="1" t="s">
        <v>71</v>
      </c>
      <c r="G158">
        <v>1</v>
      </c>
      <c r="H158">
        <v>1</v>
      </c>
      <c r="I158">
        <v>2000</v>
      </c>
      <c r="J158">
        <v>1600</v>
      </c>
      <c r="K158">
        <v>0</v>
      </c>
      <c r="L158">
        <v>1600</v>
      </c>
      <c r="M158">
        <v>0</v>
      </c>
      <c r="N158" s="1" t="s">
        <v>59</v>
      </c>
      <c r="O158" s="2">
        <v>45935.474363425928</v>
      </c>
      <c r="P158" s="2">
        <v>45936.777083333334</v>
      </c>
      <c r="Q158" s="2">
        <v>45938.386111111111</v>
      </c>
      <c r="R158" s="1" t="s">
        <v>1738</v>
      </c>
      <c r="S158" s="1" t="s">
        <v>107</v>
      </c>
      <c r="T158" s="2">
        <v>45935.742905092593</v>
      </c>
      <c r="U158" s="1" t="s">
        <v>61</v>
      </c>
      <c r="V158" s="1" t="s">
        <v>62</v>
      </c>
      <c r="W158" s="1" t="s">
        <v>61</v>
      </c>
      <c r="X158" s="1" t="s">
        <v>61</v>
      </c>
      <c r="Y158" s="1" t="s">
        <v>1739</v>
      </c>
      <c r="Z158" s="1" t="s">
        <v>74</v>
      </c>
      <c r="AA158" s="1" t="s">
        <v>75</v>
      </c>
      <c r="AB158" s="1" t="s">
        <v>61</v>
      </c>
      <c r="AC158" s="1" t="s">
        <v>61</v>
      </c>
      <c r="AD158" s="2">
        <v>45946.608541666668</v>
      </c>
      <c r="AE158" s="1" t="s">
        <v>63</v>
      </c>
      <c r="AF158" s="1" t="s">
        <v>61</v>
      </c>
      <c r="AG158" s="1" t="s">
        <v>108</v>
      </c>
      <c r="AH158" s="1" t="s">
        <v>109</v>
      </c>
      <c r="AI158">
        <v>500068</v>
      </c>
      <c r="AJ158" s="1" t="s">
        <v>66</v>
      </c>
      <c r="AK158" s="1" t="s">
        <v>67</v>
      </c>
      <c r="AL158">
        <v>62044220</v>
      </c>
      <c r="AM158" s="2"/>
      <c r="AN158">
        <v>1600</v>
      </c>
      <c r="AO158" s="1" t="s">
        <v>1740</v>
      </c>
      <c r="AP158" s="1" t="s">
        <v>209</v>
      </c>
      <c r="AQ158" s="1" t="s">
        <v>61</v>
      </c>
      <c r="AR158" s="1" t="s">
        <v>63</v>
      </c>
      <c r="AS158">
        <v>5</v>
      </c>
      <c r="AT158">
        <v>0</v>
      </c>
      <c r="AU158">
        <v>0</v>
      </c>
      <c r="AV158">
        <v>5</v>
      </c>
      <c r="AW158">
        <v>76.19</v>
      </c>
      <c r="AX158">
        <v>0</v>
      </c>
      <c r="AY158">
        <v>0</v>
      </c>
      <c r="AZ158">
        <v>76.19</v>
      </c>
      <c r="BA158" s="2"/>
      <c r="BB158">
        <v>0.75</v>
      </c>
      <c r="BC158" s="2">
        <v>45937.5</v>
      </c>
      <c r="BD158" s="27">
        <f>MarketPlace_Order_Report__2[[#This Row],[UnitPrice]]*MarketPlace_Order_Report__2[[#This Row],[OrderQty]]</f>
        <v>1600</v>
      </c>
      <c r="BE158" s="27">
        <f>IFERROR(MarketPlace_Order_Report__2[[#This Row],[CGSTAmount]]+MarketPlace_Order_Report__2[[#This Row],[SGSTAmount]]+MarketPlace_Order_Report__2[[#This Row],[IGSTAmount]],MarketPlace_Order_Report__2[[#This Row],[TaxAmount]])</f>
        <v>76.19</v>
      </c>
      <c r="BF158" s="27">
        <f>MarketPlace_Order_Report__2[[#This Row],[Gross Amount (Before Tax)]]+MarketPlace_Order_Report__2[[#This Row],[Total GST Amount]]</f>
        <v>1676.19</v>
      </c>
    </row>
    <row r="159" spans="1:58">
      <c r="A159" s="1" t="s">
        <v>1741</v>
      </c>
      <c r="B159" s="1" t="s">
        <v>1742</v>
      </c>
      <c r="C159" s="1" t="s">
        <v>577</v>
      </c>
      <c r="D159" s="1" t="s">
        <v>578</v>
      </c>
      <c r="E159">
        <v>1</v>
      </c>
      <c r="F159" s="1" t="s">
        <v>58</v>
      </c>
      <c r="G159">
        <v>1</v>
      </c>
      <c r="H159">
        <v>1</v>
      </c>
      <c r="I159">
        <v>4000</v>
      </c>
      <c r="J159">
        <v>3600</v>
      </c>
      <c r="K159">
        <v>0</v>
      </c>
      <c r="L159">
        <v>3600</v>
      </c>
      <c r="M159">
        <v>0</v>
      </c>
      <c r="N159" s="1" t="s">
        <v>59</v>
      </c>
      <c r="O159" s="2">
        <v>45947.369687500002</v>
      </c>
      <c r="P159" s="2">
        <v>45948.728368055556</v>
      </c>
      <c r="Q159" s="2">
        <v>45955.460138888891</v>
      </c>
      <c r="R159" s="1" t="s">
        <v>1743</v>
      </c>
      <c r="S159" s="1" t="s">
        <v>60</v>
      </c>
      <c r="T159" s="2">
        <v>45947.783541666664</v>
      </c>
      <c r="U159" s="1" t="s">
        <v>61</v>
      </c>
      <c r="V159" s="1" t="s">
        <v>62</v>
      </c>
      <c r="W159" s="1" t="s">
        <v>61</v>
      </c>
      <c r="X159" s="1" t="s">
        <v>61</v>
      </c>
      <c r="Y159" s="1" t="s">
        <v>61</v>
      </c>
      <c r="Z159" s="1" t="s">
        <v>61</v>
      </c>
      <c r="AA159" s="1" t="s">
        <v>61</v>
      </c>
      <c r="AB159" s="1" t="s">
        <v>61</v>
      </c>
      <c r="AC159" s="1" t="s">
        <v>61</v>
      </c>
      <c r="AD159" s="2">
        <v>45955.462696759256</v>
      </c>
      <c r="AE159" s="1" t="s">
        <v>63</v>
      </c>
      <c r="AF159" s="1" t="s">
        <v>61</v>
      </c>
      <c r="AG159" s="1" t="s">
        <v>197</v>
      </c>
      <c r="AH159" s="1" t="s">
        <v>65</v>
      </c>
      <c r="AI159">
        <v>560103</v>
      </c>
      <c r="AJ159" s="1" t="s">
        <v>66</v>
      </c>
      <c r="AK159" s="1" t="s">
        <v>67</v>
      </c>
      <c r="AL159">
        <v>62044220</v>
      </c>
      <c r="AM159" s="2"/>
      <c r="AN159">
        <v>3600</v>
      </c>
      <c r="AO159" s="1" t="s">
        <v>1744</v>
      </c>
      <c r="AP159" s="1" t="s">
        <v>145</v>
      </c>
      <c r="AQ159" s="1" t="s">
        <v>61</v>
      </c>
      <c r="AR159" s="1" t="s">
        <v>63</v>
      </c>
      <c r="AS159">
        <v>18</v>
      </c>
      <c r="AT159">
        <v>0</v>
      </c>
      <c r="AU159">
        <v>0</v>
      </c>
      <c r="AV159">
        <v>18</v>
      </c>
      <c r="AW159">
        <v>549.15300000000002</v>
      </c>
      <c r="AX159">
        <v>0</v>
      </c>
      <c r="AY159">
        <v>0</v>
      </c>
      <c r="AZ159">
        <v>549.15300000000002</v>
      </c>
      <c r="BA159" s="2"/>
      <c r="BB159">
        <v>1.1000000000000001</v>
      </c>
      <c r="BC159" s="2">
        <v>45949.5</v>
      </c>
      <c r="BD159" s="27">
        <f>MarketPlace_Order_Report__2[[#This Row],[UnitPrice]]*MarketPlace_Order_Report__2[[#This Row],[OrderQty]]</f>
        <v>3600</v>
      </c>
      <c r="BE159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59" s="27">
        <f>MarketPlace_Order_Report__2[[#This Row],[Gross Amount (Before Tax)]]+MarketPlace_Order_Report__2[[#This Row],[Total GST Amount]]</f>
        <v>4149.1530000000002</v>
      </c>
    </row>
    <row r="160" spans="1:58">
      <c r="A160" s="1" t="s">
        <v>1745</v>
      </c>
      <c r="B160" s="1" t="s">
        <v>1746</v>
      </c>
      <c r="C160" s="1" t="s">
        <v>1747</v>
      </c>
      <c r="D160" s="1" t="s">
        <v>1748</v>
      </c>
      <c r="E160">
        <v>1</v>
      </c>
      <c r="F160" s="1" t="s">
        <v>58</v>
      </c>
      <c r="G160">
        <v>1</v>
      </c>
      <c r="H160">
        <v>1</v>
      </c>
      <c r="I160">
        <v>3750</v>
      </c>
      <c r="J160">
        <v>3375</v>
      </c>
      <c r="K160">
        <v>0</v>
      </c>
      <c r="L160">
        <v>3404</v>
      </c>
      <c r="M160">
        <v>29</v>
      </c>
      <c r="N160" s="1" t="s">
        <v>59</v>
      </c>
      <c r="O160" s="2">
        <v>45957.28465277778</v>
      </c>
      <c r="P160" s="2">
        <v>45958.714942129627</v>
      </c>
      <c r="Q160" s="2">
        <v>45960.577118055553</v>
      </c>
      <c r="R160" s="1" t="s">
        <v>1749</v>
      </c>
      <c r="S160" s="1" t="s">
        <v>60</v>
      </c>
      <c r="T160" s="2">
        <v>45957.797627314816</v>
      </c>
      <c r="U160" s="1" t="s">
        <v>61</v>
      </c>
      <c r="V160" s="1" t="s">
        <v>62</v>
      </c>
      <c r="W160" s="1" t="s">
        <v>61</v>
      </c>
      <c r="X160" s="1" t="s">
        <v>61</v>
      </c>
      <c r="Y160" s="1" t="s">
        <v>61</v>
      </c>
      <c r="Z160" s="1" t="s">
        <v>61</v>
      </c>
      <c r="AA160" s="1" t="s">
        <v>61</v>
      </c>
      <c r="AB160" s="1" t="s">
        <v>61</v>
      </c>
      <c r="AC160" s="1" t="s">
        <v>61</v>
      </c>
      <c r="AD160" s="2">
        <v>45960.590983796297</v>
      </c>
      <c r="AE160" s="1" t="s">
        <v>63</v>
      </c>
      <c r="AF160" s="1" t="s">
        <v>61</v>
      </c>
      <c r="AG160" s="1" t="s">
        <v>746</v>
      </c>
      <c r="AH160" s="1" t="s">
        <v>115</v>
      </c>
      <c r="AI160">
        <v>600100</v>
      </c>
      <c r="AJ160" s="1" t="s">
        <v>66</v>
      </c>
      <c r="AK160" s="1" t="s">
        <v>67</v>
      </c>
      <c r="AL160">
        <v>62044220</v>
      </c>
      <c r="AM160" s="2"/>
      <c r="AN160">
        <v>3375</v>
      </c>
      <c r="AO160" s="1" t="s">
        <v>1750</v>
      </c>
      <c r="AP160" s="1" t="s">
        <v>61</v>
      </c>
      <c r="AQ160" s="1" t="s">
        <v>61</v>
      </c>
      <c r="AR160" s="1" t="s">
        <v>63</v>
      </c>
      <c r="AS160">
        <v>18</v>
      </c>
      <c r="AT160">
        <v>0</v>
      </c>
      <c r="AU160">
        <v>0</v>
      </c>
      <c r="AV160">
        <v>18</v>
      </c>
      <c r="AW160">
        <v>514.83100000000002</v>
      </c>
      <c r="AX160">
        <v>0</v>
      </c>
      <c r="AY160">
        <v>0</v>
      </c>
      <c r="AZ160">
        <v>514.83100000000002</v>
      </c>
      <c r="BA160" s="2"/>
      <c r="BB160">
        <v>0.75</v>
      </c>
      <c r="BC160" s="2">
        <v>45959.5</v>
      </c>
      <c r="BD160" s="27">
        <f>MarketPlace_Order_Report__2[[#This Row],[UnitPrice]]*MarketPlace_Order_Report__2[[#This Row],[OrderQty]]</f>
        <v>3375</v>
      </c>
      <c r="BE160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0" s="27">
        <f>MarketPlace_Order_Report__2[[#This Row],[Gross Amount (Before Tax)]]+MarketPlace_Order_Report__2[[#This Row],[Total GST Amount]]</f>
        <v>3889.8310000000001</v>
      </c>
    </row>
    <row r="161" spans="1:58">
      <c r="A161" s="1" t="s">
        <v>1751</v>
      </c>
      <c r="B161" s="1" t="s">
        <v>1752</v>
      </c>
      <c r="C161" s="1" t="s">
        <v>1753</v>
      </c>
      <c r="D161" s="1" t="s">
        <v>1754</v>
      </c>
      <c r="E161">
        <v>1</v>
      </c>
      <c r="F161" s="1" t="s">
        <v>58</v>
      </c>
      <c r="G161">
        <v>1</v>
      </c>
      <c r="H161">
        <v>1</v>
      </c>
      <c r="I161">
        <v>3750</v>
      </c>
      <c r="J161">
        <v>3375</v>
      </c>
      <c r="K161">
        <v>0</v>
      </c>
      <c r="L161">
        <v>3375</v>
      </c>
      <c r="M161">
        <v>0</v>
      </c>
      <c r="N161" s="1" t="s">
        <v>59</v>
      </c>
      <c r="O161" s="2">
        <v>45957.437928240739</v>
      </c>
      <c r="P161" s="2">
        <v>45958.714375000003</v>
      </c>
      <c r="Q161" s="2">
        <v>45960.458587962959</v>
      </c>
      <c r="R161" s="1" t="s">
        <v>1755</v>
      </c>
      <c r="S161" s="1" t="s">
        <v>60</v>
      </c>
      <c r="T161" s="2">
        <v>45957.797627314816</v>
      </c>
      <c r="U161" s="1" t="s">
        <v>61</v>
      </c>
      <c r="V161" s="1" t="s">
        <v>62</v>
      </c>
      <c r="W161" s="1" t="s">
        <v>61</v>
      </c>
      <c r="X161" s="1" t="s">
        <v>61</v>
      </c>
      <c r="Y161" s="1" t="s">
        <v>61</v>
      </c>
      <c r="Z161" s="1" t="s">
        <v>61</v>
      </c>
      <c r="AA161" s="1" t="s">
        <v>61</v>
      </c>
      <c r="AB161" s="1" t="s">
        <v>61</v>
      </c>
      <c r="AC161" s="1" t="s">
        <v>61</v>
      </c>
      <c r="AD161" s="2">
        <v>45960.462569444448</v>
      </c>
      <c r="AE161" s="1" t="s">
        <v>63</v>
      </c>
      <c r="AF161" s="1" t="s">
        <v>61</v>
      </c>
      <c r="AG161" s="1" t="s">
        <v>751</v>
      </c>
      <c r="AH161" s="1" t="s">
        <v>275</v>
      </c>
      <c r="AI161">
        <v>700048</v>
      </c>
      <c r="AJ161" s="1" t="s">
        <v>66</v>
      </c>
      <c r="AK161" s="1" t="s">
        <v>67</v>
      </c>
      <c r="AL161">
        <v>62044220</v>
      </c>
      <c r="AM161" s="2"/>
      <c r="AN161">
        <v>3375</v>
      </c>
      <c r="AO161" s="1" t="s">
        <v>1756</v>
      </c>
      <c r="AP161" s="1" t="s">
        <v>61</v>
      </c>
      <c r="AQ161" s="1" t="s">
        <v>61</v>
      </c>
      <c r="AR161" s="1" t="s">
        <v>63</v>
      </c>
      <c r="AS161">
        <v>18</v>
      </c>
      <c r="AT161">
        <v>0</v>
      </c>
      <c r="AU161">
        <v>0</v>
      </c>
      <c r="AV161">
        <v>18</v>
      </c>
      <c r="AW161">
        <v>514.83100000000002</v>
      </c>
      <c r="AX161">
        <v>0</v>
      </c>
      <c r="AY161">
        <v>0</v>
      </c>
      <c r="AZ161">
        <v>514.83100000000002</v>
      </c>
      <c r="BA161" s="2"/>
      <c r="BB161">
        <v>0.75</v>
      </c>
      <c r="BC161" s="2">
        <v>45959.5</v>
      </c>
      <c r="BD161" s="27">
        <f>MarketPlace_Order_Report__2[[#This Row],[UnitPrice]]*MarketPlace_Order_Report__2[[#This Row],[OrderQty]]</f>
        <v>3375</v>
      </c>
      <c r="BE161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1" s="27">
        <f>MarketPlace_Order_Report__2[[#This Row],[Gross Amount (Before Tax)]]+MarketPlace_Order_Report__2[[#This Row],[Total GST Amount]]</f>
        <v>3889.8310000000001</v>
      </c>
    </row>
    <row r="162" spans="1:58">
      <c r="A162" s="1" t="s">
        <v>1757</v>
      </c>
      <c r="B162" s="1" t="s">
        <v>1758</v>
      </c>
      <c r="C162" s="1" t="s">
        <v>1759</v>
      </c>
      <c r="D162" s="1" t="s">
        <v>1760</v>
      </c>
      <c r="E162">
        <v>2</v>
      </c>
      <c r="F162" s="1" t="s">
        <v>413</v>
      </c>
      <c r="G162">
        <v>1</v>
      </c>
      <c r="H162">
        <v>1</v>
      </c>
      <c r="I162">
        <v>3750</v>
      </c>
      <c r="J162">
        <v>3375</v>
      </c>
      <c r="K162">
        <v>0</v>
      </c>
      <c r="L162">
        <v>3382.252</v>
      </c>
      <c r="M162">
        <v>7.2519999999999998</v>
      </c>
      <c r="N162" s="1" t="s">
        <v>59</v>
      </c>
      <c r="O162" s="2">
        <v>45958.034259259257</v>
      </c>
      <c r="P162" s="2">
        <v>45958.715937499997</v>
      </c>
      <c r="Q162" s="2"/>
      <c r="R162" s="1" t="s">
        <v>1761</v>
      </c>
      <c r="S162" s="1" t="s">
        <v>60</v>
      </c>
      <c r="T162" s="2">
        <v>45958.543113425927</v>
      </c>
      <c r="U162" s="1" t="s">
        <v>61</v>
      </c>
      <c r="V162" s="1" t="s">
        <v>62</v>
      </c>
      <c r="W162" s="1" t="s">
        <v>61</v>
      </c>
      <c r="X162" s="1" t="s">
        <v>61</v>
      </c>
      <c r="Y162" s="1" t="s">
        <v>61</v>
      </c>
      <c r="Z162" s="1" t="s">
        <v>61</v>
      </c>
      <c r="AA162" s="1" t="s">
        <v>61</v>
      </c>
      <c r="AB162" s="1" t="s">
        <v>61</v>
      </c>
      <c r="AC162" s="1" t="s">
        <v>61</v>
      </c>
      <c r="AD162" s="2">
        <v>45961.553020833337</v>
      </c>
      <c r="AE162" s="1" t="s">
        <v>63</v>
      </c>
      <c r="AF162" s="1" t="s">
        <v>61</v>
      </c>
      <c r="AG162" s="1" t="s">
        <v>1762</v>
      </c>
      <c r="AH162" s="1" t="s">
        <v>503</v>
      </c>
      <c r="AI162">
        <v>144602</v>
      </c>
      <c r="AJ162" s="1" t="s">
        <v>66</v>
      </c>
      <c r="AK162" s="1" t="s">
        <v>67</v>
      </c>
      <c r="AL162">
        <v>62044220</v>
      </c>
      <c r="AM162" s="2"/>
      <c r="AN162">
        <v>3375</v>
      </c>
      <c r="AO162" s="1" t="s">
        <v>1763</v>
      </c>
      <c r="AP162" s="1" t="s">
        <v>61</v>
      </c>
      <c r="AQ162" s="1" t="s">
        <v>61</v>
      </c>
      <c r="AR162" s="1" t="s">
        <v>63</v>
      </c>
      <c r="AS162">
        <v>18</v>
      </c>
      <c r="AT162">
        <v>0</v>
      </c>
      <c r="AU162">
        <v>0</v>
      </c>
      <c r="AV162">
        <v>18</v>
      </c>
      <c r="AW162">
        <v>514.83100000000002</v>
      </c>
      <c r="AX162">
        <v>0</v>
      </c>
      <c r="AY162">
        <v>0</v>
      </c>
      <c r="AZ162">
        <v>514.83100000000002</v>
      </c>
      <c r="BA162" s="2"/>
      <c r="BB162">
        <v>1.1000000000000001</v>
      </c>
      <c r="BC162" s="2">
        <v>45960.5</v>
      </c>
      <c r="BD162" s="27">
        <f>MarketPlace_Order_Report__2[[#This Row],[UnitPrice]]*MarketPlace_Order_Report__2[[#This Row],[OrderQty]]</f>
        <v>3375</v>
      </c>
      <c r="BE162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2" s="27">
        <f>MarketPlace_Order_Report__2[[#This Row],[Gross Amount (Before Tax)]]+MarketPlace_Order_Report__2[[#This Row],[Total GST Amount]]</f>
        <v>3889.8310000000001</v>
      </c>
    </row>
    <row r="163" spans="1:58">
      <c r="A163" s="1" t="s">
        <v>1764</v>
      </c>
      <c r="B163" s="1" t="s">
        <v>1765</v>
      </c>
      <c r="C163" s="1" t="s">
        <v>1766</v>
      </c>
      <c r="D163" s="1" t="s">
        <v>1767</v>
      </c>
      <c r="E163">
        <v>1</v>
      </c>
      <c r="F163" s="1" t="s">
        <v>58</v>
      </c>
      <c r="G163">
        <v>1</v>
      </c>
      <c r="H163">
        <v>1</v>
      </c>
      <c r="I163">
        <v>3750</v>
      </c>
      <c r="J163">
        <v>3375</v>
      </c>
      <c r="K163">
        <v>0</v>
      </c>
      <c r="L163">
        <v>3395</v>
      </c>
      <c r="M163">
        <v>20</v>
      </c>
      <c r="N163" s="1" t="s">
        <v>72</v>
      </c>
      <c r="O163" s="2">
        <v>45954.096979166665</v>
      </c>
      <c r="P163" s="2">
        <v>45954.73097222222</v>
      </c>
      <c r="Q163" s="2">
        <v>45959.529398148145</v>
      </c>
      <c r="R163" s="1" t="s">
        <v>1768</v>
      </c>
      <c r="S163" s="1" t="s">
        <v>60</v>
      </c>
      <c r="T163" s="2">
        <v>45954.500509259262</v>
      </c>
      <c r="U163" s="1" t="s">
        <v>61</v>
      </c>
      <c r="V163" s="1" t="s">
        <v>62</v>
      </c>
      <c r="W163" s="1" t="s">
        <v>61</v>
      </c>
      <c r="X163" s="1" t="s">
        <v>61</v>
      </c>
      <c r="Y163" s="1" t="s">
        <v>61</v>
      </c>
      <c r="Z163" s="1" t="s">
        <v>61</v>
      </c>
      <c r="AA163" s="1" t="s">
        <v>61</v>
      </c>
      <c r="AB163" s="1" t="s">
        <v>61</v>
      </c>
      <c r="AC163" s="1" t="s">
        <v>61</v>
      </c>
      <c r="AD163" s="2">
        <v>45959.556481481479</v>
      </c>
      <c r="AE163" s="1" t="s">
        <v>63</v>
      </c>
      <c r="AF163" s="1" t="s">
        <v>61</v>
      </c>
      <c r="AG163" s="1" t="s">
        <v>1769</v>
      </c>
      <c r="AH163" s="1" t="s">
        <v>109</v>
      </c>
      <c r="AI163">
        <v>503001</v>
      </c>
      <c r="AJ163" s="1" t="s">
        <v>66</v>
      </c>
      <c r="AK163" s="1" t="s">
        <v>67</v>
      </c>
      <c r="AL163">
        <v>62044220</v>
      </c>
      <c r="AM163" s="2"/>
      <c r="AN163">
        <v>3375</v>
      </c>
      <c r="AO163" s="1" t="s">
        <v>1770</v>
      </c>
      <c r="AP163" s="1" t="s">
        <v>1771</v>
      </c>
      <c r="AQ163" s="1" t="s">
        <v>61</v>
      </c>
      <c r="AR163" s="1" t="s">
        <v>63</v>
      </c>
      <c r="AS163">
        <v>18</v>
      </c>
      <c r="AT163">
        <v>0</v>
      </c>
      <c r="AU163">
        <v>0</v>
      </c>
      <c r="AV163">
        <v>18</v>
      </c>
      <c r="AW163">
        <v>514.83100000000002</v>
      </c>
      <c r="AX163">
        <v>0</v>
      </c>
      <c r="AY163">
        <v>0</v>
      </c>
      <c r="AZ163">
        <v>514.83100000000002</v>
      </c>
      <c r="BA163" s="2"/>
      <c r="BB163">
        <v>0.75</v>
      </c>
      <c r="BC163" s="2">
        <v>45956.5</v>
      </c>
      <c r="BD163" s="27">
        <f>MarketPlace_Order_Report__2[[#This Row],[UnitPrice]]*MarketPlace_Order_Report__2[[#This Row],[OrderQty]]</f>
        <v>3375</v>
      </c>
      <c r="BE163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3" s="27">
        <f>MarketPlace_Order_Report__2[[#This Row],[Gross Amount (Before Tax)]]+MarketPlace_Order_Report__2[[#This Row],[Total GST Amount]]</f>
        <v>3889.8310000000001</v>
      </c>
    </row>
    <row r="164" spans="1:58">
      <c r="A164" s="1" t="s">
        <v>1772</v>
      </c>
      <c r="B164" s="1" t="s">
        <v>1773</v>
      </c>
      <c r="C164" s="1" t="s">
        <v>1774</v>
      </c>
      <c r="D164" s="1" t="s">
        <v>1775</v>
      </c>
      <c r="E164">
        <v>1</v>
      </c>
      <c r="F164" s="1" t="s">
        <v>58</v>
      </c>
      <c r="G164">
        <v>1</v>
      </c>
      <c r="H164">
        <v>1</v>
      </c>
      <c r="I164">
        <v>3750</v>
      </c>
      <c r="J164">
        <v>3375</v>
      </c>
      <c r="K164">
        <v>0</v>
      </c>
      <c r="L164">
        <v>3404</v>
      </c>
      <c r="M164">
        <v>29</v>
      </c>
      <c r="N164" s="1" t="s">
        <v>59</v>
      </c>
      <c r="O164" s="2">
        <v>45940.687847222223</v>
      </c>
      <c r="P164" s="2">
        <v>45941.746886574074</v>
      </c>
      <c r="Q164" s="2">
        <v>45943.543715277781</v>
      </c>
      <c r="R164" s="1" t="s">
        <v>1776</v>
      </c>
      <c r="S164" s="1" t="s">
        <v>351</v>
      </c>
      <c r="T164" s="2">
        <v>45940.816203703704</v>
      </c>
      <c r="U164" s="1" t="s">
        <v>61</v>
      </c>
      <c r="V164" s="1" t="s">
        <v>62</v>
      </c>
      <c r="W164" s="1" t="s">
        <v>61</v>
      </c>
      <c r="X164" s="1" t="s">
        <v>61</v>
      </c>
      <c r="Y164" s="1" t="s">
        <v>61</v>
      </c>
      <c r="Z164" s="1" t="s">
        <v>61</v>
      </c>
      <c r="AA164" s="1" t="s">
        <v>61</v>
      </c>
      <c r="AB164" s="1" t="s">
        <v>61</v>
      </c>
      <c r="AC164" s="1" t="s">
        <v>61</v>
      </c>
      <c r="AD164" s="2">
        <v>45943.545995370368</v>
      </c>
      <c r="AE164" s="1" t="s">
        <v>63</v>
      </c>
      <c r="AF164" s="1" t="s">
        <v>61</v>
      </c>
      <c r="AG164" s="1" t="s">
        <v>408</v>
      </c>
      <c r="AH164" s="1" t="s">
        <v>318</v>
      </c>
      <c r="AI164">
        <v>400050</v>
      </c>
      <c r="AJ164" s="1" t="s">
        <v>66</v>
      </c>
      <c r="AK164" s="1" t="s">
        <v>67</v>
      </c>
      <c r="AL164">
        <v>62044220</v>
      </c>
      <c r="AM164" s="2"/>
      <c r="AN164">
        <v>3375</v>
      </c>
      <c r="AO164" s="1" t="s">
        <v>1777</v>
      </c>
      <c r="AP164" s="1" t="s">
        <v>1014</v>
      </c>
      <c r="AQ164" s="1" t="s">
        <v>61</v>
      </c>
      <c r="AR164" s="1" t="s">
        <v>63</v>
      </c>
      <c r="AS164">
        <v>18</v>
      </c>
      <c r="AT164">
        <v>9</v>
      </c>
      <c r="AU164">
        <v>9</v>
      </c>
      <c r="AV164">
        <v>0</v>
      </c>
      <c r="AW164">
        <v>514.83100000000002</v>
      </c>
      <c r="AX164">
        <v>257.416</v>
      </c>
      <c r="AY164">
        <v>257.416</v>
      </c>
      <c r="AZ164">
        <v>0</v>
      </c>
      <c r="BA164" s="2"/>
      <c r="BB164">
        <v>0.75</v>
      </c>
      <c r="BC164" s="2">
        <v>45943.5</v>
      </c>
      <c r="BD164" s="27">
        <f>MarketPlace_Order_Report__2[[#This Row],[UnitPrice]]*MarketPlace_Order_Report__2[[#This Row],[OrderQty]]</f>
        <v>3375</v>
      </c>
      <c r="BE164" s="27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BF164" s="27">
        <f>MarketPlace_Order_Report__2[[#This Row],[Gross Amount (Before Tax)]]+MarketPlace_Order_Report__2[[#This Row],[Total GST Amount]]</f>
        <v>3889.8319999999999</v>
      </c>
    </row>
    <row r="165" spans="1:58">
      <c r="A165" s="1" t="s">
        <v>1614</v>
      </c>
      <c r="B165" s="1" t="s">
        <v>1615</v>
      </c>
      <c r="C165" s="1" t="s">
        <v>1778</v>
      </c>
      <c r="D165" s="1" t="s">
        <v>1779</v>
      </c>
      <c r="E165">
        <v>2</v>
      </c>
      <c r="F165" s="1" t="s">
        <v>58</v>
      </c>
      <c r="G165">
        <v>1</v>
      </c>
      <c r="H165">
        <v>1</v>
      </c>
      <c r="I165">
        <v>3750</v>
      </c>
      <c r="J165">
        <v>3375</v>
      </c>
      <c r="K165">
        <v>0</v>
      </c>
      <c r="L165">
        <v>3384.6770000000001</v>
      </c>
      <c r="M165">
        <v>9.6769999999999996</v>
      </c>
      <c r="N165" s="1" t="s">
        <v>72</v>
      </c>
      <c r="O165" s="2">
        <v>45944.744768518518</v>
      </c>
      <c r="P165" s="2">
        <v>45945.759652777779</v>
      </c>
      <c r="Q165" s="2">
        <v>45948.659861111111</v>
      </c>
      <c r="R165" s="1" t="s">
        <v>1618</v>
      </c>
      <c r="S165" s="1" t="s">
        <v>60</v>
      </c>
      <c r="T165" s="2">
        <v>45944.808067129627</v>
      </c>
      <c r="U165" s="1" t="s">
        <v>61</v>
      </c>
      <c r="V165" s="1" t="s">
        <v>62</v>
      </c>
      <c r="W165" s="1" t="s">
        <v>61</v>
      </c>
      <c r="X165" s="1" t="s">
        <v>61</v>
      </c>
      <c r="Y165" s="1" t="s">
        <v>61</v>
      </c>
      <c r="Z165" s="1" t="s">
        <v>61</v>
      </c>
      <c r="AA165" s="1" t="s">
        <v>61</v>
      </c>
      <c r="AB165" s="1" t="s">
        <v>61</v>
      </c>
      <c r="AC165" s="1" t="s">
        <v>61</v>
      </c>
      <c r="AD165" s="2">
        <v>45948.660636574074</v>
      </c>
      <c r="AE165" s="1" t="s">
        <v>63</v>
      </c>
      <c r="AF165" s="1" t="s">
        <v>61</v>
      </c>
      <c r="AG165" s="1" t="s">
        <v>136</v>
      </c>
      <c r="AH165" s="1" t="s">
        <v>77</v>
      </c>
      <c r="AI165">
        <v>201301</v>
      </c>
      <c r="AJ165" s="1" t="s">
        <v>66</v>
      </c>
      <c r="AK165" s="1" t="s">
        <v>67</v>
      </c>
      <c r="AL165">
        <v>62044220</v>
      </c>
      <c r="AM165" s="2"/>
      <c r="AN165">
        <v>3375</v>
      </c>
      <c r="AO165" s="1" t="s">
        <v>1619</v>
      </c>
      <c r="AP165" s="1" t="s">
        <v>1620</v>
      </c>
      <c r="AQ165" s="1" t="s">
        <v>61</v>
      </c>
      <c r="AR165" s="1" t="s">
        <v>63</v>
      </c>
      <c r="AS165">
        <v>18</v>
      </c>
      <c r="AT165">
        <v>0</v>
      </c>
      <c r="AU165">
        <v>0</v>
      </c>
      <c r="AV165">
        <v>18</v>
      </c>
      <c r="AW165">
        <v>514.83100000000002</v>
      </c>
      <c r="AX165">
        <v>0</v>
      </c>
      <c r="AY165">
        <v>0</v>
      </c>
      <c r="AZ165">
        <v>514.83100000000002</v>
      </c>
      <c r="BA165" s="2"/>
      <c r="BB165">
        <v>1</v>
      </c>
      <c r="BC165" s="2">
        <v>45947.5</v>
      </c>
      <c r="BD165" s="27">
        <f>MarketPlace_Order_Report__2[[#This Row],[UnitPrice]]*MarketPlace_Order_Report__2[[#This Row],[OrderQty]]</f>
        <v>3375</v>
      </c>
      <c r="BE165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5" s="27">
        <f>MarketPlace_Order_Report__2[[#This Row],[Gross Amount (Before Tax)]]+MarketPlace_Order_Report__2[[#This Row],[Total GST Amount]]</f>
        <v>3889.8310000000001</v>
      </c>
    </row>
    <row r="166" spans="1:58">
      <c r="A166" s="1" t="s">
        <v>1780</v>
      </c>
      <c r="B166" s="1" t="s">
        <v>1781</v>
      </c>
      <c r="C166" s="1" t="s">
        <v>1778</v>
      </c>
      <c r="D166" s="1" t="s">
        <v>1779</v>
      </c>
      <c r="E166">
        <v>1</v>
      </c>
      <c r="F166" s="1" t="s">
        <v>58</v>
      </c>
      <c r="G166">
        <v>1</v>
      </c>
      <c r="H166">
        <v>1</v>
      </c>
      <c r="I166">
        <v>3750</v>
      </c>
      <c r="J166">
        <v>3375</v>
      </c>
      <c r="K166">
        <v>0</v>
      </c>
      <c r="L166">
        <v>3494</v>
      </c>
      <c r="M166">
        <v>119</v>
      </c>
      <c r="N166" s="1" t="s">
        <v>72</v>
      </c>
      <c r="O166" s="2">
        <v>45942.757361111115</v>
      </c>
      <c r="P166" s="2">
        <v>45944.737060185187</v>
      </c>
      <c r="Q166" s="2">
        <v>45947.710266203707</v>
      </c>
      <c r="R166" s="1" t="s">
        <v>1782</v>
      </c>
      <c r="S166" s="1" t="s">
        <v>351</v>
      </c>
      <c r="T166" s="2">
        <v>45943.813715277778</v>
      </c>
      <c r="U166" s="1" t="s">
        <v>61</v>
      </c>
      <c r="V166" s="1" t="s">
        <v>62</v>
      </c>
      <c r="W166" s="1" t="s">
        <v>61</v>
      </c>
      <c r="X166" s="1" t="s">
        <v>61</v>
      </c>
      <c r="Y166" s="1" t="s">
        <v>61</v>
      </c>
      <c r="Z166" s="1" t="s">
        <v>61</v>
      </c>
      <c r="AA166" s="1" t="s">
        <v>61</v>
      </c>
      <c r="AB166" s="1" t="s">
        <v>61</v>
      </c>
      <c r="AC166" s="1" t="s">
        <v>61</v>
      </c>
      <c r="AD166" s="2">
        <v>45947.712789351855</v>
      </c>
      <c r="AE166" s="1" t="s">
        <v>63</v>
      </c>
      <c r="AF166" s="1" t="s">
        <v>61</v>
      </c>
      <c r="AG166" s="1" t="s">
        <v>1783</v>
      </c>
      <c r="AH166" s="1" t="s">
        <v>88</v>
      </c>
      <c r="AI166">
        <v>457001</v>
      </c>
      <c r="AJ166" s="1" t="s">
        <v>66</v>
      </c>
      <c r="AK166" s="1" t="s">
        <v>67</v>
      </c>
      <c r="AL166">
        <v>62044220</v>
      </c>
      <c r="AM166" s="2"/>
      <c r="AN166">
        <v>3375</v>
      </c>
      <c r="AO166" s="1" t="s">
        <v>1784</v>
      </c>
      <c r="AP166" s="1" t="s">
        <v>61</v>
      </c>
      <c r="AQ166" s="1" t="s">
        <v>61</v>
      </c>
      <c r="AR166" s="1" t="s">
        <v>63</v>
      </c>
      <c r="AS166">
        <v>18</v>
      </c>
      <c r="AT166">
        <v>0</v>
      </c>
      <c r="AU166">
        <v>0</v>
      </c>
      <c r="AV166">
        <v>18</v>
      </c>
      <c r="AW166">
        <v>514.83100000000002</v>
      </c>
      <c r="AX166">
        <v>0</v>
      </c>
      <c r="AY166">
        <v>0</v>
      </c>
      <c r="AZ166">
        <v>514.83100000000002</v>
      </c>
      <c r="BA166" s="2"/>
      <c r="BB166">
        <v>0.75</v>
      </c>
      <c r="BC166" s="2">
        <v>45945.5</v>
      </c>
      <c r="BD166" s="27">
        <f>MarketPlace_Order_Report__2[[#This Row],[UnitPrice]]*MarketPlace_Order_Report__2[[#This Row],[OrderQty]]</f>
        <v>3375</v>
      </c>
      <c r="BE166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6" s="27">
        <f>MarketPlace_Order_Report__2[[#This Row],[Gross Amount (Before Tax)]]+MarketPlace_Order_Report__2[[#This Row],[Total GST Amount]]</f>
        <v>3889.8310000000001</v>
      </c>
    </row>
    <row r="167" spans="1:58">
      <c r="A167" s="1" t="s">
        <v>1785</v>
      </c>
      <c r="B167" s="1" t="s">
        <v>1786</v>
      </c>
      <c r="C167" s="1" t="s">
        <v>598</v>
      </c>
      <c r="D167" s="1" t="s">
        <v>599</v>
      </c>
      <c r="E167">
        <v>1</v>
      </c>
      <c r="F167" s="1" t="s">
        <v>71</v>
      </c>
      <c r="G167">
        <v>1</v>
      </c>
      <c r="H167">
        <v>1</v>
      </c>
      <c r="I167">
        <v>3750</v>
      </c>
      <c r="J167">
        <v>3375</v>
      </c>
      <c r="K167">
        <v>0</v>
      </c>
      <c r="L167">
        <v>3404</v>
      </c>
      <c r="M167">
        <v>29</v>
      </c>
      <c r="N167" s="1" t="s">
        <v>59</v>
      </c>
      <c r="O167" s="2">
        <v>45942.710219907407</v>
      </c>
      <c r="P167" s="2">
        <v>45944.735995370371</v>
      </c>
      <c r="Q167" s="2">
        <v>45945.734490740739</v>
      </c>
      <c r="R167" s="1" t="s">
        <v>1787</v>
      </c>
      <c r="S167" s="1" t="s">
        <v>351</v>
      </c>
      <c r="T167" s="2">
        <v>45943.814467592594</v>
      </c>
      <c r="U167" s="1" t="s">
        <v>61</v>
      </c>
      <c r="V167" s="1" t="s">
        <v>62</v>
      </c>
      <c r="W167" s="1" t="s">
        <v>61</v>
      </c>
      <c r="X167" s="1" t="s">
        <v>61</v>
      </c>
      <c r="Y167" s="1" t="s">
        <v>1788</v>
      </c>
      <c r="Z167" s="1" t="s">
        <v>74</v>
      </c>
      <c r="AA167" s="1" t="s">
        <v>695</v>
      </c>
      <c r="AB167" s="1" t="s">
        <v>61</v>
      </c>
      <c r="AC167" s="1" t="s">
        <v>61</v>
      </c>
      <c r="AD167" s="2">
        <v>45961.49423611111</v>
      </c>
      <c r="AE167" s="1" t="s">
        <v>63</v>
      </c>
      <c r="AF167" s="1" t="s">
        <v>61</v>
      </c>
      <c r="AG167" s="1" t="s">
        <v>408</v>
      </c>
      <c r="AH167" s="1" t="s">
        <v>318</v>
      </c>
      <c r="AI167">
        <v>400094</v>
      </c>
      <c r="AJ167" s="1" t="s">
        <v>66</v>
      </c>
      <c r="AK167" s="1" t="s">
        <v>67</v>
      </c>
      <c r="AL167">
        <v>62044220</v>
      </c>
      <c r="AM167" s="2"/>
      <c r="AN167">
        <v>3375</v>
      </c>
      <c r="AO167" s="1" t="s">
        <v>1789</v>
      </c>
      <c r="AP167" s="1" t="s">
        <v>650</v>
      </c>
      <c r="AQ167" s="1" t="s">
        <v>61</v>
      </c>
      <c r="AR167" s="1" t="s">
        <v>63</v>
      </c>
      <c r="AS167">
        <v>18</v>
      </c>
      <c r="AT167">
        <v>9</v>
      </c>
      <c r="AU167">
        <v>9</v>
      </c>
      <c r="AV167">
        <v>0</v>
      </c>
      <c r="AW167">
        <v>514.83100000000002</v>
      </c>
      <c r="AX167">
        <v>257.416</v>
      </c>
      <c r="AY167">
        <v>257.416</v>
      </c>
      <c r="AZ167">
        <v>0</v>
      </c>
      <c r="BA167" s="2"/>
      <c r="BB167">
        <v>0.75</v>
      </c>
      <c r="BC167" s="2">
        <v>45945.5</v>
      </c>
      <c r="BD167" s="27">
        <f>MarketPlace_Order_Report__2[[#This Row],[UnitPrice]]*MarketPlace_Order_Report__2[[#This Row],[OrderQty]]</f>
        <v>3375</v>
      </c>
      <c r="BE167" s="27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BF167" s="27">
        <f>MarketPlace_Order_Report__2[[#This Row],[Gross Amount (Before Tax)]]+MarketPlace_Order_Report__2[[#This Row],[Total GST Amount]]</f>
        <v>3889.8319999999999</v>
      </c>
    </row>
    <row r="168" spans="1:58">
      <c r="A168" s="1" t="s">
        <v>1790</v>
      </c>
      <c r="B168" s="1" t="s">
        <v>1791</v>
      </c>
      <c r="C168" s="1" t="s">
        <v>598</v>
      </c>
      <c r="D168" s="1" t="s">
        <v>599</v>
      </c>
      <c r="E168">
        <v>2</v>
      </c>
      <c r="F168" s="1" t="s">
        <v>58</v>
      </c>
      <c r="G168">
        <v>1</v>
      </c>
      <c r="H168">
        <v>1</v>
      </c>
      <c r="I168">
        <v>3750</v>
      </c>
      <c r="J168">
        <v>3375</v>
      </c>
      <c r="K168">
        <v>0</v>
      </c>
      <c r="L168">
        <v>3382.36</v>
      </c>
      <c r="M168">
        <v>7.36</v>
      </c>
      <c r="N168" s="1" t="s">
        <v>59</v>
      </c>
      <c r="O168" s="2">
        <v>45941.963761574072</v>
      </c>
      <c r="P168" s="2">
        <v>45943.779166666667</v>
      </c>
      <c r="Q168" s="2">
        <v>45945.498611111114</v>
      </c>
      <c r="R168" s="1" t="s">
        <v>1792</v>
      </c>
      <c r="S168" s="1" t="s">
        <v>107</v>
      </c>
      <c r="T168" s="2">
        <v>45942.661412037036</v>
      </c>
      <c r="U168" s="1" t="s">
        <v>61</v>
      </c>
      <c r="V168" s="1" t="s">
        <v>62</v>
      </c>
      <c r="W168" s="1" t="s">
        <v>61</v>
      </c>
      <c r="X168" s="1" t="s">
        <v>61</v>
      </c>
      <c r="Y168" s="1" t="s">
        <v>61</v>
      </c>
      <c r="Z168" s="1" t="s">
        <v>61</v>
      </c>
      <c r="AA168" s="1" t="s">
        <v>61</v>
      </c>
      <c r="AB168" s="1" t="s">
        <v>61</v>
      </c>
      <c r="AC168" s="1" t="s">
        <v>61</v>
      </c>
      <c r="AD168" s="2">
        <v>45945.504328703704</v>
      </c>
      <c r="AE168" s="1" t="s">
        <v>63</v>
      </c>
      <c r="AF168" s="1" t="s">
        <v>61</v>
      </c>
      <c r="AG168" s="1" t="s">
        <v>108</v>
      </c>
      <c r="AH168" s="1" t="s">
        <v>109</v>
      </c>
      <c r="AI168">
        <v>500032</v>
      </c>
      <c r="AJ168" s="1" t="s">
        <v>66</v>
      </c>
      <c r="AK168" s="1" t="s">
        <v>67</v>
      </c>
      <c r="AL168">
        <v>62044220</v>
      </c>
      <c r="AM168" s="2"/>
      <c r="AN168">
        <v>3375</v>
      </c>
      <c r="AO168" s="1" t="s">
        <v>1793</v>
      </c>
      <c r="AP168" s="1" t="s">
        <v>61</v>
      </c>
      <c r="AQ168" s="1" t="s">
        <v>61</v>
      </c>
      <c r="AR168" s="1" t="s">
        <v>63</v>
      </c>
      <c r="AS168">
        <v>18</v>
      </c>
      <c r="AT168">
        <v>0</v>
      </c>
      <c r="AU168">
        <v>0</v>
      </c>
      <c r="AV168">
        <v>18</v>
      </c>
      <c r="AW168">
        <v>514.83100000000002</v>
      </c>
      <c r="AX168">
        <v>0</v>
      </c>
      <c r="AY168">
        <v>0</v>
      </c>
      <c r="AZ168">
        <v>514.83100000000002</v>
      </c>
      <c r="BA168" s="2"/>
      <c r="BB168">
        <v>1.1000000000000001</v>
      </c>
      <c r="BC168" s="2">
        <v>45944.5</v>
      </c>
      <c r="BD168" s="27">
        <f>MarketPlace_Order_Report__2[[#This Row],[UnitPrice]]*MarketPlace_Order_Report__2[[#This Row],[OrderQty]]</f>
        <v>3375</v>
      </c>
      <c r="BE168" s="27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8" s="27">
        <f>MarketPlace_Order_Report__2[[#This Row],[Gross Amount (Before Tax)]]+MarketPlace_Order_Report__2[[#This Row],[Total GST Amount]]</f>
        <v>3889.8310000000001</v>
      </c>
    </row>
    <row r="169" spans="1:58">
      <c r="A169" s="1" t="s">
        <v>1794</v>
      </c>
      <c r="B169" s="1" t="s">
        <v>1795</v>
      </c>
      <c r="C169" s="1" t="s">
        <v>1796</v>
      </c>
      <c r="D169" s="1" t="s">
        <v>1797</v>
      </c>
      <c r="E169">
        <v>1</v>
      </c>
      <c r="F169" s="1" t="s">
        <v>187</v>
      </c>
      <c r="G169">
        <v>1</v>
      </c>
      <c r="H169">
        <v>0</v>
      </c>
      <c r="I169">
        <v>4000</v>
      </c>
      <c r="J169">
        <v>3600</v>
      </c>
      <c r="K169">
        <v>0</v>
      </c>
      <c r="L169">
        <v>3649</v>
      </c>
      <c r="M169">
        <v>49</v>
      </c>
      <c r="N169" s="1" t="s">
        <v>72</v>
      </c>
      <c r="O169" s="2">
        <v>45942.868495370371</v>
      </c>
      <c r="P169" s="2"/>
      <c r="Q169" s="2"/>
      <c r="R169" s="1" t="s">
        <v>61</v>
      </c>
      <c r="S169" s="1" t="s">
        <v>60</v>
      </c>
      <c r="T169" s="2"/>
      <c r="U169" s="1" t="s">
        <v>323</v>
      </c>
      <c r="V169" s="1" t="s">
        <v>62</v>
      </c>
      <c r="W169" s="1" t="s">
        <v>61</v>
      </c>
      <c r="X169" s="1" t="s">
        <v>61</v>
      </c>
      <c r="Y169" s="1" t="s">
        <v>61</v>
      </c>
      <c r="Z169" s="1" t="s">
        <v>61</v>
      </c>
      <c r="AA169" s="1" t="s">
        <v>61</v>
      </c>
      <c r="AB169" s="1" t="s">
        <v>61</v>
      </c>
      <c r="AC169" s="1" t="s">
        <v>61</v>
      </c>
      <c r="AD169" s="2">
        <v>45942.869189814817</v>
      </c>
      <c r="AE169" s="1" t="s">
        <v>63</v>
      </c>
      <c r="AF169" s="1" t="s">
        <v>61</v>
      </c>
      <c r="AG169" s="1" t="s">
        <v>136</v>
      </c>
      <c r="AH169" s="1" t="s">
        <v>77</v>
      </c>
      <c r="AI169">
        <v>201305</v>
      </c>
      <c r="AJ169" s="1" t="s">
        <v>66</v>
      </c>
      <c r="AK169" s="1" t="s">
        <v>67</v>
      </c>
      <c r="AL169">
        <v>62044220</v>
      </c>
      <c r="AM169" s="2">
        <v>45942.869189814817</v>
      </c>
      <c r="AN169">
        <v>3600</v>
      </c>
      <c r="AO169" s="1" t="s">
        <v>61</v>
      </c>
      <c r="AP169" s="1" t="s">
        <v>650</v>
      </c>
      <c r="AQ169" s="1" t="s">
        <v>61</v>
      </c>
      <c r="AR169" s="1" t="s">
        <v>63</v>
      </c>
      <c r="AS169">
        <v>18</v>
      </c>
      <c r="AT169">
        <v>0</v>
      </c>
      <c r="AU169">
        <v>0</v>
      </c>
      <c r="AV169">
        <v>18</v>
      </c>
      <c r="AW169">
        <v>549.15300000000002</v>
      </c>
      <c r="AX169">
        <v>0</v>
      </c>
      <c r="AY169">
        <v>0</v>
      </c>
      <c r="AZ169">
        <v>549.15300000000002</v>
      </c>
      <c r="BA169" s="2"/>
      <c r="BC169" s="2">
        <v>45945.5</v>
      </c>
      <c r="BD169" s="27">
        <f>MarketPlace_Order_Report__2[[#This Row],[UnitPrice]]*MarketPlace_Order_Report__2[[#This Row],[OrderQty]]</f>
        <v>3600</v>
      </c>
      <c r="BE169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69" s="27">
        <f>MarketPlace_Order_Report__2[[#This Row],[Gross Amount (Before Tax)]]+MarketPlace_Order_Report__2[[#This Row],[Total GST Amount]]</f>
        <v>4149.1530000000002</v>
      </c>
    </row>
    <row r="170" spans="1:58">
      <c r="A170" s="1" t="s">
        <v>1798</v>
      </c>
      <c r="B170" s="1" t="s">
        <v>1799</v>
      </c>
      <c r="C170" s="1" t="s">
        <v>1800</v>
      </c>
      <c r="D170" s="1" t="s">
        <v>1801</v>
      </c>
      <c r="E170">
        <v>1</v>
      </c>
      <c r="F170" s="1" t="s">
        <v>71</v>
      </c>
      <c r="G170">
        <v>1</v>
      </c>
      <c r="H170">
        <v>1</v>
      </c>
      <c r="I170">
        <v>4000</v>
      </c>
      <c r="J170">
        <v>3600</v>
      </c>
      <c r="K170">
        <v>0</v>
      </c>
      <c r="L170">
        <v>3629</v>
      </c>
      <c r="M170">
        <v>29</v>
      </c>
      <c r="N170" s="1" t="s">
        <v>59</v>
      </c>
      <c r="O170" s="2">
        <v>45942.508506944447</v>
      </c>
      <c r="P170" s="2">
        <v>45943.762141203704</v>
      </c>
      <c r="Q170" s="2">
        <v>45954.665972222225</v>
      </c>
      <c r="R170" s="1" t="s">
        <v>1802</v>
      </c>
      <c r="S170" s="1" t="s">
        <v>60</v>
      </c>
      <c r="T170" s="2">
        <v>45942.661412037036</v>
      </c>
      <c r="U170" s="1" t="s">
        <v>61</v>
      </c>
      <c r="V170" s="1" t="s">
        <v>62</v>
      </c>
      <c r="W170" s="1" t="s">
        <v>61</v>
      </c>
      <c r="X170" s="1" t="s">
        <v>61</v>
      </c>
      <c r="Y170" s="1" t="s">
        <v>1803</v>
      </c>
      <c r="Z170" s="1" t="s">
        <v>74</v>
      </c>
      <c r="AA170" s="1" t="s">
        <v>695</v>
      </c>
      <c r="AB170" s="1" t="s">
        <v>61</v>
      </c>
      <c r="AC170" s="1" t="s">
        <v>61</v>
      </c>
      <c r="AD170" s="2">
        <v>45959.202314814815</v>
      </c>
      <c r="AE170" s="1" t="s">
        <v>63</v>
      </c>
      <c r="AF170" s="1" t="s">
        <v>61</v>
      </c>
      <c r="AG170" s="1" t="s">
        <v>1804</v>
      </c>
      <c r="AH170" s="1" t="s">
        <v>131</v>
      </c>
      <c r="AI170">
        <v>249407</v>
      </c>
      <c r="AJ170" s="1" t="s">
        <v>66</v>
      </c>
      <c r="AK170" s="1" t="s">
        <v>67</v>
      </c>
      <c r="AL170">
        <v>62044220</v>
      </c>
      <c r="AM170" s="2"/>
      <c r="AN170">
        <v>3600</v>
      </c>
      <c r="AO170" s="1" t="s">
        <v>1805</v>
      </c>
      <c r="AP170" s="1" t="s">
        <v>61</v>
      </c>
      <c r="AQ170" s="1" t="s">
        <v>61</v>
      </c>
      <c r="AR170" s="1" t="s">
        <v>63</v>
      </c>
      <c r="AS170">
        <v>18</v>
      </c>
      <c r="AT170">
        <v>0</v>
      </c>
      <c r="AU170">
        <v>0</v>
      </c>
      <c r="AV170">
        <v>18</v>
      </c>
      <c r="AW170">
        <v>549.15300000000002</v>
      </c>
      <c r="AX170">
        <v>0</v>
      </c>
      <c r="AY170">
        <v>0</v>
      </c>
      <c r="AZ170">
        <v>549.15300000000002</v>
      </c>
      <c r="BA170" s="2"/>
      <c r="BB170">
        <v>0.85</v>
      </c>
      <c r="BC170" s="2">
        <v>45945.5</v>
      </c>
      <c r="BD170" s="27">
        <f>MarketPlace_Order_Report__2[[#This Row],[UnitPrice]]*MarketPlace_Order_Report__2[[#This Row],[OrderQty]]</f>
        <v>3600</v>
      </c>
      <c r="BE170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70" s="27">
        <f>MarketPlace_Order_Report__2[[#This Row],[Gross Amount (Before Tax)]]+MarketPlace_Order_Report__2[[#This Row],[Total GST Amount]]</f>
        <v>4149.1530000000002</v>
      </c>
    </row>
    <row r="171" spans="1:58">
      <c r="A171" s="1" t="s">
        <v>1806</v>
      </c>
      <c r="B171" s="1" t="s">
        <v>1807</v>
      </c>
      <c r="C171" s="1" t="s">
        <v>614</v>
      </c>
      <c r="D171" s="1" t="s">
        <v>615</v>
      </c>
      <c r="E171">
        <v>1</v>
      </c>
      <c r="F171" s="1" t="s">
        <v>71</v>
      </c>
      <c r="G171">
        <v>1</v>
      </c>
      <c r="H171">
        <v>1</v>
      </c>
      <c r="I171">
        <v>4000</v>
      </c>
      <c r="J171">
        <v>3600</v>
      </c>
      <c r="K171">
        <v>0</v>
      </c>
      <c r="L171">
        <v>3629</v>
      </c>
      <c r="M171">
        <v>29</v>
      </c>
      <c r="N171" s="1" t="s">
        <v>59</v>
      </c>
      <c r="O171" s="2">
        <v>45943.931400462963</v>
      </c>
      <c r="P171" s="2">
        <v>45945.759837962964</v>
      </c>
      <c r="Q171" s="2">
        <v>45948.56931712963</v>
      </c>
      <c r="R171" s="1" t="s">
        <v>1808</v>
      </c>
      <c r="S171" s="1" t="s">
        <v>60</v>
      </c>
      <c r="T171" s="2">
        <v>45944.808067129627</v>
      </c>
      <c r="U171" s="1" t="s">
        <v>61</v>
      </c>
      <c r="V171" s="1" t="s">
        <v>62</v>
      </c>
      <c r="W171" s="1" t="s">
        <v>61</v>
      </c>
      <c r="X171" s="1" t="s">
        <v>61</v>
      </c>
      <c r="Y171" s="1" t="s">
        <v>1809</v>
      </c>
      <c r="Z171" s="1" t="s">
        <v>74</v>
      </c>
      <c r="AA171" s="1" t="s">
        <v>75</v>
      </c>
      <c r="AB171" s="1" t="s">
        <v>61</v>
      </c>
      <c r="AC171" s="1" t="s">
        <v>61</v>
      </c>
      <c r="AD171" s="2">
        <v>45957.622395833336</v>
      </c>
      <c r="AE171" s="1" t="s">
        <v>63</v>
      </c>
      <c r="AF171" s="1" t="s">
        <v>61</v>
      </c>
      <c r="AG171" s="1" t="s">
        <v>197</v>
      </c>
      <c r="AH171" s="1" t="s">
        <v>65</v>
      </c>
      <c r="AI171">
        <v>560068</v>
      </c>
      <c r="AJ171" s="1" t="s">
        <v>66</v>
      </c>
      <c r="AK171" s="1" t="s">
        <v>67</v>
      </c>
      <c r="AL171">
        <v>62044220</v>
      </c>
      <c r="AM171" s="2"/>
      <c r="AN171">
        <v>3600</v>
      </c>
      <c r="AO171" s="1" t="s">
        <v>1810</v>
      </c>
      <c r="AP171" s="1" t="s">
        <v>1811</v>
      </c>
      <c r="AQ171" s="1" t="s">
        <v>61</v>
      </c>
      <c r="AR171" s="1" t="s">
        <v>63</v>
      </c>
      <c r="AS171">
        <v>18</v>
      </c>
      <c r="AT171">
        <v>0</v>
      </c>
      <c r="AU171">
        <v>0</v>
      </c>
      <c r="AV171">
        <v>18</v>
      </c>
      <c r="AW171">
        <v>549.15300000000002</v>
      </c>
      <c r="AX171">
        <v>0</v>
      </c>
      <c r="AY171">
        <v>0</v>
      </c>
      <c r="AZ171">
        <v>549.15300000000002</v>
      </c>
      <c r="BA171" s="2"/>
      <c r="BB171">
        <v>0.85</v>
      </c>
      <c r="BC171" s="2">
        <v>45946.5</v>
      </c>
      <c r="BD171" s="27">
        <f>MarketPlace_Order_Report__2[[#This Row],[UnitPrice]]*MarketPlace_Order_Report__2[[#This Row],[OrderQty]]</f>
        <v>3600</v>
      </c>
      <c r="BE171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71" s="27">
        <f>MarketPlace_Order_Report__2[[#This Row],[Gross Amount (Before Tax)]]+MarketPlace_Order_Report__2[[#This Row],[Total GST Amount]]</f>
        <v>4149.1530000000002</v>
      </c>
    </row>
    <row r="172" spans="1:58">
      <c r="A172" s="1" t="s">
        <v>1812</v>
      </c>
      <c r="B172" s="1" t="s">
        <v>1813</v>
      </c>
      <c r="C172" s="1" t="s">
        <v>1814</v>
      </c>
      <c r="D172" s="1" t="s">
        <v>1815</v>
      </c>
      <c r="E172">
        <v>1</v>
      </c>
      <c r="F172" s="1" t="s">
        <v>58</v>
      </c>
      <c r="G172">
        <v>1</v>
      </c>
      <c r="H172">
        <v>1</v>
      </c>
      <c r="I172">
        <v>4250</v>
      </c>
      <c r="J172">
        <v>3825</v>
      </c>
      <c r="K172">
        <v>0</v>
      </c>
      <c r="L172">
        <v>3845</v>
      </c>
      <c r="M172">
        <v>20</v>
      </c>
      <c r="N172" s="1" t="s">
        <v>72</v>
      </c>
      <c r="O172" s="2">
        <v>45941.654317129629</v>
      </c>
      <c r="P172" s="2">
        <v>45943.761944444443</v>
      </c>
      <c r="Q172" s="2">
        <v>45948.676979166667</v>
      </c>
      <c r="R172" s="1" t="s">
        <v>1816</v>
      </c>
      <c r="S172" s="1" t="s">
        <v>60</v>
      </c>
      <c r="T172" s="2">
        <v>45941.806620370371</v>
      </c>
      <c r="U172" s="1" t="s">
        <v>61</v>
      </c>
      <c r="V172" s="1" t="s">
        <v>62</v>
      </c>
      <c r="W172" s="1" t="s">
        <v>61</v>
      </c>
      <c r="X172" s="1" t="s">
        <v>61</v>
      </c>
      <c r="Y172" s="1" t="s">
        <v>61</v>
      </c>
      <c r="Z172" s="1" t="s">
        <v>61</v>
      </c>
      <c r="AA172" s="1" t="s">
        <v>61</v>
      </c>
      <c r="AB172" s="1" t="s">
        <v>61</v>
      </c>
      <c r="AC172" s="1" t="s">
        <v>61</v>
      </c>
      <c r="AD172" s="2">
        <v>45948.678020833337</v>
      </c>
      <c r="AE172" s="1" t="s">
        <v>63</v>
      </c>
      <c r="AF172" s="1" t="s">
        <v>61</v>
      </c>
      <c r="AG172" s="1" t="s">
        <v>813</v>
      </c>
      <c r="AH172" s="1" t="s">
        <v>503</v>
      </c>
      <c r="AI172">
        <v>140603</v>
      </c>
      <c r="AJ172" s="1" t="s">
        <v>66</v>
      </c>
      <c r="AK172" s="1" t="s">
        <v>67</v>
      </c>
      <c r="AL172">
        <v>62044220</v>
      </c>
      <c r="AM172" s="2"/>
      <c r="AN172">
        <v>3825</v>
      </c>
      <c r="AO172" s="1" t="s">
        <v>1817</v>
      </c>
      <c r="AP172" s="1" t="s">
        <v>381</v>
      </c>
      <c r="AQ172" s="1" t="s">
        <v>61</v>
      </c>
      <c r="AR172" s="1" t="s">
        <v>63</v>
      </c>
      <c r="AS172">
        <v>18</v>
      </c>
      <c r="AT172">
        <v>0</v>
      </c>
      <c r="AU172">
        <v>0</v>
      </c>
      <c r="AV172">
        <v>18</v>
      </c>
      <c r="AW172">
        <v>583.47500000000002</v>
      </c>
      <c r="AX172">
        <v>0</v>
      </c>
      <c r="AY172">
        <v>0</v>
      </c>
      <c r="AZ172">
        <v>583.47500000000002</v>
      </c>
      <c r="BA172" s="2"/>
      <c r="BB172">
        <v>0.75</v>
      </c>
      <c r="BC172" s="2">
        <v>45944.5</v>
      </c>
      <c r="BD172" s="27">
        <f>MarketPlace_Order_Report__2[[#This Row],[UnitPrice]]*MarketPlace_Order_Report__2[[#This Row],[OrderQty]]</f>
        <v>3825</v>
      </c>
      <c r="BE172" s="27">
        <f>IFERROR(MarketPlace_Order_Report__2[[#This Row],[CGSTAmount]]+MarketPlace_Order_Report__2[[#This Row],[SGSTAmount]]+MarketPlace_Order_Report__2[[#This Row],[IGSTAmount]],MarketPlace_Order_Report__2[[#This Row],[TaxAmount]])</f>
        <v>583.47500000000002</v>
      </c>
      <c r="BF172" s="27">
        <f>MarketPlace_Order_Report__2[[#This Row],[Gross Amount (Before Tax)]]+MarketPlace_Order_Report__2[[#This Row],[Total GST Amount]]</f>
        <v>4408.4750000000004</v>
      </c>
    </row>
    <row r="173" spans="1:58">
      <c r="A173" s="1" t="s">
        <v>1741</v>
      </c>
      <c r="B173" s="1" t="s">
        <v>1742</v>
      </c>
      <c r="C173" s="1" t="s">
        <v>1818</v>
      </c>
      <c r="D173" s="1" t="s">
        <v>1819</v>
      </c>
      <c r="E173">
        <v>2</v>
      </c>
      <c r="F173" s="1" t="s">
        <v>58</v>
      </c>
      <c r="G173">
        <v>1</v>
      </c>
      <c r="H173">
        <v>1</v>
      </c>
      <c r="I173">
        <v>4250</v>
      </c>
      <c r="J173">
        <v>3825</v>
      </c>
      <c r="K173">
        <v>0</v>
      </c>
      <c r="L173">
        <v>3825</v>
      </c>
      <c r="M173">
        <v>0</v>
      </c>
      <c r="N173" s="1" t="s">
        <v>59</v>
      </c>
      <c r="O173" s="2">
        <v>45947.369687500002</v>
      </c>
      <c r="P173" s="2">
        <v>45948.728368055556</v>
      </c>
      <c r="Q173" s="2">
        <v>45955.460138888891</v>
      </c>
      <c r="R173" s="1" t="s">
        <v>1743</v>
      </c>
      <c r="S173" s="1" t="s">
        <v>60</v>
      </c>
      <c r="T173" s="2">
        <v>45947.783541666664</v>
      </c>
      <c r="U173" s="1" t="s">
        <v>61</v>
      </c>
      <c r="V173" s="1" t="s">
        <v>62</v>
      </c>
      <c r="W173" s="1" t="s">
        <v>61</v>
      </c>
      <c r="X173" s="1" t="s">
        <v>61</v>
      </c>
      <c r="Y173" s="1" t="s">
        <v>61</v>
      </c>
      <c r="Z173" s="1" t="s">
        <v>61</v>
      </c>
      <c r="AA173" s="1" t="s">
        <v>61</v>
      </c>
      <c r="AB173" s="1" t="s">
        <v>61</v>
      </c>
      <c r="AC173" s="1" t="s">
        <v>61</v>
      </c>
      <c r="AD173" s="2">
        <v>45955.462696759256</v>
      </c>
      <c r="AE173" s="1" t="s">
        <v>63</v>
      </c>
      <c r="AF173" s="1" t="s">
        <v>61</v>
      </c>
      <c r="AG173" s="1" t="s">
        <v>197</v>
      </c>
      <c r="AH173" s="1" t="s">
        <v>65</v>
      </c>
      <c r="AI173">
        <v>560103</v>
      </c>
      <c r="AJ173" s="1" t="s">
        <v>66</v>
      </c>
      <c r="AK173" s="1" t="s">
        <v>67</v>
      </c>
      <c r="AL173">
        <v>62044220</v>
      </c>
      <c r="AM173" s="2"/>
      <c r="AN173">
        <v>3825</v>
      </c>
      <c r="AO173" s="1" t="s">
        <v>1744</v>
      </c>
      <c r="AP173" s="1" t="s">
        <v>145</v>
      </c>
      <c r="AQ173" s="1" t="s">
        <v>61</v>
      </c>
      <c r="AR173" s="1" t="s">
        <v>63</v>
      </c>
      <c r="AS173">
        <v>18</v>
      </c>
      <c r="AT173">
        <v>0</v>
      </c>
      <c r="AU173">
        <v>0</v>
      </c>
      <c r="AV173">
        <v>18</v>
      </c>
      <c r="AW173">
        <v>583.47500000000002</v>
      </c>
      <c r="AX173">
        <v>0</v>
      </c>
      <c r="AY173">
        <v>0</v>
      </c>
      <c r="AZ173">
        <v>583.47500000000002</v>
      </c>
      <c r="BA173" s="2"/>
      <c r="BB173">
        <v>1.1000000000000001</v>
      </c>
      <c r="BC173" s="2">
        <v>45949.5</v>
      </c>
      <c r="BD173" s="27">
        <f>MarketPlace_Order_Report__2[[#This Row],[UnitPrice]]*MarketPlace_Order_Report__2[[#This Row],[OrderQty]]</f>
        <v>3825</v>
      </c>
      <c r="BE173" s="27">
        <f>IFERROR(MarketPlace_Order_Report__2[[#This Row],[CGSTAmount]]+MarketPlace_Order_Report__2[[#This Row],[SGSTAmount]]+MarketPlace_Order_Report__2[[#This Row],[IGSTAmount]],MarketPlace_Order_Report__2[[#This Row],[TaxAmount]])</f>
        <v>583.47500000000002</v>
      </c>
      <c r="BF173" s="27">
        <f>MarketPlace_Order_Report__2[[#This Row],[Gross Amount (Before Tax)]]+MarketPlace_Order_Report__2[[#This Row],[Total GST Amount]]</f>
        <v>4408.4750000000004</v>
      </c>
    </row>
    <row r="174" spans="1:58">
      <c r="A174" s="1" t="s">
        <v>1820</v>
      </c>
      <c r="B174" s="1" t="s">
        <v>1821</v>
      </c>
      <c r="C174" s="1" t="s">
        <v>1822</v>
      </c>
      <c r="D174" s="1" t="s">
        <v>1823</v>
      </c>
      <c r="E174">
        <v>1</v>
      </c>
      <c r="F174" s="1" t="s">
        <v>58</v>
      </c>
      <c r="G174">
        <v>1</v>
      </c>
      <c r="H174">
        <v>1</v>
      </c>
      <c r="I174">
        <v>3500</v>
      </c>
      <c r="J174">
        <v>3325</v>
      </c>
      <c r="K174">
        <v>0</v>
      </c>
      <c r="L174">
        <v>3374</v>
      </c>
      <c r="M174">
        <v>49</v>
      </c>
      <c r="N174" s="1" t="s">
        <v>72</v>
      </c>
      <c r="O174" s="2">
        <v>45943.004884259259</v>
      </c>
      <c r="P174" s="2">
        <v>45944.73609953704</v>
      </c>
      <c r="Q174" s="2">
        <v>45946.494675925926</v>
      </c>
      <c r="R174" s="1" t="s">
        <v>1824</v>
      </c>
      <c r="S174" s="1" t="s">
        <v>351</v>
      </c>
      <c r="T174" s="2">
        <v>45943.814467592594</v>
      </c>
      <c r="U174" s="1" t="s">
        <v>61</v>
      </c>
      <c r="V174" s="1" t="s">
        <v>62</v>
      </c>
      <c r="W174" s="1" t="s">
        <v>61</v>
      </c>
      <c r="X174" s="1" t="s">
        <v>61</v>
      </c>
      <c r="Y174" s="1" t="s">
        <v>61</v>
      </c>
      <c r="Z174" s="1" t="s">
        <v>61</v>
      </c>
      <c r="AA174" s="1" t="s">
        <v>61</v>
      </c>
      <c r="AB174" s="1" t="s">
        <v>61</v>
      </c>
      <c r="AC174" s="1" t="s">
        <v>61</v>
      </c>
      <c r="AD174" s="2">
        <v>45946.511342592596</v>
      </c>
      <c r="AE174" s="1" t="s">
        <v>63</v>
      </c>
      <c r="AF174" s="1" t="s">
        <v>61</v>
      </c>
      <c r="AG174" s="1" t="s">
        <v>408</v>
      </c>
      <c r="AH174" s="1" t="s">
        <v>318</v>
      </c>
      <c r="AI174">
        <v>400080</v>
      </c>
      <c r="AJ174" s="1" t="s">
        <v>66</v>
      </c>
      <c r="AK174" s="1" t="s">
        <v>67</v>
      </c>
      <c r="AL174">
        <v>62044220</v>
      </c>
      <c r="AM174" s="2"/>
      <c r="AN174">
        <v>3325</v>
      </c>
      <c r="AO174" s="1" t="s">
        <v>1825</v>
      </c>
      <c r="AP174" s="1" t="s">
        <v>61</v>
      </c>
      <c r="AQ174" s="1" t="s">
        <v>61</v>
      </c>
      <c r="AR174" s="1" t="s">
        <v>63</v>
      </c>
      <c r="AS174">
        <v>18</v>
      </c>
      <c r="AT174">
        <v>9</v>
      </c>
      <c r="AU174">
        <v>9</v>
      </c>
      <c r="AV174">
        <v>0</v>
      </c>
      <c r="AW174">
        <v>507.20299999999997</v>
      </c>
      <c r="AX174">
        <v>253.602</v>
      </c>
      <c r="AY174">
        <v>253.602</v>
      </c>
      <c r="AZ174">
        <v>0</v>
      </c>
      <c r="BA174" s="2"/>
      <c r="BB174">
        <v>0.85</v>
      </c>
      <c r="BC174" s="2">
        <v>45945.5</v>
      </c>
      <c r="BD174" s="27">
        <f>MarketPlace_Order_Report__2[[#This Row],[UnitPrice]]*MarketPlace_Order_Report__2[[#This Row],[OrderQty]]</f>
        <v>3325</v>
      </c>
      <c r="BE174" s="27">
        <f>IFERROR(MarketPlace_Order_Report__2[[#This Row],[CGSTAmount]]+MarketPlace_Order_Report__2[[#This Row],[SGSTAmount]]+MarketPlace_Order_Report__2[[#This Row],[IGSTAmount]],MarketPlace_Order_Report__2[[#This Row],[TaxAmount]])</f>
        <v>507.20400000000001</v>
      </c>
      <c r="BF174" s="27">
        <f>MarketPlace_Order_Report__2[[#This Row],[Gross Amount (Before Tax)]]+MarketPlace_Order_Report__2[[#This Row],[Total GST Amount]]</f>
        <v>3832.2040000000002</v>
      </c>
    </row>
    <row r="175" spans="1:58">
      <c r="A175" s="1" t="s">
        <v>1826</v>
      </c>
      <c r="B175" s="1" t="s">
        <v>1827</v>
      </c>
      <c r="C175" s="1" t="s">
        <v>1828</v>
      </c>
      <c r="D175" s="1" t="s">
        <v>1829</v>
      </c>
      <c r="E175">
        <v>1</v>
      </c>
      <c r="F175" s="1" t="s">
        <v>58</v>
      </c>
      <c r="G175">
        <v>1</v>
      </c>
      <c r="H175">
        <v>1</v>
      </c>
      <c r="I175">
        <v>3500</v>
      </c>
      <c r="J175">
        <v>3500</v>
      </c>
      <c r="K175">
        <v>0</v>
      </c>
      <c r="L175">
        <v>3508.39</v>
      </c>
      <c r="M175">
        <v>8.39</v>
      </c>
      <c r="N175" s="1" t="s">
        <v>59</v>
      </c>
      <c r="O175" s="2">
        <v>45936.398622685185</v>
      </c>
      <c r="P175" s="2">
        <v>45937.725578703707</v>
      </c>
      <c r="Q175" s="2">
        <v>45940.535590277781</v>
      </c>
      <c r="R175" s="1" t="s">
        <v>1830</v>
      </c>
      <c r="S175" s="1" t="s">
        <v>60</v>
      </c>
      <c r="T175" s="2">
        <v>45936.813321759262</v>
      </c>
      <c r="U175" s="1" t="s">
        <v>61</v>
      </c>
      <c r="V175" s="1" t="s">
        <v>62</v>
      </c>
      <c r="W175" s="1" t="s">
        <v>61</v>
      </c>
      <c r="X175" s="1" t="s">
        <v>61</v>
      </c>
      <c r="Y175" s="1" t="s">
        <v>61</v>
      </c>
      <c r="Z175" s="1" t="s">
        <v>61</v>
      </c>
      <c r="AA175" s="1" t="s">
        <v>61</v>
      </c>
      <c r="AB175" s="1" t="s">
        <v>61</v>
      </c>
      <c r="AC175" s="1" t="s">
        <v>61</v>
      </c>
      <c r="AD175" s="2">
        <v>45940.545671296299</v>
      </c>
      <c r="AE175" s="1" t="s">
        <v>63</v>
      </c>
      <c r="AF175" s="1" t="s">
        <v>61</v>
      </c>
      <c r="AG175" s="1" t="s">
        <v>197</v>
      </c>
      <c r="AH175" s="1" t="s">
        <v>65</v>
      </c>
      <c r="AI175">
        <v>560045</v>
      </c>
      <c r="AJ175" s="1" t="s">
        <v>66</v>
      </c>
      <c r="AK175" s="1" t="s">
        <v>67</v>
      </c>
      <c r="AL175">
        <v>62044220</v>
      </c>
      <c r="AM175" s="2"/>
      <c r="AN175">
        <v>3500</v>
      </c>
      <c r="AO175" s="1" t="s">
        <v>1831</v>
      </c>
      <c r="AP175" s="1" t="s">
        <v>61</v>
      </c>
      <c r="AQ175" s="1" t="s">
        <v>61</v>
      </c>
      <c r="AR175" s="1" t="s">
        <v>63</v>
      </c>
      <c r="AS175">
        <v>18</v>
      </c>
      <c r="AT175">
        <v>0</v>
      </c>
      <c r="AU175">
        <v>0</v>
      </c>
      <c r="AV175">
        <v>18</v>
      </c>
      <c r="AW175">
        <v>533.89800000000002</v>
      </c>
      <c r="AX175">
        <v>0</v>
      </c>
      <c r="AY175">
        <v>0</v>
      </c>
      <c r="AZ175">
        <v>533.89800000000002</v>
      </c>
      <c r="BA175" s="2"/>
      <c r="BB175">
        <v>0.85</v>
      </c>
      <c r="BC175" s="2">
        <v>45938.5</v>
      </c>
      <c r="BD175" s="27">
        <f>MarketPlace_Order_Report__2[[#This Row],[UnitPrice]]*MarketPlace_Order_Report__2[[#This Row],[OrderQty]]</f>
        <v>3500</v>
      </c>
      <c r="BE175" s="27">
        <f>IFERROR(MarketPlace_Order_Report__2[[#This Row],[CGSTAmount]]+MarketPlace_Order_Report__2[[#This Row],[SGSTAmount]]+MarketPlace_Order_Report__2[[#This Row],[IGSTAmount]],MarketPlace_Order_Report__2[[#This Row],[TaxAmount]])</f>
        <v>533.89800000000002</v>
      </c>
      <c r="BF175" s="27">
        <f>MarketPlace_Order_Report__2[[#This Row],[Gross Amount (Before Tax)]]+MarketPlace_Order_Report__2[[#This Row],[Total GST Amount]]</f>
        <v>4033.8980000000001</v>
      </c>
    </row>
    <row r="176" spans="1:58">
      <c r="A176" s="1" t="s">
        <v>1832</v>
      </c>
      <c r="B176" s="1" t="s">
        <v>1833</v>
      </c>
      <c r="C176" s="1" t="s">
        <v>1834</v>
      </c>
      <c r="D176" s="1" t="s">
        <v>1835</v>
      </c>
      <c r="E176">
        <v>2</v>
      </c>
      <c r="F176" s="1" t="s">
        <v>58</v>
      </c>
      <c r="G176">
        <v>1</v>
      </c>
      <c r="H176">
        <v>1</v>
      </c>
      <c r="I176">
        <v>3500</v>
      </c>
      <c r="J176">
        <v>3325</v>
      </c>
      <c r="K176">
        <v>0</v>
      </c>
      <c r="L176">
        <v>3343.82</v>
      </c>
      <c r="M176">
        <v>18.82</v>
      </c>
      <c r="N176" s="1" t="s">
        <v>59</v>
      </c>
      <c r="O176" s="2">
        <v>45953.961736111109</v>
      </c>
      <c r="P176" s="2">
        <v>45954.65902777778</v>
      </c>
      <c r="Q176" s="2">
        <v>45956.488194444442</v>
      </c>
      <c r="R176" s="1" t="s">
        <v>1836</v>
      </c>
      <c r="S176" s="1" t="s">
        <v>107</v>
      </c>
      <c r="T176" s="2">
        <v>45954.500509259262</v>
      </c>
      <c r="U176" s="1" t="s">
        <v>61</v>
      </c>
      <c r="V176" s="1" t="s">
        <v>62</v>
      </c>
      <c r="W176" s="1" t="s">
        <v>61</v>
      </c>
      <c r="X176" s="1" t="s">
        <v>61</v>
      </c>
      <c r="Y176" s="1" t="s">
        <v>61</v>
      </c>
      <c r="Z176" s="1" t="s">
        <v>61</v>
      </c>
      <c r="AA176" s="1" t="s">
        <v>61</v>
      </c>
      <c r="AB176" s="1" t="s">
        <v>61</v>
      </c>
      <c r="AC176" s="1" t="s">
        <v>61</v>
      </c>
      <c r="AD176" s="2">
        <v>45956.493831018517</v>
      </c>
      <c r="AE176" s="1" t="s">
        <v>63</v>
      </c>
      <c r="AF176" s="1" t="s">
        <v>61</v>
      </c>
      <c r="AG176" s="1" t="s">
        <v>108</v>
      </c>
      <c r="AH176" s="1" t="s">
        <v>109</v>
      </c>
      <c r="AI176">
        <v>500038</v>
      </c>
      <c r="AJ176" s="1" t="s">
        <v>66</v>
      </c>
      <c r="AK176" s="1" t="s">
        <v>67</v>
      </c>
      <c r="AL176">
        <v>62044220</v>
      </c>
      <c r="AM176" s="2"/>
      <c r="AN176">
        <v>3325</v>
      </c>
      <c r="AO176" s="1" t="s">
        <v>1837</v>
      </c>
      <c r="AP176" s="1" t="s">
        <v>1838</v>
      </c>
      <c r="AQ176" s="1" t="s">
        <v>61</v>
      </c>
      <c r="AR176" s="1" t="s">
        <v>63</v>
      </c>
      <c r="AS176">
        <v>18</v>
      </c>
      <c r="AT176">
        <v>0</v>
      </c>
      <c r="AU176">
        <v>0</v>
      </c>
      <c r="AV176">
        <v>18</v>
      </c>
      <c r="AW176">
        <v>507.20299999999997</v>
      </c>
      <c r="AX176">
        <v>0</v>
      </c>
      <c r="AY176">
        <v>0</v>
      </c>
      <c r="AZ176">
        <v>507.20299999999997</v>
      </c>
      <c r="BA176" s="2"/>
      <c r="BB176">
        <v>0.85</v>
      </c>
      <c r="BC176" s="2">
        <v>45956.5</v>
      </c>
      <c r="BD176" s="27">
        <f>MarketPlace_Order_Report__2[[#This Row],[UnitPrice]]*MarketPlace_Order_Report__2[[#This Row],[OrderQty]]</f>
        <v>3325</v>
      </c>
      <c r="BE176" s="27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BF176" s="27">
        <f>MarketPlace_Order_Report__2[[#This Row],[Gross Amount (Before Tax)]]+MarketPlace_Order_Report__2[[#This Row],[Total GST Amount]]</f>
        <v>3832.203</v>
      </c>
    </row>
    <row r="177" spans="1:58">
      <c r="A177" s="1" t="s">
        <v>1839</v>
      </c>
      <c r="B177" s="1" t="s">
        <v>1840</v>
      </c>
      <c r="C177" s="1" t="s">
        <v>1841</v>
      </c>
      <c r="D177" s="1" t="s">
        <v>1842</v>
      </c>
      <c r="E177">
        <v>7</v>
      </c>
      <c r="F177" s="1" t="s">
        <v>71</v>
      </c>
      <c r="G177">
        <v>1</v>
      </c>
      <c r="H177">
        <v>1</v>
      </c>
      <c r="I177">
        <v>3500</v>
      </c>
      <c r="J177">
        <v>3325</v>
      </c>
      <c r="K177">
        <v>0</v>
      </c>
      <c r="L177">
        <v>3334.52</v>
      </c>
      <c r="M177">
        <v>9.52</v>
      </c>
      <c r="N177" s="1" t="s">
        <v>59</v>
      </c>
      <c r="O177" s="2">
        <v>45954.311932870369</v>
      </c>
      <c r="P177" s="2">
        <v>45954.731724537036</v>
      </c>
      <c r="Q177" s="2">
        <v>45958.729594907411</v>
      </c>
      <c r="R177" s="1" t="s">
        <v>1843</v>
      </c>
      <c r="S177" s="1" t="s">
        <v>60</v>
      </c>
      <c r="T177" s="2">
        <v>45954.500509259262</v>
      </c>
      <c r="U177" s="1" t="s">
        <v>61</v>
      </c>
      <c r="V177" s="1" t="s">
        <v>62</v>
      </c>
      <c r="W177" s="1" t="s">
        <v>61</v>
      </c>
      <c r="X177" s="1" t="s">
        <v>61</v>
      </c>
      <c r="Y177" s="1" t="s">
        <v>1844</v>
      </c>
      <c r="Z177" s="1" t="s">
        <v>74</v>
      </c>
      <c r="AA177" s="1" t="s">
        <v>695</v>
      </c>
      <c r="AB177" s="1" t="s">
        <v>61</v>
      </c>
      <c r="AC177" s="1" t="s">
        <v>61</v>
      </c>
      <c r="AD177" s="2">
        <v>45960.618807870371</v>
      </c>
      <c r="AE177" s="1" t="s">
        <v>63</v>
      </c>
      <c r="AF177" s="1" t="s">
        <v>61</v>
      </c>
      <c r="AG177" s="1" t="s">
        <v>751</v>
      </c>
      <c r="AH177" s="1" t="s">
        <v>275</v>
      </c>
      <c r="AI177">
        <v>700099</v>
      </c>
      <c r="AJ177" s="1" t="s">
        <v>66</v>
      </c>
      <c r="AK177" s="1" t="s">
        <v>67</v>
      </c>
      <c r="AL177">
        <v>62044220</v>
      </c>
      <c r="AM177" s="2"/>
      <c r="AN177">
        <v>3325</v>
      </c>
      <c r="AO177" s="1" t="s">
        <v>1845</v>
      </c>
      <c r="AP177" s="1" t="s">
        <v>1846</v>
      </c>
      <c r="AQ177" s="1" t="s">
        <v>61</v>
      </c>
      <c r="AR177" s="1" t="s">
        <v>63</v>
      </c>
      <c r="AS177">
        <v>18</v>
      </c>
      <c r="AT177">
        <v>0</v>
      </c>
      <c r="AU177">
        <v>0</v>
      </c>
      <c r="AV177">
        <v>18</v>
      </c>
      <c r="AW177">
        <v>507.20299999999997</v>
      </c>
      <c r="AX177">
        <v>0</v>
      </c>
      <c r="AY177">
        <v>0</v>
      </c>
      <c r="AZ177">
        <v>507.20299999999997</v>
      </c>
      <c r="BA177" s="2"/>
      <c r="BB177">
        <v>0.85</v>
      </c>
      <c r="BC177" s="2">
        <v>45956.5</v>
      </c>
      <c r="BD177" s="27">
        <f>MarketPlace_Order_Report__2[[#This Row],[UnitPrice]]*MarketPlace_Order_Report__2[[#This Row],[OrderQty]]</f>
        <v>3325</v>
      </c>
      <c r="BE177" s="27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BF177" s="27">
        <f>MarketPlace_Order_Report__2[[#This Row],[Gross Amount (Before Tax)]]+MarketPlace_Order_Report__2[[#This Row],[Total GST Amount]]</f>
        <v>3832.203</v>
      </c>
    </row>
    <row r="178" spans="1:58">
      <c r="A178" s="1" t="s">
        <v>1847</v>
      </c>
      <c r="B178" s="1" t="s">
        <v>1848</v>
      </c>
      <c r="C178" s="1" t="s">
        <v>1849</v>
      </c>
      <c r="D178" s="1" t="s">
        <v>1850</v>
      </c>
      <c r="E178">
        <v>1</v>
      </c>
      <c r="F178" s="1" t="s">
        <v>58</v>
      </c>
      <c r="G178">
        <v>1</v>
      </c>
      <c r="H178">
        <v>1</v>
      </c>
      <c r="I178">
        <v>3000</v>
      </c>
      <c r="J178">
        <v>2850</v>
      </c>
      <c r="K178">
        <v>0</v>
      </c>
      <c r="L178">
        <v>2850</v>
      </c>
      <c r="M178">
        <v>0</v>
      </c>
      <c r="N178" s="1" t="s">
        <v>59</v>
      </c>
      <c r="O178" s="2">
        <v>45937.594467592593</v>
      </c>
      <c r="P178" s="2">
        <v>45938.718101851853</v>
      </c>
      <c r="Q178" s="2">
        <v>45941.488356481481</v>
      </c>
      <c r="R178" s="1" t="s">
        <v>1851</v>
      </c>
      <c r="S178" s="1" t="s">
        <v>351</v>
      </c>
      <c r="T178" s="2">
        <v>45937.717673611114</v>
      </c>
      <c r="U178" s="1" t="s">
        <v>61</v>
      </c>
      <c r="V178" s="1" t="s">
        <v>62</v>
      </c>
      <c r="W178" s="1" t="s">
        <v>61</v>
      </c>
      <c r="X178" s="1" t="s">
        <v>61</v>
      </c>
      <c r="Y178" s="1" t="s">
        <v>61</v>
      </c>
      <c r="Z178" s="1" t="s">
        <v>61</v>
      </c>
      <c r="AA178" s="1" t="s">
        <v>61</v>
      </c>
      <c r="AB178" s="1" t="s">
        <v>61</v>
      </c>
      <c r="AC178" s="1" t="s">
        <v>61</v>
      </c>
      <c r="AD178" s="2">
        <v>45941.490671296298</v>
      </c>
      <c r="AE178" s="1" t="s">
        <v>63</v>
      </c>
      <c r="AF178" s="1" t="s">
        <v>61</v>
      </c>
      <c r="AG178" s="1" t="s">
        <v>352</v>
      </c>
      <c r="AH178" s="1" t="s">
        <v>318</v>
      </c>
      <c r="AI178">
        <v>441111</v>
      </c>
      <c r="AJ178" s="1" t="s">
        <v>66</v>
      </c>
      <c r="AK178" s="1" t="s">
        <v>67</v>
      </c>
      <c r="AL178">
        <v>62044220</v>
      </c>
      <c r="AM178" s="2"/>
      <c r="AN178">
        <v>2850</v>
      </c>
      <c r="AO178" s="1" t="s">
        <v>1852</v>
      </c>
      <c r="AP178" s="1" t="s">
        <v>937</v>
      </c>
      <c r="AQ178" s="1" t="s">
        <v>61</v>
      </c>
      <c r="AR178" s="1" t="s">
        <v>63</v>
      </c>
      <c r="AS178">
        <v>18</v>
      </c>
      <c r="AT178">
        <v>9</v>
      </c>
      <c r="AU178">
        <v>9</v>
      </c>
      <c r="AV178">
        <v>0</v>
      </c>
      <c r="AW178">
        <v>434.74599999999998</v>
      </c>
      <c r="AX178">
        <v>217.37299999999999</v>
      </c>
      <c r="AY178">
        <v>217.37299999999999</v>
      </c>
      <c r="AZ178">
        <v>0</v>
      </c>
      <c r="BA178" s="2"/>
      <c r="BB178">
        <v>0.85</v>
      </c>
      <c r="BC178" s="2">
        <v>45940.5</v>
      </c>
      <c r="BD178" s="27">
        <f>MarketPlace_Order_Report__2[[#This Row],[UnitPrice]]*MarketPlace_Order_Report__2[[#This Row],[OrderQty]]</f>
        <v>2850</v>
      </c>
      <c r="BE178" s="27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BF178" s="27">
        <f>MarketPlace_Order_Report__2[[#This Row],[Gross Amount (Before Tax)]]+MarketPlace_Order_Report__2[[#This Row],[Total GST Amount]]</f>
        <v>3284.7460000000001</v>
      </c>
    </row>
    <row r="179" spans="1:58">
      <c r="A179" s="1" t="s">
        <v>1853</v>
      </c>
      <c r="B179" s="1" t="s">
        <v>1854</v>
      </c>
      <c r="C179" s="1" t="s">
        <v>1855</v>
      </c>
      <c r="D179" s="1" t="s">
        <v>1856</v>
      </c>
      <c r="E179">
        <v>5</v>
      </c>
      <c r="F179" s="1" t="s">
        <v>102</v>
      </c>
      <c r="G179">
        <v>1</v>
      </c>
      <c r="H179">
        <v>1</v>
      </c>
      <c r="I179">
        <v>3000</v>
      </c>
      <c r="J179">
        <v>2850</v>
      </c>
      <c r="K179">
        <v>0</v>
      </c>
      <c r="L179">
        <v>2876.47</v>
      </c>
      <c r="M179">
        <v>26.47</v>
      </c>
      <c r="N179" s="1" t="s">
        <v>72</v>
      </c>
      <c r="O179" s="2">
        <v>45942.217731481483</v>
      </c>
      <c r="P179" s="2">
        <v>45943.762395833335</v>
      </c>
      <c r="Q179" s="2"/>
      <c r="R179" s="1" t="s">
        <v>1857</v>
      </c>
      <c r="S179" s="1" t="s">
        <v>60</v>
      </c>
      <c r="T179" s="2">
        <v>45942.661412037036</v>
      </c>
      <c r="U179" s="1" t="s">
        <v>61</v>
      </c>
      <c r="V179" s="1" t="s">
        <v>62</v>
      </c>
      <c r="W179" s="1" t="s">
        <v>61</v>
      </c>
      <c r="X179" s="1" t="s">
        <v>61</v>
      </c>
      <c r="Y179" s="1" t="s">
        <v>1858</v>
      </c>
      <c r="Z179" s="1" t="s">
        <v>103</v>
      </c>
      <c r="AA179" s="1" t="s">
        <v>75</v>
      </c>
      <c r="AB179" s="1" t="s">
        <v>61</v>
      </c>
      <c r="AC179" s="1" t="s">
        <v>61</v>
      </c>
      <c r="AD179" s="2">
        <v>45958.868807870371</v>
      </c>
      <c r="AE179" s="1" t="s">
        <v>63</v>
      </c>
      <c r="AF179" s="1" t="s">
        <v>61</v>
      </c>
      <c r="AG179" s="1" t="s">
        <v>76</v>
      </c>
      <c r="AH179" s="1" t="s">
        <v>77</v>
      </c>
      <c r="AI179">
        <v>201013</v>
      </c>
      <c r="AJ179" s="1" t="s">
        <v>66</v>
      </c>
      <c r="AK179" s="1" t="s">
        <v>67</v>
      </c>
      <c r="AL179">
        <v>62044220</v>
      </c>
      <c r="AM179" s="2"/>
      <c r="AN179">
        <v>2850</v>
      </c>
      <c r="AO179" s="1" t="s">
        <v>1859</v>
      </c>
      <c r="AP179" s="1" t="s">
        <v>1156</v>
      </c>
      <c r="AQ179" s="1" t="s">
        <v>61</v>
      </c>
      <c r="AR179" s="1" t="s">
        <v>63</v>
      </c>
      <c r="AS179">
        <v>18</v>
      </c>
      <c r="AT179">
        <v>0</v>
      </c>
      <c r="AU179">
        <v>0</v>
      </c>
      <c r="AV179">
        <v>18</v>
      </c>
      <c r="AW179">
        <v>434.74599999999998</v>
      </c>
      <c r="AX179">
        <v>0</v>
      </c>
      <c r="AY179">
        <v>0</v>
      </c>
      <c r="AZ179">
        <v>434.74599999999998</v>
      </c>
      <c r="BA179" s="2"/>
      <c r="BB179">
        <v>1.2</v>
      </c>
      <c r="BC179" s="2">
        <v>45944.5</v>
      </c>
      <c r="BD179" s="27">
        <f>MarketPlace_Order_Report__2[[#This Row],[UnitPrice]]*MarketPlace_Order_Report__2[[#This Row],[OrderQty]]</f>
        <v>2850</v>
      </c>
      <c r="BE179" s="27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BF179" s="27">
        <f>MarketPlace_Order_Report__2[[#This Row],[Gross Amount (Before Tax)]]+MarketPlace_Order_Report__2[[#This Row],[Total GST Amount]]</f>
        <v>3284.7460000000001</v>
      </c>
    </row>
    <row r="180" spans="1:58">
      <c r="A180" s="1" t="s">
        <v>1860</v>
      </c>
      <c r="B180" s="1" t="s">
        <v>1861</v>
      </c>
      <c r="C180" s="1" t="s">
        <v>1862</v>
      </c>
      <c r="D180" s="1" t="s">
        <v>1863</v>
      </c>
      <c r="E180">
        <v>1</v>
      </c>
      <c r="F180" s="1" t="s">
        <v>58</v>
      </c>
      <c r="G180">
        <v>1</v>
      </c>
      <c r="H180">
        <v>1</v>
      </c>
      <c r="I180">
        <v>3000</v>
      </c>
      <c r="J180">
        <v>2850</v>
      </c>
      <c r="K180">
        <v>0</v>
      </c>
      <c r="L180">
        <v>2899</v>
      </c>
      <c r="M180">
        <v>49</v>
      </c>
      <c r="N180" s="1" t="s">
        <v>72</v>
      </c>
      <c r="O180" s="2">
        <v>45942.382974537039</v>
      </c>
      <c r="P180" s="2">
        <v>45943.762615740743</v>
      </c>
      <c r="Q180" s="2">
        <v>45945.530046296299</v>
      </c>
      <c r="R180" s="1" t="s">
        <v>1864</v>
      </c>
      <c r="S180" s="1" t="s">
        <v>351</v>
      </c>
      <c r="T180" s="2">
        <v>45942.661412037036</v>
      </c>
      <c r="U180" s="1" t="s">
        <v>61</v>
      </c>
      <c r="V180" s="1" t="s">
        <v>62</v>
      </c>
      <c r="W180" s="1" t="s">
        <v>61</v>
      </c>
      <c r="X180" s="1" t="s">
        <v>61</v>
      </c>
      <c r="Y180" s="1" t="s">
        <v>61</v>
      </c>
      <c r="Z180" s="1" t="s">
        <v>61</v>
      </c>
      <c r="AA180" s="1" t="s">
        <v>61</v>
      </c>
      <c r="AB180" s="1" t="s">
        <v>61</v>
      </c>
      <c r="AC180" s="1" t="s">
        <v>61</v>
      </c>
      <c r="AD180" s="2">
        <v>45945.532152777778</v>
      </c>
      <c r="AE180" s="1" t="s">
        <v>63</v>
      </c>
      <c r="AF180" s="1" t="s">
        <v>61</v>
      </c>
      <c r="AG180" s="1" t="s">
        <v>408</v>
      </c>
      <c r="AH180" s="1" t="s">
        <v>318</v>
      </c>
      <c r="AI180">
        <v>400097</v>
      </c>
      <c r="AJ180" s="1" t="s">
        <v>66</v>
      </c>
      <c r="AK180" s="1" t="s">
        <v>67</v>
      </c>
      <c r="AL180">
        <v>62044220</v>
      </c>
      <c r="AM180" s="2"/>
      <c r="AN180">
        <v>2850</v>
      </c>
      <c r="AO180" s="1" t="s">
        <v>1865</v>
      </c>
      <c r="AP180" s="1" t="s">
        <v>61</v>
      </c>
      <c r="AQ180" s="1" t="s">
        <v>61</v>
      </c>
      <c r="AR180" s="1" t="s">
        <v>63</v>
      </c>
      <c r="AS180">
        <v>18</v>
      </c>
      <c r="AT180">
        <v>9</v>
      </c>
      <c r="AU180">
        <v>9</v>
      </c>
      <c r="AV180">
        <v>0</v>
      </c>
      <c r="AW180">
        <v>434.74599999999998</v>
      </c>
      <c r="AX180">
        <v>217.37299999999999</v>
      </c>
      <c r="AY180">
        <v>217.37299999999999</v>
      </c>
      <c r="AZ180">
        <v>0</v>
      </c>
      <c r="BA180" s="2"/>
      <c r="BB180">
        <v>0.85</v>
      </c>
      <c r="BC180" s="2">
        <v>45944.5</v>
      </c>
      <c r="BD180" s="27">
        <f>MarketPlace_Order_Report__2[[#This Row],[UnitPrice]]*MarketPlace_Order_Report__2[[#This Row],[OrderQty]]</f>
        <v>2850</v>
      </c>
      <c r="BE180" s="27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BF180" s="27">
        <f>MarketPlace_Order_Report__2[[#This Row],[Gross Amount (Before Tax)]]+MarketPlace_Order_Report__2[[#This Row],[Total GST Amount]]</f>
        <v>3284.7460000000001</v>
      </c>
    </row>
    <row r="181" spans="1:58">
      <c r="A181" s="1" t="s">
        <v>1853</v>
      </c>
      <c r="B181" s="1" t="s">
        <v>1854</v>
      </c>
      <c r="C181" s="1" t="s">
        <v>1866</v>
      </c>
      <c r="D181" s="1" t="s">
        <v>1867</v>
      </c>
      <c r="E181">
        <v>4</v>
      </c>
      <c r="F181" s="1" t="s">
        <v>102</v>
      </c>
      <c r="G181">
        <v>1</v>
      </c>
      <c r="H181">
        <v>1</v>
      </c>
      <c r="I181">
        <v>3000</v>
      </c>
      <c r="J181">
        <v>2850</v>
      </c>
      <c r="K181">
        <v>0</v>
      </c>
      <c r="L181">
        <v>2876.47</v>
      </c>
      <c r="M181">
        <v>26.47</v>
      </c>
      <c r="N181" s="1" t="s">
        <v>72</v>
      </c>
      <c r="O181" s="2">
        <v>45942.217731481483</v>
      </c>
      <c r="P181" s="2">
        <v>45943.762395833335</v>
      </c>
      <c r="Q181" s="2"/>
      <c r="R181" s="1" t="s">
        <v>1857</v>
      </c>
      <c r="S181" s="1" t="s">
        <v>60</v>
      </c>
      <c r="T181" s="2">
        <v>45942.661412037036</v>
      </c>
      <c r="U181" s="1" t="s">
        <v>61</v>
      </c>
      <c r="V181" s="1" t="s">
        <v>62</v>
      </c>
      <c r="W181" s="1" t="s">
        <v>61</v>
      </c>
      <c r="X181" s="1" t="s">
        <v>61</v>
      </c>
      <c r="Y181" s="1" t="s">
        <v>1858</v>
      </c>
      <c r="Z181" s="1" t="s">
        <v>103</v>
      </c>
      <c r="AA181" s="1" t="s">
        <v>75</v>
      </c>
      <c r="AB181" s="1" t="s">
        <v>61</v>
      </c>
      <c r="AC181" s="1" t="s">
        <v>61</v>
      </c>
      <c r="AD181" s="2">
        <v>45958.868807870371</v>
      </c>
      <c r="AE181" s="1" t="s">
        <v>63</v>
      </c>
      <c r="AF181" s="1" t="s">
        <v>61</v>
      </c>
      <c r="AG181" s="1" t="s">
        <v>76</v>
      </c>
      <c r="AH181" s="1" t="s">
        <v>77</v>
      </c>
      <c r="AI181">
        <v>201013</v>
      </c>
      <c r="AJ181" s="1" t="s">
        <v>66</v>
      </c>
      <c r="AK181" s="1" t="s">
        <v>67</v>
      </c>
      <c r="AL181">
        <v>62044220</v>
      </c>
      <c r="AM181" s="2"/>
      <c r="AN181">
        <v>2850</v>
      </c>
      <c r="AO181" s="1" t="s">
        <v>1859</v>
      </c>
      <c r="AP181" s="1" t="s">
        <v>1156</v>
      </c>
      <c r="AQ181" s="1" t="s">
        <v>61</v>
      </c>
      <c r="AR181" s="1" t="s">
        <v>63</v>
      </c>
      <c r="AS181">
        <v>18</v>
      </c>
      <c r="AT181">
        <v>0</v>
      </c>
      <c r="AU181">
        <v>0</v>
      </c>
      <c r="AV181">
        <v>18</v>
      </c>
      <c r="AW181">
        <v>434.74599999999998</v>
      </c>
      <c r="AX181">
        <v>0</v>
      </c>
      <c r="AY181">
        <v>0</v>
      </c>
      <c r="AZ181">
        <v>434.74599999999998</v>
      </c>
      <c r="BA181" s="2"/>
      <c r="BB181">
        <v>1.2</v>
      </c>
      <c r="BC181" s="2">
        <v>45944.5</v>
      </c>
      <c r="BD181" s="27">
        <f>MarketPlace_Order_Report__2[[#This Row],[UnitPrice]]*MarketPlace_Order_Report__2[[#This Row],[OrderQty]]</f>
        <v>2850</v>
      </c>
      <c r="BE181" s="27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BF181" s="27">
        <f>MarketPlace_Order_Report__2[[#This Row],[Gross Amount (Before Tax)]]+MarketPlace_Order_Report__2[[#This Row],[Total GST Amount]]</f>
        <v>3284.7460000000001</v>
      </c>
    </row>
    <row r="182" spans="1:58">
      <c r="A182" s="1" t="s">
        <v>1868</v>
      </c>
      <c r="B182" s="1" t="s">
        <v>1869</v>
      </c>
      <c r="C182" s="1" t="s">
        <v>1870</v>
      </c>
      <c r="D182" s="1" t="s">
        <v>1871</v>
      </c>
      <c r="E182">
        <v>1</v>
      </c>
      <c r="F182" s="1" t="s">
        <v>413</v>
      </c>
      <c r="G182">
        <v>1</v>
      </c>
      <c r="H182">
        <v>1</v>
      </c>
      <c r="I182">
        <v>4000</v>
      </c>
      <c r="J182">
        <v>3800</v>
      </c>
      <c r="K182">
        <v>0</v>
      </c>
      <c r="L182">
        <v>3899</v>
      </c>
      <c r="M182">
        <v>99</v>
      </c>
      <c r="N182" s="1" t="s">
        <v>59</v>
      </c>
      <c r="O182" s="2">
        <v>45958.471307870372</v>
      </c>
      <c r="P182" s="2">
        <v>45958.715428240743</v>
      </c>
      <c r="Q182" s="2"/>
      <c r="R182" s="1" t="s">
        <v>1872</v>
      </c>
      <c r="S182" s="1" t="s">
        <v>60</v>
      </c>
      <c r="T182" s="2">
        <v>45958.543113425927</v>
      </c>
      <c r="U182" s="1" t="s">
        <v>61</v>
      </c>
      <c r="V182" s="1" t="s">
        <v>62</v>
      </c>
      <c r="W182" s="1" t="s">
        <v>61</v>
      </c>
      <c r="X182" s="1" t="s">
        <v>61</v>
      </c>
      <c r="Y182" s="1" t="s">
        <v>61</v>
      </c>
      <c r="Z182" s="1" t="s">
        <v>61</v>
      </c>
      <c r="AA182" s="1" t="s">
        <v>61</v>
      </c>
      <c r="AB182" s="1" t="s">
        <v>61</v>
      </c>
      <c r="AC182" s="1" t="s">
        <v>61</v>
      </c>
      <c r="AD182" s="2">
        <v>45961.53565972222</v>
      </c>
      <c r="AE182" s="1" t="s">
        <v>63</v>
      </c>
      <c r="AF182" s="1" t="s">
        <v>61</v>
      </c>
      <c r="AG182" s="1" t="s">
        <v>182</v>
      </c>
      <c r="AH182" s="1" t="s">
        <v>183</v>
      </c>
      <c r="AI182">
        <v>110016</v>
      </c>
      <c r="AJ182" s="1" t="s">
        <v>66</v>
      </c>
      <c r="AK182" s="1" t="s">
        <v>67</v>
      </c>
      <c r="AL182">
        <v>62044220</v>
      </c>
      <c r="AM182" s="2"/>
      <c r="AN182">
        <v>3800</v>
      </c>
      <c r="AO182" s="1" t="s">
        <v>1873</v>
      </c>
      <c r="AP182" s="1" t="s">
        <v>61</v>
      </c>
      <c r="AQ182" s="1" t="s">
        <v>61</v>
      </c>
      <c r="AR182" s="1" t="s">
        <v>63</v>
      </c>
      <c r="AS182">
        <v>18</v>
      </c>
      <c r="AT182">
        <v>0</v>
      </c>
      <c r="AU182">
        <v>0</v>
      </c>
      <c r="AV182">
        <v>18</v>
      </c>
      <c r="AW182">
        <v>579.66099999999994</v>
      </c>
      <c r="AX182">
        <v>0</v>
      </c>
      <c r="AY182">
        <v>0</v>
      </c>
      <c r="AZ182">
        <v>579.66099999999994</v>
      </c>
      <c r="BA182" s="2"/>
      <c r="BB182">
        <v>0.85</v>
      </c>
      <c r="BC182" s="2">
        <v>45960.5</v>
      </c>
      <c r="BD182" s="27">
        <f>MarketPlace_Order_Report__2[[#This Row],[UnitPrice]]*MarketPlace_Order_Report__2[[#This Row],[OrderQty]]</f>
        <v>3800</v>
      </c>
      <c r="BE182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82" s="27">
        <f>MarketPlace_Order_Report__2[[#This Row],[Gross Amount (Before Tax)]]+MarketPlace_Order_Report__2[[#This Row],[Total GST Amount]]</f>
        <v>4379.6610000000001</v>
      </c>
    </row>
    <row r="183" spans="1:58">
      <c r="A183" s="1" t="s">
        <v>1874</v>
      </c>
      <c r="B183" s="1" t="s">
        <v>1875</v>
      </c>
      <c r="C183" s="1" t="s">
        <v>1876</v>
      </c>
      <c r="D183" s="1" t="s">
        <v>1877</v>
      </c>
      <c r="E183">
        <v>1</v>
      </c>
      <c r="F183" s="1" t="s">
        <v>413</v>
      </c>
      <c r="G183">
        <v>1</v>
      </c>
      <c r="H183">
        <v>1</v>
      </c>
      <c r="I183">
        <v>4000</v>
      </c>
      <c r="J183">
        <v>3800</v>
      </c>
      <c r="K183">
        <v>0</v>
      </c>
      <c r="L183">
        <v>3800</v>
      </c>
      <c r="M183">
        <v>0</v>
      </c>
      <c r="N183" s="1" t="s">
        <v>59</v>
      </c>
      <c r="O183" s="2">
        <v>45948.437986111108</v>
      </c>
      <c r="P183" s="2">
        <v>45954.732418981483</v>
      </c>
      <c r="Q183" s="2"/>
      <c r="R183" s="1" t="s">
        <v>1878</v>
      </c>
      <c r="S183" s="1" t="s">
        <v>60</v>
      </c>
      <c r="T183" s="2">
        <v>45948.802071759259</v>
      </c>
      <c r="U183" s="1" t="s">
        <v>61</v>
      </c>
      <c r="V183" s="1" t="s">
        <v>62</v>
      </c>
      <c r="W183" s="1" t="s">
        <v>61</v>
      </c>
      <c r="X183" s="1" t="s">
        <v>61</v>
      </c>
      <c r="Y183" s="1" t="s">
        <v>61</v>
      </c>
      <c r="Z183" s="1" t="s">
        <v>61</v>
      </c>
      <c r="AA183" s="1" t="s">
        <v>61</v>
      </c>
      <c r="AB183" s="1" t="s">
        <v>61</v>
      </c>
      <c r="AC183" s="1" t="s">
        <v>61</v>
      </c>
      <c r="AD183" s="2">
        <v>45961.448819444442</v>
      </c>
      <c r="AE183" s="1" t="s">
        <v>63</v>
      </c>
      <c r="AF183" s="1" t="s">
        <v>61</v>
      </c>
      <c r="AG183" s="1" t="s">
        <v>1879</v>
      </c>
      <c r="AH183" s="1" t="s">
        <v>120</v>
      </c>
      <c r="AI183">
        <v>322241</v>
      </c>
      <c r="AJ183" s="1" t="s">
        <v>66</v>
      </c>
      <c r="AK183" s="1" t="s">
        <v>67</v>
      </c>
      <c r="AL183">
        <v>62044220</v>
      </c>
      <c r="AM183" s="2"/>
      <c r="AN183">
        <v>3800</v>
      </c>
      <c r="AO183" s="1" t="s">
        <v>1880</v>
      </c>
      <c r="AP183" s="1" t="s">
        <v>89</v>
      </c>
      <c r="AQ183" s="1" t="s">
        <v>61</v>
      </c>
      <c r="AR183" s="1" t="s">
        <v>63</v>
      </c>
      <c r="AS183">
        <v>18</v>
      </c>
      <c r="AT183">
        <v>0</v>
      </c>
      <c r="AU183">
        <v>0</v>
      </c>
      <c r="AV183">
        <v>18</v>
      </c>
      <c r="AW183">
        <v>579.66099999999994</v>
      </c>
      <c r="AX183">
        <v>0</v>
      </c>
      <c r="AY183">
        <v>0</v>
      </c>
      <c r="AZ183">
        <v>579.66099999999994</v>
      </c>
      <c r="BA183" s="2"/>
      <c r="BB183">
        <v>0.85</v>
      </c>
      <c r="BC183" s="2">
        <v>45950.5</v>
      </c>
      <c r="BD183" s="27">
        <f>MarketPlace_Order_Report__2[[#This Row],[UnitPrice]]*MarketPlace_Order_Report__2[[#This Row],[OrderQty]]</f>
        <v>3800</v>
      </c>
      <c r="BE183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83" s="27">
        <f>MarketPlace_Order_Report__2[[#This Row],[Gross Amount (Before Tax)]]+MarketPlace_Order_Report__2[[#This Row],[Total GST Amount]]</f>
        <v>4379.6610000000001</v>
      </c>
    </row>
    <row r="184" spans="1:58">
      <c r="A184" s="1" t="s">
        <v>1881</v>
      </c>
      <c r="B184" s="1" t="s">
        <v>1882</v>
      </c>
      <c r="C184" s="1" t="s">
        <v>1883</v>
      </c>
      <c r="D184" s="1" t="s">
        <v>1884</v>
      </c>
      <c r="E184">
        <v>1</v>
      </c>
      <c r="F184" s="1" t="s">
        <v>58</v>
      </c>
      <c r="G184">
        <v>1</v>
      </c>
      <c r="H184">
        <v>1</v>
      </c>
      <c r="I184">
        <v>4000</v>
      </c>
      <c r="J184">
        <v>3800</v>
      </c>
      <c r="K184">
        <v>0</v>
      </c>
      <c r="L184">
        <v>3800</v>
      </c>
      <c r="M184">
        <v>0</v>
      </c>
      <c r="N184" s="1" t="s">
        <v>59</v>
      </c>
      <c r="O184" s="2">
        <v>45944.7425</v>
      </c>
      <c r="P184" s="2">
        <v>45945.759745370371</v>
      </c>
      <c r="Q184" s="2">
        <v>45947.509027777778</v>
      </c>
      <c r="R184" s="1" t="s">
        <v>1885</v>
      </c>
      <c r="S184" s="1" t="s">
        <v>351</v>
      </c>
      <c r="T184" s="2">
        <v>45944.808067129627</v>
      </c>
      <c r="U184" s="1" t="s">
        <v>61</v>
      </c>
      <c r="V184" s="1" t="s">
        <v>62</v>
      </c>
      <c r="W184" s="1" t="s">
        <v>61</v>
      </c>
      <c r="X184" s="1" t="s">
        <v>61</v>
      </c>
      <c r="Y184" s="1" t="s">
        <v>61</v>
      </c>
      <c r="Z184" s="1" t="s">
        <v>61</v>
      </c>
      <c r="AA184" s="1" t="s">
        <v>61</v>
      </c>
      <c r="AB184" s="1" t="s">
        <v>61</v>
      </c>
      <c r="AC184" s="1" t="s">
        <v>61</v>
      </c>
      <c r="AD184" s="2">
        <v>45947.514907407407</v>
      </c>
      <c r="AE184" s="1" t="s">
        <v>63</v>
      </c>
      <c r="AF184" s="1" t="s">
        <v>61</v>
      </c>
      <c r="AG184" s="1" t="s">
        <v>408</v>
      </c>
      <c r="AH184" s="1" t="s">
        <v>318</v>
      </c>
      <c r="AI184">
        <v>400097</v>
      </c>
      <c r="AJ184" s="1" t="s">
        <v>66</v>
      </c>
      <c r="AK184" s="1" t="s">
        <v>67</v>
      </c>
      <c r="AL184">
        <v>62044220</v>
      </c>
      <c r="AM184" s="2"/>
      <c r="AN184">
        <v>3800</v>
      </c>
      <c r="AO184" s="1" t="s">
        <v>1886</v>
      </c>
      <c r="AP184" s="1" t="s">
        <v>209</v>
      </c>
      <c r="AQ184" s="1" t="s">
        <v>61</v>
      </c>
      <c r="AR184" s="1" t="s">
        <v>63</v>
      </c>
      <c r="AS184">
        <v>18</v>
      </c>
      <c r="AT184">
        <v>9</v>
      </c>
      <c r="AU184">
        <v>9</v>
      </c>
      <c r="AV184">
        <v>0</v>
      </c>
      <c r="AW184">
        <v>579.66099999999994</v>
      </c>
      <c r="AX184">
        <v>289.83100000000002</v>
      </c>
      <c r="AY184">
        <v>289.83100000000002</v>
      </c>
      <c r="AZ184">
        <v>0</v>
      </c>
      <c r="BA184" s="2"/>
      <c r="BB184">
        <v>0.85</v>
      </c>
      <c r="BC184" s="2">
        <v>45947.5</v>
      </c>
      <c r="BD184" s="27">
        <f>MarketPlace_Order_Report__2[[#This Row],[UnitPrice]]*MarketPlace_Order_Report__2[[#This Row],[OrderQty]]</f>
        <v>3800</v>
      </c>
      <c r="BE184" s="27">
        <f>IFERROR(MarketPlace_Order_Report__2[[#This Row],[CGSTAmount]]+MarketPlace_Order_Report__2[[#This Row],[SGSTAmount]]+MarketPlace_Order_Report__2[[#This Row],[IGSTAmount]],MarketPlace_Order_Report__2[[#This Row],[TaxAmount]])</f>
        <v>579.66200000000003</v>
      </c>
      <c r="BF184" s="27">
        <f>MarketPlace_Order_Report__2[[#This Row],[Gross Amount (Before Tax)]]+MarketPlace_Order_Report__2[[#This Row],[Total GST Amount]]</f>
        <v>4379.6620000000003</v>
      </c>
    </row>
    <row r="185" spans="1:58">
      <c r="A185" s="1" t="s">
        <v>1887</v>
      </c>
      <c r="B185" s="1" t="s">
        <v>1888</v>
      </c>
      <c r="C185" s="1" t="s">
        <v>1883</v>
      </c>
      <c r="D185" s="1" t="s">
        <v>1884</v>
      </c>
      <c r="E185">
        <v>1</v>
      </c>
      <c r="F185" s="1" t="s">
        <v>58</v>
      </c>
      <c r="G185">
        <v>1</v>
      </c>
      <c r="H185">
        <v>1</v>
      </c>
      <c r="I185">
        <v>4000</v>
      </c>
      <c r="J185">
        <v>3800</v>
      </c>
      <c r="K185">
        <v>0</v>
      </c>
      <c r="L185">
        <v>3829</v>
      </c>
      <c r="M185">
        <v>29</v>
      </c>
      <c r="N185" s="1" t="s">
        <v>59</v>
      </c>
      <c r="O185" s="2">
        <v>45944.387743055559</v>
      </c>
      <c r="P185" s="2">
        <v>45945.760208333333</v>
      </c>
      <c r="Q185" s="2">
        <v>45948.482986111114</v>
      </c>
      <c r="R185" s="1" t="s">
        <v>1889</v>
      </c>
      <c r="S185" s="1" t="s">
        <v>351</v>
      </c>
      <c r="T185" s="2">
        <v>45944.808067129627</v>
      </c>
      <c r="U185" s="1" t="s">
        <v>61</v>
      </c>
      <c r="V185" s="1" t="s">
        <v>62</v>
      </c>
      <c r="W185" s="1" t="s">
        <v>61</v>
      </c>
      <c r="X185" s="1" t="s">
        <v>61</v>
      </c>
      <c r="Y185" s="1" t="s">
        <v>61</v>
      </c>
      <c r="Z185" s="1" t="s">
        <v>61</v>
      </c>
      <c r="AA185" s="1" t="s">
        <v>61</v>
      </c>
      <c r="AB185" s="1" t="s">
        <v>61</v>
      </c>
      <c r="AC185" s="1" t="s">
        <v>61</v>
      </c>
      <c r="AD185" s="2">
        <v>45948.483437499999</v>
      </c>
      <c r="AE185" s="1" t="s">
        <v>63</v>
      </c>
      <c r="AF185" s="1" t="s">
        <v>61</v>
      </c>
      <c r="AG185" s="1" t="s">
        <v>324</v>
      </c>
      <c r="AH185" s="1" t="s">
        <v>318</v>
      </c>
      <c r="AI185">
        <v>411058</v>
      </c>
      <c r="AJ185" s="1" t="s">
        <v>66</v>
      </c>
      <c r="AK185" s="1" t="s">
        <v>67</v>
      </c>
      <c r="AL185">
        <v>62044220</v>
      </c>
      <c r="AM185" s="2"/>
      <c r="AN185">
        <v>3800</v>
      </c>
      <c r="AO185" s="1" t="s">
        <v>1890</v>
      </c>
      <c r="AP185" s="1" t="s">
        <v>209</v>
      </c>
      <c r="AQ185" s="1" t="s">
        <v>61</v>
      </c>
      <c r="AR185" s="1" t="s">
        <v>63</v>
      </c>
      <c r="AS185">
        <v>18</v>
      </c>
      <c r="AT185">
        <v>9</v>
      </c>
      <c r="AU185">
        <v>9</v>
      </c>
      <c r="AV185">
        <v>0</v>
      </c>
      <c r="AW185">
        <v>579.66099999999994</v>
      </c>
      <c r="AX185">
        <v>289.83100000000002</v>
      </c>
      <c r="AY185">
        <v>289.83100000000002</v>
      </c>
      <c r="AZ185">
        <v>0</v>
      </c>
      <c r="BA185" s="2"/>
      <c r="BB185">
        <v>0.85</v>
      </c>
      <c r="BC185" s="2">
        <v>45946.5</v>
      </c>
      <c r="BD185" s="27">
        <f>MarketPlace_Order_Report__2[[#This Row],[UnitPrice]]*MarketPlace_Order_Report__2[[#This Row],[OrderQty]]</f>
        <v>3800</v>
      </c>
      <c r="BE185" s="27">
        <f>IFERROR(MarketPlace_Order_Report__2[[#This Row],[CGSTAmount]]+MarketPlace_Order_Report__2[[#This Row],[SGSTAmount]]+MarketPlace_Order_Report__2[[#This Row],[IGSTAmount]],MarketPlace_Order_Report__2[[#This Row],[TaxAmount]])</f>
        <v>579.66200000000003</v>
      </c>
      <c r="BF185" s="27">
        <f>MarketPlace_Order_Report__2[[#This Row],[Gross Amount (Before Tax)]]+MarketPlace_Order_Report__2[[#This Row],[Total GST Amount]]</f>
        <v>4379.6620000000003</v>
      </c>
    </row>
    <row r="186" spans="1:58">
      <c r="A186" s="1" t="s">
        <v>1891</v>
      </c>
      <c r="B186" s="1" t="s">
        <v>1892</v>
      </c>
      <c r="C186" s="1" t="s">
        <v>1883</v>
      </c>
      <c r="D186" s="1" t="s">
        <v>1884</v>
      </c>
      <c r="E186">
        <v>1</v>
      </c>
      <c r="F186" s="1" t="s">
        <v>71</v>
      </c>
      <c r="G186">
        <v>1</v>
      </c>
      <c r="H186">
        <v>1</v>
      </c>
      <c r="I186">
        <v>3500</v>
      </c>
      <c r="J186">
        <v>3325</v>
      </c>
      <c r="K186">
        <v>0</v>
      </c>
      <c r="L186">
        <v>3335.19</v>
      </c>
      <c r="M186">
        <v>10.19</v>
      </c>
      <c r="N186" s="1" t="s">
        <v>59</v>
      </c>
      <c r="O186" s="2">
        <v>45941.568414351852</v>
      </c>
      <c r="P186" s="2">
        <v>45941.746944444443</v>
      </c>
      <c r="Q186" s="2">
        <v>45943.796076388891</v>
      </c>
      <c r="R186" s="1" t="s">
        <v>1893</v>
      </c>
      <c r="S186" s="1" t="s">
        <v>60</v>
      </c>
      <c r="T186" s="2">
        <v>45941.595370370371</v>
      </c>
      <c r="U186" s="1" t="s">
        <v>61</v>
      </c>
      <c r="V186" s="1" t="s">
        <v>62</v>
      </c>
      <c r="W186" s="1" t="s">
        <v>61</v>
      </c>
      <c r="X186" s="1" t="s">
        <v>61</v>
      </c>
      <c r="Y186" s="1" t="s">
        <v>1894</v>
      </c>
      <c r="Z186" s="1" t="s">
        <v>74</v>
      </c>
      <c r="AA186" s="1" t="s">
        <v>75</v>
      </c>
      <c r="AB186" s="1" t="s">
        <v>61</v>
      </c>
      <c r="AC186" s="1" t="s">
        <v>61</v>
      </c>
      <c r="AD186" s="2">
        <v>45954.629421296297</v>
      </c>
      <c r="AE186" s="1" t="s">
        <v>63</v>
      </c>
      <c r="AF186" s="1" t="s">
        <v>61</v>
      </c>
      <c r="AG186" s="1" t="s">
        <v>108</v>
      </c>
      <c r="AH186" s="1" t="s">
        <v>109</v>
      </c>
      <c r="AI186">
        <v>500008</v>
      </c>
      <c r="AJ186" s="1" t="s">
        <v>66</v>
      </c>
      <c r="AK186" s="1" t="s">
        <v>67</v>
      </c>
      <c r="AL186">
        <v>62044220</v>
      </c>
      <c r="AM186" s="2"/>
      <c r="AN186">
        <v>3325</v>
      </c>
      <c r="AO186" s="1" t="s">
        <v>1895</v>
      </c>
      <c r="AP186" s="1" t="s">
        <v>209</v>
      </c>
      <c r="AQ186" s="1" t="s">
        <v>61</v>
      </c>
      <c r="AR186" s="1" t="s">
        <v>63</v>
      </c>
      <c r="AS186">
        <v>18</v>
      </c>
      <c r="AT186">
        <v>0</v>
      </c>
      <c r="AU186">
        <v>0</v>
      </c>
      <c r="AV186">
        <v>18</v>
      </c>
      <c r="AW186">
        <v>507.20299999999997</v>
      </c>
      <c r="AX186">
        <v>0</v>
      </c>
      <c r="AY186">
        <v>0</v>
      </c>
      <c r="AZ186">
        <v>507.20299999999997</v>
      </c>
      <c r="BA186" s="2"/>
      <c r="BB186">
        <v>0.85</v>
      </c>
      <c r="BC186" s="2">
        <v>45944.5</v>
      </c>
      <c r="BD186" s="27">
        <f>MarketPlace_Order_Report__2[[#This Row],[UnitPrice]]*MarketPlace_Order_Report__2[[#This Row],[OrderQty]]</f>
        <v>3325</v>
      </c>
      <c r="BE186" s="27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BF186" s="27">
        <f>MarketPlace_Order_Report__2[[#This Row],[Gross Amount (Before Tax)]]+MarketPlace_Order_Report__2[[#This Row],[Total GST Amount]]</f>
        <v>3832.203</v>
      </c>
    </row>
    <row r="187" spans="1:58">
      <c r="A187" s="1" t="s">
        <v>1896</v>
      </c>
      <c r="B187" s="1" t="s">
        <v>1897</v>
      </c>
      <c r="C187" s="1" t="s">
        <v>1898</v>
      </c>
      <c r="D187" s="1" t="s">
        <v>1899</v>
      </c>
      <c r="E187">
        <v>1</v>
      </c>
      <c r="F187" s="1" t="s">
        <v>58</v>
      </c>
      <c r="G187">
        <v>1</v>
      </c>
      <c r="H187">
        <v>1</v>
      </c>
      <c r="I187">
        <v>3500</v>
      </c>
      <c r="J187">
        <v>3325</v>
      </c>
      <c r="K187">
        <v>0</v>
      </c>
      <c r="L187">
        <v>3325</v>
      </c>
      <c r="M187">
        <v>0</v>
      </c>
      <c r="N187" s="1" t="s">
        <v>59</v>
      </c>
      <c r="O187" s="2">
        <v>45942.951273148145</v>
      </c>
      <c r="P187" s="2">
        <v>45944.669444444444</v>
      </c>
      <c r="Q187" s="2">
        <v>45947.51458333333</v>
      </c>
      <c r="R187" s="1" t="s">
        <v>1900</v>
      </c>
      <c r="S187" s="1" t="s">
        <v>107</v>
      </c>
      <c r="T187" s="2">
        <v>45943.813715277778</v>
      </c>
      <c r="U187" s="1" t="s">
        <v>61</v>
      </c>
      <c r="V187" s="1" t="s">
        <v>62</v>
      </c>
      <c r="W187" s="1" t="s">
        <v>61</v>
      </c>
      <c r="X187" s="1" t="s">
        <v>61</v>
      </c>
      <c r="Y187" s="1" t="s">
        <v>61</v>
      </c>
      <c r="Z187" s="1" t="s">
        <v>61</v>
      </c>
      <c r="AA187" s="1" t="s">
        <v>61</v>
      </c>
      <c r="AB187" s="1" t="s">
        <v>61</v>
      </c>
      <c r="AC187" s="1" t="s">
        <v>61</v>
      </c>
      <c r="AD187" s="2">
        <v>45947.521840277775</v>
      </c>
      <c r="AE187" s="1" t="s">
        <v>63</v>
      </c>
      <c r="AF187" s="1" t="s">
        <v>61</v>
      </c>
      <c r="AG187" s="1" t="s">
        <v>746</v>
      </c>
      <c r="AH187" s="1" t="s">
        <v>115</v>
      </c>
      <c r="AI187">
        <v>600004</v>
      </c>
      <c r="AJ187" s="1" t="s">
        <v>66</v>
      </c>
      <c r="AK187" s="1" t="s">
        <v>67</v>
      </c>
      <c r="AL187">
        <v>62044220</v>
      </c>
      <c r="AM187" s="2"/>
      <c r="AN187">
        <v>3325</v>
      </c>
      <c r="AO187" s="1" t="s">
        <v>1901</v>
      </c>
      <c r="AP187" s="1" t="s">
        <v>61</v>
      </c>
      <c r="AQ187" s="1" t="s">
        <v>61</v>
      </c>
      <c r="AR187" s="1" t="s">
        <v>63</v>
      </c>
      <c r="AS187">
        <v>18</v>
      </c>
      <c r="AT187">
        <v>0</v>
      </c>
      <c r="AU187">
        <v>0</v>
      </c>
      <c r="AV187">
        <v>18</v>
      </c>
      <c r="AW187">
        <v>507.20299999999997</v>
      </c>
      <c r="AX187">
        <v>0</v>
      </c>
      <c r="AY187">
        <v>0</v>
      </c>
      <c r="AZ187">
        <v>507.20299999999997</v>
      </c>
      <c r="BA187" s="2"/>
      <c r="BB187">
        <v>0.85</v>
      </c>
      <c r="BC187" s="2">
        <v>45945.5</v>
      </c>
      <c r="BD187" s="27">
        <f>MarketPlace_Order_Report__2[[#This Row],[UnitPrice]]*MarketPlace_Order_Report__2[[#This Row],[OrderQty]]</f>
        <v>3325</v>
      </c>
      <c r="BE187" s="27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BF187" s="27">
        <f>MarketPlace_Order_Report__2[[#This Row],[Gross Amount (Before Tax)]]+MarketPlace_Order_Report__2[[#This Row],[Total GST Amount]]</f>
        <v>3832.203</v>
      </c>
    </row>
    <row r="188" spans="1:58">
      <c r="A188" s="1" t="s">
        <v>1902</v>
      </c>
      <c r="B188" s="1" t="s">
        <v>1903</v>
      </c>
      <c r="C188" s="1" t="s">
        <v>1904</v>
      </c>
      <c r="D188" s="1" t="s">
        <v>1905</v>
      </c>
      <c r="E188">
        <v>2</v>
      </c>
      <c r="F188" s="1" t="s">
        <v>71</v>
      </c>
      <c r="G188">
        <v>1</v>
      </c>
      <c r="H188">
        <v>1</v>
      </c>
      <c r="I188">
        <v>4000</v>
      </c>
      <c r="J188">
        <v>3800</v>
      </c>
      <c r="K188">
        <v>0</v>
      </c>
      <c r="L188">
        <v>3800</v>
      </c>
      <c r="M188">
        <v>0</v>
      </c>
      <c r="N188" s="1" t="s">
        <v>59</v>
      </c>
      <c r="O188" s="2">
        <v>45944.052129629628</v>
      </c>
      <c r="P188" s="2">
        <v>45945.759456018517</v>
      </c>
      <c r="Q188" s="2">
        <v>45948.423981481479</v>
      </c>
      <c r="R188" s="1" t="s">
        <v>1906</v>
      </c>
      <c r="S188" s="1" t="s">
        <v>60</v>
      </c>
      <c r="T188" s="2">
        <v>45944.808067129627</v>
      </c>
      <c r="U188" s="1" t="s">
        <v>61</v>
      </c>
      <c r="V188" s="1" t="s">
        <v>62</v>
      </c>
      <c r="W188" s="1" t="s">
        <v>61</v>
      </c>
      <c r="X188" s="1" t="s">
        <v>61</v>
      </c>
      <c r="Y188" s="1" t="s">
        <v>1907</v>
      </c>
      <c r="Z188" s="1" t="s">
        <v>74</v>
      </c>
      <c r="AA188" s="1" t="s">
        <v>75</v>
      </c>
      <c r="AB188" s="1" t="s">
        <v>61</v>
      </c>
      <c r="AC188" s="1" t="s">
        <v>61</v>
      </c>
      <c r="AD188" s="2">
        <v>45958.868842592594</v>
      </c>
      <c r="AE188" s="1" t="s">
        <v>63</v>
      </c>
      <c r="AF188" s="1" t="s">
        <v>61</v>
      </c>
      <c r="AG188" s="1" t="s">
        <v>136</v>
      </c>
      <c r="AH188" s="1" t="s">
        <v>77</v>
      </c>
      <c r="AI188">
        <v>201308</v>
      </c>
      <c r="AJ188" s="1" t="s">
        <v>66</v>
      </c>
      <c r="AK188" s="1" t="s">
        <v>67</v>
      </c>
      <c r="AL188">
        <v>62044220</v>
      </c>
      <c r="AM188" s="2"/>
      <c r="AN188">
        <v>3800</v>
      </c>
      <c r="AO188" s="1" t="s">
        <v>1908</v>
      </c>
      <c r="AP188" s="1" t="s">
        <v>1620</v>
      </c>
      <c r="AQ188" s="1" t="s">
        <v>61</v>
      </c>
      <c r="AR188" s="1" t="s">
        <v>63</v>
      </c>
      <c r="AS188">
        <v>18</v>
      </c>
      <c r="AT188">
        <v>0</v>
      </c>
      <c r="AU188">
        <v>0</v>
      </c>
      <c r="AV188">
        <v>18</v>
      </c>
      <c r="AW188">
        <v>579.66099999999994</v>
      </c>
      <c r="AX188">
        <v>0</v>
      </c>
      <c r="AY188">
        <v>0</v>
      </c>
      <c r="AZ188">
        <v>579.66099999999994</v>
      </c>
      <c r="BA188" s="2"/>
      <c r="BB188">
        <v>0.85</v>
      </c>
      <c r="BC188" s="2">
        <v>45946.5</v>
      </c>
      <c r="BD188" s="27">
        <f>MarketPlace_Order_Report__2[[#This Row],[UnitPrice]]*MarketPlace_Order_Report__2[[#This Row],[OrderQty]]</f>
        <v>3800</v>
      </c>
      <c r="BE188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88" s="27">
        <f>MarketPlace_Order_Report__2[[#This Row],[Gross Amount (Before Tax)]]+MarketPlace_Order_Report__2[[#This Row],[Total GST Amount]]</f>
        <v>4379.6610000000001</v>
      </c>
    </row>
    <row r="189" spans="1:58">
      <c r="A189" s="1" t="s">
        <v>1343</v>
      </c>
      <c r="B189" s="1" t="s">
        <v>1344</v>
      </c>
      <c r="C189" s="1" t="s">
        <v>1904</v>
      </c>
      <c r="D189" s="1" t="s">
        <v>1905</v>
      </c>
      <c r="E189">
        <v>1</v>
      </c>
      <c r="F189" s="1" t="s">
        <v>58</v>
      </c>
      <c r="G189">
        <v>1</v>
      </c>
      <c r="H189">
        <v>1</v>
      </c>
      <c r="I189">
        <v>3750</v>
      </c>
      <c r="J189">
        <v>3563</v>
      </c>
      <c r="K189">
        <v>0</v>
      </c>
      <c r="L189">
        <v>3577.4250000000002</v>
      </c>
      <c r="M189">
        <v>14.425000000000001</v>
      </c>
      <c r="N189" s="1" t="s">
        <v>59</v>
      </c>
      <c r="O189" s="2">
        <v>45942.706701388888</v>
      </c>
      <c r="P189" s="2">
        <v>45944.741712962961</v>
      </c>
      <c r="Q189" s="2">
        <v>45948.507592592592</v>
      </c>
      <c r="R189" s="1" t="s">
        <v>1345</v>
      </c>
      <c r="S189" s="1" t="s">
        <v>60</v>
      </c>
      <c r="T189" s="2">
        <v>45943.814479166664</v>
      </c>
      <c r="U189" s="1" t="s">
        <v>61</v>
      </c>
      <c r="V189" s="1" t="s">
        <v>62</v>
      </c>
      <c r="W189" s="1" t="s">
        <v>61</v>
      </c>
      <c r="X189" s="1" t="s">
        <v>61</v>
      </c>
      <c r="Y189" s="1" t="s">
        <v>61</v>
      </c>
      <c r="Z189" s="1" t="s">
        <v>61</v>
      </c>
      <c r="AA189" s="1" t="s">
        <v>61</v>
      </c>
      <c r="AB189" s="1" t="s">
        <v>61</v>
      </c>
      <c r="AC189" s="1" t="s">
        <v>61</v>
      </c>
      <c r="AD189" s="2">
        <v>45948.51494212963</v>
      </c>
      <c r="AE189" s="1" t="s">
        <v>63</v>
      </c>
      <c r="AF189" s="1" t="s">
        <v>61</v>
      </c>
      <c r="AG189" s="1" t="s">
        <v>574</v>
      </c>
      <c r="AH189" s="1" t="s">
        <v>215</v>
      </c>
      <c r="AI189">
        <v>770076</v>
      </c>
      <c r="AJ189" s="1" t="s">
        <v>66</v>
      </c>
      <c r="AK189" s="1" t="s">
        <v>67</v>
      </c>
      <c r="AL189">
        <v>62044220</v>
      </c>
      <c r="AM189" s="2"/>
      <c r="AN189">
        <v>3563</v>
      </c>
      <c r="AO189" s="1" t="s">
        <v>1347</v>
      </c>
      <c r="AP189" s="1" t="s">
        <v>61</v>
      </c>
      <c r="AQ189" s="1" t="s">
        <v>61</v>
      </c>
      <c r="AR189" s="1" t="s">
        <v>63</v>
      </c>
      <c r="AS189">
        <v>18</v>
      </c>
      <c r="AT189">
        <v>0</v>
      </c>
      <c r="AU189">
        <v>0</v>
      </c>
      <c r="AV189">
        <v>18</v>
      </c>
      <c r="AW189">
        <v>543.50800000000004</v>
      </c>
      <c r="AX189">
        <v>0</v>
      </c>
      <c r="AY189">
        <v>0</v>
      </c>
      <c r="AZ189">
        <v>543.50800000000004</v>
      </c>
      <c r="BA189" s="2"/>
      <c r="BB189">
        <v>1.2</v>
      </c>
      <c r="BC189" s="2">
        <v>45945.5</v>
      </c>
      <c r="BD189" s="27">
        <f>MarketPlace_Order_Report__2[[#This Row],[UnitPrice]]*MarketPlace_Order_Report__2[[#This Row],[OrderQty]]</f>
        <v>3563</v>
      </c>
      <c r="BE189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89" s="27">
        <f>MarketPlace_Order_Report__2[[#This Row],[Gross Amount (Before Tax)]]+MarketPlace_Order_Report__2[[#This Row],[Total GST Amount]]</f>
        <v>4106.5079999999998</v>
      </c>
    </row>
    <row r="190" spans="1:58">
      <c r="A190" s="1" t="s">
        <v>1909</v>
      </c>
      <c r="B190" s="1" t="s">
        <v>1910</v>
      </c>
      <c r="C190" s="1" t="s">
        <v>1911</v>
      </c>
      <c r="D190" s="1" t="s">
        <v>1912</v>
      </c>
      <c r="E190">
        <v>1</v>
      </c>
      <c r="F190" s="1" t="s">
        <v>187</v>
      </c>
      <c r="G190">
        <v>1</v>
      </c>
      <c r="H190">
        <v>0</v>
      </c>
      <c r="I190">
        <v>4000</v>
      </c>
      <c r="J190">
        <v>3800</v>
      </c>
      <c r="K190">
        <v>0</v>
      </c>
      <c r="L190">
        <v>3871.88</v>
      </c>
      <c r="M190">
        <v>71.88</v>
      </c>
      <c r="N190" s="1" t="s">
        <v>72</v>
      </c>
      <c r="O190" s="2">
        <v>45944.111967592595</v>
      </c>
      <c r="P190" s="2"/>
      <c r="Q190" s="2"/>
      <c r="R190" s="1" t="s">
        <v>61</v>
      </c>
      <c r="S190" s="1" t="s">
        <v>351</v>
      </c>
      <c r="T190" s="2"/>
      <c r="U190" s="1" t="s">
        <v>1913</v>
      </c>
      <c r="V190" s="1" t="s">
        <v>62</v>
      </c>
      <c r="W190" s="1" t="s">
        <v>1914</v>
      </c>
      <c r="X190" s="1" t="s">
        <v>61</v>
      </c>
      <c r="Y190" s="1" t="s">
        <v>61</v>
      </c>
      <c r="Z190" s="1" t="s">
        <v>61</v>
      </c>
      <c r="AA190" s="1" t="s">
        <v>61</v>
      </c>
      <c r="AB190" s="1" t="s">
        <v>61</v>
      </c>
      <c r="AC190" s="1" t="s">
        <v>61</v>
      </c>
      <c r="AD190" s="2">
        <v>45944.572291666664</v>
      </c>
      <c r="AE190" s="1" t="s">
        <v>63</v>
      </c>
      <c r="AF190" s="1" t="s">
        <v>61</v>
      </c>
      <c r="AG190" s="1" t="s">
        <v>1915</v>
      </c>
      <c r="AH190" s="1" t="s">
        <v>434</v>
      </c>
      <c r="AI190">
        <v>360575</v>
      </c>
      <c r="AJ190" s="1" t="s">
        <v>66</v>
      </c>
      <c r="AK190" s="1" t="s">
        <v>67</v>
      </c>
      <c r="AL190">
        <v>62044220</v>
      </c>
      <c r="AM190" s="2">
        <v>45944.572291666664</v>
      </c>
      <c r="AN190">
        <v>3800</v>
      </c>
      <c r="AO190" s="1" t="s">
        <v>61</v>
      </c>
      <c r="AP190" s="1" t="s">
        <v>61</v>
      </c>
      <c r="AQ190" s="1" t="s">
        <v>1916</v>
      </c>
      <c r="AR190" s="1" t="s">
        <v>833</v>
      </c>
      <c r="AS190">
        <v>18</v>
      </c>
      <c r="AT190">
        <v>0</v>
      </c>
      <c r="AU190">
        <v>0</v>
      </c>
      <c r="AV190">
        <v>18</v>
      </c>
      <c r="AW190">
        <v>579.66099999999994</v>
      </c>
      <c r="AX190">
        <v>0</v>
      </c>
      <c r="AY190">
        <v>0</v>
      </c>
      <c r="AZ190">
        <v>579.66099999999994</v>
      </c>
      <c r="BA190" s="2"/>
      <c r="BC190" s="2">
        <v>45946.5</v>
      </c>
      <c r="BD190" s="27">
        <f>MarketPlace_Order_Report__2[[#This Row],[UnitPrice]]*MarketPlace_Order_Report__2[[#This Row],[OrderQty]]</f>
        <v>3800</v>
      </c>
      <c r="BE190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90" s="27">
        <f>MarketPlace_Order_Report__2[[#This Row],[Gross Amount (Before Tax)]]+MarketPlace_Order_Report__2[[#This Row],[Total GST Amount]]</f>
        <v>4379.6610000000001</v>
      </c>
    </row>
    <row r="191" spans="1:58">
      <c r="A191" s="1" t="s">
        <v>1917</v>
      </c>
      <c r="B191" s="1" t="s">
        <v>1918</v>
      </c>
      <c r="C191" s="1" t="s">
        <v>1911</v>
      </c>
      <c r="D191" s="1" t="s">
        <v>1912</v>
      </c>
      <c r="E191">
        <v>1</v>
      </c>
      <c r="F191" s="1" t="s">
        <v>58</v>
      </c>
      <c r="G191">
        <v>1</v>
      </c>
      <c r="H191">
        <v>1</v>
      </c>
      <c r="I191">
        <v>3750</v>
      </c>
      <c r="J191">
        <v>3563</v>
      </c>
      <c r="K191">
        <v>0</v>
      </c>
      <c r="L191">
        <v>3581.84</v>
      </c>
      <c r="M191">
        <v>18.84</v>
      </c>
      <c r="N191" s="1" t="s">
        <v>59</v>
      </c>
      <c r="O191" s="2">
        <v>45939.61210648148</v>
      </c>
      <c r="P191" s="2">
        <v>45940.730856481481</v>
      </c>
      <c r="Q191" s="2">
        <v>45944.521643518521</v>
      </c>
      <c r="R191" s="1" t="s">
        <v>1919</v>
      </c>
      <c r="S191" s="1" t="s">
        <v>351</v>
      </c>
      <c r="T191" s="2">
        <v>45939.786319444444</v>
      </c>
      <c r="U191" s="1" t="s">
        <v>61</v>
      </c>
      <c r="V191" s="1" t="s">
        <v>62</v>
      </c>
      <c r="W191" s="1" t="s">
        <v>61</v>
      </c>
      <c r="X191" s="1" t="s">
        <v>61</v>
      </c>
      <c r="Y191" s="1" t="s">
        <v>61</v>
      </c>
      <c r="Z191" s="1" t="s">
        <v>61</v>
      </c>
      <c r="AA191" s="1" t="s">
        <v>61</v>
      </c>
      <c r="AB191" s="1" t="s">
        <v>61</v>
      </c>
      <c r="AC191" s="1" t="s">
        <v>61</v>
      </c>
      <c r="AD191" s="2">
        <v>45944.532094907408</v>
      </c>
      <c r="AE191" s="1" t="s">
        <v>63</v>
      </c>
      <c r="AF191" s="1" t="s">
        <v>61</v>
      </c>
      <c r="AG191" s="1" t="s">
        <v>1062</v>
      </c>
      <c r="AH191" s="1" t="s">
        <v>318</v>
      </c>
      <c r="AI191">
        <v>416008</v>
      </c>
      <c r="AJ191" s="1" t="s">
        <v>66</v>
      </c>
      <c r="AK191" s="1" t="s">
        <v>67</v>
      </c>
      <c r="AL191">
        <v>62044220</v>
      </c>
      <c r="AM191" s="2"/>
      <c r="AN191">
        <v>3563</v>
      </c>
      <c r="AO191" s="1" t="s">
        <v>1920</v>
      </c>
      <c r="AP191" s="1" t="s">
        <v>61</v>
      </c>
      <c r="AQ191" s="1" t="s">
        <v>61</v>
      </c>
      <c r="AR191" s="1" t="s">
        <v>63</v>
      </c>
      <c r="AS191">
        <v>18</v>
      </c>
      <c r="AT191">
        <v>9</v>
      </c>
      <c r="AU191">
        <v>9</v>
      </c>
      <c r="AV191">
        <v>0</v>
      </c>
      <c r="AW191">
        <v>543.50800000000004</v>
      </c>
      <c r="AX191">
        <v>271.75400000000002</v>
      </c>
      <c r="AY191">
        <v>271.75400000000002</v>
      </c>
      <c r="AZ191">
        <v>0</v>
      </c>
      <c r="BA191" s="2"/>
      <c r="BB191">
        <v>0.85</v>
      </c>
      <c r="BC191" s="2">
        <v>45942.5</v>
      </c>
      <c r="BD191" s="27">
        <f>MarketPlace_Order_Report__2[[#This Row],[UnitPrice]]*MarketPlace_Order_Report__2[[#This Row],[OrderQty]]</f>
        <v>3563</v>
      </c>
      <c r="BE191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91" s="27">
        <f>MarketPlace_Order_Report__2[[#This Row],[Gross Amount (Before Tax)]]+MarketPlace_Order_Report__2[[#This Row],[Total GST Amount]]</f>
        <v>4106.5079999999998</v>
      </c>
    </row>
    <row r="192" spans="1:58">
      <c r="A192" s="1" t="s">
        <v>1921</v>
      </c>
      <c r="B192" s="1" t="s">
        <v>1922</v>
      </c>
      <c r="C192" s="1" t="s">
        <v>1923</v>
      </c>
      <c r="D192" s="1" t="s">
        <v>1924</v>
      </c>
      <c r="E192">
        <v>1</v>
      </c>
      <c r="F192" s="1" t="s">
        <v>71</v>
      </c>
      <c r="G192">
        <v>1</v>
      </c>
      <c r="H192">
        <v>1</v>
      </c>
      <c r="I192">
        <v>4000</v>
      </c>
      <c r="J192">
        <v>3800</v>
      </c>
      <c r="K192">
        <v>0</v>
      </c>
      <c r="L192">
        <v>3919</v>
      </c>
      <c r="M192">
        <v>119</v>
      </c>
      <c r="N192" s="1" t="s">
        <v>72</v>
      </c>
      <c r="O192" s="2">
        <v>45944.659571759257</v>
      </c>
      <c r="P192" s="2">
        <v>45945.759317129632</v>
      </c>
      <c r="Q192" s="2">
        <v>45949.764664351853</v>
      </c>
      <c r="R192" s="1" t="s">
        <v>1925</v>
      </c>
      <c r="S192" s="1" t="s">
        <v>351</v>
      </c>
      <c r="T192" s="2">
        <v>45944.808067129627</v>
      </c>
      <c r="U192" s="1" t="s">
        <v>61</v>
      </c>
      <c r="V192" s="1" t="s">
        <v>62</v>
      </c>
      <c r="W192" s="1" t="s">
        <v>61</v>
      </c>
      <c r="X192" s="1" t="s">
        <v>61</v>
      </c>
      <c r="Y192" s="1" t="s">
        <v>1926</v>
      </c>
      <c r="Z192" s="1" t="s">
        <v>74</v>
      </c>
      <c r="AA192" s="1" t="s">
        <v>75</v>
      </c>
      <c r="AB192" s="1" t="s">
        <v>61</v>
      </c>
      <c r="AC192" s="1" t="s">
        <v>61</v>
      </c>
      <c r="AD192" s="2">
        <v>45959.709085648145</v>
      </c>
      <c r="AE192" s="1" t="s">
        <v>63</v>
      </c>
      <c r="AF192" s="1" t="s">
        <v>61</v>
      </c>
      <c r="AG192" s="1" t="s">
        <v>1915</v>
      </c>
      <c r="AH192" s="1" t="s">
        <v>434</v>
      </c>
      <c r="AI192">
        <v>360575</v>
      </c>
      <c r="AJ192" s="1" t="s">
        <v>66</v>
      </c>
      <c r="AK192" s="1" t="s">
        <v>67</v>
      </c>
      <c r="AL192">
        <v>62044220</v>
      </c>
      <c r="AM192" s="2"/>
      <c r="AN192">
        <v>3800</v>
      </c>
      <c r="AO192" s="1" t="s">
        <v>1927</v>
      </c>
      <c r="AP192" s="1" t="s">
        <v>61</v>
      </c>
      <c r="AQ192" s="1" t="s">
        <v>61</v>
      </c>
      <c r="AR192" s="1" t="s">
        <v>63</v>
      </c>
      <c r="AS192">
        <v>18</v>
      </c>
      <c r="AT192">
        <v>0</v>
      </c>
      <c r="AU192">
        <v>0</v>
      </c>
      <c r="AV192">
        <v>18</v>
      </c>
      <c r="AW192">
        <v>579.66099999999994</v>
      </c>
      <c r="AX192">
        <v>0</v>
      </c>
      <c r="AY192">
        <v>0</v>
      </c>
      <c r="AZ192">
        <v>579.66099999999994</v>
      </c>
      <c r="BA192" s="2"/>
      <c r="BB192">
        <v>0.85</v>
      </c>
      <c r="BC192" s="2">
        <v>45947.5</v>
      </c>
      <c r="BD192" s="27">
        <f>MarketPlace_Order_Report__2[[#This Row],[UnitPrice]]*MarketPlace_Order_Report__2[[#This Row],[OrderQty]]</f>
        <v>3800</v>
      </c>
      <c r="BE192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92" s="27">
        <f>MarketPlace_Order_Report__2[[#This Row],[Gross Amount (Before Tax)]]+MarketPlace_Order_Report__2[[#This Row],[Total GST Amount]]</f>
        <v>4379.6610000000001</v>
      </c>
    </row>
    <row r="193" spans="1:58">
      <c r="A193" s="1" t="s">
        <v>1928</v>
      </c>
      <c r="B193" s="1" t="s">
        <v>1929</v>
      </c>
      <c r="C193" s="1" t="s">
        <v>1930</v>
      </c>
      <c r="D193" s="1" t="s">
        <v>1931</v>
      </c>
      <c r="E193">
        <v>1</v>
      </c>
      <c r="F193" s="1" t="s">
        <v>413</v>
      </c>
      <c r="G193">
        <v>1</v>
      </c>
      <c r="H193">
        <v>1</v>
      </c>
      <c r="I193">
        <v>4000</v>
      </c>
      <c r="J193">
        <v>3800</v>
      </c>
      <c r="K193">
        <v>0</v>
      </c>
      <c r="L193">
        <v>3849</v>
      </c>
      <c r="M193">
        <v>49</v>
      </c>
      <c r="N193" s="1" t="s">
        <v>72</v>
      </c>
      <c r="O193" s="2">
        <v>45947.981689814813</v>
      </c>
      <c r="P193" s="2">
        <v>45954.731064814812</v>
      </c>
      <c r="Q193" s="2"/>
      <c r="R193" s="1" t="s">
        <v>1932</v>
      </c>
      <c r="S193" s="1" t="s">
        <v>60</v>
      </c>
      <c r="T193" s="2">
        <v>45948.802071759259</v>
      </c>
      <c r="U193" s="1" t="s">
        <v>61</v>
      </c>
      <c r="V193" s="1" t="s">
        <v>62</v>
      </c>
      <c r="W193" s="1" t="s">
        <v>61</v>
      </c>
      <c r="X193" s="1" t="s">
        <v>61</v>
      </c>
      <c r="Y193" s="1" t="s">
        <v>61</v>
      </c>
      <c r="Z193" s="1" t="s">
        <v>61</v>
      </c>
      <c r="AA193" s="1" t="s">
        <v>61</v>
      </c>
      <c r="AB193" s="1" t="s">
        <v>61</v>
      </c>
      <c r="AC193" s="1" t="s">
        <v>61</v>
      </c>
      <c r="AD193" s="2">
        <v>45961.26116898148</v>
      </c>
      <c r="AE193" s="1" t="s">
        <v>63</v>
      </c>
      <c r="AF193" s="1" t="s">
        <v>61</v>
      </c>
      <c r="AG193" s="1" t="s">
        <v>1933</v>
      </c>
      <c r="AH193" s="1" t="s">
        <v>77</v>
      </c>
      <c r="AI193">
        <v>275101</v>
      </c>
      <c r="AJ193" s="1" t="s">
        <v>66</v>
      </c>
      <c r="AK193" s="1" t="s">
        <v>67</v>
      </c>
      <c r="AL193">
        <v>62044220</v>
      </c>
      <c r="AM193" s="2"/>
      <c r="AN193">
        <v>3800</v>
      </c>
      <c r="AO193" s="1" t="s">
        <v>1934</v>
      </c>
      <c r="AP193" s="1" t="s">
        <v>1105</v>
      </c>
      <c r="AQ193" s="1" t="s">
        <v>61</v>
      </c>
      <c r="AR193" s="1" t="s">
        <v>63</v>
      </c>
      <c r="AS193">
        <v>18</v>
      </c>
      <c r="AT193">
        <v>0</v>
      </c>
      <c r="AU193">
        <v>0</v>
      </c>
      <c r="AV193">
        <v>18</v>
      </c>
      <c r="AW193">
        <v>579.66099999999994</v>
      </c>
      <c r="AX193">
        <v>0</v>
      </c>
      <c r="AY193">
        <v>0</v>
      </c>
      <c r="AZ193">
        <v>579.66099999999994</v>
      </c>
      <c r="BA193" s="2"/>
      <c r="BB193">
        <v>0.85</v>
      </c>
      <c r="BC193" s="2">
        <v>45950.5</v>
      </c>
      <c r="BD193" s="27">
        <f>MarketPlace_Order_Report__2[[#This Row],[UnitPrice]]*MarketPlace_Order_Report__2[[#This Row],[OrderQty]]</f>
        <v>3800</v>
      </c>
      <c r="BE193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93" s="27">
        <f>MarketPlace_Order_Report__2[[#This Row],[Gross Amount (Before Tax)]]+MarketPlace_Order_Report__2[[#This Row],[Total GST Amount]]</f>
        <v>4379.6610000000001</v>
      </c>
    </row>
    <row r="194" spans="1:58">
      <c r="A194" s="1" t="s">
        <v>1790</v>
      </c>
      <c r="B194" s="1" t="s">
        <v>1791</v>
      </c>
      <c r="C194" s="1" t="s">
        <v>1930</v>
      </c>
      <c r="D194" s="1" t="s">
        <v>1931</v>
      </c>
      <c r="E194">
        <v>4</v>
      </c>
      <c r="F194" s="1" t="s">
        <v>71</v>
      </c>
      <c r="G194">
        <v>1</v>
      </c>
      <c r="H194">
        <v>1</v>
      </c>
      <c r="I194">
        <v>3750</v>
      </c>
      <c r="J194">
        <v>3563</v>
      </c>
      <c r="K194">
        <v>0</v>
      </c>
      <c r="L194">
        <v>3570.77</v>
      </c>
      <c r="M194">
        <v>7.77</v>
      </c>
      <c r="N194" s="1" t="s">
        <v>59</v>
      </c>
      <c r="O194" s="2">
        <v>45941.963761574072</v>
      </c>
      <c r="P194" s="2">
        <v>45943.779166666667</v>
      </c>
      <c r="Q194" s="2">
        <v>45945.498611111114</v>
      </c>
      <c r="R194" s="1" t="s">
        <v>1792</v>
      </c>
      <c r="S194" s="1" t="s">
        <v>107</v>
      </c>
      <c r="T194" s="2">
        <v>45942.661412037036</v>
      </c>
      <c r="U194" s="1" t="s">
        <v>61</v>
      </c>
      <c r="V194" s="1" t="s">
        <v>62</v>
      </c>
      <c r="W194" s="1" t="s">
        <v>61</v>
      </c>
      <c r="X194" s="1" t="s">
        <v>61</v>
      </c>
      <c r="Y194" s="1" t="s">
        <v>1935</v>
      </c>
      <c r="Z194" s="1" t="s">
        <v>74</v>
      </c>
      <c r="AA194" s="1" t="s">
        <v>75</v>
      </c>
      <c r="AB194" s="1" t="s">
        <v>61</v>
      </c>
      <c r="AC194" s="1" t="s">
        <v>61</v>
      </c>
      <c r="AD194" s="2">
        <v>45954.629421296297</v>
      </c>
      <c r="AE194" s="1" t="s">
        <v>63</v>
      </c>
      <c r="AF194" s="1" t="s">
        <v>61</v>
      </c>
      <c r="AG194" s="1" t="s">
        <v>108</v>
      </c>
      <c r="AH194" s="1" t="s">
        <v>109</v>
      </c>
      <c r="AI194">
        <v>500032</v>
      </c>
      <c r="AJ194" s="1" t="s">
        <v>66</v>
      </c>
      <c r="AK194" s="1" t="s">
        <v>67</v>
      </c>
      <c r="AL194">
        <v>62044220</v>
      </c>
      <c r="AM194" s="2"/>
      <c r="AN194">
        <v>3563</v>
      </c>
      <c r="AO194" s="1" t="s">
        <v>1793</v>
      </c>
      <c r="AP194" s="1" t="s">
        <v>61</v>
      </c>
      <c r="AQ194" s="1" t="s">
        <v>61</v>
      </c>
      <c r="AR194" s="1" t="s">
        <v>63</v>
      </c>
      <c r="AS194">
        <v>18</v>
      </c>
      <c r="AT194">
        <v>0</v>
      </c>
      <c r="AU194">
        <v>0</v>
      </c>
      <c r="AV194">
        <v>18</v>
      </c>
      <c r="AW194">
        <v>543.50800000000004</v>
      </c>
      <c r="AX194">
        <v>0</v>
      </c>
      <c r="AY194">
        <v>0</v>
      </c>
      <c r="AZ194">
        <v>543.50800000000004</v>
      </c>
      <c r="BA194" s="2"/>
      <c r="BB194">
        <v>1.1000000000000001</v>
      </c>
      <c r="BC194" s="2">
        <v>45944.5</v>
      </c>
      <c r="BD194" s="27">
        <f>MarketPlace_Order_Report__2[[#This Row],[UnitPrice]]*MarketPlace_Order_Report__2[[#This Row],[OrderQty]]</f>
        <v>3563</v>
      </c>
      <c r="BE194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94" s="27">
        <f>MarketPlace_Order_Report__2[[#This Row],[Gross Amount (Before Tax)]]+MarketPlace_Order_Report__2[[#This Row],[Total GST Amount]]</f>
        <v>4106.5079999999998</v>
      </c>
    </row>
    <row r="195" spans="1:58">
      <c r="A195" s="1" t="s">
        <v>1936</v>
      </c>
      <c r="B195" s="1" t="s">
        <v>1937</v>
      </c>
      <c r="C195" s="1" t="s">
        <v>1930</v>
      </c>
      <c r="D195" s="1" t="s">
        <v>1931</v>
      </c>
      <c r="E195">
        <v>1</v>
      </c>
      <c r="F195" s="1" t="s">
        <v>58</v>
      </c>
      <c r="G195">
        <v>1</v>
      </c>
      <c r="H195">
        <v>1</v>
      </c>
      <c r="I195">
        <v>3750</v>
      </c>
      <c r="J195">
        <v>3563</v>
      </c>
      <c r="K195">
        <v>0</v>
      </c>
      <c r="L195">
        <v>3588.43</v>
      </c>
      <c r="M195">
        <v>25.43</v>
      </c>
      <c r="N195" s="1" t="s">
        <v>59</v>
      </c>
      <c r="O195" s="2">
        <v>45941.690416666665</v>
      </c>
      <c r="P195" s="2">
        <v>45943.761493055557</v>
      </c>
      <c r="Q195" s="2">
        <v>45946.591678240744</v>
      </c>
      <c r="R195" s="1" t="s">
        <v>1938</v>
      </c>
      <c r="S195" s="1" t="s">
        <v>60</v>
      </c>
      <c r="T195" s="2">
        <v>45941.806631944448</v>
      </c>
      <c r="U195" s="1" t="s">
        <v>61</v>
      </c>
      <c r="V195" s="1" t="s">
        <v>62</v>
      </c>
      <c r="W195" s="1" t="s">
        <v>61</v>
      </c>
      <c r="X195" s="1" t="s">
        <v>61</v>
      </c>
      <c r="Y195" s="1" t="s">
        <v>61</v>
      </c>
      <c r="Z195" s="1" t="s">
        <v>61</v>
      </c>
      <c r="AA195" s="1" t="s">
        <v>61</v>
      </c>
      <c r="AB195" s="1" t="s">
        <v>61</v>
      </c>
      <c r="AC195" s="1" t="s">
        <v>61</v>
      </c>
      <c r="AD195" s="2">
        <v>45946.594606481478</v>
      </c>
      <c r="AE195" s="1" t="s">
        <v>63</v>
      </c>
      <c r="AF195" s="1" t="s">
        <v>61</v>
      </c>
      <c r="AG195" s="1" t="s">
        <v>197</v>
      </c>
      <c r="AH195" s="1" t="s">
        <v>65</v>
      </c>
      <c r="AI195">
        <v>560087</v>
      </c>
      <c r="AJ195" s="1" t="s">
        <v>66</v>
      </c>
      <c r="AK195" s="1" t="s">
        <v>67</v>
      </c>
      <c r="AL195">
        <v>62044220</v>
      </c>
      <c r="AM195" s="2"/>
      <c r="AN195">
        <v>3563</v>
      </c>
      <c r="AO195" s="1" t="s">
        <v>1939</v>
      </c>
      <c r="AP195" s="1" t="s">
        <v>61</v>
      </c>
      <c r="AQ195" s="1" t="s">
        <v>61</v>
      </c>
      <c r="AR195" s="1" t="s">
        <v>63</v>
      </c>
      <c r="AS195">
        <v>18</v>
      </c>
      <c r="AT195">
        <v>0</v>
      </c>
      <c r="AU195">
        <v>0</v>
      </c>
      <c r="AV195">
        <v>18</v>
      </c>
      <c r="AW195">
        <v>543.50800000000004</v>
      </c>
      <c r="AX195">
        <v>0</v>
      </c>
      <c r="AY195">
        <v>0</v>
      </c>
      <c r="AZ195">
        <v>543.50800000000004</v>
      </c>
      <c r="BA195" s="2"/>
      <c r="BB195">
        <v>0.85</v>
      </c>
      <c r="BC195" s="2">
        <v>45944.5</v>
      </c>
      <c r="BD195" s="27">
        <f>MarketPlace_Order_Report__2[[#This Row],[UnitPrice]]*MarketPlace_Order_Report__2[[#This Row],[OrderQty]]</f>
        <v>3563</v>
      </c>
      <c r="BE195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95" s="27">
        <f>MarketPlace_Order_Report__2[[#This Row],[Gross Amount (Before Tax)]]+MarketPlace_Order_Report__2[[#This Row],[Total GST Amount]]</f>
        <v>4106.5079999999998</v>
      </c>
    </row>
    <row r="196" spans="1:58">
      <c r="A196" s="1" t="s">
        <v>1940</v>
      </c>
      <c r="B196" s="1" t="s">
        <v>1941</v>
      </c>
      <c r="C196" s="1" t="s">
        <v>1930</v>
      </c>
      <c r="D196" s="1" t="s">
        <v>1931</v>
      </c>
      <c r="E196">
        <v>1</v>
      </c>
      <c r="F196" s="1" t="s">
        <v>58</v>
      </c>
      <c r="G196">
        <v>1</v>
      </c>
      <c r="H196">
        <v>1</v>
      </c>
      <c r="I196">
        <v>3750</v>
      </c>
      <c r="J196">
        <v>3563</v>
      </c>
      <c r="K196">
        <v>0</v>
      </c>
      <c r="L196">
        <v>3573.67</v>
      </c>
      <c r="M196">
        <v>10.67</v>
      </c>
      <c r="N196" s="1" t="s">
        <v>59</v>
      </c>
      <c r="O196" s="2">
        <v>45936.924502314818</v>
      </c>
      <c r="P196" s="2">
        <v>45938.718634259261</v>
      </c>
      <c r="Q196" s="2">
        <v>45943.448159722226</v>
      </c>
      <c r="R196" s="1" t="s">
        <v>1942</v>
      </c>
      <c r="S196" s="1" t="s">
        <v>60</v>
      </c>
      <c r="T196" s="2">
        <v>45937.716180555559</v>
      </c>
      <c r="U196" s="1" t="s">
        <v>61</v>
      </c>
      <c r="V196" s="1" t="s">
        <v>62</v>
      </c>
      <c r="W196" s="1" t="s">
        <v>61</v>
      </c>
      <c r="X196" s="1" t="s">
        <v>61</v>
      </c>
      <c r="Y196" s="1" t="s">
        <v>61</v>
      </c>
      <c r="Z196" s="1" t="s">
        <v>61</v>
      </c>
      <c r="AA196" s="1" t="s">
        <v>61</v>
      </c>
      <c r="AB196" s="1" t="s">
        <v>61</v>
      </c>
      <c r="AC196" s="1" t="s">
        <v>61</v>
      </c>
      <c r="AD196" s="2">
        <v>45943.448564814818</v>
      </c>
      <c r="AE196" s="1" t="s">
        <v>63</v>
      </c>
      <c r="AF196" s="1" t="s">
        <v>61</v>
      </c>
      <c r="AG196" s="1" t="s">
        <v>579</v>
      </c>
      <c r="AH196" s="1" t="s">
        <v>231</v>
      </c>
      <c r="AI196">
        <v>834008</v>
      </c>
      <c r="AJ196" s="1" t="s">
        <v>66</v>
      </c>
      <c r="AK196" s="1" t="s">
        <v>67</v>
      </c>
      <c r="AL196">
        <v>62044220</v>
      </c>
      <c r="AM196" s="2"/>
      <c r="AN196">
        <v>3563</v>
      </c>
      <c r="AO196" s="1" t="s">
        <v>1943</v>
      </c>
      <c r="AP196" s="1" t="s">
        <v>61</v>
      </c>
      <c r="AQ196" s="1" t="s">
        <v>61</v>
      </c>
      <c r="AR196" s="1" t="s">
        <v>63</v>
      </c>
      <c r="AS196">
        <v>18</v>
      </c>
      <c r="AT196">
        <v>0</v>
      </c>
      <c r="AU196">
        <v>0</v>
      </c>
      <c r="AV196">
        <v>18</v>
      </c>
      <c r="AW196">
        <v>543.50800000000004</v>
      </c>
      <c r="AX196">
        <v>0</v>
      </c>
      <c r="AY196">
        <v>0</v>
      </c>
      <c r="AZ196">
        <v>543.50800000000004</v>
      </c>
      <c r="BA196" s="2"/>
      <c r="BB196">
        <v>0.85</v>
      </c>
      <c r="BC196" s="2">
        <v>45939.5</v>
      </c>
      <c r="BD196" s="27">
        <f>MarketPlace_Order_Report__2[[#This Row],[UnitPrice]]*MarketPlace_Order_Report__2[[#This Row],[OrderQty]]</f>
        <v>3563</v>
      </c>
      <c r="BE196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96" s="27">
        <f>MarketPlace_Order_Report__2[[#This Row],[Gross Amount (Before Tax)]]+MarketPlace_Order_Report__2[[#This Row],[Total GST Amount]]</f>
        <v>4106.5079999999998</v>
      </c>
    </row>
    <row r="197" spans="1:58">
      <c r="A197" s="1" t="s">
        <v>1944</v>
      </c>
      <c r="B197" s="1" t="s">
        <v>1945</v>
      </c>
      <c r="C197" s="1" t="s">
        <v>1946</v>
      </c>
      <c r="D197" s="1" t="s">
        <v>1947</v>
      </c>
      <c r="E197">
        <v>6</v>
      </c>
      <c r="F197" s="1" t="s">
        <v>58</v>
      </c>
      <c r="G197">
        <v>1</v>
      </c>
      <c r="H197">
        <v>1</v>
      </c>
      <c r="I197">
        <v>2500</v>
      </c>
      <c r="J197">
        <v>2000</v>
      </c>
      <c r="K197">
        <v>0</v>
      </c>
      <c r="L197">
        <v>2009.729</v>
      </c>
      <c r="M197">
        <v>9.7289999999999992</v>
      </c>
      <c r="N197" s="1" t="s">
        <v>72</v>
      </c>
      <c r="O197" s="2">
        <v>45956.966944444444</v>
      </c>
      <c r="P197" s="2">
        <v>45958.713831018518</v>
      </c>
      <c r="Q197" s="2">
        <v>45960.610729166663</v>
      </c>
      <c r="R197" s="1" t="s">
        <v>1948</v>
      </c>
      <c r="S197" s="1" t="s">
        <v>60</v>
      </c>
      <c r="T197" s="2">
        <v>45957.797627314816</v>
      </c>
      <c r="U197" s="1" t="s">
        <v>61</v>
      </c>
      <c r="V197" s="1" t="s">
        <v>623</v>
      </c>
      <c r="W197" s="1" t="s">
        <v>61</v>
      </c>
      <c r="X197" s="1" t="s">
        <v>61</v>
      </c>
      <c r="Y197" s="1" t="s">
        <v>61</v>
      </c>
      <c r="Z197" s="1" t="s">
        <v>61</v>
      </c>
      <c r="AA197" s="1" t="s">
        <v>61</v>
      </c>
      <c r="AB197" s="1" t="s">
        <v>61</v>
      </c>
      <c r="AC197" s="1" t="s">
        <v>61</v>
      </c>
      <c r="AD197" s="2">
        <v>45960.611817129633</v>
      </c>
      <c r="AE197" s="1" t="s">
        <v>63</v>
      </c>
      <c r="AF197" s="1" t="s">
        <v>61</v>
      </c>
      <c r="AG197" s="1" t="s">
        <v>751</v>
      </c>
      <c r="AH197" s="1" t="s">
        <v>275</v>
      </c>
      <c r="AI197">
        <v>700016</v>
      </c>
      <c r="AJ197" s="1" t="s">
        <v>66</v>
      </c>
      <c r="AK197" s="1" t="s">
        <v>67</v>
      </c>
      <c r="AL197">
        <v>62042300</v>
      </c>
      <c r="AM197" s="2"/>
      <c r="AN197">
        <v>2000</v>
      </c>
      <c r="AO197" s="1" t="s">
        <v>1949</v>
      </c>
      <c r="AP197" s="1" t="s">
        <v>61</v>
      </c>
      <c r="AQ197" s="1" t="s">
        <v>61</v>
      </c>
      <c r="AR197" s="1" t="s">
        <v>63</v>
      </c>
      <c r="AS197">
        <v>5</v>
      </c>
      <c r="AT197">
        <v>0</v>
      </c>
      <c r="AU197">
        <v>0</v>
      </c>
      <c r="AV197">
        <v>5</v>
      </c>
      <c r="AW197">
        <v>95.238</v>
      </c>
      <c r="AX197">
        <v>0</v>
      </c>
      <c r="AY197">
        <v>0</v>
      </c>
      <c r="AZ197">
        <v>95.238</v>
      </c>
      <c r="BA197" s="2"/>
      <c r="BB197">
        <v>1</v>
      </c>
      <c r="BC197" s="2">
        <v>45959.5</v>
      </c>
      <c r="BD197" s="27">
        <f>MarketPlace_Order_Report__2[[#This Row],[UnitPrice]]*MarketPlace_Order_Report__2[[#This Row],[OrderQty]]</f>
        <v>2000</v>
      </c>
      <c r="BE197" s="27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BF197" s="27">
        <f>MarketPlace_Order_Report__2[[#This Row],[Gross Amount (Before Tax)]]+MarketPlace_Order_Report__2[[#This Row],[Total GST Amount]]</f>
        <v>2095.2379999999998</v>
      </c>
    </row>
    <row r="198" spans="1:58">
      <c r="A198" s="1" t="s">
        <v>1950</v>
      </c>
      <c r="B198" s="1" t="s">
        <v>1951</v>
      </c>
      <c r="C198" s="1" t="s">
        <v>1952</v>
      </c>
      <c r="D198" s="1" t="s">
        <v>1953</v>
      </c>
      <c r="E198">
        <v>1</v>
      </c>
      <c r="F198" s="1" t="s">
        <v>58</v>
      </c>
      <c r="G198">
        <v>1</v>
      </c>
      <c r="H198">
        <v>1</v>
      </c>
      <c r="I198">
        <v>2500</v>
      </c>
      <c r="J198">
        <v>2000</v>
      </c>
      <c r="K198">
        <v>0</v>
      </c>
      <c r="L198">
        <v>2049</v>
      </c>
      <c r="M198">
        <v>49</v>
      </c>
      <c r="N198" s="1" t="s">
        <v>72</v>
      </c>
      <c r="O198" s="2">
        <v>45937.72078703704</v>
      </c>
      <c r="P198" s="2">
        <v>45939.734861111108</v>
      </c>
      <c r="Q198" s="2">
        <v>45942.792314814818</v>
      </c>
      <c r="R198" s="1" t="s">
        <v>1954</v>
      </c>
      <c r="S198" s="1" t="s">
        <v>60</v>
      </c>
      <c r="T198" s="2">
        <v>45938.725810185184</v>
      </c>
      <c r="U198" s="1" t="s">
        <v>61</v>
      </c>
      <c r="V198" s="1" t="s">
        <v>623</v>
      </c>
      <c r="W198" s="1" t="s">
        <v>61</v>
      </c>
      <c r="X198" s="1" t="s">
        <v>61</v>
      </c>
      <c r="Y198" s="1" t="s">
        <v>61</v>
      </c>
      <c r="Z198" s="1" t="s">
        <v>61</v>
      </c>
      <c r="AA198" s="1" t="s">
        <v>61</v>
      </c>
      <c r="AB198" s="1" t="s">
        <v>61</v>
      </c>
      <c r="AC198" s="1" t="s">
        <v>61</v>
      </c>
      <c r="AD198" s="2">
        <v>45942.795995370368</v>
      </c>
      <c r="AE198" s="1" t="s">
        <v>63</v>
      </c>
      <c r="AF198" s="1" t="s">
        <v>61</v>
      </c>
      <c r="AG198" s="1" t="s">
        <v>136</v>
      </c>
      <c r="AH198" s="1" t="s">
        <v>77</v>
      </c>
      <c r="AI198">
        <v>201306</v>
      </c>
      <c r="AJ198" s="1" t="s">
        <v>66</v>
      </c>
      <c r="AK198" s="1" t="s">
        <v>67</v>
      </c>
      <c r="AL198">
        <v>62042300</v>
      </c>
      <c r="AM198" s="2"/>
      <c r="AN198">
        <v>2000</v>
      </c>
      <c r="AO198" s="1" t="s">
        <v>1955</v>
      </c>
      <c r="AP198" s="1" t="s">
        <v>61</v>
      </c>
      <c r="AQ198" s="1" t="s">
        <v>61</v>
      </c>
      <c r="AR198" s="1" t="s">
        <v>63</v>
      </c>
      <c r="AS198">
        <v>5</v>
      </c>
      <c r="AT198">
        <v>0</v>
      </c>
      <c r="AU198">
        <v>0</v>
      </c>
      <c r="AV198">
        <v>5</v>
      </c>
      <c r="AW198">
        <v>95.238</v>
      </c>
      <c r="AX198">
        <v>0</v>
      </c>
      <c r="AY198">
        <v>0</v>
      </c>
      <c r="AZ198">
        <v>95.238</v>
      </c>
      <c r="BA198" s="2"/>
      <c r="BB198">
        <v>0.75</v>
      </c>
      <c r="BC198" s="2">
        <v>45940.5</v>
      </c>
      <c r="BD198" s="27">
        <f>MarketPlace_Order_Report__2[[#This Row],[UnitPrice]]*MarketPlace_Order_Report__2[[#This Row],[OrderQty]]</f>
        <v>2000</v>
      </c>
      <c r="BE198" s="27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BF198" s="27">
        <f>MarketPlace_Order_Report__2[[#This Row],[Gross Amount (Before Tax)]]+MarketPlace_Order_Report__2[[#This Row],[Total GST Amount]]</f>
        <v>2095.2379999999998</v>
      </c>
    </row>
    <row r="199" spans="1:58">
      <c r="A199" s="1" t="s">
        <v>1956</v>
      </c>
      <c r="B199" s="1" t="s">
        <v>1957</v>
      </c>
      <c r="C199" s="1" t="s">
        <v>669</v>
      </c>
      <c r="D199" s="1" t="s">
        <v>670</v>
      </c>
      <c r="E199">
        <v>1</v>
      </c>
      <c r="F199" s="1" t="s">
        <v>71</v>
      </c>
      <c r="G199">
        <v>1</v>
      </c>
      <c r="H199">
        <v>1</v>
      </c>
      <c r="I199">
        <v>2500</v>
      </c>
      <c r="J199">
        <v>2000</v>
      </c>
      <c r="K199">
        <v>0</v>
      </c>
      <c r="L199">
        <v>2014.88</v>
      </c>
      <c r="M199">
        <v>14.88</v>
      </c>
      <c r="N199" s="1" t="s">
        <v>59</v>
      </c>
      <c r="O199" s="2">
        <v>45940.633252314816</v>
      </c>
      <c r="P199" s="2">
        <v>45941.747187499997</v>
      </c>
      <c r="Q199" s="2">
        <v>45945.525648148148</v>
      </c>
      <c r="R199" s="1" t="s">
        <v>1958</v>
      </c>
      <c r="S199" s="1" t="s">
        <v>60</v>
      </c>
      <c r="T199" s="2">
        <v>45940.816203703704</v>
      </c>
      <c r="U199" s="1" t="s">
        <v>61</v>
      </c>
      <c r="V199" s="1" t="s">
        <v>623</v>
      </c>
      <c r="W199" s="1" t="s">
        <v>61</v>
      </c>
      <c r="X199" s="1" t="s">
        <v>61</v>
      </c>
      <c r="Y199" s="1" t="s">
        <v>1959</v>
      </c>
      <c r="Z199" s="1" t="s">
        <v>74</v>
      </c>
      <c r="AA199" s="1" t="s">
        <v>75</v>
      </c>
      <c r="AB199" s="1" t="s">
        <v>61</v>
      </c>
      <c r="AC199" s="1" t="s">
        <v>61</v>
      </c>
      <c r="AD199" s="2">
        <v>45957.622395833336</v>
      </c>
      <c r="AE199" s="1" t="s">
        <v>63</v>
      </c>
      <c r="AF199" s="1" t="s">
        <v>61</v>
      </c>
      <c r="AG199" s="1" t="s">
        <v>1960</v>
      </c>
      <c r="AH199" s="1" t="s">
        <v>275</v>
      </c>
      <c r="AI199">
        <v>721212</v>
      </c>
      <c r="AJ199" s="1" t="s">
        <v>66</v>
      </c>
      <c r="AK199" s="1" t="s">
        <v>67</v>
      </c>
      <c r="AL199">
        <v>62042300</v>
      </c>
      <c r="AM199" s="2"/>
      <c r="AN199">
        <v>2000</v>
      </c>
      <c r="AO199" s="1" t="s">
        <v>1961</v>
      </c>
      <c r="AP199" s="1" t="s">
        <v>78</v>
      </c>
      <c r="AQ199" s="1" t="s">
        <v>61</v>
      </c>
      <c r="AR199" s="1" t="s">
        <v>63</v>
      </c>
      <c r="AS199">
        <v>5</v>
      </c>
      <c r="AT199">
        <v>0</v>
      </c>
      <c r="AU199">
        <v>0</v>
      </c>
      <c r="AV199">
        <v>5</v>
      </c>
      <c r="AW199">
        <v>95.238</v>
      </c>
      <c r="AX199">
        <v>0</v>
      </c>
      <c r="AY199">
        <v>0</v>
      </c>
      <c r="AZ199">
        <v>95.238</v>
      </c>
      <c r="BA199" s="2"/>
      <c r="BB199">
        <v>0.75</v>
      </c>
      <c r="BC199" s="2">
        <v>45943.5</v>
      </c>
      <c r="BD199" s="27">
        <f>MarketPlace_Order_Report__2[[#This Row],[UnitPrice]]*MarketPlace_Order_Report__2[[#This Row],[OrderQty]]</f>
        <v>2000</v>
      </c>
      <c r="BE199" s="27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BF199" s="27">
        <f>MarketPlace_Order_Report__2[[#This Row],[Gross Amount (Before Tax)]]+MarketPlace_Order_Report__2[[#This Row],[Total GST Amount]]</f>
        <v>2095.2379999999998</v>
      </c>
    </row>
    <row r="200" spans="1:58">
      <c r="A200" s="1" t="s">
        <v>1962</v>
      </c>
      <c r="B200" s="1" t="s">
        <v>1963</v>
      </c>
      <c r="C200" s="1" t="s">
        <v>673</v>
      </c>
      <c r="D200" s="1" t="s">
        <v>674</v>
      </c>
      <c r="E200">
        <v>4</v>
      </c>
      <c r="F200" s="1" t="s">
        <v>58</v>
      </c>
      <c r="G200">
        <v>1</v>
      </c>
      <c r="H200">
        <v>1</v>
      </c>
      <c r="I200">
        <v>2500</v>
      </c>
      <c r="J200">
        <v>2000</v>
      </c>
      <c r="K200">
        <v>0</v>
      </c>
      <c r="L200">
        <v>2010.38</v>
      </c>
      <c r="M200">
        <v>10.38</v>
      </c>
      <c r="N200" s="1" t="s">
        <v>59</v>
      </c>
      <c r="O200" s="2">
        <v>45956.781458333331</v>
      </c>
      <c r="P200" s="2">
        <v>45958.715277777781</v>
      </c>
      <c r="Q200" s="2">
        <v>45960.408182870371</v>
      </c>
      <c r="R200" s="1" t="s">
        <v>1964</v>
      </c>
      <c r="S200" s="1" t="s">
        <v>60</v>
      </c>
      <c r="T200" s="2">
        <v>45957.797627314816</v>
      </c>
      <c r="U200" s="1" t="s">
        <v>61</v>
      </c>
      <c r="V200" s="1" t="s">
        <v>623</v>
      </c>
      <c r="W200" s="1" t="s">
        <v>61</v>
      </c>
      <c r="X200" s="1" t="s">
        <v>61</v>
      </c>
      <c r="Y200" s="1" t="s">
        <v>61</v>
      </c>
      <c r="Z200" s="1" t="s">
        <v>61</v>
      </c>
      <c r="AA200" s="1" t="s">
        <v>61</v>
      </c>
      <c r="AB200" s="1" t="s">
        <v>61</v>
      </c>
      <c r="AC200" s="1" t="s">
        <v>61</v>
      </c>
      <c r="AD200" s="2">
        <v>45960.410578703704</v>
      </c>
      <c r="AE200" s="1" t="s">
        <v>63</v>
      </c>
      <c r="AF200" s="1" t="s">
        <v>61</v>
      </c>
      <c r="AG200" s="1" t="s">
        <v>136</v>
      </c>
      <c r="AH200" s="1" t="s">
        <v>77</v>
      </c>
      <c r="AI200">
        <v>201304</v>
      </c>
      <c r="AJ200" s="1" t="s">
        <v>66</v>
      </c>
      <c r="AK200" s="1" t="s">
        <v>67</v>
      </c>
      <c r="AL200">
        <v>62042300</v>
      </c>
      <c r="AM200" s="2"/>
      <c r="AN200">
        <v>2000</v>
      </c>
      <c r="AO200" s="1" t="s">
        <v>1965</v>
      </c>
      <c r="AP200" s="1" t="s">
        <v>1966</v>
      </c>
      <c r="AQ200" s="1" t="s">
        <v>61</v>
      </c>
      <c r="AR200" s="1" t="s">
        <v>63</v>
      </c>
      <c r="AS200">
        <v>5</v>
      </c>
      <c r="AT200">
        <v>0</v>
      </c>
      <c r="AU200">
        <v>0</v>
      </c>
      <c r="AV200">
        <v>5</v>
      </c>
      <c r="AW200">
        <v>95.238</v>
      </c>
      <c r="AX200">
        <v>0</v>
      </c>
      <c r="AY200">
        <v>0</v>
      </c>
      <c r="AZ200">
        <v>95.238</v>
      </c>
      <c r="BA200" s="2"/>
      <c r="BB200">
        <v>0.75</v>
      </c>
      <c r="BC200" s="2">
        <v>45959.5</v>
      </c>
      <c r="BD200" s="27">
        <f>MarketPlace_Order_Report__2[[#This Row],[UnitPrice]]*MarketPlace_Order_Report__2[[#This Row],[OrderQty]]</f>
        <v>2000</v>
      </c>
      <c r="BE200" s="27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BF200" s="27">
        <f>MarketPlace_Order_Report__2[[#This Row],[Gross Amount (Before Tax)]]+MarketPlace_Order_Report__2[[#This Row],[Total GST Amount]]</f>
        <v>2095.2379999999998</v>
      </c>
    </row>
    <row r="201" spans="1:58">
      <c r="A201" s="1" t="s">
        <v>1967</v>
      </c>
      <c r="B201" s="1" t="s">
        <v>1968</v>
      </c>
      <c r="C201" s="1" t="s">
        <v>1969</v>
      </c>
      <c r="D201" s="1" t="s">
        <v>1970</v>
      </c>
      <c r="E201">
        <v>1</v>
      </c>
      <c r="F201" s="1" t="s">
        <v>58</v>
      </c>
      <c r="G201">
        <v>1</v>
      </c>
      <c r="H201">
        <v>1</v>
      </c>
      <c r="I201">
        <v>2750</v>
      </c>
      <c r="J201">
        <v>2200</v>
      </c>
      <c r="K201">
        <v>0</v>
      </c>
      <c r="L201">
        <v>2207.123</v>
      </c>
      <c r="M201">
        <v>7.1230000000000002</v>
      </c>
      <c r="N201" s="1" t="s">
        <v>59</v>
      </c>
      <c r="O201" s="2">
        <v>45944.980706018519</v>
      </c>
      <c r="P201" s="2">
        <v>45946.732488425929</v>
      </c>
      <c r="Q201" s="2">
        <v>45950.417916666665</v>
      </c>
      <c r="R201" s="1" t="s">
        <v>1971</v>
      </c>
      <c r="S201" s="1" t="s">
        <v>60</v>
      </c>
      <c r="T201" s="2">
        <v>45945.799224537041</v>
      </c>
      <c r="U201" s="1" t="s">
        <v>61</v>
      </c>
      <c r="V201" s="1" t="s">
        <v>623</v>
      </c>
      <c r="W201" s="1" t="s">
        <v>61</v>
      </c>
      <c r="X201" s="1" t="s">
        <v>61</v>
      </c>
      <c r="Y201" s="1" t="s">
        <v>61</v>
      </c>
      <c r="Z201" s="1" t="s">
        <v>61</v>
      </c>
      <c r="AA201" s="1" t="s">
        <v>61</v>
      </c>
      <c r="AB201" s="1" t="s">
        <v>61</v>
      </c>
      <c r="AC201" s="1" t="s">
        <v>61</v>
      </c>
      <c r="AD201" s="2">
        <v>45950.421030092592</v>
      </c>
      <c r="AE201" s="1" t="s">
        <v>63</v>
      </c>
      <c r="AF201" s="1" t="s">
        <v>61</v>
      </c>
      <c r="AG201" s="1" t="s">
        <v>979</v>
      </c>
      <c r="AH201" s="1" t="s">
        <v>77</v>
      </c>
      <c r="AI201">
        <v>211013</v>
      </c>
      <c r="AJ201" s="1" t="s">
        <v>66</v>
      </c>
      <c r="AK201" s="1" t="s">
        <v>67</v>
      </c>
      <c r="AL201">
        <v>62042300</v>
      </c>
      <c r="AM201" s="2"/>
      <c r="AN201">
        <v>2200</v>
      </c>
      <c r="AO201" s="1" t="s">
        <v>1972</v>
      </c>
      <c r="AP201" s="1" t="s">
        <v>1156</v>
      </c>
      <c r="AQ201" s="1" t="s">
        <v>61</v>
      </c>
      <c r="AR201" s="1" t="s">
        <v>63</v>
      </c>
      <c r="AS201">
        <v>5</v>
      </c>
      <c r="AT201">
        <v>0</v>
      </c>
      <c r="AU201">
        <v>0</v>
      </c>
      <c r="AV201">
        <v>5</v>
      </c>
      <c r="AW201">
        <v>104.762</v>
      </c>
      <c r="AX201">
        <v>0</v>
      </c>
      <c r="AY201">
        <v>0</v>
      </c>
      <c r="AZ201">
        <v>104.762</v>
      </c>
      <c r="BA201" s="2"/>
      <c r="BB201">
        <v>1.35</v>
      </c>
      <c r="BC201" s="2">
        <v>45947.5</v>
      </c>
      <c r="BD201" s="27">
        <f>MarketPlace_Order_Report__2[[#This Row],[UnitPrice]]*MarketPlace_Order_Report__2[[#This Row],[OrderQty]]</f>
        <v>2200</v>
      </c>
      <c r="BE201" s="27">
        <f>IFERROR(MarketPlace_Order_Report__2[[#This Row],[CGSTAmount]]+MarketPlace_Order_Report__2[[#This Row],[SGSTAmount]]+MarketPlace_Order_Report__2[[#This Row],[IGSTAmount]],MarketPlace_Order_Report__2[[#This Row],[TaxAmount]])</f>
        <v>104.762</v>
      </c>
      <c r="BF201" s="27">
        <f>MarketPlace_Order_Report__2[[#This Row],[Gross Amount (Before Tax)]]+MarketPlace_Order_Report__2[[#This Row],[Total GST Amount]]</f>
        <v>2304.7620000000002</v>
      </c>
    </row>
    <row r="202" spans="1:58">
      <c r="A202" s="1" t="s">
        <v>1973</v>
      </c>
      <c r="B202" s="1" t="s">
        <v>1974</v>
      </c>
      <c r="C202" s="1" t="s">
        <v>1975</v>
      </c>
      <c r="D202" s="1" t="s">
        <v>1976</v>
      </c>
      <c r="E202">
        <v>1</v>
      </c>
      <c r="F202" s="1" t="s">
        <v>71</v>
      </c>
      <c r="G202">
        <v>1</v>
      </c>
      <c r="H202">
        <v>1</v>
      </c>
      <c r="I202">
        <v>3250</v>
      </c>
      <c r="J202">
        <v>2275</v>
      </c>
      <c r="K202">
        <v>0</v>
      </c>
      <c r="L202">
        <v>2304</v>
      </c>
      <c r="M202">
        <v>29</v>
      </c>
      <c r="N202" s="1" t="s">
        <v>59</v>
      </c>
      <c r="O202" s="2">
        <v>45934.392164351855</v>
      </c>
      <c r="P202" s="2">
        <v>45936.714375000003</v>
      </c>
      <c r="Q202" s="2">
        <v>45939.804212962961</v>
      </c>
      <c r="R202" s="1" t="s">
        <v>1977</v>
      </c>
      <c r="S202" s="1" t="s">
        <v>60</v>
      </c>
      <c r="T202" s="2">
        <v>45934.839085648149</v>
      </c>
      <c r="U202" s="1" t="s">
        <v>61</v>
      </c>
      <c r="V202" s="1" t="s">
        <v>623</v>
      </c>
      <c r="W202" s="1" t="s">
        <v>61</v>
      </c>
      <c r="X202" s="1" t="s">
        <v>61</v>
      </c>
      <c r="Y202" s="1" t="s">
        <v>1978</v>
      </c>
      <c r="Z202" s="1" t="s">
        <v>74</v>
      </c>
      <c r="AA202" s="1" t="s">
        <v>75</v>
      </c>
      <c r="AB202" s="1" t="s">
        <v>61</v>
      </c>
      <c r="AC202" s="1" t="s">
        <v>61</v>
      </c>
      <c r="AD202" s="2">
        <v>45954.629421296297</v>
      </c>
      <c r="AE202" s="1" t="s">
        <v>63</v>
      </c>
      <c r="AF202" s="1" t="s">
        <v>61</v>
      </c>
      <c r="AG202" s="1" t="s">
        <v>124</v>
      </c>
      <c r="AH202" s="1" t="s">
        <v>99</v>
      </c>
      <c r="AI202">
        <v>122001</v>
      </c>
      <c r="AJ202" s="1" t="s">
        <v>66</v>
      </c>
      <c r="AK202" s="1" t="s">
        <v>67</v>
      </c>
      <c r="AL202">
        <v>62042300</v>
      </c>
      <c r="AM202" s="2"/>
      <c r="AN202">
        <v>2275</v>
      </c>
      <c r="AO202" s="1" t="s">
        <v>1979</v>
      </c>
      <c r="AP202" s="1" t="s">
        <v>1646</v>
      </c>
      <c r="AQ202" s="1" t="s">
        <v>61</v>
      </c>
      <c r="AR202" s="1" t="s">
        <v>63</v>
      </c>
      <c r="AS202">
        <v>5</v>
      </c>
      <c r="AT202">
        <v>0</v>
      </c>
      <c r="AU202">
        <v>0</v>
      </c>
      <c r="AV202">
        <v>5</v>
      </c>
      <c r="AW202">
        <v>108.333</v>
      </c>
      <c r="AX202">
        <v>0</v>
      </c>
      <c r="AY202">
        <v>0</v>
      </c>
      <c r="AZ202">
        <v>108.333</v>
      </c>
      <c r="BA202" s="2"/>
      <c r="BB202">
        <v>0.75</v>
      </c>
      <c r="BC202" s="2">
        <v>45936.5</v>
      </c>
      <c r="BD202" s="27">
        <f>MarketPlace_Order_Report__2[[#This Row],[UnitPrice]]*MarketPlace_Order_Report__2[[#This Row],[OrderQty]]</f>
        <v>2275</v>
      </c>
      <c r="BE202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02" s="27">
        <f>MarketPlace_Order_Report__2[[#This Row],[Gross Amount (Before Tax)]]+MarketPlace_Order_Report__2[[#This Row],[Total GST Amount]]</f>
        <v>2383.3330000000001</v>
      </c>
    </row>
    <row r="203" spans="1:58">
      <c r="A203" s="1" t="s">
        <v>1980</v>
      </c>
      <c r="B203" s="1" t="s">
        <v>1981</v>
      </c>
      <c r="C203" s="1" t="s">
        <v>684</v>
      </c>
      <c r="D203" s="1" t="s">
        <v>685</v>
      </c>
      <c r="E203">
        <v>1</v>
      </c>
      <c r="F203" s="1" t="s">
        <v>187</v>
      </c>
      <c r="G203">
        <v>1</v>
      </c>
      <c r="H203">
        <v>0</v>
      </c>
      <c r="I203">
        <v>3250</v>
      </c>
      <c r="J203">
        <v>2275</v>
      </c>
      <c r="K203">
        <v>0</v>
      </c>
      <c r="L203">
        <v>2324</v>
      </c>
      <c r="M203">
        <v>49</v>
      </c>
      <c r="N203" s="1" t="s">
        <v>72</v>
      </c>
      <c r="O203" s="2">
        <v>45955.979016203702</v>
      </c>
      <c r="P203" s="2"/>
      <c r="Q203" s="2"/>
      <c r="R203" s="1" t="s">
        <v>61</v>
      </c>
      <c r="S203" s="1" t="s">
        <v>60</v>
      </c>
      <c r="T203" s="2"/>
      <c r="U203" s="1" t="s">
        <v>188</v>
      </c>
      <c r="V203" s="1" t="s">
        <v>623</v>
      </c>
      <c r="W203" s="1" t="s">
        <v>61</v>
      </c>
      <c r="X203" s="1" t="s">
        <v>61</v>
      </c>
      <c r="Y203" s="1" t="s">
        <v>61</v>
      </c>
      <c r="Z203" s="1" t="s">
        <v>61</v>
      </c>
      <c r="AA203" s="1" t="s">
        <v>61</v>
      </c>
      <c r="AB203" s="1" t="s">
        <v>61</v>
      </c>
      <c r="AC203" s="1" t="s">
        <v>61</v>
      </c>
      <c r="AD203" s="2">
        <v>45955.981921296298</v>
      </c>
      <c r="AE203" s="1" t="s">
        <v>63</v>
      </c>
      <c r="AF203" s="1" t="s">
        <v>61</v>
      </c>
      <c r="AG203" s="1" t="s">
        <v>182</v>
      </c>
      <c r="AH203" s="1" t="s">
        <v>183</v>
      </c>
      <c r="AI203">
        <v>110085</v>
      </c>
      <c r="AJ203" s="1" t="s">
        <v>66</v>
      </c>
      <c r="AK203" s="1" t="s">
        <v>67</v>
      </c>
      <c r="AL203">
        <v>62042300</v>
      </c>
      <c r="AM203" s="2">
        <v>45955.981921296298</v>
      </c>
      <c r="AN203">
        <v>2275</v>
      </c>
      <c r="AO203" s="1" t="s">
        <v>61</v>
      </c>
      <c r="AP203" s="1" t="s">
        <v>564</v>
      </c>
      <c r="AQ203" s="1" t="s">
        <v>61</v>
      </c>
      <c r="AR203" s="1" t="s">
        <v>63</v>
      </c>
      <c r="AS203">
        <v>5</v>
      </c>
      <c r="AT203">
        <v>0</v>
      </c>
      <c r="AU203">
        <v>0</v>
      </c>
      <c r="AV203">
        <v>5</v>
      </c>
      <c r="AW203">
        <v>108.333</v>
      </c>
      <c r="AX203">
        <v>0</v>
      </c>
      <c r="AY203">
        <v>0</v>
      </c>
      <c r="AZ203">
        <v>108.333</v>
      </c>
      <c r="BA203" s="2"/>
      <c r="BC203" s="2">
        <v>45958.5</v>
      </c>
      <c r="BD203" s="27">
        <f>MarketPlace_Order_Report__2[[#This Row],[UnitPrice]]*MarketPlace_Order_Report__2[[#This Row],[OrderQty]]</f>
        <v>2275</v>
      </c>
      <c r="BE203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03" s="27">
        <f>MarketPlace_Order_Report__2[[#This Row],[Gross Amount (Before Tax)]]+MarketPlace_Order_Report__2[[#This Row],[Total GST Amount]]</f>
        <v>2383.3330000000001</v>
      </c>
    </row>
    <row r="204" spans="1:58">
      <c r="A204" s="1" t="s">
        <v>1982</v>
      </c>
      <c r="B204" s="1" t="s">
        <v>1983</v>
      </c>
      <c r="C204" s="1" t="s">
        <v>1984</v>
      </c>
      <c r="D204" s="1" t="s">
        <v>1985</v>
      </c>
      <c r="E204">
        <v>1</v>
      </c>
      <c r="F204" s="1" t="s">
        <v>58</v>
      </c>
      <c r="G204">
        <v>1</v>
      </c>
      <c r="H204">
        <v>1</v>
      </c>
      <c r="I204">
        <v>3250</v>
      </c>
      <c r="J204">
        <v>2275</v>
      </c>
      <c r="K204">
        <v>0</v>
      </c>
      <c r="L204">
        <v>2324</v>
      </c>
      <c r="M204">
        <v>49</v>
      </c>
      <c r="N204" s="1" t="s">
        <v>72</v>
      </c>
      <c r="O204" s="2">
        <v>45945.935381944444</v>
      </c>
      <c r="P204" s="2">
        <v>45948.728159722225</v>
      </c>
      <c r="Q204" s="2">
        <v>45954.66202546296</v>
      </c>
      <c r="R204" s="1" t="s">
        <v>1986</v>
      </c>
      <c r="S204" s="1" t="s">
        <v>60</v>
      </c>
      <c r="T204" s="2">
        <v>45947.713750000003</v>
      </c>
      <c r="U204" s="1" t="s">
        <v>61</v>
      </c>
      <c r="V204" s="1" t="s">
        <v>623</v>
      </c>
      <c r="W204" s="1" t="s">
        <v>61</v>
      </c>
      <c r="X204" s="1" t="s">
        <v>61</v>
      </c>
      <c r="Y204" s="1" t="s">
        <v>61</v>
      </c>
      <c r="Z204" s="1" t="s">
        <v>61</v>
      </c>
      <c r="AA204" s="1" t="s">
        <v>61</v>
      </c>
      <c r="AB204" s="1" t="s">
        <v>61</v>
      </c>
      <c r="AC204" s="1" t="s">
        <v>61</v>
      </c>
      <c r="AD204" s="2">
        <v>45954.663958333331</v>
      </c>
      <c r="AE204" s="1" t="s">
        <v>63</v>
      </c>
      <c r="AF204" s="1" t="s">
        <v>61</v>
      </c>
      <c r="AG204" s="1" t="s">
        <v>1987</v>
      </c>
      <c r="AH204" s="1" t="s">
        <v>77</v>
      </c>
      <c r="AI204">
        <v>277124</v>
      </c>
      <c r="AJ204" s="1" t="s">
        <v>66</v>
      </c>
      <c r="AK204" s="1" t="s">
        <v>67</v>
      </c>
      <c r="AL204">
        <v>62042300</v>
      </c>
      <c r="AM204" s="2"/>
      <c r="AN204">
        <v>2275</v>
      </c>
      <c r="AO204" s="1" t="s">
        <v>1988</v>
      </c>
      <c r="AP204" s="1" t="s">
        <v>1811</v>
      </c>
      <c r="AQ204" s="1" t="s">
        <v>61</v>
      </c>
      <c r="AR204" s="1" t="s">
        <v>63</v>
      </c>
      <c r="AS204">
        <v>5</v>
      </c>
      <c r="AT204">
        <v>0</v>
      </c>
      <c r="AU204">
        <v>0</v>
      </c>
      <c r="AV204">
        <v>5</v>
      </c>
      <c r="AW204">
        <v>108.333</v>
      </c>
      <c r="AX204">
        <v>0</v>
      </c>
      <c r="AY204">
        <v>0</v>
      </c>
      <c r="AZ204">
        <v>108.333</v>
      </c>
      <c r="BA204" s="2"/>
      <c r="BB204">
        <v>0.75</v>
      </c>
      <c r="BC204" s="2">
        <v>45948.5</v>
      </c>
      <c r="BD204" s="27">
        <f>MarketPlace_Order_Report__2[[#This Row],[UnitPrice]]*MarketPlace_Order_Report__2[[#This Row],[OrderQty]]</f>
        <v>2275</v>
      </c>
      <c r="BE204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04" s="27">
        <f>MarketPlace_Order_Report__2[[#This Row],[Gross Amount (Before Tax)]]+MarketPlace_Order_Report__2[[#This Row],[Total GST Amount]]</f>
        <v>2383.3330000000001</v>
      </c>
    </row>
    <row r="205" spans="1:58">
      <c r="A205" s="1" t="s">
        <v>1989</v>
      </c>
      <c r="B205" s="1" t="s">
        <v>1990</v>
      </c>
      <c r="C205" s="1" t="s">
        <v>1991</v>
      </c>
      <c r="D205" s="1" t="s">
        <v>1992</v>
      </c>
      <c r="E205">
        <v>1</v>
      </c>
      <c r="F205" s="1" t="s">
        <v>58</v>
      </c>
      <c r="G205">
        <v>1</v>
      </c>
      <c r="H205">
        <v>1</v>
      </c>
      <c r="I205">
        <v>2500</v>
      </c>
      <c r="J205">
        <v>2000</v>
      </c>
      <c r="K205">
        <v>0</v>
      </c>
      <c r="L205">
        <v>2029</v>
      </c>
      <c r="M205">
        <v>29</v>
      </c>
      <c r="N205" s="1" t="s">
        <v>59</v>
      </c>
      <c r="O205" s="2">
        <v>45955.326643518521</v>
      </c>
      <c r="P205" s="2">
        <v>45957.661805555559</v>
      </c>
      <c r="Q205" s="2">
        <v>45959.833333333336</v>
      </c>
      <c r="R205" s="1" t="s">
        <v>1993</v>
      </c>
      <c r="S205" s="1" t="s">
        <v>107</v>
      </c>
      <c r="T205" s="2">
        <v>45955.747372685182</v>
      </c>
      <c r="U205" s="1" t="s">
        <v>61</v>
      </c>
      <c r="V205" s="1" t="s">
        <v>623</v>
      </c>
      <c r="W205" s="1" t="s">
        <v>61</v>
      </c>
      <c r="X205" s="1" t="s">
        <v>61</v>
      </c>
      <c r="Y205" s="1" t="s">
        <v>61</v>
      </c>
      <c r="Z205" s="1" t="s">
        <v>61</v>
      </c>
      <c r="AA205" s="1" t="s">
        <v>61</v>
      </c>
      <c r="AB205" s="1" t="s">
        <v>61</v>
      </c>
      <c r="AC205" s="1" t="s">
        <v>61</v>
      </c>
      <c r="AD205" s="2">
        <v>45959.837500000001</v>
      </c>
      <c r="AE205" s="1" t="s">
        <v>63</v>
      </c>
      <c r="AF205" s="1" t="s">
        <v>61</v>
      </c>
      <c r="AG205" s="1" t="s">
        <v>108</v>
      </c>
      <c r="AH205" s="1" t="s">
        <v>109</v>
      </c>
      <c r="AI205">
        <v>500032</v>
      </c>
      <c r="AJ205" s="1" t="s">
        <v>66</v>
      </c>
      <c r="AK205" s="1" t="s">
        <v>67</v>
      </c>
      <c r="AL205">
        <v>62042300</v>
      </c>
      <c r="AM205" s="2"/>
      <c r="AN205">
        <v>2000</v>
      </c>
      <c r="AO205" s="1" t="s">
        <v>1994</v>
      </c>
      <c r="AP205" s="1" t="s">
        <v>1995</v>
      </c>
      <c r="AQ205" s="1" t="s">
        <v>61</v>
      </c>
      <c r="AR205" s="1" t="s">
        <v>63</v>
      </c>
      <c r="AS205">
        <v>5</v>
      </c>
      <c r="AT205">
        <v>0</v>
      </c>
      <c r="AU205">
        <v>0</v>
      </c>
      <c r="AV205">
        <v>5</v>
      </c>
      <c r="AW205">
        <v>95.238</v>
      </c>
      <c r="AX205">
        <v>0</v>
      </c>
      <c r="AY205">
        <v>0</v>
      </c>
      <c r="AZ205">
        <v>95.238</v>
      </c>
      <c r="BA205" s="2"/>
      <c r="BB205">
        <v>0.75</v>
      </c>
      <c r="BC205" s="2">
        <v>45957.5</v>
      </c>
      <c r="BD205" s="27">
        <f>MarketPlace_Order_Report__2[[#This Row],[UnitPrice]]*MarketPlace_Order_Report__2[[#This Row],[OrderQty]]</f>
        <v>2000</v>
      </c>
      <c r="BE205" s="27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BF205" s="27">
        <f>MarketPlace_Order_Report__2[[#This Row],[Gross Amount (Before Tax)]]+MarketPlace_Order_Report__2[[#This Row],[Total GST Amount]]</f>
        <v>2095.2379999999998</v>
      </c>
    </row>
    <row r="206" spans="1:58">
      <c r="A206" s="1" t="s">
        <v>1944</v>
      </c>
      <c r="B206" s="1" t="s">
        <v>1945</v>
      </c>
      <c r="C206" s="1" t="s">
        <v>1996</v>
      </c>
      <c r="D206" s="1" t="s">
        <v>1997</v>
      </c>
      <c r="E206">
        <v>5</v>
      </c>
      <c r="F206" s="1" t="s">
        <v>58</v>
      </c>
      <c r="G206">
        <v>1</v>
      </c>
      <c r="H206">
        <v>1</v>
      </c>
      <c r="I206">
        <v>2750</v>
      </c>
      <c r="J206">
        <v>2200</v>
      </c>
      <c r="K206">
        <v>0</v>
      </c>
      <c r="L206">
        <v>2210.701</v>
      </c>
      <c r="M206">
        <v>10.701000000000001</v>
      </c>
      <c r="N206" s="1" t="s">
        <v>72</v>
      </c>
      <c r="O206" s="2">
        <v>45956.966944444444</v>
      </c>
      <c r="P206" s="2">
        <v>45958.713831018518</v>
      </c>
      <c r="Q206" s="2">
        <v>45960.610729166663</v>
      </c>
      <c r="R206" s="1" t="s">
        <v>1948</v>
      </c>
      <c r="S206" s="1" t="s">
        <v>60</v>
      </c>
      <c r="T206" s="2">
        <v>45957.797627314816</v>
      </c>
      <c r="U206" s="1" t="s">
        <v>61</v>
      </c>
      <c r="V206" s="1" t="s">
        <v>623</v>
      </c>
      <c r="W206" s="1" t="s">
        <v>61</v>
      </c>
      <c r="X206" s="1" t="s">
        <v>61</v>
      </c>
      <c r="Y206" s="1" t="s">
        <v>61</v>
      </c>
      <c r="Z206" s="1" t="s">
        <v>61</v>
      </c>
      <c r="AA206" s="1" t="s">
        <v>61</v>
      </c>
      <c r="AB206" s="1" t="s">
        <v>61</v>
      </c>
      <c r="AC206" s="1" t="s">
        <v>61</v>
      </c>
      <c r="AD206" s="2">
        <v>45960.611817129633</v>
      </c>
      <c r="AE206" s="1" t="s">
        <v>63</v>
      </c>
      <c r="AF206" s="1" t="s">
        <v>61</v>
      </c>
      <c r="AG206" s="1" t="s">
        <v>751</v>
      </c>
      <c r="AH206" s="1" t="s">
        <v>275</v>
      </c>
      <c r="AI206">
        <v>700016</v>
      </c>
      <c r="AJ206" s="1" t="s">
        <v>66</v>
      </c>
      <c r="AK206" s="1" t="s">
        <v>67</v>
      </c>
      <c r="AL206">
        <v>62042300</v>
      </c>
      <c r="AM206" s="2"/>
      <c r="AN206">
        <v>2200</v>
      </c>
      <c r="AO206" s="1" t="s">
        <v>1949</v>
      </c>
      <c r="AP206" s="1" t="s">
        <v>61</v>
      </c>
      <c r="AQ206" s="1" t="s">
        <v>61</v>
      </c>
      <c r="AR206" s="1" t="s">
        <v>63</v>
      </c>
      <c r="AS206">
        <v>5</v>
      </c>
      <c r="AT206">
        <v>0</v>
      </c>
      <c r="AU206">
        <v>0</v>
      </c>
      <c r="AV206">
        <v>5</v>
      </c>
      <c r="AW206">
        <v>104.762</v>
      </c>
      <c r="AX206">
        <v>0</v>
      </c>
      <c r="AY206">
        <v>0</v>
      </c>
      <c r="AZ206">
        <v>104.762</v>
      </c>
      <c r="BA206" s="2"/>
      <c r="BB206">
        <v>1</v>
      </c>
      <c r="BC206" s="2">
        <v>45959.5</v>
      </c>
      <c r="BD206" s="27">
        <f>MarketPlace_Order_Report__2[[#This Row],[UnitPrice]]*MarketPlace_Order_Report__2[[#This Row],[OrderQty]]</f>
        <v>2200</v>
      </c>
      <c r="BE206" s="27">
        <f>IFERROR(MarketPlace_Order_Report__2[[#This Row],[CGSTAmount]]+MarketPlace_Order_Report__2[[#This Row],[SGSTAmount]]+MarketPlace_Order_Report__2[[#This Row],[IGSTAmount]],MarketPlace_Order_Report__2[[#This Row],[TaxAmount]])</f>
        <v>104.762</v>
      </c>
      <c r="BF206" s="27">
        <f>MarketPlace_Order_Report__2[[#This Row],[Gross Amount (Before Tax)]]+MarketPlace_Order_Report__2[[#This Row],[Total GST Amount]]</f>
        <v>2304.7620000000002</v>
      </c>
    </row>
    <row r="207" spans="1:58">
      <c r="A207" s="1" t="s">
        <v>1998</v>
      </c>
      <c r="B207" s="1" t="s">
        <v>1999</v>
      </c>
      <c r="C207" s="1" t="s">
        <v>2000</v>
      </c>
      <c r="D207" s="1" t="s">
        <v>2001</v>
      </c>
      <c r="E207">
        <v>1</v>
      </c>
      <c r="F207" s="1" t="s">
        <v>71</v>
      </c>
      <c r="G207">
        <v>1</v>
      </c>
      <c r="H207">
        <v>1</v>
      </c>
      <c r="I207">
        <v>3250</v>
      </c>
      <c r="J207">
        <v>2275</v>
      </c>
      <c r="K207">
        <v>0</v>
      </c>
      <c r="L207">
        <v>2275</v>
      </c>
      <c r="M207">
        <v>0</v>
      </c>
      <c r="N207" s="1" t="s">
        <v>59</v>
      </c>
      <c r="O207" s="2">
        <v>45954.461736111109</v>
      </c>
      <c r="P207" s="2">
        <v>45954.731493055559</v>
      </c>
      <c r="Q207" s="2">
        <v>45957.547037037039</v>
      </c>
      <c r="R207" s="1" t="s">
        <v>2002</v>
      </c>
      <c r="S207" s="1" t="s">
        <v>60</v>
      </c>
      <c r="T207" s="2">
        <v>45954.500509259262</v>
      </c>
      <c r="U207" s="1" t="s">
        <v>61</v>
      </c>
      <c r="V207" s="1" t="s">
        <v>623</v>
      </c>
      <c r="W207" s="1" t="s">
        <v>61</v>
      </c>
      <c r="X207" s="1" t="s">
        <v>61</v>
      </c>
      <c r="Y207" s="1" t="s">
        <v>2003</v>
      </c>
      <c r="Z207" s="1" t="s">
        <v>74</v>
      </c>
      <c r="AA207" s="1" t="s">
        <v>695</v>
      </c>
      <c r="AB207" s="1" t="s">
        <v>61</v>
      </c>
      <c r="AC207" s="1" t="s">
        <v>61</v>
      </c>
      <c r="AD207" s="2">
        <v>45961.389675925922</v>
      </c>
      <c r="AE207" s="1" t="s">
        <v>63</v>
      </c>
      <c r="AF207" s="1" t="s">
        <v>61</v>
      </c>
      <c r="AG207" s="1" t="s">
        <v>2004</v>
      </c>
      <c r="AH207" s="1" t="s">
        <v>99</v>
      </c>
      <c r="AI207">
        <v>121101</v>
      </c>
      <c r="AJ207" s="1" t="s">
        <v>66</v>
      </c>
      <c r="AK207" s="1" t="s">
        <v>67</v>
      </c>
      <c r="AL207">
        <v>62044220</v>
      </c>
      <c r="AM207" s="2"/>
      <c r="AN207">
        <v>2275</v>
      </c>
      <c r="AO207" s="1" t="s">
        <v>2005</v>
      </c>
      <c r="AP207" s="1" t="s">
        <v>381</v>
      </c>
      <c r="AQ207" s="1" t="s">
        <v>61</v>
      </c>
      <c r="AR207" s="1" t="s">
        <v>63</v>
      </c>
      <c r="AS207">
        <v>5</v>
      </c>
      <c r="AT207">
        <v>0</v>
      </c>
      <c r="AU207">
        <v>0</v>
      </c>
      <c r="AV207">
        <v>5</v>
      </c>
      <c r="AW207">
        <v>108.333</v>
      </c>
      <c r="AX207">
        <v>0</v>
      </c>
      <c r="AY207">
        <v>0</v>
      </c>
      <c r="AZ207">
        <v>108.333</v>
      </c>
      <c r="BA207" s="2"/>
      <c r="BB207">
        <v>0.75</v>
      </c>
      <c r="BC207" s="2">
        <v>45956.5</v>
      </c>
      <c r="BD207" s="27">
        <f>MarketPlace_Order_Report__2[[#This Row],[UnitPrice]]*MarketPlace_Order_Report__2[[#This Row],[OrderQty]]</f>
        <v>2275</v>
      </c>
      <c r="BE207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07" s="27">
        <f>MarketPlace_Order_Report__2[[#This Row],[Gross Amount (Before Tax)]]+MarketPlace_Order_Report__2[[#This Row],[Total GST Amount]]</f>
        <v>2383.3330000000001</v>
      </c>
    </row>
    <row r="208" spans="1:58">
      <c r="A208" s="1" t="s">
        <v>2006</v>
      </c>
      <c r="B208" s="1" t="s">
        <v>2007</v>
      </c>
      <c r="C208" s="1" t="s">
        <v>711</v>
      </c>
      <c r="D208" s="1" t="s">
        <v>712</v>
      </c>
      <c r="E208">
        <v>1</v>
      </c>
      <c r="F208" s="1" t="s">
        <v>58</v>
      </c>
      <c r="G208">
        <v>1</v>
      </c>
      <c r="H208">
        <v>1</v>
      </c>
      <c r="I208">
        <v>3000</v>
      </c>
      <c r="J208">
        <v>2100</v>
      </c>
      <c r="K208">
        <v>0</v>
      </c>
      <c r="L208">
        <v>2149</v>
      </c>
      <c r="M208">
        <v>49</v>
      </c>
      <c r="N208" s="1" t="s">
        <v>72</v>
      </c>
      <c r="O208" s="2">
        <v>45933.357268518521</v>
      </c>
      <c r="P208" s="2">
        <v>45934.720925925925</v>
      </c>
      <c r="Q208" s="2">
        <v>45939.488946759258</v>
      </c>
      <c r="R208" s="1" t="s">
        <v>2008</v>
      </c>
      <c r="S208" s="1" t="s">
        <v>60</v>
      </c>
      <c r="T208" s="2">
        <v>45933.815833333334</v>
      </c>
      <c r="U208" s="1" t="s">
        <v>61</v>
      </c>
      <c r="V208" s="1" t="s">
        <v>623</v>
      </c>
      <c r="W208" s="1" t="s">
        <v>61</v>
      </c>
      <c r="X208" s="1" t="s">
        <v>61</v>
      </c>
      <c r="Y208" s="1" t="s">
        <v>61</v>
      </c>
      <c r="Z208" s="1" t="s">
        <v>61</v>
      </c>
      <c r="AA208" s="1" t="s">
        <v>61</v>
      </c>
      <c r="AB208" s="1" t="s">
        <v>61</v>
      </c>
      <c r="AC208" s="1" t="s">
        <v>61</v>
      </c>
      <c r="AD208" s="2">
        <v>45939.500752314816</v>
      </c>
      <c r="AE208" s="1" t="s">
        <v>63</v>
      </c>
      <c r="AF208" s="1" t="s">
        <v>61</v>
      </c>
      <c r="AG208" s="1" t="s">
        <v>2009</v>
      </c>
      <c r="AH208" s="1" t="s">
        <v>503</v>
      </c>
      <c r="AI208">
        <v>143001</v>
      </c>
      <c r="AJ208" s="1" t="s">
        <v>66</v>
      </c>
      <c r="AK208" s="1" t="s">
        <v>67</v>
      </c>
      <c r="AL208">
        <v>62042300</v>
      </c>
      <c r="AM208" s="2"/>
      <c r="AN208">
        <v>2100</v>
      </c>
      <c r="AO208" s="1" t="s">
        <v>2010</v>
      </c>
      <c r="AP208" s="1" t="s">
        <v>61</v>
      </c>
      <c r="AQ208" s="1" t="s">
        <v>61</v>
      </c>
      <c r="AR208" s="1" t="s">
        <v>63</v>
      </c>
      <c r="AS208">
        <v>5</v>
      </c>
      <c r="AT208">
        <v>0</v>
      </c>
      <c r="AU208">
        <v>0</v>
      </c>
      <c r="AV208">
        <v>5</v>
      </c>
      <c r="AW208">
        <v>100</v>
      </c>
      <c r="AX208">
        <v>0</v>
      </c>
      <c r="AY208">
        <v>0</v>
      </c>
      <c r="AZ208">
        <v>100</v>
      </c>
      <c r="BA208" s="2"/>
      <c r="BB208">
        <v>0.75</v>
      </c>
      <c r="BC208" s="2">
        <v>45935.5</v>
      </c>
      <c r="BD208" s="27">
        <f>MarketPlace_Order_Report__2[[#This Row],[UnitPrice]]*MarketPlace_Order_Report__2[[#This Row],[OrderQty]]</f>
        <v>2100</v>
      </c>
      <c r="BE208" s="27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08" s="27">
        <f>MarketPlace_Order_Report__2[[#This Row],[Gross Amount (Before Tax)]]+MarketPlace_Order_Report__2[[#This Row],[Total GST Amount]]</f>
        <v>2200</v>
      </c>
    </row>
    <row r="209" spans="1:58">
      <c r="A209" s="1" t="s">
        <v>2011</v>
      </c>
      <c r="B209" s="1" t="s">
        <v>2012</v>
      </c>
      <c r="C209" s="1" t="s">
        <v>715</v>
      </c>
      <c r="D209" s="1" t="s">
        <v>716</v>
      </c>
      <c r="E209">
        <v>1</v>
      </c>
      <c r="F209" s="1" t="s">
        <v>413</v>
      </c>
      <c r="G209">
        <v>1</v>
      </c>
      <c r="H209">
        <v>1</v>
      </c>
      <c r="I209">
        <v>3000</v>
      </c>
      <c r="J209">
        <v>2100</v>
      </c>
      <c r="K209">
        <v>0</v>
      </c>
      <c r="L209">
        <v>2149</v>
      </c>
      <c r="M209">
        <v>49</v>
      </c>
      <c r="N209" s="1" t="s">
        <v>72</v>
      </c>
      <c r="O209" s="2">
        <v>45956.922337962962</v>
      </c>
      <c r="P209" s="2">
        <v>45958.715185185189</v>
      </c>
      <c r="Q209" s="2"/>
      <c r="R209" s="1" t="s">
        <v>2013</v>
      </c>
      <c r="S209" s="1" t="s">
        <v>60</v>
      </c>
      <c r="T209" s="2">
        <v>45957.797627314816</v>
      </c>
      <c r="U209" s="1" t="s">
        <v>61</v>
      </c>
      <c r="V209" s="1" t="s">
        <v>623</v>
      </c>
      <c r="W209" s="1" t="s">
        <v>61</v>
      </c>
      <c r="X209" s="1" t="s">
        <v>61</v>
      </c>
      <c r="Y209" s="1" t="s">
        <v>61</v>
      </c>
      <c r="Z209" s="1" t="s">
        <v>61</v>
      </c>
      <c r="AA209" s="1" t="s">
        <v>61</v>
      </c>
      <c r="AB209" s="1" t="s">
        <v>61</v>
      </c>
      <c r="AC209" s="1" t="s">
        <v>61</v>
      </c>
      <c r="AD209" s="2">
        <v>45961.511365740742</v>
      </c>
      <c r="AE209" s="1" t="s">
        <v>63</v>
      </c>
      <c r="AF209" s="1" t="s">
        <v>61</v>
      </c>
      <c r="AG209" s="1" t="s">
        <v>2014</v>
      </c>
      <c r="AH209" s="1" t="s">
        <v>120</v>
      </c>
      <c r="AI209">
        <v>305624</v>
      </c>
      <c r="AJ209" s="1" t="s">
        <v>66</v>
      </c>
      <c r="AK209" s="1" t="s">
        <v>67</v>
      </c>
      <c r="AL209">
        <v>62042300</v>
      </c>
      <c r="AM209" s="2"/>
      <c r="AN209">
        <v>2100</v>
      </c>
      <c r="AO209" s="1" t="s">
        <v>2015</v>
      </c>
      <c r="AP209" s="1" t="s">
        <v>61</v>
      </c>
      <c r="AQ209" s="1" t="s">
        <v>61</v>
      </c>
      <c r="AR209" s="1" t="s">
        <v>63</v>
      </c>
      <c r="AS209">
        <v>5</v>
      </c>
      <c r="AT209">
        <v>0</v>
      </c>
      <c r="AU209">
        <v>0</v>
      </c>
      <c r="AV209">
        <v>5</v>
      </c>
      <c r="AW209">
        <v>100</v>
      </c>
      <c r="AX209">
        <v>0</v>
      </c>
      <c r="AY209">
        <v>0</v>
      </c>
      <c r="AZ209">
        <v>100</v>
      </c>
      <c r="BA209" s="2"/>
      <c r="BB209">
        <v>0.75</v>
      </c>
      <c r="BC209" s="2">
        <v>45959.5</v>
      </c>
      <c r="BD209" s="27">
        <f>MarketPlace_Order_Report__2[[#This Row],[UnitPrice]]*MarketPlace_Order_Report__2[[#This Row],[OrderQty]]</f>
        <v>2100</v>
      </c>
      <c r="BE209" s="27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09" s="27">
        <f>MarketPlace_Order_Report__2[[#This Row],[Gross Amount (Before Tax)]]+MarketPlace_Order_Report__2[[#This Row],[Total GST Amount]]</f>
        <v>2200</v>
      </c>
    </row>
    <row r="210" spans="1:58">
      <c r="A210" s="1" t="s">
        <v>2016</v>
      </c>
      <c r="B210" s="1" t="s">
        <v>2017</v>
      </c>
      <c r="C210" s="1" t="s">
        <v>720</v>
      </c>
      <c r="D210" s="1" t="s">
        <v>721</v>
      </c>
      <c r="E210">
        <v>1</v>
      </c>
      <c r="F210" s="1" t="s">
        <v>71</v>
      </c>
      <c r="G210">
        <v>1</v>
      </c>
      <c r="H210">
        <v>1</v>
      </c>
      <c r="I210">
        <v>3250</v>
      </c>
      <c r="J210">
        <v>2275</v>
      </c>
      <c r="K210">
        <v>0</v>
      </c>
      <c r="L210">
        <v>2304</v>
      </c>
      <c r="M210">
        <v>29</v>
      </c>
      <c r="N210" s="1" t="s">
        <v>59</v>
      </c>
      <c r="O210" s="2">
        <v>45934.373541666668</v>
      </c>
      <c r="P210" s="2">
        <v>45936.714432870373</v>
      </c>
      <c r="Q210" s="2">
        <v>45940.728090277778</v>
      </c>
      <c r="R210" s="1" t="s">
        <v>2018</v>
      </c>
      <c r="S210" s="1" t="s">
        <v>60</v>
      </c>
      <c r="T210" s="2">
        <v>45934.839085648149</v>
      </c>
      <c r="U210" s="1" t="s">
        <v>61</v>
      </c>
      <c r="V210" s="1" t="s">
        <v>623</v>
      </c>
      <c r="W210" s="1" t="s">
        <v>61</v>
      </c>
      <c r="X210" s="1" t="s">
        <v>61</v>
      </c>
      <c r="Y210" s="1" t="s">
        <v>2019</v>
      </c>
      <c r="Z210" s="1" t="s">
        <v>74</v>
      </c>
      <c r="AA210" s="1" t="s">
        <v>695</v>
      </c>
      <c r="AB210" s="1" t="s">
        <v>61</v>
      </c>
      <c r="AC210" s="1" t="s">
        <v>61</v>
      </c>
      <c r="AD210" s="2">
        <v>45960.486932870372</v>
      </c>
      <c r="AE210" s="1" t="s">
        <v>63</v>
      </c>
      <c r="AF210" s="1" t="s">
        <v>61</v>
      </c>
      <c r="AG210" s="1" t="s">
        <v>2020</v>
      </c>
      <c r="AH210" s="1" t="s">
        <v>215</v>
      </c>
      <c r="AI210">
        <v>768028</v>
      </c>
      <c r="AJ210" s="1" t="s">
        <v>66</v>
      </c>
      <c r="AK210" s="1" t="s">
        <v>67</v>
      </c>
      <c r="AL210">
        <v>62042300</v>
      </c>
      <c r="AM210" s="2"/>
      <c r="AN210">
        <v>2275</v>
      </c>
      <c r="AO210" s="1" t="s">
        <v>2021</v>
      </c>
      <c r="AP210" s="1" t="s">
        <v>61</v>
      </c>
      <c r="AQ210" s="1" t="s">
        <v>61</v>
      </c>
      <c r="AR210" s="1" t="s">
        <v>63</v>
      </c>
      <c r="AS210">
        <v>5</v>
      </c>
      <c r="AT210">
        <v>0</v>
      </c>
      <c r="AU210">
        <v>0</v>
      </c>
      <c r="AV210">
        <v>5</v>
      </c>
      <c r="AW210">
        <v>108.333</v>
      </c>
      <c r="AX210">
        <v>0</v>
      </c>
      <c r="AY210">
        <v>0</v>
      </c>
      <c r="AZ210">
        <v>108.333</v>
      </c>
      <c r="BA210" s="2"/>
      <c r="BB210">
        <v>0.75</v>
      </c>
      <c r="BC210" s="2">
        <v>45936.5</v>
      </c>
      <c r="BD210" s="27">
        <f>MarketPlace_Order_Report__2[[#This Row],[UnitPrice]]*MarketPlace_Order_Report__2[[#This Row],[OrderQty]]</f>
        <v>2275</v>
      </c>
      <c r="BE210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0" s="27">
        <f>MarketPlace_Order_Report__2[[#This Row],[Gross Amount (Before Tax)]]+MarketPlace_Order_Report__2[[#This Row],[Total GST Amount]]</f>
        <v>2383.3330000000001</v>
      </c>
    </row>
    <row r="211" spans="1:58">
      <c r="A211" s="1" t="s">
        <v>2022</v>
      </c>
      <c r="B211" s="1" t="s">
        <v>2023</v>
      </c>
      <c r="C211" s="1" t="s">
        <v>727</v>
      </c>
      <c r="D211" s="1" t="s">
        <v>728</v>
      </c>
      <c r="E211">
        <v>1</v>
      </c>
      <c r="F211" s="1" t="s">
        <v>187</v>
      </c>
      <c r="G211">
        <v>1</v>
      </c>
      <c r="H211">
        <v>0</v>
      </c>
      <c r="I211">
        <v>3250</v>
      </c>
      <c r="J211">
        <v>2275</v>
      </c>
      <c r="K211">
        <v>0</v>
      </c>
      <c r="L211">
        <v>2295</v>
      </c>
      <c r="M211">
        <v>20</v>
      </c>
      <c r="N211" s="1" t="s">
        <v>72</v>
      </c>
      <c r="O211" s="2">
        <v>45955.971979166665</v>
      </c>
      <c r="P211" s="2"/>
      <c r="Q211" s="2"/>
      <c r="R211" s="1" t="s">
        <v>61</v>
      </c>
      <c r="S211" s="1" t="s">
        <v>60</v>
      </c>
      <c r="T211" s="2"/>
      <c r="U211" s="1" t="s">
        <v>772</v>
      </c>
      <c r="V211" s="1" t="s">
        <v>623</v>
      </c>
      <c r="W211" s="1" t="s">
        <v>61</v>
      </c>
      <c r="X211" s="1" t="s">
        <v>61</v>
      </c>
      <c r="Y211" s="1" t="s">
        <v>61</v>
      </c>
      <c r="Z211" s="1" t="s">
        <v>61</v>
      </c>
      <c r="AA211" s="1" t="s">
        <v>61</v>
      </c>
      <c r="AB211" s="1" t="s">
        <v>61</v>
      </c>
      <c r="AC211" s="1" t="s">
        <v>61</v>
      </c>
      <c r="AD211" s="2">
        <v>45955.977071759262</v>
      </c>
      <c r="AE211" s="1" t="s">
        <v>63</v>
      </c>
      <c r="AF211" s="1" t="s">
        <v>61</v>
      </c>
      <c r="AG211" s="1" t="s">
        <v>182</v>
      </c>
      <c r="AH211" s="1" t="s">
        <v>183</v>
      </c>
      <c r="AI211">
        <v>110085</v>
      </c>
      <c r="AJ211" s="1" t="s">
        <v>66</v>
      </c>
      <c r="AK211" s="1" t="s">
        <v>67</v>
      </c>
      <c r="AL211">
        <v>62042300</v>
      </c>
      <c r="AM211" s="2">
        <v>45955.977071759262</v>
      </c>
      <c r="AN211">
        <v>2275</v>
      </c>
      <c r="AO211" s="1" t="s">
        <v>61</v>
      </c>
      <c r="AP211" s="1" t="s">
        <v>564</v>
      </c>
      <c r="AQ211" s="1" t="s">
        <v>61</v>
      </c>
      <c r="AR211" s="1" t="s">
        <v>63</v>
      </c>
      <c r="AS211">
        <v>5</v>
      </c>
      <c r="AT211">
        <v>0</v>
      </c>
      <c r="AU211">
        <v>0</v>
      </c>
      <c r="AV211">
        <v>5</v>
      </c>
      <c r="AW211">
        <v>108.333</v>
      </c>
      <c r="AX211">
        <v>0</v>
      </c>
      <c r="AY211">
        <v>0</v>
      </c>
      <c r="AZ211">
        <v>108.333</v>
      </c>
      <c r="BA211" s="2"/>
      <c r="BC211" s="2">
        <v>45958.5</v>
      </c>
      <c r="BD211" s="27">
        <f>MarketPlace_Order_Report__2[[#This Row],[UnitPrice]]*MarketPlace_Order_Report__2[[#This Row],[OrderQty]]</f>
        <v>2275</v>
      </c>
      <c r="BE211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1" s="27">
        <f>MarketPlace_Order_Report__2[[#This Row],[Gross Amount (Before Tax)]]+MarketPlace_Order_Report__2[[#This Row],[Total GST Amount]]</f>
        <v>2383.3330000000001</v>
      </c>
    </row>
    <row r="212" spans="1:58">
      <c r="A212" s="1" t="s">
        <v>2024</v>
      </c>
      <c r="B212" s="1" t="s">
        <v>2025</v>
      </c>
      <c r="C212" s="1" t="s">
        <v>727</v>
      </c>
      <c r="D212" s="1" t="s">
        <v>728</v>
      </c>
      <c r="E212">
        <v>1</v>
      </c>
      <c r="F212" s="1" t="s">
        <v>71</v>
      </c>
      <c r="G212">
        <v>1</v>
      </c>
      <c r="H212">
        <v>1</v>
      </c>
      <c r="I212">
        <v>3250</v>
      </c>
      <c r="J212">
        <v>2275</v>
      </c>
      <c r="K212">
        <v>0</v>
      </c>
      <c r="L212">
        <v>2298.35</v>
      </c>
      <c r="M212">
        <v>23.35</v>
      </c>
      <c r="N212" s="1" t="s">
        <v>72</v>
      </c>
      <c r="O212" s="2">
        <v>45952.640497685185</v>
      </c>
      <c r="P212" s="2">
        <v>45954.73064814815</v>
      </c>
      <c r="Q212" s="2">
        <v>45958.660034722219</v>
      </c>
      <c r="R212" s="1" t="s">
        <v>2026</v>
      </c>
      <c r="S212" s="1" t="s">
        <v>60</v>
      </c>
      <c r="T212" s="2">
        <v>45954.500509259262</v>
      </c>
      <c r="U212" s="1" t="s">
        <v>61</v>
      </c>
      <c r="V212" s="1" t="s">
        <v>623</v>
      </c>
      <c r="W212" s="1" t="s">
        <v>61</v>
      </c>
      <c r="X212" s="1" t="s">
        <v>61</v>
      </c>
      <c r="Y212" s="1" t="s">
        <v>2027</v>
      </c>
      <c r="Z212" s="1" t="s">
        <v>74</v>
      </c>
      <c r="AA212" s="1" t="s">
        <v>695</v>
      </c>
      <c r="AB212" s="1" t="s">
        <v>61</v>
      </c>
      <c r="AC212" s="1" t="s">
        <v>61</v>
      </c>
      <c r="AD212" s="2">
        <v>45961.560011574074</v>
      </c>
      <c r="AE212" s="1" t="s">
        <v>63</v>
      </c>
      <c r="AF212" s="1" t="s">
        <v>61</v>
      </c>
      <c r="AG212" s="1" t="s">
        <v>487</v>
      </c>
      <c r="AH212" s="1" t="s">
        <v>77</v>
      </c>
      <c r="AI212">
        <v>243503</v>
      </c>
      <c r="AJ212" s="1" t="s">
        <v>66</v>
      </c>
      <c r="AK212" s="1" t="s">
        <v>67</v>
      </c>
      <c r="AL212">
        <v>62042300</v>
      </c>
      <c r="AM212" s="2"/>
      <c r="AN212">
        <v>2275</v>
      </c>
      <c r="AO212" s="1" t="s">
        <v>2028</v>
      </c>
      <c r="AP212" s="1" t="s">
        <v>61</v>
      </c>
      <c r="AQ212" s="1" t="s">
        <v>61</v>
      </c>
      <c r="AR212" s="1" t="s">
        <v>63</v>
      </c>
      <c r="AS212">
        <v>5</v>
      </c>
      <c r="AT212">
        <v>0</v>
      </c>
      <c r="AU212">
        <v>0</v>
      </c>
      <c r="AV212">
        <v>5</v>
      </c>
      <c r="AW212">
        <v>108.333</v>
      </c>
      <c r="AX212">
        <v>0</v>
      </c>
      <c r="AY212">
        <v>0</v>
      </c>
      <c r="AZ212">
        <v>108.333</v>
      </c>
      <c r="BA212" s="2"/>
      <c r="BB212">
        <v>0.75</v>
      </c>
      <c r="BC212" s="2">
        <v>45955.5</v>
      </c>
      <c r="BD212" s="27">
        <f>MarketPlace_Order_Report__2[[#This Row],[UnitPrice]]*MarketPlace_Order_Report__2[[#This Row],[OrderQty]]</f>
        <v>2275</v>
      </c>
      <c r="BE212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2" s="27">
        <f>MarketPlace_Order_Report__2[[#This Row],[Gross Amount (Before Tax)]]+MarketPlace_Order_Report__2[[#This Row],[Total GST Amount]]</f>
        <v>2383.3330000000001</v>
      </c>
    </row>
    <row r="213" spans="1:58">
      <c r="A213" s="1" t="s">
        <v>2029</v>
      </c>
      <c r="B213" s="1" t="s">
        <v>2030</v>
      </c>
      <c r="C213" s="1" t="s">
        <v>2031</v>
      </c>
      <c r="D213" s="1" t="s">
        <v>2032</v>
      </c>
      <c r="E213">
        <v>1</v>
      </c>
      <c r="F213" s="1" t="s">
        <v>71</v>
      </c>
      <c r="G213">
        <v>1</v>
      </c>
      <c r="H213">
        <v>1</v>
      </c>
      <c r="I213">
        <v>3250</v>
      </c>
      <c r="J213">
        <v>2275</v>
      </c>
      <c r="K213">
        <v>0</v>
      </c>
      <c r="L213">
        <v>2295</v>
      </c>
      <c r="M213">
        <v>20</v>
      </c>
      <c r="N213" s="1" t="s">
        <v>72</v>
      </c>
      <c r="O213" s="2">
        <v>45949.540625000001</v>
      </c>
      <c r="P213" s="2">
        <v>45954.65902777778</v>
      </c>
      <c r="Q213" s="2">
        <v>45956.615277777775</v>
      </c>
      <c r="R213" s="1" t="s">
        <v>2033</v>
      </c>
      <c r="S213" s="1" t="s">
        <v>107</v>
      </c>
      <c r="T213" s="2">
        <v>45949.555543981478</v>
      </c>
      <c r="U213" s="1" t="s">
        <v>61</v>
      </c>
      <c r="V213" s="1" t="s">
        <v>623</v>
      </c>
      <c r="W213" s="1" t="s">
        <v>61</v>
      </c>
      <c r="X213" s="1" t="s">
        <v>61</v>
      </c>
      <c r="Y213" s="1" t="s">
        <v>2034</v>
      </c>
      <c r="Z213" s="1" t="s">
        <v>74</v>
      </c>
      <c r="AA213" s="1" t="s">
        <v>695</v>
      </c>
      <c r="AB213" s="1" t="s">
        <v>61</v>
      </c>
      <c r="AC213" s="1" t="s">
        <v>61</v>
      </c>
      <c r="AD213" s="2">
        <v>45961.518368055556</v>
      </c>
      <c r="AE213" s="1" t="s">
        <v>63</v>
      </c>
      <c r="AF213" s="1" t="s">
        <v>61</v>
      </c>
      <c r="AG213" s="1" t="s">
        <v>108</v>
      </c>
      <c r="AH213" s="1" t="s">
        <v>109</v>
      </c>
      <c r="AI213">
        <v>500018</v>
      </c>
      <c r="AJ213" s="1" t="s">
        <v>66</v>
      </c>
      <c r="AK213" s="1" t="s">
        <v>67</v>
      </c>
      <c r="AL213">
        <v>62042300</v>
      </c>
      <c r="AM213" s="2"/>
      <c r="AN213">
        <v>2275</v>
      </c>
      <c r="AO213" s="1" t="s">
        <v>2035</v>
      </c>
      <c r="AP213" s="1" t="s">
        <v>61</v>
      </c>
      <c r="AQ213" s="1" t="s">
        <v>61</v>
      </c>
      <c r="AR213" s="1" t="s">
        <v>63</v>
      </c>
      <c r="AS213">
        <v>5</v>
      </c>
      <c r="AT213">
        <v>0</v>
      </c>
      <c r="AU213">
        <v>0</v>
      </c>
      <c r="AV213">
        <v>5</v>
      </c>
      <c r="AW213">
        <v>108.333</v>
      </c>
      <c r="AX213">
        <v>0</v>
      </c>
      <c r="AY213">
        <v>0</v>
      </c>
      <c r="AZ213">
        <v>108.333</v>
      </c>
      <c r="BA213" s="2"/>
      <c r="BB213">
        <v>0.75</v>
      </c>
      <c r="BC213" s="2">
        <v>45952.5</v>
      </c>
      <c r="BD213" s="27">
        <f>MarketPlace_Order_Report__2[[#This Row],[UnitPrice]]*MarketPlace_Order_Report__2[[#This Row],[OrderQty]]</f>
        <v>2275</v>
      </c>
      <c r="BE213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3" s="27">
        <f>MarketPlace_Order_Report__2[[#This Row],[Gross Amount (Before Tax)]]+MarketPlace_Order_Report__2[[#This Row],[Total GST Amount]]</f>
        <v>2383.3330000000001</v>
      </c>
    </row>
    <row r="214" spans="1:58">
      <c r="A214" s="1" t="s">
        <v>1518</v>
      </c>
      <c r="B214" s="1" t="s">
        <v>1519</v>
      </c>
      <c r="C214" s="1" t="s">
        <v>2031</v>
      </c>
      <c r="D214" s="1" t="s">
        <v>2032</v>
      </c>
      <c r="E214">
        <v>3</v>
      </c>
      <c r="F214" s="1" t="s">
        <v>58</v>
      </c>
      <c r="G214">
        <v>1</v>
      </c>
      <c r="H214">
        <v>1</v>
      </c>
      <c r="I214">
        <v>3250</v>
      </c>
      <c r="J214">
        <v>2275</v>
      </c>
      <c r="K214">
        <v>0</v>
      </c>
      <c r="L214">
        <v>2281.558</v>
      </c>
      <c r="M214">
        <v>6.5579999999999998</v>
      </c>
      <c r="N214" s="1" t="s">
        <v>72</v>
      </c>
      <c r="O214" s="2">
        <v>45935.87568287037</v>
      </c>
      <c r="P214" s="2">
        <v>45937.725740740738</v>
      </c>
      <c r="Q214" s="2">
        <v>45943.449282407404</v>
      </c>
      <c r="R214" s="1" t="s">
        <v>1520</v>
      </c>
      <c r="S214" s="1" t="s">
        <v>60</v>
      </c>
      <c r="T214" s="2">
        <v>45936.813321759262</v>
      </c>
      <c r="U214" s="1" t="s">
        <v>61</v>
      </c>
      <c r="V214" s="1" t="s">
        <v>623</v>
      </c>
      <c r="W214" s="1" t="s">
        <v>61</v>
      </c>
      <c r="X214" s="1" t="s">
        <v>61</v>
      </c>
      <c r="Y214" s="1" t="s">
        <v>61</v>
      </c>
      <c r="Z214" s="1" t="s">
        <v>61</v>
      </c>
      <c r="AA214" s="1" t="s">
        <v>61</v>
      </c>
      <c r="AB214" s="1" t="s">
        <v>61</v>
      </c>
      <c r="AC214" s="1" t="s">
        <v>61</v>
      </c>
      <c r="AD214" s="2">
        <v>45943.452037037037</v>
      </c>
      <c r="AE214" s="1" t="s">
        <v>63</v>
      </c>
      <c r="AF214" s="1" t="s">
        <v>61</v>
      </c>
      <c r="AG214" s="1" t="s">
        <v>1522</v>
      </c>
      <c r="AH214" s="1" t="s">
        <v>120</v>
      </c>
      <c r="AI214">
        <v>307027</v>
      </c>
      <c r="AJ214" s="1" t="s">
        <v>66</v>
      </c>
      <c r="AK214" s="1" t="s">
        <v>67</v>
      </c>
      <c r="AL214">
        <v>62042300</v>
      </c>
      <c r="AM214" s="2"/>
      <c r="AN214">
        <v>2275</v>
      </c>
      <c r="AO214" s="1" t="s">
        <v>1523</v>
      </c>
      <c r="AP214" s="1" t="s">
        <v>209</v>
      </c>
      <c r="AQ214" s="1" t="s">
        <v>61</v>
      </c>
      <c r="AR214" s="1" t="s">
        <v>63</v>
      </c>
      <c r="AS214">
        <v>5</v>
      </c>
      <c r="AT214">
        <v>0</v>
      </c>
      <c r="AU214">
        <v>0</v>
      </c>
      <c r="AV214">
        <v>5</v>
      </c>
      <c r="AW214">
        <v>108.333</v>
      </c>
      <c r="AX214">
        <v>0</v>
      </c>
      <c r="AY214">
        <v>0</v>
      </c>
      <c r="AZ214">
        <v>108.333</v>
      </c>
      <c r="BA214" s="2"/>
      <c r="BB214">
        <v>1</v>
      </c>
      <c r="BC214" s="2">
        <v>45938.5</v>
      </c>
      <c r="BD214" s="27">
        <f>MarketPlace_Order_Report__2[[#This Row],[UnitPrice]]*MarketPlace_Order_Report__2[[#This Row],[OrderQty]]</f>
        <v>2275</v>
      </c>
      <c r="BE214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4" s="27">
        <f>MarketPlace_Order_Report__2[[#This Row],[Gross Amount (Before Tax)]]+MarketPlace_Order_Report__2[[#This Row],[Total GST Amount]]</f>
        <v>2383.3330000000001</v>
      </c>
    </row>
    <row r="215" spans="1:58">
      <c r="A215" s="1" t="s">
        <v>2036</v>
      </c>
      <c r="B215" s="1" t="s">
        <v>2037</v>
      </c>
      <c r="C215" s="1" t="s">
        <v>2038</v>
      </c>
      <c r="D215" s="1" t="s">
        <v>2039</v>
      </c>
      <c r="E215">
        <v>1</v>
      </c>
      <c r="F215" s="1" t="s">
        <v>413</v>
      </c>
      <c r="G215">
        <v>1</v>
      </c>
      <c r="H215">
        <v>1</v>
      </c>
      <c r="I215">
        <v>3250</v>
      </c>
      <c r="J215">
        <v>2275</v>
      </c>
      <c r="K215">
        <v>0</v>
      </c>
      <c r="L215">
        <v>2275</v>
      </c>
      <c r="M215">
        <v>0</v>
      </c>
      <c r="N215" s="1" t="s">
        <v>59</v>
      </c>
      <c r="O215" s="2">
        <v>45958.419050925928</v>
      </c>
      <c r="P215" s="2">
        <v>45959.621898148151</v>
      </c>
      <c r="Q215" s="2"/>
      <c r="R215" s="1" t="s">
        <v>2040</v>
      </c>
      <c r="S215" s="1" t="s">
        <v>73</v>
      </c>
      <c r="T215" s="2">
        <v>45959.459155092591</v>
      </c>
      <c r="U215" s="1" t="s">
        <v>61</v>
      </c>
      <c r="V215" s="1" t="s">
        <v>623</v>
      </c>
      <c r="W215" s="1" t="s">
        <v>61</v>
      </c>
      <c r="X215" s="1" t="s">
        <v>61</v>
      </c>
      <c r="Y215" s="1" t="s">
        <v>61</v>
      </c>
      <c r="Z215" s="1" t="s">
        <v>61</v>
      </c>
      <c r="AA215" s="1" t="s">
        <v>61</v>
      </c>
      <c r="AB215" s="1" t="s">
        <v>61</v>
      </c>
      <c r="AC215" s="1" t="s">
        <v>61</v>
      </c>
      <c r="AD215" s="2">
        <v>45960.549884259257</v>
      </c>
      <c r="AE215" s="1" t="s">
        <v>63</v>
      </c>
      <c r="AF215" s="1" t="s">
        <v>61</v>
      </c>
      <c r="AG215" s="1" t="s">
        <v>108</v>
      </c>
      <c r="AH215" s="1" t="s">
        <v>109</v>
      </c>
      <c r="AI215">
        <v>500018</v>
      </c>
      <c r="AJ215" s="1" t="s">
        <v>66</v>
      </c>
      <c r="AK215" s="1" t="s">
        <v>67</v>
      </c>
      <c r="AL215">
        <v>62042300</v>
      </c>
      <c r="AM215" s="2"/>
      <c r="AN215">
        <v>2275</v>
      </c>
      <c r="AO215" s="1" t="s">
        <v>2041</v>
      </c>
      <c r="AP215" s="1" t="s">
        <v>61</v>
      </c>
      <c r="AQ215" s="1" t="s">
        <v>373</v>
      </c>
      <c r="AR215" s="1" t="s">
        <v>63</v>
      </c>
      <c r="AS215">
        <v>5</v>
      </c>
      <c r="AT215">
        <v>0</v>
      </c>
      <c r="AU215">
        <v>0</v>
      </c>
      <c r="AV215">
        <v>5</v>
      </c>
      <c r="AW215">
        <v>108.333</v>
      </c>
      <c r="AX215">
        <v>0</v>
      </c>
      <c r="AY215">
        <v>0</v>
      </c>
      <c r="AZ215">
        <v>108.333</v>
      </c>
      <c r="BA215" s="2"/>
      <c r="BB215">
        <v>0.75</v>
      </c>
      <c r="BC215" s="2">
        <v>45961.5</v>
      </c>
      <c r="BD215" s="27">
        <f>MarketPlace_Order_Report__2[[#This Row],[UnitPrice]]*MarketPlace_Order_Report__2[[#This Row],[OrderQty]]</f>
        <v>2275</v>
      </c>
      <c r="BE215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5" s="27">
        <f>MarketPlace_Order_Report__2[[#This Row],[Gross Amount (Before Tax)]]+MarketPlace_Order_Report__2[[#This Row],[Total GST Amount]]</f>
        <v>2383.3330000000001</v>
      </c>
    </row>
    <row r="216" spans="1:58">
      <c r="A216" s="1" t="s">
        <v>2042</v>
      </c>
      <c r="B216" s="1" t="s">
        <v>2043</v>
      </c>
      <c r="C216" s="1" t="s">
        <v>2038</v>
      </c>
      <c r="D216" s="1" t="s">
        <v>2039</v>
      </c>
      <c r="E216">
        <v>1</v>
      </c>
      <c r="F216" s="1" t="s">
        <v>58</v>
      </c>
      <c r="G216">
        <v>1</v>
      </c>
      <c r="H216">
        <v>1</v>
      </c>
      <c r="I216">
        <v>3250</v>
      </c>
      <c r="J216">
        <v>2275</v>
      </c>
      <c r="K216">
        <v>0</v>
      </c>
      <c r="L216">
        <v>2282.21</v>
      </c>
      <c r="M216">
        <v>7.21</v>
      </c>
      <c r="N216" s="1" t="s">
        <v>59</v>
      </c>
      <c r="O216" s="2">
        <v>45956.938680555555</v>
      </c>
      <c r="P216" s="2">
        <v>45958.663888888892</v>
      </c>
      <c r="Q216" s="2">
        <v>45960.467361111114</v>
      </c>
      <c r="R216" s="1" t="s">
        <v>2044</v>
      </c>
      <c r="S216" s="1" t="s">
        <v>107</v>
      </c>
      <c r="T216" s="2">
        <v>45957.797627314816</v>
      </c>
      <c r="U216" s="1" t="s">
        <v>61</v>
      </c>
      <c r="V216" s="1" t="s">
        <v>623</v>
      </c>
      <c r="W216" s="1" t="s">
        <v>61</v>
      </c>
      <c r="X216" s="1" t="s">
        <v>61</v>
      </c>
      <c r="Y216" s="1" t="s">
        <v>61</v>
      </c>
      <c r="Z216" s="1" t="s">
        <v>61</v>
      </c>
      <c r="AA216" s="1" t="s">
        <v>61</v>
      </c>
      <c r="AB216" s="1" t="s">
        <v>61</v>
      </c>
      <c r="AC216" s="1" t="s">
        <v>61</v>
      </c>
      <c r="AD216" s="2">
        <v>45960.472974537035</v>
      </c>
      <c r="AE216" s="1" t="s">
        <v>63</v>
      </c>
      <c r="AF216" s="1" t="s">
        <v>61</v>
      </c>
      <c r="AG216" s="1" t="s">
        <v>108</v>
      </c>
      <c r="AH216" s="1" t="s">
        <v>109</v>
      </c>
      <c r="AI216">
        <v>500049</v>
      </c>
      <c r="AJ216" s="1" t="s">
        <v>66</v>
      </c>
      <c r="AK216" s="1" t="s">
        <v>67</v>
      </c>
      <c r="AL216">
        <v>62042300</v>
      </c>
      <c r="AM216" s="2"/>
      <c r="AN216">
        <v>2275</v>
      </c>
      <c r="AO216" s="1" t="s">
        <v>2045</v>
      </c>
      <c r="AP216" s="1" t="s">
        <v>2046</v>
      </c>
      <c r="AQ216" s="1" t="s">
        <v>61</v>
      </c>
      <c r="AR216" s="1" t="s">
        <v>63</v>
      </c>
      <c r="AS216">
        <v>5</v>
      </c>
      <c r="AT216">
        <v>0</v>
      </c>
      <c r="AU216">
        <v>0</v>
      </c>
      <c r="AV216">
        <v>5</v>
      </c>
      <c r="AW216">
        <v>108.333</v>
      </c>
      <c r="AX216">
        <v>0</v>
      </c>
      <c r="AY216">
        <v>0</v>
      </c>
      <c r="AZ216">
        <v>108.333</v>
      </c>
      <c r="BA216" s="2"/>
      <c r="BB216">
        <v>0.75</v>
      </c>
      <c r="BC216" s="2">
        <v>45959.5</v>
      </c>
      <c r="BD216" s="27">
        <f>MarketPlace_Order_Report__2[[#This Row],[UnitPrice]]*MarketPlace_Order_Report__2[[#This Row],[OrderQty]]</f>
        <v>2275</v>
      </c>
      <c r="BE216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6" s="27">
        <f>MarketPlace_Order_Report__2[[#This Row],[Gross Amount (Before Tax)]]+MarketPlace_Order_Report__2[[#This Row],[Total GST Amount]]</f>
        <v>2383.3330000000001</v>
      </c>
    </row>
    <row r="217" spans="1:58">
      <c r="A217" s="1" t="s">
        <v>2047</v>
      </c>
      <c r="B217" s="1" t="s">
        <v>2048</v>
      </c>
      <c r="C217" s="1" t="s">
        <v>2038</v>
      </c>
      <c r="D217" s="1" t="s">
        <v>2039</v>
      </c>
      <c r="E217">
        <v>1</v>
      </c>
      <c r="F217" s="1" t="s">
        <v>413</v>
      </c>
      <c r="G217">
        <v>1</v>
      </c>
      <c r="H217">
        <v>1</v>
      </c>
      <c r="I217">
        <v>3250</v>
      </c>
      <c r="J217">
        <v>2275</v>
      </c>
      <c r="K217">
        <v>0</v>
      </c>
      <c r="L217">
        <v>2304</v>
      </c>
      <c r="M217">
        <v>29</v>
      </c>
      <c r="N217" s="1" t="s">
        <v>59</v>
      </c>
      <c r="O217" s="2">
        <v>45955.842152777775</v>
      </c>
      <c r="P217" s="2">
        <v>45958.715046296296</v>
      </c>
      <c r="Q217" s="2"/>
      <c r="R217" s="1" t="s">
        <v>2049</v>
      </c>
      <c r="S217" s="1" t="s">
        <v>60</v>
      </c>
      <c r="T217" s="2">
        <v>45957.797627314816</v>
      </c>
      <c r="U217" s="1" t="s">
        <v>61</v>
      </c>
      <c r="V217" s="1" t="s">
        <v>623</v>
      </c>
      <c r="W217" s="1" t="s">
        <v>61</v>
      </c>
      <c r="X217" s="1" t="s">
        <v>61</v>
      </c>
      <c r="Y217" s="1" t="s">
        <v>61</v>
      </c>
      <c r="Z217" s="1" t="s">
        <v>61</v>
      </c>
      <c r="AA217" s="1" t="s">
        <v>61</v>
      </c>
      <c r="AB217" s="1" t="s">
        <v>61</v>
      </c>
      <c r="AC217" s="1" t="s">
        <v>61</v>
      </c>
      <c r="AD217" s="2">
        <v>45961.528715277775</v>
      </c>
      <c r="AE217" s="1" t="s">
        <v>63</v>
      </c>
      <c r="AF217" s="1" t="s">
        <v>61</v>
      </c>
      <c r="AG217" s="1" t="s">
        <v>197</v>
      </c>
      <c r="AH217" s="1" t="s">
        <v>65</v>
      </c>
      <c r="AI217">
        <v>560048</v>
      </c>
      <c r="AJ217" s="1" t="s">
        <v>66</v>
      </c>
      <c r="AK217" s="1" t="s">
        <v>67</v>
      </c>
      <c r="AL217">
        <v>62042300</v>
      </c>
      <c r="AM217" s="2"/>
      <c r="AN217">
        <v>2275</v>
      </c>
      <c r="AO217" s="1" t="s">
        <v>2050</v>
      </c>
      <c r="AP217" s="1" t="s">
        <v>78</v>
      </c>
      <c r="AQ217" s="1" t="s">
        <v>61</v>
      </c>
      <c r="AR217" s="1" t="s">
        <v>63</v>
      </c>
      <c r="AS217">
        <v>5</v>
      </c>
      <c r="AT217">
        <v>0</v>
      </c>
      <c r="AU217">
        <v>0</v>
      </c>
      <c r="AV217">
        <v>5</v>
      </c>
      <c r="AW217">
        <v>108.333</v>
      </c>
      <c r="AX217">
        <v>0</v>
      </c>
      <c r="AY217">
        <v>0</v>
      </c>
      <c r="AZ217">
        <v>108.333</v>
      </c>
      <c r="BA217" s="2"/>
      <c r="BB217">
        <v>0.75</v>
      </c>
      <c r="BC217" s="2">
        <v>45958.5</v>
      </c>
      <c r="BD217" s="27">
        <f>MarketPlace_Order_Report__2[[#This Row],[UnitPrice]]*MarketPlace_Order_Report__2[[#This Row],[OrderQty]]</f>
        <v>2275</v>
      </c>
      <c r="BE217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7" s="27">
        <f>MarketPlace_Order_Report__2[[#This Row],[Gross Amount (Before Tax)]]+MarketPlace_Order_Report__2[[#This Row],[Total GST Amount]]</f>
        <v>2383.3330000000001</v>
      </c>
    </row>
    <row r="218" spans="1:58">
      <c r="A218" s="1" t="s">
        <v>2051</v>
      </c>
      <c r="B218" s="1" t="s">
        <v>2052</v>
      </c>
      <c r="C218" s="1" t="s">
        <v>2038</v>
      </c>
      <c r="D218" s="1" t="s">
        <v>2039</v>
      </c>
      <c r="E218">
        <v>1</v>
      </c>
      <c r="F218" s="1" t="s">
        <v>58</v>
      </c>
      <c r="G218">
        <v>1</v>
      </c>
      <c r="H218">
        <v>1</v>
      </c>
      <c r="I218">
        <v>3250</v>
      </c>
      <c r="J218">
        <v>2275</v>
      </c>
      <c r="K218">
        <v>0</v>
      </c>
      <c r="L218">
        <v>2304</v>
      </c>
      <c r="M218">
        <v>29</v>
      </c>
      <c r="N218" s="1" t="s">
        <v>59</v>
      </c>
      <c r="O218" s="2">
        <v>45952.995358796295</v>
      </c>
      <c r="P218" s="2">
        <v>45954.732037037036</v>
      </c>
      <c r="Q218" s="2">
        <v>45956.73810185185</v>
      </c>
      <c r="R218" s="1" t="s">
        <v>2053</v>
      </c>
      <c r="S218" s="1" t="s">
        <v>60</v>
      </c>
      <c r="T218" s="2">
        <v>45954.500509259262</v>
      </c>
      <c r="U218" s="1" t="s">
        <v>61</v>
      </c>
      <c r="V218" s="1" t="s">
        <v>623</v>
      </c>
      <c r="W218" s="1" t="s">
        <v>61</v>
      </c>
      <c r="X218" s="1" t="s">
        <v>61</v>
      </c>
      <c r="Y218" s="1" t="s">
        <v>61</v>
      </c>
      <c r="Z218" s="1" t="s">
        <v>61</v>
      </c>
      <c r="AA218" s="1" t="s">
        <v>61</v>
      </c>
      <c r="AB218" s="1" t="s">
        <v>61</v>
      </c>
      <c r="AC218" s="1" t="s">
        <v>61</v>
      </c>
      <c r="AD218" s="2">
        <v>45956.740659722222</v>
      </c>
      <c r="AE218" s="1" t="s">
        <v>63</v>
      </c>
      <c r="AF218" s="1" t="s">
        <v>61</v>
      </c>
      <c r="AG218" s="1" t="s">
        <v>98</v>
      </c>
      <c r="AH218" s="1" t="s">
        <v>99</v>
      </c>
      <c r="AI218">
        <v>122001</v>
      </c>
      <c r="AJ218" s="1" t="s">
        <v>66</v>
      </c>
      <c r="AK218" s="1" t="s">
        <v>67</v>
      </c>
      <c r="AL218">
        <v>62042300</v>
      </c>
      <c r="AM218" s="2"/>
      <c r="AN218">
        <v>2275</v>
      </c>
      <c r="AO218" s="1" t="s">
        <v>2054</v>
      </c>
      <c r="AP218" s="1" t="s">
        <v>970</v>
      </c>
      <c r="AQ218" s="1" t="s">
        <v>61</v>
      </c>
      <c r="AR218" s="1" t="s">
        <v>63</v>
      </c>
      <c r="AS218">
        <v>5</v>
      </c>
      <c r="AT218">
        <v>0</v>
      </c>
      <c r="AU218">
        <v>0</v>
      </c>
      <c r="AV218">
        <v>5</v>
      </c>
      <c r="AW218">
        <v>108.333</v>
      </c>
      <c r="AX218">
        <v>0</v>
      </c>
      <c r="AY218">
        <v>0</v>
      </c>
      <c r="AZ218">
        <v>108.333</v>
      </c>
      <c r="BA218" s="2"/>
      <c r="BB218">
        <v>0.75</v>
      </c>
      <c r="BC218" s="2">
        <v>45955.5</v>
      </c>
      <c r="BD218" s="27">
        <f>MarketPlace_Order_Report__2[[#This Row],[UnitPrice]]*MarketPlace_Order_Report__2[[#This Row],[OrderQty]]</f>
        <v>2275</v>
      </c>
      <c r="BE218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8" s="27">
        <f>MarketPlace_Order_Report__2[[#This Row],[Gross Amount (Before Tax)]]+MarketPlace_Order_Report__2[[#This Row],[Total GST Amount]]</f>
        <v>2383.3330000000001</v>
      </c>
    </row>
    <row r="219" spans="1:58">
      <c r="A219" s="1" t="s">
        <v>2055</v>
      </c>
      <c r="B219" s="1" t="s">
        <v>2056</v>
      </c>
      <c r="C219" s="1" t="s">
        <v>2038</v>
      </c>
      <c r="D219" s="1" t="s">
        <v>2039</v>
      </c>
      <c r="E219">
        <v>1</v>
      </c>
      <c r="F219" s="1" t="s">
        <v>1076</v>
      </c>
      <c r="G219">
        <v>1</v>
      </c>
      <c r="H219">
        <v>1</v>
      </c>
      <c r="I219">
        <v>3250</v>
      </c>
      <c r="J219">
        <v>2275</v>
      </c>
      <c r="K219">
        <v>0</v>
      </c>
      <c r="L219">
        <v>2304</v>
      </c>
      <c r="M219">
        <v>29</v>
      </c>
      <c r="N219" s="1" t="s">
        <v>59</v>
      </c>
      <c r="O219" s="2">
        <v>45933.678993055553</v>
      </c>
      <c r="P219" s="2">
        <v>45934.620092592595</v>
      </c>
      <c r="Q219" s="2"/>
      <c r="R219" s="1" t="s">
        <v>2057</v>
      </c>
      <c r="S219" s="1" t="s">
        <v>73</v>
      </c>
      <c r="T219" s="2">
        <v>45933.815833333334</v>
      </c>
      <c r="U219" s="1" t="s">
        <v>61</v>
      </c>
      <c r="V219" s="1" t="s">
        <v>623</v>
      </c>
      <c r="W219" s="1" t="s">
        <v>61</v>
      </c>
      <c r="X219" s="1" t="s">
        <v>61</v>
      </c>
      <c r="Y219" s="1" t="s">
        <v>2058</v>
      </c>
      <c r="Z219" s="1" t="s">
        <v>103</v>
      </c>
      <c r="AA219" s="1" t="s">
        <v>414</v>
      </c>
      <c r="AB219" s="1" t="s">
        <v>61</v>
      </c>
      <c r="AC219" s="1" t="s">
        <v>61</v>
      </c>
      <c r="AD219" s="2">
        <v>45948.046018518522</v>
      </c>
      <c r="AE219" s="1" t="s">
        <v>63</v>
      </c>
      <c r="AF219" s="1" t="s">
        <v>61</v>
      </c>
      <c r="AG219" s="1" t="s">
        <v>98</v>
      </c>
      <c r="AH219" s="1" t="s">
        <v>99</v>
      </c>
      <c r="AI219">
        <v>122003</v>
      </c>
      <c r="AJ219" s="1" t="s">
        <v>66</v>
      </c>
      <c r="AK219" s="1" t="s">
        <v>67</v>
      </c>
      <c r="AL219">
        <v>62042300</v>
      </c>
      <c r="AM219" s="2"/>
      <c r="AN219">
        <v>2275</v>
      </c>
      <c r="AO219" s="1" t="s">
        <v>2059</v>
      </c>
      <c r="AP219" s="1" t="s">
        <v>1105</v>
      </c>
      <c r="AQ219" s="1" t="s">
        <v>61</v>
      </c>
      <c r="AR219" s="1" t="s">
        <v>63</v>
      </c>
      <c r="AS219">
        <v>5</v>
      </c>
      <c r="AT219">
        <v>0</v>
      </c>
      <c r="AU219">
        <v>0</v>
      </c>
      <c r="AV219">
        <v>5</v>
      </c>
      <c r="AW219">
        <v>108.333</v>
      </c>
      <c r="AX219">
        <v>0</v>
      </c>
      <c r="AY219">
        <v>0</v>
      </c>
      <c r="AZ219">
        <v>108.333</v>
      </c>
      <c r="BA219" s="2"/>
      <c r="BB219">
        <v>0.75</v>
      </c>
      <c r="BC219" s="2">
        <v>45936.5</v>
      </c>
      <c r="BD219" s="27">
        <f>MarketPlace_Order_Report__2[[#This Row],[UnitPrice]]*MarketPlace_Order_Report__2[[#This Row],[OrderQty]]</f>
        <v>2275</v>
      </c>
      <c r="BE219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9" s="27">
        <f>MarketPlace_Order_Report__2[[#This Row],[Gross Amount (Before Tax)]]+MarketPlace_Order_Report__2[[#This Row],[Total GST Amount]]</f>
        <v>2383.3330000000001</v>
      </c>
    </row>
    <row r="220" spans="1:58">
      <c r="A220" s="1" t="s">
        <v>2060</v>
      </c>
      <c r="B220" s="1" t="s">
        <v>2061</v>
      </c>
      <c r="C220" s="1" t="s">
        <v>2062</v>
      </c>
      <c r="D220" s="1" t="s">
        <v>2063</v>
      </c>
      <c r="E220">
        <v>1</v>
      </c>
      <c r="F220" s="1" t="s">
        <v>71</v>
      </c>
      <c r="G220">
        <v>1</v>
      </c>
      <c r="H220">
        <v>1</v>
      </c>
      <c r="I220">
        <v>3250</v>
      </c>
      <c r="J220">
        <v>2275</v>
      </c>
      <c r="K220">
        <v>0</v>
      </c>
      <c r="L220">
        <v>2278.2399999999998</v>
      </c>
      <c r="M220">
        <v>3.24</v>
      </c>
      <c r="N220" s="1" t="s">
        <v>59</v>
      </c>
      <c r="O220" s="2">
        <v>45952.503437500003</v>
      </c>
      <c r="P220" s="2">
        <v>45954.73164351852</v>
      </c>
      <c r="Q220" s="2">
        <v>45956.628333333334</v>
      </c>
      <c r="R220" s="1" t="s">
        <v>2064</v>
      </c>
      <c r="S220" s="1" t="s">
        <v>60</v>
      </c>
      <c r="T220" s="2">
        <v>45954.500509259262</v>
      </c>
      <c r="U220" s="1" t="s">
        <v>61</v>
      </c>
      <c r="V220" s="1" t="s">
        <v>623</v>
      </c>
      <c r="W220" s="1" t="s">
        <v>61</v>
      </c>
      <c r="X220" s="1" t="s">
        <v>61</v>
      </c>
      <c r="Y220" s="1" t="s">
        <v>2065</v>
      </c>
      <c r="Z220" s="1" t="s">
        <v>74</v>
      </c>
      <c r="AA220" s="1" t="s">
        <v>695</v>
      </c>
      <c r="AB220" s="1" t="s">
        <v>61</v>
      </c>
      <c r="AC220" s="1" t="s">
        <v>61</v>
      </c>
      <c r="AD220" s="2">
        <v>45960.740370370368</v>
      </c>
      <c r="AE220" s="1" t="s">
        <v>63</v>
      </c>
      <c r="AF220" s="1" t="s">
        <v>61</v>
      </c>
      <c r="AG220" s="1" t="s">
        <v>197</v>
      </c>
      <c r="AH220" s="1" t="s">
        <v>65</v>
      </c>
      <c r="AI220">
        <v>560045</v>
      </c>
      <c r="AJ220" s="1" t="s">
        <v>66</v>
      </c>
      <c r="AK220" s="1" t="s">
        <v>67</v>
      </c>
      <c r="AL220">
        <v>62042300</v>
      </c>
      <c r="AM220" s="2"/>
      <c r="AN220">
        <v>2275</v>
      </c>
      <c r="AO220" s="1" t="s">
        <v>2066</v>
      </c>
      <c r="AP220" s="1" t="s">
        <v>78</v>
      </c>
      <c r="AQ220" s="1" t="s">
        <v>61</v>
      </c>
      <c r="AR220" s="1" t="s">
        <v>63</v>
      </c>
      <c r="AS220">
        <v>5</v>
      </c>
      <c r="AT220">
        <v>0</v>
      </c>
      <c r="AU220">
        <v>0</v>
      </c>
      <c r="AV220">
        <v>5</v>
      </c>
      <c r="AW220">
        <v>108.333</v>
      </c>
      <c r="AX220">
        <v>0</v>
      </c>
      <c r="AY220">
        <v>0</v>
      </c>
      <c r="AZ220">
        <v>108.333</v>
      </c>
      <c r="BA220" s="2"/>
      <c r="BB220">
        <v>0.75</v>
      </c>
      <c r="BC220" s="2">
        <v>45955.5</v>
      </c>
      <c r="BD220" s="27">
        <f>MarketPlace_Order_Report__2[[#This Row],[UnitPrice]]*MarketPlace_Order_Report__2[[#This Row],[OrderQty]]</f>
        <v>2275</v>
      </c>
      <c r="BE220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0" s="27">
        <f>MarketPlace_Order_Report__2[[#This Row],[Gross Amount (Before Tax)]]+MarketPlace_Order_Report__2[[#This Row],[Total GST Amount]]</f>
        <v>2383.3330000000001</v>
      </c>
    </row>
    <row r="221" spans="1:58">
      <c r="A221" s="1" t="s">
        <v>2067</v>
      </c>
      <c r="B221" s="1" t="s">
        <v>2068</v>
      </c>
      <c r="C221" s="1" t="s">
        <v>2062</v>
      </c>
      <c r="D221" s="1" t="s">
        <v>2063</v>
      </c>
      <c r="E221">
        <v>1</v>
      </c>
      <c r="F221" s="1" t="s">
        <v>71</v>
      </c>
      <c r="G221">
        <v>1</v>
      </c>
      <c r="H221">
        <v>1</v>
      </c>
      <c r="I221">
        <v>3250</v>
      </c>
      <c r="J221">
        <v>2275</v>
      </c>
      <c r="K221">
        <v>0</v>
      </c>
      <c r="L221">
        <v>2304</v>
      </c>
      <c r="M221">
        <v>29</v>
      </c>
      <c r="N221" s="1" t="s">
        <v>59</v>
      </c>
      <c r="O221" s="2">
        <v>45947.331747685188</v>
      </c>
      <c r="P221" s="2">
        <v>45948.728206018517</v>
      </c>
      <c r="Q221" s="2">
        <v>45951.695937500001</v>
      </c>
      <c r="R221" s="1" t="s">
        <v>2069</v>
      </c>
      <c r="S221" s="1" t="s">
        <v>60</v>
      </c>
      <c r="T221" s="2">
        <v>45947.781585648147</v>
      </c>
      <c r="U221" s="1" t="s">
        <v>61</v>
      </c>
      <c r="V221" s="1" t="s">
        <v>623</v>
      </c>
      <c r="W221" s="1" t="s">
        <v>61</v>
      </c>
      <c r="X221" s="1" t="s">
        <v>61</v>
      </c>
      <c r="Y221" s="1" t="s">
        <v>2070</v>
      </c>
      <c r="Z221" s="1" t="s">
        <v>74</v>
      </c>
      <c r="AA221" s="1" t="s">
        <v>75</v>
      </c>
      <c r="AB221" s="1" t="s">
        <v>61</v>
      </c>
      <c r="AC221" s="1" t="s">
        <v>61</v>
      </c>
      <c r="AD221" s="2">
        <v>45959.806284722225</v>
      </c>
      <c r="AE221" s="1" t="s">
        <v>63</v>
      </c>
      <c r="AF221" s="1" t="s">
        <v>61</v>
      </c>
      <c r="AG221" s="1" t="s">
        <v>197</v>
      </c>
      <c r="AH221" s="1" t="s">
        <v>65</v>
      </c>
      <c r="AI221">
        <v>560100</v>
      </c>
      <c r="AJ221" s="1" t="s">
        <v>66</v>
      </c>
      <c r="AK221" s="1" t="s">
        <v>67</v>
      </c>
      <c r="AL221">
        <v>62042300</v>
      </c>
      <c r="AM221" s="2"/>
      <c r="AN221">
        <v>2275</v>
      </c>
      <c r="AO221" s="1" t="s">
        <v>2071</v>
      </c>
      <c r="AP221" s="1" t="s">
        <v>78</v>
      </c>
      <c r="AQ221" s="1" t="s">
        <v>61</v>
      </c>
      <c r="AR221" s="1" t="s">
        <v>63</v>
      </c>
      <c r="AS221">
        <v>5</v>
      </c>
      <c r="AT221">
        <v>0</v>
      </c>
      <c r="AU221">
        <v>0</v>
      </c>
      <c r="AV221">
        <v>5</v>
      </c>
      <c r="AW221">
        <v>108.333</v>
      </c>
      <c r="AX221">
        <v>0</v>
      </c>
      <c r="AY221">
        <v>0</v>
      </c>
      <c r="AZ221">
        <v>108.333</v>
      </c>
      <c r="BA221" s="2"/>
      <c r="BB221">
        <v>0.75</v>
      </c>
      <c r="BC221" s="2">
        <v>45949.5</v>
      </c>
      <c r="BD221" s="27">
        <f>MarketPlace_Order_Report__2[[#This Row],[UnitPrice]]*MarketPlace_Order_Report__2[[#This Row],[OrderQty]]</f>
        <v>2275</v>
      </c>
      <c r="BE221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1" s="27">
        <f>MarketPlace_Order_Report__2[[#This Row],[Gross Amount (Before Tax)]]+MarketPlace_Order_Report__2[[#This Row],[Total GST Amount]]</f>
        <v>2383.3330000000001</v>
      </c>
    </row>
    <row r="222" spans="1:58">
      <c r="A222" s="1" t="s">
        <v>2072</v>
      </c>
      <c r="B222" s="1" t="s">
        <v>2073</v>
      </c>
      <c r="C222" s="1" t="s">
        <v>2062</v>
      </c>
      <c r="D222" s="1" t="s">
        <v>2063</v>
      </c>
      <c r="E222">
        <v>1</v>
      </c>
      <c r="F222" s="1" t="s">
        <v>58</v>
      </c>
      <c r="G222">
        <v>1</v>
      </c>
      <c r="H222">
        <v>1</v>
      </c>
      <c r="I222">
        <v>3250</v>
      </c>
      <c r="J222">
        <v>2275</v>
      </c>
      <c r="K222">
        <v>0</v>
      </c>
      <c r="L222">
        <v>2288.88</v>
      </c>
      <c r="M222">
        <v>13.88</v>
      </c>
      <c r="N222" s="1" t="s">
        <v>59</v>
      </c>
      <c r="O222" s="2">
        <v>45943.420787037037</v>
      </c>
      <c r="P222" s="2">
        <v>45944.738541666666</v>
      </c>
      <c r="Q222" s="2">
        <v>45949.571469907409</v>
      </c>
      <c r="R222" s="1" t="s">
        <v>2074</v>
      </c>
      <c r="S222" s="1" t="s">
        <v>60</v>
      </c>
      <c r="T222" s="2">
        <v>45943.814467592594</v>
      </c>
      <c r="U222" s="1" t="s">
        <v>61</v>
      </c>
      <c r="V222" s="1" t="s">
        <v>623</v>
      </c>
      <c r="W222" s="1" t="s">
        <v>61</v>
      </c>
      <c r="X222" s="1" t="s">
        <v>61</v>
      </c>
      <c r="Y222" s="1" t="s">
        <v>61</v>
      </c>
      <c r="Z222" s="1" t="s">
        <v>61</v>
      </c>
      <c r="AA222" s="1" t="s">
        <v>61</v>
      </c>
      <c r="AB222" s="1" t="s">
        <v>61</v>
      </c>
      <c r="AC222" s="1" t="s">
        <v>61</v>
      </c>
      <c r="AD222" s="2">
        <v>45949.573750000003</v>
      </c>
      <c r="AE222" s="1" t="s">
        <v>63</v>
      </c>
      <c r="AF222" s="1" t="s">
        <v>61</v>
      </c>
      <c r="AG222" s="1" t="s">
        <v>635</v>
      </c>
      <c r="AH222" s="1" t="s">
        <v>77</v>
      </c>
      <c r="AI222">
        <v>231001</v>
      </c>
      <c r="AJ222" s="1" t="s">
        <v>66</v>
      </c>
      <c r="AK222" s="1" t="s">
        <v>67</v>
      </c>
      <c r="AL222">
        <v>62042300</v>
      </c>
      <c r="AM222" s="2"/>
      <c r="AN222">
        <v>2275</v>
      </c>
      <c r="AO222" s="1" t="s">
        <v>2075</v>
      </c>
      <c r="AP222" s="1" t="s">
        <v>209</v>
      </c>
      <c r="AQ222" s="1" t="s">
        <v>61</v>
      </c>
      <c r="AR222" s="1" t="s">
        <v>63</v>
      </c>
      <c r="AS222">
        <v>5</v>
      </c>
      <c r="AT222">
        <v>0</v>
      </c>
      <c r="AU222">
        <v>0</v>
      </c>
      <c r="AV222">
        <v>5</v>
      </c>
      <c r="AW222">
        <v>108.333</v>
      </c>
      <c r="AX222">
        <v>0</v>
      </c>
      <c r="AY222">
        <v>0</v>
      </c>
      <c r="AZ222">
        <v>108.333</v>
      </c>
      <c r="BA222" s="2"/>
      <c r="BB222">
        <v>0.75</v>
      </c>
      <c r="BC222" s="2">
        <v>45945.5</v>
      </c>
      <c r="BD222" s="27">
        <f>MarketPlace_Order_Report__2[[#This Row],[UnitPrice]]*MarketPlace_Order_Report__2[[#This Row],[OrderQty]]</f>
        <v>2275</v>
      </c>
      <c r="BE222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2" s="27">
        <f>MarketPlace_Order_Report__2[[#This Row],[Gross Amount (Before Tax)]]+MarketPlace_Order_Report__2[[#This Row],[Total GST Amount]]</f>
        <v>2383.3330000000001</v>
      </c>
    </row>
    <row r="223" spans="1:58">
      <c r="A223" s="1" t="s">
        <v>2076</v>
      </c>
      <c r="B223" s="1" t="s">
        <v>2077</v>
      </c>
      <c r="C223" s="1" t="s">
        <v>731</v>
      </c>
      <c r="D223" s="1" t="s">
        <v>732</v>
      </c>
      <c r="E223">
        <v>1</v>
      </c>
      <c r="F223" s="1" t="s">
        <v>102</v>
      </c>
      <c r="G223">
        <v>1</v>
      </c>
      <c r="H223">
        <v>1</v>
      </c>
      <c r="I223">
        <v>3250</v>
      </c>
      <c r="J223">
        <v>2275</v>
      </c>
      <c r="K223">
        <v>0</v>
      </c>
      <c r="L223">
        <v>2301.2199999999998</v>
      </c>
      <c r="M223">
        <v>26.22</v>
      </c>
      <c r="N223" s="1" t="s">
        <v>72</v>
      </c>
      <c r="O223" s="2">
        <v>45942.498252314814</v>
      </c>
      <c r="P223" s="2">
        <v>45943.762060185189</v>
      </c>
      <c r="Q223" s="2"/>
      <c r="R223" s="1" t="s">
        <v>2078</v>
      </c>
      <c r="S223" s="1" t="s">
        <v>60</v>
      </c>
      <c r="T223" s="2">
        <v>45942.661412037036</v>
      </c>
      <c r="U223" s="1" t="s">
        <v>61</v>
      </c>
      <c r="V223" s="1" t="s">
        <v>623</v>
      </c>
      <c r="W223" s="1" t="s">
        <v>61</v>
      </c>
      <c r="X223" s="1" t="s">
        <v>61</v>
      </c>
      <c r="Y223" s="1" t="s">
        <v>2079</v>
      </c>
      <c r="Z223" s="1" t="s">
        <v>103</v>
      </c>
      <c r="AA223" s="1" t="s">
        <v>75</v>
      </c>
      <c r="AB223" s="1" t="s">
        <v>61</v>
      </c>
      <c r="AC223" s="1" t="s">
        <v>61</v>
      </c>
      <c r="AD223" s="2">
        <v>45955.879201388889</v>
      </c>
      <c r="AE223" s="1" t="s">
        <v>63</v>
      </c>
      <c r="AF223" s="1" t="s">
        <v>61</v>
      </c>
      <c r="AG223" s="1" t="s">
        <v>2080</v>
      </c>
      <c r="AH223" s="1" t="s">
        <v>99</v>
      </c>
      <c r="AI223">
        <v>135002</v>
      </c>
      <c r="AJ223" s="1" t="s">
        <v>66</v>
      </c>
      <c r="AK223" s="1" t="s">
        <v>67</v>
      </c>
      <c r="AL223">
        <v>62042300</v>
      </c>
      <c r="AM223" s="2"/>
      <c r="AN223">
        <v>2275</v>
      </c>
      <c r="AO223" s="1" t="s">
        <v>2081</v>
      </c>
      <c r="AP223" s="1" t="s">
        <v>650</v>
      </c>
      <c r="AQ223" s="1" t="s">
        <v>61</v>
      </c>
      <c r="AR223" s="1" t="s">
        <v>63</v>
      </c>
      <c r="AS223">
        <v>5</v>
      </c>
      <c r="AT223">
        <v>0</v>
      </c>
      <c r="AU223">
        <v>0</v>
      </c>
      <c r="AV223">
        <v>5</v>
      </c>
      <c r="AW223">
        <v>108.333</v>
      </c>
      <c r="AX223">
        <v>0</v>
      </c>
      <c r="AY223">
        <v>0</v>
      </c>
      <c r="AZ223">
        <v>108.333</v>
      </c>
      <c r="BA223" s="2"/>
      <c r="BB223">
        <v>0.75</v>
      </c>
      <c r="BC223" s="2">
        <v>45944.5</v>
      </c>
      <c r="BD223" s="27">
        <f>MarketPlace_Order_Report__2[[#This Row],[UnitPrice]]*MarketPlace_Order_Report__2[[#This Row],[OrderQty]]</f>
        <v>2275</v>
      </c>
      <c r="BE223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3" s="27">
        <f>MarketPlace_Order_Report__2[[#This Row],[Gross Amount (Before Tax)]]+MarketPlace_Order_Report__2[[#This Row],[Total GST Amount]]</f>
        <v>2383.3330000000001</v>
      </c>
    </row>
    <row r="224" spans="1:58">
      <c r="A224" s="1" t="s">
        <v>2082</v>
      </c>
      <c r="B224" s="1" t="s">
        <v>2083</v>
      </c>
      <c r="C224" s="1" t="s">
        <v>731</v>
      </c>
      <c r="D224" s="1" t="s">
        <v>732</v>
      </c>
      <c r="E224">
        <v>1</v>
      </c>
      <c r="F224" s="1" t="s">
        <v>58</v>
      </c>
      <c r="G224">
        <v>1</v>
      </c>
      <c r="H224">
        <v>1</v>
      </c>
      <c r="I224">
        <v>3250</v>
      </c>
      <c r="J224">
        <v>2275</v>
      </c>
      <c r="K224">
        <v>0</v>
      </c>
      <c r="L224">
        <v>2324</v>
      </c>
      <c r="M224">
        <v>49</v>
      </c>
      <c r="N224" s="1" t="s">
        <v>72</v>
      </c>
      <c r="O224" s="2">
        <v>45940.715613425928</v>
      </c>
      <c r="P224" s="2">
        <v>45941.748483796298</v>
      </c>
      <c r="Q224" s="2">
        <v>45947.54146990741</v>
      </c>
      <c r="R224" s="1" t="s">
        <v>2084</v>
      </c>
      <c r="S224" s="1" t="s">
        <v>60</v>
      </c>
      <c r="T224" s="2">
        <v>45940.816203703704</v>
      </c>
      <c r="U224" s="1" t="s">
        <v>61</v>
      </c>
      <c r="V224" s="1" t="s">
        <v>623</v>
      </c>
      <c r="W224" s="1" t="s">
        <v>61</v>
      </c>
      <c r="X224" s="1" t="s">
        <v>61</v>
      </c>
      <c r="Y224" s="1" t="s">
        <v>61</v>
      </c>
      <c r="Z224" s="1" t="s">
        <v>61</v>
      </c>
      <c r="AA224" s="1" t="s">
        <v>61</v>
      </c>
      <c r="AB224" s="1" t="s">
        <v>61</v>
      </c>
      <c r="AC224" s="1" t="s">
        <v>61</v>
      </c>
      <c r="AD224" s="2">
        <v>45947.542673611111</v>
      </c>
      <c r="AE224" s="1" t="s">
        <v>63</v>
      </c>
      <c r="AF224" s="1" t="s">
        <v>61</v>
      </c>
      <c r="AG224" s="1" t="s">
        <v>557</v>
      </c>
      <c r="AH224" s="1" t="s">
        <v>77</v>
      </c>
      <c r="AI224">
        <v>271801</v>
      </c>
      <c r="AJ224" s="1" t="s">
        <v>66</v>
      </c>
      <c r="AK224" s="1" t="s">
        <v>67</v>
      </c>
      <c r="AL224">
        <v>62042300</v>
      </c>
      <c r="AM224" s="2"/>
      <c r="AN224">
        <v>2275</v>
      </c>
      <c r="AO224" s="1" t="s">
        <v>2085</v>
      </c>
      <c r="AP224" s="1" t="s">
        <v>61</v>
      </c>
      <c r="AQ224" s="1" t="s">
        <v>61</v>
      </c>
      <c r="AR224" s="1" t="s">
        <v>63</v>
      </c>
      <c r="AS224">
        <v>5</v>
      </c>
      <c r="AT224">
        <v>0</v>
      </c>
      <c r="AU224">
        <v>0</v>
      </c>
      <c r="AV224">
        <v>5</v>
      </c>
      <c r="AW224">
        <v>108.333</v>
      </c>
      <c r="AX224">
        <v>0</v>
      </c>
      <c r="AY224">
        <v>0</v>
      </c>
      <c r="AZ224">
        <v>108.333</v>
      </c>
      <c r="BA224" s="2"/>
      <c r="BB224">
        <v>0.75</v>
      </c>
      <c r="BC224" s="2">
        <v>45943.5</v>
      </c>
      <c r="BD224" s="27">
        <f>MarketPlace_Order_Report__2[[#This Row],[UnitPrice]]*MarketPlace_Order_Report__2[[#This Row],[OrderQty]]</f>
        <v>2275</v>
      </c>
      <c r="BE224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4" s="27">
        <f>MarketPlace_Order_Report__2[[#This Row],[Gross Amount (Before Tax)]]+MarketPlace_Order_Report__2[[#This Row],[Total GST Amount]]</f>
        <v>2383.3330000000001</v>
      </c>
    </row>
    <row r="225" spans="1:58">
      <c r="A225" s="1" t="s">
        <v>2086</v>
      </c>
      <c r="B225" s="1" t="s">
        <v>2087</v>
      </c>
      <c r="C225" s="1" t="s">
        <v>731</v>
      </c>
      <c r="D225" s="1" t="s">
        <v>732</v>
      </c>
      <c r="E225">
        <v>6</v>
      </c>
      <c r="F225" s="1" t="s">
        <v>71</v>
      </c>
      <c r="G225">
        <v>1</v>
      </c>
      <c r="H225">
        <v>1</v>
      </c>
      <c r="I225">
        <v>3250</v>
      </c>
      <c r="J225">
        <v>2275</v>
      </c>
      <c r="K225">
        <v>0</v>
      </c>
      <c r="L225">
        <v>2280.16</v>
      </c>
      <c r="M225">
        <v>5.16</v>
      </c>
      <c r="N225" s="1" t="s">
        <v>59</v>
      </c>
      <c r="O225" s="2">
        <v>45940.442673611113</v>
      </c>
      <c r="P225" s="2">
        <v>45941.748877314814</v>
      </c>
      <c r="Q225" s="2">
        <v>45943.897777777776</v>
      </c>
      <c r="R225" s="1" t="s">
        <v>2088</v>
      </c>
      <c r="S225" s="1" t="s">
        <v>60</v>
      </c>
      <c r="T225" s="2">
        <v>45940.816203703704</v>
      </c>
      <c r="U225" s="1" t="s">
        <v>61</v>
      </c>
      <c r="V225" s="1" t="s">
        <v>623</v>
      </c>
      <c r="W225" s="1" t="s">
        <v>61</v>
      </c>
      <c r="X225" s="1" t="s">
        <v>61</v>
      </c>
      <c r="Y225" s="1" t="s">
        <v>2089</v>
      </c>
      <c r="Z225" s="1" t="s">
        <v>74</v>
      </c>
      <c r="AA225" s="1" t="s">
        <v>75</v>
      </c>
      <c r="AB225" s="1" t="s">
        <v>61</v>
      </c>
      <c r="AC225" s="1" t="s">
        <v>61</v>
      </c>
      <c r="AD225" s="2">
        <v>45960.045995370368</v>
      </c>
      <c r="AE225" s="1" t="s">
        <v>63</v>
      </c>
      <c r="AF225" s="1" t="s">
        <v>61</v>
      </c>
      <c r="AG225" s="1" t="s">
        <v>197</v>
      </c>
      <c r="AH225" s="1" t="s">
        <v>65</v>
      </c>
      <c r="AI225">
        <v>560063</v>
      </c>
      <c r="AJ225" s="1" t="s">
        <v>66</v>
      </c>
      <c r="AK225" s="1" t="s">
        <v>67</v>
      </c>
      <c r="AL225">
        <v>62042300</v>
      </c>
      <c r="AM225" s="2"/>
      <c r="AN225">
        <v>2275</v>
      </c>
      <c r="AO225" s="1" t="s">
        <v>2090</v>
      </c>
      <c r="AP225" s="1" t="s">
        <v>61</v>
      </c>
      <c r="AQ225" s="1" t="s">
        <v>61</v>
      </c>
      <c r="AR225" s="1" t="s">
        <v>63</v>
      </c>
      <c r="AS225">
        <v>5</v>
      </c>
      <c r="AT225">
        <v>0</v>
      </c>
      <c r="AU225">
        <v>0</v>
      </c>
      <c r="AV225">
        <v>5</v>
      </c>
      <c r="AW225">
        <v>108.333</v>
      </c>
      <c r="AX225">
        <v>0</v>
      </c>
      <c r="AY225">
        <v>0</v>
      </c>
      <c r="AZ225">
        <v>108.333</v>
      </c>
      <c r="BA225" s="2"/>
      <c r="BB225">
        <v>0.75</v>
      </c>
      <c r="BC225" s="2">
        <v>45942.5</v>
      </c>
      <c r="BD225" s="27">
        <f>MarketPlace_Order_Report__2[[#This Row],[UnitPrice]]*MarketPlace_Order_Report__2[[#This Row],[OrderQty]]</f>
        <v>2275</v>
      </c>
      <c r="BE225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5" s="27">
        <f>MarketPlace_Order_Report__2[[#This Row],[Gross Amount (Before Tax)]]+MarketPlace_Order_Report__2[[#This Row],[Total GST Amount]]</f>
        <v>2383.3330000000001</v>
      </c>
    </row>
    <row r="226" spans="1:58">
      <c r="A226" s="1" t="s">
        <v>2091</v>
      </c>
      <c r="B226" s="1" t="s">
        <v>2092</v>
      </c>
      <c r="C226" s="1" t="s">
        <v>2093</v>
      </c>
      <c r="D226" s="1" t="s">
        <v>2094</v>
      </c>
      <c r="E226">
        <v>1</v>
      </c>
      <c r="F226" s="1" t="s">
        <v>413</v>
      </c>
      <c r="G226">
        <v>1</v>
      </c>
      <c r="H226">
        <v>1</v>
      </c>
      <c r="I226">
        <v>3250</v>
      </c>
      <c r="J226">
        <v>2275</v>
      </c>
      <c r="K226">
        <v>0</v>
      </c>
      <c r="L226">
        <v>2324</v>
      </c>
      <c r="M226">
        <v>49</v>
      </c>
      <c r="N226" s="1" t="s">
        <v>72</v>
      </c>
      <c r="O226" s="2">
        <v>45956.976122685184</v>
      </c>
      <c r="P226" s="2">
        <v>45958.714814814812</v>
      </c>
      <c r="Q226" s="2"/>
      <c r="R226" s="1" t="s">
        <v>2095</v>
      </c>
      <c r="S226" s="1" t="s">
        <v>60</v>
      </c>
      <c r="T226" s="2">
        <v>45957.797627314816</v>
      </c>
      <c r="U226" s="1" t="s">
        <v>61</v>
      </c>
      <c r="V226" s="1" t="s">
        <v>623</v>
      </c>
      <c r="W226" s="1" t="s">
        <v>61</v>
      </c>
      <c r="X226" s="1" t="s">
        <v>61</v>
      </c>
      <c r="Y226" s="1" t="s">
        <v>61</v>
      </c>
      <c r="Z226" s="1" t="s">
        <v>61</v>
      </c>
      <c r="AA226" s="1" t="s">
        <v>61</v>
      </c>
      <c r="AB226" s="1" t="s">
        <v>61</v>
      </c>
      <c r="AC226" s="1" t="s">
        <v>61</v>
      </c>
      <c r="AD226" s="2">
        <v>45961.344490740739</v>
      </c>
      <c r="AE226" s="1" t="s">
        <v>63</v>
      </c>
      <c r="AF226" s="1" t="s">
        <v>61</v>
      </c>
      <c r="AG226" s="1" t="s">
        <v>182</v>
      </c>
      <c r="AH226" s="1" t="s">
        <v>183</v>
      </c>
      <c r="AI226">
        <v>110085</v>
      </c>
      <c r="AJ226" s="1" t="s">
        <v>66</v>
      </c>
      <c r="AK226" s="1" t="s">
        <v>67</v>
      </c>
      <c r="AL226">
        <v>62044220</v>
      </c>
      <c r="AM226" s="2"/>
      <c r="AN226">
        <v>2275</v>
      </c>
      <c r="AO226" s="1" t="s">
        <v>2096</v>
      </c>
      <c r="AP226" s="1" t="s">
        <v>1966</v>
      </c>
      <c r="AQ226" s="1" t="s">
        <v>61</v>
      </c>
      <c r="AR226" s="1" t="s">
        <v>63</v>
      </c>
      <c r="AS226">
        <v>5</v>
      </c>
      <c r="AT226">
        <v>0</v>
      </c>
      <c r="AU226">
        <v>0</v>
      </c>
      <c r="AV226">
        <v>5</v>
      </c>
      <c r="AW226">
        <v>108.333</v>
      </c>
      <c r="AX226">
        <v>0</v>
      </c>
      <c r="AY226">
        <v>0</v>
      </c>
      <c r="AZ226">
        <v>108.333</v>
      </c>
      <c r="BA226" s="2"/>
      <c r="BB226">
        <v>0.75</v>
      </c>
      <c r="BC226" s="2">
        <v>45959.5</v>
      </c>
      <c r="BD226" s="27">
        <f>MarketPlace_Order_Report__2[[#This Row],[UnitPrice]]*MarketPlace_Order_Report__2[[#This Row],[OrderQty]]</f>
        <v>2275</v>
      </c>
      <c r="BE226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6" s="27">
        <f>MarketPlace_Order_Report__2[[#This Row],[Gross Amount (Before Tax)]]+MarketPlace_Order_Report__2[[#This Row],[Total GST Amount]]</f>
        <v>2383.3330000000001</v>
      </c>
    </row>
    <row r="227" spans="1:58">
      <c r="A227" s="1" t="s">
        <v>2097</v>
      </c>
      <c r="B227" s="1" t="s">
        <v>2098</v>
      </c>
      <c r="C227" s="1" t="s">
        <v>2099</v>
      </c>
      <c r="D227" s="1" t="s">
        <v>2100</v>
      </c>
      <c r="E227">
        <v>1</v>
      </c>
      <c r="F227" s="1" t="s">
        <v>187</v>
      </c>
      <c r="G227">
        <v>1</v>
      </c>
      <c r="H227">
        <v>0</v>
      </c>
      <c r="I227">
        <v>3250</v>
      </c>
      <c r="J227">
        <v>2275</v>
      </c>
      <c r="K227">
        <v>0</v>
      </c>
      <c r="L227">
        <v>2324</v>
      </c>
      <c r="M227">
        <v>49</v>
      </c>
      <c r="N227" s="1" t="s">
        <v>72</v>
      </c>
      <c r="O227" s="2">
        <v>45955.980810185189</v>
      </c>
      <c r="P227" s="2"/>
      <c r="Q227" s="2"/>
      <c r="R227" s="1" t="s">
        <v>61</v>
      </c>
      <c r="S227" s="1" t="s">
        <v>60</v>
      </c>
      <c r="T227" s="2"/>
      <c r="U227" s="1" t="s">
        <v>772</v>
      </c>
      <c r="V227" s="1" t="s">
        <v>623</v>
      </c>
      <c r="W227" s="1" t="s">
        <v>61</v>
      </c>
      <c r="X227" s="1" t="s">
        <v>61</v>
      </c>
      <c r="Y227" s="1" t="s">
        <v>61</v>
      </c>
      <c r="Z227" s="1" t="s">
        <v>61</v>
      </c>
      <c r="AA227" s="1" t="s">
        <v>61</v>
      </c>
      <c r="AB227" s="1" t="s">
        <v>61</v>
      </c>
      <c r="AC227" s="1" t="s">
        <v>61</v>
      </c>
      <c r="AD227" s="2">
        <v>45955.983657407407</v>
      </c>
      <c r="AE227" s="1" t="s">
        <v>63</v>
      </c>
      <c r="AF227" s="1" t="s">
        <v>61</v>
      </c>
      <c r="AG227" s="1" t="s">
        <v>182</v>
      </c>
      <c r="AH227" s="1" t="s">
        <v>183</v>
      </c>
      <c r="AI227">
        <v>110085</v>
      </c>
      <c r="AJ227" s="1" t="s">
        <v>66</v>
      </c>
      <c r="AK227" s="1" t="s">
        <v>67</v>
      </c>
      <c r="AL227">
        <v>62044220</v>
      </c>
      <c r="AM227" s="2">
        <v>45955.983657407407</v>
      </c>
      <c r="AN227">
        <v>2275</v>
      </c>
      <c r="AO227" s="1" t="s">
        <v>61</v>
      </c>
      <c r="AP227" s="1" t="s">
        <v>564</v>
      </c>
      <c r="AQ227" s="1" t="s">
        <v>61</v>
      </c>
      <c r="AR227" s="1" t="s">
        <v>63</v>
      </c>
      <c r="AS227">
        <v>5</v>
      </c>
      <c r="AT227">
        <v>0</v>
      </c>
      <c r="AU227">
        <v>0</v>
      </c>
      <c r="AV227">
        <v>5</v>
      </c>
      <c r="AW227">
        <v>108.333</v>
      </c>
      <c r="AX227">
        <v>0</v>
      </c>
      <c r="AY227">
        <v>0</v>
      </c>
      <c r="AZ227">
        <v>108.333</v>
      </c>
      <c r="BA227" s="2"/>
      <c r="BC227" s="2">
        <v>45958.5</v>
      </c>
      <c r="BD227" s="27">
        <f>MarketPlace_Order_Report__2[[#This Row],[UnitPrice]]*MarketPlace_Order_Report__2[[#This Row],[OrderQty]]</f>
        <v>2275</v>
      </c>
      <c r="BE227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7" s="27">
        <f>MarketPlace_Order_Report__2[[#This Row],[Gross Amount (Before Tax)]]+MarketPlace_Order_Report__2[[#This Row],[Total GST Amount]]</f>
        <v>2383.3330000000001</v>
      </c>
    </row>
    <row r="228" spans="1:58">
      <c r="A228" s="1" t="s">
        <v>2101</v>
      </c>
      <c r="B228" s="1" t="s">
        <v>2102</v>
      </c>
      <c r="C228" s="1" t="s">
        <v>2103</v>
      </c>
      <c r="D228" s="1" t="s">
        <v>2104</v>
      </c>
      <c r="E228">
        <v>5</v>
      </c>
      <c r="F228" s="1" t="s">
        <v>71</v>
      </c>
      <c r="G228">
        <v>1</v>
      </c>
      <c r="H228">
        <v>1</v>
      </c>
      <c r="I228">
        <v>2800</v>
      </c>
      <c r="J228">
        <v>2240</v>
      </c>
      <c r="K228">
        <v>0</v>
      </c>
      <c r="L228">
        <v>2240</v>
      </c>
      <c r="M228">
        <v>0</v>
      </c>
      <c r="N228" s="1" t="s">
        <v>59</v>
      </c>
      <c r="O228" s="2">
        <v>45934.566446759258</v>
      </c>
      <c r="P228" s="2">
        <v>45936.641296296293</v>
      </c>
      <c r="Q228" s="2">
        <v>45940.452951388892</v>
      </c>
      <c r="R228" s="1" t="s">
        <v>2105</v>
      </c>
      <c r="S228" s="1" t="s">
        <v>73</v>
      </c>
      <c r="T228" s="2">
        <v>45934.839085648149</v>
      </c>
      <c r="U228" s="1" t="s">
        <v>61</v>
      </c>
      <c r="V228" s="1" t="s">
        <v>623</v>
      </c>
      <c r="W228" s="1" t="s">
        <v>61</v>
      </c>
      <c r="X228" s="1" t="s">
        <v>61</v>
      </c>
      <c r="Y228" s="1" t="s">
        <v>2106</v>
      </c>
      <c r="Z228" s="1" t="s">
        <v>74</v>
      </c>
      <c r="AA228" s="1" t="s">
        <v>75</v>
      </c>
      <c r="AB228" s="1" t="s">
        <v>61</v>
      </c>
      <c r="AC228" s="1" t="s">
        <v>61</v>
      </c>
      <c r="AD228" s="2">
        <v>45957.622395833336</v>
      </c>
      <c r="AE228" s="1" t="s">
        <v>63</v>
      </c>
      <c r="AF228" s="1" t="s">
        <v>61</v>
      </c>
      <c r="AG228" s="1" t="s">
        <v>124</v>
      </c>
      <c r="AH228" s="1" t="s">
        <v>99</v>
      </c>
      <c r="AI228">
        <v>122003</v>
      </c>
      <c r="AJ228" s="1" t="s">
        <v>66</v>
      </c>
      <c r="AK228" s="1" t="s">
        <v>67</v>
      </c>
      <c r="AL228">
        <v>62042300</v>
      </c>
      <c r="AM228" s="2"/>
      <c r="AN228">
        <v>2240</v>
      </c>
      <c r="AO228" s="1" t="s">
        <v>2107</v>
      </c>
      <c r="AP228" s="1" t="s">
        <v>61</v>
      </c>
      <c r="AQ228" s="1" t="s">
        <v>61</v>
      </c>
      <c r="AR228" s="1" t="s">
        <v>63</v>
      </c>
      <c r="AS228">
        <v>5</v>
      </c>
      <c r="AT228">
        <v>0</v>
      </c>
      <c r="AU228">
        <v>0</v>
      </c>
      <c r="AV228">
        <v>5</v>
      </c>
      <c r="AW228">
        <v>106.667</v>
      </c>
      <c r="AX228">
        <v>0</v>
      </c>
      <c r="AY228">
        <v>0</v>
      </c>
      <c r="AZ228">
        <v>106.667</v>
      </c>
      <c r="BA228" s="2"/>
      <c r="BB228">
        <v>0.75</v>
      </c>
      <c r="BC228" s="2">
        <v>45937.5</v>
      </c>
      <c r="BD228" s="27">
        <f>MarketPlace_Order_Report__2[[#This Row],[UnitPrice]]*MarketPlace_Order_Report__2[[#This Row],[OrderQty]]</f>
        <v>2240</v>
      </c>
      <c r="BE228" s="27">
        <f>IFERROR(MarketPlace_Order_Report__2[[#This Row],[CGSTAmount]]+MarketPlace_Order_Report__2[[#This Row],[SGSTAmount]]+MarketPlace_Order_Report__2[[#This Row],[IGSTAmount]],MarketPlace_Order_Report__2[[#This Row],[TaxAmount]])</f>
        <v>106.667</v>
      </c>
      <c r="BF228" s="27">
        <f>MarketPlace_Order_Report__2[[#This Row],[Gross Amount (Before Tax)]]+MarketPlace_Order_Report__2[[#This Row],[Total GST Amount]]</f>
        <v>2346.6669999999999</v>
      </c>
    </row>
    <row r="229" spans="1:58">
      <c r="A229" s="1" t="s">
        <v>2108</v>
      </c>
      <c r="B229" s="1" t="s">
        <v>2109</v>
      </c>
      <c r="C229" s="1" t="s">
        <v>749</v>
      </c>
      <c r="D229" s="1" t="s">
        <v>750</v>
      </c>
      <c r="E229">
        <v>6</v>
      </c>
      <c r="F229" s="1" t="s">
        <v>71</v>
      </c>
      <c r="G229">
        <v>1</v>
      </c>
      <c r="H229">
        <v>1</v>
      </c>
      <c r="I229">
        <v>2800</v>
      </c>
      <c r="J229">
        <v>2240</v>
      </c>
      <c r="K229">
        <v>0</v>
      </c>
      <c r="L229">
        <v>2242.9920000000002</v>
      </c>
      <c r="M229">
        <v>2.992</v>
      </c>
      <c r="N229" s="1" t="s">
        <v>59</v>
      </c>
      <c r="O229" s="2">
        <v>45949.293773148151</v>
      </c>
      <c r="P229" s="2">
        <v>45954.732164351852</v>
      </c>
      <c r="Q229" s="2">
        <v>45959.416296296295</v>
      </c>
      <c r="R229" s="1" t="s">
        <v>2110</v>
      </c>
      <c r="S229" s="1" t="s">
        <v>60</v>
      </c>
      <c r="T229" s="2">
        <v>45949.555543981478</v>
      </c>
      <c r="U229" s="1" t="s">
        <v>61</v>
      </c>
      <c r="V229" s="1" t="s">
        <v>623</v>
      </c>
      <c r="W229" s="1" t="s">
        <v>61</v>
      </c>
      <c r="X229" s="1" t="s">
        <v>61</v>
      </c>
      <c r="Y229" s="1" t="s">
        <v>2111</v>
      </c>
      <c r="Z229" s="1" t="s">
        <v>74</v>
      </c>
      <c r="AA229" s="1" t="s">
        <v>695</v>
      </c>
      <c r="AB229" s="1" t="s">
        <v>61</v>
      </c>
      <c r="AC229" s="1" t="s">
        <v>61</v>
      </c>
      <c r="AD229" s="2">
        <v>45961.490763888891</v>
      </c>
      <c r="AE229" s="1" t="s">
        <v>63</v>
      </c>
      <c r="AF229" s="1" t="s">
        <v>61</v>
      </c>
      <c r="AG229" s="1" t="s">
        <v>197</v>
      </c>
      <c r="AH229" s="1" t="s">
        <v>65</v>
      </c>
      <c r="AI229">
        <v>560100</v>
      </c>
      <c r="AJ229" s="1" t="s">
        <v>66</v>
      </c>
      <c r="AK229" s="1" t="s">
        <v>67</v>
      </c>
      <c r="AL229">
        <v>62042300</v>
      </c>
      <c r="AM229" s="2"/>
      <c r="AN229">
        <v>2240</v>
      </c>
      <c r="AO229" s="1" t="s">
        <v>2112</v>
      </c>
      <c r="AP229" s="1" t="s">
        <v>61</v>
      </c>
      <c r="AQ229" s="1" t="s">
        <v>61</v>
      </c>
      <c r="AR229" s="1" t="s">
        <v>63</v>
      </c>
      <c r="AS229">
        <v>5</v>
      </c>
      <c r="AT229">
        <v>0</v>
      </c>
      <c r="AU229">
        <v>0</v>
      </c>
      <c r="AV229">
        <v>5</v>
      </c>
      <c r="AW229">
        <v>106.667</v>
      </c>
      <c r="AX229">
        <v>0</v>
      </c>
      <c r="AY229">
        <v>0</v>
      </c>
      <c r="AZ229">
        <v>106.667</v>
      </c>
      <c r="BA229" s="2"/>
      <c r="BB229">
        <v>1</v>
      </c>
      <c r="BC229" s="2">
        <v>45951.5</v>
      </c>
      <c r="BD229" s="27">
        <f>MarketPlace_Order_Report__2[[#This Row],[UnitPrice]]*MarketPlace_Order_Report__2[[#This Row],[OrderQty]]</f>
        <v>2240</v>
      </c>
      <c r="BE229" s="27">
        <f>IFERROR(MarketPlace_Order_Report__2[[#This Row],[CGSTAmount]]+MarketPlace_Order_Report__2[[#This Row],[SGSTAmount]]+MarketPlace_Order_Report__2[[#This Row],[IGSTAmount]],MarketPlace_Order_Report__2[[#This Row],[TaxAmount]])</f>
        <v>106.667</v>
      </c>
      <c r="BF229" s="27">
        <f>MarketPlace_Order_Report__2[[#This Row],[Gross Amount (Before Tax)]]+MarketPlace_Order_Report__2[[#This Row],[Total GST Amount]]</f>
        <v>2346.6669999999999</v>
      </c>
    </row>
    <row r="230" spans="1:58">
      <c r="A230" s="1" t="s">
        <v>2113</v>
      </c>
      <c r="B230" s="1" t="s">
        <v>2114</v>
      </c>
      <c r="C230" s="1" t="s">
        <v>2115</v>
      </c>
      <c r="D230" s="1" t="s">
        <v>2116</v>
      </c>
      <c r="E230">
        <v>1</v>
      </c>
      <c r="F230" s="1" t="s">
        <v>58</v>
      </c>
      <c r="G230">
        <v>1</v>
      </c>
      <c r="H230">
        <v>1</v>
      </c>
      <c r="I230">
        <v>2800</v>
      </c>
      <c r="J230">
        <v>2240</v>
      </c>
      <c r="K230">
        <v>0</v>
      </c>
      <c r="L230">
        <v>2240</v>
      </c>
      <c r="M230">
        <v>0</v>
      </c>
      <c r="N230" s="1" t="s">
        <v>59</v>
      </c>
      <c r="O230" s="2">
        <v>45942.412743055553</v>
      </c>
      <c r="P230" s="2">
        <v>45943.762696759259</v>
      </c>
      <c r="Q230" s="2">
        <v>45948.580729166664</v>
      </c>
      <c r="R230" s="1" t="s">
        <v>2117</v>
      </c>
      <c r="S230" s="1" t="s">
        <v>351</v>
      </c>
      <c r="T230" s="2">
        <v>45942.661412037036</v>
      </c>
      <c r="U230" s="1" t="s">
        <v>61</v>
      </c>
      <c r="V230" s="1" t="s">
        <v>623</v>
      </c>
      <c r="W230" s="1" t="s">
        <v>61</v>
      </c>
      <c r="X230" s="1" t="s">
        <v>61</v>
      </c>
      <c r="Y230" s="1" t="s">
        <v>61</v>
      </c>
      <c r="Z230" s="1" t="s">
        <v>61</v>
      </c>
      <c r="AA230" s="1" t="s">
        <v>61</v>
      </c>
      <c r="AB230" s="1" t="s">
        <v>61</v>
      </c>
      <c r="AC230" s="1" t="s">
        <v>61</v>
      </c>
      <c r="AD230" s="2">
        <v>45948.584374999999</v>
      </c>
      <c r="AE230" s="1" t="s">
        <v>63</v>
      </c>
      <c r="AF230" s="1" t="s">
        <v>61</v>
      </c>
      <c r="AG230" s="1" t="s">
        <v>2118</v>
      </c>
      <c r="AH230" s="1" t="s">
        <v>318</v>
      </c>
      <c r="AI230">
        <v>445001</v>
      </c>
      <c r="AJ230" s="1" t="s">
        <v>66</v>
      </c>
      <c r="AK230" s="1" t="s">
        <v>67</v>
      </c>
      <c r="AL230">
        <v>62042300</v>
      </c>
      <c r="AM230" s="2"/>
      <c r="AN230">
        <v>2240</v>
      </c>
      <c r="AO230" s="1" t="s">
        <v>2119</v>
      </c>
      <c r="AP230" s="1" t="s">
        <v>650</v>
      </c>
      <c r="AQ230" s="1" t="s">
        <v>61</v>
      </c>
      <c r="AR230" s="1" t="s">
        <v>63</v>
      </c>
      <c r="AS230">
        <v>5</v>
      </c>
      <c r="AT230">
        <v>2.5</v>
      </c>
      <c r="AU230">
        <v>2.5</v>
      </c>
      <c r="AV230">
        <v>0</v>
      </c>
      <c r="AW230">
        <v>106.667</v>
      </c>
      <c r="AX230">
        <v>53.334000000000003</v>
      </c>
      <c r="AY230">
        <v>53.334000000000003</v>
      </c>
      <c r="AZ230">
        <v>0</v>
      </c>
      <c r="BA230" s="2"/>
      <c r="BB230">
        <v>0.75</v>
      </c>
      <c r="BC230" s="2">
        <v>45944.5</v>
      </c>
      <c r="BD230" s="27">
        <f>MarketPlace_Order_Report__2[[#This Row],[UnitPrice]]*MarketPlace_Order_Report__2[[#This Row],[OrderQty]]</f>
        <v>2240</v>
      </c>
      <c r="BE230" s="27">
        <f>IFERROR(MarketPlace_Order_Report__2[[#This Row],[CGSTAmount]]+MarketPlace_Order_Report__2[[#This Row],[SGSTAmount]]+MarketPlace_Order_Report__2[[#This Row],[IGSTAmount]],MarketPlace_Order_Report__2[[#This Row],[TaxAmount]])</f>
        <v>106.66800000000001</v>
      </c>
      <c r="BF230" s="27">
        <f>MarketPlace_Order_Report__2[[#This Row],[Gross Amount (Before Tax)]]+MarketPlace_Order_Report__2[[#This Row],[Total GST Amount]]</f>
        <v>2346.6680000000001</v>
      </c>
    </row>
    <row r="231" spans="1:58">
      <c r="A231" s="1" t="s">
        <v>2120</v>
      </c>
      <c r="B231" s="1" t="s">
        <v>2121</v>
      </c>
      <c r="C231" s="1" t="s">
        <v>757</v>
      </c>
      <c r="D231" s="1" t="s">
        <v>758</v>
      </c>
      <c r="E231">
        <v>1</v>
      </c>
      <c r="F231" s="1" t="s">
        <v>1076</v>
      </c>
      <c r="G231">
        <v>1</v>
      </c>
      <c r="H231">
        <v>1</v>
      </c>
      <c r="I231">
        <v>2800</v>
      </c>
      <c r="J231">
        <v>2240</v>
      </c>
      <c r="K231">
        <v>0</v>
      </c>
      <c r="L231">
        <v>2289</v>
      </c>
      <c r="M231">
        <v>49</v>
      </c>
      <c r="N231" s="1" t="s">
        <v>72</v>
      </c>
      <c r="O231" s="2">
        <v>45933.392696759256</v>
      </c>
      <c r="P231" s="2">
        <v>45934.620092592595</v>
      </c>
      <c r="Q231" s="2"/>
      <c r="R231" s="1" t="s">
        <v>2122</v>
      </c>
      <c r="S231" s="1" t="s">
        <v>73</v>
      </c>
      <c r="T231" s="2">
        <v>45933.815833333334</v>
      </c>
      <c r="U231" s="1" t="s">
        <v>61</v>
      </c>
      <c r="V231" s="1" t="s">
        <v>623</v>
      </c>
      <c r="W231" s="1" t="s">
        <v>61</v>
      </c>
      <c r="X231" s="1" t="s">
        <v>61</v>
      </c>
      <c r="Y231" s="1" t="s">
        <v>61</v>
      </c>
      <c r="Z231" s="1" t="s">
        <v>61</v>
      </c>
      <c r="AA231" s="1" t="s">
        <v>61</v>
      </c>
      <c r="AB231" s="1" t="s">
        <v>61</v>
      </c>
      <c r="AC231" s="1" t="s">
        <v>61</v>
      </c>
      <c r="AD231" s="2">
        <v>45948.042546296296</v>
      </c>
      <c r="AE231" s="1" t="s">
        <v>63</v>
      </c>
      <c r="AF231" s="1" t="s">
        <v>61</v>
      </c>
      <c r="AG231" s="1" t="s">
        <v>324</v>
      </c>
      <c r="AH231" s="1" t="s">
        <v>318</v>
      </c>
      <c r="AI231">
        <v>411014</v>
      </c>
      <c r="AJ231" s="1" t="s">
        <v>66</v>
      </c>
      <c r="AK231" s="1" t="s">
        <v>67</v>
      </c>
      <c r="AL231">
        <v>62042300</v>
      </c>
      <c r="AM231" s="2"/>
      <c r="AN231">
        <v>2240</v>
      </c>
      <c r="AO231" s="1" t="s">
        <v>2123</v>
      </c>
      <c r="AP231" s="1" t="s">
        <v>125</v>
      </c>
      <c r="AQ231" s="1" t="s">
        <v>61</v>
      </c>
      <c r="AR231" s="1" t="s">
        <v>63</v>
      </c>
      <c r="AS231">
        <v>5</v>
      </c>
      <c r="AT231">
        <v>2.5</v>
      </c>
      <c r="AU231">
        <v>2.5</v>
      </c>
      <c r="AV231">
        <v>0</v>
      </c>
      <c r="AW231">
        <v>106.667</v>
      </c>
      <c r="AX231">
        <v>53.334000000000003</v>
      </c>
      <c r="AY231">
        <v>53.334000000000003</v>
      </c>
      <c r="AZ231">
        <v>0</v>
      </c>
      <c r="BA231" s="2"/>
      <c r="BB231">
        <v>0.75</v>
      </c>
      <c r="BC231" s="2">
        <v>45935.5</v>
      </c>
      <c r="BD231" s="27">
        <f>MarketPlace_Order_Report__2[[#This Row],[UnitPrice]]*MarketPlace_Order_Report__2[[#This Row],[OrderQty]]</f>
        <v>2240</v>
      </c>
      <c r="BE231" s="27">
        <f>IFERROR(MarketPlace_Order_Report__2[[#This Row],[CGSTAmount]]+MarketPlace_Order_Report__2[[#This Row],[SGSTAmount]]+MarketPlace_Order_Report__2[[#This Row],[IGSTAmount]],MarketPlace_Order_Report__2[[#This Row],[TaxAmount]])</f>
        <v>106.66800000000001</v>
      </c>
      <c r="BF231" s="27">
        <f>MarketPlace_Order_Report__2[[#This Row],[Gross Amount (Before Tax)]]+MarketPlace_Order_Report__2[[#This Row],[Total GST Amount]]</f>
        <v>2346.6680000000001</v>
      </c>
    </row>
    <row r="232" spans="1:58">
      <c r="A232" s="1" t="s">
        <v>2124</v>
      </c>
      <c r="B232" s="1" t="s">
        <v>2125</v>
      </c>
      <c r="C232" s="1" t="s">
        <v>2126</v>
      </c>
      <c r="D232" s="1" t="s">
        <v>2127</v>
      </c>
      <c r="E232">
        <v>1</v>
      </c>
      <c r="F232" s="1" t="s">
        <v>58</v>
      </c>
      <c r="G232">
        <v>1</v>
      </c>
      <c r="H232">
        <v>1</v>
      </c>
      <c r="I232">
        <v>3000</v>
      </c>
      <c r="J232">
        <v>2100</v>
      </c>
      <c r="K232">
        <v>0</v>
      </c>
      <c r="L232">
        <v>2129</v>
      </c>
      <c r="M232">
        <v>29</v>
      </c>
      <c r="N232" s="1" t="s">
        <v>59</v>
      </c>
      <c r="O232" s="2">
        <v>45942.405543981484</v>
      </c>
      <c r="P232" s="2">
        <v>45943.762557870374</v>
      </c>
      <c r="Q232" s="2">
        <v>45948.731620370374</v>
      </c>
      <c r="R232" s="1" t="s">
        <v>2128</v>
      </c>
      <c r="S232" s="1" t="s">
        <v>60</v>
      </c>
      <c r="T232" s="2">
        <v>45942.661412037036</v>
      </c>
      <c r="U232" s="1" t="s">
        <v>61</v>
      </c>
      <c r="V232" s="1" t="s">
        <v>623</v>
      </c>
      <c r="W232" s="1" t="s">
        <v>61</v>
      </c>
      <c r="X232" s="1" t="s">
        <v>61</v>
      </c>
      <c r="Y232" s="1" t="s">
        <v>61</v>
      </c>
      <c r="Z232" s="1" t="s">
        <v>61</v>
      </c>
      <c r="AA232" s="1" t="s">
        <v>61</v>
      </c>
      <c r="AB232" s="1" t="s">
        <v>61</v>
      </c>
      <c r="AC232" s="1" t="s">
        <v>61</v>
      </c>
      <c r="AD232" s="2">
        <v>45948.733541666668</v>
      </c>
      <c r="AE232" s="1" t="s">
        <v>63</v>
      </c>
      <c r="AF232" s="1" t="s">
        <v>61</v>
      </c>
      <c r="AG232" s="1" t="s">
        <v>2129</v>
      </c>
      <c r="AH232" s="1" t="s">
        <v>120</v>
      </c>
      <c r="AI232">
        <v>325004</v>
      </c>
      <c r="AJ232" s="1" t="s">
        <v>66</v>
      </c>
      <c r="AK232" s="1" t="s">
        <v>67</v>
      </c>
      <c r="AL232">
        <v>62042300</v>
      </c>
      <c r="AM232" s="2"/>
      <c r="AN232">
        <v>2100</v>
      </c>
      <c r="AO232" s="1" t="s">
        <v>2130</v>
      </c>
      <c r="AP232" s="1" t="s">
        <v>650</v>
      </c>
      <c r="AQ232" s="1" t="s">
        <v>61</v>
      </c>
      <c r="AR232" s="1" t="s">
        <v>63</v>
      </c>
      <c r="AS232">
        <v>5</v>
      </c>
      <c r="AT232">
        <v>0</v>
      </c>
      <c r="AU232">
        <v>0</v>
      </c>
      <c r="AV232">
        <v>5</v>
      </c>
      <c r="AW232">
        <v>100</v>
      </c>
      <c r="AX232">
        <v>0</v>
      </c>
      <c r="AY232">
        <v>0</v>
      </c>
      <c r="AZ232">
        <v>100</v>
      </c>
      <c r="BA232" s="2"/>
      <c r="BB232">
        <v>0.75</v>
      </c>
      <c r="BC232" s="2">
        <v>45944.5</v>
      </c>
      <c r="BD232" s="27">
        <f>MarketPlace_Order_Report__2[[#This Row],[UnitPrice]]*MarketPlace_Order_Report__2[[#This Row],[OrderQty]]</f>
        <v>2100</v>
      </c>
      <c r="BE232" s="27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32" s="27">
        <f>MarketPlace_Order_Report__2[[#This Row],[Gross Amount (Before Tax)]]+MarketPlace_Order_Report__2[[#This Row],[Total GST Amount]]</f>
        <v>2200</v>
      </c>
    </row>
    <row r="233" spans="1:58">
      <c r="A233" s="1" t="s">
        <v>2131</v>
      </c>
      <c r="B233" s="1" t="s">
        <v>2132</v>
      </c>
      <c r="C233" s="1" t="s">
        <v>2133</v>
      </c>
      <c r="D233" s="1" t="s">
        <v>2134</v>
      </c>
      <c r="E233">
        <v>1</v>
      </c>
      <c r="F233" s="1" t="s">
        <v>58</v>
      </c>
      <c r="G233">
        <v>1</v>
      </c>
      <c r="H233">
        <v>1</v>
      </c>
      <c r="I233">
        <v>3000</v>
      </c>
      <c r="J233">
        <v>2100</v>
      </c>
      <c r="K233">
        <v>0</v>
      </c>
      <c r="L233">
        <v>2149</v>
      </c>
      <c r="M233">
        <v>49</v>
      </c>
      <c r="N233" s="1" t="s">
        <v>72</v>
      </c>
      <c r="O233" s="2">
        <v>45953.874374999999</v>
      </c>
      <c r="P233" s="2">
        <v>45954.731261574074</v>
      </c>
      <c r="Q233" s="2">
        <v>45956.51152777778</v>
      </c>
      <c r="R233" s="1" t="s">
        <v>2135</v>
      </c>
      <c r="S233" s="1" t="s">
        <v>60</v>
      </c>
      <c r="T233" s="2">
        <v>45954.500509259262</v>
      </c>
      <c r="U233" s="1" t="s">
        <v>61</v>
      </c>
      <c r="V233" s="1" t="s">
        <v>623</v>
      </c>
      <c r="W233" s="1" t="s">
        <v>61</v>
      </c>
      <c r="X233" s="1" t="s">
        <v>61</v>
      </c>
      <c r="Y233" s="1" t="s">
        <v>61</v>
      </c>
      <c r="Z233" s="1" t="s">
        <v>61</v>
      </c>
      <c r="AA233" s="1" t="s">
        <v>61</v>
      </c>
      <c r="AB233" s="1" t="s">
        <v>61</v>
      </c>
      <c r="AC233" s="1" t="s">
        <v>61</v>
      </c>
      <c r="AD233" s="2">
        <v>45956.514884259261</v>
      </c>
      <c r="AE233" s="1" t="s">
        <v>63</v>
      </c>
      <c r="AF233" s="1" t="s">
        <v>61</v>
      </c>
      <c r="AG233" s="1" t="s">
        <v>2136</v>
      </c>
      <c r="AH233" s="1" t="s">
        <v>236</v>
      </c>
      <c r="AI233">
        <v>530007</v>
      </c>
      <c r="AJ233" s="1" t="s">
        <v>66</v>
      </c>
      <c r="AK233" s="1" t="s">
        <v>67</v>
      </c>
      <c r="AL233">
        <v>62042300</v>
      </c>
      <c r="AM233" s="2"/>
      <c r="AN233">
        <v>2100</v>
      </c>
      <c r="AO233" s="1" t="s">
        <v>2137</v>
      </c>
      <c r="AP233" s="1" t="s">
        <v>61</v>
      </c>
      <c r="AQ233" s="1" t="s">
        <v>61</v>
      </c>
      <c r="AR233" s="1" t="s">
        <v>63</v>
      </c>
      <c r="AS233">
        <v>5</v>
      </c>
      <c r="AT233">
        <v>0</v>
      </c>
      <c r="AU233">
        <v>0</v>
      </c>
      <c r="AV233">
        <v>5</v>
      </c>
      <c r="AW233">
        <v>100</v>
      </c>
      <c r="AX233">
        <v>0</v>
      </c>
      <c r="AY233">
        <v>0</v>
      </c>
      <c r="AZ233">
        <v>100</v>
      </c>
      <c r="BA233" s="2"/>
      <c r="BB233">
        <v>0.75</v>
      </c>
      <c r="BC233" s="2">
        <v>45956.5</v>
      </c>
      <c r="BD233" s="27">
        <f>MarketPlace_Order_Report__2[[#This Row],[UnitPrice]]*MarketPlace_Order_Report__2[[#This Row],[OrderQty]]</f>
        <v>2100</v>
      </c>
      <c r="BE233" s="27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33" s="27">
        <f>MarketPlace_Order_Report__2[[#This Row],[Gross Amount (Before Tax)]]+MarketPlace_Order_Report__2[[#This Row],[Total GST Amount]]</f>
        <v>2200</v>
      </c>
    </row>
    <row r="234" spans="1:58">
      <c r="A234" s="1" t="s">
        <v>2138</v>
      </c>
      <c r="B234" s="1" t="s">
        <v>2139</v>
      </c>
      <c r="C234" s="1" t="s">
        <v>2140</v>
      </c>
      <c r="D234" s="1" t="s">
        <v>2141</v>
      </c>
      <c r="E234">
        <v>1</v>
      </c>
      <c r="F234" s="1" t="s">
        <v>58</v>
      </c>
      <c r="G234">
        <v>1</v>
      </c>
      <c r="H234">
        <v>1</v>
      </c>
      <c r="I234">
        <v>3250</v>
      </c>
      <c r="J234">
        <v>2275</v>
      </c>
      <c r="K234">
        <v>0</v>
      </c>
      <c r="L234">
        <v>2275</v>
      </c>
      <c r="M234">
        <v>0</v>
      </c>
      <c r="N234" s="1" t="s">
        <v>59</v>
      </c>
      <c r="O234" s="2">
        <v>45954.440509259257</v>
      </c>
      <c r="P234" s="2">
        <v>45954.762499999997</v>
      </c>
      <c r="Q234" s="2">
        <v>45956.581944444442</v>
      </c>
      <c r="R234" s="1" t="s">
        <v>2142</v>
      </c>
      <c r="S234" s="1" t="s">
        <v>988</v>
      </c>
      <c r="T234" s="2">
        <v>45954.500509259262</v>
      </c>
      <c r="U234" s="1" t="s">
        <v>61</v>
      </c>
      <c r="V234" s="1" t="s">
        <v>623</v>
      </c>
      <c r="W234" s="1" t="s">
        <v>61</v>
      </c>
      <c r="X234" s="1" t="s">
        <v>61</v>
      </c>
      <c r="Y234" s="1" t="s">
        <v>61</v>
      </c>
      <c r="Z234" s="1" t="s">
        <v>61</v>
      </c>
      <c r="AA234" s="1" t="s">
        <v>61</v>
      </c>
      <c r="AB234" s="1" t="s">
        <v>61</v>
      </c>
      <c r="AC234" s="1" t="s">
        <v>61</v>
      </c>
      <c r="AD234" s="2">
        <v>45956.879270833335</v>
      </c>
      <c r="AE234" s="1" t="s">
        <v>63</v>
      </c>
      <c r="AF234" s="1" t="s">
        <v>61</v>
      </c>
      <c r="AG234" s="1" t="s">
        <v>324</v>
      </c>
      <c r="AH234" s="1" t="s">
        <v>318</v>
      </c>
      <c r="AI234">
        <v>411001</v>
      </c>
      <c r="AJ234" s="1" t="s">
        <v>66</v>
      </c>
      <c r="AK234" s="1" t="s">
        <v>67</v>
      </c>
      <c r="AL234">
        <v>62044220</v>
      </c>
      <c r="AM234" s="2"/>
      <c r="AN234">
        <v>2275</v>
      </c>
      <c r="AO234" s="1" t="s">
        <v>2143</v>
      </c>
      <c r="AP234" s="1" t="s">
        <v>381</v>
      </c>
      <c r="AQ234" s="1" t="s">
        <v>61</v>
      </c>
      <c r="AR234" s="1" t="s">
        <v>63</v>
      </c>
      <c r="AS234">
        <v>5</v>
      </c>
      <c r="AT234">
        <v>2.5</v>
      </c>
      <c r="AU234">
        <v>2.5</v>
      </c>
      <c r="AV234">
        <v>0</v>
      </c>
      <c r="AW234">
        <v>108.333</v>
      </c>
      <c r="AX234">
        <v>54.167000000000002</v>
      </c>
      <c r="AY234">
        <v>54.167000000000002</v>
      </c>
      <c r="AZ234">
        <v>0</v>
      </c>
      <c r="BA234" s="2"/>
      <c r="BB234">
        <v>0.75</v>
      </c>
      <c r="BC234" s="2">
        <v>45956.5</v>
      </c>
      <c r="BD234" s="27">
        <f>MarketPlace_Order_Report__2[[#This Row],[UnitPrice]]*MarketPlace_Order_Report__2[[#This Row],[OrderQty]]</f>
        <v>2275</v>
      </c>
      <c r="BE234" s="27">
        <f>IFERROR(MarketPlace_Order_Report__2[[#This Row],[CGSTAmount]]+MarketPlace_Order_Report__2[[#This Row],[SGSTAmount]]+MarketPlace_Order_Report__2[[#This Row],[IGSTAmount]],MarketPlace_Order_Report__2[[#This Row],[TaxAmount]])</f>
        <v>108.334</v>
      </c>
      <c r="BF234" s="27">
        <f>MarketPlace_Order_Report__2[[#This Row],[Gross Amount (Before Tax)]]+MarketPlace_Order_Report__2[[#This Row],[Total GST Amount]]</f>
        <v>2383.3339999999998</v>
      </c>
    </row>
    <row r="235" spans="1:58">
      <c r="A235" s="1" t="s">
        <v>2144</v>
      </c>
      <c r="B235" s="1" t="s">
        <v>2145</v>
      </c>
      <c r="C235" s="1" t="s">
        <v>2140</v>
      </c>
      <c r="D235" s="1" t="s">
        <v>2141</v>
      </c>
      <c r="E235">
        <v>1</v>
      </c>
      <c r="F235" s="1" t="s">
        <v>102</v>
      </c>
      <c r="G235">
        <v>1</v>
      </c>
      <c r="H235">
        <v>1</v>
      </c>
      <c r="I235">
        <v>3250</v>
      </c>
      <c r="J235">
        <v>2275</v>
      </c>
      <c r="K235">
        <v>0</v>
      </c>
      <c r="L235">
        <v>2295</v>
      </c>
      <c r="M235">
        <v>20</v>
      </c>
      <c r="N235" s="1" t="s">
        <v>72</v>
      </c>
      <c r="O235" s="2">
        <v>45937.352164351854</v>
      </c>
      <c r="P235" s="2">
        <v>45938.718287037038</v>
      </c>
      <c r="Q235" s="2"/>
      <c r="R235" s="1" t="s">
        <v>2146</v>
      </c>
      <c r="S235" s="1" t="s">
        <v>60</v>
      </c>
      <c r="T235" s="2">
        <v>45937.717673611114</v>
      </c>
      <c r="U235" s="1" t="s">
        <v>61</v>
      </c>
      <c r="V235" s="1" t="s">
        <v>623</v>
      </c>
      <c r="W235" s="1" t="s">
        <v>61</v>
      </c>
      <c r="X235" s="1" t="s">
        <v>61</v>
      </c>
      <c r="Y235" s="1" t="s">
        <v>2147</v>
      </c>
      <c r="Z235" s="1" t="s">
        <v>103</v>
      </c>
      <c r="AA235" s="1" t="s">
        <v>75</v>
      </c>
      <c r="AB235" s="1" t="s">
        <v>61</v>
      </c>
      <c r="AC235" s="1" t="s">
        <v>61</v>
      </c>
      <c r="AD235" s="2">
        <v>45955.879201388889</v>
      </c>
      <c r="AE235" s="1" t="s">
        <v>63</v>
      </c>
      <c r="AF235" s="1" t="s">
        <v>61</v>
      </c>
      <c r="AG235" s="1" t="s">
        <v>2148</v>
      </c>
      <c r="AH235" s="1" t="s">
        <v>215</v>
      </c>
      <c r="AI235">
        <v>759122</v>
      </c>
      <c r="AJ235" s="1" t="s">
        <v>66</v>
      </c>
      <c r="AK235" s="1" t="s">
        <v>67</v>
      </c>
      <c r="AL235">
        <v>62044220</v>
      </c>
      <c r="AM235" s="2"/>
      <c r="AN235">
        <v>2275</v>
      </c>
      <c r="AO235" s="1" t="s">
        <v>2149</v>
      </c>
      <c r="AP235" s="1" t="s">
        <v>937</v>
      </c>
      <c r="AQ235" s="1" t="s">
        <v>61</v>
      </c>
      <c r="AR235" s="1" t="s">
        <v>63</v>
      </c>
      <c r="AS235">
        <v>5</v>
      </c>
      <c r="AT235">
        <v>0</v>
      </c>
      <c r="AU235">
        <v>0</v>
      </c>
      <c r="AV235">
        <v>5</v>
      </c>
      <c r="AW235">
        <v>108.333</v>
      </c>
      <c r="AX235">
        <v>0</v>
      </c>
      <c r="AY235">
        <v>0</v>
      </c>
      <c r="AZ235">
        <v>108.333</v>
      </c>
      <c r="BA235" s="2"/>
      <c r="BB235">
        <v>0.75</v>
      </c>
      <c r="BC235" s="2">
        <v>45939.5</v>
      </c>
      <c r="BD235" s="27">
        <f>MarketPlace_Order_Report__2[[#This Row],[UnitPrice]]*MarketPlace_Order_Report__2[[#This Row],[OrderQty]]</f>
        <v>2275</v>
      </c>
      <c r="BE235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35" s="27">
        <f>MarketPlace_Order_Report__2[[#This Row],[Gross Amount (Before Tax)]]+MarketPlace_Order_Report__2[[#This Row],[Total GST Amount]]</f>
        <v>2383.3330000000001</v>
      </c>
    </row>
    <row r="236" spans="1:58">
      <c r="A236" s="1" t="s">
        <v>2150</v>
      </c>
      <c r="B236" s="1" t="s">
        <v>2151</v>
      </c>
      <c r="C236" s="1" t="s">
        <v>2152</v>
      </c>
      <c r="D236" s="1" t="s">
        <v>2153</v>
      </c>
      <c r="E236">
        <v>1</v>
      </c>
      <c r="F236" s="1" t="s">
        <v>71</v>
      </c>
      <c r="G236">
        <v>1</v>
      </c>
      <c r="H236">
        <v>1</v>
      </c>
      <c r="I236">
        <v>3000</v>
      </c>
      <c r="J236">
        <v>2100</v>
      </c>
      <c r="K236">
        <v>0</v>
      </c>
      <c r="L236">
        <v>2149</v>
      </c>
      <c r="M236">
        <v>49</v>
      </c>
      <c r="N236" s="1" t="s">
        <v>72</v>
      </c>
      <c r="O236" s="2">
        <v>45936.992349537039</v>
      </c>
      <c r="P236" s="2">
        <v>45938.718414351853</v>
      </c>
      <c r="Q236" s="2">
        <v>45944.456678240742</v>
      </c>
      <c r="R236" s="1" t="s">
        <v>2154</v>
      </c>
      <c r="S236" s="1" t="s">
        <v>60</v>
      </c>
      <c r="T236" s="2">
        <v>45937.717673611114</v>
      </c>
      <c r="U236" s="1" t="s">
        <v>61</v>
      </c>
      <c r="V236" s="1" t="s">
        <v>623</v>
      </c>
      <c r="W236" s="1" t="s">
        <v>61</v>
      </c>
      <c r="X236" s="1" t="s">
        <v>61</v>
      </c>
      <c r="Y236" s="1" t="s">
        <v>2155</v>
      </c>
      <c r="Z236" s="1" t="s">
        <v>74</v>
      </c>
      <c r="AA236" s="1" t="s">
        <v>75</v>
      </c>
      <c r="AB236" s="1" t="s">
        <v>61</v>
      </c>
      <c r="AC236" s="1" t="s">
        <v>61</v>
      </c>
      <c r="AD236" s="2">
        <v>45960.136446759258</v>
      </c>
      <c r="AE236" s="1" t="s">
        <v>63</v>
      </c>
      <c r="AF236" s="1" t="s">
        <v>61</v>
      </c>
      <c r="AG236" s="1" t="s">
        <v>2156</v>
      </c>
      <c r="AH236" s="1" t="s">
        <v>77</v>
      </c>
      <c r="AI236">
        <v>242221</v>
      </c>
      <c r="AJ236" s="1" t="s">
        <v>66</v>
      </c>
      <c r="AK236" s="1" t="s">
        <v>67</v>
      </c>
      <c r="AL236">
        <v>62044220</v>
      </c>
      <c r="AM236" s="2"/>
      <c r="AN236">
        <v>2100</v>
      </c>
      <c r="AO236" s="1" t="s">
        <v>2157</v>
      </c>
      <c r="AP236" s="1" t="s">
        <v>78</v>
      </c>
      <c r="AQ236" s="1" t="s">
        <v>61</v>
      </c>
      <c r="AR236" s="1" t="s">
        <v>63</v>
      </c>
      <c r="AS236">
        <v>5</v>
      </c>
      <c r="AT236">
        <v>0</v>
      </c>
      <c r="AU236">
        <v>0</v>
      </c>
      <c r="AV236">
        <v>5</v>
      </c>
      <c r="AW236">
        <v>100</v>
      </c>
      <c r="AX236">
        <v>0</v>
      </c>
      <c r="AY236">
        <v>0</v>
      </c>
      <c r="AZ236">
        <v>100</v>
      </c>
      <c r="BA236" s="2"/>
      <c r="BB236">
        <v>0.85</v>
      </c>
      <c r="BC236" s="2">
        <v>45939.5</v>
      </c>
      <c r="BD236" s="27">
        <f>MarketPlace_Order_Report__2[[#This Row],[UnitPrice]]*MarketPlace_Order_Report__2[[#This Row],[OrderQty]]</f>
        <v>2100</v>
      </c>
      <c r="BE236" s="27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36" s="27">
        <f>MarketPlace_Order_Report__2[[#This Row],[Gross Amount (Before Tax)]]+MarketPlace_Order_Report__2[[#This Row],[Total GST Amount]]</f>
        <v>2200</v>
      </c>
    </row>
    <row r="237" spans="1:58">
      <c r="A237" s="1" t="s">
        <v>1967</v>
      </c>
      <c r="B237" s="1" t="s">
        <v>1968</v>
      </c>
      <c r="C237" s="1" t="s">
        <v>2158</v>
      </c>
      <c r="D237" s="1" t="s">
        <v>2159</v>
      </c>
      <c r="E237">
        <v>4</v>
      </c>
      <c r="F237" s="1" t="s">
        <v>58</v>
      </c>
      <c r="G237">
        <v>1</v>
      </c>
      <c r="H237">
        <v>1</v>
      </c>
      <c r="I237">
        <v>3000</v>
      </c>
      <c r="J237">
        <v>2100</v>
      </c>
      <c r="K237">
        <v>0</v>
      </c>
      <c r="L237">
        <v>2106.799</v>
      </c>
      <c r="M237">
        <v>6.7990000000000004</v>
      </c>
      <c r="N237" s="1" t="s">
        <v>59</v>
      </c>
      <c r="O237" s="2">
        <v>45944.980706018519</v>
      </c>
      <c r="P237" s="2">
        <v>45946.732488425929</v>
      </c>
      <c r="Q237" s="2">
        <v>45950.417916666665</v>
      </c>
      <c r="R237" s="1" t="s">
        <v>1971</v>
      </c>
      <c r="S237" s="1" t="s">
        <v>60</v>
      </c>
      <c r="T237" s="2">
        <v>45945.799224537041</v>
      </c>
      <c r="U237" s="1" t="s">
        <v>61</v>
      </c>
      <c r="V237" s="1" t="s">
        <v>623</v>
      </c>
      <c r="W237" s="1" t="s">
        <v>61</v>
      </c>
      <c r="X237" s="1" t="s">
        <v>61</v>
      </c>
      <c r="Y237" s="1" t="s">
        <v>61</v>
      </c>
      <c r="Z237" s="1" t="s">
        <v>61</v>
      </c>
      <c r="AA237" s="1" t="s">
        <v>61</v>
      </c>
      <c r="AB237" s="1" t="s">
        <v>61</v>
      </c>
      <c r="AC237" s="1" t="s">
        <v>61</v>
      </c>
      <c r="AD237" s="2">
        <v>45950.421030092592</v>
      </c>
      <c r="AE237" s="1" t="s">
        <v>63</v>
      </c>
      <c r="AF237" s="1" t="s">
        <v>61</v>
      </c>
      <c r="AG237" s="1" t="s">
        <v>979</v>
      </c>
      <c r="AH237" s="1" t="s">
        <v>77</v>
      </c>
      <c r="AI237">
        <v>211013</v>
      </c>
      <c r="AJ237" s="1" t="s">
        <v>66</v>
      </c>
      <c r="AK237" s="1" t="s">
        <v>67</v>
      </c>
      <c r="AL237">
        <v>62044220</v>
      </c>
      <c r="AM237" s="2"/>
      <c r="AN237">
        <v>2100</v>
      </c>
      <c r="AO237" s="1" t="s">
        <v>1972</v>
      </c>
      <c r="AP237" s="1" t="s">
        <v>1156</v>
      </c>
      <c r="AQ237" s="1" t="s">
        <v>61</v>
      </c>
      <c r="AR237" s="1" t="s">
        <v>63</v>
      </c>
      <c r="AS237">
        <v>5</v>
      </c>
      <c r="AT237">
        <v>0</v>
      </c>
      <c r="AU237">
        <v>0</v>
      </c>
      <c r="AV237">
        <v>5</v>
      </c>
      <c r="AW237">
        <v>100</v>
      </c>
      <c r="AX237">
        <v>0</v>
      </c>
      <c r="AY237">
        <v>0</v>
      </c>
      <c r="AZ237">
        <v>100</v>
      </c>
      <c r="BA237" s="2"/>
      <c r="BB237">
        <v>1.35</v>
      </c>
      <c r="BC237" s="2">
        <v>45947.5</v>
      </c>
      <c r="BD237" s="27">
        <f>MarketPlace_Order_Report__2[[#This Row],[UnitPrice]]*MarketPlace_Order_Report__2[[#This Row],[OrderQty]]</f>
        <v>2100</v>
      </c>
      <c r="BE237" s="27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37" s="27">
        <f>MarketPlace_Order_Report__2[[#This Row],[Gross Amount (Before Tax)]]+MarketPlace_Order_Report__2[[#This Row],[Total GST Amount]]</f>
        <v>2200</v>
      </c>
    </row>
    <row r="238" spans="1:58">
      <c r="A238" s="1" t="s">
        <v>2108</v>
      </c>
      <c r="B238" s="1" t="s">
        <v>2109</v>
      </c>
      <c r="C238" s="1" t="s">
        <v>2160</v>
      </c>
      <c r="D238" s="1" t="s">
        <v>2161</v>
      </c>
      <c r="E238">
        <v>7</v>
      </c>
      <c r="F238" s="1" t="s">
        <v>71</v>
      </c>
      <c r="G238">
        <v>1</v>
      </c>
      <c r="H238">
        <v>1</v>
      </c>
      <c r="I238">
        <v>3250</v>
      </c>
      <c r="J238">
        <v>2275</v>
      </c>
      <c r="K238">
        <v>0</v>
      </c>
      <c r="L238">
        <v>2278.038</v>
      </c>
      <c r="M238">
        <v>3.0379999999999998</v>
      </c>
      <c r="N238" s="1" t="s">
        <v>59</v>
      </c>
      <c r="O238" s="2">
        <v>45949.293773148151</v>
      </c>
      <c r="P238" s="2">
        <v>45954.732164351852</v>
      </c>
      <c r="Q238" s="2">
        <v>45959.416296296295</v>
      </c>
      <c r="R238" s="1" t="s">
        <v>2110</v>
      </c>
      <c r="S238" s="1" t="s">
        <v>60</v>
      </c>
      <c r="T238" s="2">
        <v>45949.555543981478</v>
      </c>
      <c r="U238" s="1" t="s">
        <v>61</v>
      </c>
      <c r="V238" s="1" t="s">
        <v>623</v>
      </c>
      <c r="W238" s="1" t="s">
        <v>61</v>
      </c>
      <c r="X238" s="1" t="s">
        <v>61</v>
      </c>
      <c r="Y238" s="1" t="s">
        <v>2162</v>
      </c>
      <c r="Z238" s="1" t="s">
        <v>74</v>
      </c>
      <c r="AA238" s="1" t="s">
        <v>695</v>
      </c>
      <c r="AB238" s="1" t="s">
        <v>61</v>
      </c>
      <c r="AC238" s="1" t="s">
        <v>61</v>
      </c>
      <c r="AD238" s="2">
        <v>45961.490763888891</v>
      </c>
      <c r="AE238" s="1" t="s">
        <v>63</v>
      </c>
      <c r="AF238" s="1" t="s">
        <v>61</v>
      </c>
      <c r="AG238" s="1" t="s">
        <v>197</v>
      </c>
      <c r="AH238" s="1" t="s">
        <v>65</v>
      </c>
      <c r="AI238">
        <v>560100</v>
      </c>
      <c r="AJ238" s="1" t="s">
        <v>66</v>
      </c>
      <c r="AK238" s="1" t="s">
        <v>67</v>
      </c>
      <c r="AL238">
        <v>62042300</v>
      </c>
      <c r="AM238" s="2"/>
      <c r="AN238">
        <v>2275</v>
      </c>
      <c r="AO238" s="1" t="s">
        <v>2112</v>
      </c>
      <c r="AP238" s="1" t="s">
        <v>61</v>
      </c>
      <c r="AQ238" s="1" t="s">
        <v>61</v>
      </c>
      <c r="AR238" s="1" t="s">
        <v>63</v>
      </c>
      <c r="AS238">
        <v>5</v>
      </c>
      <c r="AT238">
        <v>0</v>
      </c>
      <c r="AU238">
        <v>0</v>
      </c>
      <c r="AV238">
        <v>5</v>
      </c>
      <c r="AW238">
        <v>108.333</v>
      </c>
      <c r="AX238">
        <v>0</v>
      </c>
      <c r="AY238">
        <v>0</v>
      </c>
      <c r="AZ238">
        <v>108.333</v>
      </c>
      <c r="BA238" s="2"/>
      <c r="BB238">
        <v>1</v>
      </c>
      <c r="BC238" s="2">
        <v>45951.5</v>
      </c>
      <c r="BD238" s="27">
        <f>MarketPlace_Order_Report__2[[#This Row],[UnitPrice]]*MarketPlace_Order_Report__2[[#This Row],[OrderQty]]</f>
        <v>2275</v>
      </c>
      <c r="BE238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38" s="27">
        <f>MarketPlace_Order_Report__2[[#This Row],[Gross Amount (Before Tax)]]+MarketPlace_Order_Report__2[[#This Row],[Total GST Amount]]</f>
        <v>2383.3330000000001</v>
      </c>
    </row>
    <row r="239" spans="1:58">
      <c r="A239" s="1" t="s">
        <v>2163</v>
      </c>
      <c r="B239" s="1" t="s">
        <v>2164</v>
      </c>
      <c r="C239" s="1" t="s">
        <v>2165</v>
      </c>
      <c r="D239" s="1" t="s">
        <v>2166</v>
      </c>
      <c r="E239">
        <v>1</v>
      </c>
      <c r="F239" s="1" t="s">
        <v>58</v>
      </c>
      <c r="G239">
        <v>1</v>
      </c>
      <c r="H239">
        <v>1</v>
      </c>
      <c r="I239">
        <v>3250</v>
      </c>
      <c r="J239">
        <v>2275</v>
      </c>
      <c r="K239">
        <v>0</v>
      </c>
      <c r="L239">
        <v>2324</v>
      </c>
      <c r="M239">
        <v>49</v>
      </c>
      <c r="N239" s="1" t="s">
        <v>72</v>
      </c>
      <c r="O239" s="2">
        <v>45935.430891203701</v>
      </c>
      <c r="P239" s="2">
        <v>45936.7190162037</v>
      </c>
      <c r="Q239" s="2">
        <v>45947.681203703702</v>
      </c>
      <c r="R239" s="1" t="s">
        <v>2167</v>
      </c>
      <c r="S239" s="1" t="s">
        <v>60</v>
      </c>
      <c r="T239" s="2">
        <v>45935.742905092593</v>
      </c>
      <c r="U239" s="1" t="s">
        <v>61</v>
      </c>
      <c r="V239" s="1" t="s">
        <v>623</v>
      </c>
      <c r="W239" s="1" t="s">
        <v>61</v>
      </c>
      <c r="X239" s="1" t="s">
        <v>61</v>
      </c>
      <c r="Y239" s="1" t="s">
        <v>61</v>
      </c>
      <c r="Z239" s="1" t="s">
        <v>61</v>
      </c>
      <c r="AA239" s="1" t="s">
        <v>61</v>
      </c>
      <c r="AB239" s="1" t="s">
        <v>61</v>
      </c>
      <c r="AC239" s="1" t="s">
        <v>61</v>
      </c>
      <c r="AD239" s="2">
        <v>45947.681539351855</v>
      </c>
      <c r="AE239" s="1" t="s">
        <v>63</v>
      </c>
      <c r="AF239" s="1" t="s">
        <v>61</v>
      </c>
      <c r="AG239" s="1" t="s">
        <v>2168</v>
      </c>
      <c r="AH239" s="1" t="s">
        <v>83</v>
      </c>
      <c r="AI239">
        <v>811201</v>
      </c>
      <c r="AJ239" s="1" t="s">
        <v>66</v>
      </c>
      <c r="AK239" s="1" t="s">
        <v>67</v>
      </c>
      <c r="AL239">
        <v>62042300</v>
      </c>
      <c r="AM239" s="2"/>
      <c r="AN239">
        <v>2275</v>
      </c>
      <c r="AO239" s="1" t="s">
        <v>2169</v>
      </c>
      <c r="AP239" s="1" t="s">
        <v>61</v>
      </c>
      <c r="AQ239" s="1" t="s">
        <v>61</v>
      </c>
      <c r="AR239" s="1" t="s">
        <v>63</v>
      </c>
      <c r="AS239">
        <v>5</v>
      </c>
      <c r="AT239">
        <v>0</v>
      </c>
      <c r="AU239">
        <v>0</v>
      </c>
      <c r="AV239">
        <v>5</v>
      </c>
      <c r="AW239">
        <v>108.333</v>
      </c>
      <c r="AX239">
        <v>0</v>
      </c>
      <c r="AY239">
        <v>0</v>
      </c>
      <c r="AZ239">
        <v>108.333</v>
      </c>
      <c r="BA239" s="2"/>
      <c r="BB239">
        <v>0.75</v>
      </c>
      <c r="BC239" s="2">
        <v>45937.5</v>
      </c>
      <c r="BD239" s="27">
        <f>MarketPlace_Order_Report__2[[#This Row],[UnitPrice]]*MarketPlace_Order_Report__2[[#This Row],[OrderQty]]</f>
        <v>2275</v>
      </c>
      <c r="BE239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39" s="27">
        <f>MarketPlace_Order_Report__2[[#This Row],[Gross Amount (Before Tax)]]+MarketPlace_Order_Report__2[[#This Row],[Total GST Amount]]</f>
        <v>2383.3330000000001</v>
      </c>
    </row>
    <row r="240" spans="1:58">
      <c r="A240" s="1" t="s">
        <v>2170</v>
      </c>
      <c r="B240" s="1" t="s">
        <v>2171</v>
      </c>
      <c r="C240" s="1" t="s">
        <v>779</v>
      </c>
      <c r="D240" s="1" t="s">
        <v>780</v>
      </c>
      <c r="E240">
        <v>1</v>
      </c>
      <c r="F240" s="1" t="s">
        <v>58</v>
      </c>
      <c r="G240">
        <v>1</v>
      </c>
      <c r="H240">
        <v>1</v>
      </c>
      <c r="I240">
        <v>3250</v>
      </c>
      <c r="J240">
        <v>2275</v>
      </c>
      <c r="K240">
        <v>0</v>
      </c>
      <c r="L240">
        <v>2304</v>
      </c>
      <c r="M240">
        <v>29</v>
      </c>
      <c r="N240" s="1" t="s">
        <v>59</v>
      </c>
      <c r="O240" s="2">
        <v>45951.879872685182</v>
      </c>
      <c r="P240" s="2">
        <v>45954.730497685188</v>
      </c>
      <c r="Q240" s="2">
        <v>45957.525138888886</v>
      </c>
      <c r="R240" s="1" t="s">
        <v>2172</v>
      </c>
      <c r="S240" s="1" t="s">
        <v>60</v>
      </c>
      <c r="T240" s="2">
        <v>45954.500509259262</v>
      </c>
      <c r="U240" s="1" t="s">
        <v>61</v>
      </c>
      <c r="V240" s="1" t="s">
        <v>623</v>
      </c>
      <c r="W240" s="1" t="s">
        <v>61</v>
      </c>
      <c r="X240" s="1" t="s">
        <v>61</v>
      </c>
      <c r="Y240" s="1" t="s">
        <v>61</v>
      </c>
      <c r="Z240" s="1" t="s">
        <v>61</v>
      </c>
      <c r="AA240" s="1" t="s">
        <v>61</v>
      </c>
      <c r="AB240" s="1" t="s">
        <v>61</v>
      </c>
      <c r="AC240" s="1" t="s">
        <v>61</v>
      </c>
      <c r="AD240" s="2">
        <v>45957.528553240743</v>
      </c>
      <c r="AE240" s="1" t="s">
        <v>63</v>
      </c>
      <c r="AF240" s="1" t="s">
        <v>61</v>
      </c>
      <c r="AG240" s="1" t="s">
        <v>2173</v>
      </c>
      <c r="AH240" s="1" t="s">
        <v>65</v>
      </c>
      <c r="AI240">
        <v>560067</v>
      </c>
      <c r="AJ240" s="1" t="s">
        <v>66</v>
      </c>
      <c r="AK240" s="1" t="s">
        <v>67</v>
      </c>
      <c r="AL240">
        <v>62042300</v>
      </c>
      <c r="AM240" s="2"/>
      <c r="AN240">
        <v>2275</v>
      </c>
      <c r="AO240" s="1" t="s">
        <v>2174</v>
      </c>
      <c r="AP240" s="1" t="s">
        <v>970</v>
      </c>
      <c r="AQ240" s="1" t="s">
        <v>61</v>
      </c>
      <c r="AR240" s="1" t="s">
        <v>63</v>
      </c>
      <c r="AS240">
        <v>5</v>
      </c>
      <c r="AT240">
        <v>0</v>
      </c>
      <c r="AU240">
        <v>0</v>
      </c>
      <c r="AV240">
        <v>5</v>
      </c>
      <c r="AW240">
        <v>108.333</v>
      </c>
      <c r="AX240">
        <v>0</v>
      </c>
      <c r="AY240">
        <v>0</v>
      </c>
      <c r="AZ240">
        <v>108.333</v>
      </c>
      <c r="BA240" s="2"/>
      <c r="BB240">
        <v>0.75</v>
      </c>
      <c r="BC240" s="2">
        <v>45954.5</v>
      </c>
      <c r="BD240" s="27">
        <f>MarketPlace_Order_Report__2[[#This Row],[UnitPrice]]*MarketPlace_Order_Report__2[[#This Row],[OrderQty]]</f>
        <v>2275</v>
      </c>
      <c r="BE240" s="27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40" s="27">
        <f>MarketPlace_Order_Report__2[[#This Row],[Gross Amount (Before Tax)]]+MarketPlace_Order_Report__2[[#This Row],[Total GST Amount]]</f>
        <v>2383.3330000000001</v>
      </c>
    </row>
    <row r="241" spans="1:58">
      <c r="A241" s="1" t="s">
        <v>1967</v>
      </c>
      <c r="B241" s="1" t="s">
        <v>1968</v>
      </c>
      <c r="C241" s="1" t="s">
        <v>2175</v>
      </c>
      <c r="D241" s="1" t="s">
        <v>2176</v>
      </c>
      <c r="E241">
        <v>3</v>
      </c>
      <c r="F241" s="1" t="s">
        <v>58</v>
      </c>
      <c r="G241">
        <v>1</v>
      </c>
      <c r="H241">
        <v>1</v>
      </c>
      <c r="I241">
        <v>3000</v>
      </c>
      <c r="J241">
        <v>2100</v>
      </c>
      <c r="K241">
        <v>0</v>
      </c>
      <c r="L241">
        <v>2106.799</v>
      </c>
      <c r="M241">
        <v>6.7990000000000004</v>
      </c>
      <c r="N241" s="1" t="s">
        <v>59</v>
      </c>
      <c r="O241" s="2">
        <v>45944.980706018519</v>
      </c>
      <c r="P241" s="2">
        <v>45946.732488425929</v>
      </c>
      <c r="Q241" s="2">
        <v>45950.417916666665</v>
      </c>
      <c r="R241" s="1" t="s">
        <v>1971</v>
      </c>
      <c r="S241" s="1" t="s">
        <v>60</v>
      </c>
      <c r="T241" s="2">
        <v>45945.799224537041</v>
      </c>
      <c r="U241" s="1" t="s">
        <v>61</v>
      </c>
      <c r="V241" s="1" t="s">
        <v>623</v>
      </c>
      <c r="W241" s="1" t="s">
        <v>61</v>
      </c>
      <c r="X241" s="1" t="s">
        <v>61</v>
      </c>
      <c r="Y241" s="1" t="s">
        <v>61</v>
      </c>
      <c r="Z241" s="1" t="s">
        <v>61</v>
      </c>
      <c r="AA241" s="1" t="s">
        <v>61</v>
      </c>
      <c r="AB241" s="1" t="s">
        <v>61</v>
      </c>
      <c r="AC241" s="1" t="s">
        <v>61</v>
      </c>
      <c r="AD241" s="2">
        <v>45950.421030092592</v>
      </c>
      <c r="AE241" s="1" t="s">
        <v>63</v>
      </c>
      <c r="AF241" s="1" t="s">
        <v>61</v>
      </c>
      <c r="AG241" s="1" t="s">
        <v>979</v>
      </c>
      <c r="AH241" s="1" t="s">
        <v>77</v>
      </c>
      <c r="AI241">
        <v>211013</v>
      </c>
      <c r="AJ241" s="1" t="s">
        <v>66</v>
      </c>
      <c r="AK241" s="1" t="s">
        <v>67</v>
      </c>
      <c r="AL241">
        <v>62044220</v>
      </c>
      <c r="AM241" s="2"/>
      <c r="AN241">
        <v>2100</v>
      </c>
      <c r="AO241" s="1" t="s">
        <v>1972</v>
      </c>
      <c r="AP241" s="1" t="s">
        <v>1156</v>
      </c>
      <c r="AQ241" s="1" t="s">
        <v>61</v>
      </c>
      <c r="AR241" s="1" t="s">
        <v>63</v>
      </c>
      <c r="AS241">
        <v>5</v>
      </c>
      <c r="AT241">
        <v>0</v>
      </c>
      <c r="AU241">
        <v>0</v>
      </c>
      <c r="AV241">
        <v>5</v>
      </c>
      <c r="AW241">
        <v>100</v>
      </c>
      <c r="AX241">
        <v>0</v>
      </c>
      <c r="AY241">
        <v>0</v>
      </c>
      <c r="AZ241">
        <v>100</v>
      </c>
      <c r="BA241" s="2"/>
      <c r="BB241">
        <v>1.35</v>
      </c>
      <c r="BC241" s="2">
        <v>45947.5</v>
      </c>
      <c r="BD241" s="27">
        <f>MarketPlace_Order_Report__2[[#This Row],[UnitPrice]]*MarketPlace_Order_Report__2[[#This Row],[OrderQty]]</f>
        <v>2100</v>
      </c>
      <c r="BE241" s="27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41" s="27">
        <f>MarketPlace_Order_Report__2[[#This Row],[Gross Amount (Before Tax)]]+MarketPlace_Order_Report__2[[#This Row],[Total GST Amount]]</f>
        <v>2200</v>
      </c>
    </row>
    <row r="242" spans="1:58">
      <c r="A242" s="1" t="s">
        <v>2177</v>
      </c>
      <c r="B242" s="1" t="s">
        <v>2178</v>
      </c>
      <c r="C242" s="1" t="s">
        <v>2179</v>
      </c>
      <c r="D242" s="1" t="s">
        <v>2180</v>
      </c>
      <c r="E242">
        <v>1</v>
      </c>
      <c r="F242" s="1" t="s">
        <v>187</v>
      </c>
      <c r="G242">
        <v>1</v>
      </c>
      <c r="H242">
        <v>0</v>
      </c>
      <c r="I242">
        <v>5000</v>
      </c>
      <c r="J242">
        <v>4000</v>
      </c>
      <c r="K242">
        <v>0</v>
      </c>
      <c r="L242">
        <v>4020</v>
      </c>
      <c r="M242">
        <v>20</v>
      </c>
      <c r="N242" s="1" t="s">
        <v>72</v>
      </c>
      <c r="O242" s="2">
        <v>45937.831909722219</v>
      </c>
      <c r="P242" s="2"/>
      <c r="Q242" s="2"/>
      <c r="R242" s="1" t="s">
        <v>61</v>
      </c>
      <c r="S242" s="1" t="s">
        <v>60</v>
      </c>
      <c r="T242" s="2"/>
      <c r="U242" s="1" t="s">
        <v>273</v>
      </c>
      <c r="V242" s="1" t="s">
        <v>789</v>
      </c>
      <c r="W242" s="1" t="s">
        <v>61</v>
      </c>
      <c r="X242" s="1" t="s">
        <v>61</v>
      </c>
      <c r="Y242" s="1" t="s">
        <v>61</v>
      </c>
      <c r="Z242" s="1" t="s">
        <v>61</v>
      </c>
      <c r="AA242" s="1" t="s">
        <v>61</v>
      </c>
      <c r="AB242" s="1" t="s">
        <v>61</v>
      </c>
      <c r="AC242" s="1" t="s">
        <v>61</v>
      </c>
      <c r="AD242" s="2">
        <v>45937.838449074072</v>
      </c>
      <c r="AE242" s="1" t="s">
        <v>63</v>
      </c>
      <c r="AF242" s="1" t="s">
        <v>61</v>
      </c>
      <c r="AG242" s="1" t="s">
        <v>2181</v>
      </c>
      <c r="AH242" s="1" t="s">
        <v>77</v>
      </c>
      <c r="AI242">
        <v>210205</v>
      </c>
      <c r="AJ242" s="1" t="s">
        <v>66</v>
      </c>
      <c r="AK242" s="1" t="s">
        <v>67</v>
      </c>
      <c r="AL242">
        <v>62044220</v>
      </c>
      <c r="AM242" s="2">
        <v>45937.838449074072</v>
      </c>
      <c r="AN242">
        <v>4000</v>
      </c>
      <c r="AO242" s="1" t="s">
        <v>61</v>
      </c>
      <c r="AP242" s="1" t="s">
        <v>61</v>
      </c>
      <c r="AQ242" s="1" t="s">
        <v>61</v>
      </c>
      <c r="AR242" s="1" t="s">
        <v>63</v>
      </c>
      <c r="AS242">
        <v>18</v>
      </c>
      <c r="AT242">
        <v>0</v>
      </c>
      <c r="AU242">
        <v>0</v>
      </c>
      <c r="AV242">
        <v>18</v>
      </c>
      <c r="AW242">
        <v>610.16899999999998</v>
      </c>
      <c r="AX242">
        <v>0</v>
      </c>
      <c r="AY242">
        <v>0</v>
      </c>
      <c r="AZ242">
        <v>610.16899999999998</v>
      </c>
      <c r="BA242" s="2"/>
      <c r="BC242" s="2">
        <v>45940.5</v>
      </c>
      <c r="BD242" s="27">
        <f>MarketPlace_Order_Report__2[[#This Row],[UnitPrice]]*MarketPlace_Order_Report__2[[#This Row],[OrderQty]]</f>
        <v>4000</v>
      </c>
      <c r="BE242" s="27">
        <f>IFERROR(MarketPlace_Order_Report__2[[#This Row],[CGSTAmount]]+MarketPlace_Order_Report__2[[#This Row],[SGSTAmount]]+MarketPlace_Order_Report__2[[#This Row],[IGSTAmount]],MarketPlace_Order_Report__2[[#This Row],[TaxAmount]])</f>
        <v>610.16899999999998</v>
      </c>
      <c r="BF242" s="27">
        <f>MarketPlace_Order_Report__2[[#This Row],[Gross Amount (Before Tax)]]+MarketPlace_Order_Report__2[[#This Row],[Total GST Amount]]</f>
        <v>4610.1689999999999</v>
      </c>
    </row>
    <row r="243" spans="1:58">
      <c r="A243" s="1" t="s">
        <v>2182</v>
      </c>
      <c r="B243" s="1" t="s">
        <v>2183</v>
      </c>
      <c r="C243" s="1" t="s">
        <v>2184</v>
      </c>
      <c r="D243" s="1" t="s">
        <v>2185</v>
      </c>
      <c r="E243">
        <v>1</v>
      </c>
      <c r="F243" s="1" t="s">
        <v>58</v>
      </c>
      <c r="G243">
        <v>1</v>
      </c>
      <c r="H243">
        <v>1</v>
      </c>
      <c r="I243">
        <v>4750</v>
      </c>
      <c r="J243">
        <v>3800</v>
      </c>
      <c r="K243">
        <v>0</v>
      </c>
      <c r="L243">
        <v>3829</v>
      </c>
      <c r="M243">
        <v>29</v>
      </c>
      <c r="N243" s="1" t="s">
        <v>59</v>
      </c>
      <c r="O243" s="2">
        <v>45954.684340277781</v>
      </c>
      <c r="P243" s="2">
        <v>45957.661805555559</v>
      </c>
      <c r="Q243" s="2">
        <v>45959.385416666664</v>
      </c>
      <c r="R243" s="1" t="s">
        <v>2186</v>
      </c>
      <c r="S243" s="1" t="s">
        <v>107</v>
      </c>
      <c r="T243" s="2">
        <v>45955.747372685182</v>
      </c>
      <c r="U243" s="1" t="s">
        <v>61</v>
      </c>
      <c r="V243" s="1" t="s">
        <v>789</v>
      </c>
      <c r="W243" s="1" t="s">
        <v>61</v>
      </c>
      <c r="X243" s="1" t="s">
        <v>61</v>
      </c>
      <c r="Y243" s="1" t="s">
        <v>61</v>
      </c>
      <c r="Z243" s="1" t="s">
        <v>61</v>
      </c>
      <c r="AA243" s="1" t="s">
        <v>61</v>
      </c>
      <c r="AB243" s="1" t="s">
        <v>61</v>
      </c>
      <c r="AC243" s="1" t="s">
        <v>61</v>
      </c>
      <c r="AD243" s="2">
        <v>45959.389791666668</v>
      </c>
      <c r="AE243" s="1" t="s">
        <v>63</v>
      </c>
      <c r="AF243" s="1" t="s">
        <v>61</v>
      </c>
      <c r="AG243" s="1" t="s">
        <v>746</v>
      </c>
      <c r="AH243" s="1" t="s">
        <v>115</v>
      </c>
      <c r="AI243">
        <v>600092</v>
      </c>
      <c r="AJ243" s="1" t="s">
        <v>66</v>
      </c>
      <c r="AK243" s="1" t="s">
        <v>67</v>
      </c>
      <c r="AL243">
        <v>62044220</v>
      </c>
      <c r="AM243" s="2"/>
      <c r="AN243">
        <v>3800</v>
      </c>
      <c r="AO243" s="1" t="s">
        <v>2187</v>
      </c>
      <c r="AP243" s="1" t="s">
        <v>970</v>
      </c>
      <c r="AQ243" s="1" t="s">
        <v>61</v>
      </c>
      <c r="AR243" s="1" t="s">
        <v>63</v>
      </c>
      <c r="AS243">
        <v>18</v>
      </c>
      <c r="AT243">
        <v>0</v>
      </c>
      <c r="AU243">
        <v>0</v>
      </c>
      <c r="AV243">
        <v>18</v>
      </c>
      <c r="AW243">
        <v>579.66099999999994</v>
      </c>
      <c r="AX243">
        <v>0</v>
      </c>
      <c r="AY243">
        <v>0</v>
      </c>
      <c r="AZ243">
        <v>579.66099999999994</v>
      </c>
      <c r="BA243" s="2"/>
      <c r="BB243">
        <v>0.85</v>
      </c>
      <c r="BC243" s="2">
        <v>45957.5</v>
      </c>
      <c r="BD243" s="27">
        <f>MarketPlace_Order_Report__2[[#This Row],[UnitPrice]]*MarketPlace_Order_Report__2[[#This Row],[OrderQty]]</f>
        <v>3800</v>
      </c>
      <c r="BE243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43" s="27">
        <f>MarketPlace_Order_Report__2[[#This Row],[Gross Amount (Before Tax)]]+MarketPlace_Order_Report__2[[#This Row],[Total GST Amount]]</f>
        <v>4379.6610000000001</v>
      </c>
    </row>
    <row r="244" spans="1:58">
      <c r="A244" s="1" t="s">
        <v>2188</v>
      </c>
      <c r="B244" s="1" t="s">
        <v>2189</v>
      </c>
      <c r="C244" s="1" t="s">
        <v>2190</v>
      </c>
      <c r="D244" s="1" t="s">
        <v>2191</v>
      </c>
      <c r="E244">
        <v>1</v>
      </c>
      <c r="F244" s="1" t="s">
        <v>58</v>
      </c>
      <c r="G244">
        <v>1</v>
      </c>
      <c r="H244">
        <v>1</v>
      </c>
      <c r="I244">
        <v>5000</v>
      </c>
      <c r="J244">
        <v>4500</v>
      </c>
      <c r="K244">
        <v>0</v>
      </c>
      <c r="L244">
        <v>4520</v>
      </c>
      <c r="M244">
        <v>20</v>
      </c>
      <c r="N244" s="1" t="s">
        <v>72</v>
      </c>
      <c r="O244" s="2">
        <v>45943.002002314817</v>
      </c>
      <c r="P244" s="2">
        <v>45944.737696759257</v>
      </c>
      <c r="Q244" s="2">
        <v>45946.494398148148</v>
      </c>
      <c r="R244" s="1" t="s">
        <v>2192</v>
      </c>
      <c r="S244" s="1" t="s">
        <v>351</v>
      </c>
      <c r="T244" s="2">
        <v>45943.814467592594</v>
      </c>
      <c r="U244" s="1" t="s">
        <v>61</v>
      </c>
      <c r="V244" s="1" t="s">
        <v>789</v>
      </c>
      <c r="W244" s="1" t="s">
        <v>61</v>
      </c>
      <c r="X244" s="1" t="s">
        <v>61</v>
      </c>
      <c r="Y244" s="1" t="s">
        <v>61</v>
      </c>
      <c r="Z244" s="1" t="s">
        <v>61</v>
      </c>
      <c r="AA244" s="1" t="s">
        <v>61</v>
      </c>
      <c r="AB244" s="1" t="s">
        <v>61</v>
      </c>
      <c r="AC244" s="1" t="s">
        <v>61</v>
      </c>
      <c r="AD244" s="2">
        <v>45946.511342592596</v>
      </c>
      <c r="AE244" s="1" t="s">
        <v>63</v>
      </c>
      <c r="AF244" s="1" t="s">
        <v>61</v>
      </c>
      <c r="AG244" s="1" t="s">
        <v>408</v>
      </c>
      <c r="AH244" s="1" t="s">
        <v>318</v>
      </c>
      <c r="AI244">
        <v>400080</v>
      </c>
      <c r="AJ244" s="1" t="s">
        <v>66</v>
      </c>
      <c r="AK244" s="1" t="s">
        <v>67</v>
      </c>
      <c r="AL244">
        <v>62044220</v>
      </c>
      <c r="AM244" s="2"/>
      <c r="AN244">
        <v>4500</v>
      </c>
      <c r="AO244" s="1" t="s">
        <v>2193</v>
      </c>
      <c r="AP244" s="1" t="s">
        <v>650</v>
      </c>
      <c r="AQ244" s="1" t="s">
        <v>61</v>
      </c>
      <c r="AR244" s="1" t="s">
        <v>63</v>
      </c>
      <c r="AS244">
        <v>18</v>
      </c>
      <c r="AT244">
        <v>9</v>
      </c>
      <c r="AU244">
        <v>9</v>
      </c>
      <c r="AV244">
        <v>0</v>
      </c>
      <c r="AW244">
        <v>686.44100000000003</v>
      </c>
      <c r="AX244">
        <v>343.221</v>
      </c>
      <c r="AY244">
        <v>343.221</v>
      </c>
      <c r="AZ244">
        <v>0</v>
      </c>
      <c r="BA244" s="2"/>
      <c r="BB244">
        <v>0.85</v>
      </c>
      <c r="BC244" s="2">
        <v>45945.5</v>
      </c>
      <c r="BD244" s="27">
        <f>MarketPlace_Order_Report__2[[#This Row],[UnitPrice]]*MarketPlace_Order_Report__2[[#This Row],[OrderQty]]</f>
        <v>4500</v>
      </c>
      <c r="BE244" s="27">
        <f>IFERROR(MarketPlace_Order_Report__2[[#This Row],[CGSTAmount]]+MarketPlace_Order_Report__2[[#This Row],[SGSTAmount]]+MarketPlace_Order_Report__2[[#This Row],[IGSTAmount]],MarketPlace_Order_Report__2[[#This Row],[TaxAmount]])</f>
        <v>686.44200000000001</v>
      </c>
      <c r="BF244" s="27">
        <f>MarketPlace_Order_Report__2[[#This Row],[Gross Amount (Before Tax)]]+MarketPlace_Order_Report__2[[#This Row],[Total GST Amount]]</f>
        <v>5186.442</v>
      </c>
    </row>
    <row r="245" spans="1:58">
      <c r="A245" s="1" t="s">
        <v>2194</v>
      </c>
      <c r="B245" s="1" t="s">
        <v>2195</v>
      </c>
      <c r="C245" s="1" t="s">
        <v>2196</v>
      </c>
      <c r="D245" s="1" t="s">
        <v>2197</v>
      </c>
      <c r="E245">
        <v>1</v>
      </c>
      <c r="F245" s="1" t="s">
        <v>71</v>
      </c>
      <c r="G245">
        <v>1</v>
      </c>
      <c r="H245">
        <v>1</v>
      </c>
      <c r="I245">
        <v>5000</v>
      </c>
      <c r="J245">
        <v>4500</v>
      </c>
      <c r="K245">
        <v>0</v>
      </c>
      <c r="L245">
        <v>4520</v>
      </c>
      <c r="M245">
        <v>20</v>
      </c>
      <c r="N245" s="1" t="s">
        <v>72</v>
      </c>
      <c r="O245" s="2">
        <v>45937.463067129633</v>
      </c>
      <c r="P245" s="2">
        <v>45938.718657407408</v>
      </c>
      <c r="Q245" s="2">
        <v>45945.635046296295</v>
      </c>
      <c r="R245" s="1" t="s">
        <v>2198</v>
      </c>
      <c r="S245" s="1" t="s">
        <v>351</v>
      </c>
      <c r="T245" s="2">
        <v>45937.715995370374</v>
      </c>
      <c r="U245" s="1" t="s">
        <v>61</v>
      </c>
      <c r="V245" s="1" t="s">
        <v>789</v>
      </c>
      <c r="W245" s="1" t="s">
        <v>61</v>
      </c>
      <c r="X245" s="1" t="s">
        <v>61</v>
      </c>
      <c r="Y245" s="1" t="s">
        <v>2199</v>
      </c>
      <c r="Z245" s="1" t="s">
        <v>74</v>
      </c>
      <c r="AA245" s="1" t="s">
        <v>695</v>
      </c>
      <c r="AB245" s="1" t="s">
        <v>61</v>
      </c>
      <c r="AC245" s="1" t="s">
        <v>61</v>
      </c>
      <c r="AD245" s="2">
        <v>45956.493877314817</v>
      </c>
      <c r="AE245" s="1" t="s">
        <v>63</v>
      </c>
      <c r="AF245" s="1" t="s">
        <v>61</v>
      </c>
      <c r="AG245" s="1" t="s">
        <v>2200</v>
      </c>
      <c r="AH245" s="1" t="s">
        <v>88</v>
      </c>
      <c r="AI245">
        <v>485001</v>
      </c>
      <c r="AJ245" s="1" t="s">
        <v>66</v>
      </c>
      <c r="AK245" s="1" t="s">
        <v>67</v>
      </c>
      <c r="AL245">
        <v>62044220</v>
      </c>
      <c r="AM245" s="2"/>
      <c r="AN245">
        <v>4500</v>
      </c>
      <c r="AO245" s="1" t="s">
        <v>2201</v>
      </c>
      <c r="AP245" s="1" t="s">
        <v>937</v>
      </c>
      <c r="AQ245" s="1" t="s">
        <v>61</v>
      </c>
      <c r="AR245" s="1" t="s">
        <v>63</v>
      </c>
      <c r="AS245">
        <v>18</v>
      </c>
      <c r="AT245">
        <v>0</v>
      </c>
      <c r="AU245">
        <v>0</v>
      </c>
      <c r="AV245">
        <v>18</v>
      </c>
      <c r="AW245">
        <v>686.44100000000003</v>
      </c>
      <c r="AX245">
        <v>0</v>
      </c>
      <c r="AY245">
        <v>0</v>
      </c>
      <c r="AZ245">
        <v>686.44100000000003</v>
      </c>
      <c r="BA245" s="2"/>
      <c r="BB245">
        <v>0.85</v>
      </c>
      <c r="BC245" s="2">
        <v>45939.5</v>
      </c>
      <c r="BD245" s="27">
        <f>MarketPlace_Order_Report__2[[#This Row],[UnitPrice]]*MarketPlace_Order_Report__2[[#This Row],[OrderQty]]</f>
        <v>4500</v>
      </c>
      <c r="BE245" s="27">
        <f>IFERROR(MarketPlace_Order_Report__2[[#This Row],[CGSTAmount]]+MarketPlace_Order_Report__2[[#This Row],[SGSTAmount]]+MarketPlace_Order_Report__2[[#This Row],[IGSTAmount]],MarketPlace_Order_Report__2[[#This Row],[TaxAmount]])</f>
        <v>686.44100000000003</v>
      </c>
      <c r="BF245" s="27">
        <f>MarketPlace_Order_Report__2[[#This Row],[Gross Amount (Before Tax)]]+MarketPlace_Order_Report__2[[#This Row],[Total GST Amount]]</f>
        <v>5186.4409999999998</v>
      </c>
    </row>
    <row r="246" spans="1:58">
      <c r="A246" s="1" t="s">
        <v>2202</v>
      </c>
      <c r="B246" s="1" t="s">
        <v>2203</v>
      </c>
      <c r="C246" s="1" t="s">
        <v>2204</v>
      </c>
      <c r="D246" s="1" t="s">
        <v>2205</v>
      </c>
      <c r="E246">
        <v>2</v>
      </c>
      <c r="F246" s="1" t="s">
        <v>187</v>
      </c>
      <c r="G246">
        <v>1</v>
      </c>
      <c r="H246">
        <v>0</v>
      </c>
      <c r="I246">
        <v>5500</v>
      </c>
      <c r="J246">
        <v>4950</v>
      </c>
      <c r="K246">
        <v>0</v>
      </c>
      <c r="L246">
        <v>4962.54</v>
      </c>
      <c r="M246">
        <v>12.54</v>
      </c>
      <c r="N246" s="1" t="s">
        <v>59</v>
      </c>
      <c r="O246" s="2">
        <v>45952.930393518516</v>
      </c>
      <c r="P246" s="2"/>
      <c r="Q246" s="2"/>
      <c r="R246" s="1" t="s">
        <v>61</v>
      </c>
      <c r="S246" s="1" t="s">
        <v>60</v>
      </c>
      <c r="T246" s="2"/>
      <c r="U246" s="1" t="s">
        <v>323</v>
      </c>
      <c r="V246" s="1" t="s">
        <v>789</v>
      </c>
      <c r="W246" s="1" t="s">
        <v>61</v>
      </c>
      <c r="X246" s="1" t="s">
        <v>61</v>
      </c>
      <c r="Y246" s="1" t="s">
        <v>61</v>
      </c>
      <c r="Z246" s="1" t="s">
        <v>61</v>
      </c>
      <c r="AA246" s="1" t="s">
        <v>61</v>
      </c>
      <c r="AB246" s="1" t="s">
        <v>61</v>
      </c>
      <c r="AC246" s="1" t="s">
        <v>61</v>
      </c>
      <c r="AD246" s="2">
        <v>45953.70449074074</v>
      </c>
      <c r="AE246" s="1" t="s">
        <v>63</v>
      </c>
      <c r="AF246" s="1" t="s">
        <v>61</v>
      </c>
      <c r="AG246" s="1" t="s">
        <v>98</v>
      </c>
      <c r="AH246" s="1" t="s">
        <v>99</v>
      </c>
      <c r="AI246">
        <v>122002</v>
      </c>
      <c r="AJ246" s="1" t="s">
        <v>66</v>
      </c>
      <c r="AK246" s="1" t="s">
        <v>67</v>
      </c>
      <c r="AL246">
        <v>62044220</v>
      </c>
      <c r="AM246" s="2">
        <v>45953.70449074074</v>
      </c>
      <c r="AN246">
        <v>4950</v>
      </c>
      <c r="AO246" s="1" t="s">
        <v>61</v>
      </c>
      <c r="AP246" s="1" t="s">
        <v>78</v>
      </c>
      <c r="AQ246" s="1" t="s">
        <v>61</v>
      </c>
      <c r="AR246" s="1" t="s">
        <v>63</v>
      </c>
      <c r="AS246">
        <v>18</v>
      </c>
      <c r="AT246">
        <v>0</v>
      </c>
      <c r="AU246">
        <v>0</v>
      </c>
      <c r="AV246">
        <v>18</v>
      </c>
      <c r="AW246">
        <v>755.08500000000004</v>
      </c>
      <c r="AX246">
        <v>0</v>
      </c>
      <c r="AY246">
        <v>0</v>
      </c>
      <c r="AZ246">
        <v>755.08500000000004</v>
      </c>
      <c r="BA246" s="2"/>
      <c r="BC246" s="2">
        <v>45955.5</v>
      </c>
      <c r="BD246" s="27">
        <f>MarketPlace_Order_Report__2[[#This Row],[UnitPrice]]*MarketPlace_Order_Report__2[[#This Row],[OrderQty]]</f>
        <v>4950</v>
      </c>
      <c r="BE246" s="27">
        <f>IFERROR(MarketPlace_Order_Report__2[[#This Row],[CGSTAmount]]+MarketPlace_Order_Report__2[[#This Row],[SGSTAmount]]+MarketPlace_Order_Report__2[[#This Row],[IGSTAmount]],MarketPlace_Order_Report__2[[#This Row],[TaxAmount]])</f>
        <v>755.08500000000004</v>
      </c>
      <c r="BF246" s="27">
        <f>MarketPlace_Order_Report__2[[#This Row],[Gross Amount (Before Tax)]]+MarketPlace_Order_Report__2[[#This Row],[Total GST Amount]]</f>
        <v>5705.085</v>
      </c>
    </row>
    <row r="247" spans="1:58">
      <c r="A247" s="1" t="s">
        <v>2206</v>
      </c>
      <c r="B247" s="1" t="s">
        <v>2207</v>
      </c>
      <c r="C247" s="1" t="s">
        <v>816</v>
      </c>
      <c r="D247" s="1" t="s">
        <v>817</v>
      </c>
      <c r="E247">
        <v>2</v>
      </c>
      <c r="F247" s="1" t="s">
        <v>71</v>
      </c>
      <c r="G247">
        <v>1</v>
      </c>
      <c r="H247">
        <v>1</v>
      </c>
      <c r="I247">
        <v>5000</v>
      </c>
      <c r="J247">
        <v>4500</v>
      </c>
      <c r="K247">
        <v>0</v>
      </c>
      <c r="L247">
        <v>4500</v>
      </c>
      <c r="M247">
        <v>0</v>
      </c>
      <c r="N247" s="1" t="s">
        <v>59</v>
      </c>
      <c r="O247" s="2">
        <v>45937.826365740744</v>
      </c>
      <c r="P247" s="2">
        <v>45940.732037037036</v>
      </c>
      <c r="Q247" s="2">
        <v>45945.577141203707</v>
      </c>
      <c r="R247" s="1" t="s">
        <v>2208</v>
      </c>
      <c r="S247" s="1" t="s">
        <v>60</v>
      </c>
      <c r="T247" s="2">
        <v>45939.786319444444</v>
      </c>
      <c r="U247" s="1" t="s">
        <v>61</v>
      </c>
      <c r="V247" s="1" t="s">
        <v>789</v>
      </c>
      <c r="W247" s="1" t="s">
        <v>61</v>
      </c>
      <c r="X247" s="1" t="s">
        <v>61</v>
      </c>
      <c r="Y247" s="1" t="s">
        <v>2209</v>
      </c>
      <c r="Z247" s="1" t="s">
        <v>74</v>
      </c>
      <c r="AA247" s="1" t="s">
        <v>75</v>
      </c>
      <c r="AB247" s="1" t="s">
        <v>61</v>
      </c>
      <c r="AC247" s="1" t="s">
        <v>61</v>
      </c>
      <c r="AD247" s="2">
        <v>45958.625763888886</v>
      </c>
      <c r="AE247" s="1" t="s">
        <v>63</v>
      </c>
      <c r="AF247" s="1" t="s">
        <v>61</v>
      </c>
      <c r="AG247" s="1" t="s">
        <v>2210</v>
      </c>
      <c r="AH247" s="1" t="s">
        <v>65</v>
      </c>
      <c r="AI247">
        <v>577102</v>
      </c>
      <c r="AJ247" s="1" t="s">
        <v>66</v>
      </c>
      <c r="AK247" s="1" t="s">
        <v>67</v>
      </c>
      <c r="AL247">
        <v>62044220</v>
      </c>
      <c r="AM247" s="2"/>
      <c r="AN247">
        <v>4500</v>
      </c>
      <c r="AO247" s="1" t="s">
        <v>2211</v>
      </c>
      <c r="AP247" s="1" t="s">
        <v>937</v>
      </c>
      <c r="AQ247" s="1" t="s">
        <v>61</v>
      </c>
      <c r="AR247" s="1" t="s">
        <v>63</v>
      </c>
      <c r="AS247">
        <v>18</v>
      </c>
      <c r="AT247">
        <v>0</v>
      </c>
      <c r="AU247">
        <v>0</v>
      </c>
      <c r="AV247">
        <v>18</v>
      </c>
      <c r="AW247">
        <v>686.44100000000003</v>
      </c>
      <c r="AX247">
        <v>0</v>
      </c>
      <c r="AY247">
        <v>0</v>
      </c>
      <c r="AZ247">
        <v>686.44100000000003</v>
      </c>
      <c r="BA247" s="2"/>
      <c r="BB247">
        <v>0.7</v>
      </c>
      <c r="BC247" s="2">
        <v>45940.5</v>
      </c>
      <c r="BD247" s="27">
        <f>MarketPlace_Order_Report__2[[#This Row],[UnitPrice]]*MarketPlace_Order_Report__2[[#This Row],[OrderQty]]</f>
        <v>4500</v>
      </c>
      <c r="BE247" s="27">
        <f>IFERROR(MarketPlace_Order_Report__2[[#This Row],[CGSTAmount]]+MarketPlace_Order_Report__2[[#This Row],[SGSTAmount]]+MarketPlace_Order_Report__2[[#This Row],[IGSTAmount]],MarketPlace_Order_Report__2[[#This Row],[TaxAmount]])</f>
        <v>686.44100000000003</v>
      </c>
      <c r="BF247" s="27">
        <f>MarketPlace_Order_Report__2[[#This Row],[Gross Amount (Before Tax)]]+MarketPlace_Order_Report__2[[#This Row],[Total GST Amount]]</f>
        <v>5186.4409999999998</v>
      </c>
    </row>
    <row r="248" spans="1:58">
      <c r="A248" s="1" t="s">
        <v>2212</v>
      </c>
      <c r="B248" s="1" t="s">
        <v>2213</v>
      </c>
      <c r="C248" s="1" t="s">
        <v>2214</v>
      </c>
      <c r="D248" s="1" t="s">
        <v>2215</v>
      </c>
      <c r="E248">
        <v>1</v>
      </c>
      <c r="F248" s="1" t="s">
        <v>71</v>
      </c>
      <c r="G248">
        <v>1</v>
      </c>
      <c r="H248">
        <v>1</v>
      </c>
      <c r="I248">
        <v>5250</v>
      </c>
      <c r="J248">
        <v>4725</v>
      </c>
      <c r="K248">
        <v>0</v>
      </c>
      <c r="L248">
        <v>4725</v>
      </c>
      <c r="M248">
        <v>0</v>
      </c>
      <c r="N248" s="1" t="s">
        <v>59</v>
      </c>
      <c r="O248" s="2">
        <v>45946.610972222225</v>
      </c>
      <c r="P248" s="2">
        <v>45948.728414351855</v>
      </c>
      <c r="Q248" s="2">
        <v>45955.682592592595</v>
      </c>
      <c r="R248" s="1" t="s">
        <v>2216</v>
      </c>
      <c r="S248" s="1" t="s">
        <v>60</v>
      </c>
      <c r="T248" s="2">
        <v>45947.779918981483</v>
      </c>
      <c r="U248" s="1" t="s">
        <v>61</v>
      </c>
      <c r="V248" s="1" t="s">
        <v>2217</v>
      </c>
      <c r="W248" s="1" t="s">
        <v>61</v>
      </c>
      <c r="X248" s="1" t="s">
        <v>61</v>
      </c>
      <c r="Y248" s="1" t="s">
        <v>2218</v>
      </c>
      <c r="Z248" s="1" t="s">
        <v>74</v>
      </c>
      <c r="AA248" s="1" t="s">
        <v>414</v>
      </c>
      <c r="AB248" s="1" t="s">
        <v>61</v>
      </c>
      <c r="AC248" s="1" t="s">
        <v>61</v>
      </c>
      <c r="AD248" s="2">
        <v>45956.737025462964</v>
      </c>
      <c r="AE248" s="1" t="s">
        <v>63</v>
      </c>
      <c r="AF248" s="1" t="s">
        <v>61</v>
      </c>
      <c r="AG248" s="1" t="s">
        <v>2219</v>
      </c>
      <c r="AH248" s="1" t="s">
        <v>131</v>
      </c>
      <c r="AI248">
        <v>244712</v>
      </c>
      <c r="AJ248" s="1" t="s">
        <v>66</v>
      </c>
      <c r="AK248" s="1" t="s">
        <v>67</v>
      </c>
      <c r="AL248">
        <v>62042300</v>
      </c>
      <c r="AM248" s="2"/>
      <c r="AN248">
        <v>4725</v>
      </c>
      <c r="AO248" s="1" t="s">
        <v>2220</v>
      </c>
      <c r="AP248" s="1" t="s">
        <v>209</v>
      </c>
      <c r="AQ248" s="1" t="s">
        <v>61</v>
      </c>
      <c r="AR248" s="1" t="s">
        <v>63</v>
      </c>
      <c r="AS248">
        <v>18</v>
      </c>
      <c r="AT248">
        <v>0</v>
      </c>
      <c r="AU248">
        <v>0</v>
      </c>
      <c r="AV248">
        <v>18</v>
      </c>
      <c r="AW248">
        <v>720.76300000000003</v>
      </c>
      <c r="AX248">
        <v>0</v>
      </c>
      <c r="AY248">
        <v>0</v>
      </c>
      <c r="AZ248">
        <v>720.76300000000003</v>
      </c>
      <c r="BA248" s="2"/>
      <c r="BB248">
        <v>0.75</v>
      </c>
      <c r="BC248" s="2">
        <v>45949.5</v>
      </c>
      <c r="BD248" s="27">
        <f>MarketPlace_Order_Report__2[[#This Row],[UnitPrice]]*MarketPlace_Order_Report__2[[#This Row],[OrderQty]]</f>
        <v>4725</v>
      </c>
      <c r="BE248" s="27">
        <f>IFERROR(MarketPlace_Order_Report__2[[#This Row],[CGSTAmount]]+MarketPlace_Order_Report__2[[#This Row],[SGSTAmount]]+MarketPlace_Order_Report__2[[#This Row],[IGSTAmount]],MarketPlace_Order_Report__2[[#This Row],[TaxAmount]])</f>
        <v>720.76300000000003</v>
      </c>
      <c r="BF248" s="27">
        <f>MarketPlace_Order_Report__2[[#This Row],[Gross Amount (Before Tax)]]+MarketPlace_Order_Report__2[[#This Row],[Total GST Amount]]</f>
        <v>5445.7629999999999</v>
      </c>
    </row>
    <row r="249" spans="1:58">
      <c r="A249" s="1" t="s">
        <v>2221</v>
      </c>
      <c r="B249" s="1" t="s">
        <v>2222</v>
      </c>
      <c r="C249" s="1" t="s">
        <v>2223</v>
      </c>
      <c r="D249" s="1" t="s">
        <v>2224</v>
      </c>
      <c r="E249">
        <v>1</v>
      </c>
      <c r="F249" s="1" t="s">
        <v>187</v>
      </c>
      <c r="G249">
        <v>1</v>
      </c>
      <c r="H249">
        <v>0</v>
      </c>
      <c r="I249">
        <v>6000</v>
      </c>
      <c r="J249">
        <v>5400</v>
      </c>
      <c r="K249">
        <v>0</v>
      </c>
      <c r="L249">
        <v>5449</v>
      </c>
      <c r="M249">
        <v>49</v>
      </c>
      <c r="N249" s="1" t="s">
        <v>72</v>
      </c>
      <c r="O249" s="2">
        <v>45945.611354166664</v>
      </c>
      <c r="P249" s="2"/>
      <c r="Q249" s="2"/>
      <c r="R249" s="1" t="s">
        <v>61</v>
      </c>
      <c r="S249" s="1" t="s">
        <v>60</v>
      </c>
      <c r="T249" s="2"/>
      <c r="U249" s="1" t="s">
        <v>831</v>
      </c>
      <c r="V249" s="1" t="s">
        <v>2217</v>
      </c>
      <c r="W249" s="1" t="s">
        <v>61</v>
      </c>
      <c r="X249" s="1" t="s">
        <v>61</v>
      </c>
      <c r="Y249" s="1" t="s">
        <v>61</v>
      </c>
      <c r="Z249" s="1" t="s">
        <v>61</v>
      </c>
      <c r="AA249" s="1" t="s">
        <v>61</v>
      </c>
      <c r="AB249" s="1" t="s">
        <v>61</v>
      </c>
      <c r="AC249" s="1" t="s">
        <v>61</v>
      </c>
      <c r="AD249" s="2">
        <v>45945.615185185183</v>
      </c>
      <c r="AE249" s="1" t="s">
        <v>63</v>
      </c>
      <c r="AF249" s="1" t="s">
        <v>61</v>
      </c>
      <c r="AG249" s="1" t="s">
        <v>165</v>
      </c>
      <c r="AH249" s="1" t="s">
        <v>77</v>
      </c>
      <c r="AI249">
        <v>226010</v>
      </c>
      <c r="AJ249" s="1" t="s">
        <v>66</v>
      </c>
      <c r="AK249" s="1" t="s">
        <v>67</v>
      </c>
      <c r="AL249">
        <v>62042300</v>
      </c>
      <c r="AM249" s="2">
        <v>45945.615185185183</v>
      </c>
      <c r="AN249">
        <v>5400</v>
      </c>
      <c r="AO249" s="1" t="s">
        <v>61</v>
      </c>
      <c r="AP249" s="1" t="s">
        <v>61</v>
      </c>
      <c r="AQ249" s="1" t="s">
        <v>61</v>
      </c>
      <c r="AR249" s="1" t="s">
        <v>63</v>
      </c>
      <c r="AS249">
        <v>18</v>
      </c>
      <c r="AT249">
        <v>0</v>
      </c>
      <c r="AU249">
        <v>0</v>
      </c>
      <c r="AV249">
        <v>18</v>
      </c>
      <c r="AW249">
        <v>823.72900000000004</v>
      </c>
      <c r="AX249">
        <v>0</v>
      </c>
      <c r="AY249">
        <v>0</v>
      </c>
      <c r="AZ249">
        <v>823.72900000000004</v>
      </c>
      <c r="BA249" s="2"/>
      <c r="BC249" s="2">
        <v>45948.5</v>
      </c>
      <c r="BD249" s="27">
        <f>MarketPlace_Order_Report__2[[#This Row],[UnitPrice]]*MarketPlace_Order_Report__2[[#This Row],[OrderQty]]</f>
        <v>5400</v>
      </c>
      <c r="BE249" s="27">
        <f>IFERROR(MarketPlace_Order_Report__2[[#This Row],[CGSTAmount]]+MarketPlace_Order_Report__2[[#This Row],[SGSTAmount]]+MarketPlace_Order_Report__2[[#This Row],[IGSTAmount]],MarketPlace_Order_Report__2[[#This Row],[TaxAmount]])</f>
        <v>823.72900000000004</v>
      </c>
      <c r="BF249" s="27">
        <f>MarketPlace_Order_Report__2[[#This Row],[Gross Amount (Before Tax)]]+MarketPlace_Order_Report__2[[#This Row],[Total GST Amount]]</f>
        <v>6223.7290000000003</v>
      </c>
    </row>
    <row r="250" spans="1:58">
      <c r="A250" s="1" t="s">
        <v>1757</v>
      </c>
      <c r="B250" s="1" t="s">
        <v>1758</v>
      </c>
      <c r="C250" s="1" t="s">
        <v>2225</v>
      </c>
      <c r="D250" s="1" t="s">
        <v>2226</v>
      </c>
      <c r="E250">
        <v>4</v>
      </c>
      <c r="F250" s="1" t="s">
        <v>413</v>
      </c>
      <c r="G250">
        <v>1</v>
      </c>
      <c r="H250">
        <v>1</v>
      </c>
      <c r="I250">
        <v>6000</v>
      </c>
      <c r="J250">
        <v>5700</v>
      </c>
      <c r="K250">
        <v>0</v>
      </c>
      <c r="L250">
        <v>5712.2479999999996</v>
      </c>
      <c r="M250">
        <v>12.247999999999999</v>
      </c>
      <c r="N250" s="1" t="s">
        <v>59</v>
      </c>
      <c r="O250" s="2">
        <v>45958.034259259257</v>
      </c>
      <c r="P250" s="2">
        <v>45958.715937499997</v>
      </c>
      <c r="Q250" s="2"/>
      <c r="R250" s="1" t="s">
        <v>1761</v>
      </c>
      <c r="S250" s="1" t="s">
        <v>60</v>
      </c>
      <c r="T250" s="2">
        <v>45958.543113425927</v>
      </c>
      <c r="U250" s="1" t="s">
        <v>61</v>
      </c>
      <c r="V250" s="1" t="s">
        <v>789</v>
      </c>
      <c r="W250" s="1" t="s">
        <v>61</v>
      </c>
      <c r="X250" s="1" t="s">
        <v>61</v>
      </c>
      <c r="Y250" s="1" t="s">
        <v>61</v>
      </c>
      <c r="Z250" s="1" t="s">
        <v>61</v>
      </c>
      <c r="AA250" s="1" t="s">
        <v>61</v>
      </c>
      <c r="AB250" s="1" t="s">
        <v>61</v>
      </c>
      <c r="AC250" s="1" t="s">
        <v>61</v>
      </c>
      <c r="AD250" s="2">
        <v>45961.553020833337</v>
      </c>
      <c r="AE250" s="1" t="s">
        <v>63</v>
      </c>
      <c r="AF250" s="1" t="s">
        <v>61</v>
      </c>
      <c r="AG250" s="1" t="s">
        <v>1762</v>
      </c>
      <c r="AH250" s="1" t="s">
        <v>503</v>
      </c>
      <c r="AI250">
        <v>144602</v>
      </c>
      <c r="AJ250" s="1" t="s">
        <v>66</v>
      </c>
      <c r="AK250" s="1" t="s">
        <v>67</v>
      </c>
      <c r="AL250">
        <v>62042300</v>
      </c>
      <c r="AM250" s="2"/>
      <c r="AN250">
        <v>5700</v>
      </c>
      <c r="AO250" s="1" t="s">
        <v>1763</v>
      </c>
      <c r="AP250" s="1" t="s">
        <v>61</v>
      </c>
      <c r="AQ250" s="1" t="s">
        <v>61</v>
      </c>
      <c r="AR250" s="1" t="s">
        <v>63</v>
      </c>
      <c r="AS250">
        <v>18</v>
      </c>
      <c r="AT250">
        <v>0</v>
      </c>
      <c r="AU250">
        <v>0</v>
      </c>
      <c r="AV250">
        <v>18</v>
      </c>
      <c r="AW250">
        <v>869.49199999999996</v>
      </c>
      <c r="AX250">
        <v>0</v>
      </c>
      <c r="AY250">
        <v>0</v>
      </c>
      <c r="AZ250">
        <v>869.49199999999996</v>
      </c>
      <c r="BA250" s="2"/>
      <c r="BB250">
        <v>1.1000000000000001</v>
      </c>
      <c r="BC250" s="2">
        <v>45960.5</v>
      </c>
      <c r="BD250" s="27">
        <f>MarketPlace_Order_Report__2[[#This Row],[UnitPrice]]*MarketPlace_Order_Report__2[[#This Row],[OrderQty]]</f>
        <v>5700</v>
      </c>
      <c r="BE250" s="27">
        <f>IFERROR(MarketPlace_Order_Report__2[[#This Row],[CGSTAmount]]+MarketPlace_Order_Report__2[[#This Row],[SGSTAmount]]+MarketPlace_Order_Report__2[[#This Row],[IGSTAmount]],MarketPlace_Order_Report__2[[#This Row],[TaxAmount]])</f>
        <v>869.49199999999996</v>
      </c>
      <c r="BF250" s="27">
        <f>MarketPlace_Order_Report__2[[#This Row],[Gross Amount (Before Tax)]]+MarketPlace_Order_Report__2[[#This Row],[Total GST Amount]]</f>
        <v>6569.4920000000002</v>
      </c>
    </row>
    <row r="251" spans="1:58">
      <c r="A251" s="1" t="s">
        <v>2227</v>
      </c>
      <c r="B251" s="1" t="s">
        <v>2228</v>
      </c>
      <c r="C251" s="1" t="s">
        <v>2225</v>
      </c>
      <c r="D251" s="1" t="s">
        <v>2226</v>
      </c>
      <c r="E251">
        <v>1</v>
      </c>
      <c r="F251" s="1" t="s">
        <v>58</v>
      </c>
      <c r="G251">
        <v>1</v>
      </c>
      <c r="H251">
        <v>1</v>
      </c>
      <c r="I251">
        <v>6000</v>
      </c>
      <c r="J251">
        <v>5700</v>
      </c>
      <c r="K251">
        <v>0</v>
      </c>
      <c r="L251">
        <v>5749</v>
      </c>
      <c r="M251">
        <v>49</v>
      </c>
      <c r="N251" s="1" t="s">
        <v>72</v>
      </c>
      <c r="O251" s="2">
        <v>45942.047129629631</v>
      </c>
      <c r="P251" s="2">
        <v>45943.762812499997</v>
      </c>
      <c r="Q251" s="2">
        <v>45946.872361111113</v>
      </c>
      <c r="R251" s="1" t="s">
        <v>2229</v>
      </c>
      <c r="S251" s="1" t="s">
        <v>60</v>
      </c>
      <c r="T251" s="2">
        <v>45942.661412037036</v>
      </c>
      <c r="U251" s="1" t="s">
        <v>61</v>
      </c>
      <c r="V251" s="1" t="s">
        <v>789</v>
      </c>
      <c r="W251" s="1" t="s">
        <v>61</v>
      </c>
      <c r="X251" s="1" t="s">
        <v>61</v>
      </c>
      <c r="Y251" s="1" t="s">
        <v>61</v>
      </c>
      <c r="Z251" s="1" t="s">
        <v>61</v>
      </c>
      <c r="AA251" s="1" t="s">
        <v>61</v>
      </c>
      <c r="AB251" s="1" t="s">
        <v>61</v>
      </c>
      <c r="AC251" s="1" t="s">
        <v>61</v>
      </c>
      <c r="AD251" s="2">
        <v>45946.875868055555</v>
      </c>
      <c r="AE251" s="1" t="s">
        <v>63</v>
      </c>
      <c r="AF251" s="1" t="s">
        <v>61</v>
      </c>
      <c r="AG251" s="1" t="s">
        <v>197</v>
      </c>
      <c r="AH251" s="1" t="s">
        <v>65</v>
      </c>
      <c r="AI251">
        <v>560095</v>
      </c>
      <c r="AJ251" s="1" t="s">
        <v>66</v>
      </c>
      <c r="AK251" s="1" t="s">
        <v>67</v>
      </c>
      <c r="AL251">
        <v>62042300</v>
      </c>
      <c r="AM251" s="2"/>
      <c r="AN251">
        <v>5700</v>
      </c>
      <c r="AO251" s="1" t="s">
        <v>2230</v>
      </c>
      <c r="AP251" s="1" t="s">
        <v>61</v>
      </c>
      <c r="AQ251" s="1" t="s">
        <v>61</v>
      </c>
      <c r="AR251" s="1" t="s">
        <v>63</v>
      </c>
      <c r="AS251">
        <v>18</v>
      </c>
      <c r="AT251">
        <v>0</v>
      </c>
      <c r="AU251">
        <v>0</v>
      </c>
      <c r="AV251">
        <v>18</v>
      </c>
      <c r="AW251">
        <v>869.49199999999996</v>
      </c>
      <c r="AX251">
        <v>0</v>
      </c>
      <c r="AY251">
        <v>0</v>
      </c>
      <c r="AZ251">
        <v>869.49199999999996</v>
      </c>
      <c r="BA251" s="2"/>
      <c r="BB251">
        <v>0.85</v>
      </c>
      <c r="BC251" s="2">
        <v>45944.5</v>
      </c>
      <c r="BD251" s="27">
        <f>MarketPlace_Order_Report__2[[#This Row],[UnitPrice]]*MarketPlace_Order_Report__2[[#This Row],[OrderQty]]</f>
        <v>5700</v>
      </c>
      <c r="BE251" s="27">
        <f>IFERROR(MarketPlace_Order_Report__2[[#This Row],[CGSTAmount]]+MarketPlace_Order_Report__2[[#This Row],[SGSTAmount]]+MarketPlace_Order_Report__2[[#This Row],[IGSTAmount]],MarketPlace_Order_Report__2[[#This Row],[TaxAmount]])</f>
        <v>869.49199999999996</v>
      </c>
      <c r="BF251" s="27">
        <f>MarketPlace_Order_Report__2[[#This Row],[Gross Amount (Before Tax)]]+MarketPlace_Order_Report__2[[#This Row],[Total GST Amount]]</f>
        <v>6569.4920000000002</v>
      </c>
    </row>
    <row r="252" spans="1:58">
      <c r="A252" s="1" t="s">
        <v>2231</v>
      </c>
      <c r="B252" s="1" t="s">
        <v>2232</v>
      </c>
      <c r="C252" s="1" t="s">
        <v>2233</v>
      </c>
      <c r="D252" s="1" t="s">
        <v>2234</v>
      </c>
      <c r="E252">
        <v>1</v>
      </c>
      <c r="F252" s="1" t="s">
        <v>58</v>
      </c>
      <c r="G252">
        <v>1</v>
      </c>
      <c r="H252">
        <v>1</v>
      </c>
      <c r="I252">
        <v>5750</v>
      </c>
      <c r="J252">
        <v>5175</v>
      </c>
      <c r="K252">
        <v>0</v>
      </c>
      <c r="L252">
        <v>5224</v>
      </c>
      <c r="M252">
        <v>49</v>
      </c>
      <c r="N252" s="1" t="s">
        <v>72</v>
      </c>
      <c r="O252" s="2">
        <v>45939.707685185182</v>
      </c>
      <c r="P252" s="2">
        <v>45940.907638888886</v>
      </c>
      <c r="Q252" s="2">
        <v>45942.509722222225</v>
      </c>
      <c r="R252" s="1" t="s">
        <v>2235</v>
      </c>
      <c r="S252" s="1" t="s">
        <v>107</v>
      </c>
      <c r="T252" s="2">
        <v>45939.786874999998</v>
      </c>
      <c r="U252" s="1" t="s">
        <v>61</v>
      </c>
      <c r="V252" s="1" t="s">
        <v>789</v>
      </c>
      <c r="W252" s="1" t="s">
        <v>61</v>
      </c>
      <c r="X252" s="1" t="s">
        <v>61</v>
      </c>
      <c r="Y252" s="1" t="s">
        <v>61</v>
      </c>
      <c r="Z252" s="1" t="s">
        <v>61</v>
      </c>
      <c r="AA252" s="1" t="s">
        <v>61</v>
      </c>
      <c r="AB252" s="1" t="s">
        <v>61</v>
      </c>
      <c r="AC252" s="1" t="s">
        <v>61</v>
      </c>
      <c r="AD252" s="2">
        <v>45942.514803240738</v>
      </c>
      <c r="AE252" s="1" t="s">
        <v>63</v>
      </c>
      <c r="AF252" s="1" t="s">
        <v>61</v>
      </c>
      <c r="AG252" s="1" t="s">
        <v>2236</v>
      </c>
      <c r="AH252" s="1" t="s">
        <v>83</v>
      </c>
      <c r="AI252">
        <v>801505</v>
      </c>
      <c r="AJ252" s="1" t="s">
        <v>66</v>
      </c>
      <c r="AK252" s="1" t="s">
        <v>67</v>
      </c>
      <c r="AL252">
        <v>62042300</v>
      </c>
      <c r="AM252" s="2"/>
      <c r="AN252">
        <v>5175</v>
      </c>
      <c r="AO252" s="1" t="s">
        <v>2237</v>
      </c>
      <c r="AP252" s="1" t="s">
        <v>61</v>
      </c>
      <c r="AQ252" s="1" t="s">
        <v>61</v>
      </c>
      <c r="AR252" s="1" t="s">
        <v>63</v>
      </c>
      <c r="AS252">
        <v>18</v>
      </c>
      <c r="AT252">
        <v>0</v>
      </c>
      <c r="AU252">
        <v>0</v>
      </c>
      <c r="AV252">
        <v>18</v>
      </c>
      <c r="AW252">
        <v>789.40700000000004</v>
      </c>
      <c r="AX252">
        <v>0</v>
      </c>
      <c r="AY252">
        <v>0</v>
      </c>
      <c r="AZ252">
        <v>789.40700000000004</v>
      </c>
      <c r="BA252" s="2"/>
      <c r="BB252">
        <v>0.75</v>
      </c>
      <c r="BC252" s="2">
        <v>45942.5</v>
      </c>
      <c r="BD252" s="27">
        <f>MarketPlace_Order_Report__2[[#This Row],[UnitPrice]]*MarketPlace_Order_Report__2[[#This Row],[OrderQty]]</f>
        <v>5175</v>
      </c>
      <c r="BE252" s="27">
        <f>IFERROR(MarketPlace_Order_Report__2[[#This Row],[CGSTAmount]]+MarketPlace_Order_Report__2[[#This Row],[SGSTAmount]]+MarketPlace_Order_Report__2[[#This Row],[IGSTAmount]],MarketPlace_Order_Report__2[[#This Row],[TaxAmount]])</f>
        <v>789.40700000000004</v>
      </c>
      <c r="BF252" s="27">
        <f>MarketPlace_Order_Report__2[[#This Row],[Gross Amount (Before Tax)]]+MarketPlace_Order_Report__2[[#This Row],[Total GST Amount]]</f>
        <v>5964.4070000000002</v>
      </c>
    </row>
    <row r="253" spans="1:58">
      <c r="A253" s="1" t="s">
        <v>2238</v>
      </c>
      <c r="B253" s="1" t="s">
        <v>2239</v>
      </c>
      <c r="C253" s="1" t="s">
        <v>2240</v>
      </c>
      <c r="D253" s="1" t="s">
        <v>2241</v>
      </c>
      <c r="E253">
        <v>1</v>
      </c>
      <c r="F253" s="1" t="s">
        <v>1076</v>
      </c>
      <c r="G253">
        <v>1</v>
      </c>
      <c r="H253">
        <v>1</v>
      </c>
      <c r="I253">
        <v>6000</v>
      </c>
      <c r="J253">
        <v>5400</v>
      </c>
      <c r="K253">
        <v>0</v>
      </c>
      <c r="L253">
        <v>5415.06</v>
      </c>
      <c r="M253">
        <v>15.06</v>
      </c>
      <c r="N253" s="1" t="s">
        <v>59</v>
      </c>
      <c r="O253" s="2">
        <v>45932.847650462965</v>
      </c>
      <c r="P253" s="2">
        <v>45934.620092592595</v>
      </c>
      <c r="Q253" s="2"/>
      <c r="R253" s="1" t="s">
        <v>2242</v>
      </c>
      <c r="S253" s="1" t="s">
        <v>73</v>
      </c>
      <c r="T253" s="2">
        <v>45933.815833333334</v>
      </c>
      <c r="U253" s="1" t="s">
        <v>61</v>
      </c>
      <c r="V253" s="1" t="s">
        <v>789</v>
      </c>
      <c r="W253" s="1" t="s">
        <v>61</v>
      </c>
      <c r="X253" s="1" t="s">
        <v>61</v>
      </c>
      <c r="Y253" s="1" t="s">
        <v>61</v>
      </c>
      <c r="Z253" s="1" t="s">
        <v>61</v>
      </c>
      <c r="AA253" s="1" t="s">
        <v>61</v>
      </c>
      <c r="AB253" s="1" t="s">
        <v>61</v>
      </c>
      <c r="AC253" s="1" t="s">
        <v>61</v>
      </c>
      <c r="AD253" s="2">
        <v>45948.042546296296</v>
      </c>
      <c r="AE253" s="1" t="s">
        <v>63</v>
      </c>
      <c r="AF253" s="1" t="s">
        <v>61</v>
      </c>
      <c r="AG253" s="1" t="s">
        <v>2004</v>
      </c>
      <c r="AH253" s="1" t="s">
        <v>99</v>
      </c>
      <c r="AI253">
        <v>121007</v>
      </c>
      <c r="AJ253" s="1" t="s">
        <v>66</v>
      </c>
      <c r="AK253" s="1" t="s">
        <v>67</v>
      </c>
      <c r="AL253">
        <v>62042300</v>
      </c>
      <c r="AM253" s="2"/>
      <c r="AN253">
        <v>5400</v>
      </c>
      <c r="AO253" s="1" t="s">
        <v>2243</v>
      </c>
      <c r="AP253" s="1" t="s">
        <v>61</v>
      </c>
      <c r="AQ253" s="1" t="s">
        <v>61</v>
      </c>
      <c r="AR253" s="1" t="s">
        <v>63</v>
      </c>
      <c r="AS253">
        <v>18</v>
      </c>
      <c r="AT253">
        <v>0</v>
      </c>
      <c r="AU253">
        <v>0</v>
      </c>
      <c r="AV253">
        <v>18</v>
      </c>
      <c r="AW253">
        <v>823.72900000000004</v>
      </c>
      <c r="AX253">
        <v>0</v>
      </c>
      <c r="AY253">
        <v>0</v>
      </c>
      <c r="AZ253">
        <v>823.72900000000004</v>
      </c>
      <c r="BA253" s="2"/>
      <c r="BB253">
        <v>0.85</v>
      </c>
      <c r="BC253" s="2">
        <v>45935.5</v>
      </c>
      <c r="BD253" s="27">
        <f>MarketPlace_Order_Report__2[[#This Row],[UnitPrice]]*MarketPlace_Order_Report__2[[#This Row],[OrderQty]]</f>
        <v>5400</v>
      </c>
      <c r="BE253" s="27">
        <f>IFERROR(MarketPlace_Order_Report__2[[#This Row],[CGSTAmount]]+MarketPlace_Order_Report__2[[#This Row],[SGSTAmount]]+MarketPlace_Order_Report__2[[#This Row],[IGSTAmount]],MarketPlace_Order_Report__2[[#This Row],[TaxAmount]])</f>
        <v>823.72900000000004</v>
      </c>
      <c r="BF253" s="27">
        <f>MarketPlace_Order_Report__2[[#This Row],[Gross Amount (Before Tax)]]+MarketPlace_Order_Report__2[[#This Row],[Total GST Amount]]</f>
        <v>6223.7290000000003</v>
      </c>
    </row>
    <row r="254" spans="1:58">
      <c r="A254" s="1" t="s">
        <v>2244</v>
      </c>
      <c r="B254" s="1" t="s">
        <v>2245</v>
      </c>
      <c r="C254" s="1" t="s">
        <v>2246</v>
      </c>
      <c r="D254" s="1" t="s">
        <v>2247</v>
      </c>
      <c r="E254">
        <v>2</v>
      </c>
      <c r="F254" s="1" t="s">
        <v>58</v>
      </c>
      <c r="G254">
        <v>1</v>
      </c>
      <c r="H254">
        <v>1</v>
      </c>
      <c r="I254">
        <v>6950</v>
      </c>
      <c r="J254">
        <v>6255</v>
      </c>
      <c r="K254">
        <v>0</v>
      </c>
      <c r="L254">
        <v>6274.2</v>
      </c>
      <c r="M254">
        <v>19.2</v>
      </c>
      <c r="N254" s="1" t="s">
        <v>59</v>
      </c>
      <c r="O254" s="2">
        <v>45937.951574074075</v>
      </c>
      <c r="P254" s="2">
        <v>45939.734733796293</v>
      </c>
      <c r="Q254" s="2">
        <v>45946.630057870374</v>
      </c>
      <c r="R254" s="1" t="s">
        <v>2248</v>
      </c>
      <c r="S254" s="1" t="s">
        <v>351</v>
      </c>
      <c r="T254" s="2">
        <v>45938.725810185184</v>
      </c>
      <c r="U254" s="1" t="s">
        <v>61</v>
      </c>
      <c r="V254" s="1" t="s">
        <v>789</v>
      </c>
      <c r="W254" s="1" t="s">
        <v>61</v>
      </c>
      <c r="X254" s="1" t="s">
        <v>61</v>
      </c>
      <c r="Y254" s="1" t="s">
        <v>61</v>
      </c>
      <c r="Z254" s="1" t="s">
        <v>61</v>
      </c>
      <c r="AA254" s="1" t="s">
        <v>61</v>
      </c>
      <c r="AB254" s="1" t="s">
        <v>61</v>
      </c>
      <c r="AC254" s="1" t="s">
        <v>61</v>
      </c>
      <c r="AD254" s="2">
        <v>45946.639513888891</v>
      </c>
      <c r="AE254" s="1" t="s">
        <v>63</v>
      </c>
      <c r="AF254" s="1" t="s">
        <v>61</v>
      </c>
      <c r="AG254" s="1" t="s">
        <v>1180</v>
      </c>
      <c r="AH254" s="1" t="s">
        <v>88</v>
      </c>
      <c r="AI254">
        <v>462016</v>
      </c>
      <c r="AJ254" s="1" t="s">
        <v>66</v>
      </c>
      <c r="AK254" s="1" t="s">
        <v>67</v>
      </c>
      <c r="AL254">
        <v>62044220</v>
      </c>
      <c r="AM254" s="2"/>
      <c r="AN254">
        <v>6255</v>
      </c>
      <c r="AO254" s="1" t="s">
        <v>2249</v>
      </c>
      <c r="AP254" s="1" t="s">
        <v>853</v>
      </c>
      <c r="AQ254" s="1" t="s">
        <v>61</v>
      </c>
      <c r="AR254" s="1" t="s">
        <v>63</v>
      </c>
      <c r="AS254">
        <v>18</v>
      </c>
      <c r="AT254">
        <v>0</v>
      </c>
      <c r="AU254">
        <v>0</v>
      </c>
      <c r="AV254">
        <v>18</v>
      </c>
      <c r="AW254">
        <v>954.15300000000002</v>
      </c>
      <c r="AX254">
        <v>0</v>
      </c>
      <c r="AY254">
        <v>0</v>
      </c>
      <c r="AZ254">
        <v>954.15300000000002</v>
      </c>
      <c r="BA254" s="2"/>
      <c r="BB254">
        <v>0.85</v>
      </c>
      <c r="BC254" s="2">
        <v>45940.5</v>
      </c>
      <c r="BD254" s="27">
        <f>MarketPlace_Order_Report__2[[#This Row],[UnitPrice]]*MarketPlace_Order_Report__2[[#This Row],[OrderQty]]</f>
        <v>6255</v>
      </c>
      <c r="BE254" s="27">
        <f>IFERROR(MarketPlace_Order_Report__2[[#This Row],[CGSTAmount]]+MarketPlace_Order_Report__2[[#This Row],[SGSTAmount]]+MarketPlace_Order_Report__2[[#This Row],[IGSTAmount]],MarketPlace_Order_Report__2[[#This Row],[TaxAmount]])</f>
        <v>954.15300000000002</v>
      </c>
      <c r="BF254" s="27">
        <f>MarketPlace_Order_Report__2[[#This Row],[Gross Amount (Before Tax)]]+MarketPlace_Order_Report__2[[#This Row],[Total GST Amount]]</f>
        <v>7209.1530000000002</v>
      </c>
    </row>
    <row r="255" spans="1:58">
      <c r="A255" s="1" t="s">
        <v>2250</v>
      </c>
      <c r="B255" s="1" t="s">
        <v>2251</v>
      </c>
      <c r="C255" s="1" t="s">
        <v>2252</v>
      </c>
      <c r="D255" s="1" t="s">
        <v>2253</v>
      </c>
      <c r="E255">
        <v>2</v>
      </c>
      <c r="F255" s="1" t="s">
        <v>71</v>
      </c>
      <c r="G255">
        <v>1</v>
      </c>
      <c r="H255">
        <v>1</v>
      </c>
      <c r="I255">
        <v>6000</v>
      </c>
      <c r="J255">
        <v>5400</v>
      </c>
      <c r="K255">
        <v>0</v>
      </c>
      <c r="L255">
        <v>5414.55</v>
      </c>
      <c r="M255">
        <v>14.55</v>
      </c>
      <c r="N255" s="1" t="s">
        <v>59</v>
      </c>
      <c r="O255" s="2">
        <v>45939.678796296299</v>
      </c>
      <c r="P255" s="2">
        <v>45940.730949074074</v>
      </c>
      <c r="Q255" s="2">
        <v>45944.654780092591</v>
      </c>
      <c r="R255" s="1" t="s">
        <v>2254</v>
      </c>
      <c r="S255" s="1" t="s">
        <v>60</v>
      </c>
      <c r="T255" s="2">
        <v>45939.786168981482</v>
      </c>
      <c r="U255" s="1" t="s">
        <v>61</v>
      </c>
      <c r="V255" s="1" t="s">
        <v>789</v>
      </c>
      <c r="W255" s="1" t="s">
        <v>61</v>
      </c>
      <c r="X255" s="1" t="s">
        <v>61</v>
      </c>
      <c r="Y255" s="1" t="s">
        <v>2255</v>
      </c>
      <c r="Z255" s="1" t="s">
        <v>74</v>
      </c>
      <c r="AA255" s="1" t="s">
        <v>75</v>
      </c>
      <c r="AB255" s="1" t="s">
        <v>61</v>
      </c>
      <c r="AC255" s="1" t="s">
        <v>61</v>
      </c>
      <c r="AD255" s="2">
        <v>45959.365532407406</v>
      </c>
      <c r="AE255" s="1" t="s">
        <v>63</v>
      </c>
      <c r="AF255" s="1" t="s">
        <v>61</v>
      </c>
      <c r="AG255" s="1" t="s">
        <v>2256</v>
      </c>
      <c r="AH255" s="1" t="s">
        <v>275</v>
      </c>
      <c r="AI255">
        <v>734001</v>
      </c>
      <c r="AJ255" s="1" t="s">
        <v>66</v>
      </c>
      <c r="AK255" s="1" t="s">
        <v>67</v>
      </c>
      <c r="AL255">
        <v>62042300</v>
      </c>
      <c r="AM255" s="2"/>
      <c r="AN255">
        <v>5400</v>
      </c>
      <c r="AO255" s="1" t="s">
        <v>2257</v>
      </c>
      <c r="AP255" s="1" t="s">
        <v>1156</v>
      </c>
      <c r="AQ255" s="1" t="s">
        <v>61</v>
      </c>
      <c r="AR255" s="1" t="s">
        <v>63</v>
      </c>
      <c r="AS255">
        <v>18</v>
      </c>
      <c r="AT255">
        <v>0</v>
      </c>
      <c r="AU255">
        <v>0</v>
      </c>
      <c r="AV255">
        <v>18</v>
      </c>
      <c r="AW255">
        <v>823.72900000000004</v>
      </c>
      <c r="AX255">
        <v>0</v>
      </c>
      <c r="AY255">
        <v>0</v>
      </c>
      <c r="AZ255">
        <v>823.72900000000004</v>
      </c>
      <c r="BA255" s="2"/>
      <c r="BB255">
        <v>0.85</v>
      </c>
      <c r="BC255" s="2">
        <v>45942.5</v>
      </c>
      <c r="BD255" s="27">
        <f>MarketPlace_Order_Report__2[[#This Row],[UnitPrice]]*MarketPlace_Order_Report__2[[#This Row],[OrderQty]]</f>
        <v>5400</v>
      </c>
      <c r="BE255" s="27">
        <f>IFERROR(MarketPlace_Order_Report__2[[#This Row],[CGSTAmount]]+MarketPlace_Order_Report__2[[#This Row],[SGSTAmount]]+MarketPlace_Order_Report__2[[#This Row],[IGSTAmount]],MarketPlace_Order_Report__2[[#This Row],[TaxAmount]])</f>
        <v>823.72900000000004</v>
      </c>
      <c r="BF255" s="27">
        <f>MarketPlace_Order_Report__2[[#This Row],[Gross Amount (Before Tax)]]+MarketPlace_Order_Report__2[[#This Row],[Total GST Amount]]</f>
        <v>6223.7290000000003</v>
      </c>
    </row>
    <row r="256" spans="1:58">
      <c r="A256" s="1" t="s">
        <v>2258</v>
      </c>
      <c r="B256" s="1" t="s">
        <v>2259</v>
      </c>
      <c r="C256" s="1" t="s">
        <v>2260</v>
      </c>
      <c r="D256" s="1" t="s">
        <v>2261</v>
      </c>
      <c r="E256">
        <v>1</v>
      </c>
      <c r="F256" s="1" t="s">
        <v>58</v>
      </c>
      <c r="G256">
        <v>1</v>
      </c>
      <c r="H256">
        <v>1</v>
      </c>
      <c r="I256">
        <v>6950</v>
      </c>
      <c r="J256">
        <v>6255</v>
      </c>
      <c r="K256">
        <v>0</v>
      </c>
      <c r="L256">
        <v>6255</v>
      </c>
      <c r="M256">
        <v>0</v>
      </c>
      <c r="N256" s="1" t="s">
        <v>59</v>
      </c>
      <c r="O256" s="2">
        <v>45938.583078703705</v>
      </c>
      <c r="P256" s="2">
        <v>45939.734398148146</v>
      </c>
      <c r="Q256" s="2">
        <v>45943.444849537038</v>
      </c>
      <c r="R256" s="1" t="s">
        <v>2262</v>
      </c>
      <c r="S256" s="1" t="s">
        <v>60</v>
      </c>
      <c r="T256" s="2">
        <v>45938.725810185184</v>
      </c>
      <c r="U256" s="1" t="s">
        <v>61</v>
      </c>
      <c r="V256" s="1" t="s">
        <v>789</v>
      </c>
      <c r="W256" s="1" t="s">
        <v>61</v>
      </c>
      <c r="X256" s="1" t="s">
        <v>61</v>
      </c>
      <c r="Y256" s="1" t="s">
        <v>61</v>
      </c>
      <c r="Z256" s="1" t="s">
        <v>61</v>
      </c>
      <c r="AA256" s="1" t="s">
        <v>61</v>
      </c>
      <c r="AB256" s="1" t="s">
        <v>61</v>
      </c>
      <c r="AC256" s="1" t="s">
        <v>61</v>
      </c>
      <c r="AD256" s="2">
        <v>45943.445092592592</v>
      </c>
      <c r="AE256" s="1" t="s">
        <v>63</v>
      </c>
      <c r="AF256" s="1" t="s">
        <v>61</v>
      </c>
      <c r="AG256" s="1" t="s">
        <v>182</v>
      </c>
      <c r="AH256" s="1" t="s">
        <v>183</v>
      </c>
      <c r="AI256">
        <v>110075</v>
      </c>
      <c r="AJ256" s="1" t="s">
        <v>66</v>
      </c>
      <c r="AK256" s="1" t="s">
        <v>67</v>
      </c>
      <c r="AL256">
        <v>62042300</v>
      </c>
      <c r="AM256" s="2"/>
      <c r="AN256">
        <v>6255</v>
      </c>
      <c r="AO256" s="1" t="s">
        <v>2263</v>
      </c>
      <c r="AP256" s="1" t="s">
        <v>937</v>
      </c>
      <c r="AQ256" s="1" t="s">
        <v>61</v>
      </c>
      <c r="AR256" s="1" t="s">
        <v>63</v>
      </c>
      <c r="AS256">
        <v>18</v>
      </c>
      <c r="AT256">
        <v>0</v>
      </c>
      <c r="AU256">
        <v>0</v>
      </c>
      <c r="AV256">
        <v>18</v>
      </c>
      <c r="AW256">
        <v>954.15300000000002</v>
      </c>
      <c r="AX256">
        <v>0</v>
      </c>
      <c r="AY256">
        <v>0</v>
      </c>
      <c r="AZ256">
        <v>954.15300000000002</v>
      </c>
      <c r="BA256" s="2"/>
      <c r="BB256">
        <v>0.85</v>
      </c>
      <c r="BC256" s="2">
        <v>45941.5</v>
      </c>
      <c r="BD256" s="27">
        <f>MarketPlace_Order_Report__2[[#This Row],[UnitPrice]]*MarketPlace_Order_Report__2[[#This Row],[OrderQty]]</f>
        <v>6255</v>
      </c>
      <c r="BE256" s="27">
        <f>IFERROR(MarketPlace_Order_Report__2[[#This Row],[CGSTAmount]]+MarketPlace_Order_Report__2[[#This Row],[SGSTAmount]]+MarketPlace_Order_Report__2[[#This Row],[IGSTAmount]],MarketPlace_Order_Report__2[[#This Row],[TaxAmount]])</f>
        <v>954.15300000000002</v>
      </c>
      <c r="BF256" s="27">
        <f>MarketPlace_Order_Report__2[[#This Row],[Gross Amount (Before Tax)]]+MarketPlace_Order_Report__2[[#This Row],[Total GST Amount]]</f>
        <v>7209.1530000000002</v>
      </c>
    </row>
    <row r="257" spans="1:58">
      <c r="A257" s="1" t="s">
        <v>2264</v>
      </c>
      <c r="B257" s="1" t="s">
        <v>2265</v>
      </c>
      <c r="C257" s="1" t="s">
        <v>2266</v>
      </c>
      <c r="D257" s="1" t="s">
        <v>2267</v>
      </c>
      <c r="E257">
        <v>1</v>
      </c>
      <c r="F257" s="1" t="s">
        <v>58</v>
      </c>
      <c r="G257">
        <v>1</v>
      </c>
      <c r="H257">
        <v>1</v>
      </c>
      <c r="I257">
        <v>3250</v>
      </c>
      <c r="J257">
        <v>3088</v>
      </c>
      <c r="K257">
        <v>0</v>
      </c>
      <c r="L257">
        <v>3137</v>
      </c>
      <c r="M257">
        <v>49</v>
      </c>
      <c r="N257" s="1" t="s">
        <v>72</v>
      </c>
      <c r="O257" s="2">
        <v>45943.515081018515</v>
      </c>
      <c r="P257" s="2">
        <v>45944.741666666669</v>
      </c>
      <c r="Q257" s="2">
        <v>45948.49590277778</v>
      </c>
      <c r="R257" s="1" t="s">
        <v>2268</v>
      </c>
      <c r="S257" s="1" t="s">
        <v>351</v>
      </c>
      <c r="T257" s="2">
        <v>45943.812962962962</v>
      </c>
      <c r="U257" s="1" t="s">
        <v>61</v>
      </c>
      <c r="V257" s="1" t="s">
        <v>62</v>
      </c>
      <c r="W257" s="1" t="s">
        <v>61</v>
      </c>
      <c r="X257" s="1" t="s">
        <v>61</v>
      </c>
      <c r="Y257" s="1" t="s">
        <v>61</v>
      </c>
      <c r="Z257" s="1" t="s">
        <v>61</v>
      </c>
      <c r="AA257" s="1" t="s">
        <v>61</v>
      </c>
      <c r="AB257" s="1" t="s">
        <v>61</v>
      </c>
      <c r="AC257" s="1" t="s">
        <v>61</v>
      </c>
      <c r="AD257" s="2">
        <v>45948.49732638889</v>
      </c>
      <c r="AE257" s="1" t="s">
        <v>63</v>
      </c>
      <c r="AF257" s="1" t="s">
        <v>61</v>
      </c>
      <c r="AG257" s="1" t="s">
        <v>2269</v>
      </c>
      <c r="AH257" s="1" t="s">
        <v>318</v>
      </c>
      <c r="AI257">
        <v>424001</v>
      </c>
      <c r="AJ257" s="1" t="s">
        <v>66</v>
      </c>
      <c r="AK257" s="1" t="s">
        <v>67</v>
      </c>
      <c r="AL257">
        <v>62044220</v>
      </c>
      <c r="AM257" s="2"/>
      <c r="AN257">
        <v>3088</v>
      </c>
      <c r="AO257" s="1" t="s">
        <v>2270</v>
      </c>
      <c r="AP257" s="1" t="s">
        <v>209</v>
      </c>
      <c r="AQ257" s="1" t="s">
        <v>61</v>
      </c>
      <c r="AR257" s="1" t="s">
        <v>63</v>
      </c>
      <c r="AS257">
        <v>18</v>
      </c>
      <c r="AT257">
        <v>9</v>
      </c>
      <c r="AU257">
        <v>9</v>
      </c>
      <c r="AV257">
        <v>0</v>
      </c>
      <c r="AW257">
        <v>471.05099999999999</v>
      </c>
      <c r="AX257">
        <v>235.52600000000001</v>
      </c>
      <c r="AY257">
        <v>235.52600000000001</v>
      </c>
      <c r="AZ257">
        <v>0</v>
      </c>
      <c r="BA257" s="2"/>
      <c r="BB257">
        <v>0.85</v>
      </c>
      <c r="BC257" s="2">
        <v>45946.5</v>
      </c>
      <c r="BD257" s="27">
        <f>MarketPlace_Order_Report__2[[#This Row],[UnitPrice]]*MarketPlace_Order_Report__2[[#This Row],[OrderQty]]</f>
        <v>3088</v>
      </c>
      <c r="BE257" s="27">
        <f>IFERROR(MarketPlace_Order_Report__2[[#This Row],[CGSTAmount]]+MarketPlace_Order_Report__2[[#This Row],[SGSTAmount]]+MarketPlace_Order_Report__2[[#This Row],[IGSTAmount]],MarketPlace_Order_Report__2[[#This Row],[TaxAmount]])</f>
        <v>471.05200000000002</v>
      </c>
      <c r="BF257" s="27">
        <f>MarketPlace_Order_Report__2[[#This Row],[Gross Amount (Before Tax)]]+MarketPlace_Order_Report__2[[#This Row],[Total GST Amount]]</f>
        <v>3559.0520000000001</v>
      </c>
    </row>
    <row r="258" spans="1:58">
      <c r="A258" s="1" t="s">
        <v>2271</v>
      </c>
      <c r="B258" s="1" t="s">
        <v>2272</v>
      </c>
      <c r="C258" s="1" t="s">
        <v>2273</v>
      </c>
      <c r="D258" s="1" t="s">
        <v>2274</v>
      </c>
      <c r="E258">
        <v>10</v>
      </c>
      <c r="F258" s="1" t="s">
        <v>71</v>
      </c>
      <c r="G258">
        <v>1</v>
      </c>
      <c r="H258">
        <v>1</v>
      </c>
      <c r="I258">
        <v>4000</v>
      </c>
      <c r="J258">
        <v>3600</v>
      </c>
      <c r="K258">
        <v>0</v>
      </c>
      <c r="L258">
        <v>3603.22</v>
      </c>
      <c r="M258">
        <v>3.22</v>
      </c>
      <c r="N258" s="1" t="s">
        <v>59</v>
      </c>
      <c r="O258" s="2">
        <v>45931.615486111114</v>
      </c>
      <c r="P258" s="2">
        <v>45933.628622685188</v>
      </c>
      <c r="Q258" s="2">
        <v>45936.566458333335</v>
      </c>
      <c r="R258" s="1" t="s">
        <v>2275</v>
      </c>
      <c r="S258" s="1" t="s">
        <v>73</v>
      </c>
      <c r="T258" s="2">
        <v>45931.81354166667</v>
      </c>
      <c r="U258" s="1" t="s">
        <v>61</v>
      </c>
      <c r="V258" s="1" t="s">
        <v>62</v>
      </c>
      <c r="W258" s="1" t="s">
        <v>61</v>
      </c>
      <c r="X258" s="1" t="s">
        <v>61</v>
      </c>
      <c r="Y258" s="1" t="s">
        <v>2276</v>
      </c>
      <c r="Z258" s="1" t="s">
        <v>74</v>
      </c>
      <c r="AA258" s="1" t="s">
        <v>75</v>
      </c>
      <c r="AB258" s="1" t="s">
        <v>61</v>
      </c>
      <c r="AC258" s="1" t="s">
        <v>61</v>
      </c>
      <c r="AD258" s="2">
        <v>45945.723229166666</v>
      </c>
      <c r="AE258" s="1" t="s">
        <v>63</v>
      </c>
      <c r="AF258" s="1" t="s">
        <v>61</v>
      </c>
      <c r="AG258" s="1" t="s">
        <v>197</v>
      </c>
      <c r="AH258" s="1" t="s">
        <v>65</v>
      </c>
      <c r="AI258">
        <v>560102</v>
      </c>
      <c r="AJ258" s="1" t="s">
        <v>66</v>
      </c>
      <c r="AK258" s="1" t="s">
        <v>67</v>
      </c>
      <c r="AL258">
        <v>62044220</v>
      </c>
      <c r="AM258" s="2"/>
      <c r="AN258">
        <v>3600</v>
      </c>
      <c r="AO258" s="1" t="s">
        <v>2277</v>
      </c>
      <c r="AP258" s="1" t="s">
        <v>78</v>
      </c>
      <c r="AQ258" s="1" t="s">
        <v>61</v>
      </c>
      <c r="AR258" s="1" t="s">
        <v>63</v>
      </c>
      <c r="AS258">
        <v>18</v>
      </c>
      <c r="AT258">
        <v>0</v>
      </c>
      <c r="AU258">
        <v>0</v>
      </c>
      <c r="AV258">
        <v>18</v>
      </c>
      <c r="AW258">
        <v>549.15300000000002</v>
      </c>
      <c r="AX258">
        <v>0</v>
      </c>
      <c r="AY258">
        <v>0</v>
      </c>
      <c r="AZ258">
        <v>549.15300000000002</v>
      </c>
      <c r="BA258" s="2"/>
      <c r="BB258">
        <v>0.85</v>
      </c>
      <c r="BC258" s="2">
        <v>45934.5</v>
      </c>
      <c r="BD258" s="27">
        <f>MarketPlace_Order_Report__2[[#This Row],[UnitPrice]]*MarketPlace_Order_Report__2[[#This Row],[OrderQty]]</f>
        <v>3600</v>
      </c>
      <c r="BE258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58" s="27">
        <f>MarketPlace_Order_Report__2[[#This Row],[Gross Amount (Before Tax)]]+MarketPlace_Order_Report__2[[#This Row],[Total GST Amount]]</f>
        <v>4149.1530000000002</v>
      </c>
    </row>
    <row r="259" spans="1:58">
      <c r="A259" s="1" t="s">
        <v>2278</v>
      </c>
      <c r="B259" s="1" t="s">
        <v>2279</v>
      </c>
      <c r="C259" s="1" t="s">
        <v>2280</v>
      </c>
      <c r="D259" s="1" t="s">
        <v>2281</v>
      </c>
      <c r="E259">
        <v>1</v>
      </c>
      <c r="F259" s="1" t="s">
        <v>187</v>
      </c>
      <c r="G259">
        <v>1</v>
      </c>
      <c r="H259">
        <v>0</v>
      </c>
      <c r="I259">
        <v>4000</v>
      </c>
      <c r="J259">
        <v>3600</v>
      </c>
      <c r="K259">
        <v>0</v>
      </c>
      <c r="L259">
        <v>3649</v>
      </c>
      <c r="M259">
        <v>49</v>
      </c>
      <c r="N259" s="1" t="s">
        <v>72</v>
      </c>
      <c r="O259" s="2">
        <v>45935.067210648151</v>
      </c>
      <c r="P259" s="2"/>
      <c r="Q259" s="2"/>
      <c r="R259" s="1" t="s">
        <v>61</v>
      </c>
      <c r="S259" s="1" t="s">
        <v>60</v>
      </c>
      <c r="T259" s="2"/>
      <c r="U259" s="1" t="s">
        <v>831</v>
      </c>
      <c r="V259" s="1" t="s">
        <v>62</v>
      </c>
      <c r="W259" s="1" t="s">
        <v>61</v>
      </c>
      <c r="X259" s="1" t="s">
        <v>61</v>
      </c>
      <c r="Y259" s="1" t="s">
        <v>61</v>
      </c>
      <c r="Z259" s="1" t="s">
        <v>61</v>
      </c>
      <c r="AA259" s="1" t="s">
        <v>61</v>
      </c>
      <c r="AB259" s="1" t="s">
        <v>61</v>
      </c>
      <c r="AC259" s="1" t="s">
        <v>61</v>
      </c>
      <c r="AD259" s="2">
        <v>45935.389270833337</v>
      </c>
      <c r="AE259" s="1" t="s">
        <v>63</v>
      </c>
      <c r="AF259" s="1" t="s">
        <v>61</v>
      </c>
      <c r="AG259" s="1" t="s">
        <v>1151</v>
      </c>
      <c r="AH259" s="1" t="s">
        <v>77</v>
      </c>
      <c r="AI259">
        <v>284001</v>
      </c>
      <c r="AJ259" s="1" t="s">
        <v>66</v>
      </c>
      <c r="AK259" s="1" t="s">
        <v>67</v>
      </c>
      <c r="AL259">
        <v>62044220</v>
      </c>
      <c r="AM259" s="2">
        <v>45935.389270833337</v>
      </c>
      <c r="AN259">
        <v>3600</v>
      </c>
      <c r="AO259" s="1" t="s">
        <v>61</v>
      </c>
      <c r="AP259" s="1" t="s">
        <v>61</v>
      </c>
      <c r="AQ259" s="1" t="s">
        <v>61</v>
      </c>
      <c r="AR259" s="1" t="s">
        <v>63</v>
      </c>
      <c r="AS259">
        <v>18</v>
      </c>
      <c r="AT259">
        <v>0</v>
      </c>
      <c r="AU259">
        <v>0</v>
      </c>
      <c r="AV259">
        <v>18</v>
      </c>
      <c r="AW259">
        <v>549.15300000000002</v>
      </c>
      <c r="AX259">
        <v>0</v>
      </c>
      <c r="AY259">
        <v>0</v>
      </c>
      <c r="AZ259">
        <v>549.15300000000002</v>
      </c>
      <c r="BA259" s="2"/>
      <c r="BC259" s="2">
        <v>45937.5</v>
      </c>
      <c r="BD259" s="27">
        <f>MarketPlace_Order_Report__2[[#This Row],[UnitPrice]]*MarketPlace_Order_Report__2[[#This Row],[OrderQty]]</f>
        <v>3600</v>
      </c>
      <c r="BE259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59" s="27">
        <f>MarketPlace_Order_Report__2[[#This Row],[Gross Amount (Before Tax)]]+MarketPlace_Order_Report__2[[#This Row],[Total GST Amount]]</f>
        <v>4149.1530000000002</v>
      </c>
    </row>
    <row r="260" spans="1:58">
      <c r="A260" s="1" t="s">
        <v>1647</v>
      </c>
      <c r="B260" s="1" t="s">
        <v>1648</v>
      </c>
      <c r="C260" s="1" t="s">
        <v>2280</v>
      </c>
      <c r="D260" s="1" t="s">
        <v>2281</v>
      </c>
      <c r="E260">
        <v>3</v>
      </c>
      <c r="F260" s="1" t="s">
        <v>1076</v>
      </c>
      <c r="G260">
        <v>1</v>
      </c>
      <c r="H260">
        <v>1</v>
      </c>
      <c r="I260">
        <v>4000</v>
      </c>
      <c r="J260">
        <v>3600</v>
      </c>
      <c r="K260">
        <v>0</v>
      </c>
      <c r="L260">
        <v>3607.7170000000001</v>
      </c>
      <c r="M260">
        <v>7.7169999999999996</v>
      </c>
      <c r="N260" s="1" t="s">
        <v>59</v>
      </c>
      <c r="O260" s="2">
        <v>45933.581516203703</v>
      </c>
      <c r="P260" s="2">
        <v>45934.620092592595</v>
      </c>
      <c r="Q260" s="2"/>
      <c r="R260" s="1" t="s">
        <v>1649</v>
      </c>
      <c r="S260" s="1" t="s">
        <v>73</v>
      </c>
      <c r="T260" s="2">
        <v>45933.815833333334</v>
      </c>
      <c r="U260" s="1" t="s">
        <v>61</v>
      </c>
      <c r="V260" s="1" t="s">
        <v>62</v>
      </c>
      <c r="W260" s="1" t="s">
        <v>61</v>
      </c>
      <c r="X260" s="1" t="s">
        <v>61</v>
      </c>
      <c r="Y260" s="1" t="s">
        <v>61</v>
      </c>
      <c r="Z260" s="1" t="s">
        <v>61</v>
      </c>
      <c r="AA260" s="1" t="s">
        <v>61</v>
      </c>
      <c r="AB260" s="1" t="s">
        <v>61</v>
      </c>
      <c r="AC260" s="1" t="s">
        <v>61</v>
      </c>
      <c r="AD260" s="2">
        <v>45948.046018518522</v>
      </c>
      <c r="AE260" s="1" t="s">
        <v>63</v>
      </c>
      <c r="AF260" s="1" t="s">
        <v>61</v>
      </c>
      <c r="AG260" s="1" t="s">
        <v>352</v>
      </c>
      <c r="AH260" s="1" t="s">
        <v>318</v>
      </c>
      <c r="AI260">
        <v>440017</v>
      </c>
      <c r="AJ260" s="1" t="s">
        <v>66</v>
      </c>
      <c r="AK260" s="1" t="s">
        <v>67</v>
      </c>
      <c r="AL260">
        <v>62044220</v>
      </c>
      <c r="AM260" s="2"/>
      <c r="AN260">
        <v>3600</v>
      </c>
      <c r="AO260" s="1" t="s">
        <v>1650</v>
      </c>
      <c r="AP260" s="1" t="s">
        <v>1240</v>
      </c>
      <c r="AQ260" s="1" t="s">
        <v>61</v>
      </c>
      <c r="AR260" s="1" t="s">
        <v>63</v>
      </c>
      <c r="AS260">
        <v>18</v>
      </c>
      <c r="AT260">
        <v>9</v>
      </c>
      <c r="AU260">
        <v>9</v>
      </c>
      <c r="AV260">
        <v>0</v>
      </c>
      <c r="AW260">
        <v>549.15300000000002</v>
      </c>
      <c r="AX260">
        <v>274.577</v>
      </c>
      <c r="AY260">
        <v>274.577</v>
      </c>
      <c r="AZ260">
        <v>0</v>
      </c>
      <c r="BA260" s="2"/>
      <c r="BB260">
        <v>1.1000000000000001</v>
      </c>
      <c r="BC260" s="2">
        <v>45936.5</v>
      </c>
      <c r="BD260" s="27">
        <f>MarketPlace_Order_Report__2[[#This Row],[UnitPrice]]*MarketPlace_Order_Report__2[[#This Row],[OrderQty]]</f>
        <v>3600</v>
      </c>
      <c r="BE260" s="27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260" s="27">
        <f>MarketPlace_Order_Report__2[[#This Row],[Gross Amount (Before Tax)]]+MarketPlace_Order_Report__2[[#This Row],[Total GST Amount]]</f>
        <v>4149.1540000000005</v>
      </c>
    </row>
    <row r="261" spans="1:58">
      <c r="A261" s="1" t="s">
        <v>2282</v>
      </c>
      <c r="B261" s="1" t="s">
        <v>2283</v>
      </c>
      <c r="C261" s="1" t="s">
        <v>2284</v>
      </c>
      <c r="D261" s="1" t="s">
        <v>2285</v>
      </c>
      <c r="E261">
        <v>1</v>
      </c>
      <c r="F261" s="1" t="s">
        <v>71</v>
      </c>
      <c r="G261">
        <v>1</v>
      </c>
      <c r="H261">
        <v>1</v>
      </c>
      <c r="I261">
        <v>4000</v>
      </c>
      <c r="J261">
        <v>3600</v>
      </c>
      <c r="K261">
        <v>0</v>
      </c>
      <c r="L261">
        <v>3629</v>
      </c>
      <c r="M261">
        <v>29</v>
      </c>
      <c r="N261" s="1" t="s">
        <v>59</v>
      </c>
      <c r="O261" s="2">
        <v>45931.039918981478</v>
      </c>
      <c r="P261" s="2">
        <v>45931.638194444444</v>
      </c>
      <c r="Q261" s="2">
        <v>45936.6328587963</v>
      </c>
      <c r="R261" s="1" t="s">
        <v>2286</v>
      </c>
      <c r="S261" s="1" t="s">
        <v>73</v>
      </c>
      <c r="T261" s="2">
        <v>45931.559259259258</v>
      </c>
      <c r="U261" s="1" t="s">
        <v>61</v>
      </c>
      <c r="V261" s="1" t="s">
        <v>62</v>
      </c>
      <c r="W261" s="1" t="s">
        <v>61</v>
      </c>
      <c r="X261" s="1" t="s">
        <v>61</v>
      </c>
      <c r="Y261" s="1" t="s">
        <v>2287</v>
      </c>
      <c r="Z261" s="1" t="s">
        <v>74</v>
      </c>
      <c r="AA261" s="1" t="s">
        <v>75</v>
      </c>
      <c r="AB261" s="1" t="s">
        <v>61</v>
      </c>
      <c r="AC261" s="1" t="s">
        <v>61</v>
      </c>
      <c r="AD261" s="2">
        <v>45947.862025462964</v>
      </c>
      <c r="AE261" s="1" t="s">
        <v>63</v>
      </c>
      <c r="AF261" s="1" t="s">
        <v>61</v>
      </c>
      <c r="AG261" s="1" t="s">
        <v>136</v>
      </c>
      <c r="AH261" s="1" t="s">
        <v>77</v>
      </c>
      <c r="AI261">
        <v>201301</v>
      </c>
      <c r="AJ261" s="1" t="s">
        <v>66</v>
      </c>
      <c r="AK261" s="1" t="s">
        <v>67</v>
      </c>
      <c r="AL261">
        <v>62044220</v>
      </c>
      <c r="AM261" s="2"/>
      <c r="AN261">
        <v>3600</v>
      </c>
      <c r="AO261" s="1" t="s">
        <v>2288</v>
      </c>
      <c r="AP261" s="1" t="s">
        <v>650</v>
      </c>
      <c r="AQ261" s="1" t="s">
        <v>61</v>
      </c>
      <c r="AR261" s="1" t="s">
        <v>63</v>
      </c>
      <c r="AS261">
        <v>18</v>
      </c>
      <c r="AT261">
        <v>0</v>
      </c>
      <c r="AU261">
        <v>0</v>
      </c>
      <c r="AV261">
        <v>18</v>
      </c>
      <c r="AW261">
        <v>549.15300000000002</v>
      </c>
      <c r="AX261">
        <v>0</v>
      </c>
      <c r="AY261">
        <v>0</v>
      </c>
      <c r="AZ261">
        <v>549.15300000000002</v>
      </c>
      <c r="BA261" s="2"/>
      <c r="BB261">
        <v>0.85</v>
      </c>
      <c r="BC261" s="2">
        <v>45933.5</v>
      </c>
      <c r="BD261" s="27">
        <f>MarketPlace_Order_Report__2[[#This Row],[UnitPrice]]*MarketPlace_Order_Report__2[[#This Row],[OrderQty]]</f>
        <v>3600</v>
      </c>
      <c r="BE261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61" s="27">
        <f>MarketPlace_Order_Report__2[[#This Row],[Gross Amount (Before Tax)]]+MarketPlace_Order_Report__2[[#This Row],[Total GST Amount]]</f>
        <v>4149.1530000000002</v>
      </c>
    </row>
    <row r="262" spans="1:58">
      <c r="A262" s="1" t="s">
        <v>2289</v>
      </c>
      <c r="B262" s="1" t="s">
        <v>2290</v>
      </c>
      <c r="C262" s="1" t="s">
        <v>866</v>
      </c>
      <c r="D262" s="1" t="s">
        <v>867</v>
      </c>
      <c r="E262">
        <v>4</v>
      </c>
      <c r="F262" s="1" t="s">
        <v>71</v>
      </c>
      <c r="G262">
        <v>1</v>
      </c>
      <c r="H262">
        <v>1</v>
      </c>
      <c r="I262">
        <v>4000</v>
      </c>
      <c r="J262">
        <v>3800</v>
      </c>
      <c r="K262">
        <v>0</v>
      </c>
      <c r="L262">
        <v>3808.79</v>
      </c>
      <c r="M262">
        <v>8.7899999999999991</v>
      </c>
      <c r="N262" s="1" t="s">
        <v>72</v>
      </c>
      <c r="O262" s="2">
        <v>45945.213599537034</v>
      </c>
      <c r="P262" s="2">
        <v>45946.732372685183</v>
      </c>
      <c r="Q262" s="2">
        <v>45951.458819444444</v>
      </c>
      <c r="R262" s="1" t="s">
        <v>2291</v>
      </c>
      <c r="S262" s="1" t="s">
        <v>60</v>
      </c>
      <c r="T262" s="2">
        <v>45945.79928240741</v>
      </c>
      <c r="U262" s="1" t="s">
        <v>61</v>
      </c>
      <c r="V262" s="1" t="s">
        <v>62</v>
      </c>
      <c r="W262" s="1" t="s">
        <v>61</v>
      </c>
      <c r="X262" s="1" t="s">
        <v>61</v>
      </c>
      <c r="Y262" s="1" t="s">
        <v>2292</v>
      </c>
      <c r="Z262" s="1" t="s">
        <v>74</v>
      </c>
      <c r="AA262" s="1" t="s">
        <v>695</v>
      </c>
      <c r="AB262" s="1" t="s">
        <v>61</v>
      </c>
      <c r="AC262" s="1" t="s">
        <v>61</v>
      </c>
      <c r="AD262" s="2">
        <v>45961.539189814815</v>
      </c>
      <c r="AE262" s="1" t="s">
        <v>63</v>
      </c>
      <c r="AF262" s="1" t="s">
        <v>61</v>
      </c>
      <c r="AG262" s="1" t="s">
        <v>459</v>
      </c>
      <c r="AH262" s="1" t="s">
        <v>434</v>
      </c>
      <c r="AI262">
        <v>360003</v>
      </c>
      <c r="AJ262" s="1" t="s">
        <v>66</v>
      </c>
      <c r="AK262" s="1" t="s">
        <v>67</v>
      </c>
      <c r="AL262">
        <v>62044220</v>
      </c>
      <c r="AM262" s="2"/>
      <c r="AN262">
        <v>3800</v>
      </c>
      <c r="AO262" s="1" t="s">
        <v>2293</v>
      </c>
      <c r="AP262" s="1" t="s">
        <v>61</v>
      </c>
      <c r="AQ262" s="1" t="s">
        <v>61</v>
      </c>
      <c r="AR262" s="1" t="s">
        <v>63</v>
      </c>
      <c r="AS262">
        <v>18</v>
      </c>
      <c r="AT262">
        <v>0</v>
      </c>
      <c r="AU262">
        <v>0</v>
      </c>
      <c r="AV262">
        <v>18</v>
      </c>
      <c r="AW262">
        <v>579.66099999999994</v>
      </c>
      <c r="AX262">
        <v>0</v>
      </c>
      <c r="AY262">
        <v>0</v>
      </c>
      <c r="AZ262">
        <v>579.66099999999994</v>
      </c>
      <c r="BA262" s="2"/>
      <c r="BB262">
        <v>0.85</v>
      </c>
      <c r="BC262" s="2">
        <v>45947.5</v>
      </c>
      <c r="BD262" s="27">
        <f>MarketPlace_Order_Report__2[[#This Row],[UnitPrice]]*MarketPlace_Order_Report__2[[#This Row],[OrderQty]]</f>
        <v>3800</v>
      </c>
      <c r="BE262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62" s="27">
        <f>MarketPlace_Order_Report__2[[#This Row],[Gross Amount (Before Tax)]]+MarketPlace_Order_Report__2[[#This Row],[Total GST Amount]]</f>
        <v>4379.6610000000001</v>
      </c>
    </row>
    <row r="263" spans="1:58">
      <c r="A263" s="1" t="s">
        <v>2294</v>
      </c>
      <c r="B263" s="1" t="s">
        <v>2295</v>
      </c>
      <c r="C263" s="1" t="s">
        <v>866</v>
      </c>
      <c r="D263" s="1" t="s">
        <v>867</v>
      </c>
      <c r="E263">
        <v>1</v>
      </c>
      <c r="F263" s="1" t="s">
        <v>58</v>
      </c>
      <c r="G263">
        <v>1</v>
      </c>
      <c r="H263">
        <v>1</v>
      </c>
      <c r="I263">
        <v>4000</v>
      </c>
      <c r="J263">
        <v>3800</v>
      </c>
      <c r="K263">
        <v>0</v>
      </c>
      <c r="L263">
        <v>3811.14</v>
      </c>
      <c r="M263">
        <v>11.14</v>
      </c>
      <c r="N263" s="1" t="s">
        <v>59</v>
      </c>
      <c r="O263" s="2">
        <v>45943.975694444445</v>
      </c>
      <c r="P263" s="2">
        <v>45945.758842592593</v>
      </c>
      <c r="Q263" s="2">
        <v>45948.667962962965</v>
      </c>
      <c r="R263" s="1" t="s">
        <v>2296</v>
      </c>
      <c r="S263" s="1" t="s">
        <v>60</v>
      </c>
      <c r="T263" s="2">
        <v>45944.808067129627</v>
      </c>
      <c r="U263" s="1" t="s">
        <v>61</v>
      </c>
      <c r="V263" s="1" t="s">
        <v>62</v>
      </c>
      <c r="W263" s="1" t="s">
        <v>61</v>
      </c>
      <c r="X263" s="1" t="s">
        <v>61</v>
      </c>
      <c r="Y263" s="1" t="s">
        <v>61</v>
      </c>
      <c r="Z263" s="1" t="s">
        <v>61</v>
      </c>
      <c r="AA263" s="1" t="s">
        <v>61</v>
      </c>
      <c r="AB263" s="1" t="s">
        <v>61</v>
      </c>
      <c r="AC263" s="1" t="s">
        <v>61</v>
      </c>
      <c r="AD263" s="2">
        <v>45948.671041666668</v>
      </c>
      <c r="AE263" s="1" t="s">
        <v>63</v>
      </c>
      <c r="AF263" s="1" t="s">
        <v>61</v>
      </c>
      <c r="AG263" s="1" t="s">
        <v>197</v>
      </c>
      <c r="AH263" s="1" t="s">
        <v>65</v>
      </c>
      <c r="AI263">
        <v>560035</v>
      </c>
      <c r="AJ263" s="1" t="s">
        <v>66</v>
      </c>
      <c r="AK263" s="1" t="s">
        <v>67</v>
      </c>
      <c r="AL263">
        <v>62044220</v>
      </c>
      <c r="AM263" s="2"/>
      <c r="AN263">
        <v>3800</v>
      </c>
      <c r="AO263" s="1" t="s">
        <v>2297</v>
      </c>
      <c r="AP263" s="1" t="s">
        <v>209</v>
      </c>
      <c r="AQ263" s="1" t="s">
        <v>61</v>
      </c>
      <c r="AR263" s="1" t="s">
        <v>63</v>
      </c>
      <c r="AS263">
        <v>18</v>
      </c>
      <c r="AT263">
        <v>0</v>
      </c>
      <c r="AU263">
        <v>0</v>
      </c>
      <c r="AV263">
        <v>18</v>
      </c>
      <c r="AW263">
        <v>579.66099999999994</v>
      </c>
      <c r="AX263">
        <v>0</v>
      </c>
      <c r="AY263">
        <v>0</v>
      </c>
      <c r="AZ263">
        <v>579.66099999999994</v>
      </c>
      <c r="BA263" s="2"/>
      <c r="BB263">
        <v>0.85</v>
      </c>
      <c r="BC263" s="2">
        <v>45946.5</v>
      </c>
      <c r="BD263" s="27">
        <f>MarketPlace_Order_Report__2[[#This Row],[UnitPrice]]*MarketPlace_Order_Report__2[[#This Row],[OrderQty]]</f>
        <v>3800</v>
      </c>
      <c r="BE263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63" s="27">
        <f>MarketPlace_Order_Report__2[[#This Row],[Gross Amount (Before Tax)]]+MarketPlace_Order_Report__2[[#This Row],[Total GST Amount]]</f>
        <v>4379.6610000000001</v>
      </c>
    </row>
    <row r="264" spans="1:58">
      <c r="A264" s="1" t="s">
        <v>1152</v>
      </c>
      <c r="B264" s="1" t="s">
        <v>1153</v>
      </c>
      <c r="C264" s="1" t="s">
        <v>870</v>
      </c>
      <c r="D264" s="1" t="s">
        <v>871</v>
      </c>
      <c r="E264">
        <v>1</v>
      </c>
      <c r="F264" s="1" t="s">
        <v>58</v>
      </c>
      <c r="G264">
        <v>1</v>
      </c>
      <c r="H264">
        <v>1</v>
      </c>
      <c r="I264">
        <v>3500</v>
      </c>
      <c r="J264">
        <v>3325</v>
      </c>
      <c r="K264">
        <v>0</v>
      </c>
      <c r="L264">
        <v>3338.0749999999998</v>
      </c>
      <c r="M264">
        <v>13.074999999999999</v>
      </c>
      <c r="N264" s="1" t="s">
        <v>59</v>
      </c>
      <c r="O264" s="2">
        <v>45942.552453703705</v>
      </c>
      <c r="P264" s="2">
        <v>45943.761608796296</v>
      </c>
      <c r="Q264" s="2">
        <v>45946.461747685185</v>
      </c>
      <c r="R264" s="1" t="s">
        <v>1154</v>
      </c>
      <c r="S264" s="1" t="s">
        <v>351</v>
      </c>
      <c r="T264" s="2">
        <v>45942.661412037036</v>
      </c>
      <c r="U264" s="1" t="s">
        <v>61</v>
      </c>
      <c r="V264" s="1" t="s">
        <v>62</v>
      </c>
      <c r="W264" s="1" t="s">
        <v>61</v>
      </c>
      <c r="X264" s="1" t="s">
        <v>61</v>
      </c>
      <c r="Y264" s="1" t="s">
        <v>61</v>
      </c>
      <c r="Z264" s="1" t="s">
        <v>61</v>
      </c>
      <c r="AA264" s="1" t="s">
        <v>61</v>
      </c>
      <c r="AB264" s="1" t="s">
        <v>61</v>
      </c>
      <c r="AC264" s="1" t="s">
        <v>61</v>
      </c>
      <c r="AD264" s="2">
        <v>45946.483437499999</v>
      </c>
      <c r="AE264" s="1" t="s">
        <v>63</v>
      </c>
      <c r="AF264" s="1" t="s">
        <v>61</v>
      </c>
      <c r="AG264" s="1" t="s">
        <v>408</v>
      </c>
      <c r="AH264" s="1" t="s">
        <v>318</v>
      </c>
      <c r="AI264">
        <v>400059</v>
      </c>
      <c r="AJ264" s="1" t="s">
        <v>66</v>
      </c>
      <c r="AK264" s="1" t="s">
        <v>67</v>
      </c>
      <c r="AL264">
        <v>62044220</v>
      </c>
      <c r="AM264" s="2"/>
      <c r="AN264">
        <v>3325</v>
      </c>
      <c r="AO264" s="1" t="s">
        <v>1155</v>
      </c>
      <c r="AP264" s="1" t="s">
        <v>1156</v>
      </c>
      <c r="AQ264" s="1" t="s">
        <v>61</v>
      </c>
      <c r="AR264" s="1" t="s">
        <v>63</v>
      </c>
      <c r="AS264">
        <v>18</v>
      </c>
      <c r="AT264">
        <v>9</v>
      </c>
      <c r="AU264">
        <v>9</v>
      </c>
      <c r="AV264">
        <v>0</v>
      </c>
      <c r="AW264">
        <v>507.20299999999997</v>
      </c>
      <c r="AX264">
        <v>253.602</v>
      </c>
      <c r="AY264">
        <v>253.602</v>
      </c>
      <c r="AZ264">
        <v>0</v>
      </c>
      <c r="BA264" s="2"/>
      <c r="BB264">
        <v>1.2</v>
      </c>
      <c r="BC264" s="2">
        <v>45945.5</v>
      </c>
      <c r="BD264" s="27">
        <f>MarketPlace_Order_Report__2[[#This Row],[UnitPrice]]*MarketPlace_Order_Report__2[[#This Row],[OrderQty]]</f>
        <v>3325</v>
      </c>
      <c r="BE264" s="27">
        <f>IFERROR(MarketPlace_Order_Report__2[[#This Row],[CGSTAmount]]+MarketPlace_Order_Report__2[[#This Row],[SGSTAmount]]+MarketPlace_Order_Report__2[[#This Row],[IGSTAmount]],MarketPlace_Order_Report__2[[#This Row],[TaxAmount]])</f>
        <v>507.20400000000001</v>
      </c>
      <c r="BF264" s="27">
        <f>MarketPlace_Order_Report__2[[#This Row],[Gross Amount (Before Tax)]]+MarketPlace_Order_Report__2[[#This Row],[Total GST Amount]]</f>
        <v>3832.2040000000002</v>
      </c>
    </row>
    <row r="265" spans="1:58">
      <c r="A265" s="1" t="s">
        <v>2298</v>
      </c>
      <c r="B265" s="1" t="s">
        <v>2299</v>
      </c>
      <c r="C265" s="1" t="s">
        <v>2300</v>
      </c>
      <c r="D265" s="1" t="s">
        <v>2301</v>
      </c>
      <c r="E265">
        <v>1</v>
      </c>
      <c r="F265" s="1" t="s">
        <v>58</v>
      </c>
      <c r="G265">
        <v>1</v>
      </c>
      <c r="H265">
        <v>1</v>
      </c>
      <c r="I265">
        <v>4000</v>
      </c>
      <c r="J265">
        <v>3800</v>
      </c>
      <c r="K265">
        <v>0</v>
      </c>
      <c r="L265">
        <v>3829</v>
      </c>
      <c r="M265">
        <v>29</v>
      </c>
      <c r="N265" s="1" t="s">
        <v>59</v>
      </c>
      <c r="O265" s="2">
        <v>45956.935011574074</v>
      </c>
      <c r="P265" s="2">
        <v>45958.714467592596</v>
      </c>
      <c r="Q265" s="2">
        <v>45961.371018518519</v>
      </c>
      <c r="R265" s="1" t="s">
        <v>2302</v>
      </c>
      <c r="S265" s="1" t="s">
        <v>60</v>
      </c>
      <c r="T265" s="2">
        <v>45957.797627314816</v>
      </c>
      <c r="U265" s="1" t="s">
        <v>61</v>
      </c>
      <c r="V265" s="1" t="s">
        <v>62</v>
      </c>
      <c r="W265" s="1" t="s">
        <v>61</v>
      </c>
      <c r="X265" s="1" t="s">
        <v>61</v>
      </c>
      <c r="Y265" s="1" t="s">
        <v>61</v>
      </c>
      <c r="Z265" s="1" t="s">
        <v>61</v>
      </c>
      <c r="AA265" s="1" t="s">
        <v>61</v>
      </c>
      <c r="AB265" s="1" t="s">
        <v>61</v>
      </c>
      <c r="AC265" s="1" t="s">
        <v>61</v>
      </c>
      <c r="AD265" s="2">
        <v>45961.372291666667</v>
      </c>
      <c r="AE265" s="1" t="s">
        <v>63</v>
      </c>
      <c r="AF265" s="1" t="s">
        <v>61</v>
      </c>
      <c r="AG265" s="1" t="s">
        <v>182</v>
      </c>
      <c r="AH265" s="1" t="s">
        <v>183</v>
      </c>
      <c r="AI265">
        <v>110033</v>
      </c>
      <c r="AJ265" s="1" t="s">
        <v>66</v>
      </c>
      <c r="AK265" s="1" t="s">
        <v>67</v>
      </c>
      <c r="AL265">
        <v>62044220</v>
      </c>
      <c r="AM265" s="2"/>
      <c r="AN265">
        <v>3800</v>
      </c>
      <c r="AO265" s="1" t="s">
        <v>2303</v>
      </c>
      <c r="AP265" s="1" t="s">
        <v>1966</v>
      </c>
      <c r="AQ265" s="1" t="s">
        <v>61</v>
      </c>
      <c r="AR265" s="1" t="s">
        <v>63</v>
      </c>
      <c r="AS265">
        <v>18</v>
      </c>
      <c r="AT265">
        <v>0</v>
      </c>
      <c r="AU265">
        <v>0</v>
      </c>
      <c r="AV265">
        <v>18</v>
      </c>
      <c r="AW265">
        <v>579.66099999999994</v>
      </c>
      <c r="AX265">
        <v>0</v>
      </c>
      <c r="AY265">
        <v>0</v>
      </c>
      <c r="AZ265">
        <v>579.66099999999994</v>
      </c>
      <c r="BA265" s="2"/>
      <c r="BB265">
        <v>0.85</v>
      </c>
      <c r="BC265" s="2">
        <v>45959.5</v>
      </c>
      <c r="BD265" s="27">
        <f>MarketPlace_Order_Report__2[[#This Row],[UnitPrice]]*MarketPlace_Order_Report__2[[#This Row],[OrderQty]]</f>
        <v>3800</v>
      </c>
      <c r="BE265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65" s="27">
        <f>MarketPlace_Order_Report__2[[#This Row],[Gross Amount (Before Tax)]]+MarketPlace_Order_Report__2[[#This Row],[Total GST Amount]]</f>
        <v>4379.6610000000001</v>
      </c>
    </row>
    <row r="266" spans="1:58">
      <c r="A266" s="1" t="s">
        <v>2304</v>
      </c>
      <c r="B266" s="1" t="s">
        <v>2305</v>
      </c>
      <c r="C266" s="1" t="s">
        <v>2306</v>
      </c>
      <c r="D266" s="1" t="s">
        <v>2307</v>
      </c>
      <c r="E266">
        <v>1</v>
      </c>
      <c r="F266" s="1" t="s">
        <v>71</v>
      </c>
      <c r="G266">
        <v>1</v>
      </c>
      <c r="H266">
        <v>1</v>
      </c>
      <c r="I266">
        <v>3750</v>
      </c>
      <c r="J266">
        <v>3375</v>
      </c>
      <c r="K266">
        <v>0</v>
      </c>
      <c r="L266">
        <v>3382.91</v>
      </c>
      <c r="M266">
        <v>7.91</v>
      </c>
      <c r="N266" s="1" t="s">
        <v>59</v>
      </c>
      <c r="O266" s="2">
        <v>45937.060046296298</v>
      </c>
      <c r="P266" s="2">
        <v>45938.718402777777</v>
      </c>
      <c r="Q266" s="2">
        <v>45940.720810185187</v>
      </c>
      <c r="R266" s="1" t="s">
        <v>2308</v>
      </c>
      <c r="S266" s="1" t="s">
        <v>351</v>
      </c>
      <c r="T266" s="2">
        <v>45937.715995370374</v>
      </c>
      <c r="U266" s="1" t="s">
        <v>61</v>
      </c>
      <c r="V266" s="1" t="s">
        <v>62</v>
      </c>
      <c r="W266" s="1" t="s">
        <v>61</v>
      </c>
      <c r="X266" s="1" t="s">
        <v>61</v>
      </c>
      <c r="Y266" s="1" t="s">
        <v>2309</v>
      </c>
      <c r="Z266" s="1" t="s">
        <v>74</v>
      </c>
      <c r="AA266" s="1" t="s">
        <v>75</v>
      </c>
      <c r="AB266" s="1" t="s">
        <v>61</v>
      </c>
      <c r="AC266" s="1" t="s">
        <v>61</v>
      </c>
      <c r="AD266" s="2">
        <v>45947.636469907404</v>
      </c>
      <c r="AE266" s="1" t="s">
        <v>63</v>
      </c>
      <c r="AF266" s="1" t="s">
        <v>61</v>
      </c>
      <c r="AG266" s="1" t="s">
        <v>324</v>
      </c>
      <c r="AH266" s="1" t="s">
        <v>318</v>
      </c>
      <c r="AI266">
        <v>411028</v>
      </c>
      <c r="AJ266" s="1" t="s">
        <v>66</v>
      </c>
      <c r="AK266" s="1" t="s">
        <v>67</v>
      </c>
      <c r="AL266">
        <v>62044220</v>
      </c>
      <c r="AM266" s="2"/>
      <c r="AN266">
        <v>3375</v>
      </c>
      <c r="AO266" s="1" t="s">
        <v>2310</v>
      </c>
      <c r="AP266" s="1" t="s">
        <v>61</v>
      </c>
      <c r="AQ266" s="1" t="s">
        <v>61</v>
      </c>
      <c r="AR266" s="1" t="s">
        <v>63</v>
      </c>
      <c r="AS266">
        <v>18</v>
      </c>
      <c r="AT266">
        <v>9</v>
      </c>
      <c r="AU266">
        <v>9</v>
      </c>
      <c r="AV266">
        <v>0</v>
      </c>
      <c r="AW266">
        <v>514.83100000000002</v>
      </c>
      <c r="AX266">
        <v>257.416</v>
      </c>
      <c r="AY266">
        <v>257.416</v>
      </c>
      <c r="AZ266">
        <v>0</v>
      </c>
      <c r="BA266" s="2"/>
      <c r="BB266">
        <v>0.85</v>
      </c>
      <c r="BC266" s="2">
        <v>45939.5</v>
      </c>
      <c r="BD266" s="27">
        <f>MarketPlace_Order_Report__2[[#This Row],[UnitPrice]]*MarketPlace_Order_Report__2[[#This Row],[OrderQty]]</f>
        <v>3375</v>
      </c>
      <c r="BE266" s="27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BF266" s="27">
        <f>MarketPlace_Order_Report__2[[#This Row],[Gross Amount (Before Tax)]]+MarketPlace_Order_Report__2[[#This Row],[Total GST Amount]]</f>
        <v>3889.8319999999999</v>
      </c>
    </row>
    <row r="267" spans="1:58">
      <c r="A267" s="1" t="s">
        <v>1316</v>
      </c>
      <c r="B267" s="1" t="s">
        <v>1317</v>
      </c>
      <c r="C267" s="1" t="s">
        <v>2311</v>
      </c>
      <c r="D267" s="1" t="s">
        <v>2312</v>
      </c>
      <c r="E267">
        <v>3</v>
      </c>
      <c r="F267" s="1" t="s">
        <v>58</v>
      </c>
      <c r="G267">
        <v>1</v>
      </c>
      <c r="H267">
        <v>1</v>
      </c>
      <c r="I267">
        <v>4000</v>
      </c>
      <c r="J267">
        <v>3800</v>
      </c>
      <c r="K267">
        <v>0</v>
      </c>
      <c r="L267">
        <v>3810.3009999999999</v>
      </c>
      <c r="M267">
        <v>10.301</v>
      </c>
      <c r="N267" s="1" t="s">
        <v>59</v>
      </c>
      <c r="O267" s="2">
        <v>45958.070393518516</v>
      </c>
      <c r="P267" s="2">
        <v>45958.715520833335</v>
      </c>
      <c r="Q267" s="2">
        <v>45960.514664351853</v>
      </c>
      <c r="R267" s="1" t="s">
        <v>1318</v>
      </c>
      <c r="S267" s="1" t="s">
        <v>60</v>
      </c>
      <c r="T267" s="2">
        <v>45958.543113425927</v>
      </c>
      <c r="U267" s="1" t="s">
        <v>61</v>
      </c>
      <c r="V267" s="1" t="s">
        <v>62</v>
      </c>
      <c r="W267" s="1" t="s">
        <v>61</v>
      </c>
      <c r="X267" s="1" t="s">
        <v>61</v>
      </c>
      <c r="Y267" s="1" t="s">
        <v>61</v>
      </c>
      <c r="Z267" s="1" t="s">
        <v>61</v>
      </c>
      <c r="AA267" s="1" t="s">
        <v>61</v>
      </c>
      <c r="AB267" s="1" t="s">
        <v>61</v>
      </c>
      <c r="AC267" s="1" t="s">
        <v>61</v>
      </c>
      <c r="AD267" s="2">
        <v>45960.518541666665</v>
      </c>
      <c r="AE267" s="1" t="s">
        <v>63</v>
      </c>
      <c r="AF267" s="1" t="s">
        <v>61</v>
      </c>
      <c r="AG267" s="1" t="s">
        <v>182</v>
      </c>
      <c r="AH267" s="1" t="s">
        <v>183</v>
      </c>
      <c r="AI267">
        <v>110031</v>
      </c>
      <c r="AJ267" s="1" t="s">
        <v>66</v>
      </c>
      <c r="AK267" s="1" t="s">
        <v>67</v>
      </c>
      <c r="AL267">
        <v>62044220</v>
      </c>
      <c r="AM267" s="2"/>
      <c r="AN267">
        <v>3800</v>
      </c>
      <c r="AO267" s="1" t="s">
        <v>1319</v>
      </c>
      <c r="AP267" s="1" t="s">
        <v>1320</v>
      </c>
      <c r="AQ267" s="1" t="s">
        <v>61</v>
      </c>
      <c r="AR267" s="1" t="s">
        <v>63</v>
      </c>
      <c r="AS267">
        <v>18</v>
      </c>
      <c r="AT267">
        <v>0</v>
      </c>
      <c r="AU267">
        <v>0</v>
      </c>
      <c r="AV267">
        <v>18</v>
      </c>
      <c r="AW267">
        <v>579.66099999999994</v>
      </c>
      <c r="AX267">
        <v>0</v>
      </c>
      <c r="AY267">
        <v>0</v>
      </c>
      <c r="AZ267">
        <v>579.66099999999994</v>
      </c>
      <c r="BA267" s="2"/>
      <c r="BB267">
        <v>1.2</v>
      </c>
      <c r="BC267" s="2">
        <v>45960.5</v>
      </c>
      <c r="BD267" s="27">
        <f>MarketPlace_Order_Report__2[[#This Row],[UnitPrice]]*MarketPlace_Order_Report__2[[#This Row],[OrderQty]]</f>
        <v>3800</v>
      </c>
      <c r="BE267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67" s="27">
        <f>MarketPlace_Order_Report__2[[#This Row],[Gross Amount (Before Tax)]]+MarketPlace_Order_Report__2[[#This Row],[Total GST Amount]]</f>
        <v>4379.6610000000001</v>
      </c>
    </row>
    <row r="268" spans="1:58">
      <c r="A268" s="1" t="s">
        <v>2313</v>
      </c>
      <c r="B268" s="1" t="s">
        <v>2314</v>
      </c>
      <c r="C268" s="1" t="s">
        <v>2315</v>
      </c>
      <c r="D268" s="1" t="s">
        <v>2316</v>
      </c>
      <c r="E268">
        <v>2</v>
      </c>
      <c r="F268" s="1" t="s">
        <v>71</v>
      </c>
      <c r="G268">
        <v>1</v>
      </c>
      <c r="H268">
        <v>1</v>
      </c>
      <c r="I268">
        <v>3750</v>
      </c>
      <c r="J268">
        <v>3563</v>
      </c>
      <c r="K268">
        <v>0</v>
      </c>
      <c r="L268">
        <v>3574.45</v>
      </c>
      <c r="M268">
        <v>11.45</v>
      </c>
      <c r="N268" s="1" t="s">
        <v>59</v>
      </c>
      <c r="O268" s="2">
        <v>45943.309363425928</v>
      </c>
      <c r="P268" s="2">
        <v>45944.741180555553</v>
      </c>
      <c r="Q268" s="2">
        <v>45947.617673611108</v>
      </c>
      <c r="R268" s="1" t="s">
        <v>2317</v>
      </c>
      <c r="S268" s="1" t="s">
        <v>60</v>
      </c>
      <c r="T268" s="2">
        <v>45943.814467592594</v>
      </c>
      <c r="U268" s="1" t="s">
        <v>61</v>
      </c>
      <c r="V268" s="1" t="s">
        <v>62</v>
      </c>
      <c r="W268" s="1" t="s">
        <v>61</v>
      </c>
      <c r="X268" s="1" t="s">
        <v>61</v>
      </c>
      <c r="Y268" s="1" t="s">
        <v>2318</v>
      </c>
      <c r="Z268" s="1" t="s">
        <v>74</v>
      </c>
      <c r="AA268" s="1" t="s">
        <v>75</v>
      </c>
      <c r="AB268" s="1" t="s">
        <v>61</v>
      </c>
      <c r="AC268" s="1" t="s">
        <v>61</v>
      </c>
      <c r="AD268" s="2">
        <v>45959.709085648145</v>
      </c>
      <c r="AE268" s="1" t="s">
        <v>63</v>
      </c>
      <c r="AF268" s="1" t="s">
        <v>61</v>
      </c>
      <c r="AG268" s="1" t="s">
        <v>2319</v>
      </c>
      <c r="AH268" s="1" t="s">
        <v>120</v>
      </c>
      <c r="AI268">
        <v>301701</v>
      </c>
      <c r="AJ268" s="1" t="s">
        <v>66</v>
      </c>
      <c r="AK268" s="1" t="s">
        <v>67</v>
      </c>
      <c r="AL268">
        <v>62044220</v>
      </c>
      <c r="AM268" s="2"/>
      <c r="AN268">
        <v>3563</v>
      </c>
      <c r="AO268" s="1" t="s">
        <v>2320</v>
      </c>
      <c r="AP268" s="1" t="s">
        <v>209</v>
      </c>
      <c r="AQ268" s="1" t="s">
        <v>61</v>
      </c>
      <c r="AR268" s="1" t="s">
        <v>63</v>
      </c>
      <c r="AS268">
        <v>18</v>
      </c>
      <c r="AT268">
        <v>0</v>
      </c>
      <c r="AU268">
        <v>0</v>
      </c>
      <c r="AV268">
        <v>18</v>
      </c>
      <c r="AW268">
        <v>543.50800000000004</v>
      </c>
      <c r="AX268">
        <v>0</v>
      </c>
      <c r="AY268">
        <v>0</v>
      </c>
      <c r="AZ268">
        <v>543.50800000000004</v>
      </c>
      <c r="BA268" s="2"/>
      <c r="BB268">
        <v>0.85</v>
      </c>
      <c r="BC268" s="2">
        <v>45945.5</v>
      </c>
      <c r="BD268" s="27">
        <f>MarketPlace_Order_Report__2[[#This Row],[UnitPrice]]*MarketPlace_Order_Report__2[[#This Row],[OrderQty]]</f>
        <v>3563</v>
      </c>
      <c r="BE268" s="27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268" s="27">
        <f>MarketPlace_Order_Report__2[[#This Row],[Gross Amount (Before Tax)]]+MarketPlace_Order_Report__2[[#This Row],[Total GST Amount]]</f>
        <v>4106.5079999999998</v>
      </c>
    </row>
    <row r="269" spans="1:58">
      <c r="A269" s="1" t="s">
        <v>2321</v>
      </c>
      <c r="B269" s="1" t="s">
        <v>2322</v>
      </c>
      <c r="C269" s="1" t="s">
        <v>888</v>
      </c>
      <c r="D269" s="1" t="s">
        <v>889</v>
      </c>
      <c r="E269">
        <v>1</v>
      </c>
      <c r="F269" s="1" t="s">
        <v>58</v>
      </c>
      <c r="G269">
        <v>1</v>
      </c>
      <c r="H269">
        <v>1</v>
      </c>
      <c r="I269">
        <v>4000</v>
      </c>
      <c r="J269">
        <v>3600</v>
      </c>
      <c r="K269">
        <v>0</v>
      </c>
      <c r="L269">
        <v>3619.38</v>
      </c>
      <c r="M269">
        <v>19.38</v>
      </c>
      <c r="N269" s="1" t="s">
        <v>59</v>
      </c>
      <c r="O269" s="2">
        <v>45932.561111111114</v>
      </c>
      <c r="P269" s="2">
        <v>45934.721307870372</v>
      </c>
      <c r="Q269" s="2">
        <v>45940.700983796298</v>
      </c>
      <c r="R269" s="1" t="s">
        <v>2323</v>
      </c>
      <c r="S269" s="1" t="s">
        <v>60</v>
      </c>
      <c r="T269" s="2">
        <v>45933.815833333334</v>
      </c>
      <c r="U269" s="1" t="s">
        <v>61</v>
      </c>
      <c r="V269" s="1" t="s">
        <v>62</v>
      </c>
      <c r="W269" s="1" t="s">
        <v>61</v>
      </c>
      <c r="X269" s="1" t="s">
        <v>61</v>
      </c>
      <c r="Y269" s="1" t="s">
        <v>61</v>
      </c>
      <c r="Z269" s="1" t="s">
        <v>61</v>
      </c>
      <c r="AA269" s="1" t="s">
        <v>61</v>
      </c>
      <c r="AB269" s="1" t="s">
        <v>61</v>
      </c>
      <c r="AC269" s="1" t="s">
        <v>61</v>
      </c>
      <c r="AD269" s="2">
        <v>45940.702118055553</v>
      </c>
      <c r="AE269" s="1" t="s">
        <v>63</v>
      </c>
      <c r="AF269" s="1" t="s">
        <v>61</v>
      </c>
      <c r="AG269" s="1" t="s">
        <v>2324</v>
      </c>
      <c r="AH269" s="1" t="s">
        <v>150</v>
      </c>
      <c r="AI269">
        <v>609602</v>
      </c>
      <c r="AJ269" s="1" t="s">
        <v>66</v>
      </c>
      <c r="AK269" s="1" t="s">
        <v>67</v>
      </c>
      <c r="AL269">
        <v>62044220</v>
      </c>
      <c r="AM269" s="2"/>
      <c r="AN269">
        <v>3600</v>
      </c>
      <c r="AO269" s="1" t="s">
        <v>2325</v>
      </c>
      <c r="AP269" s="1" t="s">
        <v>125</v>
      </c>
      <c r="AQ269" s="1" t="s">
        <v>61</v>
      </c>
      <c r="AR269" s="1" t="s">
        <v>63</v>
      </c>
      <c r="AS269">
        <v>18</v>
      </c>
      <c r="AT269">
        <v>0</v>
      </c>
      <c r="AU269">
        <v>0</v>
      </c>
      <c r="AV269">
        <v>18</v>
      </c>
      <c r="AW269">
        <v>549.15300000000002</v>
      </c>
      <c r="AX269">
        <v>0</v>
      </c>
      <c r="AY269">
        <v>0</v>
      </c>
      <c r="AZ269">
        <v>549.15300000000002</v>
      </c>
      <c r="BA269" s="2"/>
      <c r="BB269">
        <v>0.85</v>
      </c>
      <c r="BC269" s="2">
        <v>45935.5</v>
      </c>
      <c r="BD269" s="27">
        <f>MarketPlace_Order_Report__2[[#This Row],[UnitPrice]]*MarketPlace_Order_Report__2[[#This Row],[OrderQty]]</f>
        <v>3600</v>
      </c>
      <c r="BE269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69" s="27">
        <f>MarketPlace_Order_Report__2[[#This Row],[Gross Amount (Before Tax)]]+MarketPlace_Order_Report__2[[#This Row],[Total GST Amount]]</f>
        <v>4149.1530000000002</v>
      </c>
    </row>
    <row r="270" spans="1:58">
      <c r="A270" s="1" t="s">
        <v>2326</v>
      </c>
      <c r="B270" s="1" t="s">
        <v>2327</v>
      </c>
      <c r="C270" s="1" t="s">
        <v>892</v>
      </c>
      <c r="D270" s="1" t="s">
        <v>893</v>
      </c>
      <c r="E270">
        <v>1</v>
      </c>
      <c r="F270" s="1" t="s">
        <v>413</v>
      </c>
      <c r="G270">
        <v>1</v>
      </c>
      <c r="H270">
        <v>1</v>
      </c>
      <c r="I270">
        <v>4500</v>
      </c>
      <c r="J270">
        <v>4275</v>
      </c>
      <c r="K270">
        <v>0</v>
      </c>
      <c r="L270">
        <v>4324</v>
      </c>
      <c r="M270">
        <v>49</v>
      </c>
      <c r="N270" s="1" t="s">
        <v>72</v>
      </c>
      <c r="O270" s="2">
        <v>45959.76321759259</v>
      </c>
      <c r="P270" s="2">
        <v>45960.729062500002</v>
      </c>
      <c r="Q270" s="2"/>
      <c r="R270" s="1" t="s">
        <v>2328</v>
      </c>
      <c r="S270" s="1" t="s">
        <v>60</v>
      </c>
      <c r="T270" s="2">
        <v>45959.790451388886</v>
      </c>
      <c r="U270" s="1" t="s">
        <v>61</v>
      </c>
      <c r="V270" s="1" t="s">
        <v>62</v>
      </c>
      <c r="W270" s="1" t="s">
        <v>61</v>
      </c>
      <c r="X270" s="1" t="s">
        <v>61</v>
      </c>
      <c r="Y270" s="1" t="s">
        <v>61</v>
      </c>
      <c r="Z270" s="1" t="s">
        <v>61</v>
      </c>
      <c r="AA270" s="1" t="s">
        <v>61</v>
      </c>
      <c r="AB270" s="1" t="s">
        <v>61</v>
      </c>
      <c r="AC270" s="1" t="s">
        <v>61</v>
      </c>
      <c r="AD270" s="2">
        <v>45961.368796296294</v>
      </c>
      <c r="AE270" s="1" t="s">
        <v>63</v>
      </c>
      <c r="AF270" s="1" t="s">
        <v>61</v>
      </c>
      <c r="AG270" s="1" t="s">
        <v>768</v>
      </c>
      <c r="AH270" s="1" t="s">
        <v>131</v>
      </c>
      <c r="AI270">
        <v>247667</v>
      </c>
      <c r="AJ270" s="1" t="s">
        <v>66</v>
      </c>
      <c r="AK270" s="1" t="s">
        <v>67</v>
      </c>
      <c r="AL270">
        <v>62044220</v>
      </c>
      <c r="AM270" s="2"/>
      <c r="AN270">
        <v>4275</v>
      </c>
      <c r="AO270" s="1" t="s">
        <v>2329</v>
      </c>
      <c r="AP270" s="1" t="s">
        <v>2330</v>
      </c>
      <c r="AQ270" s="1" t="s">
        <v>61</v>
      </c>
      <c r="AR270" s="1" t="s">
        <v>63</v>
      </c>
      <c r="AS270">
        <v>18</v>
      </c>
      <c r="AT270">
        <v>0</v>
      </c>
      <c r="AU270">
        <v>0</v>
      </c>
      <c r="AV270">
        <v>18</v>
      </c>
      <c r="AW270">
        <v>652.11900000000003</v>
      </c>
      <c r="AX270">
        <v>0</v>
      </c>
      <c r="AY270">
        <v>0</v>
      </c>
      <c r="AZ270">
        <v>652.11900000000003</v>
      </c>
      <c r="BA270" s="2"/>
      <c r="BB270">
        <v>0.85</v>
      </c>
      <c r="BC270" s="2">
        <v>45962.5</v>
      </c>
      <c r="BD270" s="27">
        <f>MarketPlace_Order_Report__2[[#This Row],[UnitPrice]]*MarketPlace_Order_Report__2[[#This Row],[OrderQty]]</f>
        <v>4275</v>
      </c>
      <c r="BE270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0" s="27">
        <f>MarketPlace_Order_Report__2[[#This Row],[Gross Amount (Before Tax)]]+MarketPlace_Order_Report__2[[#This Row],[Total GST Amount]]</f>
        <v>4927.1189999999997</v>
      </c>
    </row>
    <row r="271" spans="1:58">
      <c r="A271" s="1" t="s">
        <v>2331</v>
      </c>
      <c r="B271" s="1" t="s">
        <v>2332</v>
      </c>
      <c r="C271" s="1" t="s">
        <v>892</v>
      </c>
      <c r="D271" s="1" t="s">
        <v>893</v>
      </c>
      <c r="E271">
        <v>1</v>
      </c>
      <c r="F271" s="1" t="s">
        <v>58</v>
      </c>
      <c r="G271">
        <v>1</v>
      </c>
      <c r="H271">
        <v>1</v>
      </c>
      <c r="I271">
        <v>4500</v>
      </c>
      <c r="J271">
        <v>4275</v>
      </c>
      <c r="K271">
        <v>0</v>
      </c>
      <c r="L271">
        <v>4324</v>
      </c>
      <c r="M271">
        <v>49</v>
      </c>
      <c r="N271" s="1" t="s">
        <v>72</v>
      </c>
      <c r="O271" s="2">
        <v>45951.756354166668</v>
      </c>
      <c r="P271" s="2">
        <v>45954.731574074074</v>
      </c>
      <c r="Q271" s="2">
        <v>45957.450972222221</v>
      </c>
      <c r="R271" s="1" t="s">
        <v>2333</v>
      </c>
      <c r="S271" s="1" t="s">
        <v>60</v>
      </c>
      <c r="T271" s="2">
        <v>45954.500509259262</v>
      </c>
      <c r="U271" s="1" t="s">
        <v>61</v>
      </c>
      <c r="V271" s="1" t="s">
        <v>62</v>
      </c>
      <c r="W271" s="1" t="s">
        <v>61</v>
      </c>
      <c r="X271" s="1" t="s">
        <v>61</v>
      </c>
      <c r="Y271" s="1" t="s">
        <v>61</v>
      </c>
      <c r="Z271" s="1" t="s">
        <v>61</v>
      </c>
      <c r="AA271" s="1" t="s">
        <v>61</v>
      </c>
      <c r="AB271" s="1" t="s">
        <v>61</v>
      </c>
      <c r="AC271" s="1" t="s">
        <v>61</v>
      </c>
      <c r="AD271" s="2">
        <v>45957.476331018515</v>
      </c>
      <c r="AE271" s="1" t="s">
        <v>63</v>
      </c>
      <c r="AF271" s="1" t="s">
        <v>61</v>
      </c>
      <c r="AG271" s="1" t="s">
        <v>76</v>
      </c>
      <c r="AH271" s="1" t="s">
        <v>77</v>
      </c>
      <c r="AI271">
        <v>201010</v>
      </c>
      <c r="AJ271" s="1" t="s">
        <v>66</v>
      </c>
      <c r="AK271" s="1" t="s">
        <v>67</v>
      </c>
      <c r="AL271">
        <v>62044220</v>
      </c>
      <c r="AM271" s="2"/>
      <c r="AN271">
        <v>4275</v>
      </c>
      <c r="AO271" s="1" t="s">
        <v>2334</v>
      </c>
      <c r="AP271" s="1" t="s">
        <v>970</v>
      </c>
      <c r="AQ271" s="1" t="s">
        <v>61</v>
      </c>
      <c r="AR271" s="1" t="s">
        <v>63</v>
      </c>
      <c r="AS271">
        <v>18</v>
      </c>
      <c r="AT271">
        <v>0</v>
      </c>
      <c r="AU271">
        <v>0</v>
      </c>
      <c r="AV271">
        <v>18</v>
      </c>
      <c r="AW271">
        <v>652.11900000000003</v>
      </c>
      <c r="AX271">
        <v>0</v>
      </c>
      <c r="AY271">
        <v>0</v>
      </c>
      <c r="AZ271">
        <v>652.11900000000003</v>
      </c>
      <c r="BA271" s="2"/>
      <c r="BB271">
        <v>0.85</v>
      </c>
      <c r="BC271" s="2">
        <v>45954.5</v>
      </c>
      <c r="BD271" s="27">
        <f>MarketPlace_Order_Report__2[[#This Row],[UnitPrice]]*MarketPlace_Order_Report__2[[#This Row],[OrderQty]]</f>
        <v>4275</v>
      </c>
      <c r="BE271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1" s="27">
        <f>MarketPlace_Order_Report__2[[#This Row],[Gross Amount (Before Tax)]]+MarketPlace_Order_Report__2[[#This Row],[Total GST Amount]]</f>
        <v>4927.1189999999997</v>
      </c>
    </row>
    <row r="272" spans="1:58">
      <c r="A272" s="1" t="s">
        <v>2335</v>
      </c>
      <c r="B272" s="1" t="s">
        <v>2336</v>
      </c>
      <c r="C272" s="1" t="s">
        <v>2337</v>
      </c>
      <c r="D272" s="1" t="s">
        <v>2338</v>
      </c>
      <c r="E272">
        <v>2</v>
      </c>
      <c r="F272" s="1" t="s">
        <v>58</v>
      </c>
      <c r="G272">
        <v>1</v>
      </c>
      <c r="H272">
        <v>1</v>
      </c>
      <c r="I272">
        <v>4500</v>
      </c>
      <c r="J272">
        <v>4275</v>
      </c>
      <c r="K272">
        <v>0</v>
      </c>
      <c r="L272">
        <v>4289.5</v>
      </c>
      <c r="M272">
        <v>14.5</v>
      </c>
      <c r="N272" s="1" t="s">
        <v>59</v>
      </c>
      <c r="O272" s="2">
        <v>45947.857627314814</v>
      </c>
      <c r="P272" s="2">
        <v>45954.73233796296</v>
      </c>
      <c r="Q272" s="2">
        <v>45958.400810185187</v>
      </c>
      <c r="R272" s="1" t="s">
        <v>2339</v>
      </c>
      <c r="S272" s="1" t="s">
        <v>60</v>
      </c>
      <c r="T272" s="2">
        <v>45948.802071759259</v>
      </c>
      <c r="U272" s="1" t="s">
        <v>61</v>
      </c>
      <c r="V272" s="1" t="s">
        <v>62</v>
      </c>
      <c r="W272" s="1" t="s">
        <v>61</v>
      </c>
      <c r="X272" s="1" t="s">
        <v>61</v>
      </c>
      <c r="Y272" s="1" t="s">
        <v>61</v>
      </c>
      <c r="Z272" s="1" t="s">
        <v>61</v>
      </c>
      <c r="AA272" s="1" t="s">
        <v>61</v>
      </c>
      <c r="AB272" s="1" t="s">
        <v>61</v>
      </c>
      <c r="AC272" s="1" t="s">
        <v>61</v>
      </c>
      <c r="AD272" s="2">
        <v>45958.403634259259</v>
      </c>
      <c r="AE272" s="1" t="s">
        <v>63</v>
      </c>
      <c r="AF272" s="1" t="s">
        <v>61</v>
      </c>
      <c r="AG272" s="1" t="s">
        <v>182</v>
      </c>
      <c r="AH272" s="1" t="s">
        <v>183</v>
      </c>
      <c r="AI272">
        <v>110075</v>
      </c>
      <c r="AJ272" s="1" t="s">
        <v>66</v>
      </c>
      <c r="AK272" s="1" t="s">
        <v>67</v>
      </c>
      <c r="AL272">
        <v>62044220</v>
      </c>
      <c r="AM272" s="2"/>
      <c r="AN272">
        <v>4275</v>
      </c>
      <c r="AO272" s="1" t="s">
        <v>2340</v>
      </c>
      <c r="AP272" s="1" t="s">
        <v>2341</v>
      </c>
      <c r="AQ272" s="1" t="s">
        <v>61</v>
      </c>
      <c r="AR272" s="1" t="s">
        <v>63</v>
      </c>
      <c r="AS272">
        <v>18</v>
      </c>
      <c r="AT272">
        <v>0</v>
      </c>
      <c r="AU272">
        <v>0</v>
      </c>
      <c r="AV272">
        <v>18</v>
      </c>
      <c r="AW272">
        <v>652.11900000000003</v>
      </c>
      <c r="AX272">
        <v>0</v>
      </c>
      <c r="AY272">
        <v>0</v>
      </c>
      <c r="AZ272">
        <v>652.11900000000003</v>
      </c>
      <c r="BA272" s="2"/>
      <c r="BB272">
        <v>1.2</v>
      </c>
      <c r="BC272" s="2">
        <v>45950.5</v>
      </c>
      <c r="BD272" s="27">
        <f>MarketPlace_Order_Report__2[[#This Row],[UnitPrice]]*MarketPlace_Order_Report__2[[#This Row],[OrderQty]]</f>
        <v>4275</v>
      </c>
      <c r="BE272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2" s="27">
        <f>MarketPlace_Order_Report__2[[#This Row],[Gross Amount (Before Tax)]]+MarketPlace_Order_Report__2[[#This Row],[Total GST Amount]]</f>
        <v>4927.1189999999997</v>
      </c>
    </row>
    <row r="273" spans="1:58">
      <c r="A273" s="1" t="s">
        <v>2342</v>
      </c>
      <c r="B273" s="1" t="s">
        <v>2343</v>
      </c>
      <c r="C273" s="1" t="s">
        <v>2337</v>
      </c>
      <c r="D273" s="1" t="s">
        <v>2338</v>
      </c>
      <c r="E273">
        <v>1</v>
      </c>
      <c r="F273" s="1" t="s">
        <v>71</v>
      </c>
      <c r="G273">
        <v>1</v>
      </c>
      <c r="H273">
        <v>1</v>
      </c>
      <c r="I273">
        <v>4000</v>
      </c>
      <c r="J273">
        <v>3800</v>
      </c>
      <c r="K273">
        <v>0</v>
      </c>
      <c r="L273">
        <v>3800</v>
      </c>
      <c r="M273">
        <v>0</v>
      </c>
      <c r="N273" s="1" t="s">
        <v>59</v>
      </c>
      <c r="O273" s="2">
        <v>45943.58902777778</v>
      </c>
      <c r="P273" s="2">
        <v>45944.736990740741</v>
      </c>
      <c r="Q273" s="2">
        <v>45947.504652777781</v>
      </c>
      <c r="R273" s="1" t="s">
        <v>2344</v>
      </c>
      <c r="S273" s="1" t="s">
        <v>60</v>
      </c>
      <c r="T273" s="2">
        <v>45943.814467592594</v>
      </c>
      <c r="U273" s="1" t="s">
        <v>61</v>
      </c>
      <c r="V273" s="1" t="s">
        <v>62</v>
      </c>
      <c r="W273" s="1" t="s">
        <v>61</v>
      </c>
      <c r="X273" s="1" t="s">
        <v>61</v>
      </c>
      <c r="Y273" s="1" t="s">
        <v>2345</v>
      </c>
      <c r="Z273" s="1" t="s">
        <v>74</v>
      </c>
      <c r="AA273" s="1" t="s">
        <v>75</v>
      </c>
      <c r="AB273" s="1" t="s">
        <v>61</v>
      </c>
      <c r="AC273" s="1" t="s">
        <v>61</v>
      </c>
      <c r="AD273" s="2">
        <v>45960.85496527778</v>
      </c>
      <c r="AE273" s="1" t="s">
        <v>63</v>
      </c>
      <c r="AF273" s="1" t="s">
        <v>61</v>
      </c>
      <c r="AG273" s="1" t="s">
        <v>2346</v>
      </c>
      <c r="AH273" s="1" t="s">
        <v>115</v>
      </c>
      <c r="AI273">
        <v>626123</v>
      </c>
      <c r="AJ273" s="1" t="s">
        <v>66</v>
      </c>
      <c r="AK273" s="1" t="s">
        <v>67</v>
      </c>
      <c r="AL273">
        <v>62044220</v>
      </c>
      <c r="AM273" s="2"/>
      <c r="AN273">
        <v>3800</v>
      </c>
      <c r="AO273" s="1" t="s">
        <v>2347</v>
      </c>
      <c r="AP273" s="1" t="s">
        <v>937</v>
      </c>
      <c r="AQ273" s="1" t="s">
        <v>61</v>
      </c>
      <c r="AR273" s="1" t="s">
        <v>63</v>
      </c>
      <c r="AS273">
        <v>18</v>
      </c>
      <c r="AT273">
        <v>0</v>
      </c>
      <c r="AU273">
        <v>0</v>
      </c>
      <c r="AV273">
        <v>18</v>
      </c>
      <c r="AW273">
        <v>579.66099999999994</v>
      </c>
      <c r="AX273">
        <v>0</v>
      </c>
      <c r="AY273">
        <v>0</v>
      </c>
      <c r="AZ273">
        <v>579.66099999999994</v>
      </c>
      <c r="BA273" s="2"/>
      <c r="BB273">
        <v>0.85</v>
      </c>
      <c r="BC273" s="2">
        <v>45946.5</v>
      </c>
      <c r="BD273" s="27">
        <f>MarketPlace_Order_Report__2[[#This Row],[UnitPrice]]*MarketPlace_Order_Report__2[[#This Row],[OrderQty]]</f>
        <v>3800</v>
      </c>
      <c r="BE273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73" s="27">
        <f>MarketPlace_Order_Report__2[[#This Row],[Gross Amount (Before Tax)]]+MarketPlace_Order_Report__2[[#This Row],[Total GST Amount]]</f>
        <v>4379.6610000000001</v>
      </c>
    </row>
    <row r="274" spans="1:58">
      <c r="A274" s="1" t="s">
        <v>2348</v>
      </c>
      <c r="B274" s="1" t="s">
        <v>2349</v>
      </c>
      <c r="C274" s="1" t="s">
        <v>898</v>
      </c>
      <c r="D274" s="1" t="s">
        <v>899</v>
      </c>
      <c r="E274">
        <v>1</v>
      </c>
      <c r="F274" s="1" t="s">
        <v>58</v>
      </c>
      <c r="G274">
        <v>1</v>
      </c>
      <c r="H274">
        <v>1</v>
      </c>
      <c r="I274">
        <v>4000</v>
      </c>
      <c r="J274">
        <v>3600</v>
      </c>
      <c r="K274">
        <v>0</v>
      </c>
      <c r="L274">
        <v>3618.98</v>
      </c>
      <c r="M274">
        <v>18.98</v>
      </c>
      <c r="N274" s="1" t="s">
        <v>59</v>
      </c>
      <c r="O274" s="2">
        <v>45938.413055555553</v>
      </c>
      <c r="P274" s="2">
        <v>45939.734571759262</v>
      </c>
      <c r="Q274" s="2">
        <v>45947.517280092594</v>
      </c>
      <c r="R274" s="1" t="s">
        <v>2350</v>
      </c>
      <c r="S274" s="1" t="s">
        <v>60</v>
      </c>
      <c r="T274" s="2">
        <v>45938.725810185184</v>
      </c>
      <c r="U274" s="1" t="s">
        <v>61</v>
      </c>
      <c r="V274" s="1" t="s">
        <v>62</v>
      </c>
      <c r="W274" s="1" t="s">
        <v>61</v>
      </c>
      <c r="X274" s="1" t="s">
        <v>61</v>
      </c>
      <c r="Y274" s="1" t="s">
        <v>61</v>
      </c>
      <c r="Z274" s="1" t="s">
        <v>61</v>
      </c>
      <c r="AA274" s="1" t="s">
        <v>61</v>
      </c>
      <c r="AB274" s="1" t="s">
        <v>61</v>
      </c>
      <c r="AC274" s="1" t="s">
        <v>61</v>
      </c>
      <c r="AD274" s="2">
        <v>45947.521840277775</v>
      </c>
      <c r="AE274" s="1" t="s">
        <v>63</v>
      </c>
      <c r="AF274" s="1" t="s">
        <v>61</v>
      </c>
      <c r="AG274" s="1" t="s">
        <v>2351</v>
      </c>
      <c r="AH274" s="1" t="s">
        <v>77</v>
      </c>
      <c r="AI274">
        <v>244001</v>
      </c>
      <c r="AJ274" s="1" t="s">
        <v>66</v>
      </c>
      <c r="AK274" s="1" t="s">
        <v>67</v>
      </c>
      <c r="AL274">
        <v>62044220</v>
      </c>
      <c r="AM274" s="2"/>
      <c r="AN274">
        <v>3600</v>
      </c>
      <c r="AO274" s="1" t="s">
        <v>2352</v>
      </c>
      <c r="AP274" s="1" t="s">
        <v>1552</v>
      </c>
      <c r="AQ274" s="1" t="s">
        <v>61</v>
      </c>
      <c r="AR274" s="1" t="s">
        <v>63</v>
      </c>
      <c r="AS274">
        <v>18</v>
      </c>
      <c r="AT274">
        <v>0</v>
      </c>
      <c r="AU274">
        <v>0</v>
      </c>
      <c r="AV274">
        <v>18</v>
      </c>
      <c r="AW274">
        <v>549.15300000000002</v>
      </c>
      <c r="AX274">
        <v>0</v>
      </c>
      <c r="AY274">
        <v>0</v>
      </c>
      <c r="AZ274">
        <v>549.15300000000002</v>
      </c>
      <c r="BA274" s="2"/>
      <c r="BB274">
        <v>0.85</v>
      </c>
      <c r="BC274" s="2">
        <v>45940.5</v>
      </c>
      <c r="BD274" s="27">
        <f>MarketPlace_Order_Report__2[[#This Row],[UnitPrice]]*MarketPlace_Order_Report__2[[#This Row],[OrderQty]]</f>
        <v>3600</v>
      </c>
      <c r="BE274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74" s="27">
        <f>MarketPlace_Order_Report__2[[#This Row],[Gross Amount (Before Tax)]]+MarketPlace_Order_Report__2[[#This Row],[Total GST Amount]]</f>
        <v>4149.1530000000002</v>
      </c>
    </row>
    <row r="275" spans="1:58">
      <c r="A275" s="1" t="s">
        <v>2353</v>
      </c>
      <c r="B275" s="1" t="s">
        <v>2354</v>
      </c>
      <c r="C275" s="1" t="s">
        <v>898</v>
      </c>
      <c r="D275" s="1" t="s">
        <v>899</v>
      </c>
      <c r="E275">
        <v>2</v>
      </c>
      <c r="F275" s="1" t="s">
        <v>58</v>
      </c>
      <c r="G275">
        <v>1</v>
      </c>
      <c r="H275">
        <v>1</v>
      </c>
      <c r="I275">
        <v>4000</v>
      </c>
      <c r="J275">
        <v>3600</v>
      </c>
      <c r="K275">
        <v>0</v>
      </c>
      <c r="L275">
        <v>3625.47</v>
      </c>
      <c r="M275">
        <v>25.47</v>
      </c>
      <c r="N275" s="1" t="s">
        <v>59</v>
      </c>
      <c r="O275" s="2">
        <v>45934.907083333332</v>
      </c>
      <c r="P275" s="2">
        <v>45936.641296296293</v>
      </c>
      <c r="Q275" s="2">
        <v>45941.648310185185</v>
      </c>
      <c r="R275" s="1" t="s">
        <v>2355</v>
      </c>
      <c r="S275" s="1" t="s">
        <v>73</v>
      </c>
      <c r="T275" s="2">
        <v>45935.742905092593</v>
      </c>
      <c r="U275" s="1" t="s">
        <v>61</v>
      </c>
      <c r="V275" s="1" t="s">
        <v>62</v>
      </c>
      <c r="W275" s="1" t="s">
        <v>61</v>
      </c>
      <c r="X275" s="1" t="s">
        <v>61</v>
      </c>
      <c r="Y275" s="1" t="s">
        <v>61</v>
      </c>
      <c r="Z275" s="1" t="s">
        <v>61</v>
      </c>
      <c r="AA275" s="1" t="s">
        <v>61</v>
      </c>
      <c r="AB275" s="1" t="s">
        <v>61</v>
      </c>
      <c r="AC275" s="1" t="s">
        <v>61</v>
      </c>
      <c r="AD275" s="2">
        <v>45941.649976851855</v>
      </c>
      <c r="AE275" s="1" t="s">
        <v>63</v>
      </c>
      <c r="AF275" s="1" t="s">
        <v>61</v>
      </c>
      <c r="AG275" s="1" t="s">
        <v>182</v>
      </c>
      <c r="AH275" s="1" t="s">
        <v>183</v>
      </c>
      <c r="AI275">
        <v>110088</v>
      </c>
      <c r="AJ275" s="1" t="s">
        <v>66</v>
      </c>
      <c r="AK275" s="1" t="s">
        <v>67</v>
      </c>
      <c r="AL275">
        <v>62044220</v>
      </c>
      <c r="AM275" s="2"/>
      <c r="AN275">
        <v>3600</v>
      </c>
      <c r="AO275" s="1" t="s">
        <v>2356</v>
      </c>
      <c r="AP275" s="1" t="s">
        <v>1646</v>
      </c>
      <c r="AQ275" s="1" t="s">
        <v>61</v>
      </c>
      <c r="AR275" s="1" t="s">
        <v>63</v>
      </c>
      <c r="AS275">
        <v>18</v>
      </c>
      <c r="AT275">
        <v>0</v>
      </c>
      <c r="AU275">
        <v>0</v>
      </c>
      <c r="AV275">
        <v>18</v>
      </c>
      <c r="AW275">
        <v>549.15300000000002</v>
      </c>
      <c r="AX275">
        <v>0</v>
      </c>
      <c r="AY275">
        <v>0</v>
      </c>
      <c r="AZ275">
        <v>549.15300000000002</v>
      </c>
      <c r="BA275" s="2"/>
      <c r="BB275">
        <v>0.85</v>
      </c>
      <c r="BC275" s="2">
        <v>45937.5</v>
      </c>
      <c r="BD275" s="27">
        <f>MarketPlace_Order_Report__2[[#This Row],[UnitPrice]]*MarketPlace_Order_Report__2[[#This Row],[OrderQty]]</f>
        <v>3600</v>
      </c>
      <c r="BE275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75" s="27">
        <f>MarketPlace_Order_Report__2[[#This Row],[Gross Amount (Before Tax)]]+MarketPlace_Order_Report__2[[#This Row],[Total GST Amount]]</f>
        <v>4149.1530000000002</v>
      </c>
    </row>
    <row r="276" spans="1:58">
      <c r="A276" s="1" t="s">
        <v>2357</v>
      </c>
      <c r="B276" s="1" t="s">
        <v>2358</v>
      </c>
      <c r="C276" s="1" t="s">
        <v>903</v>
      </c>
      <c r="D276" s="1" t="s">
        <v>904</v>
      </c>
      <c r="E276">
        <v>11</v>
      </c>
      <c r="F276" s="1" t="s">
        <v>58</v>
      </c>
      <c r="G276">
        <v>1</v>
      </c>
      <c r="H276">
        <v>1</v>
      </c>
      <c r="I276">
        <v>4500</v>
      </c>
      <c r="J276">
        <v>4275</v>
      </c>
      <c r="K276">
        <v>0</v>
      </c>
      <c r="L276">
        <v>4282.09</v>
      </c>
      <c r="M276">
        <v>7.09</v>
      </c>
      <c r="N276" s="1" t="s">
        <v>59</v>
      </c>
      <c r="O276" s="2">
        <v>45945.360277777778</v>
      </c>
      <c r="P276" s="2">
        <v>45946.732604166667</v>
      </c>
      <c r="Q276" s="2">
        <v>45949.59516203704</v>
      </c>
      <c r="R276" s="1" t="s">
        <v>2359</v>
      </c>
      <c r="S276" s="1" t="s">
        <v>60</v>
      </c>
      <c r="T276" s="2">
        <v>45945.799212962964</v>
      </c>
      <c r="U276" s="1" t="s">
        <v>61</v>
      </c>
      <c r="V276" s="1" t="s">
        <v>62</v>
      </c>
      <c r="W276" s="1" t="s">
        <v>61</v>
      </c>
      <c r="X276" s="1" t="s">
        <v>61</v>
      </c>
      <c r="Y276" s="1" t="s">
        <v>61</v>
      </c>
      <c r="Z276" s="1" t="s">
        <v>61</v>
      </c>
      <c r="AA276" s="1" t="s">
        <v>61</v>
      </c>
      <c r="AB276" s="1" t="s">
        <v>61</v>
      </c>
      <c r="AC276" s="1" t="s">
        <v>61</v>
      </c>
      <c r="AD276" s="2">
        <v>45949.598055555558</v>
      </c>
      <c r="AE276" s="1" t="s">
        <v>63</v>
      </c>
      <c r="AF276" s="1" t="s">
        <v>61</v>
      </c>
      <c r="AG276" s="1" t="s">
        <v>2360</v>
      </c>
      <c r="AH276" s="1" t="s">
        <v>434</v>
      </c>
      <c r="AI276">
        <v>396310</v>
      </c>
      <c r="AJ276" s="1" t="s">
        <v>66</v>
      </c>
      <c r="AK276" s="1" t="s">
        <v>67</v>
      </c>
      <c r="AL276">
        <v>62044220</v>
      </c>
      <c r="AM276" s="2"/>
      <c r="AN276">
        <v>4275</v>
      </c>
      <c r="AO276" s="1" t="s">
        <v>2361</v>
      </c>
      <c r="AP276" s="1" t="s">
        <v>61</v>
      </c>
      <c r="AQ276" s="1" t="s">
        <v>61</v>
      </c>
      <c r="AR276" s="1" t="s">
        <v>63</v>
      </c>
      <c r="AS276">
        <v>18</v>
      </c>
      <c r="AT276">
        <v>0</v>
      </c>
      <c r="AU276">
        <v>0</v>
      </c>
      <c r="AV276">
        <v>18</v>
      </c>
      <c r="AW276">
        <v>652.11900000000003</v>
      </c>
      <c r="AX276">
        <v>0</v>
      </c>
      <c r="AY276">
        <v>0</v>
      </c>
      <c r="AZ276">
        <v>652.11900000000003</v>
      </c>
      <c r="BA276" s="2"/>
      <c r="BB276">
        <v>0.85</v>
      </c>
      <c r="BC276" s="2">
        <v>45947.5</v>
      </c>
      <c r="BD276" s="27">
        <f>MarketPlace_Order_Report__2[[#This Row],[UnitPrice]]*MarketPlace_Order_Report__2[[#This Row],[OrderQty]]</f>
        <v>4275</v>
      </c>
      <c r="BE276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6" s="27">
        <f>MarketPlace_Order_Report__2[[#This Row],[Gross Amount (Before Tax)]]+MarketPlace_Order_Report__2[[#This Row],[Total GST Amount]]</f>
        <v>4927.1189999999997</v>
      </c>
    </row>
    <row r="277" spans="1:58">
      <c r="A277" s="1" t="s">
        <v>2362</v>
      </c>
      <c r="B277" s="1" t="s">
        <v>2363</v>
      </c>
      <c r="C277" s="1" t="s">
        <v>907</v>
      </c>
      <c r="D277" s="1" t="s">
        <v>908</v>
      </c>
      <c r="E277">
        <v>1</v>
      </c>
      <c r="F277" s="1" t="s">
        <v>71</v>
      </c>
      <c r="G277">
        <v>1</v>
      </c>
      <c r="H277">
        <v>1</v>
      </c>
      <c r="I277">
        <v>4500</v>
      </c>
      <c r="J277">
        <v>4275</v>
      </c>
      <c r="K277">
        <v>0</v>
      </c>
      <c r="L277">
        <v>4290</v>
      </c>
      <c r="M277">
        <v>15</v>
      </c>
      <c r="N277" s="1" t="s">
        <v>59</v>
      </c>
      <c r="O277" s="2">
        <v>45945.508703703701</v>
      </c>
      <c r="P277" s="2">
        <v>45946.732511574075</v>
      </c>
      <c r="Q277" s="2">
        <v>45953.561828703707</v>
      </c>
      <c r="R277" s="1" t="s">
        <v>2364</v>
      </c>
      <c r="S277" s="1" t="s">
        <v>60</v>
      </c>
      <c r="T277" s="2">
        <v>45945.79928240741</v>
      </c>
      <c r="U277" s="1" t="s">
        <v>61</v>
      </c>
      <c r="V277" s="1" t="s">
        <v>62</v>
      </c>
      <c r="W277" s="1" t="s">
        <v>61</v>
      </c>
      <c r="X277" s="1" t="s">
        <v>61</v>
      </c>
      <c r="Y277" s="1" t="s">
        <v>2365</v>
      </c>
      <c r="Z277" s="1" t="s">
        <v>74</v>
      </c>
      <c r="AA277" s="1" t="s">
        <v>695</v>
      </c>
      <c r="AB277" s="1" t="s">
        <v>61</v>
      </c>
      <c r="AC277" s="1" t="s">
        <v>61</v>
      </c>
      <c r="AD277" s="2">
        <v>45958.261423611111</v>
      </c>
      <c r="AE277" s="1" t="s">
        <v>63</v>
      </c>
      <c r="AF277" s="1" t="s">
        <v>61</v>
      </c>
      <c r="AG277" s="1" t="s">
        <v>2366</v>
      </c>
      <c r="AH277" s="1" t="s">
        <v>99</v>
      </c>
      <c r="AI277">
        <v>125120</v>
      </c>
      <c r="AJ277" s="1" t="s">
        <v>66</v>
      </c>
      <c r="AK277" s="1" t="s">
        <v>67</v>
      </c>
      <c r="AL277">
        <v>62044220</v>
      </c>
      <c r="AM277" s="2"/>
      <c r="AN277">
        <v>4275</v>
      </c>
      <c r="AO277" s="1" t="s">
        <v>2367</v>
      </c>
      <c r="AP277" s="1" t="s">
        <v>61</v>
      </c>
      <c r="AQ277" s="1" t="s">
        <v>61</v>
      </c>
      <c r="AR277" s="1" t="s">
        <v>63</v>
      </c>
      <c r="AS277">
        <v>18</v>
      </c>
      <c r="AT277">
        <v>0</v>
      </c>
      <c r="AU277">
        <v>0</v>
      </c>
      <c r="AV277">
        <v>18</v>
      </c>
      <c r="AW277">
        <v>652.11900000000003</v>
      </c>
      <c r="AX277">
        <v>0</v>
      </c>
      <c r="AY277">
        <v>0</v>
      </c>
      <c r="AZ277">
        <v>652.11900000000003</v>
      </c>
      <c r="BA277" s="2"/>
      <c r="BB277">
        <v>0.85</v>
      </c>
      <c r="BC277" s="2">
        <v>45948.5</v>
      </c>
      <c r="BD277" s="27">
        <f>MarketPlace_Order_Report__2[[#This Row],[UnitPrice]]*MarketPlace_Order_Report__2[[#This Row],[OrderQty]]</f>
        <v>4275</v>
      </c>
      <c r="BE277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7" s="27">
        <f>MarketPlace_Order_Report__2[[#This Row],[Gross Amount (Before Tax)]]+MarketPlace_Order_Report__2[[#This Row],[Total GST Amount]]</f>
        <v>4927.1189999999997</v>
      </c>
    </row>
    <row r="278" spans="1:58">
      <c r="A278" s="1" t="s">
        <v>2368</v>
      </c>
      <c r="B278" s="1" t="s">
        <v>2369</v>
      </c>
      <c r="C278" s="1" t="s">
        <v>907</v>
      </c>
      <c r="D278" s="1" t="s">
        <v>908</v>
      </c>
      <c r="E278">
        <v>1</v>
      </c>
      <c r="F278" s="1" t="s">
        <v>71</v>
      </c>
      <c r="G278">
        <v>1</v>
      </c>
      <c r="H278">
        <v>1</v>
      </c>
      <c r="I278">
        <v>4000</v>
      </c>
      <c r="J278">
        <v>3800</v>
      </c>
      <c r="K278">
        <v>0</v>
      </c>
      <c r="L278">
        <v>3829</v>
      </c>
      <c r="M278">
        <v>29</v>
      </c>
      <c r="N278" s="1" t="s">
        <v>59</v>
      </c>
      <c r="O278" s="2">
        <v>45941.004305555558</v>
      </c>
      <c r="P278" s="2">
        <v>45941.74863425926</v>
      </c>
      <c r="Q278" s="2">
        <v>45946.687650462962</v>
      </c>
      <c r="R278" s="1" t="s">
        <v>2370</v>
      </c>
      <c r="S278" s="1" t="s">
        <v>60</v>
      </c>
      <c r="T278" s="2">
        <v>45941.595370370371</v>
      </c>
      <c r="U278" s="1" t="s">
        <v>61</v>
      </c>
      <c r="V278" s="1" t="s">
        <v>62</v>
      </c>
      <c r="W278" s="1" t="s">
        <v>61</v>
      </c>
      <c r="X278" s="1" t="s">
        <v>61</v>
      </c>
      <c r="Y278" s="1" t="s">
        <v>2371</v>
      </c>
      <c r="Z278" s="1" t="s">
        <v>74</v>
      </c>
      <c r="AA278" s="1" t="s">
        <v>75</v>
      </c>
      <c r="AB278" s="1" t="s">
        <v>61</v>
      </c>
      <c r="AC278" s="1" t="s">
        <v>61</v>
      </c>
      <c r="AD278" s="2">
        <v>45958.625763888886</v>
      </c>
      <c r="AE278" s="1" t="s">
        <v>63</v>
      </c>
      <c r="AF278" s="1" t="s">
        <v>61</v>
      </c>
      <c r="AG278" s="1" t="s">
        <v>2372</v>
      </c>
      <c r="AH278" s="1" t="s">
        <v>2373</v>
      </c>
      <c r="AI278">
        <v>175021</v>
      </c>
      <c r="AJ278" s="1" t="s">
        <v>66</v>
      </c>
      <c r="AK278" s="1" t="s">
        <v>67</v>
      </c>
      <c r="AL278">
        <v>62044220</v>
      </c>
      <c r="AM278" s="2"/>
      <c r="AN278">
        <v>3800</v>
      </c>
      <c r="AO278" s="1" t="s">
        <v>2374</v>
      </c>
      <c r="AP278" s="1" t="s">
        <v>209</v>
      </c>
      <c r="AQ278" s="1" t="s">
        <v>61</v>
      </c>
      <c r="AR278" s="1" t="s">
        <v>63</v>
      </c>
      <c r="AS278">
        <v>18</v>
      </c>
      <c r="AT278">
        <v>0</v>
      </c>
      <c r="AU278">
        <v>0</v>
      </c>
      <c r="AV278">
        <v>18</v>
      </c>
      <c r="AW278">
        <v>579.66099999999994</v>
      </c>
      <c r="AX278">
        <v>0</v>
      </c>
      <c r="AY278">
        <v>0</v>
      </c>
      <c r="AZ278">
        <v>579.66099999999994</v>
      </c>
      <c r="BA278" s="2"/>
      <c r="BB278">
        <v>0.85</v>
      </c>
      <c r="BC278" s="2">
        <v>45943.5</v>
      </c>
      <c r="BD278" s="27">
        <f>MarketPlace_Order_Report__2[[#This Row],[UnitPrice]]*MarketPlace_Order_Report__2[[#This Row],[OrderQty]]</f>
        <v>3800</v>
      </c>
      <c r="BE278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78" s="27">
        <f>MarketPlace_Order_Report__2[[#This Row],[Gross Amount (Before Tax)]]+MarketPlace_Order_Report__2[[#This Row],[Total GST Amount]]</f>
        <v>4379.6610000000001</v>
      </c>
    </row>
    <row r="279" spans="1:58">
      <c r="A279" s="1" t="s">
        <v>2375</v>
      </c>
      <c r="B279" s="1" t="s">
        <v>2376</v>
      </c>
      <c r="C279" s="1" t="s">
        <v>915</v>
      </c>
      <c r="D279" s="1" t="s">
        <v>916</v>
      </c>
      <c r="E279">
        <v>7</v>
      </c>
      <c r="F279" s="1" t="s">
        <v>58</v>
      </c>
      <c r="G279">
        <v>1</v>
      </c>
      <c r="H279">
        <v>1</v>
      </c>
      <c r="I279">
        <v>4500</v>
      </c>
      <c r="J279">
        <v>4275</v>
      </c>
      <c r="K279">
        <v>0</v>
      </c>
      <c r="L279">
        <v>4292.05</v>
      </c>
      <c r="M279">
        <v>17.05</v>
      </c>
      <c r="N279" s="1" t="s">
        <v>72</v>
      </c>
      <c r="O279" s="2">
        <v>45949.46638888889</v>
      </c>
      <c r="P279" s="2">
        <v>45954.731874999998</v>
      </c>
      <c r="Q279" s="2">
        <v>45957.595648148148</v>
      </c>
      <c r="R279" s="1" t="s">
        <v>2377</v>
      </c>
      <c r="S279" s="1" t="s">
        <v>60</v>
      </c>
      <c r="T279" s="2">
        <v>45954.500509259262</v>
      </c>
      <c r="U279" s="1" t="s">
        <v>61</v>
      </c>
      <c r="V279" s="1" t="s">
        <v>62</v>
      </c>
      <c r="W279" s="1" t="s">
        <v>61</v>
      </c>
      <c r="X279" s="1" t="s">
        <v>61</v>
      </c>
      <c r="Y279" s="1" t="s">
        <v>61</v>
      </c>
      <c r="Z279" s="1" t="s">
        <v>61</v>
      </c>
      <c r="AA279" s="1" t="s">
        <v>61</v>
      </c>
      <c r="AB279" s="1" t="s">
        <v>61</v>
      </c>
      <c r="AC279" s="1" t="s">
        <v>61</v>
      </c>
      <c r="AD279" s="2">
        <v>45957.598078703704</v>
      </c>
      <c r="AE279" s="1" t="s">
        <v>63</v>
      </c>
      <c r="AF279" s="1" t="s">
        <v>61</v>
      </c>
      <c r="AG279" s="1" t="s">
        <v>2378</v>
      </c>
      <c r="AH279" s="1" t="s">
        <v>236</v>
      </c>
      <c r="AI279">
        <v>517502</v>
      </c>
      <c r="AJ279" s="1" t="s">
        <v>66</v>
      </c>
      <c r="AK279" s="1" t="s">
        <v>67</v>
      </c>
      <c r="AL279">
        <v>62044220</v>
      </c>
      <c r="AM279" s="2"/>
      <c r="AN279">
        <v>4275</v>
      </c>
      <c r="AO279" s="1" t="s">
        <v>2379</v>
      </c>
      <c r="AP279" s="1" t="s">
        <v>61</v>
      </c>
      <c r="AQ279" s="1" t="s">
        <v>301</v>
      </c>
      <c r="AR279" s="1" t="s">
        <v>63</v>
      </c>
      <c r="AS279">
        <v>18</v>
      </c>
      <c r="AT279">
        <v>0</v>
      </c>
      <c r="AU279">
        <v>0</v>
      </c>
      <c r="AV279">
        <v>18</v>
      </c>
      <c r="AW279">
        <v>652.11900000000003</v>
      </c>
      <c r="AX279">
        <v>0</v>
      </c>
      <c r="AY279">
        <v>0</v>
      </c>
      <c r="AZ279">
        <v>652.11900000000003</v>
      </c>
      <c r="BA279" s="2">
        <v>45949.771365740744</v>
      </c>
      <c r="BB279">
        <v>0.85</v>
      </c>
      <c r="BC279" s="2">
        <v>45952.5</v>
      </c>
      <c r="BD279" s="27">
        <f>MarketPlace_Order_Report__2[[#This Row],[UnitPrice]]*MarketPlace_Order_Report__2[[#This Row],[OrderQty]]</f>
        <v>4275</v>
      </c>
      <c r="BE279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9" s="27">
        <f>MarketPlace_Order_Report__2[[#This Row],[Gross Amount (Before Tax)]]+MarketPlace_Order_Report__2[[#This Row],[Total GST Amount]]</f>
        <v>4927.1189999999997</v>
      </c>
    </row>
    <row r="280" spans="1:58">
      <c r="A280" s="1" t="s">
        <v>2380</v>
      </c>
      <c r="B280" s="1" t="s">
        <v>2381</v>
      </c>
      <c r="C280" s="1" t="s">
        <v>915</v>
      </c>
      <c r="D280" s="1" t="s">
        <v>916</v>
      </c>
      <c r="E280">
        <v>2</v>
      </c>
      <c r="F280" s="1" t="s">
        <v>187</v>
      </c>
      <c r="G280">
        <v>1</v>
      </c>
      <c r="H280">
        <v>0</v>
      </c>
      <c r="I280">
        <v>4500</v>
      </c>
      <c r="J280">
        <v>4275</v>
      </c>
      <c r="K280">
        <v>0</v>
      </c>
      <c r="L280">
        <v>4312.8500000000004</v>
      </c>
      <c r="M280">
        <v>37.85</v>
      </c>
      <c r="N280" s="1" t="s">
        <v>72</v>
      </c>
      <c r="O280" s="2">
        <v>45948.78800925926</v>
      </c>
      <c r="P280" s="2"/>
      <c r="Q280" s="2"/>
      <c r="R280" s="1" t="s">
        <v>61</v>
      </c>
      <c r="S280" s="1" t="s">
        <v>60</v>
      </c>
      <c r="T280" s="2"/>
      <c r="U280" s="1" t="s">
        <v>323</v>
      </c>
      <c r="V280" s="1" t="s">
        <v>62</v>
      </c>
      <c r="W280" s="1" t="s">
        <v>61</v>
      </c>
      <c r="X280" s="1" t="s">
        <v>61</v>
      </c>
      <c r="Y280" s="1" t="s">
        <v>61</v>
      </c>
      <c r="Z280" s="1" t="s">
        <v>61</v>
      </c>
      <c r="AA280" s="1" t="s">
        <v>61</v>
      </c>
      <c r="AB280" s="1" t="s">
        <v>61</v>
      </c>
      <c r="AC280" s="1" t="s">
        <v>61</v>
      </c>
      <c r="AD280" s="2">
        <v>45948.79383101852</v>
      </c>
      <c r="AE280" s="1" t="s">
        <v>63</v>
      </c>
      <c r="AF280" s="1" t="s">
        <v>61</v>
      </c>
      <c r="AG280" s="1" t="s">
        <v>197</v>
      </c>
      <c r="AH280" s="1" t="s">
        <v>65</v>
      </c>
      <c r="AI280">
        <v>560049</v>
      </c>
      <c r="AJ280" s="1" t="s">
        <v>66</v>
      </c>
      <c r="AK280" s="1" t="s">
        <v>67</v>
      </c>
      <c r="AL280">
        <v>62044220</v>
      </c>
      <c r="AM280" s="2">
        <v>45948.79383101852</v>
      </c>
      <c r="AN280">
        <v>4275</v>
      </c>
      <c r="AO280" s="1" t="s">
        <v>61</v>
      </c>
      <c r="AP280" s="1" t="s">
        <v>1240</v>
      </c>
      <c r="AQ280" s="1" t="s">
        <v>61</v>
      </c>
      <c r="AR280" s="1" t="s">
        <v>63</v>
      </c>
      <c r="AS280">
        <v>18</v>
      </c>
      <c r="AT280">
        <v>0</v>
      </c>
      <c r="AU280">
        <v>0</v>
      </c>
      <c r="AV280">
        <v>18</v>
      </c>
      <c r="AW280">
        <v>652.11900000000003</v>
      </c>
      <c r="AX280">
        <v>0</v>
      </c>
      <c r="AY280">
        <v>0</v>
      </c>
      <c r="AZ280">
        <v>652.11900000000003</v>
      </c>
      <c r="BA280" s="2"/>
      <c r="BC280" s="2">
        <v>45951.5</v>
      </c>
      <c r="BD280" s="27">
        <f>MarketPlace_Order_Report__2[[#This Row],[UnitPrice]]*MarketPlace_Order_Report__2[[#This Row],[OrderQty]]</f>
        <v>4275</v>
      </c>
      <c r="BE280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0" s="27">
        <f>MarketPlace_Order_Report__2[[#This Row],[Gross Amount (Before Tax)]]+MarketPlace_Order_Report__2[[#This Row],[Total GST Amount]]</f>
        <v>4927.1189999999997</v>
      </c>
    </row>
    <row r="281" spans="1:58">
      <c r="A281" s="1" t="s">
        <v>2382</v>
      </c>
      <c r="B281" s="1" t="s">
        <v>2383</v>
      </c>
      <c r="C281" s="1" t="s">
        <v>919</v>
      </c>
      <c r="D281" s="1" t="s">
        <v>920</v>
      </c>
      <c r="E281">
        <v>6</v>
      </c>
      <c r="F281" s="1" t="s">
        <v>413</v>
      </c>
      <c r="G281">
        <v>1</v>
      </c>
      <c r="H281">
        <v>1</v>
      </c>
      <c r="I281">
        <v>4500</v>
      </c>
      <c r="J281">
        <v>4275</v>
      </c>
      <c r="K281">
        <v>0</v>
      </c>
      <c r="L281">
        <v>4275</v>
      </c>
      <c r="M281">
        <v>0</v>
      </c>
      <c r="N281" s="1" t="s">
        <v>59</v>
      </c>
      <c r="O281" s="2">
        <v>45959.667511574073</v>
      </c>
      <c r="P281" s="2">
        <v>45960.729016203702</v>
      </c>
      <c r="Q281" s="2"/>
      <c r="R281" s="1" t="s">
        <v>2384</v>
      </c>
      <c r="S281" s="1" t="s">
        <v>60</v>
      </c>
      <c r="T281" s="2">
        <v>45959.790451388886</v>
      </c>
      <c r="U281" s="1" t="s">
        <v>61</v>
      </c>
      <c r="V281" s="1" t="s">
        <v>62</v>
      </c>
      <c r="W281" s="1" t="s">
        <v>61</v>
      </c>
      <c r="X281" s="1" t="s">
        <v>61</v>
      </c>
      <c r="Y281" s="1" t="s">
        <v>61</v>
      </c>
      <c r="Z281" s="1" t="s">
        <v>61</v>
      </c>
      <c r="AA281" s="1" t="s">
        <v>61</v>
      </c>
      <c r="AB281" s="1" t="s">
        <v>61</v>
      </c>
      <c r="AC281" s="1" t="s">
        <v>61</v>
      </c>
      <c r="AD281" s="2">
        <v>45961.40697916667</v>
      </c>
      <c r="AE281" s="1" t="s">
        <v>63</v>
      </c>
      <c r="AF281" s="1" t="s">
        <v>61</v>
      </c>
      <c r="AG281" s="1" t="s">
        <v>124</v>
      </c>
      <c r="AH281" s="1" t="s">
        <v>99</v>
      </c>
      <c r="AI281">
        <v>122004</v>
      </c>
      <c r="AJ281" s="1" t="s">
        <v>66</v>
      </c>
      <c r="AK281" s="1" t="s">
        <v>67</v>
      </c>
      <c r="AL281">
        <v>62044220</v>
      </c>
      <c r="AM281" s="2"/>
      <c r="AN281">
        <v>4275</v>
      </c>
      <c r="AO281" s="1" t="s">
        <v>2385</v>
      </c>
      <c r="AP281" s="1" t="s">
        <v>381</v>
      </c>
      <c r="AQ281" s="1" t="s">
        <v>61</v>
      </c>
      <c r="AR281" s="1" t="s">
        <v>63</v>
      </c>
      <c r="AS281">
        <v>18</v>
      </c>
      <c r="AT281">
        <v>0</v>
      </c>
      <c r="AU281">
        <v>0</v>
      </c>
      <c r="AV281">
        <v>18</v>
      </c>
      <c r="AW281">
        <v>652.11900000000003</v>
      </c>
      <c r="AX281">
        <v>0</v>
      </c>
      <c r="AY281">
        <v>0</v>
      </c>
      <c r="AZ281">
        <v>652.11900000000003</v>
      </c>
      <c r="BA281" s="2"/>
      <c r="BB281">
        <v>0.85</v>
      </c>
      <c r="BC281" s="2">
        <v>45962.5</v>
      </c>
      <c r="BD281" s="27">
        <f>MarketPlace_Order_Report__2[[#This Row],[UnitPrice]]*MarketPlace_Order_Report__2[[#This Row],[OrderQty]]</f>
        <v>4275</v>
      </c>
      <c r="BE281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1" s="27">
        <f>MarketPlace_Order_Report__2[[#This Row],[Gross Amount (Before Tax)]]+MarketPlace_Order_Report__2[[#This Row],[Total GST Amount]]</f>
        <v>4927.1189999999997</v>
      </c>
    </row>
    <row r="282" spans="1:58">
      <c r="A282" s="1" t="s">
        <v>2386</v>
      </c>
      <c r="B282" s="1" t="s">
        <v>2387</v>
      </c>
      <c r="C282" s="1" t="s">
        <v>925</v>
      </c>
      <c r="D282" s="1" t="s">
        <v>926</v>
      </c>
      <c r="E282">
        <v>1</v>
      </c>
      <c r="F282" s="1" t="s">
        <v>58</v>
      </c>
      <c r="G282">
        <v>1</v>
      </c>
      <c r="H282">
        <v>1</v>
      </c>
      <c r="I282">
        <v>4500</v>
      </c>
      <c r="J282">
        <v>4275</v>
      </c>
      <c r="K282">
        <v>0</v>
      </c>
      <c r="L282">
        <v>4304</v>
      </c>
      <c r="M282">
        <v>29</v>
      </c>
      <c r="N282" s="1" t="s">
        <v>59</v>
      </c>
      <c r="O282" s="2">
        <v>45948.542141203703</v>
      </c>
      <c r="P282" s="2">
        <v>45954.732094907406</v>
      </c>
      <c r="Q282" s="2">
        <v>45957.456990740742</v>
      </c>
      <c r="R282" s="1" t="s">
        <v>2388</v>
      </c>
      <c r="S282" s="1" t="s">
        <v>60</v>
      </c>
      <c r="T282" s="2">
        <v>45948.802071759259</v>
      </c>
      <c r="U282" s="1" t="s">
        <v>61</v>
      </c>
      <c r="V282" s="1" t="s">
        <v>62</v>
      </c>
      <c r="W282" s="1" t="s">
        <v>61</v>
      </c>
      <c r="X282" s="1" t="s">
        <v>61</v>
      </c>
      <c r="Y282" s="1" t="s">
        <v>61</v>
      </c>
      <c r="Z282" s="1" t="s">
        <v>61</v>
      </c>
      <c r="AA282" s="1" t="s">
        <v>61</v>
      </c>
      <c r="AB282" s="1" t="s">
        <v>61</v>
      </c>
      <c r="AC282" s="1" t="s">
        <v>61</v>
      </c>
      <c r="AD282" s="2">
        <v>45957.479837962965</v>
      </c>
      <c r="AE282" s="1" t="s">
        <v>63</v>
      </c>
      <c r="AF282" s="1" t="s">
        <v>61</v>
      </c>
      <c r="AG282" s="1" t="s">
        <v>2389</v>
      </c>
      <c r="AH282" s="1" t="s">
        <v>65</v>
      </c>
      <c r="AI282">
        <v>577204</v>
      </c>
      <c r="AJ282" s="1" t="s">
        <v>66</v>
      </c>
      <c r="AK282" s="1" t="s">
        <v>67</v>
      </c>
      <c r="AL282">
        <v>62044220</v>
      </c>
      <c r="AM282" s="2"/>
      <c r="AN282">
        <v>4275</v>
      </c>
      <c r="AO282" s="1" t="s">
        <v>2390</v>
      </c>
      <c r="AP282" s="1" t="s">
        <v>61</v>
      </c>
      <c r="AQ282" s="1" t="s">
        <v>61</v>
      </c>
      <c r="AR282" s="1" t="s">
        <v>63</v>
      </c>
      <c r="AS282">
        <v>18</v>
      </c>
      <c r="AT282">
        <v>0</v>
      </c>
      <c r="AU282">
        <v>0</v>
      </c>
      <c r="AV282">
        <v>18</v>
      </c>
      <c r="AW282">
        <v>652.11900000000003</v>
      </c>
      <c r="AX282">
        <v>0</v>
      </c>
      <c r="AY282">
        <v>0</v>
      </c>
      <c r="AZ282">
        <v>652.11900000000003</v>
      </c>
      <c r="BA282" s="2"/>
      <c r="BB282">
        <v>0.85</v>
      </c>
      <c r="BC282" s="2">
        <v>45951.5</v>
      </c>
      <c r="BD282" s="27">
        <f>MarketPlace_Order_Report__2[[#This Row],[UnitPrice]]*MarketPlace_Order_Report__2[[#This Row],[OrderQty]]</f>
        <v>4275</v>
      </c>
      <c r="BE282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2" s="27">
        <f>MarketPlace_Order_Report__2[[#This Row],[Gross Amount (Before Tax)]]+MarketPlace_Order_Report__2[[#This Row],[Total GST Amount]]</f>
        <v>4927.1189999999997</v>
      </c>
    </row>
    <row r="283" spans="1:58">
      <c r="A283" s="1" t="s">
        <v>2391</v>
      </c>
      <c r="B283" s="1" t="s">
        <v>2392</v>
      </c>
      <c r="C283" s="1" t="s">
        <v>925</v>
      </c>
      <c r="D283" s="1" t="s">
        <v>926</v>
      </c>
      <c r="E283">
        <v>1</v>
      </c>
      <c r="F283" s="1" t="s">
        <v>58</v>
      </c>
      <c r="G283">
        <v>1</v>
      </c>
      <c r="H283">
        <v>1</v>
      </c>
      <c r="I283">
        <v>4000</v>
      </c>
      <c r="J283">
        <v>3800</v>
      </c>
      <c r="K283">
        <v>0</v>
      </c>
      <c r="L283">
        <v>3829</v>
      </c>
      <c r="M283">
        <v>29</v>
      </c>
      <c r="N283" s="1" t="s">
        <v>59</v>
      </c>
      <c r="O283" s="2">
        <v>45942.592499999999</v>
      </c>
      <c r="P283" s="2">
        <v>45943.761747685188</v>
      </c>
      <c r="Q283" s="2">
        <v>45946.694791666669</v>
      </c>
      <c r="R283" s="1" t="s">
        <v>2393</v>
      </c>
      <c r="S283" s="1" t="s">
        <v>60</v>
      </c>
      <c r="T283" s="2">
        <v>45942.661412037036</v>
      </c>
      <c r="U283" s="1" t="s">
        <v>61</v>
      </c>
      <c r="V283" s="1" t="s">
        <v>62</v>
      </c>
      <c r="W283" s="1" t="s">
        <v>61</v>
      </c>
      <c r="X283" s="1" t="s">
        <v>61</v>
      </c>
      <c r="Y283" s="1" t="s">
        <v>61</v>
      </c>
      <c r="Z283" s="1" t="s">
        <v>61</v>
      </c>
      <c r="AA283" s="1" t="s">
        <v>61</v>
      </c>
      <c r="AB283" s="1" t="s">
        <v>61</v>
      </c>
      <c r="AC283" s="1" t="s">
        <v>61</v>
      </c>
      <c r="AD283" s="2">
        <v>45946.695092592592</v>
      </c>
      <c r="AE283" s="1" t="s">
        <v>63</v>
      </c>
      <c r="AF283" s="1" t="s">
        <v>61</v>
      </c>
      <c r="AG283" s="1" t="s">
        <v>98</v>
      </c>
      <c r="AH283" s="1" t="s">
        <v>99</v>
      </c>
      <c r="AI283">
        <v>122017</v>
      </c>
      <c r="AJ283" s="1" t="s">
        <v>66</v>
      </c>
      <c r="AK283" s="1" t="s">
        <v>67</v>
      </c>
      <c r="AL283">
        <v>62044220</v>
      </c>
      <c r="AM283" s="2"/>
      <c r="AN283">
        <v>3800</v>
      </c>
      <c r="AO283" s="1" t="s">
        <v>2394</v>
      </c>
      <c r="AP283" s="1" t="s">
        <v>650</v>
      </c>
      <c r="AQ283" s="1" t="s">
        <v>61</v>
      </c>
      <c r="AR283" s="1" t="s">
        <v>63</v>
      </c>
      <c r="AS283">
        <v>18</v>
      </c>
      <c r="AT283">
        <v>0</v>
      </c>
      <c r="AU283">
        <v>0</v>
      </c>
      <c r="AV283">
        <v>18</v>
      </c>
      <c r="AW283">
        <v>579.66099999999994</v>
      </c>
      <c r="AX283">
        <v>0</v>
      </c>
      <c r="AY283">
        <v>0</v>
      </c>
      <c r="AZ283">
        <v>579.66099999999994</v>
      </c>
      <c r="BA283" s="2"/>
      <c r="BB283">
        <v>0.85</v>
      </c>
      <c r="BC283" s="2">
        <v>45945.5</v>
      </c>
      <c r="BD283" s="27">
        <f>MarketPlace_Order_Report__2[[#This Row],[UnitPrice]]*MarketPlace_Order_Report__2[[#This Row],[OrderQty]]</f>
        <v>3800</v>
      </c>
      <c r="BE283" s="27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83" s="27">
        <f>MarketPlace_Order_Report__2[[#This Row],[Gross Amount (Before Tax)]]+MarketPlace_Order_Report__2[[#This Row],[Total GST Amount]]</f>
        <v>4379.6610000000001</v>
      </c>
    </row>
    <row r="284" spans="1:58">
      <c r="A284" s="1" t="s">
        <v>2395</v>
      </c>
      <c r="B284" s="1" t="s">
        <v>2396</v>
      </c>
      <c r="C284" s="1" t="s">
        <v>2397</v>
      </c>
      <c r="D284" s="1" t="s">
        <v>2398</v>
      </c>
      <c r="E284">
        <v>3</v>
      </c>
      <c r="F284" s="1" t="s">
        <v>58</v>
      </c>
      <c r="G284">
        <v>1</v>
      </c>
      <c r="H284">
        <v>1</v>
      </c>
      <c r="I284">
        <v>4500</v>
      </c>
      <c r="J284">
        <v>4275</v>
      </c>
      <c r="K284">
        <v>0</v>
      </c>
      <c r="L284">
        <v>4287.08</v>
      </c>
      <c r="M284">
        <v>12.08</v>
      </c>
      <c r="N284" s="1" t="s">
        <v>59</v>
      </c>
      <c r="O284" s="2">
        <v>45957.880682870367</v>
      </c>
      <c r="P284" s="2">
        <v>45958.715613425928</v>
      </c>
      <c r="Q284" s="2">
        <v>45960.500127314815</v>
      </c>
      <c r="R284" s="1" t="s">
        <v>2399</v>
      </c>
      <c r="S284" s="1" t="s">
        <v>351</v>
      </c>
      <c r="T284" s="2">
        <v>45958.543136574073</v>
      </c>
      <c r="U284" s="1" t="s">
        <v>61</v>
      </c>
      <c r="V284" s="1" t="s">
        <v>62</v>
      </c>
      <c r="W284" s="1" t="s">
        <v>61</v>
      </c>
      <c r="X284" s="1" t="s">
        <v>61</v>
      </c>
      <c r="Y284" s="1" t="s">
        <v>61</v>
      </c>
      <c r="Z284" s="1" t="s">
        <v>61</v>
      </c>
      <c r="AA284" s="1" t="s">
        <v>61</v>
      </c>
      <c r="AB284" s="1" t="s">
        <v>61</v>
      </c>
      <c r="AC284" s="1" t="s">
        <v>61</v>
      </c>
      <c r="AD284" s="2">
        <v>45960.500763888886</v>
      </c>
      <c r="AE284" s="1" t="s">
        <v>63</v>
      </c>
      <c r="AF284" s="1" t="s">
        <v>61</v>
      </c>
      <c r="AG284" s="1" t="s">
        <v>324</v>
      </c>
      <c r="AH284" s="1" t="s">
        <v>318</v>
      </c>
      <c r="AI284">
        <v>411013</v>
      </c>
      <c r="AJ284" s="1" t="s">
        <v>66</v>
      </c>
      <c r="AK284" s="1" t="s">
        <v>67</v>
      </c>
      <c r="AL284">
        <v>62044220</v>
      </c>
      <c r="AM284" s="2"/>
      <c r="AN284">
        <v>4275</v>
      </c>
      <c r="AO284" s="1" t="s">
        <v>2400</v>
      </c>
      <c r="AP284" s="1" t="s">
        <v>1105</v>
      </c>
      <c r="AQ284" s="1" t="s">
        <v>61</v>
      </c>
      <c r="AR284" s="1" t="s">
        <v>63</v>
      </c>
      <c r="AS284">
        <v>18</v>
      </c>
      <c r="AT284">
        <v>9</v>
      </c>
      <c r="AU284">
        <v>9</v>
      </c>
      <c r="AV284">
        <v>0</v>
      </c>
      <c r="AW284">
        <v>652.11900000000003</v>
      </c>
      <c r="AX284">
        <v>326.06</v>
      </c>
      <c r="AY284">
        <v>326.06</v>
      </c>
      <c r="AZ284">
        <v>0</v>
      </c>
      <c r="BA284" s="2"/>
      <c r="BB284">
        <v>0.85</v>
      </c>
      <c r="BC284" s="2">
        <v>45960.5</v>
      </c>
      <c r="BD284" s="27">
        <f>MarketPlace_Order_Report__2[[#This Row],[UnitPrice]]*MarketPlace_Order_Report__2[[#This Row],[OrderQty]]</f>
        <v>4275</v>
      </c>
      <c r="BE284" s="27">
        <f>IFERROR(MarketPlace_Order_Report__2[[#This Row],[CGSTAmount]]+MarketPlace_Order_Report__2[[#This Row],[SGSTAmount]]+MarketPlace_Order_Report__2[[#This Row],[IGSTAmount]],MarketPlace_Order_Report__2[[#This Row],[TaxAmount]])</f>
        <v>652.12</v>
      </c>
      <c r="BF284" s="27">
        <f>MarketPlace_Order_Report__2[[#This Row],[Gross Amount (Before Tax)]]+MarketPlace_Order_Report__2[[#This Row],[Total GST Amount]]</f>
        <v>4927.12</v>
      </c>
    </row>
    <row r="285" spans="1:58">
      <c r="A285" s="1" t="s">
        <v>2401</v>
      </c>
      <c r="B285" s="1" t="s">
        <v>2402</v>
      </c>
      <c r="C285" s="1" t="s">
        <v>2397</v>
      </c>
      <c r="D285" s="1" t="s">
        <v>2398</v>
      </c>
      <c r="E285">
        <v>1</v>
      </c>
      <c r="F285" s="1" t="s">
        <v>58</v>
      </c>
      <c r="G285">
        <v>1</v>
      </c>
      <c r="H285">
        <v>1</v>
      </c>
      <c r="I285">
        <v>4000</v>
      </c>
      <c r="J285">
        <v>3600</v>
      </c>
      <c r="K285">
        <v>0</v>
      </c>
      <c r="L285">
        <v>3635.28</v>
      </c>
      <c r="M285">
        <v>35.28</v>
      </c>
      <c r="N285" s="1" t="s">
        <v>72</v>
      </c>
      <c r="O285" s="2">
        <v>45938.92224537037</v>
      </c>
      <c r="P285" s="2">
        <v>45940.731365740743</v>
      </c>
      <c r="Q285" s="2">
        <v>45943.686921296299</v>
      </c>
      <c r="R285" s="1" t="s">
        <v>2403</v>
      </c>
      <c r="S285" s="1" t="s">
        <v>60</v>
      </c>
      <c r="T285" s="2">
        <v>45939.786319444444</v>
      </c>
      <c r="U285" s="1" t="s">
        <v>61</v>
      </c>
      <c r="V285" s="1" t="s">
        <v>62</v>
      </c>
      <c r="W285" s="1" t="s">
        <v>61</v>
      </c>
      <c r="X285" s="1" t="s">
        <v>61</v>
      </c>
      <c r="Y285" s="1" t="s">
        <v>61</v>
      </c>
      <c r="Z285" s="1" t="s">
        <v>61</v>
      </c>
      <c r="AA285" s="1" t="s">
        <v>61</v>
      </c>
      <c r="AB285" s="1" t="s">
        <v>61</v>
      </c>
      <c r="AC285" s="1" t="s">
        <v>61</v>
      </c>
      <c r="AD285" s="2">
        <v>45943.688645833332</v>
      </c>
      <c r="AE285" s="1" t="s">
        <v>63</v>
      </c>
      <c r="AF285" s="1" t="s">
        <v>61</v>
      </c>
      <c r="AG285" s="1" t="s">
        <v>879</v>
      </c>
      <c r="AH285" s="1" t="s">
        <v>115</v>
      </c>
      <c r="AI285">
        <v>625002</v>
      </c>
      <c r="AJ285" s="1" t="s">
        <v>66</v>
      </c>
      <c r="AK285" s="1" t="s">
        <v>67</v>
      </c>
      <c r="AL285">
        <v>62044220</v>
      </c>
      <c r="AM285" s="2"/>
      <c r="AN285">
        <v>3600</v>
      </c>
      <c r="AO285" s="1" t="s">
        <v>2404</v>
      </c>
      <c r="AP285" s="1" t="s">
        <v>1552</v>
      </c>
      <c r="AQ285" s="1" t="s">
        <v>61</v>
      </c>
      <c r="AR285" s="1" t="s">
        <v>63</v>
      </c>
      <c r="AS285">
        <v>18</v>
      </c>
      <c r="AT285">
        <v>0</v>
      </c>
      <c r="AU285">
        <v>0</v>
      </c>
      <c r="AV285">
        <v>18</v>
      </c>
      <c r="AW285">
        <v>549.15300000000002</v>
      </c>
      <c r="AX285">
        <v>0</v>
      </c>
      <c r="AY285">
        <v>0</v>
      </c>
      <c r="AZ285">
        <v>549.15300000000002</v>
      </c>
      <c r="BA285" s="2"/>
      <c r="BB285">
        <v>0.85</v>
      </c>
      <c r="BC285" s="2">
        <v>45941.5</v>
      </c>
      <c r="BD285" s="27">
        <f>MarketPlace_Order_Report__2[[#This Row],[UnitPrice]]*MarketPlace_Order_Report__2[[#This Row],[OrderQty]]</f>
        <v>3600</v>
      </c>
      <c r="BE285" s="27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85" s="27">
        <f>MarketPlace_Order_Report__2[[#This Row],[Gross Amount (Before Tax)]]+MarketPlace_Order_Report__2[[#This Row],[Total GST Amount]]</f>
        <v>4149.1530000000002</v>
      </c>
    </row>
    <row r="286" spans="1:58">
      <c r="A286" s="1" t="s">
        <v>2405</v>
      </c>
      <c r="B286" s="1" t="s">
        <v>2406</v>
      </c>
      <c r="C286" s="1" t="s">
        <v>2407</v>
      </c>
      <c r="D286" s="1" t="s">
        <v>2408</v>
      </c>
      <c r="E286">
        <v>1</v>
      </c>
      <c r="F286" s="1" t="s">
        <v>58</v>
      </c>
      <c r="G286">
        <v>1</v>
      </c>
      <c r="H286">
        <v>1</v>
      </c>
      <c r="I286">
        <v>4500</v>
      </c>
      <c r="J286">
        <v>4275</v>
      </c>
      <c r="K286">
        <v>0</v>
      </c>
      <c r="L286">
        <v>4324</v>
      </c>
      <c r="M286">
        <v>49</v>
      </c>
      <c r="N286" s="1" t="s">
        <v>72</v>
      </c>
      <c r="O286" s="2">
        <v>45944.022615740738</v>
      </c>
      <c r="P286" s="2">
        <v>45945.758460648147</v>
      </c>
      <c r="Q286" s="2">
        <v>45948.781423611108</v>
      </c>
      <c r="R286" s="1" t="s">
        <v>2409</v>
      </c>
      <c r="S286" s="1" t="s">
        <v>60</v>
      </c>
      <c r="T286" s="2">
        <v>45944.808067129627</v>
      </c>
      <c r="U286" s="1" t="s">
        <v>61</v>
      </c>
      <c r="V286" s="1" t="s">
        <v>62</v>
      </c>
      <c r="W286" s="1" t="s">
        <v>61</v>
      </c>
      <c r="X286" s="1" t="s">
        <v>61</v>
      </c>
      <c r="Y286" s="1" t="s">
        <v>61</v>
      </c>
      <c r="Z286" s="1" t="s">
        <v>61</v>
      </c>
      <c r="AA286" s="1" t="s">
        <v>61</v>
      </c>
      <c r="AB286" s="1" t="s">
        <v>61</v>
      </c>
      <c r="AC286" s="1" t="s">
        <v>61</v>
      </c>
      <c r="AD286" s="2">
        <v>45948.782129629632</v>
      </c>
      <c r="AE286" s="1" t="s">
        <v>63</v>
      </c>
      <c r="AF286" s="1" t="s">
        <v>61</v>
      </c>
      <c r="AG286" s="1" t="s">
        <v>305</v>
      </c>
      <c r="AH286" s="1" t="s">
        <v>215</v>
      </c>
      <c r="AI286">
        <v>751024</v>
      </c>
      <c r="AJ286" s="1" t="s">
        <v>66</v>
      </c>
      <c r="AK286" s="1" t="s">
        <v>67</v>
      </c>
      <c r="AL286">
        <v>62044220</v>
      </c>
      <c r="AM286" s="2"/>
      <c r="AN286">
        <v>4275</v>
      </c>
      <c r="AO286" s="1" t="s">
        <v>2410</v>
      </c>
      <c r="AP286" s="1" t="s">
        <v>209</v>
      </c>
      <c r="AQ286" s="1" t="s">
        <v>61</v>
      </c>
      <c r="AR286" s="1" t="s">
        <v>63</v>
      </c>
      <c r="AS286">
        <v>18</v>
      </c>
      <c r="AT286">
        <v>0</v>
      </c>
      <c r="AU286">
        <v>0</v>
      </c>
      <c r="AV286">
        <v>18</v>
      </c>
      <c r="AW286">
        <v>652.11900000000003</v>
      </c>
      <c r="AX286">
        <v>0</v>
      </c>
      <c r="AY286">
        <v>0</v>
      </c>
      <c r="AZ286">
        <v>652.11900000000003</v>
      </c>
      <c r="BA286" s="2"/>
      <c r="BB286">
        <v>0.85</v>
      </c>
      <c r="BC286" s="2">
        <v>45946.5</v>
      </c>
      <c r="BD286" s="27">
        <f>MarketPlace_Order_Report__2[[#This Row],[UnitPrice]]*MarketPlace_Order_Report__2[[#This Row],[OrderQty]]</f>
        <v>4275</v>
      </c>
      <c r="BE286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6" s="27">
        <f>MarketPlace_Order_Report__2[[#This Row],[Gross Amount (Before Tax)]]+MarketPlace_Order_Report__2[[#This Row],[Total GST Amount]]</f>
        <v>4927.1189999999997</v>
      </c>
    </row>
    <row r="287" spans="1:58">
      <c r="A287" s="1" t="s">
        <v>2411</v>
      </c>
      <c r="B287" s="1" t="s">
        <v>2412</v>
      </c>
      <c r="C287" s="1" t="s">
        <v>2413</v>
      </c>
      <c r="D287" s="1" t="s">
        <v>2414</v>
      </c>
      <c r="E287">
        <v>1</v>
      </c>
      <c r="F287" s="1" t="s">
        <v>71</v>
      </c>
      <c r="G287">
        <v>1</v>
      </c>
      <c r="H287">
        <v>1</v>
      </c>
      <c r="I287">
        <v>4500</v>
      </c>
      <c r="J287">
        <v>4275</v>
      </c>
      <c r="K287">
        <v>0</v>
      </c>
      <c r="L287">
        <v>4324</v>
      </c>
      <c r="M287">
        <v>49</v>
      </c>
      <c r="N287" s="1" t="s">
        <v>72</v>
      </c>
      <c r="O287" s="2">
        <v>45943.389768518522</v>
      </c>
      <c r="P287" s="2">
        <v>45944.736400462964</v>
      </c>
      <c r="Q287" s="2">
        <v>45948.659629629627</v>
      </c>
      <c r="R287" s="1" t="s">
        <v>2415</v>
      </c>
      <c r="S287" s="1" t="s">
        <v>60</v>
      </c>
      <c r="T287" s="2">
        <v>45943.814467592594</v>
      </c>
      <c r="U287" s="1" t="s">
        <v>61</v>
      </c>
      <c r="V287" s="1" t="s">
        <v>62</v>
      </c>
      <c r="W287" s="1" t="s">
        <v>61</v>
      </c>
      <c r="X287" s="1" t="s">
        <v>61</v>
      </c>
      <c r="Y287" s="1" t="s">
        <v>2416</v>
      </c>
      <c r="Z287" s="1" t="s">
        <v>74</v>
      </c>
      <c r="AA287" s="1" t="s">
        <v>695</v>
      </c>
      <c r="AB287" s="1" t="s">
        <v>61</v>
      </c>
      <c r="AC287" s="1" t="s">
        <v>61</v>
      </c>
      <c r="AD287" s="2">
        <v>45960.761319444442</v>
      </c>
      <c r="AE287" s="1" t="s">
        <v>63</v>
      </c>
      <c r="AF287" s="1" t="s">
        <v>61</v>
      </c>
      <c r="AG287" s="1" t="s">
        <v>2417</v>
      </c>
      <c r="AH287" s="1" t="s">
        <v>120</v>
      </c>
      <c r="AI287">
        <v>325220</v>
      </c>
      <c r="AJ287" s="1" t="s">
        <v>66</v>
      </c>
      <c r="AK287" s="1" t="s">
        <v>67</v>
      </c>
      <c r="AL287">
        <v>62044220</v>
      </c>
      <c r="AM287" s="2"/>
      <c r="AN287">
        <v>4275</v>
      </c>
      <c r="AO287" s="1" t="s">
        <v>2418</v>
      </c>
      <c r="AP287" s="1" t="s">
        <v>209</v>
      </c>
      <c r="AQ287" s="1" t="s">
        <v>61</v>
      </c>
      <c r="AR287" s="1" t="s">
        <v>63</v>
      </c>
      <c r="AS287">
        <v>18</v>
      </c>
      <c r="AT287">
        <v>0</v>
      </c>
      <c r="AU287">
        <v>0</v>
      </c>
      <c r="AV287">
        <v>18</v>
      </c>
      <c r="AW287">
        <v>652.11900000000003</v>
      </c>
      <c r="AX287">
        <v>0</v>
      </c>
      <c r="AY287">
        <v>0</v>
      </c>
      <c r="AZ287">
        <v>652.11900000000003</v>
      </c>
      <c r="BA287" s="2"/>
      <c r="BB287">
        <v>0.85</v>
      </c>
      <c r="BC287" s="2">
        <v>45945.5</v>
      </c>
      <c r="BD287" s="27">
        <f>MarketPlace_Order_Report__2[[#This Row],[UnitPrice]]*MarketPlace_Order_Report__2[[#This Row],[OrderQty]]</f>
        <v>4275</v>
      </c>
      <c r="BE287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7" s="27">
        <f>MarketPlace_Order_Report__2[[#This Row],[Gross Amount (Before Tax)]]+MarketPlace_Order_Report__2[[#This Row],[Total GST Amount]]</f>
        <v>4927.1189999999997</v>
      </c>
    </row>
    <row r="288" spans="1:58">
      <c r="A288" s="1" t="s">
        <v>2419</v>
      </c>
      <c r="B288" s="1" t="s">
        <v>2420</v>
      </c>
      <c r="C288" s="1" t="s">
        <v>2421</v>
      </c>
      <c r="D288" s="1" t="s">
        <v>2422</v>
      </c>
      <c r="E288">
        <v>1</v>
      </c>
      <c r="F288" s="1" t="s">
        <v>187</v>
      </c>
      <c r="G288">
        <v>1</v>
      </c>
      <c r="H288">
        <v>0</v>
      </c>
      <c r="I288">
        <v>4500</v>
      </c>
      <c r="J288">
        <v>4275</v>
      </c>
      <c r="K288">
        <v>0</v>
      </c>
      <c r="L288">
        <v>4304</v>
      </c>
      <c r="M288">
        <v>29</v>
      </c>
      <c r="N288" s="1" t="s">
        <v>59</v>
      </c>
      <c r="O288" s="2">
        <v>45952.406388888892</v>
      </c>
      <c r="P288" s="2"/>
      <c r="Q288" s="2"/>
      <c r="R288" s="1" t="s">
        <v>61</v>
      </c>
      <c r="S288" s="1" t="s">
        <v>60</v>
      </c>
      <c r="T288" s="2"/>
      <c r="U288" s="1" t="s">
        <v>1913</v>
      </c>
      <c r="V288" s="1" t="s">
        <v>62</v>
      </c>
      <c r="W288" s="1" t="s">
        <v>2423</v>
      </c>
      <c r="X288" s="1" t="s">
        <v>61</v>
      </c>
      <c r="Y288" s="1" t="s">
        <v>61</v>
      </c>
      <c r="Z288" s="1" t="s">
        <v>61</v>
      </c>
      <c r="AA288" s="1" t="s">
        <v>61</v>
      </c>
      <c r="AB288" s="1" t="s">
        <v>61</v>
      </c>
      <c r="AC288" s="1" t="s">
        <v>61</v>
      </c>
      <c r="AD288" s="2">
        <v>45952.523958333331</v>
      </c>
      <c r="AE288" s="1" t="s">
        <v>63</v>
      </c>
      <c r="AF288" s="1" t="s">
        <v>61</v>
      </c>
      <c r="AG288" s="1" t="s">
        <v>119</v>
      </c>
      <c r="AH288" s="1" t="s">
        <v>120</v>
      </c>
      <c r="AI288">
        <v>302021</v>
      </c>
      <c r="AJ288" s="1" t="s">
        <v>66</v>
      </c>
      <c r="AK288" s="1" t="s">
        <v>67</v>
      </c>
      <c r="AL288">
        <v>62044220</v>
      </c>
      <c r="AM288" s="2">
        <v>45952.523958333331</v>
      </c>
      <c r="AN288">
        <v>4275</v>
      </c>
      <c r="AO288" s="1" t="s">
        <v>61</v>
      </c>
      <c r="AP288" s="1" t="s">
        <v>409</v>
      </c>
      <c r="AQ288" s="1" t="s">
        <v>832</v>
      </c>
      <c r="AR288" s="1" t="s">
        <v>833</v>
      </c>
      <c r="AS288">
        <v>18</v>
      </c>
      <c r="AT288">
        <v>0</v>
      </c>
      <c r="AU288">
        <v>0</v>
      </c>
      <c r="AV288">
        <v>18</v>
      </c>
      <c r="AW288">
        <v>652.11900000000003</v>
      </c>
      <c r="AX288">
        <v>0</v>
      </c>
      <c r="AY288">
        <v>0</v>
      </c>
      <c r="AZ288">
        <v>652.11900000000003</v>
      </c>
      <c r="BA288" s="2"/>
      <c r="BC288" s="2">
        <v>45954.5</v>
      </c>
      <c r="BD288" s="27">
        <f>MarketPlace_Order_Report__2[[#This Row],[UnitPrice]]*MarketPlace_Order_Report__2[[#This Row],[OrderQty]]</f>
        <v>4275</v>
      </c>
      <c r="BE288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8" s="27">
        <f>MarketPlace_Order_Report__2[[#This Row],[Gross Amount (Before Tax)]]+MarketPlace_Order_Report__2[[#This Row],[Total GST Amount]]</f>
        <v>4927.1189999999997</v>
      </c>
    </row>
    <row r="289" spans="1:58">
      <c r="A289" s="1" t="s">
        <v>2424</v>
      </c>
      <c r="B289" s="1" t="s">
        <v>2425</v>
      </c>
      <c r="C289" s="1" t="s">
        <v>2426</v>
      </c>
      <c r="D289" s="1" t="s">
        <v>2427</v>
      </c>
      <c r="E289">
        <v>1</v>
      </c>
      <c r="F289" s="1" t="s">
        <v>58</v>
      </c>
      <c r="G289">
        <v>1</v>
      </c>
      <c r="H289">
        <v>1</v>
      </c>
      <c r="I289">
        <v>4500</v>
      </c>
      <c r="J289">
        <v>4275</v>
      </c>
      <c r="K289">
        <v>0</v>
      </c>
      <c r="L289">
        <v>4304</v>
      </c>
      <c r="M289">
        <v>29</v>
      </c>
      <c r="N289" s="1" t="s">
        <v>59</v>
      </c>
      <c r="O289" s="2">
        <v>45932.603981481479</v>
      </c>
      <c r="P289" s="2">
        <v>45934.720983796295</v>
      </c>
      <c r="Q289" s="2">
        <v>45938.794942129629</v>
      </c>
      <c r="R289" s="1" t="s">
        <v>2428</v>
      </c>
      <c r="S289" s="1" t="s">
        <v>60</v>
      </c>
      <c r="T289" s="2">
        <v>45933.815833333334</v>
      </c>
      <c r="U289" s="1" t="s">
        <v>61</v>
      </c>
      <c r="V289" s="1" t="s">
        <v>62</v>
      </c>
      <c r="W289" s="1" t="s">
        <v>61</v>
      </c>
      <c r="X289" s="1" t="s">
        <v>61</v>
      </c>
      <c r="Y289" s="1" t="s">
        <v>61</v>
      </c>
      <c r="Z289" s="1" t="s">
        <v>61</v>
      </c>
      <c r="AA289" s="1" t="s">
        <v>61</v>
      </c>
      <c r="AB289" s="1" t="s">
        <v>61</v>
      </c>
      <c r="AC289" s="1" t="s">
        <v>61</v>
      </c>
      <c r="AD289" s="2">
        <v>45938.795960648145</v>
      </c>
      <c r="AE289" s="1" t="s">
        <v>63</v>
      </c>
      <c r="AF289" s="1" t="s">
        <v>61</v>
      </c>
      <c r="AG289" s="1" t="s">
        <v>519</v>
      </c>
      <c r="AH289" s="1" t="s">
        <v>177</v>
      </c>
      <c r="AI289">
        <v>781011</v>
      </c>
      <c r="AJ289" s="1" t="s">
        <v>66</v>
      </c>
      <c r="AK289" s="1" t="s">
        <v>67</v>
      </c>
      <c r="AL289">
        <v>62044220</v>
      </c>
      <c r="AM289" s="2"/>
      <c r="AN289">
        <v>4275</v>
      </c>
      <c r="AO289" s="1" t="s">
        <v>2429</v>
      </c>
      <c r="AP289" s="1" t="s">
        <v>61</v>
      </c>
      <c r="AQ289" s="1" t="s">
        <v>61</v>
      </c>
      <c r="AR289" s="1" t="s">
        <v>63</v>
      </c>
      <c r="AS289">
        <v>18</v>
      </c>
      <c r="AT289">
        <v>0</v>
      </c>
      <c r="AU289">
        <v>0</v>
      </c>
      <c r="AV289">
        <v>18</v>
      </c>
      <c r="AW289">
        <v>652.11900000000003</v>
      </c>
      <c r="AX289">
        <v>0</v>
      </c>
      <c r="AY289">
        <v>0</v>
      </c>
      <c r="AZ289">
        <v>652.11900000000003</v>
      </c>
      <c r="BA289" s="2"/>
      <c r="BB289">
        <v>0.85</v>
      </c>
      <c r="BC289" s="2">
        <v>45935.5</v>
      </c>
      <c r="BD289" s="27">
        <f>MarketPlace_Order_Report__2[[#This Row],[UnitPrice]]*MarketPlace_Order_Report__2[[#This Row],[OrderQty]]</f>
        <v>4275</v>
      </c>
      <c r="BE289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9" s="27">
        <f>MarketPlace_Order_Report__2[[#This Row],[Gross Amount (Before Tax)]]+MarketPlace_Order_Report__2[[#This Row],[Total GST Amount]]</f>
        <v>4927.1189999999997</v>
      </c>
    </row>
    <row r="290" spans="1:58">
      <c r="A290" s="1" t="s">
        <v>2430</v>
      </c>
      <c r="B290" s="1" t="s">
        <v>2431</v>
      </c>
      <c r="C290" s="1" t="s">
        <v>2432</v>
      </c>
      <c r="D290" s="1" t="s">
        <v>2433</v>
      </c>
      <c r="E290">
        <v>7</v>
      </c>
      <c r="F290" s="1" t="s">
        <v>58</v>
      </c>
      <c r="G290">
        <v>1</v>
      </c>
      <c r="H290">
        <v>1</v>
      </c>
      <c r="I290">
        <v>4500</v>
      </c>
      <c r="J290">
        <v>4275</v>
      </c>
      <c r="K290">
        <v>0</v>
      </c>
      <c r="L290">
        <v>4278.0600000000004</v>
      </c>
      <c r="M290">
        <v>3.06</v>
      </c>
      <c r="N290" s="1" t="s">
        <v>59</v>
      </c>
      <c r="O290" s="2">
        <v>45943.074988425928</v>
      </c>
      <c r="P290" s="2">
        <v>45944.73778935185</v>
      </c>
      <c r="Q290" s="2">
        <v>45946.710960648146</v>
      </c>
      <c r="R290" s="1" t="s">
        <v>2434</v>
      </c>
      <c r="S290" s="1" t="s">
        <v>60</v>
      </c>
      <c r="T290" s="2">
        <v>45943.812974537039</v>
      </c>
      <c r="U290" s="1" t="s">
        <v>61</v>
      </c>
      <c r="V290" s="1" t="s">
        <v>62</v>
      </c>
      <c r="W290" s="1" t="s">
        <v>61</v>
      </c>
      <c r="X290" s="1" t="s">
        <v>61</v>
      </c>
      <c r="Y290" s="1" t="s">
        <v>61</v>
      </c>
      <c r="Z290" s="1" t="s">
        <v>61</v>
      </c>
      <c r="AA290" s="1" t="s">
        <v>61</v>
      </c>
      <c r="AB290" s="1" t="s">
        <v>61</v>
      </c>
      <c r="AC290" s="1" t="s">
        <v>61</v>
      </c>
      <c r="AD290" s="2">
        <v>45946.712800925925</v>
      </c>
      <c r="AE290" s="1" t="s">
        <v>63</v>
      </c>
      <c r="AF290" s="1" t="s">
        <v>61</v>
      </c>
      <c r="AG290" s="1" t="s">
        <v>124</v>
      </c>
      <c r="AH290" s="1" t="s">
        <v>99</v>
      </c>
      <c r="AI290">
        <v>122002</v>
      </c>
      <c r="AJ290" s="1" t="s">
        <v>66</v>
      </c>
      <c r="AK290" s="1" t="s">
        <v>67</v>
      </c>
      <c r="AL290">
        <v>62044220</v>
      </c>
      <c r="AM290" s="2"/>
      <c r="AN290">
        <v>4275</v>
      </c>
      <c r="AO290" s="1" t="s">
        <v>2435</v>
      </c>
      <c r="AP290" s="1" t="s">
        <v>61</v>
      </c>
      <c r="AQ290" s="1" t="s">
        <v>61</v>
      </c>
      <c r="AR290" s="1" t="s">
        <v>63</v>
      </c>
      <c r="AS290">
        <v>18</v>
      </c>
      <c r="AT290">
        <v>0</v>
      </c>
      <c r="AU290">
        <v>0</v>
      </c>
      <c r="AV290">
        <v>18</v>
      </c>
      <c r="AW290">
        <v>652.11900000000003</v>
      </c>
      <c r="AX290">
        <v>0</v>
      </c>
      <c r="AY290">
        <v>0</v>
      </c>
      <c r="AZ290">
        <v>652.11900000000003</v>
      </c>
      <c r="BA290" s="2"/>
      <c r="BB290">
        <v>0.85</v>
      </c>
      <c r="BC290" s="2">
        <v>45945.5</v>
      </c>
      <c r="BD290" s="27">
        <f>MarketPlace_Order_Report__2[[#This Row],[UnitPrice]]*MarketPlace_Order_Report__2[[#This Row],[OrderQty]]</f>
        <v>4275</v>
      </c>
      <c r="BE290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90" s="27">
        <f>MarketPlace_Order_Report__2[[#This Row],[Gross Amount (Before Tax)]]+MarketPlace_Order_Report__2[[#This Row],[Total GST Amount]]</f>
        <v>4927.1189999999997</v>
      </c>
    </row>
    <row r="291" spans="1:58">
      <c r="A291" s="1" t="s">
        <v>2335</v>
      </c>
      <c r="B291" s="1" t="s">
        <v>2336</v>
      </c>
      <c r="C291" s="1" t="s">
        <v>2436</v>
      </c>
      <c r="D291" s="1" t="s">
        <v>2437</v>
      </c>
      <c r="E291">
        <v>1</v>
      </c>
      <c r="F291" s="1" t="s">
        <v>58</v>
      </c>
      <c r="G291">
        <v>1</v>
      </c>
      <c r="H291">
        <v>1</v>
      </c>
      <c r="I291">
        <v>4500</v>
      </c>
      <c r="J291">
        <v>4275</v>
      </c>
      <c r="K291">
        <v>0</v>
      </c>
      <c r="L291">
        <v>4289.5</v>
      </c>
      <c r="M291">
        <v>14.5</v>
      </c>
      <c r="N291" s="1" t="s">
        <v>59</v>
      </c>
      <c r="O291" s="2">
        <v>45947.857627314814</v>
      </c>
      <c r="P291" s="2">
        <v>45954.73233796296</v>
      </c>
      <c r="Q291" s="2">
        <v>45958.400810185187</v>
      </c>
      <c r="R291" s="1" t="s">
        <v>2339</v>
      </c>
      <c r="S291" s="1" t="s">
        <v>60</v>
      </c>
      <c r="T291" s="2">
        <v>45948.802071759259</v>
      </c>
      <c r="U291" s="1" t="s">
        <v>61</v>
      </c>
      <c r="V291" s="1" t="s">
        <v>62</v>
      </c>
      <c r="W291" s="1" t="s">
        <v>61</v>
      </c>
      <c r="X291" s="1" t="s">
        <v>61</v>
      </c>
      <c r="Y291" s="1" t="s">
        <v>61</v>
      </c>
      <c r="Z291" s="1" t="s">
        <v>61</v>
      </c>
      <c r="AA291" s="1" t="s">
        <v>61</v>
      </c>
      <c r="AB291" s="1" t="s">
        <v>61</v>
      </c>
      <c r="AC291" s="1" t="s">
        <v>61</v>
      </c>
      <c r="AD291" s="2">
        <v>45958.403634259259</v>
      </c>
      <c r="AE291" s="1" t="s">
        <v>63</v>
      </c>
      <c r="AF291" s="1" t="s">
        <v>61</v>
      </c>
      <c r="AG291" s="1" t="s">
        <v>182</v>
      </c>
      <c r="AH291" s="1" t="s">
        <v>183</v>
      </c>
      <c r="AI291">
        <v>110075</v>
      </c>
      <c r="AJ291" s="1" t="s">
        <v>66</v>
      </c>
      <c r="AK291" s="1" t="s">
        <v>67</v>
      </c>
      <c r="AL291">
        <v>62044220</v>
      </c>
      <c r="AM291" s="2"/>
      <c r="AN291">
        <v>4275</v>
      </c>
      <c r="AO291" s="1" t="s">
        <v>2340</v>
      </c>
      <c r="AP291" s="1" t="s">
        <v>2341</v>
      </c>
      <c r="AQ291" s="1" t="s">
        <v>61</v>
      </c>
      <c r="AR291" s="1" t="s">
        <v>63</v>
      </c>
      <c r="AS291">
        <v>18</v>
      </c>
      <c r="AT291">
        <v>0</v>
      </c>
      <c r="AU291">
        <v>0</v>
      </c>
      <c r="AV291">
        <v>18</v>
      </c>
      <c r="AW291">
        <v>652.11900000000003</v>
      </c>
      <c r="AX291">
        <v>0</v>
      </c>
      <c r="AY291">
        <v>0</v>
      </c>
      <c r="AZ291">
        <v>652.11900000000003</v>
      </c>
      <c r="BA291" s="2"/>
      <c r="BB291">
        <v>1.2</v>
      </c>
      <c r="BC291" s="2">
        <v>45950.5</v>
      </c>
      <c r="BD291" s="27">
        <f>MarketPlace_Order_Report__2[[#This Row],[UnitPrice]]*MarketPlace_Order_Report__2[[#This Row],[OrderQty]]</f>
        <v>4275</v>
      </c>
      <c r="BE291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91" s="27">
        <f>MarketPlace_Order_Report__2[[#This Row],[Gross Amount (Before Tax)]]+MarketPlace_Order_Report__2[[#This Row],[Total GST Amount]]</f>
        <v>4927.1189999999997</v>
      </c>
    </row>
    <row r="292" spans="1:58">
      <c r="A292" s="1" t="s">
        <v>2438</v>
      </c>
      <c r="B292" s="1" t="s">
        <v>2439</v>
      </c>
      <c r="C292" s="1" t="s">
        <v>2440</v>
      </c>
      <c r="D292" s="1" t="s">
        <v>2441</v>
      </c>
      <c r="E292">
        <v>2</v>
      </c>
      <c r="F292" s="1" t="s">
        <v>58</v>
      </c>
      <c r="G292">
        <v>1</v>
      </c>
      <c r="H292">
        <v>1</v>
      </c>
      <c r="I292">
        <v>4500</v>
      </c>
      <c r="J292">
        <v>4275</v>
      </c>
      <c r="K292">
        <v>0</v>
      </c>
      <c r="L292">
        <v>4291.6499999999996</v>
      </c>
      <c r="M292">
        <v>16.649999999999999</v>
      </c>
      <c r="N292" s="1" t="s">
        <v>59</v>
      </c>
      <c r="O292" s="2">
        <v>45943.483263888891</v>
      </c>
      <c r="P292" s="2">
        <v>45944.742418981485</v>
      </c>
      <c r="Q292" s="2">
        <v>45948.487314814818</v>
      </c>
      <c r="R292" s="1" t="s">
        <v>2442</v>
      </c>
      <c r="S292" s="1" t="s">
        <v>60</v>
      </c>
      <c r="T292" s="2">
        <v>45943.813715277778</v>
      </c>
      <c r="U292" s="1" t="s">
        <v>61</v>
      </c>
      <c r="V292" s="1" t="s">
        <v>62</v>
      </c>
      <c r="W292" s="1" t="s">
        <v>61</v>
      </c>
      <c r="X292" s="1" t="s">
        <v>61</v>
      </c>
      <c r="Y292" s="1" t="s">
        <v>61</v>
      </c>
      <c r="Z292" s="1" t="s">
        <v>61</v>
      </c>
      <c r="AA292" s="1" t="s">
        <v>61</v>
      </c>
      <c r="AB292" s="1" t="s">
        <v>61</v>
      </c>
      <c r="AC292" s="1" t="s">
        <v>61</v>
      </c>
      <c r="AD292" s="2">
        <v>45948.490358796298</v>
      </c>
      <c r="AE292" s="1" t="s">
        <v>63</v>
      </c>
      <c r="AF292" s="1" t="s">
        <v>61</v>
      </c>
      <c r="AG292" s="1" t="s">
        <v>197</v>
      </c>
      <c r="AH292" s="1" t="s">
        <v>65</v>
      </c>
      <c r="AI292">
        <v>560103</v>
      </c>
      <c r="AJ292" s="1" t="s">
        <v>66</v>
      </c>
      <c r="AK292" s="1" t="s">
        <v>67</v>
      </c>
      <c r="AL292">
        <v>62044220</v>
      </c>
      <c r="AM292" s="2"/>
      <c r="AN292">
        <v>4275</v>
      </c>
      <c r="AO292" s="1" t="s">
        <v>2443</v>
      </c>
      <c r="AP292" s="1" t="s">
        <v>1156</v>
      </c>
      <c r="AQ292" s="1" t="s">
        <v>61</v>
      </c>
      <c r="AR292" s="1" t="s">
        <v>63</v>
      </c>
      <c r="AS292">
        <v>18</v>
      </c>
      <c r="AT292">
        <v>0</v>
      </c>
      <c r="AU292">
        <v>0</v>
      </c>
      <c r="AV292">
        <v>18</v>
      </c>
      <c r="AW292">
        <v>652.11900000000003</v>
      </c>
      <c r="AX292">
        <v>0</v>
      </c>
      <c r="AY292">
        <v>0</v>
      </c>
      <c r="AZ292">
        <v>652.11900000000003</v>
      </c>
      <c r="BA292" s="2"/>
      <c r="BB292">
        <v>0.85</v>
      </c>
      <c r="BC292" s="2">
        <v>45945.5</v>
      </c>
      <c r="BD292" s="27">
        <f>MarketPlace_Order_Report__2[[#This Row],[UnitPrice]]*MarketPlace_Order_Report__2[[#This Row],[OrderQty]]</f>
        <v>4275</v>
      </c>
      <c r="BE292" s="27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92" s="27">
        <f>MarketPlace_Order_Report__2[[#This Row],[Gross Amount (Before Tax)]]+MarketPlace_Order_Report__2[[#This Row],[Total GST Amount]]</f>
        <v>4927.1189999999997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FC9D07-F2E2-4593-BC74-BE4B42F2BF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Sales_Sept_25</vt:lpstr>
      <vt:lpstr>Sept Insights</vt:lpstr>
      <vt:lpstr>Sept_25_All</vt:lpstr>
      <vt:lpstr>Sept_25_Completed</vt:lpstr>
      <vt:lpstr>Sept_25_Return</vt:lpstr>
      <vt:lpstr>Sept_25_RTO</vt:lpstr>
      <vt:lpstr>Sept_25_Cancelled</vt:lpstr>
      <vt:lpstr>Sales_Oct_25</vt:lpstr>
      <vt:lpstr>SeptSales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Sufiyan Mujawar</dc:creator>
  <cp:lastModifiedBy>Mohd Sufiyan Mujawar</cp:lastModifiedBy>
  <dcterms:created xsi:type="dcterms:W3CDTF">2025-11-15T12:11:50Z</dcterms:created>
  <dcterms:modified xsi:type="dcterms:W3CDTF">2025-11-20T10:37:07Z</dcterms:modified>
</cp:coreProperties>
</file>