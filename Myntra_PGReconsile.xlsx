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0976ee285b5691/Desktop/"/>
    </mc:Choice>
  </mc:AlternateContent>
  <xr:revisionPtr revIDLastSave="1163" documentId="13_ncr:1_{5CFE38B0-7675-46BF-B883-F23DB63A9DE5}" xr6:coauthVersionLast="47" xr6:coauthVersionMax="47" xr10:uidLastSave="{BA1F0237-225D-4348-8388-BC5C3E8E1420}"/>
  <bookViews>
    <workbookView xWindow="-108" yWindow="-108" windowWidth="23256" windowHeight="12456" activeTab="4" xr2:uid="{0BEC68F3-AE2E-4B92-8F81-249D0CD7079B}"/>
  </bookViews>
  <sheets>
    <sheet name="PGReconsile" sheetId="1" r:id="rId1"/>
    <sheet name="Insights" sheetId="2" r:id="rId2"/>
    <sheet name="Outcome &amp; Recommendations" sheetId="6" r:id="rId3"/>
    <sheet name="Completed" sheetId="3" r:id="rId4"/>
    <sheet name="Return" sheetId="5" r:id="rId5"/>
  </sheets>
  <externalReferences>
    <externalReference r:id="rId6"/>
  </externalReferences>
  <definedNames>
    <definedName name="_xlnm._FilterDatabase" localSheetId="0" hidden="1">PGReconsile!$A$1:$M$642</definedName>
    <definedName name="_xlnm._FilterDatabase" localSheetId="4" hidden="1">Return!$A$1:$H$282</definedName>
  </definedName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2" i="1"/>
  <c r="B26" i="2"/>
  <c r="B21" i="2"/>
  <c r="C27" i="2"/>
  <c r="B27" i="2"/>
  <c r="C25" i="2"/>
  <c r="B25" i="2"/>
  <c r="D25" i="2" s="1"/>
  <c r="C24" i="2"/>
  <c r="B24" i="2"/>
  <c r="B23" i="2"/>
  <c r="D23" i="2" s="1"/>
  <c r="B1048563" i="2" s="1"/>
  <c r="C22" i="2"/>
  <c r="B22" i="2"/>
  <c r="C21" i="2"/>
  <c r="B15" i="2"/>
  <c r="B12" i="2"/>
  <c r="B10" i="2"/>
  <c r="B8" i="2"/>
  <c r="B7" i="2"/>
  <c r="B6" i="2"/>
  <c r="I5" i="1"/>
  <c r="J5" i="1" s="1"/>
  <c r="I8" i="1"/>
  <c r="J8" i="1" s="1"/>
  <c r="I9" i="1"/>
  <c r="J9" i="1" s="1"/>
  <c r="I10" i="1"/>
  <c r="J10" i="1" s="1"/>
  <c r="C26" i="2" s="1"/>
  <c r="I11" i="1"/>
  <c r="J11" i="1" s="1"/>
  <c r="I14" i="1"/>
  <c r="J14" i="1" s="1"/>
  <c r="I15" i="1"/>
  <c r="J15" i="1" s="1"/>
  <c r="I17" i="1"/>
  <c r="J17" i="1" s="1"/>
  <c r="I18" i="1"/>
  <c r="J18" i="1" s="1"/>
  <c r="I21" i="1"/>
  <c r="J21" i="1" s="1"/>
  <c r="I24" i="1"/>
  <c r="J24" i="1" s="1"/>
  <c r="I25" i="1"/>
  <c r="J25" i="1" s="1"/>
  <c r="I26" i="1"/>
  <c r="J26" i="1" s="1"/>
  <c r="I28" i="1"/>
  <c r="J28" i="1" s="1"/>
  <c r="I31" i="1"/>
  <c r="J31" i="1" s="1"/>
  <c r="I34" i="1"/>
  <c r="J34" i="1" s="1"/>
  <c r="I38" i="1"/>
  <c r="J38" i="1" s="1"/>
  <c r="I39" i="1"/>
  <c r="J39" i="1" s="1"/>
  <c r="I42" i="1"/>
  <c r="J42" i="1" s="1"/>
  <c r="I43" i="1"/>
  <c r="J43" i="1" s="1"/>
  <c r="I47" i="1"/>
  <c r="J47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6" i="1"/>
  <c r="J56" i="1" s="1"/>
  <c r="I59" i="1"/>
  <c r="J59" i="1" s="1"/>
  <c r="I61" i="1"/>
  <c r="J61" i="1" s="1"/>
  <c r="I62" i="1"/>
  <c r="J62" i="1" s="1"/>
  <c r="I66" i="1"/>
  <c r="J66" i="1" s="1"/>
  <c r="I67" i="1"/>
  <c r="J67" i="1" s="1"/>
  <c r="I68" i="1"/>
  <c r="J68" i="1" s="1"/>
  <c r="I71" i="1"/>
  <c r="J71" i="1" s="1"/>
  <c r="I73" i="1"/>
  <c r="J73" i="1" s="1"/>
  <c r="I80" i="1"/>
  <c r="J80" i="1" s="1"/>
  <c r="I81" i="1"/>
  <c r="J81" i="1" s="1"/>
  <c r="I84" i="1"/>
  <c r="J84" i="1" s="1"/>
  <c r="I86" i="1"/>
  <c r="J86" i="1" s="1"/>
  <c r="I88" i="1"/>
  <c r="J88" i="1" s="1"/>
  <c r="I89" i="1"/>
  <c r="J89" i="1" s="1"/>
  <c r="I90" i="1"/>
  <c r="J90" i="1" s="1"/>
  <c r="I92" i="1"/>
  <c r="J92" i="1" s="1"/>
  <c r="I94" i="1"/>
  <c r="J94" i="1" s="1"/>
  <c r="I97" i="1"/>
  <c r="J97" i="1" s="1"/>
  <c r="I101" i="1"/>
  <c r="J101" i="1" s="1"/>
  <c r="I103" i="1"/>
  <c r="J103" i="1" s="1"/>
  <c r="I105" i="1"/>
  <c r="J105" i="1" s="1"/>
  <c r="I107" i="1"/>
  <c r="J107" i="1" s="1"/>
  <c r="I112" i="1"/>
  <c r="J112" i="1" s="1"/>
  <c r="I113" i="1"/>
  <c r="J113" i="1" s="1"/>
  <c r="I119" i="1"/>
  <c r="J119" i="1" s="1"/>
  <c r="I124" i="1"/>
  <c r="J124" i="1" s="1"/>
  <c r="I125" i="1"/>
  <c r="J125" i="1" s="1"/>
  <c r="I126" i="1"/>
  <c r="J126" i="1" s="1"/>
  <c r="I127" i="1"/>
  <c r="J127" i="1" s="1"/>
  <c r="I131" i="1"/>
  <c r="J131" i="1" s="1"/>
  <c r="I132" i="1"/>
  <c r="J132" i="1" s="1"/>
  <c r="I135" i="1"/>
  <c r="J135" i="1" s="1"/>
  <c r="I136" i="1"/>
  <c r="J136" i="1" s="1"/>
  <c r="I137" i="1"/>
  <c r="J137" i="1" s="1"/>
  <c r="I139" i="1"/>
  <c r="J139" i="1" s="1"/>
  <c r="I140" i="1"/>
  <c r="J140" i="1" s="1"/>
  <c r="I147" i="1"/>
  <c r="J147" i="1" s="1"/>
  <c r="I149" i="1"/>
  <c r="J149" i="1" s="1"/>
  <c r="I150" i="1"/>
  <c r="J150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9" i="1"/>
  <c r="J159" i="1" s="1"/>
  <c r="I160" i="1"/>
  <c r="J160" i="1" s="1"/>
  <c r="I161" i="1"/>
  <c r="J161" i="1" s="1"/>
  <c r="I162" i="1"/>
  <c r="J162" i="1" s="1"/>
  <c r="I164" i="1"/>
  <c r="J164" i="1" s="1"/>
  <c r="I166" i="1"/>
  <c r="J166" i="1" s="1"/>
  <c r="I167" i="1"/>
  <c r="J167" i="1" s="1"/>
  <c r="I170" i="1"/>
  <c r="J170" i="1" s="1"/>
  <c r="I171" i="1"/>
  <c r="J171" i="1" s="1"/>
  <c r="I172" i="1"/>
  <c r="J172" i="1" s="1"/>
  <c r="I174" i="1"/>
  <c r="J174" i="1" s="1"/>
  <c r="I177" i="1"/>
  <c r="J177" i="1" s="1"/>
  <c r="I178" i="1"/>
  <c r="J178" i="1" s="1"/>
  <c r="I183" i="1"/>
  <c r="J183" i="1" s="1"/>
  <c r="I184" i="1"/>
  <c r="J184" i="1" s="1"/>
  <c r="I187" i="1"/>
  <c r="J187" i="1" s="1"/>
  <c r="I188" i="1"/>
  <c r="J188" i="1" s="1"/>
  <c r="I193" i="1"/>
  <c r="J193" i="1" s="1"/>
  <c r="I195" i="1"/>
  <c r="J195" i="1" s="1"/>
  <c r="I196" i="1"/>
  <c r="J196" i="1" s="1"/>
  <c r="I198" i="1"/>
  <c r="J198" i="1" s="1"/>
  <c r="I200" i="1"/>
  <c r="J200" i="1" s="1"/>
  <c r="I206" i="1"/>
  <c r="J206" i="1" s="1"/>
  <c r="I207" i="1"/>
  <c r="J207" i="1" s="1"/>
  <c r="I208" i="1"/>
  <c r="J208" i="1" s="1"/>
  <c r="I209" i="1"/>
  <c r="J209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4" i="1"/>
  <c r="J224" i="1" s="1"/>
  <c r="I228" i="1"/>
  <c r="J228" i="1" s="1"/>
  <c r="I230" i="1"/>
  <c r="J230" i="1" s="1"/>
  <c r="I231" i="1"/>
  <c r="J231" i="1" s="1"/>
  <c r="I234" i="1"/>
  <c r="J234" i="1" s="1"/>
  <c r="I243" i="1"/>
  <c r="J243" i="1" s="1"/>
  <c r="I246" i="1"/>
  <c r="J246" i="1" s="1"/>
  <c r="I247" i="1"/>
  <c r="J247" i="1" s="1"/>
  <c r="I248" i="1"/>
  <c r="J248" i="1" s="1"/>
  <c r="I249" i="1"/>
  <c r="J249" i="1" s="1"/>
  <c r="I252" i="1"/>
  <c r="J252" i="1" s="1"/>
  <c r="I253" i="1"/>
  <c r="J253" i="1" s="1"/>
  <c r="I254" i="1"/>
  <c r="J254" i="1" s="1"/>
  <c r="I255" i="1"/>
  <c r="J255" i="1" s="1"/>
  <c r="I256" i="1"/>
  <c r="J256" i="1" s="1"/>
  <c r="I258" i="1"/>
  <c r="J258" i="1" s="1"/>
  <c r="I261" i="1"/>
  <c r="J261" i="1" s="1"/>
  <c r="I263" i="1"/>
  <c r="J263" i="1" s="1"/>
  <c r="I264" i="1"/>
  <c r="J264" i="1" s="1"/>
  <c r="I269" i="1"/>
  <c r="J269" i="1" s="1"/>
  <c r="I277" i="1"/>
  <c r="J277" i="1" s="1"/>
  <c r="I279" i="1"/>
  <c r="J279" i="1" s="1"/>
  <c r="I280" i="1"/>
  <c r="J280" i="1" s="1"/>
  <c r="I282" i="1"/>
  <c r="J282" i="1" s="1"/>
  <c r="I283" i="1"/>
  <c r="J283" i="1" s="1"/>
  <c r="I285" i="1"/>
  <c r="J285" i="1" s="1"/>
  <c r="I287" i="1"/>
  <c r="J287" i="1" s="1"/>
  <c r="I288" i="1"/>
  <c r="J288" i="1" s="1"/>
  <c r="I289" i="1"/>
  <c r="J289" i="1" s="1"/>
  <c r="I290" i="1"/>
  <c r="J290" i="1" s="1"/>
  <c r="I291" i="1"/>
  <c r="J291" i="1" s="1"/>
  <c r="I293" i="1"/>
  <c r="J293" i="1" s="1"/>
  <c r="I294" i="1"/>
  <c r="J294" i="1" s="1"/>
  <c r="I296" i="1"/>
  <c r="J296" i="1" s="1"/>
  <c r="I297" i="1"/>
  <c r="J297" i="1" s="1"/>
  <c r="I299" i="1"/>
  <c r="J299" i="1" s="1"/>
  <c r="I301" i="1"/>
  <c r="J301" i="1" s="1"/>
  <c r="I311" i="1"/>
  <c r="J311" i="1" s="1"/>
  <c r="I313" i="1"/>
  <c r="J313" i="1" s="1"/>
  <c r="I315" i="1"/>
  <c r="J315" i="1" s="1"/>
  <c r="I318" i="1"/>
  <c r="J318" i="1" s="1"/>
  <c r="I320" i="1"/>
  <c r="J320" i="1" s="1"/>
  <c r="I323" i="1"/>
  <c r="J323" i="1" s="1"/>
  <c r="I324" i="1"/>
  <c r="J324" i="1" s="1"/>
  <c r="I326" i="1"/>
  <c r="J326" i="1" s="1"/>
  <c r="I329" i="1"/>
  <c r="J329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2" i="1"/>
  <c r="J342" i="1" s="1"/>
  <c r="I343" i="1"/>
  <c r="J343" i="1" s="1"/>
  <c r="I346" i="1"/>
  <c r="J346" i="1" s="1"/>
  <c r="I349" i="1"/>
  <c r="J349" i="1" s="1"/>
  <c r="I352" i="1"/>
  <c r="J352" i="1" s="1"/>
  <c r="I353" i="1"/>
  <c r="J353" i="1" s="1"/>
  <c r="I362" i="1"/>
  <c r="J362" i="1" s="1"/>
  <c r="I363" i="1"/>
  <c r="J363" i="1" s="1"/>
  <c r="I375" i="1"/>
  <c r="J375" i="1" s="1"/>
  <c r="I380" i="1"/>
  <c r="J380" i="1" s="1"/>
  <c r="I381" i="1"/>
  <c r="J381" i="1" s="1"/>
  <c r="I382" i="1"/>
  <c r="J382" i="1" s="1"/>
  <c r="I385" i="1"/>
  <c r="J385" i="1" s="1"/>
  <c r="I389" i="1"/>
  <c r="J389" i="1" s="1"/>
  <c r="I391" i="1"/>
  <c r="J391" i="1" s="1"/>
  <c r="I392" i="1"/>
  <c r="J392" i="1" s="1"/>
  <c r="I394" i="1"/>
  <c r="J394" i="1" s="1"/>
  <c r="I396" i="1"/>
  <c r="J396" i="1" s="1"/>
  <c r="I398" i="1"/>
  <c r="J398" i="1" s="1"/>
  <c r="I402" i="1"/>
  <c r="J402" i="1" s="1"/>
  <c r="I403" i="1"/>
  <c r="J403" i="1" s="1"/>
  <c r="I405" i="1"/>
  <c r="J405" i="1" s="1"/>
  <c r="I407" i="1"/>
  <c r="J407" i="1" s="1"/>
  <c r="I409" i="1"/>
  <c r="J409" i="1" s="1"/>
  <c r="I411" i="1"/>
  <c r="J411" i="1" s="1"/>
  <c r="I412" i="1"/>
  <c r="J412" i="1" s="1"/>
  <c r="I414" i="1"/>
  <c r="J414" i="1" s="1"/>
  <c r="I416" i="1"/>
  <c r="J416" i="1" s="1"/>
  <c r="I421" i="1"/>
  <c r="J421" i="1" s="1"/>
  <c r="I425" i="1"/>
  <c r="J425" i="1" s="1"/>
  <c r="I429" i="1"/>
  <c r="J429" i="1" s="1"/>
  <c r="I432" i="1"/>
  <c r="J432" i="1" s="1"/>
  <c r="I439" i="1"/>
  <c r="J439" i="1" s="1"/>
  <c r="I440" i="1"/>
  <c r="J440" i="1" s="1"/>
  <c r="I441" i="1"/>
  <c r="J441" i="1" s="1"/>
  <c r="I442" i="1"/>
  <c r="J442" i="1" s="1"/>
  <c r="I446" i="1"/>
  <c r="J446" i="1" s="1"/>
  <c r="I447" i="1"/>
  <c r="J447" i="1" s="1"/>
  <c r="I448" i="1"/>
  <c r="J448" i="1" s="1"/>
  <c r="I449" i="1"/>
  <c r="J449" i="1" s="1"/>
  <c r="I451" i="1"/>
  <c r="J451" i="1" s="1"/>
  <c r="I453" i="1"/>
  <c r="J453" i="1" s="1"/>
  <c r="I455" i="1"/>
  <c r="J455" i="1" s="1"/>
  <c r="I461" i="1"/>
  <c r="J461" i="1" s="1"/>
  <c r="I464" i="1"/>
  <c r="J464" i="1" s="1"/>
  <c r="I465" i="1"/>
  <c r="J465" i="1" s="1"/>
  <c r="I467" i="1"/>
  <c r="J467" i="1" s="1"/>
  <c r="I469" i="1"/>
  <c r="J469" i="1" s="1"/>
  <c r="I471" i="1"/>
  <c r="J471" i="1" s="1"/>
  <c r="I473" i="1"/>
  <c r="J473" i="1" s="1"/>
  <c r="I482" i="1"/>
  <c r="J482" i="1" s="1"/>
  <c r="I484" i="1"/>
  <c r="J484" i="1" s="1"/>
  <c r="I486" i="1"/>
  <c r="J486" i="1" s="1"/>
  <c r="I487" i="1"/>
  <c r="J487" i="1" s="1"/>
  <c r="I489" i="1"/>
  <c r="J489" i="1" s="1"/>
  <c r="I490" i="1"/>
  <c r="J490" i="1" s="1"/>
  <c r="I496" i="1"/>
  <c r="J496" i="1" s="1"/>
  <c r="I499" i="1"/>
  <c r="J499" i="1" s="1"/>
  <c r="I503" i="1"/>
  <c r="J503" i="1" s="1"/>
  <c r="I504" i="1"/>
  <c r="J504" i="1" s="1"/>
  <c r="I506" i="1"/>
  <c r="J506" i="1" s="1"/>
  <c r="I507" i="1"/>
  <c r="J507" i="1" s="1"/>
  <c r="I509" i="1"/>
  <c r="J509" i="1" s="1"/>
  <c r="I510" i="1"/>
  <c r="J510" i="1" s="1"/>
  <c r="I513" i="1"/>
  <c r="J513" i="1" s="1"/>
  <c r="I514" i="1"/>
  <c r="J514" i="1" s="1"/>
  <c r="I515" i="1"/>
  <c r="J515" i="1" s="1"/>
  <c r="I517" i="1"/>
  <c r="J517" i="1" s="1"/>
  <c r="I518" i="1"/>
  <c r="J518" i="1" s="1"/>
  <c r="I527" i="1"/>
  <c r="J527" i="1" s="1"/>
  <c r="I532" i="1"/>
  <c r="J532" i="1" s="1"/>
  <c r="I533" i="1"/>
  <c r="J533" i="1" s="1"/>
  <c r="I537" i="1"/>
  <c r="J537" i="1" s="1"/>
  <c r="I539" i="1"/>
  <c r="J539" i="1" s="1"/>
  <c r="I541" i="1"/>
  <c r="J541" i="1" s="1"/>
  <c r="I553" i="1"/>
  <c r="J553" i="1" s="1"/>
  <c r="I554" i="1"/>
  <c r="J554" i="1" s="1"/>
  <c r="I560" i="1"/>
  <c r="J560" i="1" s="1"/>
  <c r="I561" i="1"/>
  <c r="J561" i="1" s="1"/>
  <c r="I562" i="1"/>
  <c r="J562" i="1" s="1"/>
  <c r="I563" i="1"/>
  <c r="J563" i="1" s="1"/>
  <c r="I564" i="1"/>
  <c r="J564" i="1" s="1"/>
  <c r="I566" i="1"/>
  <c r="J566" i="1" s="1"/>
  <c r="I568" i="1"/>
  <c r="J568" i="1" s="1"/>
  <c r="I569" i="1"/>
  <c r="J569" i="1" s="1"/>
  <c r="I572" i="1"/>
  <c r="J572" i="1" s="1"/>
  <c r="I573" i="1"/>
  <c r="J573" i="1" s="1"/>
  <c r="I578" i="1"/>
  <c r="J578" i="1" s="1"/>
  <c r="I584" i="1"/>
  <c r="J584" i="1" s="1"/>
  <c r="I585" i="1"/>
  <c r="J585" i="1" s="1"/>
  <c r="I586" i="1"/>
  <c r="J586" i="1" s="1"/>
  <c r="I591" i="1"/>
  <c r="J591" i="1" s="1"/>
  <c r="I592" i="1"/>
  <c r="J592" i="1" s="1"/>
  <c r="I596" i="1"/>
  <c r="J596" i="1" s="1"/>
  <c r="I600" i="1"/>
  <c r="J600" i="1" s="1"/>
  <c r="I605" i="1"/>
  <c r="J605" i="1" s="1"/>
  <c r="I609" i="1"/>
  <c r="J609" i="1" s="1"/>
  <c r="I610" i="1"/>
  <c r="J610" i="1" s="1"/>
  <c r="I611" i="1"/>
  <c r="J611" i="1" s="1"/>
  <c r="I613" i="1"/>
  <c r="J613" i="1" s="1"/>
  <c r="I614" i="1"/>
  <c r="J614" i="1" s="1"/>
  <c r="I615" i="1"/>
  <c r="J615" i="1" s="1"/>
  <c r="I617" i="1"/>
  <c r="J617" i="1" s="1"/>
  <c r="I621" i="1"/>
  <c r="J621" i="1" s="1"/>
  <c r="I623" i="1"/>
  <c r="J623" i="1" s="1"/>
  <c r="I629" i="1"/>
  <c r="J629" i="1" s="1"/>
  <c r="I635" i="1"/>
  <c r="J635" i="1" s="1"/>
  <c r="I638" i="1"/>
  <c r="J638" i="1" s="1"/>
  <c r="I639" i="1"/>
  <c r="J639" i="1" s="1"/>
  <c r="I640" i="1"/>
  <c r="J640" i="1" s="1"/>
  <c r="H51" i="5"/>
  <c r="H142" i="5"/>
  <c r="H165" i="5"/>
  <c r="H274" i="5"/>
  <c r="H103" i="5"/>
  <c r="H95" i="5"/>
  <c r="H159" i="5"/>
  <c r="H40" i="5"/>
  <c r="H71" i="5"/>
  <c r="H104" i="5"/>
  <c r="H174" i="5"/>
  <c r="H34" i="5"/>
  <c r="H28" i="5"/>
  <c r="H105" i="5"/>
  <c r="H172" i="5"/>
  <c r="H166" i="5"/>
  <c r="H241" i="5"/>
  <c r="H3" i="5"/>
  <c r="H261" i="5"/>
  <c r="H194" i="5"/>
  <c r="H187" i="5"/>
  <c r="H160" i="5"/>
  <c r="H175" i="5"/>
  <c r="H273" i="5"/>
  <c r="H143" i="5"/>
  <c r="H277" i="5"/>
  <c r="H161" i="5"/>
  <c r="H181" i="5"/>
  <c r="H281" i="5"/>
  <c r="H203" i="5"/>
  <c r="H144" i="5"/>
  <c r="H190" i="5"/>
  <c r="H72" i="5"/>
  <c r="H106" i="5"/>
  <c r="H235" i="5"/>
  <c r="H153" i="5"/>
  <c r="H96" i="5"/>
  <c r="H122" i="5"/>
  <c r="H73" i="5"/>
  <c r="H262" i="5"/>
  <c r="H236" i="5"/>
  <c r="H204" i="5"/>
  <c r="H127" i="5"/>
  <c r="H176" i="5"/>
  <c r="H255" i="5"/>
  <c r="H107" i="5"/>
  <c r="H22" i="5"/>
  <c r="H13" i="5"/>
  <c r="H173" i="5"/>
  <c r="H74" i="5"/>
  <c r="H167" i="5"/>
  <c r="H4" i="5"/>
  <c r="H75" i="5"/>
  <c r="H76" i="5"/>
  <c r="H242" i="5"/>
  <c r="H234" i="5"/>
  <c r="H237" i="5"/>
  <c r="H155" i="5"/>
  <c r="H232" i="5"/>
  <c r="H244" i="5"/>
  <c r="H162" i="5"/>
  <c r="H139" i="5"/>
  <c r="H10" i="5"/>
  <c r="H230" i="5"/>
  <c r="H90" i="5"/>
  <c r="H52" i="5"/>
  <c r="H226" i="5"/>
  <c r="H64" i="5"/>
  <c r="H263" i="5"/>
  <c r="H140" i="5"/>
  <c r="H182" i="5"/>
  <c r="H171" i="5"/>
  <c r="H206" i="5"/>
  <c r="H243" i="5"/>
  <c r="H27" i="5"/>
  <c r="H145" i="5"/>
  <c r="H97" i="5"/>
  <c r="H278" i="5"/>
  <c r="H141" i="5"/>
  <c r="H77" i="5"/>
  <c r="H14" i="5"/>
  <c r="H78" i="5"/>
  <c r="H35" i="5"/>
  <c r="H5" i="5"/>
  <c r="H98" i="5"/>
  <c r="H238" i="5"/>
  <c r="H220" i="5"/>
  <c r="H79" i="5"/>
  <c r="H53" i="5"/>
  <c r="H39" i="5"/>
  <c r="H245" i="5"/>
  <c r="H36" i="5"/>
  <c r="H239" i="5"/>
  <c r="H65" i="5"/>
  <c r="H207" i="5"/>
  <c r="H108" i="5"/>
  <c r="H177" i="5"/>
  <c r="H195" i="5"/>
  <c r="H23" i="5"/>
  <c r="H109" i="5"/>
  <c r="H217" i="5"/>
  <c r="H248" i="5"/>
  <c r="H178" i="5"/>
  <c r="H146" i="5"/>
  <c r="H246" i="5"/>
  <c r="H99" i="5"/>
  <c r="H66" i="5"/>
  <c r="H179" i="5"/>
  <c r="H29" i="5"/>
  <c r="H196" i="5"/>
  <c r="H2" i="5"/>
  <c r="H218" i="5"/>
  <c r="H128" i="5"/>
  <c r="H24" i="5"/>
  <c r="H214" i="5"/>
  <c r="H110" i="5"/>
  <c r="H41" i="5"/>
  <c r="H192" i="5"/>
  <c r="H100" i="5"/>
  <c r="H256" i="5"/>
  <c r="H147" i="5"/>
  <c r="H54" i="5"/>
  <c r="H55" i="5"/>
  <c r="H264" i="5"/>
  <c r="H148" i="5"/>
  <c r="H253" i="5"/>
  <c r="H276" i="5"/>
  <c r="H208" i="5"/>
  <c r="H6" i="5"/>
  <c r="H191" i="5"/>
  <c r="H156" i="5"/>
  <c r="H227" i="5"/>
  <c r="H265" i="5"/>
  <c r="H7" i="5"/>
  <c r="H280" i="5"/>
  <c r="H163" i="5"/>
  <c r="H80" i="5"/>
  <c r="H157" i="5"/>
  <c r="H129" i="5"/>
  <c r="H111" i="5"/>
  <c r="H123" i="5"/>
  <c r="H81" i="5"/>
  <c r="H197" i="5"/>
  <c r="H91" i="5"/>
  <c r="H25" i="5"/>
  <c r="H82" i="5"/>
  <c r="H188" i="5"/>
  <c r="H209" i="5"/>
  <c r="H8" i="5"/>
  <c r="H92" i="5"/>
  <c r="H198" i="5"/>
  <c r="H240" i="5"/>
  <c r="H37" i="5"/>
  <c r="H15" i="5"/>
  <c r="H112" i="5"/>
  <c r="H257" i="5"/>
  <c r="H11" i="5"/>
  <c r="H252" i="5"/>
  <c r="H225" i="5"/>
  <c r="H228" i="5"/>
  <c r="H83" i="5"/>
  <c r="H84" i="5"/>
  <c r="H168" i="5"/>
  <c r="H249" i="5"/>
  <c r="H101" i="5"/>
  <c r="H266" i="5"/>
  <c r="H164" i="5"/>
  <c r="H149" i="5"/>
  <c r="H267" i="5"/>
  <c r="H130" i="5"/>
  <c r="H93" i="5"/>
  <c r="H205" i="5"/>
  <c r="H56" i="5"/>
  <c r="H67" i="5"/>
  <c r="H154" i="5"/>
  <c r="H57" i="5"/>
  <c r="H169" i="5"/>
  <c r="H279" i="5"/>
  <c r="H42" i="5"/>
  <c r="H183" i="5"/>
  <c r="H229" i="5"/>
  <c r="H251" i="5"/>
  <c r="H268" i="5"/>
  <c r="H150" i="5"/>
  <c r="H85" i="5"/>
  <c r="H124" i="5"/>
  <c r="H102" i="5"/>
  <c r="H9" i="5"/>
  <c r="H272" i="5"/>
  <c r="H210" i="5"/>
  <c r="H18" i="5"/>
  <c r="H19" i="5"/>
  <c r="H113" i="5"/>
  <c r="H189" i="5"/>
  <c r="H170" i="5"/>
  <c r="H58" i="5"/>
  <c r="H38" i="5"/>
  <c r="H131" i="5"/>
  <c r="H132" i="5"/>
  <c r="H216" i="5"/>
  <c r="H44" i="5"/>
  <c r="H270" i="5"/>
  <c r="H152" i="5"/>
  <c r="H221" i="5"/>
  <c r="H86" i="5"/>
  <c r="H94" i="5"/>
  <c r="H68" i="5"/>
  <c r="H45" i="5"/>
  <c r="H43" i="5"/>
  <c r="H133" i="5"/>
  <c r="H199" i="5"/>
  <c r="H121" i="5"/>
  <c r="H114" i="5"/>
  <c r="H31" i="5"/>
  <c r="H46" i="5"/>
  <c r="H258" i="5"/>
  <c r="H30" i="5"/>
  <c r="H219" i="5"/>
  <c r="H213" i="5"/>
  <c r="H115" i="5"/>
  <c r="H151" i="5"/>
  <c r="H87" i="5"/>
  <c r="H116" i="5"/>
  <c r="H211" i="5"/>
  <c r="H70" i="5"/>
  <c r="H119" i="5"/>
  <c r="H134" i="5"/>
  <c r="H135" i="5"/>
  <c r="H88" i="5"/>
  <c r="H117" i="5"/>
  <c r="H200" i="5"/>
  <c r="H12" i="5"/>
  <c r="H259" i="5"/>
  <c r="H59" i="5"/>
  <c r="H32" i="5"/>
  <c r="H62" i="5"/>
  <c r="H260" i="5"/>
  <c r="H89" i="5"/>
  <c r="H184" i="5"/>
  <c r="H69" i="5"/>
  <c r="H136" i="5"/>
  <c r="H47" i="5"/>
  <c r="H212" i="5"/>
  <c r="H120" i="5"/>
  <c r="H16" i="5"/>
  <c r="H60" i="5"/>
  <c r="H185" i="5"/>
  <c r="H48" i="5"/>
  <c r="H158" i="5"/>
  <c r="H49" i="5"/>
  <c r="H231" i="5"/>
  <c r="H137" i="5"/>
  <c r="H193" i="5"/>
  <c r="H61" i="5"/>
  <c r="H222" i="5"/>
  <c r="H233" i="5"/>
  <c r="H17" i="5"/>
  <c r="H186" i="5"/>
  <c r="H275" i="5"/>
  <c r="H20" i="5"/>
  <c r="H269" i="5"/>
  <c r="H138" i="5"/>
  <c r="H33" i="5"/>
  <c r="H271" i="5"/>
  <c r="H247" i="5"/>
  <c r="H63" i="5"/>
  <c r="H21" i="5"/>
  <c r="H223" i="5"/>
  <c r="H201" i="5"/>
  <c r="H215" i="5"/>
  <c r="H180" i="5"/>
  <c r="H224" i="5"/>
  <c r="H254" i="5"/>
  <c r="H118" i="5"/>
  <c r="H126" i="5"/>
  <c r="H125" i="5"/>
  <c r="H250" i="5"/>
  <c r="H50" i="5"/>
  <c r="H26" i="5"/>
  <c r="H202" i="5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2" i="1"/>
  <c r="E27" i="2" l="1"/>
  <c r="D22" i="2"/>
  <c r="B1048562" i="2" s="1"/>
  <c r="B5" i="2"/>
  <c r="B16" i="2" s="1"/>
  <c r="D21" i="2"/>
  <c r="B1048561" i="2" s="1"/>
  <c r="D26" i="2"/>
  <c r="B1048565" i="2" s="1"/>
  <c r="D24" i="2"/>
  <c r="B1048564" i="2" s="1"/>
  <c r="D27" i="2"/>
  <c r="B1048566" i="2" s="1"/>
  <c r="E21" i="2"/>
  <c r="E26" i="2"/>
  <c r="E22" i="2"/>
  <c r="E23" i="2"/>
  <c r="E24" i="2"/>
  <c r="E25" i="2"/>
  <c r="B17" i="2"/>
  <c r="B14" i="2"/>
  <c r="B13" i="2"/>
  <c r="B11" i="2"/>
  <c r="B9" i="2" s="1"/>
  <c r="H282" i="5"/>
</calcChain>
</file>

<file path=xl/sharedStrings.xml><?xml version="1.0" encoding="utf-8"?>
<sst xmlns="http://schemas.openxmlformats.org/spreadsheetml/2006/main" count="2184" uniqueCount="141">
  <si>
    <t>order_id</t>
  </si>
  <si>
    <t>Customer_Paid</t>
  </si>
  <si>
    <t>Commission</t>
  </si>
  <si>
    <t>Logistics</t>
  </si>
  <si>
    <t>GST_taxes</t>
  </si>
  <si>
    <t>Myntra_Settlement</t>
  </si>
  <si>
    <t>Difference (what Myntra kept per order)</t>
  </si>
  <si>
    <t>Value</t>
  </si>
  <si>
    <t>Metric</t>
  </si>
  <si>
    <t>Settled</t>
  </si>
  <si>
    <t>Pending</t>
  </si>
  <si>
    <t>Return</t>
  </si>
  <si>
    <t>Completed</t>
  </si>
  <si>
    <t>Order_status</t>
  </si>
  <si>
    <t>PG_status</t>
  </si>
  <si>
    <t>order_release_id</t>
  </si>
  <si>
    <t>customer_paid_amt</t>
  </si>
  <si>
    <t>Final_Settlement</t>
  </si>
  <si>
    <t>Final_settlement</t>
  </si>
  <si>
    <t>return_logistics</t>
  </si>
  <si>
    <t>myntra_settlement</t>
  </si>
  <si>
    <t>Reverse settlement</t>
  </si>
  <si>
    <t>Net Settlement</t>
  </si>
  <si>
    <t>Charges while Return</t>
  </si>
  <si>
    <t>Reverse Settlement</t>
  </si>
  <si>
    <t>-</t>
  </si>
  <si>
    <t>KPI</t>
  </si>
  <si>
    <t>Description</t>
  </si>
  <si>
    <t>Total Sales (Completed Orders)</t>
  </si>
  <si>
    <t>Total Logistics (Forward)</t>
  </si>
  <si>
    <t>Total Logistics (Return)</t>
  </si>
  <si>
    <t>Total GST Taxes</t>
  </si>
  <si>
    <t>Total Settlement (Completed Orders)</t>
  </si>
  <si>
    <t>Return Rate (%)</t>
  </si>
  <si>
    <t>Profit % (Approx.)</t>
  </si>
  <si>
    <t>Summary</t>
  </si>
  <si>
    <t>Total</t>
  </si>
  <si>
    <t>Net Effect</t>
  </si>
  <si>
    <t>Customer Paid</t>
  </si>
  <si>
    <t>GST</t>
  </si>
  <si>
    <t>Myntra Settlement</t>
  </si>
  <si>
    <t>Total value customers paid for completed orders</t>
  </si>
  <si>
    <t>Value of returned orders</t>
  </si>
  <si>
    <t>Total Myntra commission on completed orders</t>
  </si>
  <si>
    <t>Delivery cost</t>
  </si>
  <si>
    <t>Reverse shipping cost</t>
  </si>
  <si>
    <t>Tax deduction amount</t>
  </si>
  <si>
    <t>What Myntra paid you for completed orders</t>
  </si>
  <si>
    <t>Amount Myntra took back (includes return &amp; forward logistics)</t>
  </si>
  <si>
    <t>Actual amount credited or debited overall</t>
  </si>
  <si>
    <t xml:space="preserve">Total value customers paid </t>
  </si>
  <si>
    <t>How much of your sale value got returned</t>
  </si>
  <si>
    <t>Overall business efficiency (real take-home %)</t>
  </si>
  <si>
    <t>Total Shipping cost</t>
  </si>
  <si>
    <t>Net Business Impact</t>
  </si>
  <si>
    <t>🧾 Business Summary</t>
  </si>
  <si>
    <r>
      <rPr>
        <b/>
        <sz val="14"/>
        <color rgb="FFFF0000"/>
        <rFont val="Calibri"/>
        <family val="2"/>
        <scheme val="minor"/>
      </rPr>
      <t>⚠️</t>
    </r>
    <r>
      <rPr>
        <b/>
        <sz val="14"/>
        <color theme="1"/>
        <rFont val="Calibri"/>
        <family val="2"/>
        <scheme val="minor"/>
      </rPr>
      <t xml:space="preserve"> Since reverse settlement already includes both forward and return logistics, returns directly reduce your profit.</t>
    </r>
  </si>
  <si>
    <t>In simple words:
Every return means you lose the order’s earnings plus you pay both-way logistics.</t>
  </si>
  <si>
    <t>Return Value = ₹7.42 Lakh</t>
  </si>
  <si>
    <t>Final Net Settlement = ₹6.14 Lakh</t>
  </si>
  <si>
    <t>Cost Breakdown Table</t>
  </si>
  <si>
    <t>Reverse Settlement = ₹5.91 Lakh</t>
  </si>
  <si>
    <t>Item</t>
  </si>
  <si>
    <t>Amount</t>
  </si>
  <si>
    <t>Date</t>
  </si>
  <si>
    <t>Total Sales = ₹16.91 Lakh</t>
  </si>
  <si>
    <t>Row Labels</t>
  </si>
  <si>
    <t>Grand Total</t>
  </si>
  <si>
    <t>Mar</t>
  </si>
  <si>
    <t>Aug</t>
  </si>
  <si>
    <t>Sep</t>
  </si>
  <si>
    <t>Sum of Net Settlement</t>
  </si>
  <si>
    <t>BUSINESS INSIGHTS</t>
  </si>
  <si>
    <r>
      <rPr>
        <b/>
        <sz val="14"/>
        <color theme="7" tint="-0.499984740745262"/>
        <rFont val="Calibri"/>
        <family val="2"/>
        <scheme val="minor"/>
      </rPr>
      <t>💰</t>
    </r>
    <r>
      <rPr>
        <b/>
        <sz val="14"/>
        <color theme="1"/>
        <rFont val="Calibri"/>
        <family val="2"/>
        <scheme val="minor"/>
      </rPr>
      <t xml:space="preserve"> Total Sales (Overall)</t>
    </r>
  </si>
  <si>
    <r>
      <rPr>
        <b/>
        <sz val="14"/>
        <color theme="7" tint="-0.499984740745262"/>
        <rFont val="Calibri"/>
        <family val="2"/>
        <scheme val="minor"/>
      </rPr>
      <t>📦</t>
    </r>
    <r>
      <rPr>
        <b/>
        <sz val="14"/>
        <color theme="1"/>
        <rFont val="Calibri"/>
        <family val="2"/>
        <scheme val="minor"/>
      </rPr>
      <t>Total Returns (Returned Orders)</t>
    </r>
  </si>
  <si>
    <t>🧾Total Commission</t>
  </si>
  <si>
    <r>
      <rPr>
        <b/>
        <sz val="14"/>
        <color theme="7" tint="-0.499984740745262"/>
        <rFont val="Calibri"/>
        <family val="2"/>
        <scheme val="minor"/>
      </rPr>
      <t>🚚</t>
    </r>
    <r>
      <rPr>
        <b/>
        <sz val="14"/>
        <color theme="1"/>
        <rFont val="Calibri"/>
        <family val="2"/>
        <scheme val="minor"/>
      </rPr>
      <t>Total Logistics</t>
    </r>
  </si>
  <si>
    <r>
      <rPr>
        <b/>
        <sz val="14"/>
        <color rgb="FFC00000"/>
        <rFont val="Calibri"/>
        <family val="2"/>
        <scheme val="minor"/>
      </rPr>
      <t>📉</t>
    </r>
    <r>
      <rPr>
        <b/>
        <sz val="14"/>
        <color theme="1"/>
        <rFont val="Calibri"/>
        <family val="2"/>
        <scheme val="minor"/>
      </rPr>
      <t>Reverse Settlement (Returned Orders)</t>
    </r>
  </si>
  <si>
    <r>
      <rPr>
        <b/>
        <sz val="14"/>
        <color rgb="FF00B050"/>
        <rFont val="Calibri"/>
        <family val="2"/>
        <scheme val="minor"/>
      </rPr>
      <t>📈</t>
    </r>
    <r>
      <rPr>
        <b/>
        <sz val="14"/>
        <color theme="1"/>
        <rFont val="Calibri"/>
        <family val="2"/>
        <scheme val="minor"/>
      </rPr>
      <t>Net Settlement (All Orders)</t>
    </r>
  </si>
  <si>
    <r>
      <t>Reverse Settlement</t>
    </r>
    <r>
      <rPr>
        <sz val="11"/>
        <color theme="1"/>
        <rFont val="Calibri"/>
        <family val="2"/>
        <scheme val="minor"/>
      </rPr>
      <t xml:space="preserve"> = The amount Myntra takes back from your account when an order is returned.</t>
    </r>
  </si>
  <si>
    <t>This includes:</t>
  </si>
  <si>
    <t>Refund to customer</t>
  </si>
  <si>
    <t>Explaination:</t>
  </si>
  <si>
    <t xml:space="preserve">Forward logistics </t>
  </si>
  <si>
    <t>Return logistics</t>
  </si>
  <si>
    <t>📊 BUSINESS OUTCOME &amp; RECOMMENDATIONS (Based on Insights Data)</t>
  </si>
  <si>
    <t>Section</t>
  </si>
  <si>
    <t>Detail</t>
  </si>
  <si>
    <t>Explanation (Simple Terms)</t>
  </si>
  <si>
    <r>
      <t xml:space="preserve">💰 </t>
    </r>
    <r>
      <rPr>
        <b/>
        <sz val="11"/>
        <color theme="1"/>
        <rFont val="Calibri"/>
        <family val="2"/>
        <scheme val="minor"/>
      </rPr>
      <t>Total Customer Payments (Overall Sales)</t>
    </r>
  </si>
  <si>
    <t>Total amount paid by all customers.</t>
  </si>
  <si>
    <r>
      <t xml:space="preserve">📦 </t>
    </r>
    <r>
      <rPr>
        <b/>
        <sz val="11"/>
        <color theme="1"/>
        <rFont val="Calibri"/>
        <family val="2"/>
        <scheme val="minor"/>
      </rPr>
      <t>Returned Orders (Refunded)</t>
    </r>
  </si>
  <si>
    <t>Value of products returned and refunded to customers.</t>
  </si>
  <si>
    <r>
      <t xml:space="preserve">✅ </t>
    </r>
    <r>
      <rPr>
        <b/>
        <sz val="11"/>
        <color theme="1"/>
        <rFont val="Calibri"/>
        <family val="2"/>
        <scheme val="minor"/>
      </rPr>
      <t>Completed Orders (Delivered)</t>
    </r>
  </si>
  <si>
    <t>Actual sales that stayed with the customer.</t>
  </si>
  <si>
    <r>
      <t xml:space="preserve">🧾 </t>
    </r>
    <r>
      <rPr>
        <b/>
        <sz val="11"/>
        <color theme="1"/>
        <rFont val="Calibri"/>
        <family val="2"/>
        <scheme val="minor"/>
      </rPr>
      <t>Total Commission (Platform Fee)</t>
    </r>
  </si>
  <si>
    <t>Myntra’s commission deduction on all sales.</t>
  </si>
  <si>
    <r>
      <t xml:space="preserve">🚚 </t>
    </r>
    <r>
      <rPr>
        <b/>
        <sz val="11"/>
        <color theme="1"/>
        <rFont val="Calibri"/>
        <family val="2"/>
        <scheme val="minor"/>
      </rPr>
      <t>Total Logistics (Forward + Return)</t>
    </r>
  </si>
  <si>
    <r>
      <t xml:space="preserve">💸 </t>
    </r>
    <r>
      <rPr>
        <b/>
        <sz val="11"/>
        <color theme="1"/>
        <rFont val="Calibri"/>
        <family val="2"/>
        <scheme val="minor"/>
      </rPr>
      <t>Effective Business Retention Rate</t>
    </r>
  </si>
  <si>
    <t>≈ 56 %</t>
  </si>
  <si>
    <t>Seller keeps only ₹56 for every ₹100 sold after deductions.</t>
  </si>
  <si>
    <r>
      <t xml:space="preserve">⚠️ </t>
    </r>
    <r>
      <rPr>
        <b/>
        <sz val="11"/>
        <color theme="1"/>
        <rFont val="Calibri"/>
        <family val="2"/>
        <scheme val="minor"/>
      </rPr>
      <t>High Return Rate</t>
    </r>
  </si>
  <si>
    <t>≈ 44 %</t>
  </si>
  <si>
    <t>Nearly half the total sales were returned → huge impact on profit.</t>
  </si>
  <si>
    <r>
      <t xml:space="preserve">🧮 </t>
    </r>
    <r>
      <rPr>
        <b/>
        <sz val="11"/>
        <color theme="1"/>
        <rFont val="Calibri"/>
        <family val="2"/>
        <scheme val="minor"/>
      </rPr>
      <t>Key Loss Factors</t>
    </r>
  </si>
  <si>
    <t>Returns + Reverse Logistics + Commission</t>
  </si>
  <si>
    <t>These 3 together eat away almost 40 % of total revenue.</t>
  </si>
  <si>
    <r>
      <t xml:space="preserve">🟢 </t>
    </r>
    <r>
      <rPr>
        <b/>
        <sz val="11"/>
        <color theme="1"/>
        <rFont val="Calibri"/>
        <family val="2"/>
        <scheme val="minor"/>
      </rPr>
      <t>Current Situation Summary</t>
    </r>
  </si>
  <si>
    <t>Sales volume is good, but profit is reduced because of high return cost and platform fees.</t>
  </si>
  <si>
    <t>🧭 WHAT THE BUSINESS SHOULD DO NEXT</t>
  </si>
  <si>
    <t>Focus Area</t>
  </si>
  <si>
    <t>Issue / Reason</t>
  </si>
  <si>
    <t>Action to Take</t>
  </si>
  <si>
    <t>Expected Impact</t>
  </si>
  <si>
    <r>
      <t xml:space="preserve">🔁 </t>
    </r>
    <r>
      <rPr>
        <b/>
        <sz val="11"/>
        <color theme="1"/>
        <rFont val="Calibri"/>
        <family val="2"/>
        <scheme val="minor"/>
      </rPr>
      <t>Reduce Returns</t>
    </r>
  </si>
  <si>
    <t>High refund &amp; double logistics loss</t>
  </si>
  <si>
    <t>Improve product info, sizing, and QC; limit free returns on low-margin items</t>
  </si>
  <si>
    <t>5–10 % more profit if returns fall by even 10 %</t>
  </si>
  <si>
    <r>
      <t xml:space="preserve">🚚 </t>
    </r>
    <r>
      <rPr>
        <b/>
        <sz val="11"/>
        <color theme="1"/>
        <rFont val="Calibri"/>
        <family val="2"/>
        <scheme val="minor"/>
      </rPr>
      <t>Control Logistics Cost</t>
    </r>
  </si>
  <si>
    <t>Paying both forward &amp; reverse freight</t>
  </si>
  <si>
    <t>Negotiate cheaper reverse rates or use lighter packaging</t>
  </si>
  <si>
    <t>3–5 % cost reduction</t>
  </si>
  <si>
    <r>
      <t xml:space="preserve">💼 </t>
    </r>
    <r>
      <rPr>
        <b/>
        <sz val="11"/>
        <color theme="1"/>
        <rFont val="Calibri"/>
        <family val="2"/>
        <scheme val="minor"/>
      </rPr>
      <t>Optimize Commission</t>
    </r>
  </si>
  <si>
    <t>14 % fee + GST adds up</t>
  </si>
  <si>
    <t>Check lower-fee category programs / reclaim GST inputs</t>
  </si>
  <si>
    <t>2–3 % higher margin</t>
  </si>
  <si>
    <r>
      <t xml:space="preserve">📊 </t>
    </r>
    <r>
      <rPr>
        <b/>
        <sz val="11"/>
        <color theme="1"/>
        <rFont val="Calibri"/>
        <family val="2"/>
        <scheme val="minor"/>
      </rPr>
      <t>Track Settlement Efficiency</t>
    </r>
  </si>
  <si>
    <t>Only 56 % of revenue retained</t>
  </si>
  <si>
    <t>Add monthly KPI → (Net Settlement ÷ Total Sales) × 100</t>
  </si>
  <si>
    <t>Target ≥ 70 %</t>
  </si>
  <si>
    <r>
      <t xml:space="preserve">💰 </t>
    </r>
    <r>
      <rPr>
        <b/>
        <sz val="11"/>
        <color theme="1"/>
        <rFont val="Calibri"/>
        <family val="2"/>
        <scheme val="minor"/>
      </rPr>
      <t>Cash-Flow Buffer</t>
    </r>
  </si>
  <si>
    <t>Reverse settlements deducted later</t>
  </si>
  <si>
    <t>Keep small reserve for refund claw-backs</t>
  </si>
  <si>
    <t>Smooth cash management</t>
  </si>
  <si>
    <t>Summary:</t>
  </si>
  <si>
    <r>
      <t xml:space="preserve">The business generated </t>
    </r>
    <r>
      <rPr>
        <b/>
        <sz val="11"/>
        <color theme="1"/>
        <rFont val="Calibri"/>
        <family val="2"/>
        <scheme val="minor"/>
      </rPr>
      <t>₹16.9 L</t>
    </r>
    <r>
      <rPr>
        <sz val="11"/>
        <color theme="1"/>
        <rFont val="Calibri"/>
        <family val="2"/>
        <scheme val="minor"/>
      </rPr>
      <t xml:space="preserve"> in total sales, but after returns and deductions, only </t>
    </r>
    <r>
      <rPr>
        <b/>
        <sz val="11"/>
        <color theme="1"/>
        <rFont val="Calibri"/>
        <family val="2"/>
        <scheme val="minor"/>
      </rPr>
      <t>₹9.48 L</t>
    </r>
    <r>
      <rPr>
        <sz val="11"/>
        <color theme="1"/>
        <rFont val="Calibri"/>
        <family val="2"/>
        <scheme val="minor"/>
      </rPr>
      <t xml:space="preserve"> was realized.</t>
    </r>
  </si>
  <si>
    <t>Returns (₹7.4 L) and reverse-logistics costs are the main reasons for low profitability.</t>
  </si>
  <si>
    <r>
      <t xml:space="preserve">Current efficiency stands at </t>
    </r>
    <r>
      <rPr>
        <b/>
        <sz val="11"/>
        <color theme="1"/>
        <rFont val="Calibri"/>
        <family val="2"/>
        <scheme val="minor"/>
      </rPr>
      <t>≈ 56 %</t>
    </r>
    <r>
      <rPr>
        <sz val="11"/>
        <color theme="1"/>
        <rFont val="Calibri"/>
        <family val="2"/>
        <scheme val="minor"/>
      </rPr>
      <t>, meaning the seller keeps ₹56 per ₹100 sold.</t>
    </r>
  </si>
  <si>
    <r>
      <t xml:space="preserve">By reducing returns and negotiating costs, profitability can improve by </t>
    </r>
    <r>
      <rPr>
        <b/>
        <sz val="11"/>
        <color theme="1"/>
        <rFont val="Calibri"/>
        <family val="2"/>
        <scheme val="minor"/>
      </rPr>
      <t>15–20 %</t>
    </r>
    <r>
      <rPr>
        <sz val="11"/>
        <color theme="1"/>
        <rFont val="Calibri"/>
        <family val="2"/>
        <scheme val="minor"/>
      </rPr>
      <t>.</t>
    </r>
  </si>
  <si>
    <t>Forward: 43,008.33,  Return: 46,155.70</t>
  </si>
  <si>
    <t>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</si>
</sst>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-F800]dddd\,\ mmmm\ dd\,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24"/>
      <color theme="0" tint="-4.9989318521683403E-2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2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2" borderId="0" xfId="0" applyFill="1"/>
    <xf numFmtId="164" fontId="7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vertical="center" wrapText="1"/>
    </xf>
    <xf numFmtId="9" fontId="7" fillId="2" borderId="1" xfId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/>
    <xf numFmtId="0" fontId="7" fillId="2" borderId="1" xfId="0" applyFont="1" applyFill="1" applyBorder="1" applyAlignment="1">
      <alignment wrapText="1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/>
    <xf numFmtId="2" fontId="0" fillId="2" borderId="4" xfId="0" applyNumberFormat="1" applyFill="1" applyBorder="1"/>
    <xf numFmtId="0" fontId="7" fillId="2" borderId="7" xfId="0" applyFont="1" applyFill="1" applyBorder="1"/>
    <xf numFmtId="2" fontId="0" fillId="2" borderId="8" xfId="0" applyNumberFormat="1" applyFill="1" applyBorder="1"/>
    <xf numFmtId="0" fontId="9" fillId="2" borderId="5" xfId="0" applyFont="1" applyFill="1" applyBorder="1"/>
    <xf numFmtId="0" fontId="9" fillId="2" borderId="6" xfId="0" applyFont="1" applyFill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wrapText="1"/>
    </xf>
    <xf numFmtId="0" fontId="1" fillId="2" borderId="9" xfId="0" applyFont="1" applyFill="1" applyBorder="1"/>
    <xf numFmtId="0" fontId="0" fillId="2" borderId="10" xfId="0" applyFill="1" applyBorder="1" applyAlignment="1">
      <alignment vertical="center"/>
    </xf>
    <xf numFmtId="0" fontId="7" fillId="2" borderId="1" xfId="0" applyFont="1" applyFill="1" applyBorder="1" applyAlignment="1">
      <alignment horizontal="left"/>
    </xf>
    <xf numFmtId="0" fontId="0" fillId="2" borderId="14" xfId="0" applyFill="1" applyBorder="1"/>
    <xf numFmtId="0" fontId="0" fillId="2" borderId="15" xfId="0" applyFill="1" applyBorder="1"/>
    <xf numFmtId="0" fontId="5" fillId="2" borderId="15" xfId="0" applyFont="1" applyFill="1" applyBorder="1" applyAlignment="1">
      <alignment horizontal="left"/>
    </xf>
    <xf numFmtId="0" fontId="6" fillId="3" borderId="17" xfId="0" applyFont="1" applyFill="1" applyBorder="1" applyAlignment="1">
      <alignment vertical="center"/>
    </xf>
    <xf numFmtId="0" fontId="7" fillId="2" borderId="17" xfId="0" applyFont="1" applyFill="1" applyBorder="1"/>
    <xf numFmtId="0" fontId="7" fillId="2" borderId="17" xfId="0" applyFont="1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6" fillId="3" borderId="17" xfId="0" applyFont="1" applyFill="1" applyBorder="1" applyAlignment="1">
      <alignment horizontal="left" vertical="center"/>
    </xf>
    <xf numFmtId="0" fontId="5" fillId="2" borderId="15" xfId="0" applyFont="1" applyFill="1" applyBorder="1"/>
    <xf numFmtId="0" fontId="7" fillId="4" borderId="17" xfId="0" applyFont="1" applyFill="1" applyBorder="1" applyAlignment="1">
      <alignment wrapText="1"/>
    </xf>
    <xf numFmtId="0" fontId="7" fillId="5" borderId="17" xfId="0" applyFont="1" applyFill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14" xfId="0" applyFont="1" applyBorder="1" applyAlignment="1">
      <alignment horizontal="left" vertical="center" wrapText="1"/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5" fillId="4" borderId="1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0" fillId="2" borderId="0" xfId="0" applyFill="1" applyAlignment="1"/>
    <xf numFmtId="0" fontId="1" fillId="8" borderId="1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0" fillId="9" borderId="14" xfId="0" applyFill="1" applyBorder="1" applyAlignment="1"/>
    <xf numFmtId="0" fontId="0" fillId="9" borderId="0" xfId="0" applyFill="1" applyBorder="1" applyAlignment="1"/>
    <xf numFmtId="0" fontId="0" fillId="9" borderId="15" xfId="0" applyFill="1" applyBorder="1" applyAlignment="1"/>
    <xf numFmtId="0" fontId="1" fillId="9" borderId="1" xfId="0" applyFont="1" applyFill="1" applyBorder="1" applyAlignment="1">
      <alignment horizontal="center" vertical="center"/>
    </xf>
    <xf numFmtId="0" fontId="0" fillId="9" borderId="17" xfId="0" applyFill="1" applyBorder="1" applyAlignment="1">
      <alignment vertical="center"/>
    </xf>
    <xf numFmtId="164" fontId="0" fillId="9" borderId="1" xfId="0" applyNumberForma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1" fillId="9" borderId="14" xfId="0" applyFont="1" applyFill="1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0" fillId="9" borderId="18" xfId="0" applyFill="1" applyBorder="1" applyAlignment="1"/>
    <xf numFmtId="0" fontId="0" fillId="9" borderId="19" xfId="0" applyFill="1" applyBorder="1" applyAlignment="1"/>
    <xf numFmtId="0" fontId="0" fillId="9" borderId="20" xfId="0" applyFill="1" applyBorder="1" applyAlignment="1"/>
    <xf numFmtId="0" fontId="16" fillId="7" borderId="11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2A2A2"/>
      <color rgb="FF1A96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Distribution (Overall)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Insights!$B$1048560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40-4496-9AB5-985347F331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40-4496-9AB5-985347F331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40-4496-9AB5-985347F331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40-4496-9AB5-985347F331B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E9-4608-A191-11BE1750A1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40-4496-9AB5-985347F331B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Insights!$A$1048561:$A$1048566</c:f>
              <c:strCache>
                <c:ptCount val="6"/>
                <c:pt idx="0">
                  <c:v>Customer Paid</c:v>
                </c:pt>
                <c:pt idx="1">
                  <c:v>Commission</c:v>
                </c:pt>
                <c:pt idx="2">
                  <c:v>Logistics</c:v>
                </c:pt>
                <c:pt idx="3">
                  <c:v>GST</c:v>
                </c:pt>
                <c:pt idx="4">
                  <c:v>Reverse Settlement</c:v>
                </c:pt>
                <c:pt idx="5">
                  <c:v>Net Business Impact</c:v>
                </c:pt>
              </c:strCache>
            </c:strRef>
          </c:cat>
          <c:val>
            <c:numRef>
              <c:f>Insights!$B$1048561:$B$1048566</c:f>
              <c:numCache>
                <c:formatCode>0.00</c:formatCode>
                <c:ptCount val="6"/>
                <c:pt idx="0">
                  <c:v>1691254.5299999998</c:v>
                </c:pt>
                <c:pt idx="1">
                  <c:v>433066.21599999978</c:v>
                </c:pt>
                <c:pt idx="2">
                  <c:v>89164.033199999874</c:v>
                </c:pt>
                <c:pt idx="3">
                  <c:v>192659.8</c:v>
                </c:pt>
                <c:pt idx="4">
                  <c:v>591962.38700000022</c:v>
                </c:pt>
                <c:pt idx="5">
                  <c:v>614175.59079999931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9-4608-A191-11BE1750A1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Completed vs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Insights!$B$20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Insights!$A$21:$A$27</c:f>
              <c:strCache>
                <c:ptCount val="7"/>
                <c:pt idx="0">
                  <c:v>Customer Paid</c:v>
                </c:pt>
                <c:pt idx="1">
                  <c:v>Commission</c:v>
                </c:pt>
                <c:pt idx="2">
                  <c:v>Logistics</c:v>
                </c:pt>
                <c:pt idx="3">
                  <c:v>GST</c:v>
                </c:pt>
                <c:pt idx="4">
                  <c:v>Myntra Settlement</c:v>
                </c:pt>
                <c:pt idx="5">
                  <c:v>Reverse Settlement</c:v>
                </c:pt>
                <c:pt idx="6">
                  <c:v>Net Business Impact</c:v>
                </c:pt>
              </c:strCache>
            </c:strRef>
          </c:cat>
          <c:val>
            <c:numRef>
              <c:f>Insights!$B$21:$B$27</c:f>
              <c:numCache>
                <c:formatCode>_ [$₹-4009]\ * #,##0.00_ ;_ [$₹-4009]\ * \-#,##0.00_ ;_ [$₹-4009]\ * "-"??_ ;_ @_ </c:formatCode>
                <c:ptCount val="7"/>
                <c:pt idx="0">
                  <c:v>948289.69999999972</c:v>
                </c:pt>
                <c:pt idx="1">
                  <c:v>239885.21700000003</c:v>
                </c:pt>
                <c:pt idx="2">
                  <c:v>24858.753199999879</c:v>
                </c:pt>
                <c:pt idx="3">
                  <c:v>108367.16999999994</c:v>
                </c:pt>
                <c:pt idx="4">
                  <c:v>570113.70080000069</c:v>
                </c:pt>
                <c:pt idx="5">
                  <c:v>0</c:v>
                </c:pt>
                <c:pt idx="6">
                  <c:v>678480.87079999945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D-4E5D-B602-BC756AE6C112}"/>
            </c:ext>
          </c:extLst>
        </c:ser>
        <c:ser>
          <c:idx val="1"/>
          <c:order val="1"/>
          <c:tx>
            <c:strRef>
              <c:f>Insights!$C$20</c:f>
              <c:strCache>
                <c:ptCount val="1"/>
                <c:pt idx="0">
                  <c:v>Return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Insights!$A$21:$A$27</c:f>
              <c:strCache>
                <c:ptCount val="7"/>
                <c:pt idx="0">
                  <c:v>Customer Paid</c:v>
                </c:pt>
                <c:pt idx="1">
                  <c:v>Commission</c:v>
                </c:pt>
                <c:pt idx="2">
                  <c:v>Logistics</c:v>
                </c:pt>
                <c:pt idx="3">
                  <c:v>GST</c:v>
                </c:pt>
                <c:pt idx="4">
                  <c:v>Myntra Settlement</c:v>
                </c:pt>
                <c:pt idx="5">
                  <c:v>Reverse Settlement</c:v>
                </c:pt>
                <c:pt idx="6">
                  <c:v>Net Business Impact</c:v>
                </c:pt>
              </c:strCache>
            </c:strRef>
          </c:cat>
          <c:val>
            <c:numRef>
              <c:f>Insights!$C$21:$C$27</c:f>
              <c:numCache>
                <c:formatCode>_ [$₹-4009]\ * #,##0.00_ ;_ [$₹-4009]\ * \-#,##0.00_ ;_ [$₹-4009]\ * "-"??_ ;_ @_ </c:formatCode>
                <c:ptCount val="7"/>
                <c:pt idx="0">
                  <c:v>742964.83</c:v>
                </c:pt>
                <c:pt idx="1">
                  <c:v>193180.99899999975</c:v>
                </c:pt>
                <c:pt idx="2">
                  <c:v>64305.279999999999</c:v>
                </c:pt>
                <c:pt idx="3">
                  <c:v>84292.630000000048</c:v>
                </c:pt>
                <c:pt idx="4">
                  <c:v>443364.47699999984</c:v>
                </c:pt>
                <c:pt idx="5">
                  <c:v>591962.38700000022</c:v>
                </c:pt>
                <c:pt idx="6">
                  <c:v>-64305.280000000123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D-4E5D-B602-BC756AE6C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2757424"/>
        <c:axId val="1502758384"/>
      </c:barChart>
      <c:catAx>
        <c:axId val="150275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58384"/>
        <c:crosses val="autoZero"/>
        <c:auto val="1"/>
        <c:lblAlgn val="ctr"/>
        <c:lblOffset val="100"/>
        <c:noMultiLvlLbl val="0"/>
      </c:catAx>
      <c:valAx>
        <c:axId val="15027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5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[Myntra_PGReconsile.xlsx]Insights!PivotTable1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Settlement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Insights!$E$1048560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Insights!$D$1048561:$D$1048564</c:f>
              <c:strCache>
                <c:ptCount val="3"/>
                <c:pt idx="0">
                  <c:v>Mar</c:v>
                </c:pt>
                <c:pt idx="1">
                  <c:v>Aug</c:v>
                </c:pt>
                <c:pt idx="2">
                  <c:v>Sep</c:v>
                </c:pt>
              </c:strCache>
            </c:strRef>
          </c:cat>
          <c:val>
            <c:numRef>
              <c:f>Insights!$E$1048561:$E$1048564</c:f>
              <c:numCache>
                <c:formatCode>0.00</c:formatCode>
                <c:ptCount val="3"/>
                <c:pt idx="0">
                  <c:v>2290.2008000000001</c:v>
                </c:pt>
                <c:pt idx="1">
                  <c:v>237712.0529999999</c:v>
                </c:pt>
                <c:pt idx="2">
                  <c:v>374173.33700000058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4-40C4-9C83-2E826B7026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5814880"/>
        <c:axId val="1385825920"/>
      </c:lineChart>
      <c:catAx>
        <c:axId val="138581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25920"/>
        <c:crosses val="autoZero"/>
        <c:auto val="1"/>
        <c:lblAlgn val="ctr"/>
        <c:lblOffset val="100"/>
        <c:noMultiLvlLbl val="0"/>
      </c:catAx>
      <c:valAx>
        <c:axId val="13858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1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983238</xdr:colOff>
      <xdr:row>29</xdr:row>
      <xdr:rowOff>191621</xdr:rowOff>
    </xdr:from>
    <xdr:to>
      <xdr:col>2</xdr:col>
      <xdr:colOff>5265806</xdr:colOff>
      <xdr:row>40</xdr:row>
      <xdr:rowOff>139434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959AD-03A5-BF5E-A707-6B8597459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12807</xdr:colOff>
      <xdr:row>41</xdr:row>
      <xdr:rowOff>43702</xdr:rowOff>
    </xdr:from>
    <xdr:to>
      <xdr:col>2</xdr:col>
      <xdr:colOff>2779059</xdr:colOff>
      <xdr:row>62</xdr:row>
      <xdr:rowOff>80681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B3F0B9-1246-E5FB-9861-372C6ECE3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3255241</xdr:colOff>
      <xdr:row>41</xdr:row>
      <xdr:rowOff>13174</xdr:rowOff>
    </xdr:from>
    <xdr:to>
      <xdr:col>5</xdr:col>
      <xdr:colOff>215156</xdr:colOff>
      <xdr:row>62</xdr:row>
      <xdr:rowOff>17929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95C06D-2B5A-5845-E073-03DDBD756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986118</xdr:colOff>
      <xdr:row>27</xdr:row>
      <xdr:rowOff>152399</xdr:rowOff>
    </xdr:from>
    <xdr:ext cx="5862918" cy="40543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8F2030-AD8D-DFE3-EB0E-2E101BABD936}"/>
            </a:ext>
          </a:extLst>
        </xdr:cNvPr>
        <xdr:cNvSpPr txBox="1"/>
      </xdr:nvSpPr>
      <xdr:spPr>
        <a:xfrm>
          <a:off x="5029200" y="7297270"/>
          <a:ext cx="5862918" cy="405432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000" b="1">
              <a:solidFill>
                <a:schemeClr val="bg1"/>
              </a:solidFill>
            </a:rPr>
            <a:t>Where Does the Money Go?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-commerce\New_Project.xlsx" TargetMode="External"/><Relationship Id="rId1" Type="http://schemas.openxmlformats.org/officeDocument/2006/relationships/externalLinkPath" Target="file:///D:\e-commerce\New_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STR report RT"/>
      <sheetName val="GSTR report RTO"/>
      <sheetName val="Monthly_SPF_Reports"/>
      <sheetName val="Non_Order_Deduction_UnSettled"/>
      <sheetName val="Non-Order Settlement"/>
      <sheetName val="Order Flow"/>
      <sheetName val="PG Forward Settled"/>
      <sheetName val="PGReconsile"/>
      <sheetName val="PG Forward Unsettled"/>
      <sheetName val="PG Reverse Settled"/>
      <sheetName val="PGReverse_all"/>
      <sheetName val="Sales Revenue Packed B2C"/>
      <sheetName val="PG Reverse Unsettled"/>
      <sheetName val="Undelivered 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order_release_id</v>
          </cell>
          <cell r="B1" t="str">
            <v>order_line_id</v>
          </cell>
          <cell r="C1" t="str">
            <v>return_type</v>
          </cell>
          <cell r="D1" t="str">
            <v>return_date</v>
          </cell>
          <cell r="E1" t="str">
            <v>packing_date</v>
          </cell>
        </row>
        <row r="2">
          <cell r="A2">
            <v>8657309311</v>
          </cell>
          <cell r="B2">
            <v>10657233432</v>
          </cell>
          <cell r="C2" t="str">
            <v>null</v>
          </cell>
          <cell r="D2" t="str">
            <v>null</v>
          </cell>
          <cell r="E2">
            <v>45909.541666666664</v>
          </cell>
        </row>
        <row r="3">
          <cell r="A3">
            <v>8622766805</v>
          </cell>
          <cell r="B3">
            <v>10622691836</v>
          </cell>
          <cell r="C3" t="str">
            <v>null</v>
          </cell>
          <cell r="D3" t="str">
            <v>null</v>
          </cell>
          <cell r="E3">
            <v>45888.475694444445</v>
          </cell>
        </row>
        <row r="4">
          <cell r="A4">
            <v>8625934871</v>
          </cell>
          <cell r="B4">
            <v>10625859774</v>
          </cell>
          <cell r="C4" t="str">
            <v>null</v>
          </cell>
          <cell r="D4" t="str">
            <v>null</v>
          </cell>
          <cell r="E4">
            <v>45890.458333333336</v>
          </cell>
        </row>
        <row r="5">
          <cell r="A5">
            <v>8648874948</v>
          </cell>
          <cell r="B5">
            <v>10648799248</v>
          </cell>
          <cell r="C5" t="str">
            <v>null</v>
          </cell>
          <cell r="D5" t="str">
            <v>null</v>
          </cell>
          <cell r="E5">
            <v>45905.450694444444</v>
          </cell>
        </row>
        <row r="6">
          <cell r="A6">
            <v>8644779341</v>
          </cell>
          <cell r="B6">
            <v>10644703762</v>
          </cell>
          <cell r="C6" t="str">
            <v>null</v>
          </cell>
          <cell r="D6" t="str">
            <v>null</v>
          </cell>
          <cell r="E6">
            <v>45902.775000000001</v>
          </cell>
        </row>
        <row r="7">
          <cell r="A7">
            <v>8592986686</v>
          </cell>
          <cell r="B7">
            <v>10592913169</v>
          </cell>
          <cell r="C7" t="str">
            <v>null</v>
          </cell>
          <cell r="D7" t="str">
            <v>null</v>
          </cell>
          <cell r="E7">
            <v>45870.45</v>
          </cell>
        </row>
        <row r="8">
          <cell r="A8">
            <v>8634879839</v>
          </cell>
          <cell r="B8">
            <v>10634804455</v>
          </cell>
          <cell r="C8" t="str">
            <v>null</v>
          </cell>
          <cell r="D8" t="str">
            <v>null</v>
          </cell>
          <cell r="E8">
            <v>45897.440972222219</v>
          </cell>
        </row>
        <row r="9">
          <cell r="A9">
            <v>8622910273</v>
          </cell>
          <cell r="B9">
            <v>10622835296</v>
          </cell>
          <cell r="C9" t="str">
            <v>null</v>
          </cell>
          <cell r="D9" t="str">
            <v>null</v>
          </cell>
          <cell r="E9">
            <v>45888.475694444445</v>
          </cell>
        </row>
        <row r="10">
          <cell r="A10">
            <v>8638525832</v>
          </cell>
          <cell r="B10">
            <v>10638450342</v>
          </cell>
          <cell r="C10" t="str">
            <v>null</v>
          </cell>
          <cell r="D10" t="str">
            <v>null</v>
          </cell>
          <cell r="E10">
            <v>45899.442361111112</v>
          </cell>
        </row>
        <row r="11">
          <cell r="A11">
            <v>8637560672</v>
          </cell>
          <cell r="B11">
            <v>10637485200</v>
          </cell>
          <cell r="C11" t="str">
            <v>null</v>
          </cell>
          <cell r="D11" t="str">
            <v>null</v>
          </cell>
          <cell r="E11">
            <v>45898.775000000001</v>
          </cell>
        </row>
        <row r="12">
          <cell r="A12">
            <v>8631845358</v>
          </cell>
          <cell r="B12">
            <v>10631770033</v>
          </cell>
          <cell r="C12" t="str">
            <v>null</v>
          </cell>
          <cell r="D12" t="str">
            <v>null</v>
          </cell>
          <cell r="E12">
            <v>45894.452777777777</v>
          </cell>
        </row>
        <row r="13">
          <cell r="A13">
            <v>8614350224</v>
          </cell>
          <cell r="B13">
            <v>10614275742</v>
          </cell>
          <cell r="C13" t="str">
            <v>null</v>
          </cell>
          <cell r="D13" t="str">
            <v>null</v>
          </cell>
          <cell r="E13">
            <v>45882.453472222223</v>
          </cell>
        </row>
        <row r="14">
          <cell r="A14">
            <v>8623704786</v>
          </cell>
          <cell r="B14">
            <v>10623629757</v>
          </cell>
          <cell r="C14" t="str">
            <v>null</v>
          </cell>
          <cell r="D14" t="str">
            <v>null</v>
          </cell>
          <cell r="E14">
            <v>45888.776388888888</v>
          </cell>
        </row>
        <row r="15">
          <cell r="A15">
            <v>8616454045</v>
          </cell>
          <cell r="B15">
            <v>10616379425</v>
          </cell>
          <cell r="C15" t="str">
            <v>null</v>
          </cell>
          <cell r="D15" t="str">
            <v>null</v>
          </cell>
          <cell r="E15">
            <v>45883.52847222222</v>
          </cell>
        </row>
        <row r="16">
          <cell r="A16">
            <v>8598134488</v>
          </cell>
          <cell r="B16">
            <v>10598060823</v>
          </cell>
          <cell r="C16" t="str">
            <v>null</v>
          </cell>
          <cell r="D16" t="str">
            <v>null</v>
          </cell>
          <cell r="E16">
            <v>45873.455555555556</v>
          </cell>
        </row>
        <row r="17">
          <cell r="A17">
            <v>8641487358</v>
          </cell>
          <cell r="B17">
            <v>10641411796</v>
          </cell>
          <cell r="C17" t="str">
            <v>null</v>
          </cell>
          <cell r="D17" t="str">
            <v>null</v>
          </cell>
          <cell r="E17">
            <v>45901.459027777775</v>
          </cell>
        </row>
        <row r="18">
          <cell r="A18">
            <v>8623738388</v>
          </cell>
          <cell r="B18">
            <v>10623663359</v>
          </cell>
          <cell r="C18" t="str">
            <v>null</v>
          </cell>
          <cell r="D18" t="str">
            <v>null</v>
          </cell>
          <cell r="E18">
            <v>45888.776388888888</v>
          </cell>
        </row>
        <row r="19">
          <cell r="A19">
            <v>8594147199</v>
          </cell>
          <cell r="B19">
            <v>10594073671</v>
          </cell>
          <cell r="C19" t="str">
            <v>null</v>
          </cell>
          <cell r="D19" t="str">
            <v>null</v>
          </cell>
          <cell r="E19">
            <v>45871.440972222219</v>
          </cell>
        </row>
        <row r="20">
          <cell r="A20">
            <v>8631135329</v>
          </cell>
          <cell r="B20">
            <v>10631060030</v>
          </cell>
          <cell r="C20" t="str">
            <v>null</v>
          </cell>
          <cell r="D20" t="str">
            <v>null</v>
          </cell>
          <cell r="E20">
            <v>45894.452777777777</v>
          </cell>
        </row>
        <row r="21">
          <cell r="A21">
            <v>8614451899</v>
          </cell>
          <cell r="B21">
            <v>10614377411</v>
          </cell>
          <cell r="C21" t="str">
            <v>null</v>
          </cell>
          <cell r="D21" t="str">
            <v>null</v>
          </cell>
          <cell r="E21">
            <v>45882.453472222223</v>
          </cell>
        </row>
        <row r="22">
          <cell r="A22">
            <v>8631283767</v>
          </cell>
          <cell r="B22">
            <v>10631208466</v>
          </cell>
          <cell r="C22" t="str">
            <v>null</v>
          </cell>
          <cell r="D22" t="str">
            <v>null</v>
          </cell>
          <cell r="E22">
            <v>45894.452777777777</v>
          </cell>
        </row>
        <row r="23">
          <cell r="A23">
            <v>8619882203</v>
          </cell>
          <cell r="B23">
            <v>10619807409</v>
          </cell>
          <cell r="C23" t="str">
            <v>null</v>
          </cell>
          <cell r="D23" t="str">
            <v>null</v>
          </cell>
          <cell r="E23">
            <v>45888.475694444445</v>
          </cell>
        </row>
        <row r="24">
          <cell r="A24">
            <v>8657350152</v>
          </cell>
          <cell r="B24">
            <v>10657274273</v>
          </cell>
          <cell r="C24" t="str">
            <v>null</v>
          </cell>
          <cell r="D24" t="str">
            <v>null</v>
          </cell>
          <cell r="E24">
            <v>45909.541666666664</v>
          </cell>
        </row>
        <row r="25">
          <cell r="A25">
            <v>8655198144</v>
          </cell>
          <cell r="B25">
            <v>10655122326</v>
          </cell>
          <cell r="C25" t="str">
            <v>null</v>
          </cell>
          <cell r="D25" t="str">
            <v>null</v>
          </cell>
          <cell r="E25">
            <v>45908.48333333333</v>
          </cell>
        </row>
        <row r="26">
          <cell r="A26">
            <v>8647972516</v>
          </cell>
          <cell r="B26">
            <v>10647896886</v>
          </cell>
          <cell r="C26" t="str">
            <v>null</v>
          </cell>
          <cell r="D26" t="str">
            <v>null</v>
          </cell>
          <cell r="E26">
            <v>45904.486805555556</v>
          </cell>
        </row>
        <row r="27">
          <cell r="A27">
            <v>8643095523</v>
          </cell>
          <cell r="B27">
            <v>10643019952</v>
          </cell>
          <cell r="C27" t="str">
            <v>null</v>
          </cell>
          <cell r="D27" t="str">
            <v>null</v>
          </cell>
          <cell r="E27">
            <v>45902.448611111111</v>
          </cell>
        </row>
        <row r="28">
          <cell r="A28">
            <v>8643991542</v>
          </cell>
          <cell r="B28">
            <v>10643915962</v>
          </cell>
          <cell r="C28" t="str">
            <v>null</v>
          </cell>
          <cell r="D28" t="str">
            <v>null</v>
          </cell>
          <cell r="E28">
            <v>45902.448611111111</v>
          </cell>
        </row>
        <row r="29">
          <cell r="A29">
            <v>8647294613</v>
          </cell>
          <cell r="B29">
            <v>10647218988</v>
          </cell>
          <cell r="C29" t="str">
            <v>null</v>
          </cell>
          <cell r="D29" t="str">
            <v>null</v>
          </cell>
          <cell r="E29">
            <v>45904.486805555556</v>
          </cell>
        </row>
        <row r="30">
          <cell r="A30">
            <v>8642965420</v>
          </cell>
          <cell r="B30">
            <v>10642889862</v>
          </cell>
          <cell r="C30" t="str">
            <v>null</v>
          </cell>
          <cell r="D30" t="str">
            <v>null</v>
          </cell>
          <cell r="E30">
            <v>45902.448611111111</v>
          </cell>
        </row>
        <row r="31">
          <cell r="A31">
            <v>8640366432</v>
          </cell>
          <cell r="B31">
            <v>10640290918</v>
          </cell>
          <cell r="C31" t="str">
            <v>null</v>
          </cell>
          <cell r="D31" t="str">
            <v>null</v>
          </cell>
          <cell r="E31">
            <v>45900.693749999999</v>
          </cell>
        </row>
        <row r="32">
          <cell r="A32">
            <v>8633233419</v>
          </cell>
          <cell r="B32">
            <v>10633158049</v>
          </cell>
          <cell r="C32" t="str">
            <v>null</v>
          </cell>
          <cell r="D32" t="str">
            <v>null</v>
          </cell>
          <cell r="E32">
            <v>45895.447222222225</v>
          </cell>
        </row>
        <row r="33">
          <cell r="A33">
            <v>8634212307</v>
          </cell>
          <cell r="B33">
            <v>10634136919</v>
          </cell>
          <cell r="C33" t="str">
            <v>null</v>
          </cell>
          <cell r="D33" t="str">
            <v>null</v>
          </cell>
          <cell r="E33">
            <v>45895.786805555559</v>
          </cell>
        </row>
        <row r="34">
          <cell r="A34">
            <v>8620217140</v>
          </cell>
          <cell r="B34">
            <v>10620142341</v>
          </cell>
          <cell r="C34" t="str">
            <v>null</v>
          </cell>
          <cell r="D34" t="str">
            <v>null</v>
          </cell>
          <cell r="E34">
            <v>45887.452777777777</v>
          </cell>
        </row>
        <row r="35">
          <cell r="A35">
            <v>8626237350</v>
          </cell>
          <cell r="B35">
            <v>10626162243</v>
          </cell>
          <cell r="C35" t="str">
            <v>null</v>
          </cell>
          <cell r="D35" t="str">
            <v>null</v>
          </cell>
          <cell r="E35">
            <v>45890.655555555553</v>
          </cell>
        </row>
        <row r="36">
          <cell r="A36">
            <v>8615334100</v>
          </cell>
          <cell r="B36">
            <v>10615259558</v>
          </cell>
          <cell r="C36" t="str">
            <v>null</v>
          </cell>
          <cell r="D36" t="str">
            <v>null</v>
          </cell>
          <cell r="E36">
            <v>45882.768750000003</v>
          </cell>
        </row>
        <row r="37">
          <cell r="A37">
            <v>8608720011</v>
          </cell>
          <cell r="B37">
            <v>10608645756</v>
          </cell>
          <cell r="C37" t="str">
            <v>null</v>
          </cell>
          <cell r="D37" t="str">
            <v>null</v>
          </cell>
          <cell r="E37">
            <v>45878.695138888892</v>
          </cell>
        </row>
        <row r="38">
          <cell r="A38">
            <v>8616771946</v>
          </cell>
          <cell r="B38">
            <v>10616697293</v>
          </cell>
          <cell r="C38" t="str">
            <v>null</v>
          </cell>
          <cell r="D38" t="str">
            <v>null</v>
          </cell>
          <cell r="E38">
            <v>45883.796527777777</v>
          </cell>
        </row>
        <row r="39">
          <cell r="A39">
            <v>8640582446</v>
          </cell>
          <cell r="B39">
            <v>10640506910</v>
          </cell>
          <cell r="C39" t="str">
            <v>null</v>
          </cell>
          <cell r="D39" t="str">
            <v>null</v>
          </cell>
          <cell r="E39">
            <v>45900.693749999999</v>
          </cell>
        </row>
        <row r="40">
          <cell r="A40">
            <v>8617707567</v>
          </cell>
          <cell r="B40">
            <v>10617632895</v>
          </cell>
          <cell r="C40" t="str">
            <v>null</v>
          </cell>
          <cell r="D40" t="str">
            <v>null</v>
          </cell>
          <cell r="E40">
            <v>45885.463194444441</v>
          </cell>
        </row>
        <row r="41">
          <cell r="A41">
            <v>8601398846</v>
          </cell>
          <cell r="B41">
            <v>10601324916</v>
          </cell>
          <cell r="C41" t="str">
            <v>null</v>
          </cell>
          <cell r="D41" t="str">
            <v>null</v>
          </cell>
          <cell r="E41">
            <v>45874.465277777781</v>
          </cell>
        </row>
        <row r="42">
          <cell r="A42">
            <v>8655513263</v>
          </cell>
          <cell r="B42">
            <v>10655437426</v>
          </cell>
          <cell r="C42" t="str">
            <v>null</v>
          </cell>
          <cell r="D42" t="str">
            <v>null</v>
          </cell>
          <cell r="E42">
            <v>45908.48333333333</v>
          </cell>
        </row>
        <row r="43">
          <cell r="A43">
            <v>8618679840</v>
          </cell>
          <cell r="B43">
            <v>10618605132</v>
          </cell>
          <cell r="C43" t="str">
            <v>null</v>
          </cell>
          <cell r="D43" t="str">
            <v>null</v>
          </cell>
          <cell r="E43">
            <v>45885.463194444441</v>
          </cell>
        </row>
        <row r="44">
          <cell r="A44">
            <v>8618164100</v>
          </cell>
          <cell r="B44">
            <v>10618089410</v>
          </cell>
          <cell r="C44" t="str">
            <v>null</v>
          </cell>
          <cell r="D44" t="str">
            <v>null</v>
          </cell>
          <cell r="E44">
            <v>45885.463194444441</v>
          </cell>
        </row>
        <row r="45">
          <cell r="A45">
            <v>8611927891</v>
          </cell>
          <cell r="B45">
            <v>10611853505</v>
          </cell>
          <cell r="C45" t="str">
            <v>null</v>
          </cell>
          <cell r="D45" t="str">
            <v>null</v>
          </cell>
          <cell r="E45">
            <v>45880.556944444441</v>
          </cell>
        </row>
        <row r="46">
          <cell r="A46">
            <v>8633660254</v>
          </cell>
          <cell r="B46">
            <v>10633584865</v>
          </cell>
          <cell r="C46" t="str">
            <v>null</v>
          </cell>
          <cell r="D46" t="str">
            <v>null</v>
          </cell>
          <cell r="E46">
            <v>45895.447222222225</v>
          </cell>
        </row>
        <row r="47">
          <cell r="A47">
            <v>8620040747</v>
          </cell>
          <cell r="B47">
            <v>10619965953</v>
          </cell>
          <cell r="C47" t="str">
            <v>null</v>
          </cell>
          <cell r="D47" t="str">
            <v>null</v>
          </cell>
          <cell r="E47">
            <v>45887.452777777777</v>
          </cell>
        </row>
        <row r="48">
          <cell r="A48">
            <v>8631868697</v>
          </cell>
          <cell r="B48">
            <v>10631793372</v>
          </cell>
          <cell r="C48" t="str">
            <v>null</v>
          </cell>
          <cell r="D48" t="str">
            <v>null</v>
          </cell>
          <cell r="E48">
            <v>45894.452777777777</v>
          </cell>
        </row>
        <row r="49">
          <cell r="A49">
            <v>8636986750</v>
          </cell>
          <cell r="B49">
            <v>10636911316</v>
          </cell>
          <cell r="C49" t="str">
            <v>null</v>
          </cell>
          <cell r="D49" t="str">
            <v>null</v>
          </cell>
          <cell r="E49">
            <v>45898.445138888892</v>
          </cell>
        </row>
        <row r="50">
          <cell r="A50">
            <v>8634176784</v>
          </cell>
          <cell r="B50">
            <v>10634101396</v>
          </cell>
          <cell r="C50" t="str">
            <v>null</v>
          </cell>
          <cell r="D50" t="str">
            <v>null</v>
          </cell>
          <cell r="E50">
            <v>45895.786805555559</v>
          </cell>
        </row>
        <row r="51">
          <cell r="A51">
            <v>8611806865</v>
          </cell>
          <cell r="B51">
            <v>10611732479</v>
          </cell>
          <cell r="C51" t="str">
            <v>null</v>
          </cell>
          <cell r="D51" t="str">
            <v>null</v>
          </cell>
          <cell r="E51">
            <v>45880.464583333334</v>
          </cell>
        </row>
        <row r="52">
          <cell r="A52">
            <v>8657935085</v>
          </cell>
          <cell r="B52">
            <v>10657859204</v>
          </cell>
          <cell r="C52" t="str">
            <v>null</v>
          </cell>
          <cell r="D52" t="str">
            <v>null</v>
          </cell>
          <cell r="E52">
            <v>45910.459722222222</v>
          </cell>
        </row>
        <row r="53">
          <cell r="A53">
            <v>8656288035</v>
          </cell>
          <cell r="B53">
            <v>10656212164</v>
          </cell>
          <cell r="C53" t="str">
            <v>null</v>
          </cell>
          <cell r="D53" t="str">
            <v>null</v>
          </cell>
          <cell r="E53">
            <v>45908.788194444445</v>
          </cell>
        </row>
        <row r="54">
          <cell r="A54">
            <v>8629466445</v>
          </cell>
          <cell r="B54">
            <v>10629391250</v>
          </cell>
          <cell r="C54" t="str">
            <v>null</v>
          </cell>
          <cell r="D54" t="str">
            <v>null</v>
          </cell>
          <cell r="E54">
            <v>45892.432638888888</v>
          </cell>
        </row>
        <row r="55">
          <cell r="A55">
            <v>8620719877</v>
          </cell>
          <cell r="B55">
            <v>10620645057</v>
          </cell>
          <cell r="C55" t="str">
            <v>null</v>
          </cell>
          <cell r="D55" t="str">
            <v>null</v>
          </cell>
          <cell r="E55">
            <v>45887.452777777777</v>
          </cell>
        </row>
        <row r="56">
          <cell r="A56">
            <v>8612040958</v>
          </cell>
          <cell r="B56">
            <v>10611966572</v>
          </cell>
          <cell r="C56" t="str">
            <v>null</v>
          </cell>
          <cell r="D56" t="str">
            <v>null</v>
          </cell>
          <cell r="E56">
            <v>45880.772916666669</v>
          </cell>
        </row>
        <row r="57">
          <cell r="A57">
            <v>8623066496</v>
          </cell>
          <cell r="B57">
            <v>10622991498</v>
          </cell>
          <cell r="C57" t="str">
            <v>null</v>
          </cell>
          <cell r="D57" t="str">
            <v>null</v>
          </cell>
          <cell r="E57">
            <v>45888.475694444445</v>
          </cell>
        </row>
        <row r="58">
          <cell r="A58">
            <v>8655144624</v>
          </cell>
          <cell r="B58">
            <v>10655068812</v>
          </cell>
          <cell r="C58" t="str">
            <v>null</v>
          </cell>
          <cell r="D58" t="str">
            <v>null</v>
          </cell>
          <cell r="E58">
            <v>45908.48333333333</v>
          </cell>
        </row>
        <row r="59">
          <cell r="A59">
            <v>8639002063</v>
          </cell>
          <cell r="B59">
            <v>10638926575</v>
          </cell>
          <cell r="C59" t="str">
            <v>null</v>
          </cell>
          <cell r="D59" t="str">
            <v>null</v>
          </cell>
          <cell r="E59">
            <v>45899.763888888891</v>
          </cell>
        </row>
        <row r="60">
          <cell r="A60">
            <v>8649996593</v>
          </cell>
          <cell r="B60">
            <v>10649920898</v>
          </cell>
          <cell r="C60" t="str">
            <v>null</v>
          </cell>
          <cell r="D60" t="str">
            <v>null</v>
          </cell>
          <cell r="E60">
            <v>45905.805555555555</v>
          </cell>
        </row>
        <row r="61">
          <cell r="A61">
            <v>8634757737</v>
          </cell>
          <cell r="B61">
            <v>10634682347</v>
          </cell>
          <cell r="C61" t="str">
            <v>null</v>
          </cell>
          <cell r="D61" t="str">
            <v>null</v>
          </cell>
          <cell r="E61">
            <v>45897.440972222219</v>
          </cell>
        </row>
        <row r="62">
          <cell r="A62">
            <v>8644200717</v>
          </cell>
          <cell r="B62">
            <v>10644125139</v>
          </cell>
          <cell r="C62" t="str">
            <v>null</v>
          </cell>
          <cell r="D62" t="str">
            <v>null</v>
          </cell>
          <cell r="E62">
            <v>45902.560416666667</v>
          </cell>
        </row>
        <row r="63">
          <cell r="A63">
            <v>8637941448</v>
          </cell>
          <cell r="B63">
            <v>10637865976</v>
          </cell>
          <cell r="C63" t="str">
            <v>null</v>
          </cell>
          <cell r="D63" t="str">
            <v>null</v>
          </cell>
          <cell r="E63">
            <v>45898.802777777775</v>
          </cell>
        </row>
        <row r="64">
          <cell r="A64">
            <v>8615512711</v>
          </cell>
          <cell r="B64">
            <v>10615438170</v>
          </cell>
          <cell r="C64" t="str">
            <v>null</v>
          </cell>
          <cell r="D64" t="str">
            <v>null</v>
          </cell>
          <cell r="E64">
            <v>45888.475694444445</v>
          </cell>
        </row>
        <row r="65">
          <cell r="A65">
            <v>8654231853</v>
          </cell>
          <cell r="B65">
            <v>10654156067</v>
          </cell>
          <cell r="C65" t="str">
            <v>null</v>
          </cell>
          <cell r="D65" t="str">
            <v>null</v>
          </cell>
          <cell r="E65">
            <v>45908.48333333333</v>
          </cell>
        </row>
        <row r="66">
          <cell r="A66">
            <v>8629059218</v>
          </cell>
          <cell r="B66">
            <v>10628984043</v>
          </cell>
          <cell r="C66" t="str">
            <v>null</v>
          </cell>
          <cell r="D66" t="str">
            <v>null</v>
          </cell>
          <cell r="E66">
            <v>45892.432638888888</v>
          </cell>
        </row>
        <row r="67">
          <cell r="A67">
            <v>8642596173</v>
          </cell>
          <cell r="B67">
            <v>10642520608</v>
          </cell>
          <cell r="C67" t="str">
            <v>null</v>
          </cell>
          <cell r="D67" t="str">
            <v>null</v>
          </cell>
          <cell r="E67">
            <v>45901.785416666666</v>
          </cell>
        </row>
        <row r="68">
          <cell r="A68">
            <v>8641095253</v>
          </cell>
          <cell r="B68">
            <v>10641019697</v>
          </cell>
          <cell r="C68" t="str">
            <v>null</v>
          </cell>
          <cell r="D68" t="str">
            <v>null</v>
          </cell>
          <cell r="E68">
            <v>45901.459027777775</v>
          </cell>
        </row>
        <row r="69">
          <cell r="A69">
            <v>8664266778</v>
          </cell>
          <cell r="B69">
            <v>10664190825</v>
          </cell>
          <cell r="C69" t="str">
            <v>null</v>
          </cell>
          <cell r="D69" t="str">
            <v>null</v>
          </cell>
          <cell r="E69">
            <v>45913.450694444444</v>
          </cell>
        </row>
        <row r="70">
          <cell r="A70">
            <v>8661941772</v>
          </cell>
          <cell r="B70">
            <v>10661865841</v>
          </cell>
          <cell r="C70" t="str">
            <v>null</v>
          </cell>
          <cell r="D70" t="str">
            <v>null</v>
          </cell>
          <cell r="E70">
            <v>45912.475694444445</v>
          </cell>
        </row>
        <row r="71">
          <cell r="A71">
            <v>8622529723</v>
          </cell>
          <cell r="B71">
            <v>10622454782</v>
          </cell>
          <cell r="C71" t="str">
            <v>null</v>
          </cell>
          <cell r="D71" t="str">
            <v>null</v>
          </cell>
          <cell r="E71">
            <v>45888.475694444445</v>
          </cell>
        </row>
        <row r="72">
          <cell r="A72">
            <v>8614858318</v>
          </cell>
          <cell r="B72">
            <v>10614783793</v>
          </cell>
          <cell r="C72" t="str">
            <v>null</v>
          </cell>
          <cell r="D72" t="str">
            <v>null</v>
          </cell>
          <cell r="E72">
            <v>45882.456250000003</v>
          </cell>
        </row>
        <row r="73">
          <cell r="A73">
            <v>8655672020</v>
          </cell>
          <cell r="B73">
            <v>10655596167</v>
          </cell>
          <cell r="C73" t="str">
            <v>null</v>
          </cell>
          <cell r="D73" t="str">
            <v>null</v>
          </cell>
          <cell r="E73">
            <v>45908.48333333333</v>
          </cell>
        </row>
        <row r="74">
          <cell r="A74">
            <v>8630979515</v>
          </cell>
          <cell r="B74">
            <v>10630904218</v>
          </cell>
          <cell r="C74" t="str">
            <v>null</v>
          </cell>
          <cell r="D74" t="str">
            <v>null</v>
          </cell>
          <cell r="E74">
            <v>45894.452777777777</v>
          </cell>
        </row>
        <row r="75">
          <cell r="A75">
            <v>8653894535</v>
          </cell>
          <cell r="B75">
            <v>10653818756</v>
          </cell>
          <cell r="C75" t="str">
            <v>null</v>
          </cell>
          <cell r="D75" t="str">
            <v>null</v>
          </cell>
          <cell r="E75">
            <v>45908.48333333333</v>
          </cell>
        </row>
        <row r="76">
          <cell r="A76">
            <v>8662493509</v>
          </cell>
          <cell r="B76">
            <v>10662417552</v>
          </cell>
          <cell r="C76" t="str">
            <v>null</v>
          </cell>
          <cell r="D76" t="str">
            <v>null</v>
          </cell>
          <cell r="E76">
            <v>45912.475694444445</v>
          </cell>
        </row>
        <row r="77">
          <cell r="A77">
            <v>8631067091</v>
          </cell>
          <cell r="B77">
            <v>10630991794</v>
          </cell>
          <cell r="C77" t="str">
            <v>null</v>
          </cell>
          <cell r="D77" t="str">
            <v>null</v>
          </cell>
          <cell r="E77">
            <v>45894.452777777777</v>
          </cell>
        </row>
        <row r="78">
          <cell r="A78">
            <v>8619859831</v>
          </cell>
          <cell r="B78">
            <v>10619785037</v>
          </cell>
          <cell r="C78" t="str">
            <v>null</v>
          </cell>
          <cell r="D78" t="str">
            <v>null</v>
          </cell>
          <cell r="E78">
            <v>45888.475694444445</v>
          </cell>
        </row>
        <row r="79">
          <cell r="A79">
            <v>8611998481</v>
          </cell>
          <cell r="B79">
            <v>10611924095</v>
          </cell>
          <cell r="C79" t="str">
            <v>null</v>
          </cell>
          <cell r="D79" t="str">
            <v>null</v>
          </cell>
          <cell r="E79">
            <v>45880.556944444441</v>
          </cell>
        </row>
        <row r="80">
          <cell r="A80">
            <v>8639804045</v>
          </cell>
          <cell r="B80">
            <v>10639728542</v>
          </cell>
          <cell r="C80" t="str">
            <v>null</v>
          </cell>
          <cell r="D80" t="str">
            <v>null</v>
          </cell>
          <cell r="E80">
            <v>45900.458333333336</v>
          </cell>
        </row>
        <row r="81">
          <cell r="A81">
            <v>8612636944</v>
          </cell>
          <cell r="B81">
            <v>10612562552</v>
          </cell>
          <cell r="C81" t="str">
            <v>null</v>
          </cell>
          <cell r="D81" t="str">
            <v>null</v>
          </cell>
          <cell r="E81">
            <v>45881.472222222219</v>
          </cell>
        </row>
        <row r="82">
          <cell r="A82">
            <v>8613217978</v>
          </cell>
          <cell r="B82">
            <v>10613143553</v>
          </cell>
          <cell r="C82" t="str">
            <v>null</v>
          </cell>
          <cell r="D82" t="str">
            <v>null</v>
          </cell>
          <cell r="E82">
            <v>45881.472222222219</v>
          </cell>
        </row>
        <row r="83">
          <cell r="A83">
            <v>8649618848</v>
          </cell>
          <cell r="B83">
            <v>10649543148</v>
          </cell>
          <cell r="C83" t="str">
            <v>null</v>
          </cell>
          <cell r="D83" t="str">
            <v>null</v>
          </cell>
          <cell r="E83">
            <v>45905.450694444444</v>
          </cell>
        </row>
        <row r="84">
          <cell r="A84">
            <v>8625454150</v>
          </cell>
          <cell r="B84">
            <v>10625379059</v>
          </cell>
          <cell r="C84" t="str">
            <v>null</v>
          </cell>
          <cell r="D84" t="str">
            <v>null</v>
          </cell>
          <cell r="E84">
            <v>45890.458333333336</v>
          </cell>
        </row>
        <row r="85">
          <cell r="A85">
            <v>8648759873</v>
          </cell>
          <cell r="B85">
            <v>10648684179</v>
          </cell>
          <cell r="C85" t="str">
            <v>null</v>
          </cell>
          <cell r="D85" t="str">
            <v>null</v>
          </cell>
          <cell r="E85">
            <v>45905.450694444444</v>
          </cell>
        </row>
        <row r="86">
          <cell r="A86">
            <v>8612316631</v>
          </cell>
          <cell r="B86">
            <v>10612242240</v>
          </cell>
          <cell r="C86" t="str">
            <v>null</v>
          </cell>
          <cell r="D86" t="str">
            <v>null</v>
          </cell>
          <cell r="E86">
            <v>45880.772916666669</v>
          </cell>
        </row>
        <row r="87">
          <cell r="A87">
            <v>8595142933</v>
          </cell>
          <cell r="B87">
            <v>10595069395</v>
          </cell>
          <cell r="C87" t="str">
            <v>null</v>
          </cell>
          <cell r="D87" t="str">
            <v>null</v>
          </cell>
          <cell r="E87">
            <v>45871.440972222219</v>
          </cell>
        </row>
        <row r="88">
          <cell r="A88">
            <v>8634561172</v>
          </cell>
          <cell r="B88">
            <v>10634485779</v>
          </cell>
          <cell r="C88" t="str">
            <v>null</v>
          </cell>
          <cell r="D88" t="str">
            <v>null</v>
          </cell>
          <cell r="E88">
            <v>45897.440972222219</v>
          </cell>
        </row>
        <row r="89">
          <cell r="A89">
            <v>8634169145</v>
          </cell>
          <cell r="B89">
            <v>10634093757</v>
          </cell>
          <cell r="C89" t="str">
            <v>null</v>
          </cell>
          <cell r="D89" t="str">
            <v>null</v>
          </cell>
          <cell r="E89">
            <v>45895.786805555559</v>
          </cell>
        </row>
        <row r="90">
          <cell r="A90">
            <v>8612775582</v>
          </cell>
          <cell r="B90">
            <v>10612701191</v>
          </cell>
          <cell r="C90" t="str">
            <v>null</v>
          </cell>
          <cell r="D90" t="str">
            <v>null</v>
          </cell>
          <cell r="E90">
            <v>45881.472222222219</v>
          </cell>
        </row>
        <row r="91">
          <cell r="A91">
            <v>8624894778</v>
          </cell>
          <cell r="B91">
            <v>10624819715</v>
          </cell>
          <cell r="C91" t="str">
            <v>null</v>
          </cell>
          <cell r="D91" t="str">
            <v>null</v>
          </cell>
          <cell r="E91">
            <v>45889.78125</v>
          </cell>
        </row>
        <row r="92">
          <cell r="A92">
            <v>8615334101</v>
          </cell>
          <cell r="B92">
            <v>10615259559</v>
          </cell>
          <cell r="C92" t="str">
            <v>null</v>
          </cell>
          <cell r="D92" t="str">
            <v>null</v>
          </cell>
          <cell r="E92">
            <v>45882.768750000003</v>
          </cell>
        </row>
        <row r="93">
          <cell r="A93">
            <v>8632189753</v>
          </cell>
          <cell r="B93">
            <v>10632114420</v>
          </cell>
          <cell r="C93" t="str">
            <v>null</v>
          </cell>
          <cell r="D93" t="str">
            <v>null</v>
          </cell>
          <cell r="E93">
            <v>45894.452777777777</v>
          </cell>
        </row>
        <row r="94">
          <cell r="A94">
            <v>8637715863</v>
          </cell>
          <cell r="B94">
            <v>10637640391</v>
          </cell>
          <cell r="C94" t="str">
            <v>null</v>
          </cell>
          <cell r="D94" t="str">
            <v>null</v>
          </cell>
          <cell r="E94">
            <v>45898.775000000001</v>
          </cell>
        </row>
        <row r="95">
          <cell r="A95">
            <v>8655940273</v>
          </cell>
          <cell r="B95">
            <v>10655864416</v>
          </cell>
          <cell r="C95" t="str">
            <v>null</v>
          </cell>
          <cell r="D95" t="str">
            <v>null</v>
          </cell>
          <cell r="E95">
            <v>45908.558333333334</v>
          </cell>
        </row>
        <row r="96">
          <cell r="A96">
            <v>8633269027</v>
          </cell>
          <cell r="B96">
            <v>10633193650</v>
          </cell>
          <cell r="C96" t="str">
            <v>null</v>
          </cell>
          <cell r="D96" t="str">
            <v>null</v>
          </cell>
          <cell r="E96">
            <v>45895.447222222225</v>
          </cell>
        </row>
        <row r="97">
          <cell r="A97">
            <v>8659789290</v>
          </cell>
          <cell r="B97">
            <v>10659713388</v>
          </cell>
          <cell r="C97" t="str">
            <v>null</v>
          </cell>
          <cell r="D97" t="str">
            <v>null</v>
          </cell>
          <cell r="E97">
            <v>45911.459027777775</v>
          </cell>
        </row>
        <row r="98">
          <cell r="A98">
            <v>8605655495</v>
          </cell>
          <cell r="B98">
            <v>10605581378</v>
          </cell>
          <cell r="C98" t="str">
            <v>null</v>
          </cell>
          <cell r="D98" t="str">
            <v>null</v>
          </cell>
          <cell r="E98">
            <v>45876.791666666664</v>
          </cell>
        </row>
        <row r="99">
          <cell r="A99">
            <v>8635882443</v>
          </cell>
          <cell r="B99">
            <v>10635807060</v>
          </cell>
          <cell r="C99" t="str">
            <v>null</v>
          </cell>
          <cell r="D99" t="str">
            <v>null</v>
          </cell>
          <cell r="E99">
            <v>45897.440972222219</v>
          </cell>
        </row>
        <row r="100">
          <cell r="A100">
            <v>8646141428</v>
          </cell>
          <cell r="B100">
            <v>10646065840</v>
          </cell>
          <cell r="C100" t="str">
            <v>null</v>
          </cell>
          <cell r="D100" t="str">
            <v>null</v>
          </cell>
          <cell r="E100">
            <v>45903.563194444447</v>
          </cell>
        </row>
        <row r="101">
          <cell r="A101">
            <v>8615626226</v>
          </cell>
          <cell r="B101">
            <v>10615551677</v>
          </cell>
          <cell r="C101" t="str">
            <v>null</v>
          </cell>
          <cell r="D101" t="str">
            <v>null</v>
          </cell>
          <cell r="E101">
            <v>45883.446527777778</v>
          </cell>
        </row>
        <row r="102">
          <cell r="A102">
            <v>8646561051</v>
          </cell>
          <cell r="B102">
            <v>10646485439</v>
          </cell>
          <cell r="C102" t="str">
            <v>null</v>
          </cell>
          <cell r="D102" t="str">
            <v>null</v>
          </cell>
          <cell r="E102">
            <v>45904.486805555556</v>
          </cell>
        </row>
        <row r="103">
          <cell r="A103">
            <v>8636977287</v>
          </cell>
          <cell r="B103">
            <v>10636901853</v>
          </cell>
          <cell r="C103" t="str">
            <v>null</v>
          </cell>
          <cell r="D103" t="str">
            <v>null</v>
          </cell>
          <cell r="E103">
            <v>45898.445138888892</v>
          </cell>
        </row>
        <row r="104">
          <cell r="A104">
            <v>8611998482</v>
          </cell>
          <cell r="B104">
            <v>10611924096</v>
          </cell>
          <cell r="C104" t="str">
            <v>null</v>
          </cell>
          <cell r="D104" t="str">
            <v>null</v>
          </cell>
          <cell r="E104">
            <v>45880.556944444441</v>
          </cell>
        </row>
        <row r="105">
          <cell r="A105">
            <v>8622049270</v>
          </cell>
          <cell r="B105">
            <v>10621974344</v>
          </cell>
          <cell r="C105" t="str">
            <v>null</v>
          </cell>
          <cell r="D105" t="str">
            <v>null</v>
          </cell>
          <cell r="E105">
            <v>45887.563194444447</v>
          </cell>
        </row>
        <row r="106">
          <cell r="A106">
            <v>8622249725</v>
          </cell>
          <cell r="B106">
            <v>10622174798</v>
          </cell>
          <cell r="C106" t="str">
            <v>null</v>
          </cell>
          <cell r="D106" t="str">
            <v>null</v>
          </cell>
          <cell r="E106">
            <v>45888.475694444445</v>
          </cell>
        </row>
        <row r="107">
          <cell r="A107">
            <v>8644756300</v>
          </cell>
          <cell r="B107">
            <v>10644680721</v>
          </cell>
          <cell r="C107" t="str">
            <v>null</v>
          </cell>
          <cell r="D107" t="str">
            <v>null</v>
          </cell>
          <cell r="E107">
            <v>45902.775000000001</v>
          </cell>
        </row>
        <row r="108">
          <cell r="A108">
            <v>8634483521</v>
          </cell>
          <cell r="B108">
            <v>10634408122</v>
          </cell>
          <cell r="C108" t="str">
            <v>null</v>
          </cell>
          <cell r="D108" t="str">
            <v>null</v>
          </cell>
          <cell r="E108">
            <v>45897.440972222219</v>
          </cell>
        </row>
        <row r="109">
          <cell r="A109">
            <v>8665229227</v>
          </cell>
          <cell r="B109">
            <v>10665153259</v>
          </cell>
          <cell r="C109" t="str">
            <v>null</v>
          </cell>
          <cell r="D109" t="str">
            <v>null</v>
          </cell>
          <cell r="E109">
            <v>45913.450694444444</v>
          </cell>
        </row>
        <row r="110">
          <cell r="A110">
            <v>8639804850</v>
          </cell>
          <cell r="B110">
            <v>10639729347</v>
          </cell>
          <cell r="C110" t="str">
            <v>null</v>
          </cell>
          <cell r="D110" t="str">
            <v>null</v>
          </cell>
          <cell r="E110">
            <v>45900.458333333336</v>
          </cell>
        </row>
        <row r="111">
          <cell r="A111">
            <v>8620997934</v>
          </cell>
          <cell r="B111">
            <v>10620923111</v>
          </cell>
          <cell r="C111" t="str">
            <v>null</v>
          </cell>
          <cell r="D111" t="str">
            <v>null</v>
          </cell>
          <cell r="E111">
            <v>45888.475694444445</v>
          </cell>
        </row>
        <row r="112">
          <cell r="A112">
            <v>8612316632</v>
          </cell>
          <cell r="B112">
            <v>10612242241</v>
          </cell>
          <cell r="C112" t="str">
            <v>null</v>
          </cell>
          <cell r="D112" t="str">
            <v>null</v>
          </cell>
          <cell r="E112">
            <v>45880.772916666669</v>
          </cell>
        </row>
        <row r="113">
          <cell r="A113">
            <v>8640972995</v>
          </cell>
          <cell r="B113">
            <v>10640897438</v>
          </cell>
          <cell r="C113" t="str">
            <v>null</v>
          </cell>
          <cell r="D113" t="str">
            <v>null</v>
          </cell>
          <cell r="E113">
            <v>45901.459027777775</v>
          </cell>
        </row>
        <row r="114">
          <cell r="A114">
            <v>8614858323</v>
          </cell>
          <cell r="B114">
            <v>10614783797</v>
          </cell>
          <cell r="C114" t="str">
            <v>null</v>
          </cell>
          <cell r="D114" t="str">
            <v>null</v>
          </cell>
          <cell r="E114">
            <v>45882.456250000003</v>
          </cell>
        </row>
        <row r="115">
          <cell r="A115">
            <v>8644439800</v>
          </cell>
          <cell r="B115">
            <v>10644364221</v>
          </cell>
          <cell r="C115" t="str">
            <v>null</v>
          </cell>
          <cell r="D115" t="str">
            <v>null</v>
          </cell>
          <cell r="E115">
            <v>45902.658333333333</v>
          </cell>
        </row>
        <row r="116">
          <cell r="A116">
            <v>8620680302</v>
          </cell>
          <cell r="B116">
            <v>10620605482</v>
          </cell>
          <cell r="C116" t="str">
            <v>null</v>
          </cell>
          <cell r="D116" t="str">
            <v>null</v>
          </cell>
          <cell r="E116">
            <v>45888.475694444445</v>
          </cell>
        </row>
        <row r="117">
          <cell r="A117">
            <v>8650305629</v>
          </cell>
          <cell r="B117">
            <v>10650229928</v>
          </cell>
          <cell r="C117" t="str">
            <v>null</v>
          </cell>
          <cell r="D117" t="str">
            <v>null</v>
          </cell>
          <cell r="E117">
            <v>45905.805555555555</v>
          </cell>
        </row>
        <row r="118">
          <cell r="A118">
            <v>8622783699</v>
          </cell>
          <cell r="B118">
            <v>10622708729</v>
          </cell>
          <cell r="C118" t="str">
            <v>null</v>
          </cell>
          <cell r="D118" t="str">
            <v>null</v>
          </cell>
          <cell r="E118">
            <v>45888.475694444445</v>
          </cell>
        </row>
        <row r="119">
          <cell r="A119">
            <v>8629832600</v>
          </cell>
          <cell r="B119">
            <v>10629757379</v>
          </cell>
          <cell r="C119" t="str">
            <v>null</v>
          </cell>
          <cell r="D119" t="str">
            <v>null</v>
          </cell>
          <cell r="E119">
            <v>45892.679861111108</v>
          </cell>
        </row>
        <row r="120">
          <cell r="A120">
            <v>8618858030</v>
          </cell>
          <cell r="B120">
            <v>10618783312</v>
          </cell>
          <cell r="C120" t="str">
            <v>null</v>
          </cell>
          <cell r="D120" t="str">
            <v>null</v>
          </cell>
          <cell r="E120">
            <v>45885.463194444441</v>
          </cell>
        </row>
        <row r="121">
          <cell r="A121">
            <v>8655224652</v>
          </cell>
          <cell r="B121">
            <v>10655148834</v>
          </cell>
          <cell r="C121" t="str">
            <v>null</v>
          </cell>
          <cell r="D121" t="str">
            <v>null</v>
          </cell>
          <cell r="E121">
            <v>45908.48333333333</v>
          </cell>
        </row>
        <row r="122">
          <cell r="A122">
            <v>8635410357</v>
          </cell>
          <cell r="B122">
            <v>10635334973</v>
          </cell>
          <cell r="C122" t="str">
            <v>null</v>
          </cell>
          <cell r="D122" t="str">
            <v>null</v>
          </cell>
          <cell r="E122">
            <v>45897.440972222219</v>
          </cell>
        </row>
        <row r="123">
          <cell r="A123">
            <v>8655711888</v>
          </cell>
          <cell r="B123">
            <v>10655636035</v>
          </cell>
          <cell r="C123" t="str">
            <v>null</v>
          </cell>
          <cell r="D123" t="str">
            <v>null</v>
          </cell>
          <cell r="E123">
            <v>45908.48333333333</v>
          </cell>
        </row>
        <row r="124">
          <cell r="A124">
            <v>8610217098</v>
          </cell>
          <cell r="B124">
            <v>10610142791</v>
          </cell>
          <cell r="C124" t="str">
            <v>null</v>
          </cell>
          <cell r="D124" t="str">
            <v>null</v>
          </cell>
          <cell r="E124">
            <v>45880.458333333336</v>
          </cell>
        </row>
        <row r="125">
          <cell r="A125">
            <v>8655711145</v>
          </cell>
          <cell r="B125">
            <v>10655635292</v>
          </cell>
          <cell r="C125" t="str">
            <v>null</v>
          </cell>
          <cell r="D125" t="str">
            <v>null</v>
          </cell>
          <cell r="E125">
            <v>45908.48333333333</v>
          </cell>
        </row>
        <row r="126">
          <cell r="A126">
            <v>8639964081</v>
          </cell>
          <cell r="B126">
            <v>10639888573</v>
          </cell>
          <cell r="C126" t="str">
            <v>null</v>
          </cell>
          <cell r="D126" t="str">
            <v>null</v>
          </cell>
          <cell r="E126">
            <v>45900.458333333336</v>
          </cell>
        </row>
        <row r="127">
          <cell r="A127">
            <v>8660538231</v>
          </cell>
          <cell r="B127">
            <v>10660462300</v>
          </cell>
          <cell r="C127" t="str">
            <v>null</v>
          </cell>
          <cell r="D127" t="str">
            <v>null</v>
          </cell>
          <cell r="E127">
            <v>45911.459027777775</v>
          </cell>
        </row>
        <row r="128">
          <cell r="A128">
            <v>8635287351</v>
          </cell>
          <cell r="B128">
            <v>10635211965</v>
          </cell>
          <cell r="C128" t="str">
            <v>null</v>
          </cell>
          <cell r="D128" t="str">
            <v>null</v>
          </cell>
          <cell r="E128">
            <v>45897.440972222219</v>
          </cell>
        </row>
        <row r="129">
          <cell r="A129">
            <v>8642386129</v>
          </cell>
          <cell r="B129">
            <v>10642310560</v>
          </cell>
          <cell r="C129" t="str">
            <v>null</v>
          </cell>
          <cell r="D129" t="str">
            <v>null</v>
          </cell>
          <cell r="E129">
            <v>45901.785416666666</v>
          </cell>
        </row>
        <row r="130">
          <cell r="A130">
            <v>8658028844</v>
          </cell>
          <cell r="B130">
            <v>10657952963</v>
          </cell>
          <cell r="C130" t="str">
            <v>null</v>
          </cell>
          <cell r="D130" t="str">
            <v>null</v>
          </cell>
          <cell r="E130">
            <v>45910.459722222222</v>
          </cell>
        </row>
        <row r="131">
          <cell r="A131">
            <v>8635735486</v>
          </cell>
          <cell r="B131">
            <v>10635660100</v>
          </cell>
          <cell r="C131" t="str">
            <v>null</v>
          </cell>
          <cell r="D131" t="str">
            <v>null</v>
          </cell>
          <cell r="E131">
            <v>45897.440972222219</v>
          </cell>
        </row>
        <row r="132">
          <cell r="A132">
            <v>8624683467</v>
          </cell>
          <cell r="B132">
            <v>10624608409</v>
          </cell>
          <cell r="C132" t="str">
            <v>null</v>
          </cell>
          <cell r="D132" t="str">
            <v>null</v>
          </cell>
          <cell r="E132">
            <v>45889.78125</v>
          </cell>
        </row>
        <row r="133">
          <cell r="A133">
            <v>8623285922</v>
          </cell>
          <cell r="B133">
            <v>10623210922</v>
          </cell>
          <cell r="C133" t="str">
            <v>null</v>
          </cell>
          <cell r="D133" t="str">
            <v>null</v>
          </cell>
          <cell r="E133">
            <v>45888.475694444445</v>
          </cell>
        </row>
        <row r="134">
          <cell r="A134">
            <v>8636449239</v>
          </cell>
          <cell r="B134">
            <v>10636373820</v>
          </cell>
          <cell r="C134" t="str">
            <v>null</v>
          </cell>
          <cell r="D134" t="str">
            <v>null</v>
          </cell>
          <cell r="E134">
            <v>45897.79791666667</v>
          </cell>
        </row>
        <row r="135">
          <cell r="A135">
            <v>8633441706</v>
          </cell>
          <cell r="B135">
            <v>10633366324</v>
          </cell>
          <cell r="C135" t="str">
            <v>null</v>
          </cell>
          <cell r="D135" t="str">
            <v>null</v>
          </cell>
          <cell r="E135">
            <v>45895.447222222225</v>
          </cell>
        </row>
        <row r="136">
          <cell r="A136">
            <v>8610667779</v>
          </cell>
          <cell r="B136">
            <v>10610593464</v>
          </cell>
          <cell r="C136" t="str">
            <v>null</v>
          </cell>
          <cell r="D136" t="str">
            <v>null</v>
          </cell>
          <cell r="E136">
            <v>45880.458333333336</v>
          </cell>
        </row>
        <row r="137">
          <cell r="A137">
            <v>8621454433</v>
          </cell>
          <cell r="B137">
            <v>10621379575</v>
          </cell>
          <cell r="C137" t="str">
            <v>null</v>
          </cell>
          <cell r="D137" t="str">
            <v>null</v>
          </cell>
          <cell r="E137">
            <v>45888.475694444445</v>
          </cell>
        </row>
        <row r="138">
          <cell r="A138">
            <v>8644832787</v>
          </cell>
          <cell r="B138">
            <v>10644757209</v>
          </cell>
          <cell r="C138" t="str">
            <v>null</v>
          </cell>
          <cell r="D138" t="str">
            <v>null</v>
          </cell>
          <cell r="E138">
            <v>45903.465277777781</v>
          </cell>
        </row>
        <row r="139">
          <cell r="A139">
            <v>8637335372</v>
          </cell>
          <cell r="B139">
            <v>10637259922</v>
          </cell>
          <cell r="C139" t="str">
            <v>null</v>
          </cell>
          <cell r="D139" t="str">
            <v>null</v>
          </cell>
          <cell r="E139">
            <v>45898.45</v>
          </cell>
        </row>
        <row r="140">
          <cell r="A140">
            <v>8624339982</v>
          </cell>
          <cell r="B140">
            <v>10624264931</v>
          </cell>
          <cell r="C140" t="str">
            <v>null</v>
          </cell>
          <cell r="D140" t="str">
            <v>null</v>
          </cell>
          <cell r="E140">
            <v>45889.441666666666</v>
          </cell>
        </row>
        <row r="141">
          <cell r="A141">
            <v>8657871207</v>
          </cell>
          <cell r="B141">
            <v>10657795326</v>
          </cell>
          <cell r="C141" t="str">
            <v>null</v>
          </cell>
          <cell r="D141" t="str">
            <v>null</v>
          </cell>
          <cell r="E141">
            <v>45910.459722222222</v>
          </cell>
        </row>
        <row r="142">
          <cell r="A142">
            <v>8601039770</v>
          </cell>
          <cell r="B142">
            <v>10600965883</v>
          </cell>
          <cell r="C142" t="str">
            <v>null</v>
          </cell>
          <cell r="D142" t="str">
            <v>null</v>
          </cell>
          <cell r="E142">
            <v>45874.465277777781</v>
          </cell>
        </row>
        <row r="143">
          <cell r="A143">
            <v>8656222867</v>
          </cell>
          <cell r="B143">
            <v>10656146995</v>
          </cell>
          <cell r="C143" t="str">
            <v>null</v>
          </cell>
          <cell r="D143" t="str">
            <v>null</v>
          </cell>
          <cell r="E143">
            <v>45908.788194444445</v>
          </cell>
        </row>
        <row r="144">
          <cell r="A144">
            <v>8654195528</v>
          </cell>
          <cell r="B144">
            <v>10654119754</v>
          </cell>
          <cell r="C144" t="str">
            <v>null</v>
          </cell>
          <cell r="D144" t="str">
            <v>null</v>
          </cell>
          <cell r="E144">
            <v>45908.48333333333</v>
          </cell>
        </row>
        <row r="145">
          <cell r="A145">
            <v>8638593036</v>
          </cell>
          <cell r="B145">
            <v>10638517545</v>
          </cell>
          <cell r="C145" t="str">
            <v>null</v>
          </cell>
          <cell r="D145" t="str">
            <v>null</v>
          </cell>
          <cell r="E145">
            <v>45899.442361111112</v>
          </cell>
        </row>
        <row r="146">
          <cell r="A146">
            <v>8656573052</v>
          </cell>
          <cell r="B146">
            <v>10656497184</v>
          </cell>
          <cell r="C146" t="str">
            <v>null</v>
          </cell>
          <cell r="D146" t="str">
            <v>null</v>
          </cell>
          <cell r="E146">
            <v>45909.456250000003</v>
          </cell>
        </row>
        <row r="147">
          <cell r="A147">
            <v>8637124975</v>
          </cell>
          <cell r="B147">
            <v>10637049535</v>
          </cell>
          <cell r="C147" t="str">
            <v>null</v>
          </cell>
          <cell r="D147" t="str">
            <v>null</v>
          </cell>
          <cell r="E147">
            <v>45898.445138888892</v>
          </cell>
        </row>
        <row r="148">
          <cell r="A148">
            <v>8634034187</v>
          </cell>
          <cell r="B148">
            <v>10633958797</v>
          </cell>
          <cell r="C148" t="str">
            <v>null</v>
          </cell>
          <cell r="D148" t="str">
            <v>null</v>
          </cell>
          <cell r="E148">
            <v>45895.786805555559</v>
          </cell>
        </row>
        <row r="149">
          <cell r="A149">
            <v>8637711047</v>
          </cell>
          <cell r="B149">
            <v>10637635575</v>
          </cell>
          <cell r="C149" t="str">
            <v>null</v>
          </cell>
          <cell r="D149" t="str">
            <v>null</v>
          </cell>
          <cell r="E149">
            <v>45898.775000000001</v>
          </cell>
        </row>
        <row r="150">
          <cell r="A150">
            <v>8650282943</v>
          </cell>
          <cell r="B150">
            <v>10650207242</v>
          </cell>
          <cell r="C150" t="str">
            <v>null</v>
          </cell>
          <cell r="D150" t="str">
            <v>null</v>
          </cell>
          <cell r="E150">
            <v>45905.805555555555</v>
          </cell>
        </row>
        <row r="151">
          <cell r="A151">
            <v>8617018913</v>
          </cell>
          <cell r="B151">
            <v>10616944258</v>
          </cell>
          <cell r="C151" t="str">
            <v>null</v>
          </cell>
          <cell r="D151" t="str">
            <v>null</v>
          </cell>
          <cell r="E151">
            <v>45885.463194444441</v>
          </cell>
        </row>
        <row r="152">
          <cell r="A152">
            <v>8611755278</v>
          </cell>
          <cell r="B152">
            <v>10611680898</v>
          </cell>
          <cell r="C152" t="str">
            <v>null</v>
          </cell>
          <cell r="D152" t="str">
            <v>null</v>
          </cell>
          <cell r="E152">
            <v>45880.458333333336</v>
          </cell>
        </row>
        <row r="153">
          <cell r="A153">
            <v>8639784997</v>
          </cell>
          <cell r="B153">
            <v>10639709494</v>
          </cell>
          <cell r="C153" t="str">
            <v>null</v>
          </cell>
          <cell r="D153" t="str">
            <v>null</v>
          </cell>
          <cell r="E153">
            <v>45900.458333333336</v>
          </cell>
        </row>
        <row r="154">
          <cell r="A154">
            <v>8612739940</v>
          </cell>
          <cell r="B154">
            <v>10612665549</v>
          </cell>
          <cell r="C154" t="str">
            <v>null</v>
          </cell>
          <cell r="D154" t="str">
            <v>null</v>
          </cell>
          <cell r="E154">
            <v>45881.472222222219</v>
          </cell>
        </row>
        <row r="155">
          <cell r="A155">
            <v>8654767449</v>
          </cell>
          <cell r="B155">
            <v>10654691661</v>
          </cell>
          <cell r="C155" t="str">
            <v>null</v>
          </cell>
          <cell r="D155" t="str">
            <v>null</v>
          </cell>
          <cell r="E155">
            <v>45908.48333333333</v>
          </cell>
        </row>
        <row r="156">
          <cell r="A156">
            <v>8654080323</v>
          </cell>
          <cell r="B156">
            <v>10654004548</v>
          </cell>
          <cell r="C156" t="str">
            <v>null</v>
          </cell>
          <cell r="D156" t="str">
            <v>null</v>
          </cell>
          <cell r="E156">
            <v>45908.48333333333</v>
          </cell>
        </row>
        <row r="157">
          <cell r="A157">
            <v>8654459527</v>
          </cell>
          <cell r="B157">
            <v>10654383736</v>
          </cell>
          <cell r="C157" t="str">
            <v>null</v>
          </cell>
          <cell r="D157" t="str">
            <v>null</v>
          </cell>
          <cell r="E157">
            <v>45908.48333333333</v>
          </cell>
        </row>
        <row r="158">
          <cell r="A158">
            <v>8630722093</v>
          </cell>
          <cell r="B158">
            <v>10630646798</v>
          </cell>
          <cell r="C158" t="str">
            <v>null</v>
          </cell>
          <cell r="D158" t="str">
            <v>null</v>
          </cell>
          <cell r="E158">
            <v>45894.452777777777</v>
          </cell>
        </row>
        <row r="159">
          <cell r="A159">
            <v>8637107040</v>
          </cell>
          <cell r="B159">
            <v>10637031606</v>
          </cell>
          <cell r="C159" t="str">
            <v>null</v>
          </cell>
          <cell r="D159" t="str">
            <v>null</v>
          </cell>
          <cell r="E159">
            <v>45898.445138888892</v>
          </cell>
        </row>
        <row r="160">
          <cell r="A160">
            <v>8615086353</v>
          </cell>
          <cell r="B160">
            <v>10615011818</v>
          </cell>
          <cell r="C160" t="str">
            <v>null</v>
          </cell>
          <cell r="D160" t="str">
            <v>null</v>
          </cell>
          <cell r="E160">
            <v>45882.768750000003</v>
          </cell>
        </row>
        <row r="161">
          <cell r="A161">
            <v>8658705104</v>
          </cell>
          <cell r="B161">
            <v>10658629207</v>
          </cell>
          <cell r="C161" t="str">
            <v>null</v>
          </cell>
          <cell r="D161" t="str">
            <v>null</v>
          </cell>
          <cell r="E161">
            <v>45910.459722222222</v>
          </cell>
        </row>
        <row r="162">
          <cell r="A162">
            <v>8612529781</v>
          </cell>
          <cell r="B162">
            <v>10612455388</v>
          </cell>
          <cell r="C162" t="str">
            <v>null</v>
          </cell>
          <cell r="D162" t="str">
            <v>null</v>
          </cell>
          <cell r="E162">
            <v>45881.472222222219</v>
          </cell>
        </row>
        <row r="163">
          <cell r="A163">
            <v>8655960955</v>
          </cell>
          <cell r="B163">
            <v>10655885101</v>
          </cell>
          <cell r="C163" t="str">
            <v>null</v>
          </cell>
          <cell r="D163" t="str">
            <v>null</v>
          </cell>
          <cell r="E163">
            <v>45908.558333333334</v>
          </cell>
        </row>
        <row r="164">
          <cell r="A164">
            <v>8610375507</v>
          </cell>
          <cell r="B164">
            <v>10610301197</v>
          </cell>
          <cell r="C164" t="str">
            <v>null</v>
          </cell>
          <cell r="D164" t="str">
            <v>null</v>
          </cell>
          <cell r="E164">
            <v>45880.458333333336</v>
          </cell>
        </row>
        <row r="165">
          <cell r="A165">
            <v>8617656468</v>
          </cell>
          <cell r="B165">
            <v>10617581796</v>
          </cell>
          <cell r="C165" t="str">
            <v>null</v>
          </cell>
          <cell r="D165" t="str">
            <v>null</v>
          </cell>
          <cell r="E165">
            <v>45887.452777777777</v>
          </cell>
        </row>
        <row r="166">
          <cell r="A166">
            <v>8610108292</v>
          </cell>
          <cell r="B166">
            <v>10610033999</v>
          </cell>
          <cell r="C166" t="str">
            <v>null</v>
          </cell>
          <cell r="D166" t="str">
            <v>null</v>
          </cell>
          <cell r="E166">
            <v>45880.458333333336</v>
          </cell>
        </row>
        <row r="167">
          <cell r="A167">
            <v>8625958524</v>
          </cell>
          <cell r="B167">
            <v>10625883427</v>
          </cell>
          <cell r="C167" t="str">
            <v>null</v>
          </cell>
          <cell r="D167" t="str">
            <v>null</v>
          </cell>
          <cell r="E167">
            <v>45890.458333333336</v>
          </cell>
        </row>
        <row r="168">
          <cell r="A168">
            <v>8604969678</v>
          </cell>
          <cell r="B168">
            <v>10604895563</v>
          </cell>
          <cell r="C168" t="str">
            <v>null</v>
          </cell>
          <cell r="D168" t="str">
            <v>null</v>
          </cell>
          <cell r="E168">
            <v>45876.452777777777</v>
          </cell>
        </row>
        <row r="169">
          <cell r="A169">
            <v>8657839426</v>
          </cell>
          <cell r="B169">
            <v>10657763545</v>
          </cell>
          <cell r="C169" t="str">
            <v>null</v>
          </cell>
          <cell r="D169" t="str">
            <v>null</v>
          </cell>
          <cell r="E169">
            <v>45910.459722222222</v>
          </cell>
        </row>
        <row r="170">
          <cell r="A170">
            <v>8647172312</v>
          </cell>
          <cell r="B170">
            <v>10647096682</v>
          </cell>
          <cell r="C170" t="str">
            <v>null</v>
          </cell>
          <cell r="D170" t="str">
            <v>null</v>
          </cell>
          <cell r="E170">
            <v>45904.486805555556</v>
          </cell>
        </row>
        <row r="171">
          <cell r="A171">
            <v>8654866662</v>
          </cell>
          <cell r="B171">
            <v>10654790860</v>
          </cell>
          <cell r="C171" t="str">
            <v>null</v>
          </cell>
          <cell r="D171" t="str">
            <v>null</v>
          </cell>
          <cell r="E171">
            <v>45908.48333333333</v>
          </cell>
        </row>
        <row r="172">
          <cell r="A172">
            <v>8659781850</v>
          </cell>
          <cell r="B172">
            <v>10659705948</v>
          </cell>
          <cell r="C172" t="str">
            <v>null</v>
          </cell>
          <cell r="D172" t="str">
            <v>null</v>
          </cell>
          <cell r="E172">
            <v>45911.459027777775</v>
          </cell>
        </row>
        <row r="173">
          <cell r="A173">
            <v>8624085547</v>
          </cell>
          <cell r="B173">
            <v>10624010495</v>
          </cell>
          <cell r="C173" t="str">
            <v>null</v>
          </cell>
          <cell r="D173" t="str">
            <v>null</v>
          </cell>
          <cell r="E173">
            <v>45889.459027777775</v>
          </cell>
        </row>
        <row r="174">
          <cell r="A174">
            <v>8603426729</v>
          </cell>
          <cell r="B174">
            <v>10603352673</v>
          </cell>
          <cell r="C174" t="str">
            <v>null</v>
          </cell>
          <cell r="D174" t="str">
            <v>null</v>
          </cell>
          <cell r="E174">
            <v>45875.537499999999</v>
          </cell>
        </row>
        <row r="175">
          <cell r="A175">
            <v>8616286171</v>
          </cell>
          <cell r="B175">
            <v>10616211560</v>
          </cell>
          <cell r="C175" t="str">
            <v>null</v>
          </cell>
          <cell r="D175" t="str">
            <v>null</v>
          </cell>
          <cell r="E175">
            <v>45883.446527777778</v>
          </cell>
        </row>
        <row r="176">
          <cell r="A176">
            <v>8625147027</v>
          </cell>
          <cell r="B176">
            <v>10625071936</v>
          </cell>
          <cell r="C176" t="str">
            <v>null</v>
          </cell>
          <cell r="D176" t="str">
            <v>null</v>
          </cell>
          <cell r="E176">
            <v>45889.790277777778</v>
          </cell>
        </row>
        <row r="177">
          <cell r="A177">
            <v>8628691316</v>
          </cell>
          <cell r="B177">
            <v>10628616154</v>
          </cell>
          <cell r="C177" t="str">
            <v>null</v>
          </cell>
          <cell r="D177" t="str">
            <v>null</v>
          </cell>
          <cell r="E177">
            <v>45891.789583333331</v>
          </cell>
        </row>
        <row r="178">
          <cell r="A178">
            <v>8659785912</v>
          </cell>
          <cell r="B178">
            <v>10659710010</v>
          </cell>
          <cell r="C178" t="str">
            <v>null</v>
          </cell>
          <cell r="D178" t="str">
            <v>null</v>
          </cell>
          <cell r="E178">
            <v>45911.459027777775</v>
          </cell>
        </row>
        <row r="179">
          <cell r="A179">
            <v>8630548620</v>
          </cell>
          <cell r="B179">
            <v>10630473354</v>
          </cell>
          <cell r="C179" t="str">
            <v>null</v>
          </cell>
          <cell r="D179" t="str">
            <v>null</v>
          </cell>
          <cell r="E179">
            <v>45894.452777777777</v>
          </cell>
        </row>
        <row r="180">
          <cell r="A180">
            <v>8642027320</v>
          </cell>
          <cell r="B180">
            <v>10641951751</v>
          </cell>
          <cell r="C180" t="str">
            <v>null</v>
          </cell>
          <cell r="D180" t="str">
            <v>null</v>
          </cell>
          <cell r="E180">
            <v>45901.495833333334</v>
          </cell>
        </row>
        <row r="181">
          <cell r="A181">
            <v>8634985043</v>
          </cell>
          <cell r="B181">
            <v>10634909656</v>
          </cell>
          <cell r="C181" t="str">
            <v>null</v>
          </cell>
          <cell r="D181" t="str">
            <v>null</v>
          </cell>
          <cell r="E181">
            <v>45897.440972222219</v>
          </cell>
        </row>
        <row r="182">
          <cell r="A182">
            <v>8627160408</v>
          </cell>
          <cell r="B182">
            <v>10627085254</v>
          </cell>
          <cell r="C182" t="str">
            <v>null</v>
          </cell>
          <cell r="D182" t="str">
            <v>null</v>
          </cell>
          <cell r="E182">
            <v>45891.470833333333</v>
          </cell>
        </row>
        <row r="183">
          <cell r="A183">
            <v>8643430475</v>
          </cell>
          <cell r="B183">
            <v>10643354891</v>
          </cell>
          <cell r="C183" t="str">
            <v>null</v>
          </cell>
          <cell r="D183" t="str">
            <v>null</v>
          </cell>
          <cell r="E183">
            <v>45902.448611111111</v>
          </cell>
        </row>
        <row r="184">
          <cell r="A184">
            <v>8650798775</v>
          </cell>
          <cell r="B184">
            <v>10650723022</v>
          </cell>
          <cell r="C184" t="str">
            <v>null</v>
          </cell>
          <cell r="D184" t="str">
            <v>null</v>
          </cell>
          <cell r="E184">
            <v>45906.475694444445</v>
          </cell>
        </row>
        <row r="185">
          <cell r="A185">
            <v>8657535433</v>
          </cell>
          <cell r="B185">
            <v>10657459556</v>
          </cell>
          <cell r="C185" t="str">
            <v>null</v>
          </cell>
          <cell r="D185" t="str">
            <v>null</v>
          </cell>
          <cell r="E185">
            <v>45909.791666666664</v>
          </cell>
        </row>
        <row r="186">
          <cell r="A186">
            <v>8625537944</v>
          </cell>
          <cell r="B186">
            <v>10625462847</v>
          </cell>
          <cell r="C186" t="str">
            <v>null</v>
          </cell>
          <cell r="D186" t="str">
            <v>null</v>
          </cell>
          <cell r="E186">
            <v>45890.458333333336</v>
          </cell>
        </row>
        <row r="187">
          <cell r="A187">
            <v>8631473616</v>
          </cell>
          <cell r="B187">
            <v>10631398315</v>
          </cell>
          <cell r="C187" t="str">
            <v>null</v>
          </cell>
          <cell r="D187" t="str">
            <v>null</v>
          </cell>
          <cell r="E187">
            <v>45894.452777777777</v>
          </cell>
        </row>
        <row r="188">
          <cell r="A188">
            <v>8637117652</v>
          </cell>
          <cell r="B188">
            <v>10637042213</v>
          </cell>
          <cell r="C188" t="str">
            <v>null</v>
          </cell>
          <cell r="D188" t="str">
            <v>null</v>
          </cell>
          <cell r="E188">
            <v>45898.445138888892</v>
          </cell>
        </row>
        <row r="189">
          <cell r="A189">
            <v>8623193877</v>
          </cell>
          <cell r="B189">
            <v>10623118876</v>
          </cell>
          <cell r="C189" t="str">
            <v>null</v>
          </cell>
          <cell r="D189" t="str">
            <v>null</v>
          </cell>
          <cell r="E189">
            <v>45888.475694444445</v>
          </cell>
        </row>
        <row r="190">
          <cell r="A190">
            <v>8629976627</v>
          </cell>
          <cell r="B190">
            <v>10629901401</v>
          </cell>
          <cell r="C190" t="str">
            <v>null</v>
          </cell>
          <cell r="D190" t="str">
            <v>null</v>
          </cell>
          <cell r="E190">
            <v>45892.679861111108</v>
          </cell>
        </row>
        <row r="191">
          <cell r="A191">
            <v>8614858315</v>
          </cell>
          <cell r="B191">
            <v>10614783790</v>
          </cell>
          <cell r="C191" t="str">
            <v>null</v>
          </cell>
          <cell r="D191" t="str">
            <v>null</v>
          </cell>
          <cell r="E191">
            <v>45882.456250000003</v>
          </cell>
        </row>
        <row r="192">
          <cell r="A192">
            <v>8634524687</v>
          </cell>
          <cell r="B192">
            <v>10634449289</v>
          </cell>
          <cell r="C192" t="str">
            <v>null</v>
          </cell>
          <cell r="D192" t="str">
            <v>null</v>
          </cell>
          <cell r="E192">
            <v>45897.440972222219</v>
          </cell>
        </row>
        <row r="193">
          <cell r="A193">
            <v>8636814714</v>
          </cell>
          <cell r="B193">
            <v>10636739283</v>
          </cell>
          <cell r="C193" t="str">
            <v>null</v>
          </cell>
          <cell r="D193" t="str">
            <v>null</v>
          </cell>
          <cell r="E193">
            <v>45898.445138888892</v>
          </cell>
        </row>
        <row r="194">
          <cell r="A194">
            <v>8629162385</v>
          </cell>
          <cell r="B194">
            <v>10629087213</v>
          </cell>
          <cell r="C194" t="str">
            <v>null</v>
          </cell>
          <cell r="D194" t="str">
            <v>null</v>
          </cell>
          <cell r="E194">
            <v>45892.432638888888</v>
          </cell>
        </row>
        <row r="195">
          <cell r="A195">
            <v>8661193481</v>
          </cell>
          <cell r="B195">
            <v>10661117560</v>
          </cell>
          <cell r="C195" t="str">
            <v>null</v>
          </cell>
          <cell r="D195" t="str">
            <v>null</v>
          </cell>
          <cell r="E195">
            <v>45911.783333333333</v>
          </cell>
        </row>
        <row r="196">
          <cell r="A196">
            <v>8652565766</v>
          </cell>
          <cell r="B196">
            <v>10652490004</v>
          </cell>
          <cell r="C196" t="str">
            <v>null</v>
          </cell>
          <cell r="D196" t="str">
            <v>null</v>
          </cell>
          <cell r="E196">
            <v>45906.671527777777</v>
          </cell>
        </row>
        <row r="197">
          <cell r="A197">
            <v>8624024901</v>
          </cell>
          <cell r="B197">
            <v>10623949850</v>
          </cell>
          <cell r="C197" t="str">
            <v>null</v>
          </cell>
          <cell r="D197" t="str">
            <v>null</v>
          </cell>
          <cell r="E197">
            <v>45889.441666666666</v>
          </cell>
        </row>
        <row r="198">
          <cell r="A198">
            <v>8616771948</v>
          </cell>
          <cell r="B198">
            <v>10616697295</v>
          </cell>
          <cell r="C198" t="str">
            <v>null</v>
          </cell>
          <cell r="D198" t="str">
            <v>null</v>
          </cell>
          <cell r="E198">
            <v>45883.796527777777</v>
          </cell>
        </row>
        <row r="199">
          <cell r="A199">
            <v>8636224352</v>
          </cell>
          <cell r="B199">
            <v>10636148940</v>
          </cell>
          <cell r="C199" t="str">
            <v>null</v>
          </cell>
          <cell r="D199" t="str">
            <v>null</v>
          </cell>
          <cell r="E199">
            <v>45897.531944444447</v>
          </cell>
        </row>
        <row r="200">
          <cell r="A200">
            <v>8632082388</v>
          </cell>
          <cell r="B200">
            <v>10632007051</v>
          </cell>
          <cell r="C200" t="str">
            <v>null</v>
          </cell>
          <cell r="D200" t="str">
            <v>null</v>
          </cell>
          <cell r="E200">
            <v>45894.452777777777</v>
          </cell>
        </row>
        <row r="201">
          <cell r="A201">
            <v>8650648101</v>
          </cell>
          <cell r="B201">
            <v>10650572360</v>
          </cell>
          <cell r="C201" t="str">
            <v>null</v>
          </cell>
          <cell r="D201" t="str">
            <v>null</v>
          </cell>
          <cell r="E201">
            <v>45906.475694444445</v>
          </cell>
        </row>
        <row r="202">
          <cell r="A202">
            <v>8618668909</v>
          </cell>
          <cell r="B202">
            <v>10618594201</v>
          </cell>
          <cell r="C202" t="str">
            <v>null</v>
          </cell>
          <cell r="D202" t="str">
            <v>null</v>
          </cell>
          <cell r="E202">
            <v>45888.475694444445</v>
          </cell>
        </row>
        <row r="203">
          <cell r="A203">
            <v>8603486464</v>
          </cell>
          <cell r="B203">
            <v>10603412408</v>
          </cell>
          <cell r="C203" t="str">
            <v>null</v>
          </cell>
          <cell r="D203" t="str">
            <v>null</v>
          </cell>
          <cell r="E203">
            <v>45875.537499999999</v>
          </cell>
        </row>
        <row r="204">
          <cell r="A204">
            <v>8657028777</v>
          </cell>
          <cell r="B204">
            <v>10656952898</v>
          </cell>
          <cell r="C204" t="str">
            <v>null</v>
          </cell>
          <cell r="D204" t="str">
            <v>null</v>
          </cell>
          <cell r="E204">
            <v>45909.456250000003</v>
          </cell>
        </row>
        <row r="205">
          <cell r="A205">
            <v>8635637442</v>
          </cell>
          <cell r="B205">
            <v>10635562062</v>
          </cell>
          <cell r="C205" t="str">
            <v>null</v>
          </cell>
          <cell r="D205" t="str">
            <v>null</v>
          </cell>
          <cell r="E205">
            <v>45897.440972222219</v>
          </cell>
        </row>
        <row r="206">
          <cell r="A206">
            <v>8659204086</v>
          </cell>
          <cell r="B206">
            <v>10659128180</v>
          </cell>
          <cell r="C206" t="str">
            <v>null</v>
          </cell>
          <cell r="D206" t="str">
            <v>null</v>
          </cell>
          <cell r="E206">
            <v>45910.774305555555</v>
          </cell>
        </row>
        <row r="207">
          <cell r="A207">
            <v>8622201619</v>
          </cell>
          <cell r="B207">
            <v>10622126692</v>
          </cell>
          <cell r="C207" t="str">
            <v>null</v>
          </cell>
          <cell r="D207" t="str">
            <v>null</v>
          </cell>
          <cell r="E207">
            <v>45887.75277777778</v>
          </cell>
        </row>
        <row r="208">
          <cell r="A208">
            <v>8632532798</v>
          </cell>
          <cell r="B208">
            <v>10632457450</v>
          </cell>
          <cell r="C208" t="str">
            <v>null</v>
          </cell>
          <cell r="D208" t="str">
            <v>null</v>
          </cell>
          <cell r="E208">
            <v>45894.452777777777</v>
          </cell>
        </row>
        <row r="209">
          <cell r="A209">
            <v>8626412492</v>
          </cell>
          <cell r="B209">
            <v>10626337379</v>
          </cell>
          <cell r="C209" t="str">
            <v>null</v>
          </cell>
          <cell r="D209" t="str">
            <v>null</v>
          </cell>
          <cell r="E209">
            <v>45890.791666666664</v>
          </cell>
        </row>
        <row r="210">
          <cell r="A210">
            <v>8628375004</v>
          </cell>
          <cell r="B210">
            <v>10628299850</v>
          </cell>
          <cell r="C210" t="str">
            <v>null</v>
          </cell>
          <cell r="D210" t="str">
            <v>null</v>
          </cell>
          <cell r="E210">
            <v>45891.542361111111</v>
          </cell>
        </row>
        <row r="211">
          <cell r="A211">
            <v>8643430473</v>
          </cell>
          <cell r="B211">
            <v>10643354889</v>
          </cell>
          <cell r="C211" t="str">
            <v>null</v>
          </cell>
          <cell r="D211" t="str">
            <v>null</v>
          </cell>
          <cell r="E211">
            <v>45902.448611111111</v>
          </cell>
        </row>
        <row r="212">
          <cell r="A212">
            <v>8634260648</v>
          </cell>
          <cell r="B212">
            <v>10634185260</v>
          </cell>
          <cell r="C212" t="str">
            <v>null</v>
          </cell>
          <cell r="D212" t="str">
            <v>null</v>
          </cell>
          <cell r="E212">
            <v>45895.786805555559</v>
          </cell>
        </row>
        <row r="213">
          <cell r="A213">
            <v>8647113461</v>
          </cell>
          <cell r="B213">
            <v>10647037831</v>
          </cell>
          <cell r="C213" t="str">
            <v>null</v>
          </cell>
          <cell r="D213" t="str">
            <v>null</v>
          </cell>
          <cell r="E213">
            <v>45904.486805555556</v>
          </cell>
        </row>
        <row r="214">
          <cell r="A214">
            <v>8665279897</v>
          </cell>
          <cell r="B214">
            <v>10665203941</v>
          </cell>
          <cell r="C214" t="str">
            <v>null</v>
          </cell>
          <cell r="D214" t="str">
            <v>null</v>
          </cell>
          <cell r="E214">
            <v>45913.450694444444</v>
          </cell>
        </row>
        <row r="215">
          <cell r="A215">
            <v>8622099781</v>
          </cell>
          <cell r="B215">
            <v>10622024856</v>
          </cell>
          <cell r="C215" t="str">
            <v>null</v>
          </cell>
          <cell r="D215" t="str">
            <v>null</v>
          </cell>
          <cell r="E215">
            <v>45887.563194444447</v>
          </cell>
        </row>
        <row r="216">
          <cell r="A216">
            <v>8638232224</v>
          </cell>
          <cell r="B216">
            <v>10638156740</v>
          </cell>
          <cell r="C216" t="str">
            <v>null</v>
          </cell>
          <cell r="D216" t="str">
            <v>null</v>
          </cell>
          <cell r="E216">
            <v>45899.442361111112</v>
          </cell>
        </row>
        <row r="217">
          <cell r="A217">
            <v>8615996506</v>
          </cell>
          <cell r="B217">
            <v>10615921925</v>
          </cell>
          <cell r="C217" t="str">
            <v>null</v>
          </cell>
          <cell r="D217" t="str">
            <v>null</v>
          </cell>
          <cell r="E217">
            <v>45883.446527777778</v>
          </cell>
        </row>
        <row r="218">
          <cell r="A218">
            <v>8621926796</v>
          </cell>
          <cell r="B218">
            <v>10621851882</v>
          </cell>
          <cell r="C218" t="str">
            <v>null</v>
          </cell>
          <cell r="D218" t="str">
            <v>null</v>
          </cell>
          <cell r="E218">
            <v>45887.452777777777</v>
          </cell>
        </row>
        <row r="219">
          <cell r="A219">
            <v>8648759871</v>
          </cell>
          <cell r="B219">
            <v>10648684177</v>
          </cell>
          <cell r="C219" t="str">
            <v>null</v>
          </cell>
          <cell r="D219" t="str">
            <v>null</v>
          </cell>
          <cell r="E219">
            <v>45905.450694444444</v>
          </cell>
        </row>
        <row r="220">
          <cell r="A220">
            <v>8634912774</v>
          </cell>
          <cell r="B220">
            <v>10634837386</v>
          </cell>
          <cell r="C220" t="str">
            <v>null</v>
          </cell>
          <cell r="D220" t="str">
            <v>null</v>
          </cell>
          <cell r="E220">
            <v>45897.440972222219</v>
          </cell>
        </row>
        <row r="221">
          <cell r="A221">
            <v>8613805161</v>
          </cell>
          <cell r="B221">
            <v>10613730709</v>
          </cell>
          <cell r="C221" t="str">
            <v>null</v>
          </cell>
          <cell r="D221" t="str">
            <v>null</v>
          </cell>
          <cell r="E221">
            <v>45881.771527777775</v>
          </cell>
        </row>
        <row r="222">
          <cell r="A222">
            <v>8596386099</v>
          </cell>
          <cell r="B222">
            <v>10596312511</v>
          </cell>
          <cell r="C222" t="str">
            <v>null</v>
          </cell>
          <cell r="D222" t="str">
            <v>null</v>
          </cell>
          <cell r="E222">
            <v>45873.455555555556</v>
          </cell>
        </row>
        <row r="223">
          <cell r="A223">
            <v>8642584889</v>
          </cell>
          <cell r="B223">
            <v>10642509324</v>
          </cell>
          <cell r="C223" t="str">
            <v>null</v>
          </cell>
          <cell r="D223" t="str">
            <v>null</v>
          </cell>
          <cell r="E223">
            <v>45901.785416666666</v>
          </cell>
        </row>
        <row r="224">
          <cell r="A224">
            <v>8625651297</v>
          </cell>
          <cell r="B224">
            <v>10625576200</v>
          </cell>
          <cell r="C224" t="str">
            <v>null</v>
          </cell>
          <cell r="D224" t="str">
            <v>null</v>
          </cell>
          <cell r="E224">
            <v>45890.458333333336</v>
          </cell>
        </row>
        <row r="225">
          <cell r="A225">
            <v>8642884331</v>
          </cell>
          <cell r="B225">
            <v>10642808759</v>
          </cell>
          <cell r="C225" t="str">
            <v>null</v>
          </cell>
          <cell r="D225" t="str">
            <v>null</v>
          </cell>
          <cell r="E225">
            <v>45902.448611111111</v>
          </cell>
        </row>
        <row r="226">
          <cell r="A226">
            <v>8632319068</v>
          </cell>
          <cell r="B226">
            <v>10632243727</v>
          </cell>
          <cell r="C226" t="str">
            <v>null</v>
          </cell>
          <cell r="D226" t="str">
            <v>null</v>
          </cell>
          <cell r="E226">
            <v>45894.452777777777</v>
          </cell>
        </row>
        <row r="227">
          <cell r="A227">
            <v>8622701191</v>
          </cell>
          <cell r="B227">
            <v>10622626220</v>
          </cell>
          <cell r="C227" t="str">
            <v>null</v>
          </cell>
          <cell r="D227" t="str">
            <v>null</v>
          </cell>
          <cell r="E227">
            <v>45888.475694444445</v>
          </cell>
        </row>
        <row r="228">
          <cell r="A228">
            <v>8653424809</v>
          </cell>
          <cell r="B228">
            <v>10653349048</v>
          </cell>
          <cell r="C228" t="str">
            <v>null</v>
          </cell>
          <cell r="D228" t="str">
            <v>null</v>
          </cell>
          <cell r="E228">
            <v>45908.48333333333</v>
          </cell>
        </row>
        <row r="229">
          <cell r="A229">
            <v>8594583529</v>
          </cell>
          <cell r="B229">
            <v>10594509996</v>
          </cell>
          <cell r="C229" t="str">
            <v>null</v>
          </cell>
          <cell r="D229" t="str">
            <v>null</v>
          </cell>
          <cell r="E229">
            <v>45871.440972222219</v>
          </cell>
        </row>
        <row r="230">
          <cell r="A230">
            <v>8629218604</v>
          </cell>
          <cell r="B230">
            <v>10629143432</v>
          </cell>
          <cell r="C230" t="str">
            <v>null</v>
          </cell>
          <cell r="D230" t="str">
            <v>null</v>
          </cell>
          <cell r="E230">
            <v>45892.432638888888</v>
          </cell>
        </row>
        <row r="231">
          <cell r="A231">
            <v>8612022945</v>
          </cell>
          <cell r="B231">
            <v>10611948561</v>
          </cell>
          <cell r="C231" t="str">
            <v>null</v>
          </cell>
          <cell r="D231" t="str">
            <v>null</v>
          </cell>
          <cell r="E231">
            <v>45880.772916666669</v>
          </cell>
        </row>
        <row r="232">
          <cell r="A232">
            <v>8622272769</v>
          </cell>
          <cell r="B232">
            <v>10622197842</v>
          </cell>
          <cell r="C232" t="str">
            <v>null</v>
          </cell>
          <cell r="D232" t="str">
            <v>null</v>
          </cell>
          <cell r="E232">
            <v>45887.75277777778</v>
          </cell>
        </row>
        <row r="233">
          <cell r="A233">
            <v>8628844817</v>
          </cell>
          <cell r="B233">
            <v>10628769655</v>
          </cell>
          <cell r="C233" t="str">
            <v>null</v>
          </cell>
          <cell r="D233" t="str">
            <v>null</v>
          </cell>
          <cell r="E233">
            <v>45891.789583333331</v>
          </cell>
        </row>
        <row r="234">
          <cell r="A234">
            <v>8650825318</v>
          </cell>
          <cell r="B234">
            <v>10650749565</v>
          </cell>
          <cell r="C234" t="str">
            <v>null</v>
          </cell>
          <cell r="D234" t="str">
            <v>null</v>
          </cell>
          <cell r="E234">
            <v>45906.475694444445</v>
          </cell>
        </row>
        <row r="235">
          <cell r="A235">
            <v>8619132751</v>
          </cell>
          <cell r="B235">
            <v>10619057977</v>
          </cell>
          <cell r="C235" t="str">
            <v>null</v>
          </cell>
          <cell r="D235" t="str">
            <v>null</v>
          </cell>
          <cell r="E235">
            <v>45885.463194444441</v>
          </cell>
        </row>
        <row r="236">
          <cell r="A236">
            <v>8598520386</v>
          </cell>
          <cell r="B236">
            <v>10598446672</v>
          </cell>
          <cell r="C236" t="str">
            <v>null</v>
          </cell>
          <cell r="D236" t="str">
            <v>null</v>
          </cell>
          <cell r="E236">
            <v>45873.455555555556</v>
          </cell>
        </row>
        <row r="237">
          <cell r="A237">
            <v>8640221165</v>
          </cell>
          <cell r="B237">
            <v>10640145659</v>
          </cell>
          <cell r="C237" t="str">
            <v>null</v>
          </cell>
          <cell r="D237" t="str">
            <v>null</v>
          </cell>
          <cell r="E237">
            <v>45900.693749999999</v>
          </cell>
        </row>
        <row r="238">
          <cell r="A238">
            <v>8638580090</v>
          </cell>
          <cell r="B238">
            <v>10638504599</v>
          </cell>
          <cell r="C238" t="str">
            <v>null</v>
          </cell>
          <cell r="D238" t="str">
            <v>null</v>
          </cell>
          <cell r="E238">
            <v>45899.442361111112</v>
          </cell>
        </row>
        <row r="239">
          <cell r="A239">
            <v>8614786485</v>
          </cell>
          <cell r="B239">
            <v>10614711966</v>
          </cell>
          <cell r="C239" t="str">
            <v>null</v>
          </cell>
          <cell r="D239" t="str">
            <v>null</v>
          </cell>
          <cell r="E239">
            <v>45882.453472222223</v>
          </cell>
        </row>
        <row r="240">
          <cell r="A240">
            <v>8650143286</v>
          </cell>
          <cell r="B240">
            <v>10650067591</v>
          </cell>
          <cell r="C240" t="str">
            <v>null</v>
          </cell>
          <cell r="D240" t="str">
            <v>null</v>
          </cell>
          <cell r="E240">
            <v>45905.805555555555</v>
          </cell>
        </row>
        <row r="241">
          <cell r="A241">
            <v>8655246903</v>
          </cell>
          <cell r="B241">
            <v>10655171085</v>
          </cell>
          <cell r="C241" t="str">
            <v>null</v>
          </cell>
          <cell r="D241" t="str">
            <v>null</v>
          </cell>
          <cell r="E241">
            <v>45908.48333333333</v>
          </cell>
        </row>
        <row r="242">
          <cell r="A242">
            <v>8642965422</v>
          </cell>
          <cell r="B242">
            <v>10642889864</v>
          </cell>
          <cell r="C242" t="str">
            <v>null</v>
          </cell>
          <cell r="D242" t="str">
            <v>null</v>
          </cell>
          <cell r="E242">
            <v>45902.448611111111</v>
          </cell>
        </row>
        <row r="243">
          <cell r="A243">
            <v>8649864856</v>
          </cell>
          <cell r="B243">
            <v>10649789160</v>
          </cell>
          <cell r="C243" t="str">
            <v>null</v>
          </cell>
          <cell r="D243" t="str">
            <v>null</v>
          </cell>
          <cell r="E243">
            <v>45905.578472222223</v>
          </cell>
        </row>
        <row r="244">
          <cell r="A244">
            <v>8657183923</v>
          </cell>
          <cell r="B244">
            <v>10657108042</v>
          </cell>
          <cell r="C244" t="str">
            <v>null</v>
          </cell>
          <cell r="D244" t="str">
            <v>null</v>
          </cell>
          <cell r="E244">
            <v>45909.456250000003</v>
          </cell>
        </row>
        <row r="245">
          <cell r="A245">
            <v>8630036288</v>
          </cell>
          <cell r="B245">
            <v>10629961062</v>
          </cell>
          <cell r="C245" t="str">
            <v>null</v>
          </cell>
          <cell r="D245" t="str">
            <v>null</v>
          </cell>
          <cell r="E245">
            <v>45892.679861111108</v>
          </cell>
        </row>
        <row r="246">
          <cell r="A246">
            <v>8617829141</v>
          </cell>
          <cell r="B246">
            <v>10617754453</v>
          </cell>
          <cell r="C246" t="str">
            <v>null</v>
          </cell>
          <cell r="D246" t="str">
            <v>null</v>
          </cell>
          <cell r="E246">
            <v>45888.475694444445</v>
          </cell>
        </row>
        <row r="247">
          <cell r="A247">
            <v>8624683466</v>
          </cell>
          <cell r="B247">
            <v>10624608408</v>
          </cell>
          <cell r="C247" t="str">
            <v>null</v>
          </cell>
          <cell r="D247" t="str">
            <v>null</v>
          </cell>
          <cell r="E247">
            <v>45889.78125</v>
          </cell>
        </row>
        <row r="248">
          <cell r="A248">
            <v>8635171830</v>
          </cell>
          <cell r="B248">
            <v>10635096444</v>
          </cell>
          <cell r="C248" t="str">
            <v>null</v>
          </cell>
          <cell r="D248" t="str">
            <v>null</v>
          </cell>
          <cell r="E248">
            <v>45897.440972222219</v>
          </cell>
        </row>
        <row r="249">
          <cell r="A249">
            <v>8613771637</v>
          </cell>
          <cell r="B249">
            <v>10613697190</v>
          </cell>
          <cell r="C249" t="str">
            <v>null</v>
          </cell>
          <cell r="D249" t="str">
            <v>null</v>
          </cell>
          <cell r="E249">
            <v>45881.771527777775</v>
          </cell>
        </row>
        <row r="250">
          <cell r="A250">
            <v>8624909764</v>
          </cell>
          <cell r="B250">
            <v>10624834701</v>
          </cell>
          <cell r="C250" t="str">
            <v>null</v>
          </cell>
          <cell r="D250" t="str">
            <v>null</v>
          </cell>
          <cell r="E250">
            <v>45889.78125</v>
          </cell>
        </row>
        <row r="251">
          <cell r="A251">
            <v>8642873485</v>
          </cell>
          <cell r="B251">
            <v>10642797913</v>
          </cell>
          <cell r="C251" t="str">
            <v>null</v>
          </cell>
          <cell r="D251" t="str">
            <v>null</v>
          </cell>
          <cell r="E251">
            <v>45902.448611111111</v>
          </cell>
        </row>
        <row r="252">
          <cell r="A252">
            <v>8622999029</v>
          </cell>
          <cell r="B252">
            <v>10622924043</v>
          </cell>
          <cell r="C252" t="str">
            <v>null</v>
          </cell>
          <cell r="D252" t="str">
            <v>null</v>
          </cell>
          <cell r="E252">
            <v>45888.475694444445</v>
          </cell>
        </row>
        <row r="253">
          <cell r="A253">
            <v>8658713369</v>
          </cell>
          <cell r="B253">
            <v>10658637472</v>
          </cell>
          <cell r="C253" t="str">
            <v>null</v>
          </cell>
          <cell r="D253" t="str">
            <v>null</v>
          </cell>
          <cell r="E253">
            <v>45910.459722222222</v>
          </cell>
        </row>
        <row r="254">
          <cell r="A254">
            <v>8627097597</v>
          </cell>
          <cell r="B254">
            <v>10627022444</v>
          </cell>
          <cell r="C254" t="str">
            <v>null</v>
          </cell>
          <cell r="D254" t="str">
            <v>null</v>
          </cell>
          <cell r="E254">
            <v>45891.470833333333</v>
          </cell>
        </row>
        <row r="255">
          <cell r="A255">
            <v>8647895633</v>
          </cell>
          <cell r="B255">
            <v>10647820003</v>
          </cell>
          <cell r="C255" t="str">
            <v>null</v>
          </cell>
          <cell r="D255" t="str">
            <v>null</v>
          </cell>
          <cell r="E255">
            <v>45904.486805555556</v>
          </cell>
        </row>
        <row r="256">
          <cell r="A256">
            <v>8652499305</v>
          </cell>
          <cell r="B256">
            <v>10652423543</v>
          </cell>
          <cell r="C256" t="str">
            <v>null</v>
          </cell>
          <cell r="D256" t="str">
            <v>null</v>
          </cell>
          <cell r="E256">
            <v>45906.671527777777</v>
          </cell>
        </row>
        <row r="257">
          <cell r="A257">
            <v>8641175399</v>
          </cell>
          <cell r="B257">
            <v>10641099843</v>
          </cell>
          <cell r="C257" t="str">
            <v>null</v>
          </cell>
          <cell r="D257" t="str">
            <v>null</v>
          </cell>
          <cell r="E257">
            <v>45901.459027777775</v>
          </cell>
        </row>
        <row r="258">
          <cell r="A258">
            <v>8639253705</v>
          </cell>
          <cell r="B258">
            <v>10639178208</v>
          </cell>
          <cell r="C258" t="str">
            <v>null</v>
          </cell>
          <cell r="D258" t="str">
            <v>null</v>
          </cell>
          <cell r="E258">
            <v>45899.763888888891</v>
          </cell>
        </row>
        <row r="259">
          <cell r="A259">
            <v>8642965423</v>
          </cell>
          <cell r="B259">
            <v>10642889865</v>
          </cell>
          <cell r="C259" t="str">
            <v>null</v>
          </cell>
          <cell r="D259" t="str">
            <v>null</v>
          </cell>
          <cell r="E259">
            <v>45902.448611111111</v>
          </cell>
        </row>
        <row r="260">
          <cell r="A260">
            <v>8648630547</v>
          </cell>
          <cell r="B260">
            <v>10648554853</v>
          </cell>
          <cell r="C260" t="str">
            <v>null</v>
          </cell>
          <cell r="D260" t="str">
            <v>null</v>
          </cell>
          <cell r="E260">
            <v>45904.818749999999</v>
          </cell>
        </row>
        <row r="261">
          <cell r="A261">
            <v>8616941569</v>
          </cell>
          <cell r="B261">
            <v>10616866914</v>
          </cell>
          <cell r="C261" t="str">
            <v>null</v>
          </cell>
          <cell r="D261" t="str">
            <v>null</v>
          </cell>
          <cell r="E261">
            <v>45883.799305555556</v>
          </cell>
        </row>
        <row r="262">
          <cell r="A262">
            <v>8656641164</v>
          </cell>
          <cell r="B262">
            <v>10656565297</v>
          </cell>
          <cell r="C262" t="str">
            <v>null</v>
          </cell>
          <cell r="D262" t="str">
            <v>null</v>
          </cell>
          <cell r="E262">
            <v>45909.456250000003</v>
          </cell>
        </row>
        <row r="263">
          <cell r="A263">
            <v>8640417637</v>
          </cell>
          <cell r="B263">
            <v>10640342121</v>
          </cell>
          <cell r="C263" t="str">
            <v>null</v>
          </cell>
          <cell r="D263" t="str">
            <v>null</v>
          </cell>
          <cell r="E263">
            <v>45900.693749999999</v>
          </cell>
        </row>
        <row r="264">
          <cell r="A264">
            <v>8637571130</v>
          </cell>
          <cell r="B264">
            <v>10637495658</v>
          </cell>
          <cell r="C264" t="str">
            <v>null</v>
          </cell>
          <cell r="D264" t="str">
            <v>null</v>
          </cell>
          <cell r="E264">
            <v>45898.775000000001</v>
          </cell>
        </row>
        <row r="265">
          <cell r="A265">
            <v>8618096250</v>
          </cell>
          <cell r="B265">
            <v>10618021560</v>
          </cell>
          <cell r="C265" t="str">
            <v>null</v>
          </cell>
          <cell r="D265" t="str">
            <v>null</v>
          </cell>
          <cell r="E265">
            <v>45885.463194444441</v>
          </cell>
        </row>
        <row r="266">
          <cell r="A266">
            <v>8626206228</v>
          </cell>
          <cell r="B266">
            <v>10626131121</v>
          </cell>
          <cell r="C266" t="str">
            <v>null</v>
          </cell>
          <cell r="D266" t="str">
            <v>null</v>
          </cell>
          <cell r="E266">
            <v>45890.655555555553</v>
          </cell>
        </row>
        <row r="267">
          <cell r="A267">
            <v>8639701061</v>
          </cell>
          <cell r="B267">
            <v>10639625556</v>
          </cell>
          <cell r="C267" t="str">
            <v>null</v>
          </cell>
          <cell r="D267" t="str">
            <v>null</v>
          </cell>
          <cell r="E267">
            <v>45900.458333333336</v>
          </cell>
        </row>
        <row r="268">
          <cell r="A268">
            <v>8644828432</v>
          </cell>
          <cell r="B268">
            <v>10644752854</v>
          </cell>
          <cell r="C268" t="str">
            <v>null</v>
          </cell>
          <cell r="D268" t="str">
            <v>null</v>
          </cell>
          <cell r="E268">
            <v>45903.465277777781</v>
          </cell>
        </row>
        <row r="269">
          <cell r="A269">
            <v>8639764517</v>
          </cell>
          <cell r="B269">
            <v>10639689014</v>
          </cell>
          <cell r="C269" t="str">
            <v>null</v>
          </cell>
          <cell r="D269" t="str">
            <v>null</v>
          </cell>
          <cell r="E269">
            <v>45900.458333333336</v>
          </cell>
        </row>
        <row r="270">
          <cell r="A270">
            <v>8631678076</v>
          </cell>
          <cell r="B270">
            <v>10631602773</v>
          </cell>
          <cell r="C270" t="str">
            <v>null</v>
          </cell>
          <cell r="D270" t="str">
            <v>null</v>
          </cell>
          <cell r="E270">
            <v>45894.452777777777</v>
          </cell>
        </row>
        <row r="271">
          <cell r="A271">
            <v>8640576578</v>
          </cell>
          <cell r="B271">
            <v>10640501042</v>
          </cell>
          <cell r="C271" t="str">
            <v>null</v>
          </cell>
          <cell r="D271" t="str">
            <v>null</v>
          </cell>
          <cell r="E271">
            <v>45900.693749999999</v>
          </cell>
        </row>
        <row r="272">
          <cell r="A272">
            <v>8633202707</v>
          </cell>
          <cell r="B272">
            <v>10633127337</v>
          </cell>
          <cell r="C272" t="str">
            <v>null</v>
          </cell>
          <cell r="D272" t="str">
            <v>null</v>
          </cell>
          <cell r="E272">
            <v>45894.824305555558</v>
          </cell>
        </row>
        <row r="273">
          <cell r="A273">
            <v>8613337691</v>
          </cell>
          <cell r="B273">
            <v>10613263268</v>
          </cell>
          <cell r="C273" t="str">
            <v>null</v>
          </cell>
          <cell r="D273" t="str">
            <v>null</v>
          </cell>
          <cell r="E273">
            <v>45881.472222222219</v>
          </cell>
        </row>
        <row r="274">
          <cell r="A274">
            <v>8631713530</v>
          </cell>
          <cell r="B274">
            <v>10631638221</v>
          </cell>
          <cell r="C274" t="str">
            <v>null</v>
          </cell>
          <cell r="D274" t="str">
            <v>null</v>
          </cell>
          <cell r="E274">
            <v>45894.452777777777</v>
          </cell>
        </row>
        <row r="275">
          <cell r="A275">
            <v>8656567847</v>
          </cell>
          <cell r="B275">
            <v>10656491979</v>
          </cell>
          <cell r="C275" t="str">
            <v>null</v>
          </cell>
          <cell r="D275" t="str">
            <v>null</v>
          </cell>
          <cell r="E275">
            <v>45909.456250000003</v>
          </cell>
        </row>
        <row r="276">
          <cell r="A276">
            <v>8643130128</v>
          </cell>
          <cell r="B276">
            <v>10643054557</v>
          </cell>
          <cell r="C276" t="str">
            <v>null</v>
          </cell>
          <cell r="D276" t="str">
            <v>null</v>
          </cell>
          <cell r="E276">
            <v>45902.448611111111</v>
          </cell>
        </row>
        <row r="277">
          <cell r="A277">
            <v>8635414105</v>
          </cell>
          <cell r="B277">
            <v>10635338721</v>
          </cell>
          <cell r="C277" t="str">
            <v>null</v>
          </cell>
          <cell r="D277" t="str">
            <v>null</v>
          </cell>
          <cell r="E277">
            <v>45897.440972222219</v>
          </cell>
        </row>
        <row r="278">
          <cell r="A278">
            <v>8645076729</v>
          </cell>
          <cell r="B278">
            <v>10645001152</v>
          </cell>
          <cell r="C278" t="str">
            <v>null</v>
          </cell>
          <cell r="D278" t="str">
            <v>null</v>
          </cell>
          <cell r="E278">
            <v>45903.465277777781</v>
          </cell>
        </row>
        <row r="279">
          <cell r="A279">
            <v>8615659103</v>
          </cell>
          <cell r="B279">
            <v>10615584548</v>
          </cell>
          <cell r="C279" t="str">
            <v>null</v>
          </cell>
          <cell r="D279" t="str">
            <v>null</v>
          </cell>
          <cell r="E279">
            <v>45883.446527777778</v>
          </cell>
        </row>
        <row r="280">
          <cell r="A280">
            <v>8657127242</v>
          </cell>
          <cell r="B280">
            <v>10657051361</v>
          </cell>
          <cell r="C280" t="str">
            <v>null</v>
          </cell>
          <cell r="D280" t="str">
            <v>null</v>
          </cell>
          <cell r="E280">
            <v>45909.456250000003</v>
          </cell>
        </row>
        <row r="281">
          <cell r="A281">
            <v>8624711194</v>
          </cell>
          <cell r="B281">
            <v>10624636136</v>
          </cell>
          <cell r="C281" t="str">
            <v>null</v>
          </cell>
          <cell r="D281" t="str">
            <v>null</v>
          </cell>
          <cell r="E281">
            <v>45889.78125</v>
          </cell>
        </row>
        <row r="282">
          <cell r="A282">
            <v>8623225789</v>
          </cell>
          <cell r="B282">
            <v>10623150789</v>
          </cell>
          <cell r="C282" t="str">
            <v>null</v>
          </cell>
          <cell r="D282" t="str">
            <v>null</v>
          </cell>
          <cell r="E282">
            <v>45888.475694444445</v>
          </cell>
        </row>
        <row r="283">
          <cell r="A283">
            <v>8629194974</v>
          </cell>
          <cell r="B283">
            <v>10629119802</v>
          </cell>
          <cell r="C283" t="str">
            <v>null</v>
          </cell>
          <cell r="D283" t="str">
            <v>null</v>
          </cell>
          <cell r="E283">
            <v>45892.432638888888</v>
          </cell>
        </row>
        <row r="284">
          <cell r="A284">
            <v>8630654919</v>
          </cell>
          <cell r="B284">
            <v>10630579630</v>
          </cell>
          <cell r="C284" t="str">
            <v>null</v>
          </cell>
          <cell r="D284" t="str">
            <v>null</v>
          </cell>
          <cell r="E284">
            <v>45894.452777777777</v>
          </cell>
        </row>
        <row r="285">
          <cell r="A285">
            <v>8626971555</v>
          </cell>
          <cell r="B285">
            <v>10626896416</v>
          </cell>
          <cell r="C285" t="str">
            <v>null</v>
          </cell>
          <cell r="D285" t="str">
            <v>null</v>
          </cell>
          <cell r="E285">
            <v>45891.470833333333</v>
          </cell>
        </row>
        <row r="286">
          <cell r="A286">
            <v>8641458109</v>
          </cell>
          <cell r="B286">
            <v>10641382547</v>
          </cell>
          <cell r="C286" t="str">
            <v>null</v>
          </cell>
          <cell r="D286" t="str">
            <v>null</v>
          </cell>
          <cell r="E286">
            <v>45901.459027777775</v>
          </cell>
        </row>
        <row r="287">
          <cell r="A287">
            <v>8638752799</v>
          </cell>
          <cell r="B287">
            <v>10638677311</v>
          </cell>
          <cell r="C287" t="str">
            <v>null</v>
          </cell>
          <cell r="D287" t="str">
            <v>null</v>
          </cell>
          <cell r="E287">
            <v>45899.54791666667</v>
          </cell>
        </row>
        <row r="288">
          <cell r="A288">
            <v>8649750336</v>
          </cell>
          <cell r="B288">
            <v>10649674640</v>
          </cell>
          <cell r="C288" t="str">
            <v>null</v>
          </cell>
          <cell r="D288" t="str">
            <v>null</v>
          </cell>
          <cell r="E288">
            <v>45905.57916666667</v>
          </cell>
        </row>
        <row r="289">
          <cell r="A289">
            <v>8655200769</v>
          </cell>
          <cell r="B289">
            <v>10655124951</v>
          </cell>
          <cell r="C289" t="str">
            <v>null</v>
          </cell>
          <cell r="D289" t="str">
            <v>null</v>
          </cell>
          <cell r="E289">
            <v>45908.48333333333</v>
          </cell>
        </row>
        <row r="290">
          <cell r="A290">
            <v>8646617700</v>
          </cell>
          <cell r="B290">
            <v>10646542082</v>
          </cell>
          <cell r="C290" t="str">
            <v>null</v>
          </cell>
          <cell r="D290" t="str">
            <v>null</v>
          </cell>
          <cell r="E290">
            <v>45904.486805555556</v>
          </cell>
        </row>
        <row r="291">
          <cell r="A291">
            <v>8625548146</v>
          </cell>
          <cell r="B291">
            <v>10625473049</v>
          </cell>
          <cell r="C291" t="str">
            <v>null</v>
          </cell>
          <cell r="D291" t="str">
            <v>null</v>
          </cell>
          <cell r="E291">
            <v>45890.458333333336</v>
          </cell>
        </row>
        <row r="292">
          <cell r="A292">
            <v>8630231099</v>
          </cell>
          <cell r="B292">
            <v>10630155843</v>
          </cell>
          <cell r="C292" t="str">
            <v>null</v>
          </cell>
          <cell r="D292" t="str">
            <v>null</v>
          </cell>
          <cell r="E292">
            <v>45892.800694444442</v>
          </cell>
        </row>
        <row r="293">
          <cell r="A293">
            <v>8660566214</v>
          </cell>
          <cell r="B293">
            <v>10660490283</v>
          </cell>
          <cell r="C293" t="str">
            <v>null</v>
          </cell>
          <cell r="D293" t="str">
            <v>null</v>
          </cell>
          <cell r="E293">
            <v>45911.459027777775</v>
          </cell>
        </row>
        <row r="294">
          <cell r="A294">
            <v>8626239043</v>
          </cell>
          <cell r="B294">
            <v>10626163936</v>
          </cell>
          <cell r="C294" t="str">
            <v>null</v>
          </cell>
          <cell r="D294" t="str">
            <v>null</v>
          </cell>
          <cell r="E294">
            <v>45890.655555555553</v>
          </cell>
        </row>
        <row r="295">
          <cell r="A295">
            <v>8649151095</v>
          </cell>
          <cell r="B295">
            <v>10649075395</v>
          </cell>
          <cell r="C295" t="str">
            <v>null</v>
          </cell>
          <cell r="D295" t="str">
            <v>null</v>
          </cell>
          <cell r="E295">
            <v>45905.450694444444</v>
          </cell>
        </row>
        <row r="296">
          <cell r="A296">
            <v>8639335995</v>
          </cell>
          <cell r="B296">
            <v>10639260496</v>
          </cell>
          <cell r="C296" t="str">
            <v>null</v>
          </cell>
          <cell r="D296" t="str">
            <v>null</v>
          </cell>
          <cell r="E296">
            <v>45900.458333333336</v>
          </cell>
        </row>
        <row r="297">
          <cell r="A297">
            <v>8642584741</v>
          </cell>
          <cell r="B297">
            <v>10642509176</v>
          </cell>
          <cell r="C297" t="str">
            <v>null</v>
          </cell>
          <cell r="D297" t="str">
            <v>null</v>
          </cell>
          <cell r="E297">
            <v>45901.785416666666</v>
          </cell>
        </row>
        <row r="298">
          <cell r="A298">
            <v>8658171088</v>
          </cell>
          <cell r="B298">
            <v>10658095206</v>
          </cell>
          <cell r="C298" t="str">
            <v>null</v>
          </cell>
          <cell r="D298" t="str">
            <v>null</v>
          </cell>
          <cell r="E298">
            <v>45910.459722222222</v>
          </cell>
        </row>
        <row r="299">
          <cell r="A299">
            <v>8657990645</v>
          </cell>
          <cell r="B299">
            <v>10657914764</v>
          </cell>
          <cell r="C299" t="str">
            <v>null</v>
          </cell>
          <cell r="D299" t="str">
            <v>null</v>
          </cell>
          <cell r="E299">
            <v>45910.459722222222</v>
          </cell>
        </row>
        <row r="300">
          <cell r="A300">
            <v>8650725377</v>
          </cell>
          <cell r="B300">
            <v>10650649636</v>
          </cell>
          <cell r="C300" t="str">
            <v>null</v>
          </cell>
          <cell r="D300" t="str">
            <v>null</v>
          </cell>
          <cell r="E300">
            <v>45906.475694444445</v>
          </cell>
        </row>
        <row r="301">
          <cell r="A301">
            <v>8643967266</v>
          </cell>
          <cell r="B301">
            <v>10643891687</v>
          </cell>
          <cell r="C301" t="str">
            <v>null</v>
          </cell>
          <cell r="D301" t="str">
            <v>null</v>
          </cell>
          <cell r="E301">
            <v>45902.448611111111</v>
          </cell>
        </row>
        <row r="302">
          <cell r="A302">
            <v>8653075542</v>
          </cell>
          <cell r="B302">
            <v>10652999772</v>
          </cell>
          <cell r="C302" t="str">
            <v>null</v>
          </cell>
          <cell r="D302" t="str">
            <v>null</v>
          </cell>
          <cell r="E302">
            <v>45908.48333333333</v>
          </cell>
        </row>
        <row r="303">
          <cell r="A303">
            <v>8644294847</v>
          </cell>
          <cell r="B303">
            <v>10644219268</v>
          </cell>
          <cell r="C303" t="str">
            <v>null</v>
          </cell>
          <cell r="D303" t="str">
            <v>null</v>
          </cell>
          <cell r="E303">
            <v>45902.658333333333</v>
          </cell>
        </row>
        <row r="304">
          <cell r="A304">
            <v>8621653964</v>
          </cell>
          <cell r="B304">
            <v>10621579097</v>
          </cell>
          <cell r="C304" t="str">
            <v>null</v>
          </cell>
          <cell r="D304" t="str">
            <v>null</v>
          </cell>
          <cell r="E304">
            <v>45887.452777777777</v>
          </cell>
        </row>
        <row r="305">
          <cell r="A305">
            <v>8594510488</v>
          </cell>
          <cell r="B305">
            <v>10594436955</v>
          </cell>
          <cell r="C305" t="str">
            <v>null</v>
          </cell>
          <cell r="D305" t="str">
            <v>null</v>
          </cell>
          <cell r="E305">
            <v>45871.440972222219</v>
          </cell>
        </row>
        <row r="306">
          <cell r="A306">
            <v>8615408852</v>
          </cell>
          <cell r="B306">
            <v>10615334311</v>
          </cell>
          <cell r="C306" t="str">
            <v>null</v>
          </cell>
          <cell r="D306" t="str">
            <v>null</v>
          </cell>
          <cell r="E306">
            <v>45882.768750000003</v>
          </cell>
        </row>
        <row r="307">
          <cell r="A307">
            <v>8636288291</v>
          </cell>
          <cell r="B307">
            <v>10636212870</v>
          </cell>
          <cell r="C307" t="str">
            <v>null</v>
          </cell>
          <cell r="D307" t="str">
            <v>null</v>
          </cell>
          <cell r="E307">
            <v>45897.564583333333</v>
          </cell>
        </row>
        <row r="308">
          <cell r="A308">
            <v>8621952556</v>
          </cell>
          <cell r="B308">
            <v>10621877636</v>
          </cell>
          <cell r="C308" t="str">
            <v>null</v>
          </cell>
          <cell r="D308" t="str">
            <v>null</v>
          </cell>
          <cell r="E308">
            <v>45888.475694444445</v>
          </cell>
        </row>
        <row r="309">
          <cell r="A309">
            <v>8617657782</v>
          </cell>
          <cell r="B309">
            <v>10617583110</v>
          </cell>
          <cell r="C309" t="str">
            <v>null</v>
          </cell>
          <cell r="D309" t="str">
            <v>null</v>
          </cell>
          <cell r="E309">
            <v>45888.475694444445</v>
          </cell>
        </row>
        <row r="310">
          <cell r="A310">
            <v>8658003073</v>
          </cell>
          <cell r="B310">
            <v>10657927192</v>
          </cell>
          <cell r="C310" t="str">
            <v>null</v>
          </cell>
          <cell r="D310" t="str">
            <v>null</v>
          </cell>
          <cell r="E310">
            <v>45910.459722222222</v>
          </cell>
        </row>
        <row r="311">
          <cell r="A311">
            <v>8637335371</v>
          </cell>
          <cell r="B311">
            <v>10637259921</v>
          </cell>
          <cell r="C311" t="str">
            <v>null</v>
          </cell>
          <cell r="D311" t="str">
            <v>null</v>
          </cell>
          <cell r="E311">
            <v>45898.45</v>
          </cell>
        </row>
        <row r="312">
          <cell r="A312">
            <v>8636867538</v>
          </cell>
          <cell r="B312">
            <v>10636792114</v>
          </cell>
          <cell r="C312" t="str">
            <v>null</v>
          </cell>
          <cell r="D312" t="str">
            <v>null</v>
          </cell>
          <cell r="E312">
            <v>45898.445138888892</v>
          </cell>
        </row>
        <row r="313">
          <cell r="A313">
            <v>8645334629</v>
          </cell>
          <cell r="B313">
            <v>10645259044</v>
          </cell>
          <cell r="C313" t="str">
            <v>null</v>
          </cell>
          <cell r="D313" t="str">
            <v>null</v>
          </cell>
          <cell r="E313">
            <v>45903.465277777781</v>
          </cell>
        </row>
        <row r="314">
          <cell r="A314">
            <v>8634990032</v>
          </cell>
          <cell r="B314">
            <v>10634914645</v>
          </cell>
          <cell r="C314" t="str">
            <v>null</v>
          </cell>
          <cell r="D314" t="str">
            <v>null</v>
          </cell>
          <cell r="E314">
            <v>45897.440972222219</v>
          </cell>
        </row>
        <row r="315">
          <cell r="A315">
            <v>8616196476</v>
          </cell>
          <cell r="B315">
            <v>10616121871</v>
          </cell>
          <cell r="C315" t="str">
            <v>null</v>
          </cell>
          <cell r="D315" t="str">
            <v>null</v>
          </cell>
          <cell r="E315">
            <v>45883.446527777778</v>
          </cell>
        </row>
        <row r="316">
          <cell r="A316">
            <v>8649077969</v>
          </cell>
          <cell r="B316">
            <v>10649002269</v>
          </cell>
          <cell r="C316" t="str">
            <v>null</v>
          </cell>
          <cell r="D316" t="str">
            <v>null</v>
          </cell>
          <cell r="E316">
            <v>45905.450694444444</v>
          </cell>
        </row>
        <row r="317">
          <cell r="A317">
            <v>8653183954</v>
          </cell>
          <cell r="B317">
            <v>10653108184</v>
          </cell>
          <cell r="C317" t="str">
            <v>null</v>
          </cell>
          <cell r="D317" t="str">
            <v>null</v>
          </cell>
          <cell r="E317">
            <v>45908.48333333333</v>
          </cell>
        </row>
        <row r="318">
          <cell r="A318">
            <v>8626935106</v>
          </cell>
          <cell r="B318">
            <v>10626859973</v>
          </cell>
          <cell r="C318" t="str">
            <v>null</v>
          </cell>
          <cell r="D318" t="str">
            <v>null</v>
          </cell>
          <cell r="E318">
            <v>45891.470833333333</v>
          </cell>
        </row>
        <row r="319">
          <cell r="A319">
            <v>8612608577</v>
          </cell>
          <cell r="B319">
            <v>10612534185</v>
          </cell>
          <cell r="C319" t="str">
            <v>null</v>
          </cell>
          <cell r="D319" t="str">
            <v>null</v>
          </cell>
          <cell r="E319">
            <v>45881.472222222219</v>
          </cell>
        </row>
        <row r="320">
          <cell r="A320">
            <v>8641770468</v>
          </cell>
          <cell r="B320">
            <v>10641694897</v>
          </cell>
          <cell r="C320" t="str">
            <v>null</v>
          </cell>
          <cell r="D320" t="str">
            <v>null</v>
          </cell>
          <cell r="E320">
            <v>45901.459027777775</v>
          </cell>
        </row>
        <row r="321">
          <cell r="A321">
            <v>8653144719</v>
          </cell>
          <cell r="B321">
            <v>10653068949</v>
          </cell>
          <cell r="C321" t="str">
            <v>null</v>
          </cell>
          <cell r="D321" t="str">
            <v>null</v>
          </cell>
          <cell r="E321">
            <v>45908.48333333333</v>
          </cell>
        </row>
        <row r="322">
          <cell r="A322">
            <v>8646141427</v>
          </cell>
          <cell r="B322">
            <v>10646065839</v>
          </cell>
          <cell r="C322" t="str">
            <v>null</v>
          </cell>
          <cell r="D322" t="str">
            <v>null</v>
          </cell>
          <cell r="E322">
            <v>45903.563194444447</v>
          </cell>
        </row>
        <row r="323">
          <cell r="A323">
            <v>8618007109</v>
          </cell>
          <cell r="B323">
            <v>10617932421</v>
          </cell>
          <cell r="C323" t="str">
            <v>null</v>
          </cell>
          <cell r="D323" t="str">
            <v>null</v>
          </cell>
          <cell r="E323">
            <v>45888.475694444445</v>
          </cell>
        </row>
        <row r="324">
          <cell r="A324">
            <v>8620565101</v>
          </cell>
          <cell r="B324">
            <v>10620490281</v>
          </cell>
          <cell r="C324" t="str">
            <v>null</v>
          </cell>
          <cell r="D324" t="str">
            <v>null</v>
          </cell>
          <cell r="E324">
            <v>45887.452777777777</v>
          </cell>
        </row>
        <row r="325">
          <cell r="A325">
            <v>8623259829</v>
          </cell>
          <cell r="B325">
            <v>10623184829</v>
          </cell>
          <cell r="C325" t="str">
            <v>null</v>
          </cell>
          <cell r="D325" t="str">
            <v>null</v>
          </cell>
          <cell r="E325">
            <v>45888.475694444445</v>
          </cell>
        </row>
        <row r="326">
          <cell r="A326">
            <v>8640576575</v>
          </cell>
          <cell r="B326">
            <v>10640501039</v>
          </cell>
          <cell r="C326" t="str">
            <v>null</v>
          </cell>
          <cell r="D326" t="str">
            <v>null</v>
          </cell>
          <cell r="E326">
            <v>45900.693749999999</v>
          </cell>
        </row>
        <row r="327">
          <cell r="A327">
            <v>8621921134</v>
          </cell>
          <cell r="B327">
            <v>10621846220</v>
          </cell>
          <cell r="C327" t="str">
            <v>null</v>
          </cell>
          <cell r="D327" t="str">
            <v>null</v>
          </cell>
          <cell r="E327">
            <v>45897.636111111111</v>
          </cell>
        </row>
        <row r="328">
          <cell r="A328">
            <v>8658000528</v>
          </cell>
          <cell r="B328">
            <v>10657924646</v>
          </cell>
          <cell r="C328" t="str">
            <v>null</v>
          </cell>
          <cell r="D328" t="str">
            <v>null</v>
          </cell>
          <cell r="E328">
            <v>45910.459722222222</v>
          </cell>
        </row>
        <row r="329">
          <cell r="A329">
            <v>8620149668</v>
          </cell>
          <cell r="B329">
            <v>10620074869</v>
          </cell>
          <cell r="C329" t="str">
            <v>null</v>
          </cell>
          <cell r="D329" t="str">
            <v>null</v>
          </cell>
          <cell r="E329">
            <v>45887.452777777777</v>
          </cell>
        </row>
        <row r="330">
          <cell r="A330">
            <v>8614145438</v>
          </cell>
          <cell r="B330">
            <v>10614070975</v>
          </cell>
          <cell r="C330" t="str">
            <v>null</v>
          </cell>
          <cell r="D330" t="str">
            <v>null</v>
          </cell>
          <cell r="E330">
            <v>45882.453472222223</v>
          </cell>
        </row>
        <row r="331">
          <cell r="A331">
            <v>8632124182</v>
          </cell>
          <cell r="B331">
            <v>10632048845</v>
          </cell>
          <cell r="C331" t="str">
            <v>null</v>
          </cell>
          <cell r="D331" t="str">
            <v>null</v>
          </cell>
          <cell r="E331">
            <v>45894.452777777777</v>
          </cell>
        </row>
        <row r="332">
          <cell r="A332">
            <v>8611739283</v>
          </cell>
          <cell r="B332">
            <v>10611664903</v>
          </cell>
          <cell r="C332" t="str">
            <v>null</v>
          </cell>
          <cell r="D332" t="str">
            <v>null</v>
          </cell>
          <cell r="E332">
            <v>45880.458333333336</v>
          </cell>
        </row>
        <row r="333">
          <cell r="A333">
            <v>8613861450</v>
          </cell>
          <cell r="B333">
            <v>10613786999</v>
          </cell>
          <cell r="C333" t="str">
            <v>null</v>
          </cell>
          <cell r="D333" t="str">
            <v>null</v>
          </cell>
          <cell r="E333">
            <v>45881.771527777775</v>
          </cell>
        </row>
        <row r="334">
          <cell r="A334">
            <v>8623616712</v>
          </cell>
          <cell r="B334">
            <v>10623541683</v>
          </cell>
          <cell r="C334" t="str">
            <v>null</v>
          </cell>
          <cell r="D334" t="str">
            <v>null</v>
          </cell>
          <cell r="E334">
            <v>45888.776388888888</v>
          </cell>
        </row>
        <row r="335">
          <cell r="A335">
            <v>8644827450</v>
          </cell>
          <cell r="B335">
            <v>10644751872</v>
          </cell>
          <cell r="C335" t="str">
            <v>null</v>
          </cell>
          <cell r="D335" t="str">
            <v>null</v>
          </cell>
          <cell r="E335">
            <v>45903.465277777781</v>
          </cell>
        </row>
        <row r="336">
          <cell r="A336">
            <v>8630677968</v>
          </cell>
          <cell r="B336">
            <v>10630602678</v>
          </cell>
          <cell r="C336" t="str">
            <v>null</v>
          </cell>
          <cell r="D336" t="str">
            <v>null</v>
          </cell>
          <cell r="E336">
            <v>45894.452777777777</v>
          </cell>
        </row>
        <row r="337">
          <cell r="A337">
            <v>8641995562</v>
          </cell>
          <cell r="B337">
            <v>10641919993</v>
          </cell>
          <cell r="C337" t="str">
            <v>null</v>
          </cell>
          <cell r="D337" t="str">
            <v>null</v>
          </cell>
          <cell r="E337">
            <v>45901.459027777775</v>
          </cell>
        </row>
        <row r="338">
          <cell r="A338">
            <v>8612636946</v>
          </cell>
          <cell r="B338">
            <v>10612562554</v>
          </cell>
          <cell r="C338" t="str">
            <v>null</v>
          </cell>
          <cell r="D338" t="str">
            <v>null</v>
          </cell>
          <cell r="E338">
            <v>45881.472222222219</v>
          </cell>
        </row>
        <row r="339">
          <cell r="A339">
            <v>8612316630</v>
          </cell>
          <cell r="B339">
            <v>10612242239</v>
          </cell>
          <cell r="C339" t="str">
            <v>null</v>
          </cell>
          <cell r="D339" t="str">
            <v>null</v>
          </cell>
          <cell r="E339">
            <v>45880.772916666669</v>
          </cell>
        </row>
        <row r="340">
          <cell r="A340">
            <v>8625453494</v>
          </cell>
          <cell r="B340">
            <v>10625378403</v>
          </cell>
          <cell r="C340" t="str">
            <v>null</v>
          </cell>
          <cell r="D340" t="str">
            <v>null</v>
          </cell>
          <cell r="E340">
            <v>45890.458333333336</v>
          </cell>
        </row>
        <row r="341">
          <cell r="A341">
            <v>8635172599</v>
          </cell>
          <cell r="B341">
            <v>10635097213</v>
          </cell>
          <cell r="C341" t="str">
            <v>null</v>
          </cell>
          <cell r="D341" t="str">
            <v>null</v>
          </cell>
          <cell r="E341">
            <v>45897.440972222219</v>
          </cell>
        </row>
        <row r="342">
          <cell r="A342">
            <v>8643430474</v>
          </cell>
          <cell r="B342">
            <v>10643354890</v>
          </cell>
          <cell r="C342" t="str">
            <v>null</v>
          </cell>
          <cell r="D342" t="str">
            <v>null</v>
          </cell>
          <cell r="E342">
            <v>45902.448611111111</v>
          </cell>
        </row>
        <row r="343">
          <cell r="A343">
            <v>8629057586</v>
          </cell>
          <cell r="B343">
            <v>10628982411</v>
          </cell>
          <cell r="C343" t="str">
            <v>null</v>
          </cell>
          <cell r="D343" t="str">
            <v>null</v>
          </cell>
          <cell r="E343">
            <v>45892.432638888888</v>
          </cell>
        </row>
        <row r="344">
          <cell r="A344">
            <v>8662683431</v>
          </cell>
          <cell r="B344">
            <v>10662607484</v>
          </cell>
          <cell r="C344" t="str">
            <v>null</v>
          </cell>
          <cell r="D344" t="str">
            <v>null</v>
          </cell>
          <cell r="E344">
            <v>45912.475694444445</v>
          </cell>
        </row>
        <row r="345">
          <cell r="A345">
            <v>8620565102</v>
          </cell>
          <cell r="B345">
            <v>10620490282</v>
          </cell>
          <cell r="C345" t="str">
            <v>null</v>
          </cell>
          <cell r="D345" t="str">
            <v>null</v>
          </cell>
          <cell r="E345">
            <v>45887.452777777777</v>
          </cell>
        </row>
        <row r="346">
          <cell r="A346">
            <v>8622022828</v>
          </cell>
          <cell r="B346">
            <v>10621947902</v>
          </cell>
          <cell r="C346" t="str">
            <v>null</v>
          </cell>
          <cell r="D346" t="str">
            <v>null</v>
          </cell>
          <cell r="E346">
            <v>45887.563194444447</v>
          </cell>
        </row>
        <row r="347">
          <cell r="A347">
            <v>8632189754</v>
          </cell>
          <cell r="B347">
            <v>10632114421</v>
          </cell>
          <cell r="C347" t="str">
            <v>null</v>
          </cell>
          <cell r="D347" t="str">
            <v>null</v>
          </cell>
          <cell r="E347">
            <v>45894.452777777777</v>
          </cell>
        </row>
        <row r="348">
          <cell r="A348">
            <v>8626914564</v>
          </cell>
          <cell r="B348">
            <v>10626839431</v>
          </cell>
          <cell r="C348" t="str">
            <v>null</v>
          </cell>
          <cell r="D348" t="str">
            <v>null</v>
          </cell>
          <cell r="E348">
            <v>45891.470833333333</v>
          </cell>
        </row>
        <row r="349">
          <cell r="A349">
            <v>8636814713</v>
          </cell>
          <cell r="B349">
            <v>10636739282</v>
          </cell>
          <cell r="C349" t="str">
            <v>null</v>
          </cell>
          <cell r="D349" t="str">
            <v>null</v>
          </cell>
          <cell r="E349">
            <v>45898.445138888892</v>
          </cell>
        </row>
        <row r="350">
          <cell r="A350">
            <v>8599574787</v>
          </cell>
          <cell r="B350">
            <v>10599500954</v>
          </cell>
          <cell r="C350" t="str">
            <v>null</v>
          </cell>
          <cell r="D350" t="str">
            <v>null</v>
          </cell>
          <cell r="E350">
            <v>45873.456250000003</v>
          </cell>
        </row>
        <row r="351">
          <cell r="A351">
            <v>8616438555</v>
          </cell>
          <cell r="B351">
            <v>10616363935</v>
          </cell>
          <cell r="C351" t="str">
            <v>null</v>
          </cell>
          <cell r="D351" t="str">
            <v>null</v>
          </cell>
          <cell r="E351">
            <v>45883.52847222222</v>
          </cell>
        </row>
        <row r="352">
          <cell r="A352">
            <v>8614328413</v>
          </cell>
          <cell r="B352">
            <v>10614253943</v>
          </cell>
          <cell r="C352" t="str">
            <v>null</v>
          </cell>
          <cell r="D352" t="str">
            <v>null</v>
          </cell>
          <cell r="E352">
            <v>45882.453472222223</v>
          </cell>
        </row>
        <row r="353">
          <cell r="A353">
            <v>8620040748</v>
          </cell>
          <cell r="B353">
            <v>10619965954</v>
          </cell>
          <cell r="C353" t="str">
            <v>null</v>
          </cell>
          <cell r="D353" t="str">
            <v>null</v>
          </cell>
          <cell r="E353">
            <v>45887.452777777777</v>
          </cell>
        </row>
        <row r="354">
          <cell r="A354">
            <v>8612072167</v>
          </cell>
          <cell r="B354">
            <v>10611997781</v>
          </cell>
          <cell r="C354" t="str">
            <v>null</v>
          </cell>
          <cell r="D354" t="str">
            <v>null</v>
          </cell>
          <cell r="E354">
            <v>45880.772916666669</v>
          </cell>
        </row>
        <row r="355">
          <cell r="A355">
            <v>8646062383</v>
          </cell>
          <cell r="B355">
            <v>10645986795</v>
          </cell>
          <cell r="C355" t="str">
            <v>null</v>
          </cell>
          <cell r="D355" t="str">
            <v>null</v>
          </cell>
          <cell r="E355">
            <v>45903.563194444447</v>
          </cell>
        </row>
        <row r="356">
          <cell r="A356">
            <v>8615996505</v>
          </cell>
          <cell r="B356">
            <v>10615921924</v>
          </cell>
          <cell r="C356" t="str">
            <v>null</v>
          </cell>
          <cell r="D356" t="str">
            <v>null</v>
          </cell>
          <cell r="E356">
            <v>45883.446527777778</v>
          </cell>
        </row>
        <row r="357">
          <cell r="A357">
            <v>8650311281</v>
          </cell>
          <cell r="B357">
            <v>10650235580</v>
          </cell>
          <cell r="C357" t="str">
            <v>null</v>
          </cell>
          <cell r="D357" t="str">
            <v>null</v>
          </cell>
          <cell r="E357">
            <v>45905.805555555555</v>
          </cell>
        </row>
        <row r="358">
          <cell r="A358">
            <v>8614721402</v>
          </cell>
          <cell r="B358">
            <v>10614646883</v>
          </cell>
          <cell r="C358" t="str">
            <v>null</v>
          </cell>
          <cell r="D358" t="str">
            <v>null</v>
          </cell>
          <cell r="E358">
            <v>45882.453472222223</v>
          </cell>
        </row>
        <row r="359">
          <cell r="A359">
            <v>8627479783</v>
          </cell>
          <cell r="B359">
            <v>10627404627</v>
          </cell>
          <cell r="C359" t="str">
            <v>null</v>
          </cell>
          <cell r="D359" t="str">
            <v>null</v>
          </cell>
          <cell r="E359">
            <v>45891.470833333333</v>
          </cell>
        </row>
        <row r="360">
          <cell r="A360">
            <v>8654426480</v>
          </cell>
          <cell r="B360">
            <v>10654350688</v>
          </cell>
          <cell r="C360" t="str">
            <v>null</v>
          </cell>
          <cell r="D360" t="str">
            <v>null</v>
          </cell>
          <cell r="E360">
            <v>45908.48333333333</v>
          </cell>
        </row>
        <row r="361">
          <cell r="A361">
            <v>8625377329</v>
          </cell>
          <cell r="B361">
            <v>10625302238</v>
          </cell>
          <cell r="C361" t="str">
            <v>null</v>
          </cell>
          <cell r="D361" t="str">
            <v>null</v>
          </cell>
          <cell r="E361">
            <v>45890.458333333336</v>
          </cell>
        </row>
        <row r="362">
          <cell r="A362">
            <v>8615334103</v>
          </cell>
          <cell r="B362">
            <v>10615259561</v>
          </cell>
          <cell r="C362" t="str">
            <v>null</v>
          </cell>
          <cell r="D362" t="str">
            <v>null</v>
          </cell>
          <cell r="E362">
            <v>45882.768750000003</v>
          </cell>
        </row>
        <row r="363">
          <cell r="A363">
            <v>8640417638</v>
          </cell>
          <cell r="B363">
            <v>10640342122</v>
          </cell>
          <cell r="C363" t="str">
            <v>null</v>
          </cell>
          <cell r="D363" t="str">
            <v>null</v>
          </cell>
          <cell r="E363">
            <v>45900.693749999999</v>
          </cell>
        </row>
        <row r="364">
          <cell r="A364">
            <v>8655175667</v>
          </cell>
          <cell r="B364">
            <v>10655099849</v>
          </cell>
          <cell r="C364" t="str">
            <v>null</v>
          </cell>
          <cell r="D364" t="str">
            <v>null</v>
          </cell>
          <cell r="E364">
            <v>45908.48333333333</v>
          </cell>
        </row>
        <row r="365">
          <cell r="A365">
            <v>8613337698</v>
          </cell>
          <cell r="B365">
            <v>10613263275</v>
          </cell>
          <cell r="C365" t="str">
            <v>null</v>
          </cell>
          <cell r="D365" t="str">
            <v>null</v>
          </cell>
          <cell r="E365">
            <v>45881.472222222219</v>
          </cell>
        </row>
        <row r="366">
          <cell r="A366">
            <v>8613337694</v>
          </cell>
          <cell r="B366">
            <v>10613263271</v>
          </cell>
          <cell r="C366" t="str">
            <v>null</v>
          </cell>
          <cell r="D366" t="str">
            <v>null</v>
          </cell>
          <cell r="E366">
            <v>45881.472222222219</v>
          </cell>
        </row>
        <row r="367">
          <cell r="A367">
            <v>8628968104</v>
          </cell>
          <cell r="B367">
            <v>10628892929</v>
          </cell>
          <cell r="C367" t="str">
            <v>null</v>
          </cell>
          <cell r="D367" t="str">
            <v>null</v>
          </cell>
          <cell r="E367">
            <v>45891.789583333331</v>
          </cell>
        </row>
        <row r="368">
          <cell r="A368">
            <v>8631478326</v>
          </cell>
          <cell r="B368">
            <v>10631403025</v>
          </cell>
          <cell r="C368" t="str">
            <v>null</v>
          </cell>
          <cell r="D368" t="str">
            <v>null</v>
          </cell>
          <cell r="E368">
            <v>45894.452777777777</v>
          </cell>
        </row>
        <row r="369">
          <cell r="A369">
            <v>8645072481</v>
          </cell>
          <cell r="B369">
            <v>10644996904</v>
          </cell>
          <cell r="C369" t="str">
            <v>null</v>
          </cell>
          <cell r="D369" t="str">
            <v>null</v>
          </cell>
          <cell r="E369">
            <v>45903.465277777781</v>
          </cell>
        </row>
        <row r="370">
          <cell r="A370">
            <v>8626971554</v>
          </cell>
          <cell r="B370">
            <v>10626896415</v>
          </cell>
          <cell r="C370" t="str">
            <v>null</v>
          </cell>
          <cell r="D370" t="str">
            <v>null</v>
          </cell>
          <cell r="E370">
            <v>45891.470833333333</v>
          </cell>
        </row>
        <row r="371">
          <cell r="A371">
            <v>8640796782</v>
          </cell>
          <cell r="B371">
            <v>10640721260</v>
          </cell>
          <cell r="C371" t="str">
            <v>null</v>
          </cell>
          <cell r="D371" t="str">
            <v>null</v>
          </cell>
          <cell r="E371">
            <v>45901.459027777775</v>
          </cell>
        </row>
        <row r="372">
          <cell r="A372">
            <v>8636543222</v>
          </cell>
          <cell r="B372">
            <v>10636467804</v>
          </cell>
          <cell r="C372" t="str">
            <v>null</v>
          </cell>
          <cell r="D372" t="str">
            <v>null</v>
          </cell>
          <cell r="E372">
            <v>45897.79791666667</v>
          </cell>
        </row>
        <row r="373">
          <cell r="A373">
            <v>8612799933</v>
          </cell>
          <cell r="B373">
            <v>10612725543</v>
          </cell>
          <cell r="C373" t="str">
            <v>null</v>
          </cell>
          <cell r="D373" t="str">
            <v>null</v>
          </cell>
          <cell r="E373">
            <v>45881.472222222219</v>
          </cell>
        </row>
        <row r="374">
          <cell r="A374">
            <v>8635882444</v>
          </cell>
          <cell r="B374">
            <v>10635807061</v>
          </cell>
          <cell r="C374" t="str">
            <v>null</v>
          </cell>
          <cell r="D374" t="str">
            <v>null</v>
          </cell>
          <cell r="E374">
            <v>45897.440972222219</v>
          </cell>
        </row>
        <row r="375">
          <cell r="A375">
            <v>8605901006</v>
          </cell>
          <cell r="B375">
            <v>10605826884</v>
          </cell>
          <cell r="C375" t="str">
            <v>null</v>
          </cell>
          <cell r="D375" t="str">
            <v>null</v>
          </cell>
          <cell r="E375">
            <v>45877.451388888891</v>
          </cell>
        </row>
        <row r="376">
          <cell r="A376">
            <v>8653424812</v>
          </cell>
          <cell r="B376">
            <v>10653349051</v>
          </cell>
          <cell r="C376" t="str">
            <v>null</v>
          </cell>
          <cell r="D376" t="str">
            <v>null</v>
          </cell>
          <cell r="E376">
            <v>45908.48333333333</v>
          </cell>
        </row>
        <row r="377">
          <cell r="A377">
            <v>8642433391</v>
          </cell>
          <cell r="B377">
            <v>10642357822</v>
          </cell>
          <cell r="C377" t="str">
            <v>null</v>
          </cell>
          <cell r="D377" t="str">
            <v>null</v>
          </cell>
          <cell r="E377">
            <v>45901.785416666666</v>
          </cell>
        </row>
        <row r="378">
          <cell r="A378">
            <v>8630957553</v>
          </cell>
          <cell r="B378">
            <v>10630882256</v>
          </cell>
          <cell r="C378" t="str">
            <v>null</v>
          </cell>
          <cell r="D378" t="str">
            <v>null</v>
          </cell>
          <cell r="E378">
            <v>45894.452777777777</v>
          </cell>
        </row>
        <row r="379">
          <cell r="A379">
            <v>8658158921</v>
          </cell>
          <cell r="B379">
            <v>10658083039</v>
          </cell>
          <cell r="C379" t="str">
            <v>null</v>
          </cell>
          <cell r="D379" t="str">
            <v>null</v>
          </cell>
          <cell r="E379">
            <v>45910.459722222222</v>
          </cell>
        </row>
        <row r="380">
          <cell r="A380">
            <v>8649047784</v>
          </cell>
          <cell r="B380">
            <v>10648972085</v>
          </cell>
          <cell r="C380" t="str">
            <v>null</v>
          </cell>
          <cell r="D380" t="str">
            <v>null</v>
          </cell>
          <cell r="E380">
            <v>45905.450694444444</v>
          </cell>
        </row>
        <row r="381">
          <cell r="A381">
            <v>8625549457</v>
          </cell>
          <cell r="B381">
            <v>10625474360</v>
          </cell>
          <cell r="C381" t="str">
            <v>null</v>
          </cell>
          <cell r="D381" t="str">
            <v>null</v>
          </cell>
          <cell r="E381">
            <v>45890.458333333336</v>
          </cell>
        </row>
        <row r="382">
          <cell r="A382">
            <v>8656088933</v>
          </cell>
          <cell r="B382">
            <v>10656013073</v>
          </cell>
          <cell r="C382" t="str">
            <v>null</v>
          </cell>
          <cell r="D382" t="str">
            <v>null</v>
          </cell>
          <cell r="E382">
            <v>45908.788194444445</v>
          </cell>
        </row>
        <row r="383">
          <cell r="A383">
            <v>8654592035</v>
          </cell>
          <cell r="B383">
            <v>10654516244</v>
          </cell>
          <cell r="C383" t="str">
            <v>null</v>
          </cell>
          <cell r="D383" t="str">
            <v>null</v>
          </cell>
          <cell r="E383">
            <v>45908.48333333333</v>
          </cell>
        </row>
        <row r="384">
          <cell r="A384">
            <v>8615448972</v>
          </cell>
          <cell r="B384">
            <v>10615374431</v>
          </cell>
          <cell r="C384" t="str">
            <v>null</v>
          </cell>
          <cell r="D384" t="str">
            <v>null</v>
          </cell>
          <cell r="E384">
            <v>45882.768750000003</v>
          </cell>
        </row>
        <row r="385">
          <cell r="A385">
            <v>8630702581</v>
          </cell>
          <cell r="B385">
            <v>10630627292</v>
          </cell>
          <cell r="C385" t="str">
            <v>null</v>
          </cell>
          <cell r="D385" t="str">
            <v>null</v>
          </cell>
          <cell r="E385">
            <v>45894.452777777777</v>
          </cell>
        </row>
        <row r="386">
          <cell r="A386">
            <v>8619059124</v>
          </cell>
          <cell r="B386">
            <v>10618984376</v>
          </cell>
          <cell r="C386" t="str">
            <v>null</v>
          </cell>
          <cell r="D386" t="str">
            <v>null</v>
          </cell>
          <cell r="E386">
            <v>45885.463194444441</v>
          </cell>
        </row>
        <row r="387">
          <cell r="A387">
            <v>8619663048</v>
          </cell>
          <cell r="B387">
            <v>10619588253</v>
          </cell>
          <cell r="C387" t="str">
            <v>null</v>
          </cell>
          <cell r="D387" t="str">
            <v>null</v>
          </cell>
          <cell r="E387">
            <v>45888.475694444445</v>
          </cell>
        </row>
        <row r="388">
          <cell r="A388">
            <v>8594122312</v>
          </cell>
          <cell r="B388">
            <v>10594048786</v>
          </cell>
          <cell r="C388" t="str">
            <v>null</v>
          </cell>
          <cell r="D388" t="str">
            <v>null</v>
          </cell>
          <cell r="E388">
            <v>45870.780555555553</v>
          </cell>
        </row>
        <row r="389">
          <cell r="A389">
            <v>8641769544</v>
          </cell>
          <cell r="B389">
            <v>10641693973</v>
          </cell>
          <cell r="C389" t="str">
            <v>null</v>
          </cell>
          <cell r="D389" t="str">
            <v>null</v>
          </cell>
          <cell r="E389">
            <v>45901.459027777775</v>
          </cell>
        </row>
        <row r="390">
          <cell r="A390">
            <v>8612178217</v>
          </cell>
          <cell r="B390">
            <v>10612103826</v>
          </cell>
          <cell r="C390" t="str">
            <v>null</v>
          </cell>
          <cell r="D390" t="str">
            <v>null</v>
          </cell>
          <cell r="E390">
            <v>45880.772916666669</v>
          </cell>
        </row>
        <row r="391">
          <cell r="A391">
            <v>8617154389</v>
          </cell>
          <cell r="B391">
            <v>10617079729</v>
          </cell>
          <cell r="C391" t="str">
            <v>null</v>
          </cell>
          <cell r="D391" t="str">
            <v>null</v>
          </cell>
          <cell r="E391">
            <v>45885.463194444441</v>
          </cell>
        </row>
        <row r="392">
          <cell r="A392">
            <v>8644874924</v>
          </cell>
          <cell r="B392">
            <v>10644799346</v>
          </cell>
          <cell r="C392" t="str">
            <v>null</v>
          </cell>
          <cell r="D392" t="str">
            <v>null</v>
          </cell>
          <cell r="E392">
            <v>45903.465277777781</v>
          </cell>
        </row>
        <row r="393">
          <cell r="A393">
            <v>8614694734</v>
          </cell>
          <cell r="B393">
            <v>10614620216</v>
          </cell>
          <cell r="C393" t="str">
            <v>null</v>
          </cell>
          <cell r="D393" t="str">
            <v>null</v>
          </cell>
          <cell r="E393">
            <v>45882.453472222223</v>
          </cell>
        </row>
        <row r="394">
          <cell r="A394">
            <v>8615659105</v>
          </cell>
          <cell r="B394">
            <v>10615584550</v>
          </cell>
          <cell r="C394" t="str">
            <v>null</v>
          </cell>
          <cell r="D394" t="str">
            <v>null</v>
          </cell>
          <cell r="E394">
            <v>45883.446527777778</v>
          </cell>
        </row>
        <row r="395">
          <cell r="A395">
            <v>8635410358</v>
          </cell>
          <cell r="B395">
            <v>10635334974</v>
          </cell>
          <cell r="C395" t="str">
            <v>null</v>
          </cell>
          <cell r="D395" t="str">
            <v>null</v>
          </cell>
          <cell r="E395">
            <v>45897.440972222219</v>
          </cell>
        </row>
        <row r="396">
          <cell r="A396">
            <v>8648738364</v>
          </cell>
          <cell r="B396">
            <v>10648662670</v>
          </cell>
          <cell r="C396" t="str">
            <v>null</v>
          </cell>
          <cell r="D396" t="str">
            <v>null</v>
          </cell>
          <cell r="E396">
            <v>45905.450694444444</v>
          </cell>
        </row>
        <row r="397">
          <cell r="A397">
            <v>8612950081</v>
          </cell>
          <cell r="B397">
            <v>10612875685</v>
          </cell>
          <cell r="C397" t="str">
            <v>null</v>
          </cell>
          <cell r="D397" t="str">
            <v>null</v>
          </cell>
          <cell r="E397">
            <v>45881.472222222219</v>
          </cell>
        </row>
        <row r="398">
          <cell r="A398">
            <v>8619901287</v>
          </cell>
          <cell r="B398">
            <v>10619826493</v>
          </cell>
          <cell r="C398" t="str">
            <v>null</v>
          </cell>
          <cell r="D398" t="str">
            <v>null</v>
          </cell>
          <cell r="E398">
            <v>45888.475694444445</v>
          </cell>
        </row>
        <row r="399">
          <cell r="A399">
            <v>8593854887</v>
          </cell>
          <cell r="B399">
            <v>10593781365</v>
          </cell>
          <cell r="C399" t="str">
            <v>null</v>
          </cell>
          <cell r="D399" t="str">
            <v>null</v>
          </cell>
          <cell r="E399">
            <v>45870.780555555553</v>
          </cell>
        </row>
        <row r="400">
          <cell r="A400">
            <v>8634183880</v>
          </cell>
          <cell r="B400">
            <v>10634108492</v>
          </cell>
          <cell r="C400" t="str">
            <v>null</v>
          </cell>
          <cell r="D400" t="str">
            <v>null</v>
          </cell>
          <cell r="E400">
            <v>45895.786805555559</v>
          </cell>
        </row>
        <row r="401">
          <cell r="A401">
            <v>8654954892</v>
          </cell>
          <cell r="B401">
            <v>10654879090</v>
          </cell>
          <cell r="C401" t="str">
            <v>null</v>
          </cell>
          <cell r="D401" t="str">
            <v>null</v>
          </cell>
          <cell r="E401">
            <v>45908.48333333333</v>
          </cell>
        </row>
        <row r="402">
          <cell r="A402">
            <v>8632281492</v>
          </cell>
          <cell r="B402">
            <v>10632206151</v>
          </cell>
          <cell r="C402" t="str">
            <v>null</v>
          </cell>
          <cell r="D402" t="str">
            <v>null</v>
          </cell>
          <cell r="E402">
            <v>45894.452777777777</v>
          </cell>
        </row>
        <row r="403">
          <cell r="A403">
            <v>8617654049</v>
          </cell>
          <cell r="B403">
            <v>10617579377</v>
          </cell>
          <cell r="C403" t="str">
            <v>null</v>
          </cell>
          <cell r="D403" t="str">
            <v>null</v>
          </cell>
          <cell r="E403">
            <v>45888.475694444445</v>
          </cell>
        </row>
        <row r="404">
          <cell r="A404">
            <v>8635504663</v>
          </cell>
          <cell r="B404">
            <v>10635429280</v>
          </cell>
          <cell r="C404" t="str">
            <v>null</v>
          </cell>
          <cell r="D404" t="str">
            <v>null</v>
          </cell>
          <cell r="E404">
            <v>45897.440972222219</v>
          </cell>
        </row>
        <row r="405">
          <cell r="A405">
            <v>8616665867</v>
          </cell>
          <cell r="B405">
            <v>10616591227</v>
          </cell>
          <cell r="C405" t="str">
            <v>null</v>
          </cell>
          <cell r="D405" t="str">
            <v>null</v>
          </cell>
          <cell r="E405">
            <v>45883.796527777777</v>
          </cell>
        </row>
        <row r="406">
          <cell r="A406">
            <v>8662412310</v>
          </cell>
          <cell r="B406">
            <v>10662336353</v>
          </cell>
          <cell r="C406" t="str">
            <v>null</v>
          </cell>
          <cell r="D406" t="str">
            <v>null</v>
          </cell>
          <cell r="E406">
            <v>45912.475694444445</v>
          </cell>
        </row>
        <row r="407">
          <cell r="A407">
            <v>8612775581</v>
          </cell>
          <cell r="B407">
            <v>10612701190</v>
          </cell>
          <cell r="C407" t="str">
            <v>null</v>
          </cell>
          <cell r="D407" t="str">
            <v>null</v>
          </cell>
          <cell r="E407">
            <v>45881.472222222219</v>
          </cell>
        </row>
        <row r="408">
          <cell r="A408">
            <v>8614542450</v>
          </cell>
          <cell r="B408">
            <v>10614467962</v>
          </cell>
          <cell r="C408" t="str">
            <v>null</v>
          </cell>
          <cell r="D408" t="str">
            <v>null</v>
          </cell>
          <cell r="E408">
            <v>45882.453472222223</v>
          </cell>
        </row>
        <row r="409">
          <cell r="A409">
            <v>8621146296</v>
          </cell>
          <cell r="B409">
            <v>10621071456</v>
          </cell>
          <cell r="C409" t="str">
            <v>null</v>
          </cell>
          <cell r="D409" t="str">
            <v>null</v>
          </cell>
          <cell r="E409">
            <v>45887.452777777777</v>
          </cell>
        </row>
        <row r="410">
          <cell r="A410">
            <v>8637164643</v>
          </cell>
          <cell r="B410">
            <v>10637089191</v>
          </cell>
          <cell r="C410" t="str">
            <v>null</v>
          </cell>
          <cell r="D410" t="str">
            <v>null</v>
          </cell>
          <cell r="E410">
            <v>45898.445138888892</v>
          </cell>
        </row>
        <row r="411">
          <cell r="A411">
            <v>8680967376</v>
          </cell>
          <cell r="B411">
            <v>10680893112</v>
          </cell>
          <cell r="C411" t="str">
            <v>null</v>
          </cell>
          <cell r="D411" t="str">
            <v>null</v>
          </cell>
          <cell r="E411">
            <v>45918.800694444442</v>
          </cell>
        </row>
        <row r="412">
          <cell r="A412">
            <v>8687890011</v>
          </cell>
          <cell r="B412">
            <v>10687817704</v>
          </cell>
          <cell r="C412" t="str">
            <v>null</v>
          </cell>
          <cell r="D412" t="str">
            <v>null</v>
          </cell>
          <cell r="E412">
            <v>45922.443055555559</v>
          </cell>
        </row>
        <row r="413">
          <cell r="A413">
            <v>8662691485</v>
          </cell>
          <cell r="B413">
            <v>10662615538</v>
          </cell>
          <cell r="C413" t="str">
            <v>null</v>
          </cell>
          <cell r="D413" t="str">
            <v>null</v>
          </cell>
          <cell r="E413">
            <v>45912.475694444445</v>
          </cell>
        </row>
        <row r="414">
          <cell r="A414">
            <v>8666939756</v>
          </cell>
          <cell r="B414">
            <v>10666863848</v>
          </cell>
          <cell r="C414" t="str">
            <v>null</v>
          </cell>
          <cell r="D414" t="str">
            <v>null</v>
          </cell>
          <cell r="E414">
            <v>45913.771527777775</v>
          </cell>
        </row>
        <row r="415">
          <cell r="A415">
            <v>8695472254</v>
          </cell>
          <cell r="B415">
            <v>10695400768</v>
          </cell>
          <cell r="C415" t="str">
            <v>null</v>
          </cell>
          <cell r="D415" t="str">
            <v>null</v>
          </cell>
          <cell r="E415">
            <v>45922.443055555559</v>
          </cell>
        </row>
        <row r="416">
          <cell r="A416">
            <v>8675330506</v>
          </cell>
          <cell r="B416">
            <v>10675255157</v>
          </cell>
          <cell r="C416" t="str">
            <v>null</v>
          </cell>
          <cell r="D416" t="str">
            <v>null</v>
          </cell>
          <cell r="E416">
            <v>45916.560416666667</v>
          </cell>
        </row>
        <row r="417">
          <cell r="A417">
            <v>8677721405</v>
          </cell>
          <cell r="B417">
            <v>10677646540</v>
          </cell>
          <cell r="C417" t="str">
            <v>null</v>
          </cell>
          <cell r="D417" t="str">
            <v>null</v>
          </cell>
          <cell r="E417">
            <v>45917.537499999999</v>
          </cell>
        </row>
        <row r="418">
          <cell r="A418">
            <v>8673430085</v>
          </cell>
          <cell r="B418">
            <v>10673354568</v>
          </cell>
          <cell r="C418" t="str">
            <v>null</v>
          </cell>
          <cell r="D418" t="str">
            <v>null</v>
          </cell>
          <cell r="E418">
            <v>45916.459722222222</v>
          </cell>
        </row>
        <row r="419">
          <cell r="A419">
            <v>8682570667</v>
          </cell>
          <cell r="B419">
            <v>10682497661</v>
          </cell>
          <cell r="C419" t="str">
            <v>null</v>
          </cell>
          <cell r="D419" t="str">
            <v>null</v>
          </cell>
          <cell r="E419">
            <v>45919.79791666667</v>
          </cell>
        </row>
        <row r="420">
          <cell r="A420">
            <v>8698417103</v>
          </cell>
          <cell r="B420">
            <v>10698346324</v>
          </cell>
          <cell r="C420" t="str">
            <v>null</v>
          </cell>
          <cell r="D420" t="str">
            <v>null</v>
          </cell>
          <cell r="E420">
            <v>45923.446527777778</v>
          </cell>
        </row>
        <row r="421">
          <cell r="A421">
            <v>8689247485</v>
          </cell>
          <cell r="B421">
            <v>10689175468</v>
          </cell>
          <cell r="C421" t="str">
            <v>null</v>
          </cell>
          <cell r="D421" t="str">
            <v>null</v>
          </cell>
          <cell r="E421">
            <v>45922.443055555559</v>
          </cell>
        </row>
        <row r="422">
          <cell r="A422">
            <v>8690835103</v>
          </cell>
          <cell r="B422">
            <v>10690763241</v>
          </cell>
          <cell r="C422" t="str">
            <v>null</v>
          </cell>
          <cell r="D422" t="str">
            <v>null</v>
          </cell>
          <cell r="E422">
            <v>45922.443055555559</v>
          </cell>
        </row>
        <row r="423">
          <cell r="A423">
            <v>8693762991</v>
          </cell>
          <cell r="B423">
            <v>10693691364</v>
          </cell>
          <cell r="C423" t="str">
            <v>null</v>
          </cell>
          <cell r="D423" t="str">
            <v>null</v>
          </cell>
          <cell r="E423">
            <v>45922.443055555559</v>
          </cell>
        </row>
        <row r="424">
          <cell r="A424">
            <v>8700661740</v>
          </cell>
          <cell r="B424">
            <v>10700592132</v>
          </cell>
          <cell r="C424" t="str">
            <v>null</v>
          </cell>
          <cell r="D424" t="str">
            <v>null</v>
          </cell>
          <cell r="E424">
            <v>45923.547222222223</v>
          </cell>
        </row>
        <row r="425">
          <cell r="A425">
            <v>8675097216</v>
          </cell>
          <cell r="B425">
            <v>10675021811</v>
          </cell>
          <cell r="C425" t="str">
            <v>null</v>
          </cell>
          <cell r="D425" t="str">
            <v>null</v>
          </cell>
          <cell r="E425">
            <v>45916.560416666667</v>
          </cell>
        </row>
        <row r="426">
          <cell r="A426">
            <v>8680316333</v>
          </cell>
          <cell r="B426">
            <v>10680241917</v>
          </cell>
          <cell r="C426" t="str">
            <v>null</v>
          </cell>
          <cell r="D426" t="str">
            <v>null</v>
          </cell>
          <cell r="E426">
            <v>45918.544444444444</v>
          </cell>
        </row>
        <row r="427">
          <cell r="A427">
            <v>8700291971</v>
          </cell>
          <cell r="B427">
            <v>10700221963</v>
          </cell>
          <cell r="C427" t="str">
            <v>null</v>
          </cell>
          <cell r="D427" t="str">
            <v>null</v>
          </cell>
          <cell r="E427">
            <v>45923.446527777778</v>
          </cell>
        </row>
        <row r="428">
          <cell r="A428">
            <v>8668586101</v>
          </cell>
          <cell r="B428">
            <v>10668510229</v>
          </cell>
          <cell r="C428" t="str">
            <v>null</v>
          </cell>
          <cell r="D428" t="str">
            <v>null</v>
          </cell>
          <cell r="E428">
            <v>45915.47152777778</v>
          </cell>
        </row>
        <row r="429">
          <cell r="A429">
            <v>8695880488</v>
          </cell>
          <cell r="B429">
            <v>10695809138</v>
          </cell>
          <cell r="C429" t="str">
            <v>null</v>
          </cell>
          <cell r="D429" t="str">
            <v>null</v>
          </cell>
          <cell r="E429">
            <v>45922.443055555559</v>
          </cell>
        </row>
        <row r="430">
          <cell r="A430">
            <v>8674645012</v>
          </cell>
          <cell r="B430">
            <v>10674569555</v>
          </cell>
          <cell r="C430" t="str">
            <v>null</v>
          </cell>
          <cell r="D430" t="str">
            <v>null</v>
          </cell>
          <cell r="E430">
            <v>45916.459722222222</v>
          </cell>
        </row>
        <row r="431">
          <cell r="A431">
            <v>8686235629</v>
          </cell>
          <cell r="B431">
            <v>10686163041</v>
          </cell>
          <cell r="C431" t="str">
            <v>null</v>
          </cell>
          <cell r="D431" t="str">
            <v>null</v>
          </cell>
          <cell r="E431">
            <v>45920.473611111112</v>
          </cell>
        </row>
        <row r="432">
          <cell r="A432">
            <v>8699000629</v>
          </cell>
          <cell r="B432">
            <v>10698929955</v>
          </cell>
          <cell r="C432" t="str">
            <v>null</v>
          </cell>
          <cell r="D432" t="str">
            <v>null</v>
          </cell>
          <cell r="E432">
            <v>45923.446527777778</v>
          </cell>
        </row>
        <row r="433">
          <cell r="A433">
            <v>8676318892</v>
          </cell>
          <cell r="B433">
            <v>10676243792</v>
          </cell>
          <cell r="C433" t="str">
            <v>null</v>
          </cell>
          <cell r="D433" t="str">
            <v>null</v>
          </cell>
          <cell r="E433">
            <v>45917.434027777781</v>
          </cell>
        </row>
        <row r="434">
          <cell r="A434">
            <v>8682082418</v>
          </cell>
          <cell r="B434">
            <v>10682009123</v>
          </cell>
          <cell r="C434" t="str">
            <v>null</v>
          </cell>
          <cell r="D434" t="str">
            <v>null</v>
          </cell>
          <cell r="E434">
            <v>45919.525000000001</v>
          </cell>
        </row>
        <row r="435">
          <cell r="A435">
            <v>8700034488</v>
          </cell>
          <cell r="B435">
            <v>10699964314</v>
          </cell>
          <cell r="C435" t="str">
            <v>null</v>
          </cell>
          <cell r="D435" t="str">
            <v>null</v>
          </cell>
          <cell r="E435">
            <v>45923.446527777778</v>
          </cell>
        </row>
        <row r="436">
          <cell r="A436">
            <v>8676045557</v>
          </cell>
          <cell r="B436">
            <v>10675970382</v>
          </cell>
          <cell r="C436" t="str">
            <v>null</v>
          </cell>
          <cell r="D436" t="str">
            <v>null</v>
          </cell>
          <cell r="E436">
            <v>45916.818055555559</v>
          </cell>
        </row>
        <row r="437">
          <cell r="A437">
            <v>8688316765</v>
          </cell>
          <cell r="B437">
            <v>10688244480</v>
          </cell>
          <cell r="C437" t="str">
            <v>null</v>
          </cell>
          <cell r="D437" t="str">
            <v>null</v>
          </cell>
          <cell r="E437">
            <v>45922.443055555559</v>
          </cell>
        </row>
        <row r="438">
          <cell r="A438">
            <v>8704408298</v>
          </cell>
          <cell r="B438">
            <v>10704340324</v>
          </cell>
          <cell r="C438" t="str">
            <v>null</v>
          </cell>
          <cell r="D438" t="str">
            <v>null</v>
          </cell>
          <cell r="E438">
            <v>45924.55</v>
          </cell>
        </row>
        <row r="439">
          <cell r="A439">
            <v>8663980354</v>
          </cell>
          <cell r="B439">
            <v>10663904414</v>
          </cell>
          <cell r="C439" t="str">
            <v>null</v>
          </cell>
          <cell r="D439" t="str">
            <v>null</v>
          </cell>
          <cell r="E439">
            <v>45912.803472222222</v>
          </cell>
        </row>
        <row r="440">
          <cell r="A440">
            <v>8677429792</v>
          </cell>
          <cell r="B440">
            <v>10677354868</v>
          </cell>
          <cell r="C440" t="str">
            <v>null</v>
          </cell>
          <cell r="D440" t="str">
            <v>null</v>
          </cell>
          <cell r="E440">
            <v>45917.434027777781</v>
          </cell>
        </row>
        <row r="441">
          <cell r="A441">
            <v>8681405218</v>
          </cell>
          <cell r="B441">
            <v>10681331197</v>
          </cell>
          <cell r="C441" t="str">
            <v>null</v>
          </cell>
          <cell r="D441" t="str">
            <v>null</v>
          </cell>
          <cell r="E441">
            <v>45919.434027777781</v>
          </cell>
        </row>
        <row r="442">
          <cell r="A442">
            <v>8704473352</v>
          </cell>
          <cell r="B442">
            <v>10704405378</v>
          </cell>
          <cell r="C442" t="str">
            <v>null</v>
          </cell>
          <cell r="D442" t="str">
            <v>null</v>
          </cell>
          <cell r="E442">
            <v>45924.55</v>
          </cell>
        </row>
        <row r="443">
          <cell r="A443">
            <v>8706216343</v>
          </cell>
          <cell r="B443">
            <v>10706148938</v>
          </cell>
          <cell r="C443" t="str">
            <v>null</v>
          </cell>
          <cell r="D443" t="str">
            <v>null</v>
          </cell>
          <cell r="E443">
            <v>45925.451388888891</v>
          </cell>
        </row>
        <row r="444">
          <cell r="A444">
            <v>8687587807</v>
          </cell>
          <cell r="B444">
            <v>10687515231</v>
          </cell>
          <cell r="C444" t="str">
            <v>null</v>
          </cell>
          <cell r="D444" t="str">
            <v>null</v>
          </cell>
          <cell r="E444">
            <v>45922.443055555559</v>
          </cell>
        </row>
        <row r="445">
          <cell r="A445">
            <v>8690989947</v>
          </cell>
          <cell r="B445">
            <v>10690918116</v>
          </cell>
          <cell r="C445" t="str">
            <v>null</v>
          </cell>
          <cell r="D445" t="str">
            <v>null</v>
          </cell>
          <cell r="E445">
            <v>45922.443055555559</v>
          </cell>
        </row>
        <row r="446">
          <cell r="A446">
            <v>8704611977</v>
          </cell>
          <cell r="B446">
            <v>10704544007</v>
          </cell>
          <cell r="C446" t="str">
            <v>null</v>
          </cell>
          <cell r="D446" t="str">
            <v>null</v>
          </cell>
          <cell r="E446">
            <v>45924.55</v>
          </cell>
        </row>
        <row r="447">
          <cell r="A447">
            <v>8666527701</v>
          </cell>
          <cell r="B447">
            <v>10666451766</v>
          </cell>
          <cell r="C447" t="str">
            <v>null</v>
          </cell>
          <cell r="D447" t="str">
            <v>null</v>
          </cell>
          <cell r="E447">
            <v>45913.572222222225</v>
          </cell>
        </row>
        <row r="448">
          <cell r="A448">
            <v>8680872278</v>
          </cell>
          <cell r="B448">
            <v>10680798037</v>
          </cell>
          <cell r="C448" t="str">
            <v>null</v>
          </cell>
          <cell r="D448" t="str">
            <v>null</v>
          </cell>
          <cell r="E448">
            <v>45918.800694444442</v>
          </cell>
        </row>
        <row r="449">
          <cell r="A449">
            <v>8679706893</v>
          </cell>
          <cell r="B449">
            <v>10679632227</v>
          </cell>
          <cell r="C449" t="str">
            <v>null</v>
          </cell>
          <cell r="D449" t="str">
            <v>null</v>
          </cell>
          <cell r="E449">
            <v>45918.445138888892</v>
          </cell>
        </row>
        <row r="450">
          <cell r="A450">
            <v>8694911052</v>
          </cell>
          <cell r="B450">
            <v>10694839503</v>
          </cell>
          <cell r="C450" t="str">
            <v>null</v>
          </cell>
          <cell r="D450" t="str">
            <v>null</v>
          </cell>
          <cell r="E450">
            <v>45922.443055555559</v>
          </cell>
        </row>
        <row r="451">
          <cell r="A451">
            <v>8681666404</v>
          </cell>
          <cell r="B451">
            <v>10681592350</v>
          </cell>
          <cell r="C451" t="str">
            <v>null</v>
          </cell>
          <cell r="D451" t="str">
            <v>null</v>
          </cell>
          <cell r="E451">
            <v>45919.434027777781</v>
          </cell>
        </row>
        <row r="452">
          <cell r="A452">
            <v>8682619946</v>
          </cell>
          <cell r="B452">
            <v>10682546940</v>
          </cell>
          <cell r="C452" t="str">
            <v>null</v>
          </cell>
          <cell r="D452" t="str">
            <v>null</v>
          </cell>
          <cell r="E452">
            <v>45919.79791666667</v>
          </cell>
        </row>
        <row r="453">
          <cell r="A453">
            <v>8689881728</v>
          </cell>
          <cell r="B453">
            <v>10689809716</v>
          </cell>
          <cell r="C453" t="str">
            <v>null</v>
          </cell>
          <cell r="D453" t="str">
            <v>null</v>
          </cell>
          <cell r="E453">
            <v>45922.443055555559</v>
          </cell>
        </row>
        <row r="454">
          <cell r="A454">
            <v>8688543757</v>
          </cell>
          <cell r="B454">
            <v>10688471484</v>
          </cell>
          <cell r="C454" t="str">
            <v>null</v>
          </cell>
          <cell r="D454" t="str">
            <v>null</v>
          </cell>
          <cell r="E454">
            <v>45922.443055555559</v>
          </cell>
        </row>
        <row r="455">
          <cell r="A455">
            <v>8691678984</v>
          </cell>
          <cell r="B455">
            <v>10691607235</v>
          </cell>
          <cell r="C455" t="str">
            <v>null</v>
          </cell>
          <cell r="D455" t="str">
            <v>null</v>
          </cell>
          <cell r="E455">
            <v>45922.443055555559</v>
          </cell>
        </row>
        <row r="456">
          <cell r="A456">
            <v>8701220872</v>
          </cell>
          <cell r="B456">
            <v>10701151479</v>
          </cell>
          <cell r="C456" t="str">
            <v>null</v>
          </cell>
          <cell r="D456" t="str">
            <v>null</v>
          </cell>
          <cell r="E456">
            <v>45923.806944444441</v>
          </cell>
        </row>
        <row r="457">
          <cell r="A457">
            <v>8670163180</v>
          </cell>
          <cell r="B457">
            <v>10670087339</v>
          </cell>
          <cell r="C457" t="str">
            <v>null</v>
          </cell>
          <cell r="D457" t="str">
            <v>null</v>
          </cell>
          <cell r="E457">
            <v>45915.47152777778</v>
          </cell>
        </row>
        <row r="458">
          <cell r="A458">
            <v>8680310158</v>
          </cell>
          <cell r="B458">
            <v>10680235741</v>
          </cell>
          <cell r="C458" t="str">
            <v>null</v>
          </cell>
          <cell r="D458" t="str">
            <v>null</v>
          </cell>
          <cell r="E458">
            <v>45918.544444444444</v>
          </cell>
        </row>
        <row r="459">
          <cell r="A459">
            <v>8694225958</v>
          </cell>
          <cell r="B459">
            <v>10694154342</v>
          </cell>
          <cell r="C459" t="str">
            <v>null</v>
          </cell>
          <cell r="D459" t="str">
            <v>null</v>
          </cell>
          <cell r="E459">
            <v>45922.443055555559</v>
          </cell>
        </row>
        <row r="460">
          <cell r="A460">
            <v>8702982660</v>
          </cell>
          <cell r="B460">
            <v>10702913714</v>
          </cell>
          <cell r="C460" t="str">
            <v>null</v>
          </cell>
          <cell r="D460" t="str">
            <v>null</v>
          </cell>
          <cell r="E460">
            <v>45924.441666666666</v>
          </cell>
        </row>
        <row r="461">
          <cell r="A461">
            <v>8675166482</v>
          </cell>
          <cell r="B461">
            <v>10675091099</v>
          </cell>
          <cell r="C461" t="str">
            <v>null</v>
          </cell>
          <cell r="D461" t="str">
            <v>null</v>
          </cell>
          <cell r="E461">
            <v>45916.560416666667</v>
          </cell>
        </row>
        <row r="462">
          <cell r="A462">
            <v>8686993117</v>
          </cell>
          <cell r="B462">
            <v>10686920520</v>
          </cell>
          <cell r="C462" t="str">
            <v>null</v>
          </cell>
          <cell r="D462" t="str">
            <v>null</v>
          </cell>
          <cell r="E462">
            <v>45920.575694444444</v>
          </cell>
        </row>
        <row r="463">
          <cell r="A463">
            <v>8674661455</v>
          </cell>
          <cell r="B463">
            <v>10674586005</v>
          </cell>
          <cell r="C463" t="str">
            <v>null</v>
          </cell>
          <cell r="D463" t="str">
            <v>null</v>
          </cell>
          <cell r="E463">
            <v>45916.459722222222</v>
          </cell>
        </row>
        <row r="464">
          <cell r="A464">
            <v>8698964259</v>
          </cell>
          <cell r="B464">
            <v>10698893590</v>
          </cell>
          <cell r="C464" t="str">
            <v>null</v>
          </cell>
          <cell r="D464" t="str">
            <v>null</v>
          </cell>
          <cell r="E464">
            <v>45923.446527777778</v>
          </cell>
        </row>
        <row r="465">
          <cell r="A465">
            <v>8661246795</v>
          </cell>
          <cell r="B465">
            <v>10661170873</v>
          </cell>
          <cell r="C465" t="str">
            <v>null</v>
          </cell>
          <cell r="D465" t="str">
            <v>null</v>
          </cell>
          <cell r="E465">
            <v>45911.783333333333</v>
          </cell>
        </row>
        <row r="466">
          <cell r="A466">
            <v>8680652612</v>
          </cell>
          <cell r="B466">
            <v>10680578353</v>
          </cell>
          <cell r="C466" t="str">
            <v>null</v>
          </cell>
          <cell r="D466" t="str">
            <v>null</v>
          </cell>
          <cell r="E466">
            <v>45918.800694444442</v>
          </cell>
        </row>
        <row r="467">
          <cell r="A467">
            <v>8665242405</v>
          </cell>
          <cell r="B467">
            <v>10665166437</v>
          </cell>
          <cell r="C467" t="str">
            <v>null</v>
          </cell>
          <cell r="D467" t="str">
            <v>null</v>
          </cell>
          <cell r="E467">
            <v>45913.450694444444</v>
          </cell>
        </row>
        <row r="468">
          <cell r="A468">
            <v>8697803935</v>
          </cell>
          <cell r="B468">
            <v>10697733057</v>
          </cell>
          <cell r="C468" t="str">
            <v>null</v>
          </cell>
          <cell r="D468" t="str">
            <v>null</v>
          </cell>
          <cell r="E468">
            <v>45922.779861111114</v>
          </cell>
        </row>
        <row r="469">
          <cell r="A469">
            <v>8673378655</v>
          </cell>
          <cell r="B469">
            <v>10673303140</v>
          </cell>
          <cell r="C469" t="str">
            <v>null</v>
          </cell>
          <cell r="D469" t="str">
            <v>null</v>
          </cell>
          <cell r="E469">
            <v>45916.459722222222</v>
          </cell>
        </row>
        <row r="470">
          <cell r="A470">
            <v>8688227979</v>
          </cell>
          <cell r="B470">
            <v>10688155694</v>
          </cell>
          <cell r="C470" t="str">
            <v>null</v>
          </cell>
          <cell r="D470" t="str">
            <v>null</v>
          </cell>
          <cell r="E470">
            <v>45922.443055555559</v>
          </cell>
        </row>
        <row r="471">
          <cell r="A471">
            <v>8695941283</v>
          </cell>
          <cell r="B471">
            <v>10695869954</v>
          </cell>
          <cell r="C471" t="str">
            <v>null</v>
          </cell>
          <cell r="D471" t="str">
            <v>null</v>
          </cell>
          <cell r="E471">
            <v>45922.443055555559</v>
          </cell>
        </row>
        <row r="472">
          <cell r="A472">
            <v>8690310002</v>
          </cell>
          <cell r="B472">
            <v>10690238030</v>
          </cell>
          <cell r="C472" t="str">
            <v>null</v>
          </cell>
          <cell r="D472" t="str">
            <v>null</v>
          </cell>
          <cell r="E472">
            <v>45922.443055555559</v>
          </cell>
        </row>
        <row r="473">
          <cell r="A473">
            <v>8687823960</v>
          </cell>
          <cell r="B473">
            <v>10687751651</v>
          </cell>
          <cell r="C473" t="str">
            <v>null</v>
          </cell>
          <cell r="D473" t="str">
            <v>null</v>
          </cell>
          <cell r="E473">
            <v>45922.443055555559</v>
          </cell>
        </row>
        <row r="474">
          <cell r="A474">
            <v>8698177391</v>
          </cell>
          <cell r="B474">
            <v>10698106584</v>
          </cell>
          <cell r="C474" t="str">
            <v>null</v>
          </cell>
          <cell r="D474" t="str">
            <v>null</v>
          </cell>
          <cell r="E474">
            <v>45923.446527777778</v>
          </cell>
        </row>
        <row r="475">
          <cell r="A475">
            <v>8683928962</v>
          </cell>
          <cell r="B475">
            <v>10683855970</v>
          </cell>
          <cell r="C475" t="str">
            <v>null</v>
          </cell>
          <cell r="D475" t="str">
            <v>null</v>
          </cell>
          <cell r="E475">
            <v>45920.473611111112</v>
          </cell>
        </row>
        <row r="476">
          <cell r="A476">
            <v>8697069469</v>
          </cell>
          <cell r="B476">
            <v>10696998353</v>
          </cell>
          <cell r="C476" t="str">
            <v>null</v>
          </cell>
          <cell r="D476" t="str">
            <v>null</v>
          </cell>
          <cell r="E476">
            <v>45922.779861111114</v>
          </cell>
        </row>
        <row r="477">
          <cell r="A477">
            <v>8702278551</v>
          </cell>
          <cell r="B477">
            <v>10702209614</v>
          </cell>
          <cell r="C477" t="str">
            <v>null</v>
          </cell>
          <cell r="D477" t="str">
            <v>null</v>
          </cell>
          <cell r="E477">
            <v>45924.441666666666</v>
          </cell>
        </row>
        <row r="478">
          <cell r="A478">
            <v>8662109200</v>
          </cell>
          <cell r="B478">
            <v>10662033271</v>
          </cell>
          <cell r="C478" t="str">
            <v>null</v>
          </cell>
          <cell r="D478" t="str">
            <v>null</v>
          </cell>
          <cell r="E478">
            <v>45912.475694444445</v>
          </cell>
        </row>
        <row r="479">
          <cell r="A479">
            <v>8690582232</v>
          </cell>
          <cell r="B479">
            <v>10690510275</v>
          </cell>
          <cell r="C479" t="str">
            <v>null</v>
          </cell>
          <cell r="D479" t="str">
            <v>null</v>
          </cell>
          <cell r="E479">
            <v>45922.443055555559</v>
          </cell>
        </row>
        <row r="480">
          <cell r="A480">
            <v>8696450403</v>
          </cell>
          <cell r="B480">
            <v>10696379193</v>
          </cell>
          <cell r="C480" t="str">
            <v>null</v>
          </cell>
          <cell r="D480" t="str">
            <v>null</v>
          </cell>
          <cell r="E480">
            <v>45922.532638888886</v>
          </cell>
        </row>
        <row r="481">
          <cell r="A481">
            <v>8706673220</v>
          </cell>
          <cell r="B481">
            <v>10706605821</v>
          </cell>
          <cell r="C481" t="str">
            <v>null</v>
          </cell>
          <cell r="D481" t="str">
            <v>null</v>
          </cell>
          <cell r="E481">
            <v>45925.451388888891</v>
          </cell>
        </row>
        <row r="482">
          <cell r="A482">
            <v>8658143949</v>
          </cell>
          <cell r="B482">
            <v>10658068066</v>
          </cell>
          <cell r="C482" t="str">
            <v>null</v>
          </cell>
          <cell r="D482" t="str">
            <v>null</v>
          </cell>
          <cell r="E482">
            <v>45910.459722222222</v>
          </cell>
        </row>
        <row r="483">
          <cell r="A483">
            <v>8662876274</v>
          </cell>
          <cell r="B483">
            <v>10662800328</v>
          </cell>
          <cell r="C483" t="str">
            <v>null</v>
          </cell>
          <cell r="D483" t="str">
            <v>null</v>
          </cell>
          <cell r="E483">
            <v>45912.475694444445</v>
          </cell>
        </row>
        <row r="484">
          <cell r="A484">
            <v>8684439845</v>
          </cell>
          <cell r="B484">
            <v>10684366809</v>
          </cell>
          <cell r="C484" t="str">
            <v>null</v>
          </cell>
          <cell r="D484" t="str">
            <v>null</v>
          </cell>
          <cell r="E484">
            <v>45920.473611111112</v>
          </cell>
        </row>
        <row r="485">
          <cell r="A485">
            <v>8670314920</v>
          </cell>
          <cell r="B485">
            <v>10670239088</v>
          </cell>
          <cell r="C485" t="str">
            <v>null</v>
          </cell>
          <cell r="D485" t="str">
            <v>null</v>
          </cell>
          <cell r="E485">
            <v>45915.47152777778</v>
          </cell>
        </row>
        <row r="486">
          <cell r="A486">
            <v>8681010160</v>
          </cell>
          <cell r="B486">
            <v>10680935897</v>
          </cell>
          <cell r="C486" t="str">
            <v>null</v>
          </cell>
          <cell r="D486" t="str">
            <v>null</v>
          </cell>
          <cell r="E486">
            <v>45918.802083333336</v>
          </cell>
        </row>
        <row r="487">
          <cell r="A487">
            <v>8699197877</v>
          </cell>
          <cell r="B487">
            <v>10699127360</v>
          </cell>
          <cell r="C487" t="str">
            <v>null</v>
          </cell>
          <cell r="D487" t="str">
            <v>null</v>
          </cell>
          <cell r="E487">
            <v>45923.446527777778</v>
          </cell>
        </row>
        <row r="488">
          <cell r="A488">
            <v>8680104988</v>
          </cell>
          <cell r="B488">
            <v>10680030469</v>
          </cell>
          <cell r="C488" t="str">
            <v>null</v>
          </cell>
          <cell r="D488" t="str">
            <v>null</v>
          </cell>
          <cell r="E488">
            <v>45918.445138888892</v>
          </cell>
        </row>
        <row r="489">
          <cell r="A489">
            <v>8690920832</v>
          </cell>
          <cell r="B489">
            <v>10690848980</v>
          </cell>
          <cell r="C489" t="str">
            <v>null</v>
          </cell>
          <cell r="D489" t="str">
            <v>null</v>
          </cell>
          <cell r="E489">
            <v>45922.443055555559</v>
          </cell>
        </row>
        <row r="490">
          <cell r="A490">
            <v>8669740522</v>
          </cell>
          <cell r="B490">
            <v>10669664674</v>
          </cell>
          <cell r="C490" t="str">
            <v>null</v>
          </cell>
          <cell r="D490" t="str">
            <v>null</v>
          </cell>
          <cell r="E490">
            <v>45915.47152777778</v>
          </cell>
        </row>
        <row r="491">
          <cell r="A491">
            <v>8671977338</v>
          </cell>
          <cell r="B491">
            <v>10671901653</v>
          </cell>
          <cell r="C491" t="str">
            <v>null</v>
          </cell>
          <cell r="D491" t="str">
            <v>null</v>
          </cell>
          <cell r="E491">
            <v>45915.55</v>
          </cell>
        </row>
        <row r="492">
          <cell r="A492">
            <v>8678600193</v>
          </cell>
          <cell r="B492">
            <v>10678525356</v>
          </cell>
          <cell r="C492" t="str">
            <v>null</v>
          </cell>
          <cell r="D492" t="str">
            <v>null</v>
          </cell>
          <cell r="E492">
            <v>45917.792361111111</v>
          </cell>
        </row>
        <row r="493">
          <cell r="A493">
            <v>8681243759</v>
          </cell>
          <cell r="B493">
            <v>10681169730</v>
          </cell>
          <cell r="C493" t="str">
            <v>null</v>
          </cell>
          <cell r="D493" t="str">
            <v>null</v>
          </cell>
          <cell r="E493">
            <v>45919.434027777781</v>
          </cell>
        </row>
        <row r="494">
          <cell r="A494">
            <v>8681438935</v>
          </cell>
          <cell r="B494">
            <v>10681364915</v>
          </cell>
          <cell r="C494" t="str">
            <v>null</v>
          </cell>
          <cell r="D494" t="str">
            <v>null</v>
          </cell>
          <cell r="E494">
            <v>45919.434027777781</v>
          </cell>
        </row>
        <row r="495">
          <cell r="A495">
            <v>8691422928</v>
          </cell>
          <cell r="B495">
            <v>10691351165</v>
          </cell>
          <cell r="C495" t="str">
            <v>null</v>
          </cell>
          <cell r="D495" t="str">
            <v>null</v>
          </cell>
          <cell r="E495">
            <v>45922.443055555559</v>
          </cell>
        </row>
        <row r="496">
          <cell r="A496">
            <v>8694664241</v>
          </cell>
          <cell r="B496">
            <v>10694592678</v>
          </cell>
          <cell r="C496" t="str">
            <v>null</v>
          </cell>
          <cell r="D496" t="str">
            <v>null</v>
          </cell>
          <cell r="E496">
            <v>45922.443055555559</v>
          </cell>
        </row>
        <row r="497">
          <cell r="A497">
            <v>8378115534</v>
          </cell>
          <cell r="B497">
            <v>10378087692</v>
          </cell>
          <cell r="C497" t="str">
            <v>null</v>
          </cell>
          <cell r="D497" t="str">
            <v>null</v>
          </cell>
          <cell r="E497">
            <v>45737.765972222223</v>
          </cell>
        </row>
        <row r="498">
          <cell r="A498">
            <v>8682097274</v>
          </cell>
          <cell r="B498">
            <v>10682023979</v>
          </cell>
          <cell r="C498" t="str">
            <v>null</v>
          </cell>
          <cell r="D498" t="str">
            <v>null</v>
          </cell>
          <cell r="E498">
            <v>45919.525000000001</v>
          </cell>
        </row>
        <row r="499">
          <cell r="A499">
            <v>8664604018</v>
          </cell>
          <cell r="B499">
            <v>10664528051</v>
          </cell>
          <cell r="C499" t="str">
            <v>null</v>
          </cell>
          <cell r="D499" t="str">
            <v>null</v>
          </cell>
          <cell r="E499">
            <v>45913.450694444444</v>
          </cell>
        </row>
        <row r="500">
          <cell r="A500">
            <v>8685565962</v>
          </cell>
          <cell r="B500">
            <v>10685493046</v>
          </cell>
          <cell r="C500" t="str">
            <v>null</v>
          </cell>
          <cell r="D500" t="str">
            <v>null</v>
          </cell>
          <cell r="E500">
            <v>45920.473611111112</v>
          </cell>
        </row>
        <row r="501">
          <cell r="A501">
            <v>8669905946</v>
          </cell>
          <cell r="B501">
            <v>10669830098</v>
          </cell>
          <cell r="C501" t="str">
            <v>null</v>
          </cell>
          <cell r="D501" t="str">
            <v>null</v>
          </cell>
          <cell r="E501">
            <v>45915.47152777778</v>
          </cell>
        </row>
        <row r="502">
          <cell r="A502">
            <v>8692542512</v>
          </cell>
          <cell r="B502">
            <v>10692470820</v>
          </cell>
          <cell r="C502" t="str">
            <v>null</v>
          </cell>
          <cell r="D502" t="str">
            <v>null</v>
          </cell>
          <cell r="E502">
            <v>45922.443055555559</v>
          </cell>
        </row>
        <row r="503">
          <cell r="A503">
            <v>8694412952</v>
          </cell>
          <cell r="B503">
            <v>10694341402</v>
          </cell>
          <cell r="C503" t="str">
            <v>null</v>
          </cell>
          <cell r="D503" t="str">
            <v>null</v>
          </cell>
          <cell r="E503">
            <v>45922.443055555559</v>
          </cell>
        </row>
        <row r="504">
          <cell r="A504">
            <v>8696609594</v>
          </cell>
          <cell r="B504">
            <v>10696538397</v>
          </cell>
          <cell r="C504" t="str">
            <v>null</v>
          </cell>
          <cell r="D504" t="str">
            <v>null</v>
          </cell>
          <cell r="E504">
            <v>45922.532638888886</v>
          </cell>
        </row>
        <row r="505">
          <cell r="A505">
            <v>8691260646</v>
          </cell>
          <cell r="B505">
            <v>10691188862</v>
          </cell>
          <cell r="C505" t="str">
            <v>null</v>
          </cell>
          <cell r="D505" t="str">
            <v>null</v>
          </cell>
          <cell r="E505">
            <v>45922.443055555559</v>
          </cell>
        </row>
        <row r="506">
          <cell r="A506">
            <v>8700420125</v>
          </cell>
          <cell r="B506">
            <v>10700350426</v>
          </cell>
          <cell r="C506" t="str">
            <v>null</v>
          </cell>
          <cell r="D506" t="str">
            <v>null</v>
          </cell>
          <cell r="E506">
            <v>45923.446527777778</v>
          </cell>
        </row>
        <row r="507">
          <cell r="A507">
            <v>8663883621</v>
          </cell>
          <cell r="B507">
            <v>10663807683</v>
          </cell>
          <cell r="C507" t="str">
            <v>null</v>
          </cell>
          <cell r="D507" t="str">
            <v>null</v>
          </cell>
          <cell r="E507">
            <v>45912.803472222222</v>
          </cell>
        </row>
        <row r="508">
          <cell r="A508">
            <v>8659518257</v>
          </cell>
          <cell r="B508">
            <v>10659442361</v>
          </cell>
          <cell r="C508" t="str">
            <v>null</v>
          </cell>
          <cell r="D508" t="str">
            <v>null</v>
          </cell>
          <cell r="E508">
            <v>45911.459027777775</v>
          </cell>
        </row>
        <row r="509">
          <cell r="A509">
            <v>8682069874</v>
          </cell>
          <cell r="B509">
            <v>10681996579</v>
          </cell>
          <cell r="C509" t="str">
            <v>null</v>
          </cell>
          <cell r="D509" t="str">
            <v>null</v>
          </cell>
          <cell r="E509">
            <v>45919.525000000001</v>
          </cell>
        </row>
        <row r="510">
          <cell r="A510">
            <v>8682749335</v>
          </cell>
          <cell r="B510">
            <v>10682676336</v>
          </cell>
          <cell r="C510" t="str">
            <v>null</v>
          </cell>
          <cell r="D510" t="str">
            <v>null</v>
          </cell>
          <cell r="E510">
            <v>45920.473611111112</v>
          </cell>
        </row>
        <row r="511">
          <cell r="A511">
            <v>8668594339</v>
          </cell>
          <cell r="B511">
            <v>10668518467</v>
          </cell>
          <cell r="C511" t="str">
            <v>null</v>
          </cell>
          <cell r="D511" t="str">
            <v>null</v>
          </cell>
          <cell r="E511">
            <v>45915.47152777778</v>
          </cell>
        </row>
        <row r="512">
          <cell r="A512">
            <v>8677363499</v>
          </cell>
          <cell r="B512">
            <v>10677288567</v>
          </cell>
          <cell r="C512" t="str">
            <v>null</v>
          </cell>
          <cell r="D512" t="str">
            <v>null</v>
          </cell>
          <cell r="E512">
            <v>45917.434027777781</v>
          </cell>
        </row>
        <row r="513">
          <cell r="A513">
            <v>8679284151</v>
          </cell>
          <cell r="B513">
            <v>10679209400</v>
          </cell>
          <cell r="C513" t="str">
            <v>null</v>
          </cell>
          <cell r="D513" t="str">
            <v>null</v>
          </cell>
          <cell r="E513">
            <v>45918.445138888892</v>
          </cell>
        </row>
        <row r="514">
          <cell r="A514">
            <v>8670004890</v>
          </cell>
          <cell r="B514">
            <v>10669929036</v>
          </cell>
          <cell r="C514" t="str">
            <v>null</v>
          </cell>
          <cell r="D514" t="str">
            <v>null</v>
          </cell>
          <cell r="E514">
            <v>45915.47152777778</v>
          </cell>
        </row>
        <row r="515">
          <cell r="A515">
            <v>8673166572</v>
          </cell>
          <cell r="B515">
            <v>10673091014</v>
          </cell>
          <cell r="C515" t="str">
            <v>null</v>
          </cell>
          <cell r="D515" t="str">
            <v>null</v>
          </cell>
          <cell r="E515">
            <v>45916.459722222222</v>
          </cell>
        </row>
        <row r="516">
          <cell r="A516">
            <v>8679406849</v>
          </cell>
          <cell r="B516">
            <v>10679332098</v>
          </cell>
          <cell r="C516" t="str">
            <v>null</v>
          </cell>
          <cell r="D516" t="str">
            <v>null</v>
          </cell>
          <cell r="E516">
            <v>45918.445138888892</v>
          </cell>
        </row>
        <row r="517">
          <cell r="A517">
            <v>8668327470</v>
          </cell>
          <cell r="B517">
            <v>10668251566</v>
          </cell>
          <cell r="C517" t="str">
            <v>null</v>
          </cell>
          <cell r="D517" t="str">
            <v>null</v>
          </cell>
          <cell r="E517">
            <v>45915.47152777778</v>
          </cell>
        </row>
        <row r="518">
          <cell r="A518">
            <v>8686759194</v>
          </cell>
          <cell r="B518">
            <v>10686686593</v>
          </cell>
          <cell r="C518" t="str">
            <v>null</v>
          </cell>
          <cell r="D518" t="str">
            <v>null</v>
          </cell>
          <cell r="E518">
            <v>45920.538888888892</v>
          </cell>
        </row>
        <row r="519">
          <cell r="A519">
            <v>8666983824</v>
          </cell>
          <cell r="B519">
            <v>10666907916</v>
          </cell>
          <cell r="C519" t="str">
            <v>null</v>
          </cell>
          <cell r="D519" t="str">
            <v>null</v>
          </cell>
          <cell r="E519">
            <v>45913.771527777775</v>
          </cell>
        </row>
        <row r="520">
          <cell r="A520">
            <v>8681357466</v>
          </cell>
          <cell r="B520">
            <v>10681283443</v>
          </cell>
          <cell r="C520" t="str">
            <v>null</v>
          </cell>
          <cell r="D520" t="str">
            <v>null</v>
          </cell>
          <cell r="E520">
            <v>45919.434027777781</v>
          </cell>
        </row>
        <row r="521">
          <cell r="A521">
            <v>8709211879</v>
          </cell>
          <cell r="B521">
            <v>10709146960</v>
          </cell>
          <cell r="C521" t="str">
            <v>null</v>
          </cell>
          <cell r="D521" t="str">
            <v>null</v>
          </cell>
          <cell r="E521">
            <v>45926.445138888892</v>
          </cell>
        </row>
        <row r="522">
          <cell r="A522">
            <v>8659466063</v>
          </cell>
          <cell r="B522">
            <v>10659390167</v>
          </cell>
          <cell r="C522" t="str">
            <v>null</v>
          </cell>
          <cell r="D522" t="str">
            <v>null</v>
          </cell>
          <cell r="E522">
            <v>45910.774305555555</v>
          </cell>
        </row>
        <row r="523">
          <cell r="A523">
            <v>8675097215</v>
          </cell>
          <cell r="B523">
            <v>10675021810</v>
          </cell>
          <cell r="C523" t="str">
            <v>null</v>
          </cell>
          <cell r="D523" t="str">
            <v>null</v>
          </cell>
          <cell r="E523">
            <v>45916.560416666667</v>
          </cell>
        </row>
        <row r="524">
          <cell r="A524">
            <v>8687098475</v>
          </cell>
          <cell r="B524">
            <v>10687025887</v>
          </cell>
          <cell r="C524" t="str">
            <v>null</v>
          </cell>
          <cell r="D524" t="str">
            <v>null</v>
          </cell>
          <cell r="E524">
            <v>45920.575694444444</v>
          </cell>
        </row>
        <row r="525">
          <cell r="A525">
            <v>8694687361</v>
          </cell>
          <cell r="B525">
            <v>10694615798</v>
          </cell>
          <cell r="C525" t="str">
            <v>null</v>
          </cell>
          <cell r="D525" t="str">
            <v>null</v>
          </cell>
          <cell r="E525">
            <v>45922.443055555559</v>
          </cell>
        </row>
        <row r="526">
          <cell r="A526">
            <v>8695543632</v>
          </cell>
          <cell r="B526">
            <v>10695472164</v>
          </cell>
          <cell r="C526" t="str">
            <v>null</v>
          </cell>
          <cell r="D526" t="str">
            <v>null</v>
          </cell>
          <cell r="E526">
            <v>45922.443055555559</v>
          </cell>
        </row>
        <row r="527">
          <cell r="A527">
            <v>8704665177</v>
          </cell>
          <cell r="B527">
            <v>10704597212</v>
          </cell>
          <cell r="C527" t="str">
            <v>null</v>
          </cell>
          <cell r="D527" t="str">
            <v>null</v>
          </cell>
          <cell r="E527">
            <v>45924.55</v>
          </cell>
        </row>
        <row r="528">
          <cell r="A528">
            <v>8673411314</v>
          </cell>
          <cell r="B528">
            <v>10673335801</v>
          </cell>
          <cell r="C528" t="str">
            <v>null</v>
          </cell>
          <cell r="D528" t="str">
            <v>null</v>
          </cell>
          <cell r="E528">
            <v>45916.459722222222</v>
          </cell>
        </row>
        <row r="529">
          <cell r="A529">
            <v>8665007762</v>
          </cell>
          <cell r="B529">
            <v>10664931795</v>
          </cell>
          <cell r="C529" t="str">
            <v>null</v>
          </cell>
          <cell r="D529" t="str">
            <v>null</v>
          </cell>
          <cell r="E529">
            <v>45913.450694444444</v>
          </cell>
        </row>
        <row r="530">
          <cell r="A530">
            <v>8692891232</v>
          </cell>
          <cell r="B530">
            <v>10692819561</v>
          </cell>
          <cell r="C530" t="str">
            <v>null</v>
          </cell>
          <cell r="D530" t="str">
            <v>null</v>
          </cell>
          <cell r="E530">
            <v>45922.443055555559</v>
          </cell>
        </row>
        <row r="531">
          <cell r="A531">
            <v>8679706877</v>
          </cell>
          <cell r="B531">
            <v>10679632211</v>
          </cell>
          <cell r="C531" t="str">
            <v>null</v>
          </cell>
          <cell r="D531" t="str">
            <v>null</v>
          </cell>
          <cell r="E531">
            <v>45918.445138888892</v>
          </cell>
        </row>
        <row r="532">
          <cell r="A532">
            <v>8698964265</v>
          </cell>
          <cell r="B532">
            <v>10698893595</v>
          </cell>
          <cell r="C532" t="str">
            <v>null</v>
          </cell>
          <cell r="D532" t="str">
            <v>null</v>
          </cell>
          <cell r="E532">
            <v>45923.446527777778</v>
          </cell>
        </row>
        <row r="533">
          <cell r="A533">
            <v>8689247484</v>
          </cell>
          <cell r="B533">
            <v>10689175467</v>
          </cell>
          <cell r="C533" t="str">
            <v>null</v>
          </cell>
          <cell r="D533" t="str">
            <v>null</v>
          </cell>
          <cell r="E533">
            <v>45922.443055555559</v>
          </cell>
        </row>
        <row r="534">
          <cell r="A534">
            <v>8695689853</v>
          </cell>
          <cell r="B534">
            <v>10695618468</v>
          </cell>
          <cell r="C534" t="str">
            <v>null</v>
          </cell>
          <cell r="D534" t="str">
            <v>null</v>
          </cell>
          <cell r="E534">
            <v>45922.443055555559</v>
          </cell>
        </row>
        <row r="535">
          <cell r="A535">
            <v>8599978899</v>
          </cell>
          <cell r="B535">
            <v>10599905055</v>
          </cell>
          <cell r="C535" t="str">
            <v>null</v>
          </cell>
          <cell r="D535" t="str">
            <v>null</v>
          </cell>
          <cell r="E535">
            <v>45873.626388888886</v>
          </cell>
        </row>
        <row r="536">
          <cell r="A536">
            <v>8670087236</v>
          </cell>
          <cell r="B536">
            <v>10670011381</v>
          </cell>
          <cell r="C536" t="str">
            <v>null</v>
          </cell>
          <cell r="D536" t="str">
            <v>null</v>
          </cell>
          <cell r="E536">
            <v>45915.47152777778</v>
          </cell>
        </row>
        <row r="537">
          <cell r="A537">
            <v>8701295928</v>
          </cell>
          <cell r="B537">
            <v>10701226560</v>
          </cell>
          <cell r="C537" t="str">
            <v>null</v>
          </cell>
          <cell r="D537" t="str">
            <v>null</v>
          </cell>
          <cell r="E537">
            <v>45923.806944444441</v>
          </cell>
        </row>
        <row r="538">
          <cell r="A538">
            <v>8672455122</v>
          </cell>
          <cell r="B538">
            <v>10672379467</v>
          </cell>
          <cell r="C538" t="str">
            <v>null</v>
          </cell>
          <cell r="D538" t="str">
            <v>null</v>
          </cell>
          <cell r="E538">
            <v>45915.789583333331</v>
          </cell>
        </row>
        <row r="539">
          <cell r="A539">
            <v>8675526093</v>
          </cell>
          <cell r="B539">
            <v>10675450810</v>
          </cell>
          <cell r="C539" t="str">
            <v>null</v>
          </cell>
          <cell r="D539" t="str">
            <v>null</v>
          </cell>
          <cell r="E539">
            <v>45916.818055555559</v>
          </cell>
        </row>
        <row r="540">
          <cell r="A540">
            <v>8690835100</v>
          </cell>
          <cell r="B540">
            <v>10690763238</v>
          </cell>
          <cell r="C540" t="str">
            <v>null</v>
          </cell>
          <cell r="D540" t="str">
            <v>null</v>
          </cell>
          <cell r="E540">
            <v>45922.443055555559</v>
          </cell>
        </row>
        <row r="541">
          <cell r="A541">
            <v>8663926203</v>
          </cell>
          <cell r="B541">
            <v>10663850265</v>
          </cell>
          <cell r="C541" t="str">
            <v>null</v>
          </cell>
          <cell r="D541" t="str">
            <v>null</v>
          </cell>
          <cell r="E541">
            <v>45912.803472222222</v>
          </cell>
        </row>
        <row r="542">
          <cell r="A542">
            <v>8706210922</v>
          </cell>
          <cell r="B542">
            <v>10706143517</v>
          </cell>
          <cell r="C542" t="str">
            <v>null</v>
          </cell>
          <cell r="D542" t="str">
            <v>null</v>
          </cell>
          <cell r="E542">
            <v>45925.451388888891</v>
          </cell>
        </row>
        <row r="543">
          <cell r="A543">
            <v>8681023356</v>
          </cell>
          <cell r="B543">
            <v>10680949093</v>
          </cell>
          <cell r="C543" t="str">
            <v>null</v>
          </cell>
          <cell r="D543" t="str">
            <v>null</v>
          </cell>
          <cell r="E543">
            <v>45918.820833333331</v>
          </cell>
        </row>
        <row r="544">
          <cell r="A544">
            <v>8700305809</v>
          </cell>
          <cell r="B544">
            <v>10700236110</v>
          </cell>
          <cell r="C544" t="str">
            <v>null</v>
          </cell>
          <cell r="D544" t="str">
            <v>null</v>
          </cell>
          <cell r="E544">
            <v>45923.446527777778</v>
          </cell>
        </row>
        <row r="545">
          <cell r="A545">
            <v>8694911050</v>
          </cell>
          <cell r="B545">
            <v>10694839501</v>
          </cell>
          <cell r="C545" t="str">
            <v>null</v>
          </cell>
          <cell r="D545" t="str">
            <v>null</v>
          </cell>
          <cell r="E545">
            <v>45922.443055555559</v>
          </cell>
        </row>
        <row r="546">
          <cell r="A546">
            <v>8702968798</v>
          </cell>
          <cell r="B546">
            <v>10702899852</v>
          </cell>
          <cell r="C546" t="str">
            <v>null</v>
          </cell>
          <cell r="D546" t="str">
            <v>null</v>
          </cell>
          <cell r="E546">
            <v>45924.441666666666</v>
          </cell>
        </row>
        <row r="547">
          <cell r="A547">
            <v>8706180744</v>
          </cell>
          <cell r="B547">
            <v>10706113338</v>
          </cell>
          <cell r="C547" t="str">
            <v>null</v>
          </cell>
          <cell r="D547" t="str">
            <v>null</v>
          </cell>
          <cell r="E547">
            <v>45925.451388888891</v>
          </cell>
        </row>
        <row r="548">
          <cell r="A548">
            <v>8667562183</v>
          </cell>
          <cell r="B548">
            <v>10667486277</v>
          </cell>
          <cell r="C548" t="str">
            <v>null</v>
          </cell>
          <cell r="D548" t="str">
            <v>null</v>
          </cell>
          <cell r="E548">
            <v>45915.47152777778</v>
          </cell>
        </row>
        <row r="549">
          <cell r="A549">
            <v>8676684709</v>
          </cell>
          <cell r="B549">
            <v>10676609742</v>
          </cell>
          <cell r="C549" t="str">
            <v>null</v>
          </cell>
          <cell r="D549" t="str">
            <v>null</v>
          </cell>
          <cell r="E549">
            <v>45917.434027777781</v>
          </cell>
        </row>
        <row r="550">
          <cell r="A550">
            <v>8656967184</v>
          </cell>
          <cell r="B550">
            <v>10656891311</v>
          </cell>
          <cell r="C550" t="str">
            <v>null</v>
          </cell>
          <cell r="D550" t="str">
            <v>null</v>
          </cell>
          <cell r="E550">
            <v>45909.456250000003</v>
          </cell>
        </row>
        <row r="551">
          <cell r="A551">
            <v>8672976504</v>
          </cell>
          <cell r="B551">
            <v>10672900928</v>
          </cell>
          <cell r="C551" t="str">
            <v>null</v>
          </cell>
          <cell r="D551" t="str">
            <v>null</v>
          </cell>
          <cell r="E551">
            <v>45916.459722222222</v>
          </cell>
        </row>
        <row r="552">
          <cell r="A552">
            <v>8687284509</v>
          </cell>
          <cell r="B552">
            <v>10687211922</v>
          </cell>
          <cell r="C552" t="str">
            <v>null</v>
          </cell>
          <cell r="D552" t="str">
            <v>null</v>
          </cell>
          <cell r="E552">
            <v>45922.443055555559</v>
          </cell>
        </row>
        <row r="553">
          <cell r="A553">
            <v>8672771876</v>
          </cell>
          <cell r="B553">
            <v>10672696295</v>
          </cell>
          <cell r="C553" t="str">
            <v>null</v>
          </cell>
          <cell r="D553" t="str">
            <v>null</v>
          </cell>
          <cell r="E553">
            <v>45915.789583333331</v>
          </cell>
        </row>
        <row r="554">
          <cell r="A554">
            <v>8665449739</v>
          </cell>
          <cell r="B554">
            <v>10665373800</v>
          </cell>
          <cell r="C554" t="str">
            <v>null</v>
          </cell>
          <cell r="D554" t="str">
            <v>null</v>
          </cell>
          <cell r="E554">
            <v>45913.570833333331</v>
          </cell>
        </row>
        <row r="555">
          <cell r="A555">
            <v>8672051089</v>
          </cell>
          <cell r="B555">
            <v>10671975413</v>
          </cell>
          <cell r="C555" t="str">
            <v>null</v>
          </cell>
          <cell r="D555" t="str">
            <v>null</v>
          </cell>
          <cell r="E555">
            <v>45915.55</v>
          </cell>
        </row>
        <row r="556">
          <cell r="A556">
            <v>8664301435</v>
          </cell>
          <cell r="B556">
            <v>10664225483</v>
          </cell>
          <cell r="C556" t="str">
            <v>null</v>
          </cell>
          <cell r="D556" t="str">
            <v>null</v>
          </cell>
          <cell r="E556">
            <v>45913.450694444444</v>
          </cell>
        </row>
        <row r="557">
          <cell r="A557">
            <v>8680458890</v>
          </cell>
          <cell r="B557">
            <v>10680384507</v>
          </cell>
          <cell r="C557" t="str">
            <v>null</v>
          </cell>
          <cell r="D557" t="str">
            <v>null</v>
          </cell>
          <cell r="E557">
            <v>45918.800694444442</v>
          </cell>
        </row>
        <row r="558">
          <cell r="A558">
            <v>8657021789</v>
          </cell>
          <cell r="B558">
            <v>10656945910</v>
          </cell>
          <cell r="C558" t="str">
            <v>null</v>
          </cell>
          <cell r="D558" t="str">
            <v>null</v>
          </cell>
          <cell r="E558">
            <v>45909.456250000003</v>
          </cell>
        </row>
        <row r="559">
          <cell r="A559">
            <v>8695544424</v>
          </cell>
          <cell r="B559">
            <v>10695472956</v>
          </cell>
          <cell r="C559" t="str">
            <v>null</v>
          </cell>
          <cell r="D559" t="str">
            <v>null</v>
          </cell>
          <cell r="E559">
            <v>45922.443055555559</v>
          </cell>
        </row>
        <row r="560">
          <cell r="A560">
            <v>8661379163</v>
          </cell>
          <cell r="B560">
            <v>10661303241</v>
          </cell>
          <cell r="C560" t="str">
            <v>null</v>
          </cell>
          <cell r="D560" t="str">
            <v>null</v>
          </cell>
          <cell r="E560">
            <v>45911.783333333333</v>
          </cell>
        </row>
        <row r="561">
          <cell r="A561">
            <v>8670004888</v>
          </cell>
          <cell r="B561">
            <v>10669929034</v>
          </cell>
          <cell r="C561" t="str">
            <v>null</v>
          </cell>
          <cell r="D561" t="str">
            <v>null</v>
          </cell>
          <cell r="E561">
            <v>45915.47152777778</v>
          </cell>
        </row>
        <row r="562">
          <cell r="A562">
            <v>8681830415</v>
          </cell>
          <cell r="B562">
            <v>10681756867</v>
          </cell>
          <cell r="C562" t="str">
            <v>null</v>
          </cell>
          <cell r="D562" t="str">
            <v>null</v>
          </cell>
          <cell r="E562">
            <v>45919.434027777781</v>
          </cell>
        </row>
        <row r="563">
          <cell r="A563">
            <v>8687468614</v>
          </cell>
          <cell r="B563">
            <v>10687396035</v>
          </cell>
          <cell r="C563" t="str">
            <v>null</v>
          </cell>
          <cell r="D563" t="str">
            <v>null</v>
          </cell>
          <cell r="E563">
            <v>45922.443055555559</v>
          </cell>
        </row>
        <row r="564">
          <cell r="A564">
            <v>8680270452</v>
          </cell>
          <cell r="B564">
            <v>10680196035</v>
          </cell>
          <cell r="C564" t="str">
            <v>null</v>
          </cell>
          <cell r="D564" t="str">
            <v>null</v>
          </cell>
          <cell r="E564">
            <v>45918.544444444444</v>
          </cell>
        </row>
        <row r="565">
          <cell r="A565">
            <v>8667648203</v>
          </cell>
          <cell r="B565">
            <v>10667572302</v>
          </cell>
          <cell r="C565" t="str">
            <v>null</v>
          </cell>
          <cell r="D565" t="str">
            <v>null</v>
          </cell>
          <cell r="E565">
            <v>45915.47152777778</v>
          </cell>
        </row>
        <row r="566">
          <cell r="A566">
            <v>8680835728</v>
          </cell>
          <cell r="B566">
            <v>10680761485</v>
          </cell>
          <cell r="C566" t="str">
            <v>null</v>
          </cell>
          <cell r="D566" t="str">
            <v>null</v>
          </cell>
          <cell r="E566">
            <v>45918.800694444442</v>
          </cell>
        </row>
        <row r="567">
          <cell r="A567">
            <v>8662341758</v>
          </cell>
          <cell r="B567">
            <v>10662265807</v>
          </cell>
          <cell r="C567" t="str">
            <v>null</v>
          </cell>
          <cell r="D567" t="str">
            <v>null</v>
          </cell>
          <cell r="E567">
            <v>45912.475694444445</v>
          </cell>
        </row>
        <row r="568">
          <cell r="A568">
            <v>8690365732</v>
          </cell>
          <cell r="B568">
            <v>10690293765</v>
          </cell>
          <cell r="C568" t="str">
            <v>null</v>
          </cell>
          <cell r="D568" t="str">
            <v>null</v>
          </cell>
          <cell r="E568">
            <v>45922.443055555559</v>
          </cell>
        </row>
        <row r="569">
          <cell r="A569">
            <v>8666896038</v>
          </cell>
          <cell r="B569">
            <v>10666820130</v>
          </cell>
          <cell r="C569" t="str">
            <v>null</v>
          </cell>
          <cell r="D569" t="str">
            <v>null</v>
          </cell>
          <cell r="E569">
            <v>45913.771527777775</v>
          </cell>
        </row>
        <row r="570">
          <cell r="A570">
            <v>8685812812</v>
          </cell>
          <cell r="B570">
            <v>10685739903</v>
          </cell>
          <cell r="C570" t="str">
            <v>null</v>
          </cell>
          <cell r="D570" t="str">
            <v>null</v>
          </cell>
          <cell r="E570">
            <v>45920.473611111112</v>
          </cell>
        </row>
        <row r="571">
          <cell r="A571">
            <v>8700359014</v>
          </cell>
          <cell r="B571">
            <v>10700289313</v>
          </cell>
          <cell r="C571" t="str">
            <v>null</v>
          </cell>
          <cell r="D571" t="str">
            <v>null</v>
          </cell>
          <cell r="E571">
            <v>45923.446527777778</v>
          </cell>
        </row>
        <row r="572">
          <cell r="A572">
            <v>8680581306</v>
          </cell>
          <cell r="B572">
            <v>10680507030</v>
          </cell>
          <cell r="C572" t="str">
            <v>null</v>
          </cell>
          <cell r="D572" t="str">
            <v>null</v>
          </cell>
          <cell r="E572">
            <v>45918.800694444442</v>
          </cell>
        </row>
        <row r="573">
          <cell r="A573">
            <v>8673241096</v>
          </cell>
          <cell r="B573">
            <v>10673165555</v>
          </cell>
          <cell r="C573" t="str">
            <v>null</v>
          </cell>
          <cell r="D573" t="str">
            <v>null</v>
          </cell>
          <cell r="E573">
            <v>45916.459722222222</v>
          </cell>
        </row>
        <row r="574">
          <cell r="A574">
            <v>8696468577</v>
          </cell>
          <cell r="B574">
            <v>10696397374</v>
          </cell>
          <cell r="C574" t="str">
            <v>null</v>
          </cell>
          <cell r="D574" t="str">
            <v>null</v>
          </cell>
          <cell r="E574">
            <v>45922.532638888886</v>
          </cell>
        </row>
        <row r="575">
          <cell r="A575">
            <v>8697412249</v>
          </cell>
          <cell r="B575">
            <v>10697341267</v>
          </cell>
          <cell r="C575" t="str">
            <v>null</v>
          </cell>
          <cell r="D575" t="str">
            <v>null</v>
          </cell>
          <cell r="E575">
            <v>45922.779861111114</v>
          </cell>
        </row>
        <row r="576">
          <cell r="A576">
            <v>8661543409</v>
          </cell>
          <cell r="B576">
            <v>10661467487</v>
          </cell>
          <cell r="C576" t="str">
            <v>null</v>
          </cell>
          <cell r="D576" t="str">
            <v>null</v>
          </cell>
          <cell r="E576">
            <v>45912.475694444445</v>
          </cell>
        </row>
        <row r="577">
          <cell r="A577">
            <v>8662707145</v>
          </cell>
          <cell r="B577">
            <v>10662631198</v>
          </cell>
          <cell r="C577" t="str">
            <v>null</v>
          </cell>
          <cell r="D577" t="str">
            <v>null</v>
          </cell>
          <cell r="E577">
            <v>45912.475694444445</v>
          </cell>
        </row>
        <row r="578">
          <cell r="A578">
            <v>8695661593</v>
          </cell>
          <cell r="B578">
            <v>10695590144</v>
          </cell>
          <cell r="C578" t="str">
            <v>null</v>
          </cell>
          <cell r="D578" t="str">
            <v>null</v>
          </cell>
          <cell r="E578">
            <v>45922.443055555559</v>
          </cell>
        </row>
        <row r="579">
          <cell r="A579">
            <v>8683699399</v>
          </cell>
          <cell r="B579">
            <v>10683626410</v>
          </cell>
          <cell r="C579" t="str">
            <v>null</v>
          </cell>
          <cell r="D579" t="str">
            <v>null</v>
          </cell>
          <cell r="E579">
            <v>45920.473611111112</v>
          </cell>
        </row>
        <row r="580">
          <cell r="A580">
            <v>8694664242</v>
          </cell>
          <cell r="B580">
            <v>10694592679</v>
          </cell>
          <cell r="C580" t="str">
            <v>null</v>
          </cell>
          <cell r="D580" t="str">
            <v>null</v>
          </cell>
          <cell r="E580">
            <v>45922.443055555559</v>
          </cell>
        </row>
        <row r="581">
          <cell r="A581">
            <v>8672940065</v>
          </cell>
          <cell r="B581">
            <v>10672864489</v>
          </cell>
          <cell r="C581" t="str">
            <v>null</v>
          </cell>
          <cell r="D581" t="str">
            <v>null</v>
          </cell>
          <cell r="E581">
            <v>45916.459722222222</v>
          </cell>
        </row>
        <row r="582">
          <cell r="A582">
            <v>8682620190</v>
          </cell>
          <cell r="B582">
            <v>10682547184</v>
          </cell>
          <cell r="C582" t="str">
            <v>null</v>
          </cell>
          <cell r="D582" t="str">
            <v>null</v>
          </cell>
          <cell r="E582">
            <v>45919.79791666667</v>
          </cell>
        </row>
        <row r="583">
          <cell r="A583">
            <v>8683798730</v>
          </cell>
          <cell r="B583">
            <v>10683725740</v>
          </cell>
          <cell r="C583" t="str">
            <v>null</v>
          </cell>
          <cell r="D583" t="str">
            <v>null</v>
          </cell>
          <cell r="E583">
            <v>45920.473611111112</v>
          </cell>
        </row>
        <row r="584">
          <cell r="A584">
            <v>8695941287</v>
          </cell>
          <cell r="B584">
            <v>10695869958</v>
          </cell>
          <cell r="C584" t="str">
            <v>null</v>
          </cell>
          <cell r="D584" t="str">
            <v>null</v>
          </cell>
          <cell r="E584">
            <v>45922.443055555559</v>
          </cell>
        </row>
        <row r="585">
          <cell r="A585">
            <v>8663313597</v>
          </cell>
          <cell r="B585">
            <v>10663237650</v>
          </cell>
          <cell r="C585" t="str">
            <v>null</v>
          </cell>
          <cell r="D585" t="str">
            <v>null</v>
          </cell>
          <cell r="E585">
            <v>45912.803472222222</v>
          </cell>
        </row>
        <row r="586">
          <cell r="A586">
            <v>8694664240</v>
          </cell>
          <cell r="B586">
            <v>10694592677</v>
          </cell>
          <cell r="C586" t="str">
            <v>null</v>
          </cell>
          <cell r="D586" t="str">
            <v>null</v>
          </cell>
          <cell r="E586">
            <v>45922.443055555559</v>
          </cell>
        </row>
        <row r="587">
          <cell r="A587">
            <v>8672870386</v>
          </cell>
          <cell r="B587">
            <v>10672794809</v>
          </cell>
          <cell r="C587" t="str">
            <v>null</v>
          </cell>
          <cell r="D587" t="str">
            <v>null</v>
          </cell>
          <cell r="E587">
            <v>45915.790972222225</v>
          </cell>
        </row>
        <row r="588">
          <cell r="A588">
            <v>8693415291</v>
          </cell>
          <cell r="B588">
            <v>10693343652</v>
          </cell>
          <cell r="C588" t="str">
            <v>null</v>
          </cell>
          <cell r="D588" t="str">
            <v>null</v>
          </cell>
          <cell r="E588">
            <v>45922.443055555559</v>
          </cell>
        </row>
        <row r="589">
          <cell r="A589">
            <v>8661360320</v>
          </cell>
          <cell r="B589">
            <v>10661284398</v>
          </cell>
          <cell r="C589" t="str">
            <v>null</v>
          </cell>
          <cell r="D589" t="str">
            <v>null</v>
          </cell>
          <cell r="E589">
            <v>45911.783333333333</v>
          </cell>
        </row>
        <row r="590">
          <cell r="A590">
            <v>8686513129</v>
          </cell>
          <cell r="B590">
            <v>10686440530</v>
          </cell>
          <cell r="C590" t="str">
            <v>null</v>
          </cell>
          <cell r="D590" t="str">
            <v>null</v>
          </cell>
          <cell r="E590">
            <v>45920.538888888892</v>
          </cell>
        </row>
        <row r="591">
          <cell r="A591">
            <v>8698760848</v>
          </cell>
          <cell r="B591">
            <v>10698690149</v>
          </cell>
          <cell r="C591" t="str">
            <v>null</v>
          </cell>
          <cell r="D591" t="str">
            <v>null</v>
          </cell>
          <cell r="E591">
            <v>45923.446527777778</v>
          </cell>
        </row>
        <row r="592">
          <cell r="A592">
            <v>8695924416</v>
          </cell>
          <cell r="B592">
            <v>10695853086</v>
          </cell>
          <cell r="C592" t="str">
            <v>null</v>
          </cell>
          <cell r="D592" t="str">
            <v>null</v>
          </cell>
          <cell r="E592">
            <v>45922.443055555559</v>
          </cell>
        </row>
        <row r="593">
          <cell r="A593">
            <v>8665912845</v>
          </cell>
          <cell r="B593">
            <v>10665836910</v>
          </cell>
          <cell r="C593" t="str">
            <v>null</v>
          </cell>
          <cell r="D593" t="str">
            <v>null</v>
          </cell>
          <cell r="E593">
            <v>45913.570833333331</v>
          </cell>
        </row>
        <row r="594">
          <cell r="A594">
            <v>8710495331</v>
          </cell>
          <cell r="B594">
            <v>10710431779</v>
          </cell>
          <cell r="C594" t="str">
            <v>null</v>
          </cell>
          <cell r="D594" t="str">
            <v>null</v>
          </cell>
          <cell r="E594">
            <v>45926.446527777778</v>
          </cell>
        </row>
        <row r="595">
          <cell r="A595">
            <v>8664041077</v>
          </cell>
          <cell r="B595">
            <v>10663965137</v>
          </cell>
          <cell r="C595" t="str">
            <v>null</v>
          </cell>
          <cell r="D595" t="str">
            <v>null</v>
          </cell>
          <cell r="E595">
            <v>45913.450694444444</v>
          </cell>
        </row>
        <row r="596">
          <cell r="A596">
            <v>8673164938</v>
          </cell>
          <cell r="B596">
            <v>10673089378</v>
          </cell>
          <cell r="C596" t="str">
            <v>null</v>
          </cell>
          <cell r="D596" t="str">
            <v>null</v>
          </cell>
          <cell r="E596">
            <v>45916.459722222222</v>
          </cell>
        </row>
        <row r="597">
          <cell r="A597">
            <v>8706210924</v>
          </cell>
          <cell r="B597">
            <v>10706143520</v>
          </cell>
          <cell r="C597" t="str">
            <v>null</v>
          </cell>
          <cell r="D597" t="str">
            <v>null</v>
          </cell>
          <cell r="E597">
            <v>45925.451388888891</v>
          </cell>
        </row>
        <row r="598">
          <cell r="A598">
            <v>8650709167</v>
          </cell>
          <cell r="B598">
            <v>10650633426</v>
          </cell>
          <cell r="C598" t="str">
            <v>null</v>
          </cell>
          <cell r="D598" t="str">
            <v>null</v>
          </cell>
          <cell r="E598">
            <v>45906.475694444445</v>
          </cell>
        </row>
        <row r="599">
          <cell r="A599">
            <v>8672963529</v>
          </cell>
          <cell r="B599">
            <v>10672887953</v>
          </cell>
          <cell r="C599" t="str">
            <v>null</v>
          </cell>
          <cell r="D599" t="str">
            <v>null</v>
          </cell>
          <cell r="E599">
            <v>45916.459722222222</v>
          </cell>
        </row>
        <row r="600">
          <cell r="A600">
            <v>8690634420</v>
          </cell>
          <cell r="B600">
            <v>10690562465</v>
          </cell>
          <cell r="C600" t="str">
            <v>null</v>
          </cell>
          <cell r="D600" t="str">
            <v>null</v>
          </cell>
          <cell r="E600">
            <v>45922.443055555559</v>
          </cell>
        </row>
        <row r="601">
          <cell r="A601">
            <v>8672100659</v>
          </cell>
          <cell r="B601">
            <v>10672024987</v>
          </cell>
          <cell r="C601" t="str">
            <v>null</v>
          </cell>
          <cell r="D601" t="str">
            <v>null</v>
          </cell>
          <cell r="E601">
            <v>45915.789583333331</v>
          </cell>
        </row>
        <row r="602">
          <cell r="A602">
            <v>8689271567</v>
          </cell>
          <cell r="B602">
            <v>10689199550</v>
          </cell>
          <cell r="C602" t="str">
            <v>null</v>
          </cell>
          <cell r="D602" t="str">
            <v>null</v>
          </cell>
          <cell r="E602">
            <v>45922.443055555559</v>
          </cell>
        </row>
        <row r="603">
          <cell r="A603">
            <v>8664000175</v>
          </cell>
          <cell r="B603">
            <v>10663924235</v>
          </cell>
          <cell r="C603" t="str">
            <v>null</v>
          </cell>
          <cell r="D603" t="str">
            <v>null</v>
          </cell>
          <cell r="E603">
            <v>45912.803472222222</v>
          </cell>
        </row>
        <row r="604">
          <cell r="A604">
            <v>8675096594</v>
          </cell>
          <cell r="B604">
            <v>10675021189</v>
          </cell>
          <cell r="C604" t="str">
            <v>null</v>
          </cell>
          <cell r="D604" t="str">
            <v>null</v>
          </cell>
          <cell r="E604">
            <v>45916.560416666667</v>
          </cell>
        </row>
        <row r="605">
          <cell r="A605">
            <v>8692031977</v>
          </cell>
          <cell r="B605">
            <v>10691960240</v>
          </cell>
          <cell r="C605" t="str">
            <v>null</v>
          </cell>
          <cell r="D605" t="str">
            <v>null</v>
          </cell>
          <cell r="E605">
            <v>45922.443055555559</v>
          </cell>
        </row>
        <row r="606">
          <cell r="A606">
            <v>8658461828</v>
          </cell>
          <cell r="B606">
            <v>10658385934</v>
          </cell>
          <cell r="C606" t="str">
            <v>null</v>
          </cell>
          <cell r="D606" t="str">
            <v>null</v>
          </cell>
          <cell r="E606">
            <v>45910.459722222222</v>
          </cell>
        </row>
        <row r="607">
          <cell r="A607">
            <v>8670048910</v>
          </cell>
          <cell r="B607">
            <v>10669973056</v>
          </cell>
          <cell r="C607" t="str">
            <v>null</v>
          </cell>
          <cell r="D607" t="str">
            <v>null</v>
          </cell>
          <cell r="E607">
            <v>45915.47152777778</v>
          </cell>
        </row>
        <row r="608">
          <cell r="A608">
            <v>8672536845</v>
          </cell>
          <cell r="B608">
            <v>10672461205</v>
          </cell>
          <cell r="C608" t="str">
            <v>null</v>
          </cell>
          <cell r="D608" t="str">
            <v>null</v>
          </cell>
          <cell r="E608">
            <v>45915.789583333331</v>
          </cell>
        </row>
        <row r="609">
          <cell r="A609">
            <v>8679854503</v>
          </cell>
          <cell r="B609">
            <v>10679779905</v>
          </cell>
          <cell r="C609" t="str">
            <v>null</v>
          </cell>
          <cell r="D609" t="str">
            <v>null</v>
          </cell>
          <cell r="E609">
            <v>45918.445138888892</v>
          </cell>
        </row>
        <row r="610">
          <cell r="A610">
            <v>8700263061</v>
          </cell>
          <cell r="B610">
            <v>10700193054</v>
          </cell>
          <cell r="C610" t="str">
            <v>null</v>
          </cell>
          <cell r="D610" t="str">
            <v>null</v>
          </cell>
          <cell r="E610">
            <v>45923.446527777778</v>
          </cell>
        </row>
        <row r="611">
          <cell r="A611">
            <v>8677429790</v>
          </cell>
          <cell r="B611">
            <v>10677354866</v>
          </cell>
          <cell r="C611" t="str">
            <v>null</v>
          </cell>
          <cell r="D611" t="str">
            <v>null</v>
          </cell>
          <cell r="E611">
            <v>45917.434027777781</v>
          </cell>
        </row>
        <row r="612">
          <cell r="A612">
            <v>8695472253</v>
          </cell>
          <cell r="B612">
            <v>10695400767</v>
          </cell>
          <cell r="C612" t="str">
            <v>null</v>
          </cell>
          <cell r="D612" t="str">
            <v>null</v>
          </cell>
          <cell r="E612">
            <v>45922.443055555559</v>
          </cell>
        </row>
        <row r="613">
          <cell r="A613">
            <v>8664113232</v>
          </cell>
          <cell r="B613">
            <v>10664037280</v>
          </cell>
          <cell r="C613" t="str">
            <v>null</v>
          </cell>
          <cell r="D613" t="str">
            <v>null</v>
          </cell>
          <cell r="E613">
            <v>45913.450694444444</v>
          </cell>
        </row>
        <row r="614">
          <cell r="A614">
            <v>8681666403</v>
          </cell>
          <cell r="B614">
            <v>10681592349</v>
          </cell>
          <cell r="C614" t="str">
            <v>null</v>
          </cell>
          <cell r="D614" t="str">
            <v>null</v>
          </cell>
          <cell r="E614">
            <v>45919.434027777781</v>
          </cell>
        </row>
        <row r="615">
          <cell r="A615">
            <v>8693566791</v>
          </cell>
          <cell r="B615">
            <v>10693495165</v>
          </cell>
          <cell r="C615" t="str">
            <v>null</v>
          </cell>
          <cell r="D615" t="str">
            <v>null</v>
          </cell>
          <cell r="E615">
            <v>45922.443055555559</v>
          </cell>
        </row>
        <row r="616">
          <cell r="A616">
            <v>8696936954</v>
          </cell>
          <cell r="B616">
            <v>10696865793</v>
          </cell>
          <cell r="C616" t="str">
            <v>null</v>
          </cell>
          <cell r="D616" t="str">
            <v>null</v>
          </cell>
          <cell r="E616">
            <v>45922.779861111114</v>
          </cell>
        </row>
        <row r="617">
          <cell r="A617">
            <v>8655681370</v>
          </cell>
          <cell r="B617">
            <v>10655605517</v>
          </cell>
          <cell r="C617" t="str">
            <v>null</v>
          </cell>
          <cell r="D617" t="str">
            <v>null</v>
          </cell>
          <cell r="E617">
            <v>45908.48333333333</v>
          </cell>
        </row>
        <row r="618">
          <cell r="A618">
            <v>8663891760</v>
          </cell>
          <cell r="B618">
            <v>10663815822</v>
          </cell>
          <cell r="C618" t="str">
            <v>null</v>
          </cell>
          <cell r="D618" t="str">
            <v>null</v>
          </cell>
          <cell r="E618">
            <v>45912.803472222222</v>
          </cell>
        </row>
        <row r="619">
          <cell r="A619">
            <v>8675256419</v>
          </cell>
          <cell r="B619">
            <v>10675181062</v>
          </cell>
          <cell r="C619" t="str">
            <v>null</v>
          </cell>
          <cell r="D619" t="str">
            <v>null</v>
          </cell>
          <cell r="E619">
            <v>45916.560416666667</v>
          </cell>
        </row>
        <row r="620">
          <cell r="A620">
            <v>8694116902</v>
          </cell>
          <cell r="B620">
            <v>10694045273</v>
          </cell>
          <cell r="C620" t="str">
            <v>null</v>
          </cell>
          <cell r="D620" t="str">
            <v>null</v>
          </cell>
          <cell r="E620">
            <v>45922.443055555559</v>
          </cell>
        </row>
        <row r="621">
          <cell r="A621">
            <v>8679197213</v>
          </cell>
          <cell r="B621">
            <v>10679122449</v>
          </cell>
          <cell r="C621" t="str">
            <v>null</v>
          </cell>
          <cell r="D621" t="str">
            <v>null</v>
          </cell>
          <cell r="E621">
            <v>45917.792361111111</v>
          </cell>
        </row>
        <row r="622">
          <cell r="A622">
            <v>8668992574</v>
          </cell>
          <cell r="B622">
            <v>10668916706</v>
          </cell>
          <cell r="C622" t="str">
            <v>null</v>
          </cell>
          <cell r="D622" t="str">
            <v>null</v>
          </cell>
          <cell r="E622">
            <v>45915.47152777778</v>
          </cell>
        </row>
        <row r="623">
          <cell r="A623">
            <v>8696157014</v>
          </cell>
          <cell r="B623">
            <v>10696085789</v>
          </cell>
          <cell r="C623" t="str">
            <v>null</v>
          </cell>
          <cell r="D623" t="str">
            <v>null</v>
          </cell>
          <cell r="E623">
            <v>45922.444444444445</v>
          </cell>
        </row>
        <row r="624">
          <cell r="A624">
            <v>8672924800</v>
          </cell>
          <cell r="B624">
            <v>10672849224</v>
          </cell>
          <cell r="C624" t="str">
            <v>null</v>
          </cell>
          <cell r="D624" t="str">
            <v>null</v>
          </cell>
          <cell r="E624">
            <v>45916.459722222222</v>
          </cell>
        </row>
        <row r="625">
          <cell r="A625">
            <v>8662341757</v>
          </cell>
          <cell r="B625">
            <v>10662265806</v>
          </cell>
          <cell r="C625" t="str">
            <v>null</v>
          </cell>
          <cell r="D625" t="str">
            <v>null</v>
          </cell>
          <cell r="E625">
            <v>45912.475694444445</v>
          </cell>
        </row>
        <row r="626">
          <cell r="A626">
            <v>8682748140</v>
          </cell>
          <cell r="B626">
            <v>10682675141</v>
          </cell>
          <cell r="C626" t="str">
            <v>null</v>
          </cell>
          <cell r="D626" t="str">
            <v>null</v>
          </cell>
          <cell r="E626">
            <v>45920.473611111112</v>
          </cell>
        </row>
        <row r="627">
          <cell r="A627">
            <v>8683362445</v>
          </cell>
          <cell r="B627">
            <v>10683289443</v>
          </cell>
          <cell r="C627" t="str">
            <v>null</v>
          </cell>
          <cell r="D627" t="str">
            <v>null</v>
          </cell>
          <cell r="E627">
            <v>45920.473611111112</v>
          </cell>
        </row>
        <row r="628">
          <cell r="A628">
            <v>8649615155</v>
          </cell>
          <cell r="B628">
            <v>10649539455</v>
          </cell>
          <cell r="C628" t="str">
            <v>null</v>
          </cell>
          <cell r="D628" t="str">
            <v>null</v>
          </cell>
          <cell r="E628">
            <v>45905.450694444444</v>
          </cell>
        </row>
        <row r="629">
          <cell r="A629">
            <v>8670260084</v>
          </cell>
          <cell r="B629">
            <v>10670184241</v>
          </cell>
          <cell r="C629" t="str">
            <v>null</v>
          </cell>
          <cell r="D629" t="str">
            <v>null</v>
          </cell>
          <cell r="E629">
            <v>45915.47152777778</v>
          </cell>
        </row>
        <row r="630">
          <cell r="A630">
            <v>8671776895</v>
          </cell>
          <cell r="B630">
            <v>10671701171</v>
          </cell>
          <cell r="C630" t="str">
            <v>null</v>
          </cell>
          <cell r="D630" t="str">
            <v>null</v>
          </cell>
          <cell r="E630">
            <v>45915.47152777778</v>
          </cell>
        </row>
        <row r="631">
          <cell r="A631">
            <v>8676687007</v>
          </cell>
          <cell r="B631">
            <v>10676612041</v>
          </cell>
          <cell r="C631" t="str">
            <v>null</v>
          </cell>
          <cell r="D631" t="str">
            <v>null</v>
          </cell>
          <cell r="E631">
            <v>45917.434027777781</v>
          </cell>
        </row>
        <row r="632">
          <cell r="A632">
            <v>8689364850</v>
          </cell>
          <cell r="B632">
            <v>10689292835</v>
          </cell>
          <cell r="C632" t="str">
            <v>null</v>
          </cell>
          <cell r="D632" t="str">
            <v>null</v>
          </cell>
          <cell r="E632">
            <v>45922.443055555559</v>
          </cell>
        </row>
        <row r="633">
          <cell r="A633">
            <v>8695986634</v>
          </cell>
          <cell r="B633">
            <v>10695915309</v>
          </cell>
          <cell r="C633" t="str">
            <v>null</v>
          </cell>
          <cell r="D633" t="str">
            <v>null</v>
          </cell>
          <cell r="E633">
            <v>45922.443055555559</v>
          </cell>
        </row>
        <row r="634">
          <cell r="A634">
            <v>8661889346</v>
          </cell>
          <cell r="B634">
            <v>10661813423</v>
          </cell>
          <cell r="C634" t="str">
            <v>null</v>
          </cell>
          <cell r="D634" t="str">
            <v>null</v>
          </cell>
          <cell r="E634">
            <v>45912.475694444445</v>
          </cell>
        </row>
        <row r="635">
          <cell r="A635">
            <v>8672975238</v>
          </cell>
          <cell r="B635">
            <v>10672899662</v>
          </cell>
          <cell r="C635" t="str">
            <v>null</v>
          </cell>
          <cell r="D635" t="str">
            <v>null</v>
          </cell>
          <cell r="E635">
            <v>45916.459722222222</v>
          </cell>
        </row>
        <row r="636">
          <cell r="A636">
            <v>8674661457</v>
          </cell>
          <cell r="B636">
            <v>10674586007</v>
          </cell>
          <cell r="C636" t="str">
            <v>null</v>
          </cell>
          <cell r="D636" t="str">
            <v>null</v>
          </cell>
          <cell r="E636">
            <v>45916.459722222222</v>
          </cell>
        </row>
        <row r="637">
          <cell r="A637">
            <v>8698580421</v>
          </cell>
          <cell r="B637">
            <v>10698509679</v>
          </cell>
          <cell r="C637" t="str">
            <v>null</v>
          </cell>
          <cell r="D637" t="str">
            <v>null</v>
          </cell>
          <cell r="E637">
            <v>45923.446527777778</v>
          </cell>
        </row>
        <row r="638">
          <cell r="A638">
            <v>8661072455</v>
          </cell>
          <cell r="B638">
            <v>10660996526</v>
          </cell>
          <cell r="C638" t="str">
            <v>null</v>
          </cell>
          <cell r="D638" t="str">
            <v>null</v>
          </cell>
          <cell r="E638">
            <v>45911.783333333333</v>
          </cell>
        </row>
        <row r="639">
          <cell r="A639">
            <v>8689877308</v>
          </cell>
          <cell r="B639">
            <v>10689805301</v>
          </cell>
          <cell r="C639" t="str">
            <v>null</v>
          </cell>
          <cell r="D639" t="str">
            <v>null</v>
          </cell>
          <cell r="E639">
            <v>45922.443055555559</v>
          </cell>
        </row>
        <row r="640">
          <cell r="A640">
            <v>8666747268</v>
          </cell>
          <cell r="B640">
            <v>10666671360</v>
          </cell>
          <cell r="C640" t="str">
            <v>null</v>
          </cell>
          <cell r="D640" t="str">
            <v>null</v>
          </cell>
          <cell r="E640">
            <v>45913.771527777775</v>
          </cell>
        </row>
        <row r="641">
          <cell r="A641">
            <v>8673323216</v>
          </cell>
          <cell r="B641">
            <v>10673247692</v>
          </cell>
          <cell r="C641" t="str">
            <v>null</v>
          </cell>
          <cell r="D641" t="str">
            <v>null</v>
          </cell>
          <cell r="E641">
            <v>45916.459722222222</v>
          </cell>
        </row>
        <row r="642">
          <cell r="A642">
            <v>8690064005</v>
          </cell>
          <cell r="B642">
            <v>10689992017</v>
          </cell>
          <cell r="C642" t="str">
            <v>null</v>
          </cell>
          <cell r="D642" t="str">
            <v>null</v>
          </cell>
          <cell r="E642">
            <v>45922.443055555559</v>
          </cell>
        </row>
      </sheetData>
      <sheetData sheetId="8"/>
      <sheetData sheetId="9"/>
      <sheetData sheetId="10">
        <row r="1">
          <cell r="A1" t="str">
            <v>order_release_id</v>
          </cell>
          <cell r="B1" t="str">
            <v>order_line_id</v>
          </cell>
          <cell r="C1" t="str">
            <v>return_type</v>
          </cell>
          <cell r="D1" t="str">
            <v>return_date</v>
          </cell>
          <cell r="E1" t="str">
            <v>packing_date</v>
          </cell>
          <cell r="F1" t="str">
            <v>delivery_date</v>
          </cell>
          <cell r="G1" t="str">
            <v>ecommerce_portal_name</v>
          </cell>
          <cell r="H1" t="str">
            <v>sku_code</v>
          </cell>
          <cell r="I1" t="str">
            <v>invoice_number</v>
          </cell>
          <cell r="J1" t="str">
            <v>packet_id</v>
          </cell>
          <cell r="K1" t="str">
            <v>hsn_code</v>
          </cell>
          <cell r="L1" t="str">
            <v>product_tax_category</v>
          </cell>
          <cell r="M1" t="str">
            <v>currency</v>
          </cell>
          <cell r="N1" t="str">
            <v>seller_product_amount</v>
          </cell>
          <cell r="O1" t="str">
            <v>postpaid_amount</v>
          </cell>
          <cell r="P1" t="str">
            <v>prepaid_amount</v>
          </cell>
          <cell r="Q1" t="str">
            <v>mrp</v>
          </cell>
          <cell r="R1" t="str">
            <v>total_discount_amount</v>
          </cell>
          <cell r="S1" t="str">
            <v>shipping_case_s</v>
          </cell>
          <cell r="T1" t="str">
            <v>total_tax_rate</v>
          </cell>
          <cell r="U1" t="str">
            <v>igst_amount</v>
          </cell>
          <cell r="V1" t="str">
            <v>cgst_amount</v>
          </cell>
          <cell r="W1" t="str">
            <v>sgst_amount</v>
          </cell>
          <cell r="X1" t="str">
            <v>tcs_amount</v>
          </cell>
          <cell r="Y1" t="str">
            <v>tds_amount</v>
          </cell>
          <cell r="Z1" t="str">
            <v>commission_percentage</v>
          </cell>
          <cell r="AA1" t="str">
            <v>minimum_commission</v>
          </cell>
          <cell r="AB1" t="str">
            <v>platform_fees</v>
          </cell>
          <cell r="AC1" t="str">
            <v>total_commission</v>
          </cell>
          <cell r="AD1" t="str">
            <v>total_commission_plus_tcs_tds_deduction</v>
          </cell>
          <cell r="AE1" t="str">
            <v>total_logistics_deduction</v>
          </cell>
          <cell r="AF1" t="str">
            <v>shipping_fee</v>
          </cell>
          <cell r="AG1" t="str">
            <v>fixed_fee</v>
          </cell>
          <cell r="AH1" t="str">
            <v>pick_and_pack_fee</v>
          </cell>
          <cell r="AI1" t="str">
            <v>payment_gateway_fee</v>
          </cell>
          <cell r="AJ1" t="str">
            <v>total_tax_on_logistics</v>
          </cell>
          <cell r="AK1" t="str">
            <v>article_level</v>
          </cell>
          <cell r="AL1" t="str">
            <v>shipment_zone_classification</v>
          </cell>
          <cell r="AM1" t="str">
            <v>customer_paid_amt</v>
          </cell>
          <cell r="AN1" t="str">
            <v>total_settlement</v>
          </cell>
          <cell r="AO1" t="str">
            <v>total_actual_settlement</v>
          </cell>
          <cell r="AP1" t="str">
            <v>amount_pending_settlement</v>
          </cell>
          <cell r="AQ1" t="str">
            <v>prepaid_commission_deduction</v>
          </cell>
          <cell r="AR1" t="str">
            <v>prepaid_logistics_deduction</v>
          </cell>
          <cell r="AS1" t="str">
            <v>prepaid_payment</v>
          </cell>
          <cell r="AT1" t="str">
            <v>postpaid_commission_deduction</v>
          </cell>
          <cell r="AU1" t="str">
            <v>postpaid_logistics_deduction</v>
          </cell>
          <cell r="AV1" t="str">
            <v>postpaid_payment</v>
          </cell>
          <cell r="AW1" t="str">
            <v>settlement_date_prepaid_comm_deduction</v>
          </cell>
          <cell r="AX1" t="str">
            <v>settlement_date_prepaid_logistics_deduction</v>
          </cell>
          <cell r="AY1" t="str">
            <v>settlement_date_prepaid_payment</v>
          </cell>
          <cell r="AZ1" t="str">
            <v>settlement_date_postpaid_comm_deduction</v>
          </cell>
          <cell r="BA1" t="str">
            <v>settlement_date_postpaid_logistics_deduction</v>
          </cell>
          <cell r="BB1" t="str">
            <v>settlement_date_postpaid_payment</v>
          </cell>
          <cell r="BC1" t="str">
            <v>bank_utr_no_prepaid_comm_deduction</v>
          </cell>
          <cell r="BD1" t="str">
            <v>bank_utr_no_prepaid_logistics_deduction</v>
          </cell>
          <cell r="BE1" t="str">
            <v>bank_utr_no_prepaid_payment</v>
          </cell>
          <cell r="BF1" t="str">
            <v>bank_utr_no_postpaid_comm_deduction</v>
          </cell>
          <cell r="BG1" t="str">
            <v>bank_utr_no_postpaid_logistics_deduction</v>
          </cell>
          <cell r="BH1" t="str">
            <v>bank_utr_no_postpaid_payment</v>
          </cell>
          <cell r="BI1" t="str">
            <v>postpaid_amount_other</v>
          </cell>
          <cell r="BJ1" t="str">
            <v>prepaid_amount_other</v>
          </cell>
          <cell r="BK1" t="str">
            <v>shipping_amount</v>
          </cell>
          <cell r="BL1" t="str">
            <v>gift_amount</v>
          </cell>
          <cell r="BM1" t="str">
            <v>additional_amount</v>
          </cell>
          <cell r="BN1" t="str">
            <v>cess_amount</v>
          </cell>
          <cell r="BO1" t="str">
            <v>taxable_amount</v>
          </cell>
          <cell r="BP1" t="str">
            <v>igst_rate</v>
          </cell>
          <cell r="BQ1" t="str">
            <v>cgst_rate</v>
          </cell>
          <cell r="BR1" t="str">
            <v>sgst_rate</v>
          </cell>
          <cell r="BS1" t="str">
            <v>cess_rate</v>
          </cell>
          <cell r="BT1" t="str">
            <v>tcs_igst_rate</v>
          </cell>
          <cell r="BU1" t="str">
            <v>tcs_sgst_rate</v>
          </cell>
          <cell r="BV1" t="str">
            <v>tcs_cgst_rate</v>
          </cell>
          <cell r="BW1" t="str">
            <v>tds_rate</v>
          </cell>
          <cell r="BX1" t="str">
            <v>brand</v>
          </cell>
          <cell r="BY1" t="str">
            <v>gender</v>
          </cell>
          <cell r="BZ1" t="str">
            <v>brand_type</v>
          </cell>
          <cell r="CA1" t="str">
            <v>article_type</v>
          </cell>
          <cell r="CB1" t="str">
            <v>supply_type</v>
          </cell>
          <cell r="CC1" t="str">
            <v>try_and_buy_purchase</v>
          </cell>
          <cell r="CD1" t="str">
            <v>customer_name</v>
          </cell>
          <cell r="CE1" t="str">
            <v>customer_delivery_pin_code</v>
          </cell>
          <cell r="CF1" t="str">
            <v>seller_gstn</v>
          </cell>
          <cell r="CG1" t="str">
            <v>seller_name</v>
          </cell>
          <cell r="CH1" t="str">
            <v>myntra_gstn</v>
          </cell>
          <cell r="CI1" t="str">
            <v>shipping_city</v>
          </cell>
          <cell r="CJ1" t="str">
            <v>shipping_pin_code</v>
          </cell>
          <cell r="CK1" t="str">
            <v>shipping_state</v>
          </cell>
          <cell r="CL1" t="str">
            <v>shipping_state_code</v>
          </cell>
          <cell r="CM1" t="str">
            <v>prepaid_commission_percentage</v>
          </cell>
          <cell r="CN1" t="str">
            <v>prepaid_minimum_commission</v>
          </cell>
          <cell r="CO1" t="str">
            <v>prepaid_platform_fees</v>
          </cell>
          <cell r="CP1" t="str">
            <v>prepaid_total_commission</v>
          </cell>
          <cell r="CQ1" t="str">
            <v>prepaid_ship_commission_charge</v>
          </cell>
          <cell r="CR1" t="str">
            <v>prepaid_gift_commission_charge</v>
          </cell>
          <cell r="CS1" t="str">
            <v>prepaid_cod_commission_charge</v>
          </cell>
          <cell r="CT1" t="str">
            <v>prepaid_cart_discount</v>
          </cell>
          <cell r="CU1" t="str">
            <v>prepaid_coupon_discount</v>
          </cell>
          <cell r="CV1" t="str">
            <v>postpaid_commission_percentage</v>
          </cell>
          <cell r="CW1" t="str">
            <v>postpaid_minimum_commission</v>
          </cell>
          <cell r="CX1" t="str">
            <v>postpaid_platform_fees</v>
          </cell>
          <cell r="CY1" t="str">
            <v>postpaid_total_commission</v>
          </cell>
          <cell r="CZ1" t="str">
            <v>postpaid_ship_commission_charge</v>
          </cell>
          <cell r="DA1" t="str">
            <v>postpaid_gift_commission_charge</v>
          </cell>
          <cell r="DB1" t="str">
            <v>postpaid_cod_commission_charge</v>
          </cell>
          <cell r="DC1" t="str">
            <v>postpaid_cart_discount</v>
          </cell>
          <cell r="DD1" t="str">
            <v>postpaid_coupon_discount</v>
          </cell>
          <cell r="DE1" t="str">
            <v>seller_order_id</v>
          </cell>
          <cell r="DF1" t="str">
            <v>return_id</v>
          </cell>
          <cell r="DG1" t="str">
            <v>tcs_amount_prepaid</v>
          </cell>
          <cell r="DH1" t="str">
            <v>tcs_amount_postpaid</v>
          </cell>
          <cell r="DI1" t="str">
            <v>tds_amount_prepaid</v>
          </cell>
          <cell r="DJ1" t="str">
            <v>tds_amount_postpaid</v>
          </cell>
          <cell r="DK1" t="str">
            <v>seller_tier</v>
          </cell>
          <cell r="DL1" t="str">
            <v>royaltyCharges_prepaid</v>
          </cell>
          <cell r="DM1" t="str">
            <v>royaltyCharges_postpaid</v>
          </cell>
          <cell r="DN1" t="str">
            <v>royaltyPercent_prepaid</v>
          </cell>
          <cell r="DO1" t="str">
            <v>royaltyPercent_postpaid</v>
          </cell>
          <cell r="DP1" t="str">
            <v>marketingCharges_prepaid</v>
          </cell>
          <cell r="DQ1" t="str">
            <v>marketingCharges_postpaid</v>
          </cell>
          <cell r="DR1" t="str">
            <v>marketingPercent_prepaid</v>
          </cell>
          <cell r="DS1" t="str">
            <v>marketingPercent_postpaid</v>
          </cell>
          <cell r="DT1" t="str">
            <v>marketingContribution_prepaid</v>
          </cell>
          <cell r="DU1" t="str">
            <v>marketingContribution_postpaid</v>
          </cell>
          <cell r="DV1" t="str">
            <v>reverseAdditionalCharges_prepaid</v>
          </cell>
          <cell r="DW1" t="str">
            <v>reverseAdditionalCharges_postpaid</v>
          </cell>
          <cell r="DX1" t="str">
            <v>commission_discount</v>
          </cell>
          <cell r="DY1" t="str">
            <v>sjit_incentive_amount</v>
          </cell>
          <cell r="DZ1" t="str">
            <v>commission_base_amount</v>
          </cell>
          <cell r="EA1" t="str">
            <v>commission_tax_amount</v>
          </cell>
          <cell r="EB1" t="str">
            <v>Settlement_on_2025_09_01</v>
          </cell>
          <cell r="EC1" t="str">
            <v>Settlement_on_2025_09_02</v>
          </cell>
          <cell r="ED1" t="str">
            <v>Settlement_on_2025_09_03</v>
          </cell>
          <cell r="EE1" t="str">
            <v>Settlement_on_2025_09_04</v>
          </cell>
          <cell r="EF1" t="str">
            <v>Settlement_on_2025_09_08</v>
          </cell>
          <cell r="EG1" t="str">
            <v>Settlement_on_2025_09_09</v>
          </cell>
          <cell r="EH1" t="str">
            <v>Settlement_on_2025_09_10</v>
          </cell>
          <cell r="EI1" t="str">
            <v>Settlement_on_2025_09_11</v>
          </cell>
          <cell r="EJ1" t="str">
            <v>Settlement_on_2025_09_12</v>
          </cell>
          <cell r="EK1" t="str">
            <v>Settlement_on_2025_09_15</v>
          </cell>
          <cell r="EL1" t="str">
            <v>Settlement_on_2025_09_16</v>
          </cell>
          <cell r="EM1" t="str">
            <v>Settlement_on_2025_09_17</v>
          </cell>
          <cell r="EN1" t="str">
            <v>Settlement_on_2025_09_18</v>
          </cell>
          <cell r="EO1" t="str">
            <v>Settlement_on_2025_09_19</v>
          </cell>
          <cell r="EP1" t="str">
            <v>Settlement_on_2025_09_22</v>
          </cell>
          <cell r="EQ1" t="str">
            <v>Settlement_on_2025_09_23</v>
          </cell>
          <cell r="ER1" t="str">
            <v>Settlement_on_2025_09_24</v>
          </cell>
          <cell r="ES1" t="str">
            <v>Settlement_on_2025_09_25</v>
          </cell>
          <cell r="ET1" t="str">
            <v>Settlement_on_2025_09_26</v>
          </cell>
          <cell r="EU1" t="str">
            <v>Settlement_on_2025_09_29</v>
          </cell>
          <cell r="EV1" t="str">
            <v>SettlementOn20_</v>
          </cell>
          <cell r="EW1" t="str">
            <v>SettlementOn21_</v>
          </cell>
          <cell r="EX1" t="str">
            <v>SettlementOn22_</v>
          </cell>
          <cell r="EY1" t="str">
            <v>SettlementOn23_</v>
          </cell>
          <cell r="EZ1" t="str">
            <v>SettlementOn24_</v>
          </cell>
          <cell r="FA1" t="str">
            <v>SettlementOn25_</v>
          </cell>
          <cell r="FB1" t="str">
            <v>SettlementOn26_</v>
          </cell>
          <cell r="FC1" t="str">
            <v>SettlementOn27_</v>
          </cell>
          <cell r="FD1" t="str">
            <v>SettlementOn28_</v>
          </cell>
          <cell r="FE1" t="str">
            <v>SettlementOn29_</v>
          </cell>
          <cell r="FF1" t="str">
            <v>SettlementOn30_</v>
          </cell>
          <cell r="FG1" t="str">
            <v>status</v>
          </cell>
          <cell r="FH1" t="str">
            <v>customer_paid_amt</v>
          </cell>
          <cell r="FI1" t="str">
            <v>Amount_deducted</v>
          </cell>
          <cell r="FJ1" t="str">
            <v>Commission</v>
          </cell>
          <cell r="FK1" t="str">
            <v>Logistics</v>
          </cell>
        </row>
        <row r="2">
          <cell r="A2">
            <v>8653424809</v>
          </cell>
          <cell r="B2">
            <v>10653349048</v>
          </cell>
          <cell r="C2" t="str">
            <v>return_refund</v>
          </cell>
          <cell r="D2">
            <v>45910.603472222225</v>
          </cell>
          <cell r="E2">
            <v>45908.48333333333</v>
          </cell>
          <cell r="G2" t="str">
            <v>Myntra Designs Pvt Ltd</v>
          </cell>
          <cell r="H2" t="str">
            <v>TNBYCLST106795157</v>
          </cell>
          <cell r="I2" t="str">
            <v>\I2726TK000002790\""</v>
          </cell>
          <cell r="J2">
            <v>9765134906</v>
          </cell>
          <cell r="K2">
            <v>62042300</v>
          </cell>
          <cell r="L2" t="str">
            <v>Apparel</v>
          </cell>
          <cell r="M2" t="str">
            <v>INR</v>
          </cell>
          <cell r="N2">
            <v>2344</v>
          </cell>
          <cell r="O2">
            <v>0</v>
          </cell>
          <cell r="P2">
            <v>2344</v>
          </cell>
          <cell r="Q2">
            <v>3000</v>
          </cell>
          <cell r="R2">
            <v>450</v>
          </cell>
          <cell r="S2" t="str">
            <v>Intra-State</v>
          </cell>
          <cell r="T2">
            <v>12</v>
          </cell>
          <cell r="U2">
            <v>0</v>
          </cell>
          <cell r="V2">
            <v>125.57</v>
          </cell>
          <cell r="W2">
            <v>125.57</v>
          </cell>
          <cell r="X2">
            <v>10.464</v>
          </cell>
          <cell r="Y2">
            <v>2.093</v>
          </cell>
          <cell r="AA2">
            <v>0</v>
          </cell>
          <cell r="AB2">
            <v>608.50199999999995</v>
          </cell>
          <cell r="AC2">
            <v>608.50199999999995</v>
          </cell>
          <cell r="AD2">
            <v>621.05899999999997</v>
          </cell>
          <cell r="AE2">
            <v>-107.38</v>
          </cell>
          <cell r="AF2">
            <v>91</v>
          </cell>
          <cell r="AG2">
            <v>0</v>
          </cell>
          <cell r="AH2">
            <v>0</v>
          </cell>
          <cell r="AI2">
            <v>0</v>
          </cell>
          <cell r="AJ2">
            <v>16.38</v>
          </cell>
          <cell r="AK2">
            <v>1</v>
          </cell>
          <cell r="AL2" t="str">
            <v>LOCAL</v>
          </cell>
          <cell r="AM2">
            <v>2550</v>
          </cell>
          <cell r="AN2">
            <v>-1830.3209999999999</v>
          </cell>
          <cell r="AO2">
            <v>-1830.3209999999999</v>
          </cell>
          <cell r="AP2">
            <v>0</v>
          </cell>
          <cell r="AQ2">
            <v>621.05899999999997</v>
          </cell>
          <cell r="AR2">
            <v>-107.38</v>
          </cell>
          <cell r="AS2">
            <v>-2344</v>
          </cell>
          <cell r="AV2">
            <v>0</v>
          </cell>
          <cell r="AW2">
            <v>45923</v>
          </cell>
          <cell r="AX2">
            <v>45923</v>
          </cell>
          <cell r="AY2">
            <v>45923</v>
          </cell>
          <cell r="BC2" t="str">
            <v>NFT-/XUTR/DEUTH02526623121X</v>
          </cell>
          <cell r="BD2" t="str">
            <v>NFT-/XUTR/DEUTH02526623121X</v>
          </cell>
          <cell r="BE2" t="str">
            <v>NFT-/XUTR/DEUTH02526623121X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2092.86</v>
          </cell>
          <cell r="BP2">
            <v>0</v>
          </cell>
          <cell r="BQ2">
            <v>6</v>
          </cell>
          <cell r="BR2">
            <v>6</v>
          </cell>
          <cell r="BS2">
            <v>0</v>
          </cell>
          <cell r="BT2">
            <v>0</v>
          </cell>
          <cell r="BU2">
            <v>0.25</v>
          </cell>
          <cell r="BV2">
            <v>0.25</v>
          </cell>
          <cell r="BW2">
            <v>0.1</v>
          </cell>
          <cell r="BX2" t="str">
            <v>Tiny Baby</v>
          </cell>
          <cell r="BY2" t="str">
            <v>Girls</v>
          </cell>
          <cell r="BZ2" t="str">
            <v>External</v>
          </cell>
          <cell r="CA2" t="str">
            <v>Clothing Set</v>
          </cell>
          <cell r="CB2" t="str">
            <v>ON_HAND</v>
          </cell>
          <cell r="CC2" t="b">
            <v>0</v>
          </cell>
          <cell r="CD2" t="str">
            <v>**********</v>
          </cell>
          <cell r="CE2">
            <v>400072</v>
          </cell>
          <cell r="CF2" t="str">
            <v>27AXUPC8425A1ZH</v>
          </cell>
          <cell r="CH2" t="str">
            <v>29AAECM9636P1ZJ</v>
          </cell>
          <cell r="CI2" t="str">
            <v>Mumbai</v>
          </cell>
          <cell r="CJ2">
            <v>400013</v>
          </cell>
          <cell r="CK2" t="str">
            <v>maharashtra</v>
          </cell>
          <cell r="CL2" t="str">
            <v>MH</v>
          </cell>
          <cell r="CN2">
            <v>0</v>
          </cell>
          <cell r="CO2">
            <v>608.50199999999995</v>
          </cell>
          <cell r="CP2">
            <v>608.50199999999995</v>
          </cell>
          <cell r="CQ2">
            <v>0</v>
          </cell>
          <cell r="CR2">
            <v>0</v>
          </cell>
          <cell r="CS2">
            <v>0</v>
          </cell>
          <cell r="CT2">
            <v>450</v>
          </cell>
          <cell r="CU2">
            <v>2.0928599999999999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E2" t="str">
            <v>49193ad3-001f-4400-9d03-9c6e2c16bb6e</v>
          </cell>
          <cell r="DF2">
            <v>100077000000</v>
          </cell>
          <cell r="DG2">
            <v>10.464</v>
          </cell>
          <cell r="DH2">
            <v>0</v>
          </cell>
          <cell r="DI2">
            <v>2.093</v>
          </cell>
          <cell r="DJ2">
            <v>0</v>
          </cell>
          <cell r="DK2" t="str">
            <v>BRONZE</v>
          </cell>
          <cell r="DL2">
            <v>0</v>
          </cell>
          <cell r="DM2">
            <v>0</v>
          </cell>
          <cell r="DN2">
            <v>0</v>
          </cell>
          <cell r="DO2">
            <v>0</v>
          </cell>
          <cell r="DP2">
            <v>0</v>
          </cell>
          <cell r="DQ2">
            <v>0</v>
          </cell>
          <cell r="DR2">
            <v>0</v>
          </cell>
          <cell r="DS2">
            <v>0</v>
          </cell>
          <cell r="DT2" t="str">
            <v>NA</v>
          </cell>
          <cell r="DU2" t="str">
            <v>NA</v>
          </cell>
          <cell r="DV2">
            <v>0</v>
          </cell>
          <cell r="DW2">
            <v>0</v>
          </cell>
          <cell r="DX2">
            <v>0</v>
          </cell>
          <cell r="DY2">
            <v>0</v>
          </cell>
          <cell r="EB2">
            <v>0</v>
          </cell>
          <cell r="EC2">
            <v>0</v>
          </cell>
          <cell r="ED2">
            <v>0</v>
          </cell>
          <cell r="EE2">
            <v>0</v>
          </cell>
          <cell r="EF2">
            <v>0</v>
          </cell>
          <cell r="EG2">
            <v>0</v>
          </cell>
          <cell r="EH2">
            <v>0</v>
          </cell>
          <cell r="EI2">
            <v>0</v>
          </cell>
          <cell r="EJ2">
            <v>0</v>
          </cell>
          <cell r="EK2">
            <v>0</v>
          </cell>
          <cell r="EL2">
            <v>0</v>
          </cell>
          <cell r="EM2">
            <v>0</v>
          </cell>
          <cell r="EN2">
            <v>0</v>
          </cell>
          <cell r="EO2">
            <v>0</v>
          </cell>
          <cell r="EP2">
            <v>0</v>
          </cell>
          <cell r="EQ2">
            <v>-1830.3209999999999</v>
          </cell>
          <cell r="ER2">
            <v>0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>
            <v>0</v>
          </cell>
          <cell r="EX2">
            <v>0</v>
          </cell>
          <cell r="EY2">
            <v>0</v>
          </cell>
          <cell r="EZ2">
            <v>0</v>
          </cell>
          <cell r="FA2">
            <v>0</v>
          </cell>
          <cell r="FB2">
            <v>0</v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 t="str">
            <v>Settled</v>
          </cell>
          <cell r="FH2">
            <v>2550</v>
          </cell>
          <cell r="FI2">
            <v>1830.3209999999999</v>
          </cell>
          <cell r="FJ2">
            <v>621.05899999999997</v>
          </cell>
          <cell r="FK2">
            <v>107.38</v>
          </cell>
        </row>
        <row r="3">
          <cell r="A3">
            <v>8593046502</v>
          </cell>
          <cell r="B3">
            <v>10592972985</v>
          </cell>
          <cell r="C3" t="str">
            <v>return_refund</v>
          </cell>
          <cell r="D3">
            <v>45898.643750000003</v>
          </cell>
          <cell r="E3">
            <v>45870.45</v>
          </cell>
          <cell r="G3" t="str">
            <v>Myntra Designs Pvt Ltd</v>
          </cell>
          <cell r="H3" t="str">
            <v>TIKICLST103607739</v>
          </cell>
          <cell r="I3" t="str">
            <v>\I2726TK000002176\""</v>
          </cell>
          <cell r="J3">
            <v>8593046502</v>
          </cell>
          <cell r="K3">
            <v>62042300</v>
          </cell>
          <cell r="L3" t="str">
            <v>Apparel</v>
          </cell>
          <cell r="M3" t="str">
            <v>INR</v>
          </cell>
          <cell r="N3">
            <v>3544</v>
          </cell>
          <cell r="O3">
            <v>3544</v>
          </cell>
          <cell r="P3">
            <v>0</v>
          </cell>
          <cell r="Q3">
            <v>5000</v>
          </cell>
          <cell r="R3">
            <v>1250</v>
          </cell>
          <cell r="S3" t="str">
            <v>Inter-State</v>
          </cell>
          <cell r="T3">
            <v>12</v>
          </cell>
          <cell r="U3">
            <v>379.71</v>
          </cell>
          <cell r="V3">
            <v>0</v>
          </cell>
          <cell r="W3">
            <v>0</v>
          </cell>
          <cell r="X3">
            <v>15.821</v>
          </cell>
          <cell r="Y3">
            <v>3.1640000000000001</v>
          </cell>
          <cell r="AA3">
            <v>0</v>
          </cell>
          <cell r="AB3">
            <v>920.02200000000005</v>
          </cell>
          <cell r="AC3">
            <v>920.02200000000005</v>
          </cell>
          <cell r="AD3">
            <v>939.00699999999995</v>
          </cell>
          <cell r="AE3">
            <v>-197.06</v>
          </cell>
          <cell r="AF3">
            <v>167</v>
          </cell>
          <cell r="AG3">
            <v>0</v>
          </cell>
          <cell r="AH3">
            <v>0</v>
          </cell>
          <cell r="AI3">
            <v>0</v>
          </cell>
          <cell r="AJ3">
            <v>30.06</v>
          </cell>
          <cell r="AK3">
            <v>1</v>
          </cell>
          <cell r="AL3" t="str">
            <v>NATIONAL</v>
          </cell>
          <cell r="AM3">
            <v>3750</v>
          </cell>
          <cell r="AN3">
            <v>-2802.0529999999999</v>
          </cell>
          <cell r="AO3">
            <v>-2802.0529999999999</v>
          </cell>
          <cell r="AP3">
            <v>0</v>
          </cell>
          <cell r="AS3">
            <v>0</v>
          </cell>
          <cell r="AT3">
            <v>939.00699999999995</v>
          </cell>
          <cell r="AU3">
            <v>-197.06</v>
          </cell>
          <cell r="AV3">
            <v>-3544</v>
          </cell>
          <cell r="AZ3">
            <v>45901</v>
          </cell>
          <cell r="BA3">
            <v>45901</v>
          </cell>
          <cell r="BB3">
            <v>45901</v>
          </cell>
          <cell r="BF3" t="str">
            <v>NFT-/XUTR/DEUTH025244A0H8LX</v>
          </cell>
          <cell r="BG3" t="str">
            <v>NFT-/XUTR/DEUTH025244A0H8LX</v>
          </cell>
          <cell r="BH3" t="str">
            <v>NFT-/XUTR/DEUTH025244A0H8LX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3164.29</v>
          </cell>
          <cell r="BP3">
            <v>12</v>
          </cell>
          <cell r="BQ3">
            <v>0</v>
          </cell>
          <cell r="BR3">
            <v>0</v>
          </cell>
          <cell r="BS3">
            <v>0</v>
          </cell>
          <cell r="BT3">
            <v>0.5</v>
          </cell>
          <cell r="BU3">
            <v>0</v>
          </cell>
          <cell r="BV3">
            <v>0</v>
          </cell>
          <cell r="BW3">
            <v>0.1</v>
          </cell>
          <cell r="BX3" t="str">
            <v>Tiny Kingdom</v>
          </cell>
          <cell r="BY3" t="str">
            <v>Girls</v>
          </cell>
          <cell r="BZ3" t="str">
            <v>External</v>
          </cell>
          <cell r="CA3" t="str">
            <v>Kurta Sets</v>
          </cell>
          <cell r="CB3" t="str">
            <v>ON_HAND</v>
          </cell>
          <cell r="CC3" t="b">
            <v>0</v>
          </cell>
          <cell r="CD3" t="str">
            <v>**********</v>
          </cell>
          <cell r="CE3">
            <v>202002</v>
          </cell>
          <cell r="CF3" t="str">
            <v>27AXUPC8425A1ZH</v>
          </cell>
          <cell r="CH3" t="str">
            <v>29AAECM9636P1ZJ</v>
          </cell>
          <cell r="CI3" t="str">
            <v>Mumbai</v>
          </cell>
          <cell r="CJ3">
            <v>400013</v>
          </cell>
          <cell r="CK3" t="str">
            <v>maharashtra</v>
          </cell>
          <cell r="CL3" t="str">
            <v>MH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W3">
            <v>0</v>
          </cell>
          <cell r="CX3">
            <v>920.02200000000005</v>
          </cell>
          <cell r="CY3">
            <v>920.02200000000005</v>
          </cell>
          <cell r="CZ3">
            <v>0</v>
          </cell>
          <cell r="DA3">
            <v>0</v>
          </cell>
          <cell r="DB3">
            <v>0</v>
          </cell>
          <cell r="DC3">
            <v>1250</v>
          </cell>
          <cell r="DD3">
            <v>3.1642899999999998</v>
          </cell>
          <cell r="DE3" t="str">
            <v>9cf02e50-7055-468b-afe6-c648164df86e</v>
          </cell>
          <cell r="DF3">
            <v>100071000000</v>
          </cell>
          <cell r="DG3">
            <v>0</v>
          </cell>
          <cell r="DH3">
            <v>15.821</v>
          </cell>
          <cell r="DI3">
            <v>0</v>
          </cell>
          <cell r="DJ3">
            <v>3.1640000000000001</v>
          </cell>
          <cell r="DK3" t="str">
            <v>BRONZE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  <cell r="DP3">
            <v>0</v>
          </cell>
          <cell r="DQ3">
            <v>0</v>
          </cell>
          <cell r="DR3">
            <v>0</v>
          </cell>
          <cell r="DS3">
            <v>0</v>
          </cell>
          <cell r="DT3" t="str">
            <v>NA</v>
          </cell>
          <cell r="DU3" t="str">
            <v>NA</v>
          </cell>
          <cell r="DV3">
            <v>0</v>
          </cell>
          <cell r="DW3">
            <v>0</v>
          </cell>
          <cell r="DX3">
            <v>0</v>
          </cell>
          <cell r="DY3">
            <v>0</v>
          </cell>
          <cell r="EB3">
            <v>-2802.0529999999999</v>
          </cell>
          <cell r="EC3">
            <v>0</v>
          </cell>
          <cell r="ED3">
            <v>0</v>
          </cell>
          <cell r="EE3">
            <v>0</v>
          </cell>
          <cell r="EF3">
            <v>0</v>
          </cell>
          <cell r="EG3">
            <v>0</v>
          </cell>
          <cell r="EH3">
            <v>0</v>
          </cell>
          <cell r="EI3">
            <v>0</v>
          </cell>
          <cell r="EJ3">
            <v>0</v>
          </cell>
          <cell r="EK3">
            <v>0</v>
          </cell>
          <cell r="EL3">
            <v>0</v>
          </cell>
          <cell r="EM3">
            <v>0</v>
          </cell>
          <cell r="EN3">
            <v>0</v>
          </cell>
          <cell r="EO3">
            <v>0</v>
          </cell>
          <cell r="EP3">
            <v>0</v>
          </cell>
          <cell r="EQ3">
            <v>0</v>
          </cell>
          <cell r="ER3">
            <v>0</v>
          </cell>
          <cell r="ES3">
            <v>0</v>
          </cell>
          <cell r="ET3">
            <v>0</v>
          </cell>
          <cell r="EU3">
            <v>0</v>
          </cell>
          <cell r="EV3">
            <v>0</v>
          </cell>
          <cell r="EW3">
            <v>0</v>
          </cell>
          <cell r="EX3">
            <v>0</v>
          </cell>
          <cell r="EY3">
            <v>0</v>
          </cell>
          <cell r="EZ3">
            <v>0</v>
          </cell>
          <cell r="FA3">
            <v>0</v>
          </cell>
          <cell r="FB3">
            <v>0</v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 t="str">
            <v>Settled</v>
          </cell>
          <cell r="FH3">
            <v>3750</v>
          </cell>
          <cell r="FI3">
            <v>2802.0529999999999</v>
          </cell>
          <cell r="FJ3">
            <v>939.00699999999995</v>
          </cell>
          <cell r="FK3">
            <v>197.06</v>
          </cell>
        </row>
        <row r="4">
          <cell r="A4">
            <v>8622099781</v>
          </cell>
          <cell r="B4">
            <v>10622024856</v>
          </cell>
          <cell r="C4" t="str">
            <v>return_refund</v>
          </cell>
          <cell r="D4">
            <v>45894.59097222222</v>
          </cell>
          <cell r="E4">
            <v>45887.563194444447</v>
          </cell>
          <cell r="F4">
            <v>44526</v>
          </cell>
          <cell r="G4" t="str">
            <v>Myntra Designs Pvt Ltd</v>
          </cell>
          <cell r="H4" t="str">
            <v>TIKICLST113026319</v>
          </cell>
          <cell r="I4" t="str">
            <v>\I2726TK000002461\""</v>
          </cell>
          <cell r="J4">
            <v>8622099781</v>
          </cell>
          <cell r="K4">
            <v>62042300</v>
          </cell>
          <cell r="L4" t="str">
            <v>Apparel</v>
          </cell>
          <cell r="M4" t="str">
            <v>INR</v>
          </cell>
          <cell r="N4">
            <v>2944</v>
          </cell>
          <cell r="O4">
            <v>0</v>
          </cell>
          <cell r="P4">
            <v>2944</v>
          </cell>
          <cell r="Q4">
            <v>3500</v>
          </cell>
          <cell r="R4">
            <v>350</v>
          </cell>
          <cell r="S4" t="str">
            <v>Intra-State</v>
          </cell>
          <cell r="T4">
            <v>12</v>
          </cell>
          <cell r="U4">
            <v>0</v>
          </cell>
          <cell r="V4">
            <v>157.71</v>
          </cell>
          <cell r="W4">
            <v>157.71</v>
          </cell>
          <cell r="X4">
            <v>13.143000000000001</v>
          </cell>
          <cell r="Y4">
            <v>2.629</v>
          </cell>
          <cell r="AA4">
            <v>0</v>
          </cell>
          <cell r="AB4">
            <v>729.52300000000002</v>
          </cell>
          <cell r="AC4">
            <v>729.52300000000002</v>
          </cell>
          <cell r="AD4">
            <v>745.29499999999996</v>
          </cell>
          <cell r="AE4">
            <v>-132.16</v>
          </cell>
          <cell r="AF4">
            <v>112</v>
          </cell>
          <cell r="AG4">
            <v>0</v>
          </cell>
          <cell r="AH4">
            <v>0</v>
          </cell>
          <cell r="AI4">
            <v>0</v>
          </cell>
          <cell r="AJ4">
            <v>20.16</v>
          </cell>
          <cell r="AK4">
            <v>1</v>
          </cell>
          <cell r="AL4" t="str">
            <v>ZONAL</v>
          </cell>
          <cell r="AM4">
            <v>3150</v>
          </cell>
          <cell r="AN4">
            <v>-2330.8649999999998</v>
          </cell>
          <cell r="AO4">
            <v>-2330.8649999999998</v>
          </cell>
          <cell r="AP4">
            <v>0</v>
          </cell>
          <cell r="AQ4">
            <v>745.29499999999996</v>
          </cell>
          <cell r="AR4">
            <v>-132.16</v>
          </cell>
          <cell r="AS4">
            <v>-2944</v>
          </cell>
          <cell r="AV4">
            <v>0</v>
          </cell>
          <cell r="AW4">
            <v>45908</v>
          </cell>
          <cell r="AX4">
            <v>45908</v>
          </cell>
          <cell r="AY4">
            <v>45908</v>
          </cell>
          <cell r="BC4" t="str">
            <v>NFT-/XUTR/DEUTH025251A0L0JX</v>
          </cell>
          <cell r="BD4" t="str">
            <v>NFT-/XUTR/DEUTH025251A0L0JX</v>
          </cell>
          <cell r="BE4" t="str">
            <v>NFT-/XUTR/DEUTH025251A0L0JX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2628.58</v>
          </cell>
          <cell r="BP4">
            <v>0</v>
          </cell>
          <cell r="BQ4">
            <v>6</v>
          </cell>
          <cell r="BR4">
            <v>6</v>
          </cell>
          <cell r="BS4">
            <v>0</v>
          </cell>
          <cell r="BT4">
            <v>0</v>
          </cell>
          <cell r="BU4">
            <v>0.25</v>
          </cell>
          <cell r="BV4">
            <v>0.25</v>
          </cell>
          <cell r="BW4">
            <v>0.1</v>
          </cell>
          <cell r="BX4" t="str">
            <v>Tiny Kingdom</v>
          </cell>
          <cell r="BY4" t="str">
            <v>Girls</v>
          </cell>
          <cell r="BZ4" t="str">
            <v>External</v>
          </cell>
          <cell r="CA4" t="str">
            <v>Clothing Set</v>
          </cell>
          <cell r="CB4" t="str">
            <v>ON_HAND</v>
          </cell>
          <cell r="CC4" t="b">
            <v>0</v>
          </cell>
          <cell r="CD4" t="str">
            <v>**********</v>
          </cell>
          <cell r="CE4">
            <v>416115</v>
          </cell>
          <cell r="CF4" t="str">
            <v>27AXUPC8425A1ZH</v>
          </cell>
          <cell r="CH4" t="str">
            <v>29AAECM9636P1ZJ</v>
          </cell>
          <cell r="CI4" t="str">
            <v>Mumbai</v>
          </cell>
          <cell r="CJ4">
            <v>400013</v>
          </cell>
          <cell r="CK4" t="str">
            <v>maharashtra</v>
          </cell>
          <cell r="CL4" t="str">
            <v>MH</v>
          </cell>
          <cell r="CN4">
            <v>0</v>
          </cell>
          <cell r="CO4">
            <v>729.52300000000002</v>
          </cell>
          <cell r="CP4">
            <v>729.52300000000002</v>
          </cell>
          <cell r="CQ4">
            <v>0</v>
          </cell>
          <cell r="CR4">
            <v>0</v>
          </cell>
          <cell r="CS4">
            <v>0</v>
          </cell>
          <cell r="CT4">
            <v>350</v>
          </cell>
          <cell r="CU4">
            <v>2.6285799999999999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E4" t="str">
            <v>26bc3557-d112-4af0-81b0-664d605f4ffb</v>
          </cell>
          <cell r="DF4">
            <v>100072000000</v>
          </cell>
          <cell r="DG4">
            <v>13.143000000000001</v>
          </cell>
          <cell r="DH4">
            <v>0</v>
          </cell>
          <cell r="DI4">
            <v>2.629</v>
          </cell>
          <cell r="DJ4">
            <v>0</v>
          </cell>
          <cell r="DK4" t="str">
            <v>BRONZE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 t="str">
            <v>NA</v>
          </cell>
          <cell r="DU4" t="str">
            <v>NA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EB4">
            <v>0</v>
          </cell>
          <cell r="EC4">
            <v>0</v>
          </cell>
          <cell r="ED4">
            <v>0</v>
          </cell>
          <cell r="EE4">
            <v>0</v>
          </cell>
          <cell r="EF4">
            <v>-2330.8649999999998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>
            <v>0</v>
          </cell>
          <cell r="EY4">
            <v>0</v>
          </cell>
          <cell r="EZ4">
            <v>0</v>
          </cell>
          <cell r="FA4">
            <v>0</v>
          </cell>
          <cell r="FB4">
            <v>0</v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 t="str">
            <v>Settled</v>
          </cell>
          <cell r="FH4">
            <v>3150</v>
          </cell>
          <cell r="FI4">
            <v>2330.8649999999998</v>
          </cell>
          <cell r="FJ4">
            <v>745.29499999999996</v>
          </cell>
          <cell r="FK4">
            <v>132.16</v>
          </cell>
        </row>
        <row r="5">
          <cell r="A5">
            <v>8650282943</v>
          </cell>
          <cell r="B5">
            <v>10650207242</v>
          </cell>
          <cell r="C5" t="str">
            <v>return_refund</v>
          </cell>
          <cell r="D5">
            <v>45914.494444444441</v>
          </cell>
          <cell r="E5">
            <v>45905.805555555555</v>
          </cell>
          <cell r="G5" t="str">
            <v>Myntra Designs Pvt Ltd</v>
          </cell>
          <cell r="H5" t="str">
            <v>TNBYDRSS113070581</v>
          </cell>
          <cell r="I5" t="str">
            <v>\I2726TK000002768\""</v>
          </cell>
          <cell r="J5">
            <v>8650282943</v>
          </cell>
          <cell r="K5">
            <v>62042300</v>
          </cell>
          <cell r="L5" t="str">
            <v>Apparel</v>
          </cell>
          <cell r="M5" t="str">
            <v>INR</v>
          </cell>
          <cell r="N5">
            <v>2719</v>
          </cell>
          <cell r="O5">
            <v>0</v>
          </cell>
          <cell r="P5">
            <v>2719</v>
          </cell>
          <cell r="Q5">
            <v>3250</v>
          </cell>
          <cell r="R5">
            <v>325</v>
          </cell>
          <cell r="S5" t="str">
            <v>Intra-State</v>
          </cell>
          <cell r="T5">
            <v>12</v>
          </cell>
          <cell r="U5">
            <v>0</v>
          </cell>
          <cell r="V5">
            <v>145.66</v>
          </cell>
          <cell r="W5">
            <v>145.66</v>
          </cell>
          <cell r="X5">
            <v>12.138</v>
          </cell>
          <cell r="Y5">
            <v>2.4279999999999999</v>
          </cell>
          <cell r="AA5">
            <v>0</v>
          </cell>
          <cell r="AB5">
            <v>705.85199999999998</v>
          </cell>
          <cell r="AC5">
            <v>705.85199999999998</v>
          </cell>
          <cell r="AD5">
            <v>720.41800000000001</v>
          </cell>
          <cell r="AE5">
            <v>-107.38</v>
          </cell>
          <cell r="AF5">
            <v>91</v>
          </cell>
          <cell r="AG5">
            <v>0</v>
          </cell>
          <cell r="AH5">
            <v>0</v>
          </cell>
          <cell r="AI5">
            <v>0</v>
          </cell>
          <cell r="AJ5">
            <v>16.38</v>
          </cell>
          <cell r="AK5">
            <v>1</v>
          </cell>
          <cell r="AL5" t="str">
            <v>LOCAL</v>
          </cell>
          <cell r="AM5">
            <v>2925</v>
          </cell>
          <cell r="AN5">
            <v>-2105.962</v>
          </cell>
          <cell r="AO5">
            <v>-2105.962</v>
          </cell>
          <cell r="AP5">
            <v>0</v>
          </cell>
          <cell r="AQ5">
            <v>720.41800000000001</v>
          </cell>
          <cell r="AR5">
            <v>-107.38</v>
          </cell>
          <cell r="AS5">
            <v>-2719</v>
          </cell>
          <cell r="AV5">
            <v>0</v>
          </cell>
          <cell r="AW5">
            <v>45923</v>
          </cell>
          <cell r="AX5">
            <v>45923</v>
          </cell>
          <cell r="AY5">
            <v>45923</v>
          </cell>
          <cell r="BC5" t="str">
            <v>NFT-/XUTR/DEUTH02526623121X</v>
          </cell>
          <cell r="BD5" t="str">
            <v>NFT-/XUTR/DEUTH02526623121X</v>
          </cell>
          <cell r="BE5" t="str">
            <v>NFT-/XUTR/DEUTH02526623121X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2427.6799999999998</v>
          </cell>
          <cell r="BP5">
            <v>0</v>
          </cell>
          <cell r="BQ5">
            <v>6</v>
          </cell>
          <cell r="BR5">
            <v>6</v>
          </cell>
          <cell r="BS5">
            <v>0</v>
          </cell>
          <cell r="BT5">
            <v>0</v>
          </cell>
          <cell r="BU5">
            <v>0.25</v>
          </cell>
          <cell r="BV5">
            <v>0.25</v>
          </cell>
          <cell r="BW5">
            <v>0.1</v>
          </cell>
          <cell r="BX5" t="str">
            <v>Tiny Baby</v>
          </cell>
          <cell r="BY5" t="str">
            <v>Girls</v>
          </cell>
          <cell r="BZ5" t="str">
            <v>External</v>
          </cell>
          <cell r="CA5" t="str">
            <v>Dresses</v>
          </cell>
          <cell r="CB5" t="str">
            <v>ON_HAND</v>
          </cell>
          <cell r="CC5" t="b">
            <v>0</v>
          </cell>
          <cell r="CD5" t="str">
            <v>**********</v>
          </cell>
          <cell r="CE5">
            <v>400075</v>
          </cell>
          <cell r="CF5" t="str">
            <v>27AXUPC8425A1ZH</v>
          </cell>
          <cell r="CH5" t="str">
            <v>29AAECM9636P1ZJ</v>
          </cell>
          <cell r="CI5" t="str">
            <v>Mumbai</v>
          </cell>
          <cell r="CJ5">
            <v>400013</v>
          </cell>
          <cell r="CK5" t="str">
            <v>maharashtra</v>
          </cell>
          <cell r="CL5" t="str">
            <v>MH</v>
          </cell>
          <cell r="CN5">
            <v>0</v>
          </cell>
          <cell r="CO5">
            <v>705.85199999999998</v>
          </cell>
          <cell r="CP5">
            <v>705.85199999999998</v>
          </cell>
          <cell r="CQ5">
            <v>0</v>
          </cell>
          <cell r="CR5">
            <v>0</v>
          </cell>
          <cell r="CS5">
            <v>0</v>
          </cell>
          <cell r="CT5">
            <v>325</v>
          </cell>
          <cell r="CU5">
            <v>2.4276800000000001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E5" t="str">
            <v>5dc8fed6-b94e-437a-900c-ffd4309c9f55</v>
          </cell>
          <cell r="DF5">
            <v>100077000000</v>
          </cell>
          <cell r="DG5">
            <v>12.138</v>
          </cell>
          <cell r="DH5">
            <v>0</v>
          </cell>
          <cell r="DI5">
            <v>2.4279999999999999</v>
          </cell>
          <cell r="DJ5">
            <v>0</v>
          </cell>
          <cell r="DK5" t="str">
            <v>BRONZE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 t="str">
            <v>NA</v>
          </cell>
          <cell r="DU5" t="str">
            <v>NA</v>
          </cell>
          <cell r="DV5">
            <v>0</v>
          </cell>
          <cell r="DW5">
            <v>0</v>
          </cell>
          <cell r="DX5">
            <v>0</v>
          </cell>
          <cell r="DY5">
            <v>0</v>
          </cell>
          <cell r="EB5">
            <v>0</v>
          </cell>
          <cell r="EC5">
            <v>0</v>
          </cell>
          <cell r="ED5">
            <v>0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-2105.962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 t="str">
            <v>Settled</v>
          </cell>
          <cell r="FH5">
            <v>2925</v>
          </cell>
          <cell r="FI5">
            <v>2105.962</v>
          </cell>
          <cell r="FJ5">
            <v>720.41800000000001</v>
          </cell>
          <cell r="FK5">
            <v>107.38</v>
          </cell>
        </row>
        <row r="6">
          <cell r="A6">
            <v>8615334101</v>
          </cell>
          <cell r="B6">
            <v>10615259559</v>
          </cell>
          <cell r="C6" t="str">
            <v>return_refund</v>
          </cell>
          <cell r="D6">
            <v>45888.599305555559</v>
          </cell>
          <cell r="E6">
            <v>45882.768750000003</v>
          </cell>
          <cell r="G6" t="str">
            <v>Myntra Designs Pvt Ltd</v>
          </cell>
          <cell r="H6" t="str">
            <v>TIKICLST100254532</v>
          </cell>
          <cell r="I6" t="str">
            <v>\I2726TK000002423\""</v>
          </cell>
          <cell r="J6">
            <v>9754422492</v>
          </cell>
          <cell r="K6">
            <v>62042300</v>
          </cell>
          <cell r="L6" t="str">
            <v>Apparel</v>
          </cell>
          <cell r="M6" t="str">
            <v>INR</v>
          </cell>
          <cell r="N6">
            <v>954</v>
          </cell>
          <cell r="O6">
            <v>0</v>
          </cell>
          <cell r="P6">
            <v>954</v>
          </cell>
          <cell r="Q6">
            <v>2250</v>
          </cell>
          <cell r="R6">
            <v>1125</v>
          </cell>
          <cell r="S6" t="str">
            <v>Inter-State</v>
          </cell>
          <cell r="T6">
            <v>5</v>
          </cell>
          <cell r="U6">
            <v>45.43</v>
          </cell>
          <cell r="V6">
            <v>0</v>
          </cell>
          <cell r="W6">
            <v>0</v>
          </cell>
          <cell r="X6">
            <v>4.5430000000000001</v>
          </cell>
          <cell r="Y6">
            <v>0.90900000000000003</v>
          </cell>
          <cell r="AA6">
            <v>0</v>
          </cell>
          <cell r="AB6">
            <v>258.916</v>
          </cell>
          <cell r="AC6">
            <v>258.916</v>
          </cell>
          <cell r="AD6">
            <v>264.36799999999999</v>
          </cell>
          <cell r="AE6">
            <v>-197.06</v>
          </cell>
          <cell r="AF6">
            <v>167</v>
          </cell>
          <cell r="AG6">
            <v>0</v>
          </cell>
          <cell r="AH6">
            <v>0</v>
          </cell>
          <cell r="AI6">
            <v>0</v>
          </cell>
          <cell r="AJ6">
            <v>30.06</v>
          </cell>
          <cell r="AK6">
            <v>1</v>
          </cell>
          <cell r="AL6" t="str">
            <v>NATIONAL</v>
          </cell>
          <cell r="AM6">
            <v>1125</v>
          </cell>
          <cell r="AN6">
            <v>-886.69200000000001</v>
          </cell>
          <cell r="AO6">
            <v>-886.69200000000001</v>
          </cell>
          <cell r="AP6">
            <v>0</v>
          </cell>
          <cell r="AQ6">
            <v>264.36799999999999</v>
          </cell>
          <cell r="AR6">
            <v>-197.06</v>
          </cell>
          <cell r="AS6">
            <v>-954</v>
          </cell>
          <cell r="AV6">
            <v>0</v>
          </cell>
          <cell r="AW6">
            <v>45901</v>
          </cell>
          <cell r="AX6">
            <v>45901</v>
          </cell>
          <cell r="AY6">
            <v>45901</v>
          </cell>
          <cell r="BC6" t="str">
            <v>NFT-/XUTR/DEUTH025244A0LW1X</v>
          </cell>
          <cell r="BD6" t="str">
            <v>NFT-/XUTR/DEUTH025244A0LW1X</v>
          </cell>
          <cell r="BE6" t="str">
            <v>NFT-/XUTR/DEUTH025244A0LW1X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908.57</v>
          </cell>
          <cell r="BP6">
            <v>5</v>
          </cell>
          <cell r="BQ6">
            <v>0</v>
          </cell>
          <cell r="BR6">
            <v>0</v>
          </cell>
          <cell r="BS6">
            <v>0</v>
          </cell>
          <cell r="BT6">
            <v>0.5</v>
          </cell>
          <cell r="BU6">
            <v>0</v>
          </cell>
          <cell r="BV6">
            <v>0</v>
          </cell>
          <cell r="BW6">
            <v>0.1</v>
          </cell>
          <cell r="BX6" t="str">
            <v>Tiny Kingdom</v>
          </cell>
          <cell r="BY6" t="str">
            <v>Girls</v>
          </cell>
          <cell r="BZ6" t="str">
            <v>External</v>
          </cell>
          <cell r="CA6" t="str">
            <v>Kurta Sets</v>
          </cell>
          <cell r="CB6" t="str">
            <v>ON_HAND</v>
          </cell>
          <cell r="CC6" t="b">
            <v>0</v>
          </cell>
          <cell r="CD6" t="str">
            <v>**********</v>
          </cell>
          <cell r="CE6">
            <v>700027</v>
          </cell>
          <cell r="CF6" t="str">
            <v>27AXUPC8425A1ZH</v>
          </cell>
          <cell r="CH6" t="str">
            <v>29AAECM9636P1ZJ</v>
          </cell>
          <cell r="CI6" t="str">
            <v>Mumbai</v>
          </cell>
          <cell r="CJ6">
            <v>400013</v>
          </cell>
          <cell r="CK6" t="str">
            <v>maharashtra</v>
          </cell>
          <cell r="CL6" t="str">
            <v>MH</v>
          </cell>
          <cell r="CN6">
            <v>0</v>
          </cell>
          <cell r="CO6">
            <v>258.916</v>
          </cell>
          <cell r="CP6">
            <v>258.916</v>
          </cell>
          <cell r="CQ6">
            <v>0</v>
          </cell>
          <cell r="CR6">
            <v>0</v>
          </cell>
          <cell r="CS6">
            <v>0</v>
          </cell>
          <cell r="CT6">
            <v>1125</v>
          </cell>
          <cell r="CU6">
            <v>0.90856999999999999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E6" t="str">
            <v>c5d2e74c-e53b-4122-97ca-d0d95f6c5e1b</v>
          </cell>
          <cell r="DF6">
            <v>100071000000</v>
          </cell>
          <cell r="DG6">
            <v>4.5430000000000001</v>
          </cell>
          <cell r="DH6">
            <v>0</v>
          </cell>
          <cell r="DI6">
            <v>0.90900000000000003</v>
          </cell>
          <cell r="DJ6">
            <v>0</v>
          </cell>
          <cell r="DK6" t="str">
            <v>BRONZE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 t="str">
            <v>NA</v>
          </cell>
          <cell r="DU6" t="str">
            <v>NA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EB6">
            <v>-886.69200000000001</v>
          </cell>
          <cell r="EC6">
            <v>0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 t="str">
            <v>Settled</v>
          </cell>
          <cell r="FH6">
            <v>1125</v>
          </cell>
          <cell r="FI6">
            <v>886.69200000000001</v>
          </cell>
          <cell r="FJ6">
            <v>264.36799999999999</v>
          </cell>
          <cell r="FK6">
            <v>197.06</v>
          </cell>
        </row>
        <row r="7">
          <cell r="A7">
            <v>8621146296</v>
          </cell>
          <cell r="B7">
            <v>10621071456</v>
          </cell>
          <cell r="C7" t="str">
            <v>return_refund</v>
          </cell>
          <cell r="D7">
            <v>45897.59097222222</v>
          </cell>
          <cell r="E7">
            <v>45887.452777777777</v>
          </cell>
          <cell r="F7">
            <v>44524</v>
          </cell>
          <cell r="G7" t="str">
            <v>Myntra Designs Pvt Ltd</v>
          </cell>
          <cell r="H7" t="str">
            <v>TIKICLST103607748</v>
          </cell>
          <cell r="I7" t="str">
            <v>\I2726TK000002450\""</v>
          </cell>
          <cell r="J7">
            <v>8621146296</v>
          </cell>
          <cell r="K7">
            <v>62042300</v>
          </cell>
          <cell r="L7" t="str">
            <v>Apparel</v>
          </cell>
          <cell r="M7" t="str">
            <v>INR</v>
          </cell>
          <cell r="N7">
            <v>3169</v>
          </cell>
          <cell r="O7">
            <v>3169</v>
          </cell>
          <cell r="P7">
            <v>0</v>
          </cell>
          <cell r="Q7">
            <v>4500</v>
          </cell>
          <cell r="R7">
            <v>1125</v>
          </cell>
          <cell r="S7" t="str">
            <v>Inter-State</v>
          </cell>
          <cell r="T7">
            <v>12</v>
          </cell>
          <cell r="U7">
            <v>339.54</v>
          </cell>
          <cell r="V7">
            <v>0</v>
          </cell>
          <cell r="W7">
            <v>0</v>
          </cell>
          <cell r="X7">
            <v>14.147</v>
          </cell>
          <cell r="Y7">
            <v>2.8290000000000002</v>
          </cell>
          <cell r="AA7">
            <v>0</v>
          </cell>
          <cell r="AB7">
            <v>822.67200000000003</v>
          </cell>
          <cell r="AC7">
            <v>822.67200000000003</v>
          </cell>
          <cell r="AD7">
            <v>839.64800000000002</v>
          </cell>
          <cell r="AE7">
            <v>-197.06</v>
          </cell>
          <cell r="AF7">
            <v>167</v>
          </cell>
          <cell r="AG7">
            <v>0</v>
          </cell>
          <cell r="AH7">
            <v>0</v>
          </cell>
          <cell r="AI7">
            <v>0</v>
          </cell>
          <cell r="AJ7">
            <v>30.06</v>
          </cell>
          <cell r="AK7">
            <v>1</v>
          </cell>
          <cell r="AL7" t="str">
            <v>NATIONAL</v>
          </cell>
          <cell r="AM7">
            <v>3375</v>
          </cell>
          <cell r="AN7">
            <v>-2526.4119999999998</v>
          </cell>
          <cell r="AO7">
            <v>-2526.4119999999998</v>
          </cell>
          <cell r="AP7">
            <v>0</v>
          </cell>
          <cell r="AS7">
            <v>0</v>
          </cell>
          <cell r="AT7">
            <v>839.64800000000002</v>
          </cell>
          <cell r="AU7">
            <v>-197.06</v>
          </cell>
          <cell r="AV7">
            <v>-3169</v>
          </cell>
          <cell r="AZ7">
            <v>45908</v>
          </cell>
          <cell r="BA7">
            <v>45908</v>
          </cell>
          <cell r="BB7">
            <v>45908</v>
          </cell>
          <cell r="BF7" t="str">
            <v>NFT-/XUTR/DEUTH025251A0HB7X</v>
          </cell>
          <cell r="BG7" t="str">
            <v>NFT-/XUTR/DEUTH025251A0HB7X</v>
          </cell>
          <cell r="BH7" t="str">
            <v>NFT-/XUTR/DEUTH025251A0HB7X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2829.46</v>
          </cell>
          <cell r="BP7">
            <v>12</v>
          </cell>
          <cell r="BQ7">
            <v>0</v>
          </cell>
          <cell r="BR7">
            <v>0</v>
          </cell>
          <cell r="BS7">
            <v>0</v>
          </cell>
          <cell r="BT7">
            <v>0.5</v>
          </cell>
          <cell r="BU7">
            <v>0</v>
          </cell>
          <cell r="BV7">
            <v>0</v>
          </cell>
          <cell r="BW7">
            <v>0.1</v>
          </cell>
          <cell r="BX7" t="str">
            <v>Tiny Kingdom</v>
          </cell>
          <cell r="BY7" t="str">
            <v>Girls</v>
          </cell>
          <cell r="BZ7" t="str">
            <v>External</v>
          </cell>
          <cell r="CA7" t="str">
            <v>Kurta Sets</v>
          </cell>
          <cell r="CB7" t="str">
            <v>ON_HAND</v>
          </cell>
          <cell r="CC7" t="b">
            <v>0</v>
          </cell>
          <cell r="CD7" t="str">
            <v>**********</v>
          </cell>
          <cell r="CE7">
            <v>570017</v>
          </cell>
          <cell r="CF7" t="str">
            <v>27AXUPC8425A1ZH</v>
          </cell>
          <cell r="CH7" t="str">
            <v>29AAECM9636P1ZJ</v>
          </cell>
          <cell r="CI7" t="str">
            <v>Mumbai</v>
          </cell>
          <cell r="CJ7">
            <v>400013</v>
          </cell>
          <cell r="CK7" t="str">
            <v>maharashtra</v>
          </cell>
          <cell r="CL7" t="str">
            <v>MH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W7">
            <v>0</v>
          </cell>
          <cell r="CX7">
            <v>822.67200000000003</v>
          </cell>
          <cell r="CY7">
            <v>822.67200000000003</v>
          </cell>
          <cell r="CZ7">
            <v>0</v>
          </cell>
          <cell r="DA7">
            <v>0</v>
          </cell>
          <cell r="DB7">
            <v>0</v>
          </cell>
          <cell r="DC7">
            <v>1125</v>
          </cell>
          <cell r="DD7">
            <v>2.8294600000000001</v>
          </cell>
          <cell r="DE7" t="str">
            <v>87ed3476-0c21-4105-93c3-87a18f581c57</v>
          </cell>
          <cell r="DF7">
            <v>100073000000</v>
          </cell>
          <cell r="DG7">
            <v>0</v>
          </cell>
          <cell r="DH7">
            <v>14.147</v>
          </cell>
          <cell r="DI7">
            <v>0</v>
          </cell>
          <cell r="DJ7">
            <v>2.8290000000000002</v>
          </cell>
          <cell r="DK7" t="str">
            <v>BRONZE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 t="str">
            <v>NA</v>
          </cell>
          <cell r="DU7" t="str">
            <v>NA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-2526.4119999999998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 t="str">
            <v>Settled</v>
          </cell>
          <cell r="FH7">
            <v>3375</v>
          </cell>
          <cell r="FI7">
            <v>2526.4119999999998</v>
          </cell>
          <cell r="FJ7">
            <v>839.64800000000002</v>
          </cell>
          <cell r="FK7">
            <v>197.06</v>
          </cell>
        </row>
        <row r="8">
          <cell r="A8">
            <v>8647972516</v>
          </cell>
          <cell r="B8">
            <v>10647896886</v>
          </cell>
          <cell r="C8" t="str">
            <v>return_refund</v>
          </cell>
          <cell r="D8">
            <v>45911.611111111109</v>
          </cell>
          <cell r="E8">
            <v>45904.486805555556</v>
          </cell>
          <cell r="G8" t="str">
            <v>Myntra Designs Pvt Ltd</v>
          </cell>
          <cell r="H8" t="str">
            <v>TIKILHNC113044968</v>
          </cell>
          <cell r="I8" t="str">
            <v>\I2726TK000002745\""</v>
          </cell>
          <cell r="J8">
            <v>8647972516</v>
          </cell>
          <cell r="K8">
            <v>62042300</v>
          </cell>
          <cell r="L8" t="str">
            <v>Apparel</v>
          </cell>
          <cell r="M8" t="str">
            <v>INR</v>
          </cell>
          <cell r="N8">
            <v>3194</v>
          </cell>
          <cell r="O8">
            <v>3194</v>
          </cell>
          <cell r="P8">
            <v>0</v>
          </cell>
          <cell r="Q8">
            <v>4000</v>
          </cell>
          <cell r="R8">
            <v>600</v>
          </cell>
          <cell r="S8" t="str">
            <v>Inter-State</v>
          </cell>
          <cell r="T8">
            <v>12</v>
          </cell>
          <cell r="U8">
            <v>342.21</v>
          </cell>
          <cell r="V8">
            <v>0</v>
          </cell>
          <cell r="W8">
            <v>0</v>
          </cell>
          <cell r="X8">
            <v>14.259</v>
          </cell>
          <cell r="Y8">
            <v>2.8519999999999999</v>
          </cell>
          <cell r="AA8">
            <v>0</v>
          </cell>
          <cell r="AB8">
            <v>791.47299999999996</v>
          </cell>
          <cell r="AC8">
            <v>791.47299999999996</v>
          </cell>
          <cell r="AD8">
            <v>808.58399999999995</v>
          </cell>
          <cell r="AE8">
            <v>-197.06</v>
          </cell>
          <cell r="AF8">
            <v>167</v>
          </cell>
          <cell r="AG8">
            <v>0</v>
          </cell>
          <cell r="AH8">
            <v>0</v>
          </cell>
          <cell r="AI8">
            <v>0</v>
          </cell>
          <cell r="AJ8">
            <v>30.06</v>
          </cell>
          <cell r="AK8">
            <v>1</v>
          </cell>
          <cell r="AL8" t="str">
            <v>NATIONAL</v>
          </cell>
          <cell r="AM8">
            <v>3400</v>
          </cell>
          <cell r="AN8">
            <v>-2582.4760000000001</v>
          </cell>
          <cell r="AO8">
            <v>-2582.4760000000001</v>
          </cell>
          <cell r="AP8">
            <v>0</v>
          </cell>
          <cell r="AS8">
            <v>0</v>
          </cell>
          <cell r="AT8">
            <v>808.58399999999995</v>
          </cell>
          <cell r="AU8">
            <v>-197.06</v>
          </cell>
          <cell r="AV8">
            <v>-3194</v>
          </cell>
          <cell r="AZ8">
            <v>45924</v>
          </cell>
          <cell r="BA8">
            <v>45924</v>
          </cell>
          <cell r="BB8">
            <v>45924</v>
          </cell>
          <cell r="BF8" t="str">
            <v>NFT-/XUTR/DEUTH025267A0V51X</v>
          </cell>
          <cell r="BG8" t="str">
            <v>NFT-/XUTR/DEUTH025267A0V51X</v>
          </cell>
          <cell r="BH8" t="str">
            <v>NFT-/XUTR/DEUTH025267A0V51X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2851.79</v>
          </cell>
          <cell r="BP8">
            <v>12</v>
          </cell>
          <cell r="BQ8">
            <v>0</v>
          </cell>
          <cell r="BR8">
            <v>0</v>
          </cell>
          <cell r="BS8">
            <v>0</v>
          </cell>
          <cell r="BT8">
            <v>0.5</v>
          </cell>
          <cell r="BU8">
            <v>0</v>
          </cell>
          <cell r="BV8">
            <v>0</v>
          </cell>
          <cell r="BW8">
            <v>0.1</v>
          </cell>
          <cell r="BX8" t="str">
            <v>Tiny Kingdom</v>
          </cell>
          <cell r="BY8" t="str">
            <v>Girls</v>
          </cell>
          <cell r="BZ8" t="str">
            <v>External</v>
          </cell>
          <cell r="CA8" t="str">
            <v>Lehenga Choli</v>
          </cell>
          <cell r="CB8" t="str">
            <v>ON_HAND</v>
          </cell>
          <cell r="CC8" t="b">
            <v>0</v>
          </cell>
          <cell r="CD8" t="str">
            <v>**********</v>
          </cell>
          <cell r="CE8">
            <v>628003</v>
          </cell>
          <cell r="CF8" t="str">
            <v>27AXUPC8425A1ZH</v>
          </cell>
          <cell r="CH8" t="str">
            <v>29AAECM9636P1ZJ</v>
          </cell>
          <cell r="CI8" t="str">
            <v>Mumbai</v>
          </cell>
          <cell r="CJ8">
            <v>400013</v>
          </cell>
          <cell r="CK8" t="str">
            <v>maharashtra</v>
          </cell>
          <cell r="CL8" t="str">
            <v>MH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W8">
            <v>0</v>
          </cell>
          <cell r="CX8">
            <v>791.47299999999996</v>
          </cell>
          <cell r="CY8">
            <v>791.47299999999996</v>
          </cell>
          <cell r="CZ8">
            <v>0</v>
          </cell>
          <cell r="DA8">
            <v>0</v>
          </cell>
          <cell r="DB8">
            <v>0</v>
          </cell>
          <cell r="DC8">
            <v>600</v>
          </cell>
          <cell r="DD8">
            <v>2.8517899999999998</v>
          </cell>
          <cell r="DE8" t="str">
            <v>64a86564-03d4-4bfe-a547-eb4f7ea461f6</v>
          </cell>
          <cell r="DF8">
            <v>100077000000</v>
          </cell>
          <cell r="DG8">
            <v>0</v>
          </cell>
          <cell r="DH8">
            <v>14.259</v>
          </cell>
          <cell r="DI8">
            <v>0</v>
          </cell>
          <cell r="DJ8">
            <v>2.8519999999999999</v>
          </cell>
          <cell r="DK8" t="str">
            <v>BRONZE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 t="str">
            <v>NA</v>
          </cell>
          <cell r="DU8" t="str">
            <v>NA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-2582.4760000000001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 t="str">
            <v>Settled</v>
          </cell>
          <cell r="FH8">
            <v>3400</v>
          </cell>
          <cell r="FI8">
            <v>2582.4760000000001</v>
          </cell>
          <cell r="FJ8">
            <v>808.58399999999995</v>
          </cell>
          <cell r="FK8">
            <v>197.06</v>
          </cell>
        </row>
        <row r="9">
          <cell r="A9">
            <v>8640576575</v>
          </cell>
          <cell r="B9">
            <v>10640501039</v>
          </cell>
          <cell r="C9" t="str">
            <v>return_refund</v>
          </cell>
          <cell r="D9">
            <v>45906.644444444442</v>
          </cell>
          <cell r="E9">
            <v>45900.693749999999</v>
          </cell>
          <cell r="G9" t="str">
            <v>Myntra Designs Pvt Ltd</v>
          </cell>
          <cell r="H9" t="str">
            <v>TIKICLST113026331</v>
          </cell>
          <cell r="I9" t="str">
            <v>\I2726TK000002684\""</v>
          </cell>
          <cell r="J9">
            <v>9761370521</v>
          </cell>
          <cell r="K9">
            <v>62042300</v>
          </cell>
          <cell r="L9" t="str">
            <v>Apparel</v>
          </cell>
          <cell r="M9" t="str">
            <v>INR</v>
          </cell>
          <cell r="N9">
            <v>2769</v>
          </cell>
          <cell r="O9">
            <v>0</v>
          </cell>
          <cell r="P9">
            <v>2769</v>
          </cell>
          <cell r="Q9">
            <v>3500</v>
          </cell>
          <cell r="R9">
            <v>525</v>
          </cell>
          <cell r="S9" t="str">
            <v>Inter-State</v>
          </cell>
          <cell r="T9">
            <v>12</v>
          </cell>
          <cell r="U9">
            <v>296.68</v>
          </cell>
          <cell r="V9">
            <v>0</v>
          </cell>
          <cell r="W9">
            <v>0</v>
          </cell>
          <cell r="X9">
            <v>12.362</v>
          </cell>
          <cell r="Y9">
            <v>2.472</v>
          </cell>
          <cell r="AA9">
            <v>0</v>
          </cell>
          <cell r="AB9">
            <v>686.15800000000002</v>
          </cell>
          <cell r="AC9">
            <v>686.15800000000002</v>
          </cell>
          <cell r="AD9">
            <v>700.99199999999996</v>
          </cell>
          <cell r="AE9">
            <v>-197.06</v>
          </cell>
          <cell r="AF9">
            <v>167</v>
          </cell>
          <cell r="AG9">
            <v>0</v>
          </cell>
          <cell r="AH9">
            <v>0</v>
          </cell>
          <cell r="AI9">
            <v>0</v>
          </cell>
          <cell r="AJ9">
            <v>30.06</v>
          </cell>
          <cell r="AK9">
            <v>1</v>
          </cell>
          <cell r="AL9" t="str">
            <v>NATIONAL</v>
          </cell>
          <cell r="AM9">
            <v>2975</v>
          </cell>
          <cell r="AN9">
            <v>-2265.0680000000002</v>
          </cell>
          <cell r="AO9">
            <v>-2265.0680000000002</v>
          </cell>
          <cell r="AP9">
            <v>0</v>
          </cell>
          <cell r="AQ9">
            <v>700.99199999999996</v>
          </cell>
          <cell r="AR9">
            <v>-197.06</v>
          </cell>
          <cell r="AS9">
            <v>-2769</v>
          </cell>
          <cell r="AV9">
            <v>0</v>
          </cell>
          <cell r="AW9">
            <v>45919</v>
          </cell>
          <cell r="AX9">
            <v>45919</v>
          </cell>
          <cell r="AY9">
            <v>45919</v>
          </cell>
          <cell r="BC9" t="str">
            <v>NFT-/XUTR/DEUTH025262A0W6UX</v>
          </cell>
          <cell r="BD9" t="str">
            <v>NFT-/XUTR/DEUTH025262A0W6UX</v>
          </cell>
          <cell r="BE9" t="str">
            <v>NFT-/XUTR/DEUTH025262A0W6UX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2472.3200000000002</v>
          </cell>
          <cell r="BP9">
            <v>12</v>
          </cell>
          <cell r="BQ9">
            <v>0</v>
          </cell>
          <cell r="BR9">
            <v>0</v>
          </cell>
          <cell r="BS9">
            <v>0</v>
          </cell>
          <cell r="BT9">
            <v>0.5</v>
          </cell>
          <cell r="BU9">
            <v>0</v>
          </cell>
          <cell r="BV9">
            <v>0</v>
          </cell>
          <cell r="BW9">
            <v>0.1</v>
          </cell>
          <cell r="BX9" t="str">
            <v>Tiny Kingdom</v>
          </cell>
          <cell r="BY9" t="str">
            <v>Girls</v>
          </cell>
          <cell r="BZ9" t="str">
            <v>External</v>
          </cell>
          <cell r="CA9" t="str">
            <v>Clothing Set</v>
          </cell>
          <cell r="CB9" t="str">
            <v>ON_HAND</v>
          </cell>
          <cell r="CC9" t="b">
            <v>0</v>
          </cell>
          <cell r="CD9" t="str">
            <v>**********</v>
          </cell>
          <cell r="CE9">
            <v>700064</v>
          </cell>
          <cell r="CF9" t="str">
            <v>27AXUPC8425A1ZH</v>
          </cell>
          <cell r="CH9" t="str">
            <v>29AAECM9636P1ZJ</v>
          </cell>
          <cell r="CI9" t="str">
            <v>Mumbai</v>
          </cell>
          <cell r="CJ9">
            <v>400013</v>
          </cell>
          <cell r="CK9" t="str">
            <v>maharashtra</v>
          </cell>
          <cell r="CL9" t="str">
            <v>MH</v>
          </cell>
          <cell r="CN9">
            <v>0</v>
          </cell>
          <cell r="CO9">
            <v>686.15800000000002</v>
          </cell>
          <cell r="CP9">
            <v>686.15800000000002</v>
          </cell>
          <cell r="CQ9">
            <v>0</v>
          </cell>
          <cell r="CR9">
            <v>0</v>
          </cell>
          <cell r="CS9">
            <v>0</v>
          </cell>
          <cell r="CT9">
            <v>525</v>
          </cell>
          <cell r="CU9">
            <v>2.4723199999999999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E9" t="str">
            <v>6c35b46a-1e52-4e0f-b570-beffc31fef90</v>
          </cell>
          <cell r="DF9">
            <v>100076000000</v>
          </cell>
          <cell r="DG9">
            <v>12.362</v>
          </cell>
          <cell r="DH9">
            <v>0</v>
          </cell>
          <cell r="DI9">
            <v>2.472</v>
          </cell>
          <cell r="DJ9">
            <v>0</v>
          </cell>
          <cell r="DK9" t="str">
            <v>BRONZE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 t="str">
            <v>NA</v>
          </cell>
          <cell r="DU9" t="str">
            <v>NA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-2265.0680000000002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 t="str">
            <v>Settled</v>
          </cell>
          <cell r="FH9">
            <v>2975</v>
          </cell>
          <cell r="FI9">
            <v>2265.0680000000002</v>
          </cell>
          <cell r="FJ9">
            <v>700.99199999999996</v>
          </cell>
          <cell r="FK9">
            <v>197.06</v>
          </cell>
        </row>
        <row r="10">
          <cell r="A10">
            <v>8655198144</v>
          </cell>
          <cell r="B10">
            <v>10655122326</v>
          </cell>
          <cell r="C10" t="str">
            <v>return_refund</v>
          </cell>
          <cell r="D10">
            <v>45914.40625</v>
          </cell>
          <cell r="E10">
            <v>45908.48333333333</v>
          </cell>
          <cell r="G10" t="str">
            <v>Myntra Designs Pvt Ltd</v>
          </cell>
          <cell r="H10" t="str">
            <v>TIKILHNC115963233</v>
          </cell>
          <cell r="I10" t="str">
            <v>\I2726TK000002783\""</v>
          </cell>
          <cell r="J10">
            <v>8655198144</v>
          </cell>
          <cell r="K10">
            <v>62042300</v>
          </cell>
          <cell r="L10" t="str">
            <v>Apparel</v>
          </cell>
          <cell r="M10" t="str">
            <v>INR</v>
          </cell>
          <cell r="N10">
            <v>3594</v>
          </cell>
          <cell r="O10">
            <v>0</v>
          </cell>
          <cell r="P10">
            <v>3594</v>
          </cell>
          <cell r="Q10">
            <v>4750</v>
          </cell>
          <cell r="R10">
            <v>950</v>
          </cell>
          <cell r="S10" t="str">
            <v>Inter-State</v>
          </cell>
          <cell r="T10">
            <v>12</v>
          </cell>
          <cell r="U10">
            <v>385.07</v>
          </cell>
          <cell r="V10">
            <v>0</v>
          </cell>
          <cell r="W10">
            <v>0</v>
          </cell>
          <cell r="X10">
            <v>16.045000000000002</v>
          </cell>
          <cell r="Y10">
            <v>3.2090000000000001</v>
          </cell>
          <cell r="AA10">
            <v>0</v>
          </cell>
          <cell r="AB10">
            <v>890.59299999999996</v>
          </cell>
          <cell r="AC10">
            <v>890.59299999999996</v>
          </cell>
          <cell r="AD10">
            <v>909.84699999999998</v>
          </cell>
          <cell r="AE10">
            <v>-132.16</v>
          </cell>
          <cell r="AF10">
            <v>112</v>
          </cell>
          <cell r="AG10">
            <v>0</v>
          </cell>
          <cell r="AH10">
            <v>0</v>
          </cell>
          <cell r="AI10">
            <v>0</v>
          </cell>
          <cell r="AJ10">
            <v>20.16</v>
          </cell>
          <cell r="AK10">
            <v>1</v>
          </cell>
          <cell r="AL10" t="str">
            <v>ZONAL</v>
          </cell>
          <cell r="AM10">
            <v>3800</v>
          </cell>
          <cell r="AN10">
            <v>-2816.3130000000001</v>
          </cell>
          <cell r="AO10">
            <v>-2816.3130000000001</v>
          </cell>
          <cell r="AP10">
            <v>0</v>
          </cell>
          <cell r="AQ10">
            <v>909.84699999999998</v>
          </cell>
          <cell r="AR10">
            <v>-132.16</v>
          </cell>
          <cell r="AS10">
            <v>-3594</v>
          </cell>
          <cell r="AV10">
            <v>0</v>
          </cell>
          <cell r="AW10">
            <v>45925</v>
          </cell>
          <cell r="AX10">
            <v>45925</v>
          </cell>
          <cell r="AY10">
            <v>45925</v>
          </cell>
          <cell r="BC10" t="str">
            <v>NFT-/XUTR/DEUTH02526823565X</v>
          </cell>
          <cell r="BD10" t="str">
            <v>NFT-/XUTR/DEUTH02526823565X</v>
          </cell>
          <cell r="BE10" t="str">
            <v>NFT-/XUTR/DEUTH02526823565X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3208.93</v>
          </cell>
          <cell r="BP10">
            <v>12</v>
          </cell>
          <cell r="BQ10">
            <v>0</v>
          </cell>
          <cell r="BR10">
            <v>0</v>
          </cell>
          <cell r="BS10">
            <v>0</v>
          </cell>
          <cell r="BT10">
            <v>0.5</v>
          </cell>
          <cell r="BU10">
            <v>0</v>
          </cell>
          <cell r="BV10">
            <v>0</v>
          </cell>
          <cell r="BW10">
            <v>0.1</v>
          </cell>
          <cell r="BX10" t="str">
            <v>Tiny Kingdom</v>
          </cell>
          <cell r="BY10" t="str">
            <v>Girls</v>
          </cell>
          <cell r="BZ10" t="str">
            <v>External</v>
          </cell>
          <cell r="CA10" t="str">
            <v>Lehenga Choli</v>
          </cell>
          <cell r="CB10" t="str">
            <v>ON_HAND</v>
          </cell>
          <cell r="CC10" t="b">
            <v>0</v>
          </cell>
          <cell r="CD10" t="str">
            <v>**********</v>
          </cell>
          <cell r="CE10">
            <v>500019</v>
          </cell>
          <cell r="CF10" t="str">
            <v>27AXUPC8425A1ZH</v>
          </cell>
          <cell r="CH10" t="str">
            <v>29AAECM9636P1ZJ</v>
          </cell>
          <cell r="CI10" t="str">
            <v>Mumbai</v>
          </cell>
          <cell r="CJ10">
            <v>400013</v>
          </cell>
          <cell r="CK10" t="str">
            <v>maharashtra</v>
          </cell>
          <cell r="CL10" t="str">
            <v>MH</v>
          </cell>
          <cell r="CN10">
            <v>0</v>
          </cell>
          <cell r="CO10">
            <v>890.59299999999996</v>
          </cell>
          <cell r="CP10">
            <v>890.59299999999996</v>
          </cell>
          <cell r="CQ10">
            <v>0</v>
          </cell>
          <cell r="CR10">
            <v>0</v>
          </cell>
          <cell r="CS10">
            <v>0</v>
          </cell>
          <cell r="CT10">
            <v>950</v>
          </cell>
          <cell r="CU10">
            <v>3.2089300000000001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E10" t="str">
            <v>7ef3ae61-2b84-4e6b-b8c4-33b45d77f268</v>
          </cell>
          <cell r="DF10">
            <v>100078000000</v>
          </cell>
          <cell r="DG10">
            <v>16.045000000000002</v>
          </cell>
          <cell r="DH10">
            <v>0</v>
          </cell>
          <cell r="DI10">
            <v>3.2090000000000001</v>
          </cell>
          <cell r="DJ10">
            <v>0</v>
          </cell>
          <cell r="DK10" t="str">
            <v>BRONZE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 t="str">
            <v>NA</v>
          </cell>
          <cell r="DU10" t="str">
            <v>NA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-2816.3130000000001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 t="str">
            <v>Settled</v>
          </cell>
          <cell r="FH10">
            <v>3800</v>
          </cell>
          <cell r="FI10">
            <v>2816.3130000000001</v>
          </cell>
          <cell r="FJ10">
            <v>909.84699999999998</v>
          </cell>
          <cell r="FK10">
            <v>132.16</v>
          </cell>
        </row>
        <row r="11">
          <cell r="A11">
            <v>8618007109</v>
          </cell>
          <cell r="B11">
            <v>10617932421</v>
          </cell>
          <cell r="C11" t="str">
            <v>return_refund</v>
          </cell>
          <cell r="D11">
            <v>45893.408333333333</v>
          </cell>
          <cell r="E11">
            <v>45888.475694444445</v>
          </cell>
          <cell r="F11">
            <v>44525</v>
          </cell>
          <cell r="G11" t="str">
            <v>Myntra Designs Pvt Ltd</v>
          </cell>
          <cell r="H11" t="str">
            <v>BETYDRSS103350223</v>
          </cell>
          <cell r="I11" t="str">
            <v>\I2726TK000002484\""</v>
          </cell>
          <cell r="J11">
            <v>8618007109</v>
          </cell>
          <cell r="K11">
            <v>62042300</v>
          </cell>
          <cell r="L11" t="str">
            <v>Apparel</v>
          </cell>
          <cell r="M11" t="str">
            <v>INR</v>
          </cell>
          <cell r="N11">
            <v>3294</v>
          </cell>
          <cell r="O11">
            <v>0</v>
          </cell>
          <cell r="P11">
            <v>3294</v>
          </cell>
          <cell r="Q11">
            <v>5000</v>
          </cell>
          <cell r="R11">
            <v>1500</v>
          </cell>
          <cell r="S11" t="str">
            <v>Inter-State</v>
          </cell>
          <cell r="T11">
            <v>12</v>
          </cell>
          <cell r="U11">
            <v>352.93</v>
          </cell>
          <cell r="V11">
            <v>0</v>
          </cell>
          <cell r="W11">
            <v>0</v>
          </cell>
          <cell r="X11">
            <v>14.705</v>
          </cell>
          <cell r="Y11">
            <v>2.9409999999999998</v>
          </cell>
          <cell r="AA11">
            <v>0</v>
          </cell>
          <cell r="AB11">
            <v>1049.4680000000001</v>
          </cell>
          <cell r="AC11">
            <v>1049.4680000000001</v>
          </cell>
          <cell r="AD11">
            <v>1067.114</v>
          </cell>
          <cell r="AE11">
            <v>-132.16</v>
          </cell>
          <cell r="AF11">
            <v>112</v>
          </cell>
          <cell r="AG11">
            <v>0</v>
          </cell>
          <cell r="AH11">
            <v>0</v>
          </cell>
          <cell r="AI11">
            <v>0</v>
          </cell>
          <cell r="AJ11">
            <v>20.16</v>
          </cell>
          <cell r="AK11">
            <v>1</v>
          </cell>
          <cell r="AL11" t="str">
            <v>ZONAL</v>
          </cell>
          <cell r="AM11">
            <v>3500</v>
          </cell>
          <cell r="AN11">
            <v>-2359.0459999999998</v>
          </cell>
          <cell r="AO11">
            <v>-2359.0459999999998</v>
          </cell>
          <cell r="AP11">
            <v>0</v>
          </cell>
          <cell r="AQ11">
            <v>1067.114</v>
          </cell>
          <cell r="AR11">
            <v>-132.16</v>
          </cell>
          <cell r="AS11">
            <v>-3294</v>
          </cell>
          <cell r="AV11">
            <v>0</v>
          </cell>
          <cell r="AW11">
            <v>45908</v>
          </cell>
          <cell r="AX11">
            <v>45908</v>
          </cell>
          <cell r="AY11">
            <v>45908</v>
          </cell>
          <cell r="BC11" t="str">
            <v>NFT-/XUTR/DEUTH025251A0L0JX</v>
          </cell>
          <cell r="BD11" t="str">
            <v>NFT-/XUTR/DEUTH025251A0L0JX</v>
          </cell>
          <cell r="BE11" t="str">
            <v>NFT-/XUTR/DEUTH025251A0L0JX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2941.07</v>
          </cell>
          <cell r="BP11">
            <v>12</v>
          </cell>
          <cell r="BQ11">
            <v>0</v>
          </cell>
          <cell r="BR11">
            <v>0</v>
          </cell>
          <cell r="BS11">
            <v>0</v>
          </cell>
          <cell r="BT11">
            <v>0.5</v>
          </cell>
          <cell r="BU11">
            <v>0</v>
          </cell>
          <cell r="BV11">
            <v>0</v>
          </cell>
          <cell r="BW11">
            <v>0.1</v>
          </cell>
          <cell r="BX11" t="str">
            <v>BETTY</v>
          </cell>
          <cell r="BY11" t="str">
            <v>Girls</v>
          </cell>
          <cell r="BZ11" t="str">
            <v>External</v>
          </cell>
          <cell r="CA11" t="str">
            <v>Dresses</v>
          </cell>
          <cell r="CB11" t="str">
            <v>ON_HAND</v>
          </cell>
          <cell r="CC11" t="b">
            <v>0</v>
          </cell>
          <cell r="CD11" t="str">
            <v>**********</v>
          </cell>
          <cell r="CE11">
            <v>560077</v>
          </cell>
          <cell r="CF11" t="str">
            <v>27AXUPC8425A1ZH</v>
          </cell>
          <cell r="CH11" t="str">
            <v>29AAECM9636P1ZJ</v>
          </cell>
          <cell r="CI11" t="str">
            <v>Mumbai</v>
          </cell>
          <cell r="CJ11">
            <v>400013</v>
          </cell>
          <cell r="CK11" t="str">
            <v>maharashtra</v>
          </cell>
          <cell r="CL11" t="str">
            <v>MH</v>
          </cell>
          <cell r="CN11">
            <v>0</v>
          </cell>
          <cell r="CO11">
            <v>1049.4680000000001</v>
          </cell>
          <cell r="CP11">
            <v>1049.4680000000001</v>
          </cell>
          <cell r="CQ11">
            <v>0</v>
          </cell>
          <cell r="CR11">
            <v>0</v>
          </cell>
          <cell r="CS11">
            <v>0</v>
          </cell>
          <cell r="CT11">
            <v>1500</v>
          </cell>
          <cell r="CU11">
            <v>2.9410699999999999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E11" t="str">
            <v>fa2ad8df-5b5d-4e19-b3a8-5081c929f118</v>
          </cell>
          <cell r="DF11">
            <v>100072000000</v>
          </cell>
          <cell r="DG11">
            <v>14.705</v>
          </cell>
          <cell r="DH11">
            <v>0</v>
          </cell>
          <cell r="DI11">
            <v>2.9409999999999998</v>
          </cell>
          <cell r="DJ11">
            <v>0</v>
          </cell>
          <cell r="DK11" t="str">
            <v>BRONZE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 t="str">
            <v>NA</v>
          </cell>
          <cell r="DU11" t="str">
            <v>NA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-2359.0459999999998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 t="str">
            <v>Settled</v>
          </cell>
          <cell r="FH11">
            <v>3500</v>
          </cell>
          <cell r="FI11">
            <v>2359.0459999999998</v>
          </cell>
          <cell r="FJ11">
            <v>1067.114</v>
          </cell>
          <cell r="FK11">
            <v>132.16</v>
          </cell>
        </row>
        <row r="12">
          <cell r="A12">
            <v>8597846429</v>
          </cell>
          <cell r="B12">
            <v>10597772773</v>
          </cell>
          <cell r="C12" t="str">
            <v>return_refund</v>
          </cell>
          <cell r="D12">
            <v>45897.71597222222</v>
          </cell>
          <cell r="E12">
            <v>45873.455555555556</v>
          </cell>
          <cell r="F12">
            <v>44501</v>
          </cell>
          <cell r="G12" t="str">
            <v>Myntra Designs Pvt Ltd</v>
          </cell>
          <cell r="H12" t="str">
            <v>TIKIDRSS113491276</v>
          </cell>
          <cell r="I12" t="str">
            <v>\I2726TK000002223\""</v>
          </cell>
          <cell r="J12">
            <v>8597846429</v>
          </cell>
          <cell r="K12">
            <v>62042300</v>
          </cell>
          <cell r="L12" t="str">
            <v>Apparel</v>
          </cell>
          <cell r="M12" t="str">
            <v>INR</v>
          </cell>
          <cell r="N12">
            <v>3169</v>
          </cell>
          <cell r="O12">
            <v>0</v>
          </cell>
          <cell r="P12">
            <v>3169.01</v>
          </cell>
          <cell r="Q12">
            <v>3750</v>
          </cell>
          <cell r="R12">
            <v>375</v>
          </cell>
          <cell r="S12" t="str">
            <v>Inter-State</v>
          </cell>
          <cell r="T12">
            <v>12</v>
          </cell>
          <cell r="U12">
            <v>339.54</v>
          </cell>
          <cell r="V12">
            <v>0</v>
          </cell>
          <cell r="W12">
            <v>0</v>
          </cell>
          <cell r="X12">
            <v>14.147</v>
          </cell>
          <cell r="Y12">
            <v>2.8290000000000002</v>
          </cell>
          <cell r="AA12">
            <v>0</v>
          </cell>
          <cell r="AB12">
            <v>673.09799999999996</v>
          </cell>
          <cell r="AC12">
            <v>673.09799999999996</v>
          </cell>
          <cell r="AD12">
            <v>690.07399999999996</v>
          </cell>
          <cell r="AE12">
            <v>-197.06</v>
          </cell>
          <cell r="AF12">
            <v>167</v>
          </cell>
          <cell r="AG12">
            <v>0</v>
          </cell>
          <cell r="AH12">
            <v>0</v>
          </cell>
          <cell r="AI12">
            <v>0</v>
          </cell>
          <cell r="AJ12">
            <v>30.06</v>
          </cell>
          <cell r="AK12">
            <v>1</v>
          </cell>
          <cell r="AL12" t="str">
            <v>NATIONAL</v>
          </cell>
          <cell r="AM12">
            <v>3375</v>
          </cell>
          <cell r="AN12">
            <v>-2675.9960000000001</v>
          </cell>
          <cell r="AO12">
            <v>-2675.9960000000001</v>
          </cell>
          <cell r="AP12">
            <v>0</v>
          </cell>
          <cell r="AQ12">
            <v>690.07399999999996</v>
          </cell>
          <cell r="AR12">
            <v>-197.06</v>
          </cell>
          <cell r="AS12">
            <v>-3169.01</v>
          </cell>
          <cell r="AV12">
            <v>0</v>
          </cell>
          <cell r="AW12">
            <v>45901</v>
          </cell>
          <cell r="AX12">
            <v>45901</v>
          </cell>
          <cell r="AY12">
            <v>45901</v>
          </cell>
          <cell r="BC12" t="str">
            <v>NFT-/XUTR/DEUTH025244A0LW1X</v>
          </cell>
          <cell r="BD12" t="str">
            <v>NFT-/XUTR/DEUTH025244A0LW1X</v>
          </cell>
          <cell r="BE12" t="str">
            <v>NFT-/XUTR/DEUTH025244A0LW1X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2829.46</v>
          </cell>
          <cell r="BP12">
            <v>12</v>
          </cell>
          <cell r="BQ12">
            <v>0</v>
          </cell>
          <cell r="BR12">
            <v>0</v>
          </cell>
          <cell r="BS12">
            <v>0</v>
          </cell>
          <cell r="BT12">
            <v>0.5</v>
          </cell>
          <cell r="BU12">
            <v>0</v>
          </cell>
          <cell r="BV12">
            <v>0</v>
          </cell>
          <cell r="BW12">
            <v>0.1</v>
          </cell>
          <cell r="BX12" t="str">
            <v>Tiny Kingdom</v>
          </cell>
          <cell r="BY12" t="str">
            <v>Girls</v>
          </cell>
          <cell r="BZ12" t="str">
            <v>External</v>
          </cell>
          <cell r="CA12" t="str">
            <v>Dresses</v>
          </cell>
          <cell r="CB12" t="str">
            <v>ON_HAND</v>
          </cell>
          <cell r="CC12" t="b">
            <v>0</v>
          </cell>
          <cell r="CD12" t="str">
            <v>**********</v>
          </cell>
          <cell r="CE12">
            <v>131001</v>
          </cell>
          <cell r="CF12" t="str">
            <v>27AXUPC8425A1ZH</v>
          </cell>
          <cell r="CH12" t="str">
            <v>29AAECM9636P1ZJ</v>
          </cell>
          <cell r="CI12" t="str">
            <v>Mumbai</v>
          </cell>
          <cell r="CJ12">
            <v>400013</v>
          </cell>
          <cell r="CK12" t="str">
            <v>maharashtra</v>
          </cell>
          <cell r="CL12" t="str">
            <v>MH</v>
          </cell>
          <cell r="CN12">
            <v>0</v>
          </cell>
          <cell r="CO12">
            <v>673.09799999999996</v>
          </cell>
          <cell r="CP12">
            <v>673.09799999999996</v>
          </cell>
          <cell r="CQ12">
            <v>0</v>
          </cell>
          <cell r="CR12">
            <v>0</v>
          </cell>
          <cell r="CS12">
            <v>0</v>
          </cell>
          <cell r="CT12">
            <v>375</v>
          </cell>
          <cell r="CU12">
            <v>2.8294600000000001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E12" t="str">
            <v>ff6f9ebf-7f4e-409a-8402-0f4b410c7c70</v>
          </cell>
          <cell r="DF12">
            <v>100070000000</v>
          </cell>
          <cell r="DG12">
            <v>14.147</v>
          </cell>
          <cell r="DH12">
            <v>0</v>
          </cell>
          <cell r="DI12">
            <v>2.8290000000000002</v>
          </cell>
          <cell r="DJ12">
            <v>0</v>
          </cell>
          <cell r="DK12" t="str">
            <v>BRONZE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 t="str">
            <v>NA</v>
          </cell>
          <cell r="DU12" t="str">
            <v>NA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EB12">
            <v>-2675.9960000000001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 t="str">
            <v>Settled</v>
          </cell>
          <cell r="FH12">
            <v>3375</v>
          </cell>
          <cell r="FI12">
            <v>2675.9960000000001</v>
          </cell>
          <cell r="FJ12">
            <v>690.07399999999996</v>
          </cell>
          <cell r="FK12">
            <v>197.06</v>
          </cell>
        </row>
        <row r="13">
          <cell r="A13">
            <v>8620040748</v>
          </cell>
          <cell r="B13">
            <v>10619965954</v>
          </cell>
          <cell r="C13" t="str">
            <v>return_refund</v>
          </cell>
          <cell r="D13">
            <v>45898.675694444442</v>
          </cell>
          <cell r="E13">
            <v>45887.452777777777</v>
          </cell>
          <cell r="G13" t="str">
            <v>Myntra Designs Pvt Ltd</v>
          </cell>
          <cell r="H13" t="str">
            <v>TIKIDRSS106641706</v>
          </cell>
          <cell r="I13" t="str">
            <v>\I2726TK000002458\""</v>
          </cell>
          <cell r="J13">
            <v>9756311805</v>
          </cell>
          <cell r="K13">
            <v>62042300</v>
          </cell>
          <cell r="L13" t="str">
            <v>Apparel</v>
          </cell>
          <cell r="M13" t="str">
            <v>INR</v>
          </cell>
          <cell r="N13">
            <v>2606</v>
          </cell>
          <cell r="O13">
            <v>0</v>
          </cell>
          <cell r="P13">
            <v>2606</v>
          </cell>
          <cell r="Q13">
            <v>3750</v>
          </cell>
          <cell r="R13">
            <v>938</v>
          </cell>
          <cell r="S13" t="str">
            <v>Inter-State</v>
          </cell>
          <cell r="T13">
            <v>12</v>
          </cell>
          <cell r="U13">
            <v>279.20999999999998</v>
          </cell>
          <cell r="V13">
            <v>0</v>
          </cell>
          <cell r="W13">
            <v>0</v>
          </cell>
          <cell r="X13">
            <v>11.634</v>
          </cell>
          <cell r="Y13">
            <v>2.327</v>
          </cell>
          <cell r="AA13">
            <v>0</v>
          </cell>
          <cell r="AB13">
            <v>553.51400000000001</v>
          </cell>
          <cell r="AC13">
            <v>553.51400000000001</v>
          </cell>
          <cell r="AD13">
            <v>567.47500000000002</v>
          </cell>
          <cell r="AE13">
            <v>-132.16</v>
          </cell>
          <cell r="AF13">
            <v>112</v>
          </cell>
          <cell r="AG13">
            <v>0</v>
          </cell>
          <cell r="AH13">
            <v>0</v>
          </cell>
          <cell r="AI13">
            <v>0</v>
          </cell>
          <cell r="AJ13">
            <v>20.16</v>
          </cell>
          <cell r="AK13">
            <v>1</v>
          </cell>
          <cell r="AL13" t="str">
            <v>ZONAL</v>
          </cell>
          <cell r="AM13">
            <v>2812</v>
          </cell>
          <cell r="AN13">
            <v>-2170.6849999999999</v>
          </cell>
          <cell r="AO13">
            <v>-2170.6849999999999</v>
          </cell>
          <cell r="AP13">
            <v>0</v>
          </cell>
          <cell r="AQ13">
            <v>567.47500000000002</v>
          </cell>
          <cell r="AR13">
            <v>-132.16</v>
          </cell>
          <cell r="AS13">
            <v>-2606</v>
          </cell>
          <cell r="AV13">
            <v>0</v>
          </cell>
          <cell r="AW13">
            <v>45908</v>
          </cell>
          <cell r="AX13">
            <v>45908</v>
          </cell>
          <cell r="AY13">
            <v>45908</v>
          </cell>
          <cell r="BC13" t="str">
            <v>NFT-/XUTR/DEUTH025251A0L0JX</v>
          </cell>
          <cell r="BD13" t="str">
            <v>NFT-/XUTR/DEUTH025251A0L0JX</v>
          </cell>
          <cell r="BE13" t="str">
            <v>NFT-/XUTR/DEUTH025251A0L0JX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2326.79</v>
          </cell>
          <cell r="BP13">
            <v>12</v>
          </cell>
          <cell r="BQ13">
            <v>0</v>
          </cell>
          <cell r="BR13">
            <v>0</v>
          </cell>
          <cell r="BS13">
            <v>0</v>
          </cell>
          <cell r="BT13">
            <v>0.5</v>
          </cell>
          <cell r="BU13">
            <v>0</v>
          </cell>
          <cell r="BV13">
            <v>0</v>
          </cell>
          <cell r="BW13">
            <v>0.1</v>
          </cell>
          <cell r="BX13" t="str">
            <v>Tiny Kingdom</v>
          </cell>
          <cell r="BY13" t="str">
            <v>Girls</v>
          </cell>
          <cell r="BZ13" t="str">
            <v>External</v>
          </cell>
          <cell r="CA13" t="str">
            <v>Dresses</v>
          </cell>
          <cell r="CB13" t="str">
            <v>ON_HAND</v>
          </cell>
          <cell r="CC13" t="b">
            <v>0</v>
          </cell>
          <cell r="CD13" t="str">
            <v>**********</v>
          </cell>
          <cell r="CE13">
            <v>560048</v>
          </cell>
          <cell r="CF13" t="str">
            <v>27AXUPC8425A1ZH</v>
          </cell>
          <cell r="CH13" t="str">
            <v>29AAECM9636P1ZJ</v>
          </cell>
          <cell r="CI13" t="str">
            <v>Mumbai</v>
          </cell>
          <cell r="CJ13">
            <v>400013</v>
          </cell>
          <cell r="CK13" t="str">
            <v>maharashtra</v>
          </cell>
          <cell r="CL13" t="str">
            <v>MH</v>
          </cell>
          <cell r="CN13">
            <v>0</v>
          </cell>
          <cell r="CO13">
            <v>553.51400000000001</v>
          </cell>
          <cell r="CP13">
            <v>553.51400000000001</v>
          </cell>
          <cell r="CQ13">
            <v>0</v>
          </cell>
          <cell r="CR13">
            <v>0</v>
          </cell>
          <cell r="CS13">
            <v>0</v>
          </cell>
          <cell r="CT13">
            <v>938</v>
          </cell>
          <cell r="CU13">
            <v>2.3267899999999999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E13" t="str">
            <v>6003fa26-30e5-4121-a1da-7f2346ce6b72</v>
          </cell>
          <cell r="DF13">
            <v>100072000000</v>
          </cell>
          <cell r="DG13">
            <v>11.634</v>
          </cell>
          <cell r="DH13">
            <v>0</v>
          </cell>
          <cell r="DI13">
            <v>2.327</v>
          </cell>
          <cell r="DJ13">
            <v>0</v>
          </cell>
          <cell r="DK13" t="str">
            <v>BRONZE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 t="str">
            <v>NA</v>
          </cell>
          <cell r="DU13" t="str">
            <v>NA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-2170.6849999999999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 t="str">
            <v>Settled</v>
          </cell>
          <cell r="FH13">
            <v>2812</v>
          </cell>
          <cell r="FI13">
            <v>2170.6849999999999</v>
          </cell>
          <cell r="FJ13">
            <v>567.47500000000002</v>
          </cell>
          <cell r="FK13">
            <v>132.16</v>
          </cell>
        </row>
        <row r="14">
          <cell r="A14">
            <v>8637715863</v>
          </cell>
          <cell r="B14">
            <v>10637640391</v>
          </cell>
          <cell r="C14" t="str">
            <v>return_refund</v>
          </cell>
          <cell r="D14">
            <v>45906.59375</v>
          </cell>
          <cell r="E14">
            <v>45898.775000000001</v>
          </cell>
          <cell r="G14" t="str">
            <v>Myntra Designs Pvt Ltd</v>
          </cell>
          <cell r="H14" t="str">
            <v>BETYCLST95180962</v>
          </cell>
          <cell r="I14" t="str">
            <v>\I2726TK000002654\""</v>
          </cell>
          <cell r="J14">
            <v>8637715863</v>
          </cell>
          <cell r="K14">
            <v>62042300</v>
          </cell>
          <cell r="L14" t="str">
            <v>Apparel</v>
          </cell>
          <cell r="M14" t="str">
            <v>INR</v>
          </cell>
          <cell r="N14">
            <v>3644</v>
          </cell>
          <cell r="O14">
            <v>3644</v>
          </cell>
          <cell r="P14">
            <v>0</v>
          </cell>
          <cell r="Q14">
            <v>5500</v>
          </cell>
          <cell r="R14">
            <v>1650</v>
          </cell>
          <cell r="S14" t="str">
            <v>Inter-State</v>
          </cell>
          <cell r="T14">
            <v>12</v>
          </cell>
          <cell r="U14">
            <v>390.43</v>
          </cell>
          <cell r="V14">
            <v>0</v>
          </cell>
          <cell r="W14">
            <v>0</v>
          </cell>
          <cell r="X14">
            <v>16.268000000000001</v>
          </cell>
          <cell r="Y14">
            <v>3.254</v>
          </cell>
          <cell r="AA14">
            <v>0</v>
          </cell>
          <cell r="AB14">
            <v>1117.979</v>
          </cell>
          <cell r="AC14">
            <v>1117.979</v>
          </cell>
          <cell r="AD14">
            <v>1137.501</v>
          </cell>
          <cell r="AE14">
            <v>-197.06</v>
          </cell>
          <cell r="AF14">
            <v>167</v>
          </cell>
          <cell r="AG14">
            <v>0</v>
          </cell>
          <cell r="AH14">
            <v>0</v>
          </cell>
          <cell r="AI14">
            <v>0</v>
          </cell>
          <cell r="AJ14">
            <v>30.06</v>
          </cell>
          <cell r="AK14">
            <v>1</v>
          </cell>
          <cell r="AL14" t="str">
            <v>NATIONAL</v>
          </cell>
          <cell r="AM14">
            <v>3850</v>
          </cell>
          <cell r="AN14">
            <v>-2703.5590000000002</v>
          </cell>
          <cell r="AO14">
            <v>-2703.5590000000002</v>
          </cell>
          <cell r="AP14">
            <v>0</v>
          </cell>
          <cell r="AS14">
            <v>0</v>
          </cell>
          <cell r="AT14">
            <v>1137.501</v>
          </cell>
          <cell r="AU14">
            <v>-197.06</v>
          </cell>
          <cell r="AV14">
            <v>-3644</v>
          </cell>
          <cell r="AZ14">
            <v>45918</v>
          </cell>
          <cell r="BA14">
            <v>45918</v>
          </cell>
          <cell r="BB14">
            <v>45918</v>
          </cell>
          <cell r="BF14" t="str">
            <v>NFT-/XUTR/DEUTH02526119796X</v>
          </cell>
          <cell r="BG14" t="str">
            <v>NFT-/XUTR/DEUTH02526119796X</v>
          </cell>
          <cell r="BH14" t="str">
            <v>NFT-/XUTR/DEUTH02526119796X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3253.57</v>
          </cell>
          <cell r="BP14">
            <v>12</v>
          </cell>
          <cell r="BQ14">
            <v>0</v>
          </cell>
          <cell r="BR14">
            <v>0</v>
          </cell>
          <cell r="BS14">
            <v>0</v>
          </cell>
          <cell r="BT14">
            <v>0.5</v>
          </cell>
          <cell r="BU14">
            <v>0</v>
          </cell>
          <cell r="BV14">
            <v>0</v>
          </cell>
          <cell r="BW14">
            <v>0.1</v>
          </cell>
          <cell r="BX14" t="str">
            <v>BETTY</v>
          </cell>
          <cell r="BY14" t="str">
            <v>Girls</v>
          </cell>
          <cell r="BZ14" t="str">
            <v>External</v>
          </cell>
          <cell r="CA14" t="str">
            <v>Kurta Sets</v>
          </cell>
          <cell r="CB14" t="str">
            <v>ON_HAND</v>
          </cell>
          <cell r="CC14" t="b">
            <v>0</v>
          </cell>
          <cell r="CD14" t="str">
            <v>**********</v>
          </cell>
          <cell r="CE14">
            <v>766104</v>
          </cell>
          <cell r="CF14" t="str">
            <v>27AXUPC8425A1ZH</v>
          </cell>
          <cell r="CH14" t="str">
            <v>29AAECM9636P1ZJ</v>
          </cell>
          <cell r="CI14" t="str">
            <v>Mumbai</v>
          </cell>
          <cell r="CJ14">
            <v>400013</v>
          </cell>
          <cell r="CK14" t="str">
            <v>maharashtra</v>
          </cell>
          <cell r="CL14" t="str">
            <v>MH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W14">
            <v>0</v>
          </cell>
          <cell r="CX14">
            <v>1117.979</v>
          </cell>
          <cell r="CY14">
            <v>1117.979</v>
          </cell>
          <cell r="CZ14">
            <v>0</v>
          </cell>
          <cell r="DA14">
            <v>0</v>
          </cell>
          <cell r="DB14">
            <v>0</v>
          </cell>
          <cell r="DC14">
            <v>1650</v>
          </cell>
          <cell r="DD14">
            <v>3.2535699999999999</v>
          </cell>
          <cell r="DE14" t="str">
            <v>24ec8694-d605-41cc-938d-4d509ecf99c3</v>
          </cell>
          <cell r="DF14">
            <v>100076000000</v>
          </cell>
          <cell r="DG14">
            <v>0</v>
          </cell>
          <cell r="DH14">
            <v>16.268000000000001</v>
          </cell>
          <cell r="DI14">
            <v>0</v>
          </cell>
          <cell r="DJ14">
            <v>3.254</v>
          </cell>
          <cell r="DK14" t="str">
            <v>BRONZE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 t="str">
            <v>NA</v>
          </cell>
          <cell r="DU14" t="str">
            <v>NA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-2703.5590000000002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 t="str">
            <v>Settled</v>
          </cell>
          <cell r="FH14">
            <v>3850</v>
          </cell>
          <cell r="FI14">
            <v>2703.5590000000002</v>
          </cell>
          <cell r="FJ14">
            <v>1137.501</v>
          </cell>
          <cell r="FK14">
            <v>197.06</v>
          </cell>
        </row>
        <row r="15">
          <cell r="A15">
            <v>8623225789</v>
          </cell>
          <cell r="B15">
            <v>10623150789</v>
          </cell>
          <cell r="C15" t="str">
            <v>return_refund</v>
          </cell>
          <cell r="D15">
            <v>45896.46597222222</v>
          </cell>
          <cell r="E15">
            <v>45888.475694444445</v>
          </cell>
          <cell r="G15" t="str">
            <v>Myntra Designs Pvt Ltd</v>
          </cell>
          <cell r="H15" t="str">
            <v>TIKICLST112288673</v>
          </cell>
          <cell r="I15" t="str">
            <v>\I2726TK000002479\""</v>
          </cell>
          <cell r="J15">
            <v>8623225789</v>
          </cell>
          <cell r="K15">
            <v>62042300</v>
          </cell>
          <cell r="L15" t="str">
            <v>Apparel</v>
          </cell>
          <cell r="M15" t="str">
            <v>INR</v>
          </cell>
          <cell r="N15">
            <v>3844</v>
          </cell>
          <cell r="O15">
            <v>0</v>
          </cell>
          <cell r="P15">
            <v>3844</v>
          </cell>
          <cell r="Q15">
            <v>4500</v>
          </cell>
          <cell r="R15">
            <v>450</v>
          </cell>
          <cell r="S15" t="str">
            <v>Inter-State</v>
          </cell>
          <cell r="T15">
            <v>12</v>
          </cell>
          <cell r="U15">
            <v>411.86</v>
          </cell>
          <cell r="V15">
            <v>0</v>
          </cell>
          <cell r="W15">
            <v>0</v>
          </cell>
          <cell r="X15">
            <v>17.161000000000001</v>
          </cell>
          <cell r="Y15">
            <v>3.4319999999999999</v>
          </cell>
          <cell r="AA15">
            <v>0</v>
          </cell>
          <cell r="AB15">
            <v>952.54300000000001</v>
          </cell>
          <cell r="AC15">
            <v>952.54300000000001</v>
          </cell>
          <cell r="AD15">
            <v>973.13599999999997</v>
          </cell>
          <cell r="AE15">
            <v>-197.06</v>
          </cell>
          <cell r="AF15">
            <v>167</v>
          </cell>
          <cell r="AG15">
            <v>0</v>
          </cell>
          <cell r="AH15">
            <v>0</v>
          </cell>
          <cell r="AI15">
            <v>0</v>
          </cell>
          <cell r="AJ15">
            <v>30.06</v>
          </cell>
          <cell r="AK15">
            <v>1</v>
          </cell>
          <cell r="AL15" t="str">
            <v>NATIONAL</v>
          </cell>
          <cell r="AM15">
            <v>4050</v>
          </cell>
          <cell r="AN15">
            <v>-3067.924</v>
          </cell>
          <cell r="AO15">
            <v>-3067.924</v>
          </cell>
          <cell r="AP15">
            <v>0</v>
          </cell>
          <cell r="AQ15">
            <v>973.13599999999997</v>
          </cell>
          <cell r="AR15">
            <v>-197.06</v>
          </cell>
          <cell r="AS15">
            <v>-3844</v>
          </cell>
          <cell r="AV15">
            <v>0</v>
          </cell>
          <cell r="AW15">
            <v>45908</v>
          </cell>
          <cell r="AX15">
            <v>45908</v>
          </cell>
          <cell r="AY15">
            <v>45908</v>
          </cell>
          <cell r="BC15" t="str">
            <v>NFT-/XUTR/DEUTH025251A0L0JX</v>
          </cell>
          <cell r="BD15" t="str">
            <v>NFT-/XUTR/DEUTH025251A0L0JX</v>
          </cell>
          <cell r="BE15" t="str">
            <v>NFT-/XUTR/DEUTH025251A0L0JX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3432.14</v>
          </cell>
          <cell r="BP15">
            <v>12</v>
          </cell>
          <cell r="BQ15">
            <v>0</v>
          </cell>
          <cell r="BR15">
            <v>0</v>
          </cell>
          <cell r="BS15">
            <v>0</v>
          </cell>
          <cell r="BT15">
            <v>0.5</v>
          </cell>
          <cell r="BU15">
            <v>0</v>
          </cell>
          <cell r="BV15">
            <v>0</v>
          </cell>
          <cell r="BW15">
            <v>0.1</v>
          </cell>
          <cell r="BX15" t="str">
            <v>Tiny Kingdom</v>
          </cell>
          <cell r="BY15" t="str">
            <v>Girls</v>
          </cell>
          <cell r="BZ15" t="str">
            <v>External</v>
          </cell>
          <cell r="CA15" t="str">
            <v>Clothing Set</v>
          </cell>
          <cell r="CB15" t="str">
            <v>ON_HAND</v>
          </cell>
          <cell r="CC15" t="b">
            <v>0</v>
          </cell>
          <cell r="CD15" t="str">
            <v>**********</v>
          </cell>
          <cell r="CE15">
            <v>132113</v>
          </cell>
          <cell r="CF15" t="str">
            <v>27AXUPC8425A1ZH</v>
          </cell>
          <cell r="CH15" t="str">
            <v>29AAECM9636P1ZJ</v>
          </cell>
          <cell r="CI15" t="str">
            <v>Mumbai</v>
          </cell>
          <cell r="CJ15">
            <v>400013</v>
          </cell>
          <cell r="CK15" t="str">
            <v>maharashtra</v>
          </cell>
          <cell r="CL15" t="str">
            <v>MH</v>
          </cell>
          <cell r="CN15">
            <v>0</v>
          </cell>
          <cell r="CO15">
            <v>952.54300000000001</v>
          </cell>
          <cell r="CP15">
            <v>952.54300000000001</v>
          </cell>
          <cell r="CQ15">
            <v>0</v>
          </cell>
          <cell r="CR15">
            <v>0</v>
          </cell>
          <cell r="CS15">
            <v>0</v>
          </cell>
          <cell r="CT15">
            <v>450</v>
          </cell>
          <cell r="CU15">
            <v>3.43214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E15" t="str">
            <v>7f152bd4-3c00-414d-8135-e9ffce37fc71</v>
          </cell>
          <cell r="DF15">
            <v>100073000000</v>
          </cell>
          <cell r="DG15">
            <v>17.161000000000001</v>
          </cell>
          <cell r="DH15">
            <v>0</v>
          </cell>
          <cell r="DI15">
            <v>3.4319999999999999</v>
          </cell>
          <cell r="DJ15">
            <v>0</v>
          </cell>
          <cell r="DK15" t="str">
            <v>BRONZE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 t="str">
            <v>NA</v>
          </cell>
          <cell r="DU15" t="str">
            <v>NA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-3067.924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 t="str">
            <v>Settled</v>
          </cell>
          <cell r="FH15">
            <v>4050</v>
          </cell>
          <cell r="FI15">
            <v>3067.924</v>
          </cell>
          <cell r="FJ15">
            <v>973.13599999999997</v>
          </cell>
          <cell r="FK15">
            <v>197.06</v>
          </cell>
        </row>
        <row r="16">
          <cell r="A16">
            <v>8616771948</v>
          </cell>
          <cell r="B16">
            <v>10616697295</v>
          </cell>
          <cell r="C16" t="str">
            <v>return_refund</v>
          </cell>
          <cell r="D16">
            <v>45890.559027777781</v>
          </cell>
          <cell r="E16">
            <v>45883.796527777777</v>
          </cell>
          <cell r="G16" t="str">
            <v>Myntra Designs Pvt Ltd</v>
          </cell>
          <cell r="H16" t="str">
            <v>TIKICLST115567678</v>
          </cell>
          <cell r="I16" t="str">
            <v>\I2726TK000002434\""</v>
          </cell>
          <cell r="J16">
            <v>9754881128</v>
          </cell>
          <cell r="K16">
            <v>62042300</v>
          </cell>
          <cell r="L16" t="str">
            <v>Apparel</v>
          </cell>
          <cell r="M16" t="str">
            <v>INR</v>
          </cell>
          <cell r="N16">
            <v>3169</v>
          </cell>
          <cell r="O16">
            <v>3163.7919999999999</v>
          </cell>
          <cell r="P16">
            <v>5.2080000000000002</v>
          </cell>
          <cell r="Q16">
            <v>3750</v>
          </cell>
          <cell r="R16">
            <v>375</v>
          </cell>
          <cell r="S16" t="str">
            <v>Inter-State</v>
          </cell>
          <cell r="T16">
            <v>12</v>
          </cell>
          <cell r="U16">
            <v>339.54</v>
          </cell>
          <cell r="V16">
            <v>0</v>
          </cell>
          <cell r="W16">
            <v>0</v>
          </cell>
          <cell r="X16">
            <v>14.147</v>
          </cell>
          <cell r="Y16">
            <v>2.83</v>
          </cell>
          <cell r="AA16">
            <v>0</v>
          </cell>
          <cell r="AB16">
            <v>785.28099999999995</v>
          </cell>
          <cell r="AC16">
            <v>785.28099999999995</v>
          </cell>
          <cell r="AD16">
            <v>802.25800000000004</v>
          </cell>
          <cell r="AE16">
            <v>-197.06</v>
          </cell>
          <cell r="AF16">
            <v>167</v>
          </cell>
          <cell r="AG16">
            <v>0</v>
          </cell>
          <cell r="AH16">
            <v>0</v>
          </cell>
          <cell r="AI16">
            <v>0</v>
          </cell>
          <cell r="AJ16">
            <v>30.06</v>
          </cell>
          <cell r="AK16">
            <v>1</v>
          </cell>
          <cell r="AL16" t="str">
            <v>NATIONAL</v>
          </cell>
          <cell r="AM16">
            <v>3375</v>
          </cell>
          <cell r="AN16">
            <v>-2563.8119999999999</v>
          </cell>
          <cell r="AO16">
            <v>-2563.8119999999999</v>
          </cell>
          <cell r="AP16">
            <v>0</v>
          </cell>
          <cell r="AQ16">
            <v>1.319</v>
          </cell>
          <cell r="AR16">
            <v>-0.32332</v>
          </cell>
          <cell r="AS16">
            <v>-5.2080000000000002</v>
          </cell>
          <cell r="AT16">
            <v>800.93899999999996</v>
          </cell>
          <cell r="AU16">
            <v>-196.73668000000001</v>
          </cell>
          <cell r="AV16">
            <v>-3163.8020000000001</v>
          </cell>
          <cell r="AW16">
            <v>45903</v>
          </cell>
          <cell r="AX16">
            <v>45903</v>
          </cell>
          <cell r="AY16">
            <v>45903</v>
          </cell>
          <cell r="AZ16">
            <v>45903</v>
          </cell>
          <cell r="BA16">
            <v>45903</v>
          </cell>
          <cell r="BB16">
            <v>45903</v>
          </cell>
          <cell r="BC16" t="str">
            <v>NFT-/XUTR/DEUTH025246A0T5UX</v>
          </cell>
          <cell r="BD16" t="str">
            <v>NFT-/XUTR/DEUTH025246A0T5UX</v>
          </cell>
          <cell r="BE16" t="str">
            <v>NFT-/XUTR/DEUTH025246A0T5UX</v>
          </cell>
          <cell r="BF16" t="str">
            <v>NFT-/XUTR/DEUTH025246A0P15X</v>
          </cell>
          <cell r="BG16" t="str">
            <v>NFT-/XUTR/DEUTH025246A0P15X</v>
          </cell>
          <cell r="BH16" t="str">
            <v>NFT-/XUTR/DEUTH025246A0P15X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2829.46</v>
          </cell>
          <cell r="BP16">
            <v>12</v>
          </cell>
          <cell r="BQ16">
            <v>0</v>
          </cell>
          <cell r="BR16">
            <v>0</v>
          </cell>
          <cell r="BS16">
            <v>0</v>
          </cell>
          <cell r="BT16">
            <v>0.5</v>
          </cell>
          <cell r="BU16">
            <v>0</v>
          </cell>
          <cell r="BV16">
            <v>0</v>
          </cell>
          <cell r="BW16">
            <v>0.1</v>
          </cell>
          <cell r="BX16" t="str">
            <v>Tiny Kingdom</v>
          </cell>
          <cell r="BY16" t="str">
            <v>Girls</v>
          </cell>
          <cell r="BZ16" t="str">
            <v>External</v>
          </cell>
          <cell r="CA16" t="str">
            <v>Clothing Set</v>
          </cell>
          <cell r="CB16" t="str">
            <v>ON_HAND</v>
          </cell>
          <cell r="CC16" t="b">
            <v>0</v>
          </cell>
          <cell r="CD16" t="str">
            <v>**********</v>
          </cell>
          <cell r="CE16">
            <v>110003</v>
          </cell>
          <cell r="CF16" t="str">
            <v>27AXUPC8425A1ZH</v>
          </cell>
          <cell r="CH16" t="str">
            <v>29AAECM9636P1ZJ</v>
          </cell>
          <cell r="CI16" t="str">
            <v>Mumbai</v>
          </cell>
          <cell r="CJ16">
            <v>400013</v>
          </cell>
          <cell r="CK16" t="str">
            <v>maharashtra</v>
          </cell>
          <cell r="CL16" t="str">
            <v>MH</v>
          </cell>
          <cell r="CN16">
            <v>0</v>
          </cell>
          <cell r="CO16">
            <v>1.2909999999999999</v>
          </cell>
          <cell r="CP16">
            <v>1.2909999999999999</v>
          </cell>
          <cell r="CQ16">
            <v>0</v>
          </cell>
          <cell r="CR16">
            <v>0</v>
          </cell>
          <cell r="CS16">
            <v>0</v>
          </cell>
          <cell r="CT16">
            <v>375</v>
          </cell>
          <cell r="CU16">
            <v>2.8294600000000001</v>
          </cell>
          <cell r="CW16">
            <v>0</v>
          </cell>
          <cell r="CX16">
            <v>783.99</v>
          </cell>
          <cell r="CY16">
            <v>783.99</v>
          </cell>
          <cell r="CZ16">
            <v>0</v>
          </cell>
          <cell r="DA16">
            <v>0</v>
          </cell>
          <cell r="DB16">
            <v>0</v>
          </cell>
          <cell r="DC16">
            <v>375</v>
          </cell>
          <cell r="DD16">
            <v>2.8294600000000001</v>
          </cell>
          <cell r="DE16" t="str">
            <v>9f44df44-a84a-41ab-a8ca-374547c8ac3b</v>
          </cell>
          <cell r="DF16">
            <v>100072000000</v>
          </cell>
          <cell r="DG16">
            <v>2.3E-2</v>
          </cell>
          <cell r="DH16">
            <v>14.124000000000001</v>
          </cell>
          <cell r="DI16">
            <v>5.0000000000000001E-3</v>
          </cell>
          <cell r="DJ16">
            <v>2.8250000000000002</v>
          </cell>
          <cell r="DK16" t="str">
            <v>BRONZE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 t="str">
            <v>NA</v>
          </cell>
          <cell r="DU16" t="str">
            <v>NA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EB16">
            <v>0</v>
          </cell>
          <cell r="EC16">
            <v>0</v>
          </cell>
          <cell r="ED16">
            <v>-2563.8119999999999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 t="str">
            <v>Settled</v>
          </cell>
          <cell r="FH16">
            <v>3375</v>
          </cell>
          <cell r="FI16">
            <v>2563.8119999999999</v>
          </cell>
          <cell r="FJ16">
            <v>802.25799999999992</v>
          </cell>
          <cell r="FK16">
            <v>197.06</v>
          </cell>
        </row>
        <row r="17">
          <cell r="A17">
            <v>8638525832</v>
          </cell>
          <cell r="B17">
            <v>10638450342</v>
          </cell>
          <cell r="C17" t="str">
            <v>return_refund</v>
          </cell>
          <cell r="D17">
            <v>45905.501388888886</v>
          </cell>
          <cell r="E17">
            <v>45899.442361111112</v>
          </cell>
          <cell r="G17" t="str">
            <v>Myntra Designs Pvt Ltd</v>
          </cell>
          <cell r="H17" t="str">
            <v>TIKIDRSS97455149</v>
          </cell>
          <cell r="I17" t="str">
            <v>\I2726TK000002658\""</v>
          </cell>
          <cell r="J17">
            <v>8638525832</v>
          </cell>
          <cell r="K17">
            <v>62042300</v>
          </cell>
          <cell r="L17" t="str">
            <v>Apparel</v>
          </cell>
          <cell r="M17" t="str">
            <v>INR</v>
          </cell>
          <cell r="N17">
            <v>2644</v>
          </cell>
          <cell r="O17">
            <v>2588.69</v>
          </cell>
          <cell r="P17">
            <v>55.3</v>
          </cell>
          <cell r="Q17">
            <v>4750</v>
          </cell>
          <cell r="R17">
            <v>1900</v>
          </cell>
          <cell r="S17" t="str">
            <v>Inter-State</v>
          </cell>
          <cell r="T17">
            <v>12</v>
          </cell>
          <cell r="U17">
            <v>283.29000000000002</v>
          </cell>
          <cell r="V17">
            <v>0</v>
          </cell>
          <cell r="W17">
            <v>0</v>
          </cell>
          <cell r="X17">
            <v>11.804</v>
          </cell>
          <cell r="Y17">
            <v>2.36</v>
          </cell>
          <cell r="AA17">
            <v>0</v>
          </cell>
          <cell r="AB17">
            <v>561.58399999999995</v>
          </cell>
          <cell r="AC17">
            <v>561.58399999999995</v>
          </cell>
          <cell r="AD17">
            <v>575.74800000000005</v>
          </cell>
          <cell r="AE17">
            <v>-197.06</v>
          </cell>
          <cell r="AF17">
            <v>167</v>
          </cell>
          <cell r="AG17">
            <v>0</v>
          </cell>
          <cell r="AH17">
            <v>0</v>
          </cell>
          <cell r="AI17">
            <v>0</v>
          </cell>
          <cell r="AJ17">
            <v>30.06</v>
          </cell>
          <cell r="AK17">
            <v>1</v>
          </cell>
          <cell r="AL17" t="str">
            <v>NATIONAL</v>
          </cell>
          <cell r="AM17">
            <v>2850</v>
          </cell>
          <cell r="AN17">
            <v>-2265.3020000000001</v>
          </cell>
          <cell r="AO17">
            <v>-2265.3020000000001</v>
          </cell>
          <cell r="AP17">
            <v>0</v>
          </cell>
          <cell r="AQ17">
            <v>12.042</v>
          </cell>
          <cell r="AR17">
            <v>-4.12174</v>
          </cell>
          <cell r="AS17">
            <v>-55.3</v>
          </cell>
          <cell r="AT17">
            <v>563.70600000000002</v>
          </cell>
          <cell r="AU17">
            <v>-192.93826000000001</v>
          </cell>
          <cell r="AV17">
            <v>-2588.69</v>
          </cell>
          <cell r="AW17">
            <v>45918</v>
          </cell>
          <cell r="AX17">
            <v>45918</v>
          </cell>
          <cell r="AY17">
            <v>45918</v>
          </cell>
          <cell r="AZ17">
            <v>45918</v>
          </cell>
          <cell r="BA17">
            <v>45918</v>
          </cell>
          <cell r="BB17">
            <v>45918</v>
          </cell>
          <cell r="BC17" t="str">
            <v>NFT-/XUTR/DEUTH02526109557X</v>
          </cell>
          <cell r="BD17" t="str">
            <v>NFT-/XUTR/DEUTH02526109557X</v>
          </cell>
          <cell r="BE17" t="str">
            <v>NFT-/XUTR/DEUTH02526109557X</v>
          </cell>
          <cell r="BF17" t="str">
            <v>NFT-/XUTR/DEUTH02526119796X</v>
          </cell>
          <cell r="BG17" t="str">
            <v>NFT-/XUTR/DEUTH02526119796X</v>
          </cell>
          <cell r="BH17" t="str">
            <v>NFT-/XUTR/DEUTH02526119796X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2360.71</v>
          </cell>
          <cell r="BP17">
            <v>12</v>
          </cell>
          <cell r="BQ17">
            <v>0</v>
          </cell>
          <cell r="BR17">
            <v>0</v>
          </cell>
          <cell r="BS17">
            <v>0</v>
          </cell>
          <cell r="BT17">
            <v>0.5</v>
          </cell>
          <cell r="BU17">
            <v>0</v>
          </cell>
          <cell r="BV17">
            <v>0</v>
          </cell>
          <cell r="BW17">
            <v>0.1</v>
          </cell>
          <cell r="BX17" t="str">
            <v>Tiny Kingdom</v>
          </cell>
          <cell r="BY17" t="str">
            <v>Girls</v>
          </cell>
          <cell r="BZ17" t="str">
            <v>External</v>
          </cell>
          <cell r="CA17" t="str">
            <v>Dresses</v>
          </cell>
          <cell r="CB17" t="str">
            <v>ON_HAND</v>
          </cell>
          <cell r="CC17" t="b">
            <v>0</v>
          </cell>
          <cell r="CD17" t="str">
            <v>**********</v>
          </cell>
          <cell r="CE17">
            <v>202001</v>
          </cell>
          <cell r="CF17" t="str">
            <v>27AXUPC8425A1ZH</v>
          </cell>
          <cell r="CH17" t="str">
            <v>29AAECM9636P1ZJ</v>
          </cell>
          <cell r="CI17" t="str">
            <v>Mumbai</v>
          </cell>
          <cell r="CJ17">
            <v>400013</v>
          </cell>
          <cell r="CK17" t="str">
            <v>maharashtra</v>
          </cell>
          <cell r="CL17" t="str">
            <v>MH</v>
          </cell>
          <cell r="CN17">
            <v>0</v>
          </cell>
          <cell r="CO17">
            <v>11.746</v>
          </cell>
          <cell r="CP17">
            <v>11.746</v>
          </cell>
          <cell r="CQ17">
            <v>0</v>
          </cell>
          <cell r="CR17">
            <v>0</v>
          </cell>
          <cell r="CS17">
            <v>0</v>
          </cell>
          <cell r="CT17">
            <v>1900</v>
          </cell>
          <cell r="CU17">
            <v>2.3607100000000001</v>
          </cell>
          <cell r="CW17">
            <v>0</v>
          </cell>
          <cell r="CX17">
            <v>549.83799999999997</v>
          </cell>
          <cell r="CY17">
            <v>549.83799999999997</v>
          </cell>
          <cell r="CZ17">
            <v>0</v>
          </cell>
          <cell r="DA17">
            <v>0</v>
          </cell>
          <cell r="DB17">
            <v>0</v>
          </cell>
          <cell r="DC17">
            <v>1900</v>
          </cell>
          <cell r="DD17">
            <v>2.3607100000000001</v>
          </cell>
          <cell r="DE17" t="str">
            <v>2075ca78-04ea-46e0-9093-30f15e3b4277</v>
          </cell>
          <cell r="DF17">
            <v>100075000000</v>
          </cell>
          <cell r="DG17">
            <v>0.247</v>
          </cell>
          <cell r="DH17">
            <v>11.557</v>
          </cell>
          <cell r="DI17">
            <v>4.9000000000000002E-2</v>
          </cell>
          <cell r="DJ17">
            <v>2.3109999999999999</v>
          </cell>
          <cell r="DK17" t="str">
            <v>BRONZE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 t="str">
            <v>NA</v>
          </cell>
          <cell r="DU17" t="str">
            <v>NA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-2265.3020000000001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 t="str">
            <v>Settled</v>
          </cell>
          <cell r="FH17">
            <v>2850</v>
          </cell>
          <cell r="FI17">
            <v>2265.3020000000001</v>
          </cell>
          <cell r="FJ17">
            <v>575.74800000000005</v>
          </cell>
          <cell r="FK17">
            <v>197.06</v>
          </cell>
        </row>
        <row r="18">
          <cell r="A18">
            <v>8629218604</v>
          </cell>
          <cell r="B18">
            <v>10629143432</v>
          </cell>
          <cell r="C18" t="str">
            <v>return_refund</v>
          </cell>
          <cell r="D18">
            <v>45903.447222222225</v>
          </cell>
          <cell r="E18">
            <v>45892.432638888888</v>
          </cell>
          <cell r="G18" t="str">
            <v>Myntra Designs Pvt Ltd</v>
          </cell>
          <cell r="H18" t="str">
            <v>TIKILHNC96961100</v>
          </cell>
          <cell r="I18" t="str">
            <v>\I2726TK000002547\""</v>
          </cell>
          <cell r="J18">
            <v>8629218604</v>
          </cell>
          <cell r="K18">
            <v>62042300</v>
          </cell>
          <cell r="L18" t="str">
            <v>Apparel</v>
          </cell>
          <cell r="M18" t="str">
            <v>INR</v>
          </cell>
          <cell r="N18">
            <v>2719</v>
          </cell>
          <cell r="O18">
            <v>2719</v>
          </cell>
          <cell r="P18">
            <v>0</v>
          </cell>
          <cell r="Q18">
            <v>4500</v>
          </cell>
          <cell r="R18">
            <v>1575</v>
          </cell>
          <cell r="S18" t="str">
            <v>Inter-State</v>
          </cell>
          <cell r="T18">
            <v>12</v>
          </cell>
          <cell r="U18">
            <v>291.32</v>
          </cell>
          <cell r="V18">
            <v>0</v>
          </cell>
          <cell r="W18">
            <v>0</v>
          </cell>
          <cell r="X18">
            <v>12.138</v>
          </cell>
          <cell r="Y18">
            <v>2.4279999999999999</v>
          </cell>
          <cell r="AA18">
            <v>0</v>
          </cell>
          <cell r="AB18">
            <v>673.76800000000003</v>
          </cell>
          <cell r="AC18">
            <v>673.76800000000003</v>
          </cell>
          <cell r="AD18">
            <v>688.33399999999995</v>
          </cell>
          <cell r="AE18">
            <v>-197.06</v>
          </cell>
          <cell r="AF18">
            <v>167</v>
          </cell>
          <cell r="AG18">
            <v>0</v>
          </cell>
          <cell r="AH18">
            <v>0</v>
          </cell>
          <cell r="AI18">
            <v>0</v>
          </cell>
          <cell r="AJ18">
            <v>30.06</v>
          </cell>
          <cell r="AK18">
            <v>1</v>
          </cell>
          <cell r="AL18" t="str">
            <v>NATIONAL</v>
          </cell>
          <cell r="AM18">
            <v>2925</v>
          </cell>
          <cell r="AN18">
            <v>-2227.7260000000001</v>
          </cell>
          <cell r="AO18">
            <v>-2227.7260000000001</v>
          </cell>
          <cell r="AP18">
            <v>0</v>
          </cell>
          <cell r="AS18">
            <v>0</v>
          </cell>
          <cell r="AT18">
            <v>688.33399999999995</v>
          </cell>
          <cell r="AU18">
            <v>-197.06</v>
          </cell>
          <cell r="AV18">
            <v>-2719</v>
          </cell>
          <cell r="AZ18">
            <v>45915</v>
          </cell>
          <cell r="BA18">
            <v>45915</v>
          </cell>
          <cell r="BB18">
            <v>45915</v>
          </cell>
          <cell r="BF18" t="str">
            <v>NFT-/XUTR/DEUTH02525806657X</v>
          </cell>
          <cell r="BG18" t="str">
            <v>NFT-/XUTR/DEUTH02525806657X</v>
          </cell>
          <cell r="BH18" t="str">
            <v>NFT-/XUTR/DEUTH02525806657X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2427.6799999999998</v>
          </cell>
          <cell r="BP18">
            <v>12</v>
          </cell>
          <cell r="BQ18">
            <v>0</v>
          </cell>
          <cell r="BR18">
            <v>0</v>
          </cell>
          <cell r="BS18">
            <v>0</v>
          </cell>
          <cell r="BT18">
            <v>0.5</v>
          </cell>
          <cell r="BU18">
            <v>0</v>
          </cell>
          <cell r="BV18">
            <v>0</v>
          </cell>
          <cell r="BW18">
            <v>0.1</v>
          </cell>
          <cell r="BX18" t="str">
            <v>Tiny Kingdom</v>
          </cell>
          <cell r="BY18" t="str">
            <v>Girls</v>
          </cell>
          <cell r="BZ18" t="str">
            <v>External</v>
          </cell>
          <cell r="CA18" t="str">
            <v>Lehenga Choli</v>
          </cell>
          <cell r="CB18" t="str">
            <v>ON_HAND</v>
          </cell>
          <cell r="CC18" t="b">
            <v>0</v>
          </cell>
          <cell r="CD18" t="str">
            <v>**********</v>
          </cell>
          <cell r="CE18">
            <v>770076</v>
          </cell>
          <cell r="CF18" t="str">
            <v>27AXUPC8425A1ZH</v>
          </cell>
          <cell r="CH18" t="str">
            <v>29AAECM9636P1ZJ</v>
          </cell>
          <cell r="CI18" t="str">
            <v>Mumbai</v>
          </cell>
          <cell r="CJ18">
            <v>400013</v>
          </cell>
          <cell r="CK18" t="str">
            <v>maharashtra</v>
          </cell>
          <cell r="CL18" t="str">
            <v>MH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W18">
            <v>0</v>
          </cell>
          <cell r="CX18">
            <v>673.76800000000003</v>
          </cell>
          <cell r="CY18">
            <v>673.76800000000003</v>
          </cell>
          <cell r="CZ18">
            <v>0</v>
          </cell>
          <cell r="DA18">
            <v>0</v>
          </cell>
          <cell r="DB18">
            <v>0</v>
          </cell>
          <cell r="DC18">
            <v>1575</v>
          </cell>
          <cell r="DD18">
            <v>2.4276800000000001</v>
          </cell>
          <cell r="DE18" t="str">
            <v>f3f0eebe-44c0-431d-8554-65ec2882422d</v>
          </cell>
          <cell r="DF18">
            <v>100075000000</v>
          </cell>
          <cell r="DG18">
            <v>0</v>
          </cell>
          <cell r="DH18">
            <v>12.138</v>
          </cell>
          <cell r="DI18">
            <v>0</v>
          </cell>
          <cell r="DJ18">
            <v>2.4279999999999999</v>
          </cell>
          <cell r="DK18" t="str">
            <v>BRONZE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 t="str">
            <v>NA</v>
          </cell>
          <cell r="DU18" t="str">
            <v>NA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-2227.7260000000001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 t="str">
            <v>Settled</v>
          </cell>
          <cell r="FH18">
            <v>2925</v>
          </cell>
          <cell r="FI18">
            <v>2227.7260000000001</v>
          </cell>
          <cell r="FJ18">
            <v>688.33399999999995</v>
          </cell>
          <cell r="FK18">
            <v>197.06</v>
          </cell>
        </row>
        <row r="19">
          <cell r="A19">
            <v>8641487358</v>
          </cell>
          <cell r="B19">
            <v>10641411796</v>
          </cell>
          <cell r="C19" t="str">
            <v>return_refund</v>
          </cell>
          <cell r="D19">
            <v>45912.445138888892</v>
          </cell>
          <cell r="E19">
            <v>45901.459027777775</v>
          </cell>
          <cell r="G19" t="str">
            <v>Myntra Designs Pvt Ltd</v>
          </cell>
          <cell r="H19" t="str">
            <v>TIKICLST98837564</v>
          </cell>
          <cell r="I19" t="str">
            <v>\I2726TK000002691\""</v>
          </cell>
          <cell r="J19">
            <v>8641487358</v>
          </cell>
          <cell r="K19">
            <v>62042300</v>
          </cell>
          <cell r="L19" t="str">
            <v>Apparel</v>
          </cell>
          <cell r="M19" t="str">
            <v>INR</v>
          </cell>
          <cell r="N19">
            <v>1704</v>
          </cell>
          <cell r="O19">
            <v>0</v>
          </cell>
          <cell r="P19">
            <v>1704</v>
          </cell>
          <cell r="Q19">
            <v>3750</v>
          </cell>
          <cell r="R19">
            <v>1875</v>
          </cell>
          <cell r="S19" t="str">
            <v>Inter-State</v>
          </cell>
          <cell r="T19">
            <v>12</v>
          </cell>
          <cell r="U19">
            <v>182.57</v>
          </cell>
          <cell r="V19">
            <v>0</v>
          </cell>
          <cell r="W19">
            <v>0</v>
          </cell>
          <cell r="X19">
            <v>7.6070000000000002</v>
          </cell>
          <cell r="Y19">
            <v>1.5209999999999999</v>
          </cell>
          <cell r="AA19">
            <v>0</v>
          </cell>
          <cell r="AB19">
            <v>442.36099999999999</v>
          </cell>
          <cell r="AC19">
            <v>442.36099999999999</v>
          </cell>
          <cell r="AD19">
            <v>451.48899999999998</v>
          </cell>
          <cell r="AE19">
            <v>-197.06</v>
          </cell>
          <cell r="AF19">
            <v>167</v>
          </cell>
          <cell r="AG19">
            <v>0</v>
          </cell>
          <cell r="AH19">
            <v>0</v>
          </cell>
          <cell r="AI19">
            <v>0</v>
          </cell>
          <cell r="AJ19">
            <v>30.06</v>
          </cell>
          <cell r="AK19">
            <v>1</v>
          </cell>
          <cell r="AL19" t="str">
            <v>NATIONAL</v>
          </cell>
          <cell r="AM19">
            <v>1875</v>
          </cell>
          <cell r="AN19">
            <v>-1449.5809999999999</v>
          </cell>
          <cell r="AO19">
            <v>-1449.5809999999999</v>
          </cell>
          <cell r="AP19">
            <v>0</v>
          </cell>
          <cell r="AQ19">
            <v>451.48899999999998</v>
          </cell>
          <cell r="AR19">
            <v>-197.06</v>
          </cell>
          <cell r="AS19">
            <v>-1704.01</v>
          </cell>
          <cell r="AV19">
            <v>0</v>
          </cell>
          <cell r="AW19">
            <v>45923</v>
          </cell>
          <cell r="AX19">
            <v>45923</v>
          </cell>
          <cell r="AY19">
            <v>45923</v>
          </cell>
          <cell r="BC19" t="str">
            <v>NFT-/XUTR/DEUTH02526623121X</v>
          </cell>
          <cell r="BD19" t="str">
            <v>NFT-/XUTR/DEUTH02526623121X</v>
          </cell>
          <cell r="BE19" t="str">
            <v>NFT-/XUTR/DEUTH02526623121X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1521.43</v>
          </cell>
          <cell r="BP19">
            <v>12</v>
          </cell>
          <cell r="BQ19">
            <v>0</v>
          </cell>
          <cell r="BR19">
            <v>0</v>
          </cell>
          <cell r="BS19">
            <v>0</v>
          </cell>
          <cell r="BT19">
            <v>0.5</v>
          </cell>
          <cell r="BU19">
            <v>0</v>
          </cell>
          <cell r="BV19">
            <v>0</v>
          </cell>
          <cell r="BW19">
            <v>0.1</v>
          </cell>
          <cell r="BX19" t="str">
            <v>Tiny Kingdom</v>
          </cell>
          <cell r="BY19" t="str">
            <v>Girls</v>
          </cell>
          <cell r="BZ19" t="str">
            <v>External</v>
          </cell>
          <cell r="CA19" t="str">
            <v>Clothing Set</v>
          </cell>
          <cell r="CB19" t="str">
            <v>ON_HAND</v>
          </cell>
          <cell r="CC19" t="b">
            <v>0</v>
          </cell>
          <cell r="CD19" t="str">
            <v>**********</v>
          </cell>
          <cell r="CE19">
            <v>813214</v>
          </cell>
          <cell r="CF19" t="str">
            <v>27AXUPC8425A1ZH</v>
          </cell>
          <cell r="CH19" t="str">
            <v>29AAECM9636P1ZJ</v>
          </cell>
          <cell r="CI19" t="str">
            <v>Mumbai</v>
          </cell>
          <cell r="CJ19">
            <v>400013</v>
          </cell>
          <cell r="CK19" t="str">
            <v>maharashtra</v>
          </cell>
          <cell r="CL19" t="str">
            <v>MH</v>
          </cell>
          <cell r="CN19">
            <v>0</v>
          </cell>
          <cell r="CO19">
            <v>442.36099999999999</v>
          </cell>
          <cell r="CP19">
            <v>442.36099999999999</v>
          </cell>
          <cell r="CQ19">
            <v>0</v>
          </cell>
          <cell r="CR19">
            <v>0</v>
          </cell>
          <cell r="CS19">
            <v>0</v>
          </cell>
          <cell r="CT19">
            <v>1875</v>
          </cell>
          <cell r="CU19">
            <v>1.5214300000000001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E19" t="str">
            <v>acbb8c3c-12e4-4a23-84d4-f11a47a31b8d</v>
          </cell>
          <cell r="DF19">
            <v>100077000000</v>
          </cell>
          <cell r="DG19">
            <v>7.6070000000000002</v>
          </cell>
          <cell r="DH19">
            <v>0</v>
          </cell>
          <cell r="DI19">
            <v>1.5209999999999999</v>
          </cell>
          <cell r="DJ19">
            <v>0</v>
          </cell>
          <cell r="DK19" t="str">
            <v>BRONZE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 t="str">
            <v>NA</v>
          </cell>
          <cell r="DU19" t="str">
            <v>NA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-1449.5809999999999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 t="str">
            <v>Settled</v>
          </cell>
          <cell r="FH19">
            <v>1875</v>
          </cell>
          <cell r="FI19">
            <v>1449.5809999999999</v>
          </cell>
          <cell r="FJ19">
            <v>451.48899999999998</v>
          </cell>
          <cell r="FK19">
            <v>197.06</v>
          </cell>
        </row>
        <row r="20">
          <cell r="A20">
            <v>8647172312</v>
          </cell>
          <cell r="B20">
            <v>10647096682</v>
          </cell>
          <cell r="C20" t="str">
            <v>return_refund</v>
          </cell>
          <cell r="D20">
            <v>45916.37777777778</v>
          </cell>
          <cell r="E20">
            <v>45904.486805555556</v>
          </cell>
          <cell r="G20" t="str">
            <v>Myntra Designs Pvt Ltd</v>
          </cell>
          <cell r="H20" t="str">
            <v>BETYDRSS112339703</v>
          </cell>
          <cell r="I20" t="str">
            <v>\I2726TK000002739\""</v>
          </cell>
          <cell r="J20">
            <v>8647172312</v>
          </cell>
          <cell r="K20">
            <v>62042300</v>
          </cell>
          <cell r="L20" t="str">
            <v>Apparel</v>
          </cell>
          <cell r="M20" t="str">
            <v>INR</v>
          </cell>
          <cell r="N20">
            <v>4594</v>
          </cell>
          <cell r="O20">
            <v>4594</v>
          </cell>
          <cell r="P20">
            <v>0</v>
          </cell>
          <cell r="Q20">
            <v>6000</v>
          </cell>
          <cell r="R20">
            <v>1200</v>
          </cell>
          <cell r="S20" t="str">
            <v>Inter-State</v>
          </cell>
          <cell r="T20">
            <v>12</v>
          </cell>
          <cell r="U20">
            <v>492.21</v>
          </cell>
          <cell r="V20">
            <v>0</v>
          </cell>
          <cell r="W20">
            <v>0</v>
          </cell>
          <cell r="X20">
            <v>20.509</v>
          </cell>
          <cell r="Y20">
            <v>4.1020000000000003</v>
          </cell>
          <cell r="AA20">
            <v>0</v>
          </cell>
          <cell r="AB20">
            <v>1301.021</v>
          </cell>
          <cell r="AC20">
            <v>1301.021</v>
          </cell>
          <cell r="AD20">
            <v>1325.6320000000001</v>
          </cell>
          <cell r="AE20">
            <v>-197.06</v>
          </cell>
          <cell r="AF20">
            <v>167</v>
          </cell>
          <cell r="AG20">
            <v>0</v>
          </cell>
          <cell r="AH20">
            <v>0</v>
          </cell>
          <cell r="AI20">
            <v>0</v>
          </cell>
          <cell r="AJ20">
            <v>30.06</v>
          </cell>
          <cell r="AK20">
            <v>1</v>
          </cell>
          <cell r="AL20" t="str">
            <v>NATIONAL</v>
          </cell>
          <cell r="AM20">
            <v>4800</v>
          </cell>
          <cell r="AN20">
            <v>-3465.4279999999999</v>
          </cell>
          <cell r="AO20">
            <v>-3465.4279999999999</v>
          </cell>
          <cell r="AP20">
            <v>0</v>
          </cell>
          <cell r="AS20">
            <v>0</v>
          </cell>
          <cell r="AT20">
            <v>1325.6320000000001</v>
          </cell>
          <cell r="AU20">
            <v>-197.06</v>
          </cell>
          <cell r="AV20">
            <v>-4594</v>
          </cell>
          <cell r="AZ20">
            <v>45924</v>
          </cell>
          <cell r="BA20">
            <v>45924</v>
          </cell>
          <cell r="BB20">
            <v>45924</v>
          </cell>
          <cell r="BF20" t="str">
            <v>NFT-/XUTR/DEUTH025267A0V51X</v>
          </cell>
          <cell r="BG20" t="str">
            <v>NFT-/XUTR/DEUTH025267A0V51X</v>
          </cell>
          <cell r="BH20" t="str">
            <v>NFT-/XUTR/DEUTH025267A0V51X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4101.79</v>
          </cell>
          <cell r="BP20">
            <v>12</v>
          </cell>
          <cell r="BQ20">
            <v>0</v>
          </cell>
          <cell r="BR20">
            <v>0</v>
          </cell>
          <cell r="BS20">
            <v>0</v>
          </cell>
          <cell r="BT20">
            <v>0.5</v>
          </cell>
          <cell r="BU20">
            <v>0</v>
          </cell>
          <cell r="BV20">
            <v>0</v>
          </cell>
          <cell r="BW20">
            <v>0.1</v>
          </cell>
          <cell r="BX20" t="str">
            <v>BETTY</v>
          </cell>
          <cell r="BY20" t="str">
            <v>Girls</v>
          </cell>
          <cell r="BZ20" t="str">
            <v>External</v>
          </cell>
          <cell r="CA20" t="str">
            <v>Ethnic Dresses</v>
          </cell>
          <cell r="CB20" t="str">
            <v>ON_HAND</v>
          </cell>
          <cell r="CC20" t="b">
            <v>0</v>
          </cell>
          <cell r="CD20" t="str">
            <v>**********</v>
          </cell>
          <cell r="CE20">
            <v>854311</v>
          </cell>
          <cell r="CF20" t="str">
            <v>27AXUPC8425A1ZH</v>
          </cell>
          <cell r="CH20" t="str">
            <v>29AAECM9636P1ZJ</v>
          </cell>
          <cell r="CI20" t="str">
            <v>Mumbai</v>
          </cell>
          <cell r="CJ20">
            <v>400013</v>
          </cell>
          <cell r="CK20" t="str">
            <v>maharashtra</v>
          </cell>
          <cell r="CL20" t="str">
            <v>MH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W20">
            <v>0</v>
          </cell>
          <cell r="CX20">
            <v>1301.021</v>
          </cell>
          <cell r="CY20">
            <v>1301.021</v>
          </cell>
          <cell r="CZ20">
            <v>0</v>
          </cell>
          <cell r="DA20">
            <v>0</v>
          </cell>
          <cell r="DB20">
            <v>0</v>
          </cell>
          <cell r="DC20">
            <v>1200</v>
          </cell>
          <cell r="DD20">
            <v>4.1017900000000003</v>
          </cell>
          <cell r="DE20" t="str">
            <v>7e317c9f-0ce0-4f3c-8131-a684d352e50e</v>
          </cell>
          <cell r="DF20">
            <v>100077000000</v>
          </cell>
          <cell r="DG20">
            <v>0</v>
          </cell>
          <cell r="DH20">
            <v>20.509</v>
          </cell>
          <cell r="DI20">
            <v>0</v>
          </cell>
          <cell r="DJ20">
            <v>4.1020000000000003</v>
          </cell>
          <cell r="DK20" t="str">
            <v>BRONZE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 t="str">
            <v>NA</v>
          </cell>
          <cell r="DU20" t="str">
            <v>NA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-3465.4279999999999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 t="str">
            <v>Settled</v>
          </cell>
          <cell r="FH20">
            <v>4800</v>
          </cell>
          <cell r="FI20">
            <v>3465.4279999999999</v>
          </cell>
          <cell r="FJ20">
            <v>1325.6320000000001</v>
          </cell>
          <cell r="FK20">
            <v>197.06</v>
          </cell>
        </row>
        <row r="21">
          <cell r="A21">
            <v>8626971555</v>
          </cell>
          <cell r="B21">
            <v>10626896416</v>
          </cell>
          <cell r="C21" t="str">
            <v>return_refund</v>
          </cell>
          <cell r="D21">
            <v>45898.400000000001</v>
          </cell>
          <cell r="E21">
            <v>45891.470833333333</v>
          </cell>
          <cell r="F21">
            <v>44528</v>
          </cell>
          <cell r="G21" t="str">
            <v>Myntra Designs Pvt Ltd</v>
          </cell>
          <cell r="H21" t="str">
            <v>TIKILHNC101907529</v>
          </cell>
          <cell r="I21" t="str">
            <v>\I2726TK000002540\""</v>
          </cell>
          <cell r="J21">
            <v>9757866889</v>
          </cell>
          <cell r="K21">
            <v>62042300</v>
          </cell>
          <cell r="L21" t="str">
            <v>Apparel</v>
          </cell>
          <cell r="M21" t="str">
            <v>INR</v>
          </cell>
          <cell r="N21">
            <v>1079</v>
          </cell>
          <cell r="O21">
            <v>0</v>
          </cell>
          <cell r="P21">
            <v>1079</v>
          </cell>
          <cell r="Q21">
            <v>2500</v>
          </cell>
          <cell r="R21">
            <v>1250</v>
          </cell>
          <cell r="S21" t="str">
            <v>Inter-State</v>
          </cell>
          <cell r="T21">
            <v>12</v>
          </cell>
          <cell r="U21">
            <v>115.61</v>
          </cell>
          <cell r="V21">
            <v>0</v>
          </cell>
          <cell r="W21">
            <v>0</v>
          </cell>
          <cell r="X21">
            <v>4.8170000000000002</v>
          </cell>
          <cell r="Y21">
            <v>0.96299999999999997</v>
          </cell>
          <cell r="AA21">
            <v>0</v>
          </cell>
          <cell r="AB21">
            <v>267.37599999999998</v>
          </cell>
          <cell r="AC21">
            <v>267.37599999999998</v>
          </cell>
          <cell r="AD21">
            <v>273.15600000000001</v>
          </cell>
          <cell r="AE21">
            <v>-197.06</v>
          </cell>
          <cell r="AF21">
            <v>167</v>
          </cell>
          <cell r="AG21">
            <v>0</v>
          </cell>
          <cell r="AH21">
            <v>0</v>
          </cell>
          <cell r="AI21">
            <v>0</v>
          </cell>
          <cell r="AJ21">
            <v>30.06</v>
          </cell>
          <cell r="AK21">
            <v>1</v>
          </cell>
          <cell r="AL21" t="str">
            <v>NATIONAL</v>
          </cell>
          <cell r="AM21">
            <v>1250</v>
          </cell>
          <cell r="AN21">
            <v>-1002.904</v>
          </cell>
          <cell r="AO21">
            <v>-1002.904</v>
          </cell>
          <cell r="AP21">
            <v>0</v>
          </cell>
          <cell r="AQ21">
            <v>273.15600000000001</v>
          </cell>
          <cell r="AR21">
            <v>-197.06</v>
          </cell>
          <cell r="AS21">
            <v>-1079</v>
          </cell>
          <cell r="AV21">
            <v>0</v>
          </cell>
          <cell r="AW21">
            <v>45910</v>
          </cell>
          <cell r="AX21">
            <v>45910</v>
          </cell>
          <cell r="AY21">
            <v>45910</v>
          </cell>
          <cell r="BC21" t="str">
            <v>NFT-/XUTR/DEUTH025253A0XH3X</v>
          </cell>
          <cell r="BD21" t="str">
            <v>NFT-/XUTR/DEUTH025253A0XH3X</v>
          </cell>
          <cell r="BE21" t="str">
            <v>NFT-/XUTR/DEUTH025253A0XH3X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963.39</v>
          </cell>
          <cell r="BP21">
            <v>12</v>
          </cell>
          <cell r="BQ21">
            <v>0</v>
          </cell>
          <cell r="BR21">
            <v>0</v>
          </cell>
          <cell r="BS21">
            <v>0</v>
          </cell>
          <cell r="BT21">
            <v>0.5</v>
          </cell>
          <cell r="BU21">
            <v>0</v>
          </cell>
          <cell r="BV21">
            <v>0</v>
          </cell>
          <cell r="BW21">
            <v>0.1</v>
          </cell>
          <cell r="BX21" t="str">
            <v>Tiny Kingdom</v>
          </cell>
          <cell r="BY21" t="str">
            <v>Girls</v>
          </cell>
          <cell r="BZ21" t="str">
            <v>External</v>
          </cell>
          <cell r="CA21" t="str">
            <v>Lehenga Choli</v>
          </cell>
          <cell r="CB21" t="str">
            <v>ON_HAND</v>
          </cell>
          <cell r="CC21" t="b">
            <v>0</v>
          </cell>
          <cell r="CD21" t="str">
            <v>**********</v>
          </cell>
          <cell r="CE21">
            <v>248006</v>
          </cell>
          <cell r="CF21" t="str">
            <v>27AXUPC8425A1ZH</v>
          </cell>
          <cell r="CH21" t="str">
            <v>29AAECM9636P1ZJ</v>
          </cell>
          <cell r="CI21" t="str">
            <v>Mumbai</v>
          </cell>
          <cell r="CJ21">
            <v>400013</v>
          </cell>
          <cell r="CK21" t="str">
            <v>maharashtra</v>
          </cell>
          <cell r="CL21" t="str">
            <v>MH</v>
          </cell>
          <cell r="CN21">
            <v>0</v>
          </cell>
          <cell r="CO21">
            <v>267.37599999999998</v>
          </cell>
          <cell r="CP21">
            <v>267.37599999999998</v>
          </cell>
          <cell r="CQ21">
            <v>0</v>
          </cell>
          <cell r="CR21">
            <v>0</v>
          </cell>
          <cell r="CS21">
            <v>0</v>
          </cell>
          <cell r="CT21">
            <v>1250</v>
          </cell>
          <cell r="CU21">
            <v>0.96338999999999997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E21" t="str">
            <v>7fbacb61-f565-4a64-a69f-f5589e69641b</v>
          </cell>
          <cell r="DF21">
            <v>100074000000</v>
          </cell>
          <cell r="DG21">
            <v>4.8170000000000002</v>
          </cell>
          <cell r="DH21">
            <v>0</v>
          </cell>
          <cell r="DI21">
            <v>0.96299999999999997</v>
          </cell>
          <cell r="DJ21">
            <v>0</v>
          </cell>
          <cell r="DK21" t="str">
            <v>BRONZE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 t="str">
            <v>NA</v>
          </cell>
          <cell r="DU21" t="str">
            <v>NA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-1002.904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 t="str">
            <v>Settled</v>
          </cell>
          <cell r="FH21">
            <v>1250</v>
          </cell>
          <cell r="FI21">
            <v>1002.904</v>
          </cell>
          <cell r="FJ21">
            <v>273.15600000000001</v>
          </cell>
          <cell r="FK21">
            <v>197.06</v>
          </cell>
        </row>
        <row r="22">
          <cell r="A22">
            <v>8612775581</v>
          </cell>
          <cell r="B22">
            <v>10612701190</v>
          </cell>
          <cell r="C22" t="str">
            <v>return_refund</v>
          </cell>
          <cell r="D22">
            <v>45895.581250000003</v>
          </cell>
          <cell r="E22">
            <v>45881.472222222219</v>
          </cell>
          <cell r="G22" t="str">
            <v>Myntra Designs Pvt Ltd</v>
          </cell>
          <cell r="H22" t="str">
            <v>BETYDRSS100263922</v>
          </cell>
          <cell r="I22" t="str">
            <v>\I2726TK000002399\""</v>
          </cell>
          <cell r="J22">
            <v>9753740228</v>
          </cell>
          <cell r="K22">
            <v>62042300</v>
          </cell>
          <cell r="L22" t="str">
            <v>Apparel</v>
          </cell>
          <cell r="M22" t="str">
            <v>INR</v>
          </cell>
          <cell r="N22">
            <v>2419</v>
          </cell>
          <cell r="O22">
            <v>0</v>
          </cell>
          <cell r="P22">
            <v>2419</v>
          </cell>
          <cell r="Q22">
            <v>3750</v>
          </cell>
          <cell r="R22">
            <v>1125</v>
          </cell>
          <cell r="S22" t="str">
            <v>Inter-State</v>
          </cell>
          <cell r="T22">
            <v>12</v>
          </cell>
          <cell r="U22">
            <v>259.18</v>
          </cell>
          <cell r="V22">
            <v>0</v>
          </cell>
          <cell r="W22">
            <v>0</v>
          </cell>
          <cell r="X22">
            <v>10.798999999999999</v>
          </cell>
          <cell r="Y22">
            <v>2.16</v>
          </cell>
          <cell r="AA22">
            <v>0</v>
          </cell>
          <cell r="AB22">
            <v>770.69299999999998</v>
          </cell>
          <cell r="AC22">
            <v>770.69299999999998</v>
          </cell>
          <cell r="AD22">
            <v>783.65200000000004</v>
          </cell>
          <cell r="AE22">
            <v>-197.06</v>
          </cell>
          <cell r="AF22">
            <v>167</v>
          </cell>
          <cell r="AG22">
            <v>0</v>
          </cell>
          <cell r="AH22">
            <v>0</v>
          </cell>
          <cell r="AI22">
            <v>0</v>
          </cell>
          <cell r="AJ22">
            <v>30.06</v>
          </cell>
          <cell r="AK22">
            <v>1</v>
          </cell>
          <cell r="AL22" t="str">
            <v>NATIONAL</v>
          </cell>
          <cell r="AM22">
            <v>2625</v>
          </cell>
          <cell r="AN22">
            <v>-1832.4079999999999</v>
          </cell>
          <cell r="AO22">
            <v>-1832.4079999999999</v>
          </cell>
          <cell r="AP22">
            <v>0</v>
          </cell>
          <cell r="AQ22">
            <v>783.65200000000004</v>
          </cell>
          <cell r="AR22">
            <v>-197.06</v>
          </cell>
          <cell r="AS22">
            <v>-2419</v>
          </cell>
          <cell r="AV22">
            <v>0</v>
          </cell>
          <cell r="AW22">
            <v>45901</v>
          </cell>
          <cell r="AX22">
            <v>45901</v>
          </cell>
          <cell r="AY22">
            <v>45901</v>
          </cell>
          <cell r="BC22" t="str">
            <v>NFT-/XUTR/DEUTH025244A0LW1X</v>
          </cell>
          <cell r="BD22" t="str">
            <v>NFT-/XUTR/DEUTH025244A0LW1X</v>
          </cell>
          <cell r="BE22" t="str">
            <v>NFT-/XUTR/DEUTH025244A0LW1X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2159.8200000000002</v>
          </cell>
          <cell r="BP22">
            <v>12</v>
          </cell>
          <cell r="BQ22">
            <v>0</v>
          </cell>
          <cell r="BR22">
            <v>0</v>
          </cell>
          <cell r="BS22">
            <v>0</v>
          </cell>
          <cell r="BT22">
            <v>0.5</v>
          </cell>
          <cell r="BU22">
            <v>0</v>
          </cell>
          <cell r="BV22">
            <v>0</v>
          </cell>
          <cell r="BW22">
            <v>0.1</v>
          </cell>
          <cell r="BX22" t="str">
            <v>BETTY</v>
          </cell>
          <cell r="BY22" t="str">
            <v>Girls</v>
          </cell>
          <cell r="BZ22" t="str">
            <v>External</v>
          </cell>
          <cell r="CA22" t="str">
            <v>Dresses</v>
          </cell>
          <cell r="CB22" t="str">
            <v>ON_HAND</v>
          </cell>
          <cell r="CC22" t="b">
            <v>0</v>
          </cell>
          <cell r="CD22" t="str">
            <v>**********</v>
          </cell>
          <cell r="CE22">
            <v>144001</v>
          </cell>
          <cell r="CF22" t="str">
            <v>27AXUPC8425A1ZH</v>
          </cell>
          <cell r="CH22" t="str">
            <v>29AAECM9636P1ZJ</v>
          </cell>
          <cell r="CI22" t="str">
            <v>Mumbai</v>
          </cell>
          <cell r="CJ22">
            <v>400013</v>
          </cell>
          <cell r="CK22" t="str">
            <v>maharashtra</v>
          </cell>
          <cell r="CL22" t="str">
            <v>MH</v>
          </cell>
          <cell r="CN22">
            <v>0</v>
          </cell>
          <cell r="CO22">
            <v>770.69299999999998</v>
          </cell>
          <cell r="CP22">
            <v>770.69299999999998</v>
          </cell>
          <cell r="CQ22">
            <v>0</v>
          </cell>
          <cell r="CR22">
            <v>0</v>
          </cell>
          <cell r="CS22">
            <v>0</v>
          </cell>
          <cell r="CT22">
            <v>1125</v>
          </cell>
          <cell r="CU22">
            <v>2.1598199999999999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E22" t="str">
            <v>e5a8cfd5-22f2-461f-80da-82183989900f</v>
          </cell>
          <cell r="DF22">
            <v>100073000000</v>
          </cell>
          <cell r="DG22">
            <v>10.798999999999999</v>
          </cell>
          <cell r="DH22">
            <v>0</v>
          </cell>
          <cell r="DI22">
            <v>2.16</v>
          </cell>
          <cell r="DJ22">
            <v>0</v>
          </cell>
          <cell r="DK22" t="str">
            <v>BRONZE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 t="str">
            <v>NA</v>
          </cell>
          <cell r="DU22" t="str">
            <v>NA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EB22">
            <v>-1832.4079999999999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 t="str">
            <v>Settled</v>
          </cell>
          <cell r="FH22">
            <v>2625</v>
          </cell>
          <cell r="FI22">
            <v>1832.4079999999999</v>
          </cell>
          <cell r="FJ22">
            <v>783.65200000000004</v>
          </cell>
          <cell r="FK22">
            <v>197.06</v>
          </cell>
        </row>
        <row r="23">
          <cell r="A23">
            <v>8615659105</v>
          </cell>
          <cell r="B23">
            <v>10615584550</v>
          </cell>
          <cell r="C23" t="str">
            <v>return_refund</v>
          </cell>
          <cell r="D23">
            <v>45892.53125</v>
          </cell>
          <cell r="E23">
            <v>45883.446527777778</v>
          </cell>
          <cell r="G23" t="str">
            <v>Myntra Designs Pvt Ltd</v>
          </cell>
          <cell r="H23" t="str">
            <v>TNBYCLST90489036</v>
          </cell>
          <cell r="I23" t="str">
            <v>\I2726TK000002428\""</v>
          </cell>
          <cell r="J23">
            <v>9754671642</v>
          </cell>
          <cell r="K23">
            <v>62042300</v>
          </cell>
          <cell r="L23" t="str">
            <v>Apparel</v>
          </cell>
          <cell r="M23" t="str">
            <v>INR</v>
          </cell>
          <cell r="N23">
            <v>2556</v>
          </cell>
          <cell r="O23">
            <v>0</v>
          </cell>
          <cell r="P23">
            <v>2556</v>
          </cell>
          <cell r="Q23">
            <v>3250</v>
          </cell>
          <cell r="R23">
            <v>488</v>
          </cell>
          <cell r="S23" t="str">
            <v>Inter-State</v>
          </cell>
          <cell r="T23">
            <v>12</v>
          </cell>
          <cell r="U23">
            <v>273.86</v>
          </cell>
          <cell r="V23">
            <v>0</v>
          </cell>
          <cell r="W23">
            <v>0</v>
          </cell>
          <cell r="X23">
            <v>11.411</v>
          </cell>
          <cell r="Y23">
            <v>2.282</v>
          </cell>
          <cell r="AA23">
            <v>0</v>
          </cell>
          <cell r="AB23">
            <v>663.54</v>
          </cell>
          <cell r="AC23">
            <v>663.54</v>
          </cell>
          <cell r="AD23">
            <v>677.23299999999995</v>
          </cell>
          <cell r="AE23">
            <v>-197.06</v>
          </cell>
          <cell r="AF23">
            <v>167</v>
          </cell>
          <cell r="AG23">
            <v>0</v>
          </cell>
          <cell r="AH23">
            <v>0</v>
          </cell>
          <cell r="AI23">
            <v>0</v>
          </cell>
          <cell r="AJ23">
            <v>30.06</v>
          </cell>
          <cell r="AK23">
            <v>1</v>
          </cell>
          <cell r="AL23" t="str">
            <v>NATIONAL</v>
          </cell>
          <cell r="AM23">
            <v>2762</v>
          </cell>
          <cell r="AN23">
            <v>-2075.837</v>
          </cell>
          <cell r="AO23">
            <v>-2075.837</v>
          </cell>
          <cell r="AP23">
            <v>0</v>
          </cell>
          <cell r="AQ23">
            <v>677.23299999999995</v>
          </cell>
          <cell r="AR23">
            <v>-197.06</v>
          </cell>
          <cell r="AS23">
            <v>-2556.0100000000002</v>
          </cell>
          <cell r="AV23">
            <v>0</v>
          </cell>
          <cell r="AW23">
            <v>45903</v>
          </cell>
          <cell r="AX23">
            <v>45903</v>
          </cell>
          <cell r="AY23">
            <v>45903</v>
          </cell>
          <cell r="BC23" t="str">
            <v>NFT-/XUTR/DEUTH025246A0T5UX</v>
          </cell>
          <cell r="BD23" t="str">
            <v>NFT-/XUTR/DEUTH025246A0T5UX</v>
          </cell>
          <cell r="BE23" t="str">
            <v>NFT-/XUTR/DEUTH025246A0T5UX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2282.14</v>
          </cell>
          <cell r="BP23">
            <v>12</v>
          </cell>
          <cell r="BQ23">
            <v>0</v>
          </cell>
          <cell r="BR23">
            <v>0</v>
          </cell>
          <cell r="BS23">
            <v>0</v>
          </cell>
          <cell r="BT23">
            <v>0.5</v>
          </cell>
          <cell r="BU23">
            <v>0</v>
          </cell>
          <cell r="BV23">
            <v>0</v>
          </cell>
          <cell r="BW23">
            <v>0.1</v>
          </cell>
          <cell r="BX23" t="str">
            <v>Tiny Baby</v>
          </cell>
          <cell r="BY23" t="str">
            <v>Girls</v>
          </cell>
          <cell r="BZ23" t="str">
            <v>External</v>
          </cell>
          <cell r="CA23" t="str">
            <v>Clothing Set</v>
          </cell>
          <cell r="CB23" t="str">
            <v>ON_HAND</v>
          </cell>
          <cell r="CC23" t="b">
            <v>0</v>
          </cell>
          <cell r="CD23" t="str">
            <v>**********</v>
          </cell>
          <cell r="CE23">
            <v>201010</v>
          </cell>
          <cell r="CF23" t="str">
            <v>27AXUPC8425A1ZH</v>
          </cell>
          <cell r="CH23" t="str">
            <v>29AAECM9636P1ZJ</v>
          </cell>
          <cell r="CI23" t="str">
            <v>Mumbai</v>
          </cell>
          <cell r="CJ23">
            <v>400013</v>
          </cell>
          <cell r="CK23" t="str">
            <v>maharashtra</v>
          </cell>
          <cell r="CL23" t="str">
            <v>MH</v>
          </cell>
          <cell r="CN23">
            <v>0</v>
          </cell>
          <cell r="CO23">
            <v>663.54</v>
          </cell>
          <cell r="CP23">
            <v>663.54</v>
          </cell>
          <cell r="CQ23">
            <v>0</v>
          </cell>
          <cell r="CR23">
            <v>0</v>
          </cell>
          <cell r="CS23">
            <v>0</v>
          </cell>
          <cell r="CT23">
            <v>488</v>
          </cell>
          <cell r="CU23">
            <v>2.2821400000000001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E23" t="str">
            <v>7de7aeb6-e467-43c5-8ac0-9c17c009bf14</v>
          </cell>
          <cell r="DF23">
            <v>100072000000</v>
          </cell>
          <cell r="DG23">
            <v>11.411</v>
          </cell>
          <cell r="DH23">
            <v>0</v>
          </cell>
          <cell r="DI23">
            <v>2.282</v>
          </cell>
          <cell r="DJ23">
            <v>0</v>
          </cell>
          <cell r="DK23" t="str">
            <v>BRONZE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 t="str">
            <v>NA</v>
          </cell>
          <cell r="DU23" t="str">
            <v>NA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EB23">
            <v>0</v>
          </cell>
          <cell r="EC23">
            <v>0</v>
          </cell>
          <cell r="ED23">
            <v>-2075.837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 t="str">
            <v>Settled</v>
          </cell>
          <cell r="FH23">
            <v>2762</v>
          </cell>
          <cell r="FI23">
            <v>2075.837</v>
          </cell>
          <cell r="FJ23">
            <v>677.23299999999995</v>
          </cell>
          <cell r="FK23">
            <v>197.06</v>
          </cell>
        </row>
        <row r="24">
          <cell r="A24">
            <v>8626239043</v>
          </cell>
          <cell r="B24">
            <v>10626163936</v>
          </cell>
          <cell r="C24" t="str">
            <v>return_refund</v>
          </cell>
          <cell r="D24">
            <v>45894.529166666667</v>
          </cell>
          <cell r="E24">
            <v>45890.655555555553</v>
          </cell>
          <cell r="F24">
            <v>44530</v>
          </cell>
          <cell r="G24" t="str">
            <v>Myntra Designs Pvt Ltd</v>
          </cell>
          <cell r="H24" t="str">
            <v>TIKIDRSS113553900</v>
          </cell>
          <cell r="I24" t="str">
            <v>\I2726TK000002529\""</v>
          </cell>
          <cell r="J24">
            <v>8626239043</v>
          </cell>
          <cell r="K24">
            <v>62042300</v>
          </cell>
          <cell r="L24" t="str">
            <v>Apparel</v>
          </cell>
          <cell r="M24" t="str">
            <v>INR</v>
          </cell>
          <cell r="N24">
            <v>2769</v>
          </cell>
          <cell r="O24">
            <v>0</v>
          </cell>
          <cell r="P24">
            <v>2769</v>
          </cell>
          <cell r="Q24">
            <v>3500</v>
          </cell>
          <cell r="R24">
            <v>525</v>
          </cell>
          <cell r="S24" t="str">
            <v>Intra-State</v>
          </cell>
          <cell r="T24">
            <v>12</v>
          </cell>
          <cell r="U24">
            <v>0</v>
          </cell>
          <cell r="V24">
            <v>148.34</v>
          </cell>
          <cell r="W24">
            <v>148.34</v>
          </cell>
          <cell r="X24">
            <v>12.362</v>
          </cell>
          <cell r="Y24">
            <v>2.472</v>
          </cell>
          <cell r="AA24">
            <v>0</v>
          </cell>
          <cell r="AB24">
            <v>588.13599999999997</v>
          </cell>
          <cell r="AC24">
            <v>588.13599999999997</v>
          </cell>
          <cell r="AD24">
            <v>602.97</v>
          </cell>
          <cell r="AE24">
            <v>-107.38</v>
          </cell>
          <cell r="AF24">
            <v>91</v>
          </cell>
          <cell r="AG24">
            <v>0</v>
          </cell>
          <cell r="AH24">
            <v>0</v>
          </cell>
          <cell r="AI24">
            <v>0</v>
          </cell>
          <cell r="AJ24">
            <v>16.38</v>
          </cell>
          <cell r="AK24">
            <v>1</v>
          </cell>
          <cell r="AL24" t="str">
            <v>LOCAL</v>
          </cell>
          <cell r="AM24">
            <v>2975</v>
          </cell>
          <cell r="AN24">
            <v>-2273.41</v>
          </cell>
          <cell r="AO24">
            <v>-2273.41</v>
          </cell>
          <cell r="AP24">
            <v>0</v>
          </cell>
          <cell r="AQ24">
            <v>602.97</v>
          </cell>
          <cell r="AR24">
            <v>-107.38</v>
          </cell>
          <cell r="AS24">
            <v>-2769</v>
          </cell>
          <cell r="AV24">
            <v>0</v>
          </cell>
          <cell r="AW24">
            <v>45908</v>
          </cell>
          <cell r="AX24">
            <v>45908</v>
          </cell>
          <cell r="AY24">
            <v>45908</v>
          </cell>
          <cell r="BC24" t="str">
            <v>NFT-/XUTR/DEUTH025251A0L0JX</v>
          </cell>
          <cell r="BD24" t="str">
            <v>NFT-/XUTR/DEUTH025251A0L0JX</v>
          </cell>
          <cell r="BE24" t="str">
            <v>NFT-/XUTR/DEUTH025251A0L0JX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2472.3200000000002</v>
          </cell>
          <cell r="BP24">
            <v>0</v>
          </cell>
          <cell r="BQ24">
            <v>6</v>
          </cell>
          <cell r="BR24">
            <v>6</v>
          </cell>
          <cell r="BS24">
            <v>0</v>
          </cell>
          <cell r="BT24">
            <v>0</v>
          </cell>
          <cell r="BU24">
            <v>0.25</v>
          </cell>
          <cell r="BV24">
            <v>0.25</v>
          </cell>
          <cell r="BW24">
            <v>0.1</v>
          </cell>
          <cell r="BX24" t="str">
            <v>Tiny Kingdom</v>
          </cell>
          <cell r="BY24" t="str">
            <v>Girls</v>
          </cell>
          <cell r="BZ24" t="str">
            <v>External</v>
          </cell>
          <cell r="CA24" t="str">
            <v>Dresses</v>
          </cell>
          <cell r="CB24" t="str">
            <v>ON_HAND</v>
          </cell>
          <cell r="CC24" t="b">
            <v>0</v>
          </cell>
          <cell r="CD24" t="str">
            <v>**********</v>
          </cell>
          <cell r="CE24">
            <v>412207</v>
          </cell>
          <cell r="CF24" t="str">
            <v>27AXUPC8425A1ZH</v>
          </cell>
          <cell r="CH24" t="str">
            <v>29AAECM9636P1ZJ</v>
          </cell>
          <cell r="CI24" t="str">
            <v>Mumbai</v>
          </cell>
          <cell r="CJ24">
            <v>400013</v>
          </cell>
          <cell r="CK24" t="str">
            <v>maharashtra</v>
          </cell>
          <cell r="CL24" t="str">
            <v>MH</v>
          </cell>
          <cell r="CN24">
            <v>0</v>
          </cell>
          <cell r="CO24">
            <v>588.13599999999997</v>
          </cell>
          <cell r="CP24">
            <v>588.13599999999997</v>
          </cell>
          <cell r="CQ24">
            <v>0</v>
          </cell>
          <cell r="CR24">
            <v>0</v>
          </cell>
          <cell r="CS24">
            <v>0</v>
          </cell>
          <cell r="CT24">
            <v>525</v>
          </cell>
          <cell r="CU24">
            <v>2.4723199999999999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E24" t="str">
            <v>b597acb0-dab3-475e-941e-166bb3796a8c</v>
          </cell>
          <cell r="DF24">
            <v>100073000000</v>
          </cell>
          <cell r="DG24">
            <v>12.362</v>
          </cell>
          <cell r="DH24">
            <v>0</v>
          </cell>
          <cell r="DI24">
            <v>2.472</v>
          </cell>
          <cell r="DJ24">
            <v>0</v>
          </cell>
          <cell r="DK24" t="str">
            <v>BRONZE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 t="str">
            <v>NA</v>
          </cell>
          <cell r="DU24" t="str">
            <v>NA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-2273.41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 t="str">
            <v>Settled</v>
          </cell>
          <cell r="FH24">
            <v>2975</v>
          </cell>
          <cell r="FI24">
            <v>2273.41</v>
          </cell>
          <cell r="FJ24">
            <v>602.97</v>
          </cell>
          <cell r="FK24">
            <v>107.38</v>
          </cell>
        </row>
        <row r="25">
          <cell r="A25">
            <v>8620040747</v>
          </cell>
          <cell r="B25">
            <v>10619965953</v>
          </cell>
          <cell r="C25" t="str">
            <v>return_refund</v>
          </cell>
          <cell r="D25">
            <v>45898.688194444447</v>
          </cell>
          <cell r="E25">
            <v>45887.452777777777</v>
          </cell>
          <cell r="F25">
            <v>44524</v>
          </cell>
          <cell r="G25" t="str">
            <v>Myntra Designs Pvt Ltd</v>
          </cell>
          <cell r="H25" t="str">
            <v>TIKIDRSS106641707</v>
          </cell>
          <cell r="I25" t="str">
            <v>\I2726TK000002458\""</v>
          </cell>
          <cell r="J25">
            <v>9756311805</v>
          </cell>
          <cell r="K25">
            <v>62042300</v>
          </cell>
          <cell r="L25" t="str">
            <v>Apparel</v>
          </cell>
          <cell r="M25" t="str">
            <v>INR</v>
          </cell>
          <cell r="N25">
            <v>2606</v>
          </cell>
          <cell r="O25">
            <v>0</v>
          </cell>
          <cell r="P25">
            <v>2606</v>
          </cell>
          <cell r="Q25">
            <v>3750</v>
          </cell>
          <cell r="R25">
            <v>938</v>
          </cell>
          <cell r="S25" t="str">
            <v>Inter-State</v>
          </cell>
          <cell r="T25">
            <v>12</v>
          </cell>
          <cell r="U25">
            <v>279.20999999999998</v>
          </cell>
          <cell r="V25">
            <v>0</v>
          </cell>
          <cell r="W25">
            <v>0</v>
          </cell>
          <cell r="X25">
            <v>11.634</v>
          </cell>
          <cell r="Y25">
            <v>2.327</v>
          </cell>
          <cell r="AA25">
            <v>0</v>
          </cell>
          <cell r="AB25">
            <v>553.51400000000001</v>
          </cell>
          <cell r="AC25">
            <v>553.51400000000001</v>
          </cell>
          <cell r="AD25">
            <v>567.47500000000002</v>
          </cell>
          <cell r="AE25">
            <v>-132.16</v>
          </cell>
          <cell r="AF25">
            <v>112</v>
          </cell>
          <cell r="AG25">
            <v>0</v>
          </cell>
          <cell r="AH25">
            <v>0</v>
          </cell>
          <cell r="AI25">
            <v>0</v>
          </cell>
          <cell r="AJ25">
            <v>20.16</v>
          </cell>
          <cell r="AK25">
            <v>1</v>
          </cell>
          <cell r="AL25" t="str">
            <v>ZONAL</v>
          </cell>
          <cell r="AM25">
            <v>2812</v>
          </cell>
          <cell r="AN25">
            <v>-2170.6849999999999</v>
          </cell>
          <cell r="AO25">
            <v>-2170.6849999999999</v>
          </cell>
          <cell r="AP25">
            <v>0</v>
          </cell>
          <cell r="AQ25">
            <v>567.47500000000002</v>
          </cell>
          <cell r="AR25">
            <v>-132.16</v>
          </cell>
          <cell r="AS25">
            <v>-2606</v>
          </cell>
          <cell r="AV25">
            <v>0</v>
          </cell>
          <cell r="AW25">
            <v>45908</v>
          </cell>
          <cell r="AX25">
            <v>45908</v>
          </cell>
          <cell r="AY25">
            <v>45908</v>
          </cell>
          <cell r="BC25" t="str">
            <v>NFT-/XUTR/DEUTH025251A0L0JX</v>
          </cell>
          <cell r="BD25" t="str">
            <v>NFT-/XUTR/DEUTH025251A0L0JX</v>
          </cell>
          <cell r="BE25" t="str">
            <v>NFT-/XUTR/DEUTH025251A0L0JX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2326.79</v>
          </cell>
          <cell r="BP25">
            <v>12</v>
          </cell>
          <cell r="BQ25">
            <v>0</v>
          </cell>
          <cell r="BR25">
            <v>0</v>
          </cell>
          <cell r="BS25">
            <v>0</v>
          </cell>
          <cell r="BT25">
            <v>0.5</v>
          </cell>
          <cell r="BU25">
            <v>0</v>
          </cell>
          <cell r="BV25">
            <v>0</v>
          </cell>
          <cell r="BW25">
            <v>0.1</v>
          </cell>
          <cell r="BX25" t="str">
            <v>Tiny Kingdom</v>
          </cell>
          <cell r="BY25" t="str">
            <v>Girls</v>
          </cell>
          <cell r="BZ25" t="str">
            <v>External</v>
          </cell>
          <cell r="CA25" t="str">
            <v>Dresses</v>
          </cell>
          <cell r="CB25" t="str">
            <v>ON_HAND</v>
          </cell>
          <cell r="CC25" t="b">
            <v>0</v>
          </cell>
          <cell r="CD25" t="str">
            <v>**********</v>
          </cell>
          <cell r="CE25">
            <v>560048</v>
          </cell>
          <cell r="CF25" t="str">
            <v>27AXUPC8425A1ZH</v>
          </cell>
          <cell r="CH25" t="str">
            <v>29AAECM9636P1ZJ</v>
          </cell>
          <cell r="CI25" t="str">
            <v>Mumbai</v>
          </cell>
          <cell r="CJ25">
            <v>400013</v>
          </cell>
          <cell r="CK25" t="str">
            <v>maharashtra</v>
          </cell>
          <cell r="CL25" t="str">
            <v>MH</v>
          </cell>
          <cell r="CN25">
            <v>0</v>
          </cell>
          <cell r="CO25">
            <v>553.51400000000001</v>
          </cell>
          <cell r="CP25">
            <v>553.51400000000001</v>
          </cell>
          <cell r="CQ25">
            <v>0</v>
          </cell>
          <cell r="CR25">
            <v>0</v>
          </cell>
          <cell r="CS25">
            <v>0</v>
          </cell>
          <cell r="CT25">
            <v>938</v>
          </cell>
          <cell r="CU25">
            <v>2.3267899999999999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E25" t="str">
            <v>6003fa26-30e5-4121-a1da-7f2346ce6b72</v>
          </cell>
          <cell r="DF25">
            <v>100073000000</v>
          </cell>
          <cell r="DG25">
            <v>11.634</v>
          </cell>
          <cell r="DH25">
            <v>0</v>
          </cell>
          <cell r="DI25">
            <v>2.327</v>
          </cell>
          <cell r="DJ25">
            <v>0</v>
          </cell>
          <cell r="DK25" t="str">
            <v>BRONZE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 t="str">
            <v>NA</v>
          </cell>
          <cell r="DU25" t="str">
            <v>NA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-2170.6849999999999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 t="str">
            <v>Settled</v>
          </cell>
          <cell r="FH25">
            <v>2812</v>
          </cell>
          <cell r="FI25">
            <v>2170.6849999999999</v>
          </cell>
          <cell r="FJ25">
            <v>567.47500000000002</v>
          </cell>
          <cell r="FK25">
            <v>132.16</v>
          </cell>
        </row>
        <row r="26">
          <cell r="A26">
            <v>8634176784</v>
          </cell>
          <cell r="B26">
            <v>10634101396</v>
          </cell>
          <cell r="C26" t="str">
            <v>return_refund</v>
          </cell>
          <cell r="D26">
            <v>45902.538194444445</v>
          </cell>
          <cell r="E26">
            <v>45895.786805555559</v>
          </cell>
          <cell r="F26">
            <v>44531</v>
          </cell>
          <cell r="G26" t="str">
            <v>Myntra Designs Pvt Ltd</v>
          </cell>
          <cell r="H26" t="str">
            <v>TIKIDRSS75236962</v>
          </cell>
          <cell r="I26" t="str">
            <v>\I2726TK000002608\""</v>
          </cell>
          <cell r="J26">
            <v>8634176784</v>
          </cell>
          <cell r="K26">
            <v>62042300</v>
          </cell>
          <cell r="L26" t="str">
            <v>Apparel</v>
          </cell>
          <cell r="M26" t="str">
            <v>INR</v>
          </cell>
          <cell r="N26">
            <v>966</v>
          </cell>
          <cell r="O26">
            <v>0</v>
          </cell>
          <cell r="P26">
            <v>966</v>
          </cell>
          <cell r="Q26">
            <v>1750</v>
          </cell>
          <cell r="R26">
            <v>613</v>
          </cell>
          <cell r="S26" t="str">
            <v>Inter-State</v>
          </cell>
          <cell r="T26">
            <v>5</v>
          </cell>
          <cell r="U26">
            <v>46</v>
          </cell>
          <cell r="V26">
            <v>0</v>
          </cell>
          <cell r="W26">
            <v>0</v>
          </cell>
          <cell r="X26">
            <v>4.5999999999999996</v>
          </cell>
          <cell r="Y26">
            <v>0.92</v>
          </cell>
          <cell r="AA26">
            <v>0</v>
          </cell>
          <cell r="AB26">
            <v>227.976</v>
          </cell>
          <cell r="AC26">
            <v>227.976</v>
          </cell>
          <cell r="AD26">
            <v>233.49600000000001</v>
          </cell>
          <cell r="AE26">
            <v>-132.16</v>
          </cell>
          <cell r="AF26">
            <v>112</v>
          </cell>
          <cell r="AG26">
            <v>0</v>
          </cell>
          <cell r="AH26">
            <v>0</v>
          </cell>
          <cell r="AI26">
            <v>0</v>
          </cell>
          <cell r="AJ26">
            <v>20.16</v>
          </cell>
          <cell r="AK26">
            <v>1</v>
          </cell>
          <cell r="AL26" t="str">
            <v>ZONAL</v>
          </cell>
          <cell r="AM26">
            <v>1137</v>
          </cell>
          <cell r="AN26">
            <v>-864.66399999999999</v>
          </cell>
          <cell r="AO26">
            <v>-864.66399999999999</v>
          </cell>
          <cell r="AP26">
            <v>0</v>
          </cell>
          <cell r="AQ26">
            <v>233.49600000000001</v>
          </cell>
          <cell r="AR26">
            <v>-132.16</v>
          </cell>
          <cell r="AS26">
            <v>-966</v>
          </cell>
          <cell r="AV26">
            <v>0</v>
          </cell>
          <cell r="AW26">
            <v>45915</v>
          </cell>
          <cell r="AX26">
            <v>45915</v>
          </cell>
          <cell r="AY26">
            <v>45915</v>
          </cell>
          <cell r="BC26" t="str">
            <v>NFT-/XUTR/DEUTH025258A0IM4X</v>
          </cell>
          <cell r="BD26" t="str">
            <v>NFT-/XUTR/DEUTH025258A0IM4X</v>
          </cell>
          <cell r="BE26" t="str">
            <v>NFT-/XUTR/DEUTH025258A0IM4X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920</v>
          </cell>
          <cell r="BP26">
            <v>5</v>
          </cell>
          <cell r="BQ26">
            <v>0</v>
          </cell>
          <cell r="BR26">
            <v>0</v>
          </cell>
          <cell r="BS26">
            <v>0</v>
          </cell>
          <cell r="BT26">
            <v>0.5</v>
          </cell>
          <cell r="BU26">
            <v>0</v>
          </cell>
          <cell r="BV26">
            <v>0</v>
          </cell>
          <cell r="BW26">
            <v>0.1</v>
          </cell>
          <cell r="BX26" t="str">
            <v>Tiny Kingdom</v>
          </cell>
          <cell r="BY26" t="str">
            <v>Girls</v>
          </cell>
          <cell r="BZ26" t="str">
            <v>External</v>
          </cell>
          <cell r="CA26" t="str">
            <v>Dresses</v>
          </cell>
          <cell r="CB26" t="str">
            <v>ON_HAND</v>
          </cell>
          <cell r="CC26" t="b">
            <v>0</v>
          </cell>
          <cell r="CD26" t="str">
            <v>**********</v>
          </cell>
          <cell r="CE26">
            <v>500030</v>
          </cell>
          <cell r="CF26" t="str">
            <v>27AXUPC8425A1ZH</v>
          </cell>
          <cell r="CH26" t="str">
            <v>29AAECM9636P1ZJ</v>
          </cell>
          <cell r="CI26" t="str">
            <v>Mumbai</v>
          </cell>
          <cell r="CJ26">
            <v>400013</v>
          </cell>
          <cell r="CK26" t="str">
            <v>maharashtra</v>
          </cell>
          <cell r="CL26" t="str">
            <v>MH</v>
          </cell>
          <cell r="CN26">
            <v>0</v>
          </cell>
          <cell r="CO26">
            <v>227.976</v>
          </cell>
          <cell r="CP26">
            <v>227.976</v>
          </cell>
          <cell r="CQ26">
            <v>0</v>
          </cell>
          <cell r="CR26">
            <v>0</v>
          </cell>
          <cell r="CS26">
            <v>0</v>
          </cell>
          <cell r="CT26">
            <v>613</v>
          </cell>
          <cell r="CU26">
            <v>0.92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E26" t="str">
            <v>5affc25c-c2be-423a-a8e9-e0c671f8f7d7</v>
          </cell>
          <cell r="DF26">
            <v>100075000000</v>
          </cell>
          <cell r="DG26">
            <v>4.5999999999999996</v>
          </cell>
          <cell r="DH26">
            <v>0</v>
          </cell>
          <cell r="DI26">
            <v>0.92</v>
          </cell>
          <cell r="DJ26">
            <v>0</v>
          </cell>
          <cell r="DK26" t="str">
            <v>BRONZE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 t="str">
            <v>NA</v>
          </cell>
          <cell r="DU26" t="str">
            <v>NA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-864.66399999999999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 t="str">
            <v>Settled</v>
          </cell>
          <cell r="FH26">
            <v>1137</v>
          </cell>
          <cell r="FI26">
            <v>864.66399999999999</v>
          </cell>
          <cell r="FJ26">
            <v>233.49600000000001</v>
          </cell>
          <cell r="FK26">
            <v>132.16</v>
          </cell>
        </row>
        <row r="27">
          <cell r="A27">
            <v>8626935106</v>
          </cell>
          <cell r="B27">
            <v>10626859973</v>
          </cell>
          <cell r="C27" t="str">
            <v>return_refund</v>
          </cell>
          <cell r="D27">
            <v>45902.543055555558</v>
          </cell>
          <cell r="E27">
            <v>45891.470833333333</v>
          </cell>
          <cell r="F27">
            <v>44528</v>
          </cell>
          <cell r="G27" t="str">
            <v>Myntra Designs Pvt Ltd</v>
          </cell>
          <cell r="H27" t="str">
            <v>TIKILHNC106661943</v>
          </cell>
          <cell r="I27" t="str">
            <v>\I2726TK000002538\""</v>
          </cell>
          <cell r="J27">
            <v>8626935106</v>
          </cell>
          <cell r="K27">
            <v>62042300</v>
          </cell>
          <cell r="L27" t="str">
            <v>Apparel</v>
          </cell>
          <cell r="M27" t="str">
            <v>INR</v>
          </cell>
          <cell r="N27">
            <v>2944</v>
          </cell>
          <cell r="O27">
            <v>0</v>
          </cell>
          <cell r="P27">
            <v>2944</v>
          </cell>
          <cell r="Q27">
            <v>4500</v>
          </cell>
          <cell r="R27">
            <v>1350</v>
          </cell>
          <cell r="S27" t="str">
            <v>Inter-State</v>
          </cell>
          <cell r="T27">
            <v>12</v>
          </cell>
          <cell r="U27">
            <v>315.43</v>
          </cell>
          <cell r="V27">
            <v>0</v>
          </cell>
          <cell r="W27">
            <v>0</v>
          </cell>
          <cell r="X27">
            <v>13.143000000000001</v>
          </cell>
          <cell r="Y27">
            <v>2.629</v>
          </cell>
          <cell r="AA27">
            <v>0</v>
          </cell>
          <cell r="AB27">
            <v>729.52300000000002</v>
          </cell>
          <cell r="AC27">
            <v>729.52300000000002</v>
          </cell>
          <cell r="AD27">
            <v>745.29499999999996</v>
          </cell>
          <cell r="AE27">
            <v>-132.16</v>
          </cell>
          <cell r="AF27">
            <v>112</v>
          </cell>
          <cell r="AG27">
            <v>0</v>
          </cell>
          <cell r="AH27">
            <v>0</v>
          </cell>
          <cell r="AI27">
            <v>0</v>
          </cell>
          <cell r="AJ27">
            <v>20.16</v>
          </cell>
          <cell r="AK27">
            <v>1</v>
          </cell>
          <cell r="AL27" t="str">
            <v>ZONAL</v>
          </cell>
          <cell r="AM27">
            <v>3150</v>
          </cell>
          <cell r="AN27">
            <v>-2330.8649999999998</v>
          </cell>
          <cell r="AO27">
            <v>-2330.8649999999998</v>
          </cell>
          <cell r="AP27">
            <v>0</v>
          </cell>
          <cell r="AQ27">
            <v>745.29499999999996</v>
          </cell>
          <cell r="AR27">
            <v>-132.16</v>
          </cell>
          <cell r="AS27">
            <v>-2944</v>
          </cell>
          <cell r="AV27">
            <v>0</v>
          </cell>
          <cell r="AW27">
            <v>45911</v>
          </cell>
          <cell r="AX27">
            <v>45911</v>
          </cell>
          <cell r="AY27">
            <v>45911</v>
          </cell>
          <cell r="BC27" t="str">
            <v>NFT-/XUTR/DEUTH02525423909X</v>
          </cell>
          <cell r="BD27" t="str">
            <v>NFT-/XUTR/DEUTH02525423909X</v>
          </cell>
          <cell r="BE27" t="str">
            <v>NFT-/XUTR/DEUTH02525423909X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2628.57</v>
          </cell>
          <cell r="BP27">
            <v>12</v>
          </cell>
          <cell r="BQ27">
            <v>0</v>
          </cell>
          <cell r="BR27">
            <v>0</v>
          </cell>
          <cell r="BS27">
            <v>0</v>
          </cell>
          <cell r="BT27">
            <v>0.5</v>
          </cell>
          <cell r="BU27">
            <v>0</v>
          </cell>
          <cell r="BV27">
            <v>0</v>
          </cell>
          <cell r="BW27">
            <v>0.1</v>
          </cell>
          <cell r="BX27" t="str">
            <v>Tiny Kingdom</v>
          </cell>
          <cell r="BY27" t="str">
            <v>Girls</v>
          </cell>
          <cell r="BZ27" t="str">
            <v>External</v>
          </cell>
          <cell r="CA27" t="str">
            <v>Lehenga Choli</v>
          </cell>
          <cell r="CB27" t="str">
            <v>ON_HAND</v>
          </cell>
          <cell r="CC27" t="b">
            <v>0</v>
          </cell>
          <cell r="CD27" t="str">
            <v>**********</v>
          </cell>
          <cell r="CE27">
            <v>560103</v>
          </cell>
          <cell r="CF27" t="str">
            <v>27AXUPC8425A1ZH</v>
          </cell>
          <cell r="CH27" t="str">
            <v>29AAECM9636P1ZJ</v>
          </cell>
          <cell r="CI27" t="str">
            <v>Mumbai</v>
          </cell>
          <cell r="CJ27">
            <v>400013</v>
          </cell>
          <cell r="CK27" t="str">
            <v>maharashtra</v>
          </cell>
          <cell r="CL27" t="str">
            <v>MH</v>
          </cell>
          <cell r="CN27">
            <v>0</v>
          </cell>
          <cell r="CO27">
            <v>729.52300000000002</v>
          </cell>
          <cell r="CP27">
            <v>729.52300000000002</v>
          </cell>
          <cell r="CQ27">
            <v>0</v>
          </cell>
          <cell r="CR27">
            <v>0</v>
          </cell>
          <cell r="CS27">
            <v>0</v>
          </cell>
          <cell r="CT27">
            <v>1350</v>
          </cell>
          <cell r="CU27">
            <v>2.6285699999999999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E27" t="str">
            <v>5ead873a-2b05-4f0d-86dc-c414d47a77d0</v>
          </cell>
          <cell r="DF27">
            <v>100074000000</v>
          </cell>
          <cell r="DG27">
            <v>13.143000000000001</v>
          </cell>
          <cell r="DH27">
            <v>0</v>
          </cell>
          <cell r="DI27">
            <v>2.629</v>
          </cell>
          <cell r="DJ27">
            <v>0</v>
          </cell>
          <cell r="DK27" t="str">
            <v>BRONZE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 t="str">
            <v>NA</v>
          </cell>
          <cell r="DU27" t="str">
            <v>NA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-2330.8649999999998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 t="str">
            <v>Settled</v>
          </cell>
          <cell r="FH27">
            <v>3150</v>
          </cell>
          <cell r="FI27">
            <v>2330.8649999999998</v>
          </cell>
          <cell r="FJ27">
            <v>745.29499999999996</v>
          </cell>
          <cell r="FK27">
            <v>132.16</v>
          </cell>
        </row>
        <row r="28">
          <cell r="A28">
            <v>8623616712</v>
          </cell>
          <cell r="B28">
            <v>10623541683</v>
          </cell>
          <cell r="C28" t="str">
            <v>return_refund</v>
          </cell>
          <cell r="D28">
            <v>45893.645138888889</v>
          </cell>
          <cell r="E28">
            <v>45888.776388888888</v>
          </cell>
          <cell r="F28">
            <v>44527</v>
          </cell>
          <cell r="G28" t="str">
            <v>Myntra Designs Pvt Ltd</v>
          </cell>
          <cell r="H28" t="str">
            <v>TIKITOPS93503768</v>
          </cell>
          <cell r="I28" t="str">
            <v>\I2726TK000002501\""</v>
          </cell>
          <cell r="J28">
            <v>8623616712</v>
          </cell>
          <cell r="K28">
            <v>61099090</v>
          </cell>
          <cell r="L28" t="str">
            <v>Apparel</v>
          </cell>
          <cell r="M28" t="str">
            <v>INR</v>
          </cell>
          <cell r="N28">
            <v>656</v>
          </cell>
          <cell r="O28">
            <v>656</v>
          </cell>
          <cell r="P28">
            <v>0</v>
          </cell>
          <cell r="Q28">
            <v>1250</v>
          </cell>
          <cell r="R28">
            <v>500</v>
          </cell>
          <cell r="S28" t="str">
            <v>Intra-State</v>
          </cell>
          <cell r="T28">
            <v>5</v>
          </cell>
          <cell r="U28">
            <v>0</v>
          </cell>
          <cell r="V28">
            <v>15.62</v>
          </cell>
          <cell r="W28">
            <v>15.62</v>
          </cell>
          <cell r="X28">
            <v>3.1240000000000001</v>
          </cell>
          <cell r="Y28">
            <v>0.625</v>
          </cell>
          <cell r="AA28">
            <v>0</v>
          </cell>
          <cell r="AB28">
            <v>178.03800000000001</v>
          </cell>
          <cell r="AC28">
            <v>178.03800000000001</v>
          </cell>
          <cell r="AD28">
            <v>181.78700000000001</v>
          </cell>
          <cell r="AE28">
            <v>-107.38</v>
          </cell>
          <cell r="AF28">
            <v>91</v>
          </cell>
          <cell r="AG28">
            <v>0</v>
          </cell>
          <cell r="AH28">
            <v>0</v>
          </cell>
          <cell r="AI28">
            <v>0</v>
          </cell>
          <cell r="AJ28">
            <v>16.38</v>
          </cell>
          <cell r="AK28">
            <v>1</v>
          </cell>
          <cell r="AL28" t="str">
            <v>LOCAL</v>
          </cell>
          <cell r="AM28">
            <v>750</v>
          </cell>
          <cell r="AN28">
            <v>-581.59299999999996</v>
          </cell>
          <cell r="AO28">
            <v>-581.59299999999996</v>
          </cell>
          <cell r="AP28">
            <v>0</v>
          </cell>
          <cell r="AS28">
            <v>0</v>
          </cell>
          <cell r="AT28">
            <v>181.78700000000001</v>
          </cell>
          <cell r="AU28">
            <v>-107.38</v>
          </cell>
          <cell r="AV28">
            <v>-656</v>
          </cell>
          <cell r="AZ28">
            <v>45908</v>
          </cell>
          <cell r="BA28">
            <v>45908</v>
          </cell>
          <cell r="BB28">
            <v>45908</v>
          </cell>
          <cell r="BF28" t="str">
            <v>NFT-/XUTR/DEUTH025251A0HB7X</v>
          </cell>
          <cell r="BG28" t="str">
            <v>NFT-/XUTR/DEUTH025251A0HB7X</v>
          </cell>
          <cell r="BH28" t="str">
            <v>NFT-/XUTR/DEUTH025251A0HB7X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624.76</v>
          </cell>
          <cell r="BP28">
            <v>0</v>
          </cell>
          <cell r="BQ28">
            <v>2.5</v>
          </cell>
          <cell r="BR28">
            <v>2.5</v>
          </cell>
          <cell r="BS28">
            <v>0</v>
          </cell>
          <cell r="BT28">
            <v>0</v>
          </cell>
          <cell r="BU28">
            <v>0.25</v>
          </cell>
          <cell r="BV28">
            <v>0.25</v>
          </cell>
          <cell r="BW28">
            <v>0.1</v>
          </cell>
          <cell r="BX28" t="str">
            <v>Tiny Kingdom</v>
          </cell>
          <cell r="BY28" t="str">
            <v>Girls</v>
          </cell>
          <cell r="BZ28" t="str">
            <v>External</v>
          </cell>
          <cell r="CA28" t="str">
            <v>Tops</v>
          </cell>
          <cell r="CB28" t="str">
            <v>ON_HAND</v>
          </cell>
          <cell r="CC28" t="b">
            <v>0</v>
          </cell>
          <cell r="CD28" t="str">
            <v>**********</v>
          </cell>
          <cell r="CE28">
            <v>402403</v>
          </cell>
          <cell r="CF28" t="str">
            <v>27AXUPC8425A1ZH</v>
          </cell>
          <cell r="CH28" t="str">
            <v>29AAECM9636P1ZJ</v>
          </cell>
          <cell r="CI28" t="str">
            <v>Mumbai</v>
          </cell>
          <cell r="CJ28">
            <v>400013</v>
          </cell>
          <cell r="CK28" t="str">
            <v>maharashtra</v>
          </cell>
          <cell r="CL28" t="str">
            <v>MH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W28">
            <v>0</v>
          </cell>
          <cell r="CX28">
            <v>178.03800000000001</v>
          </cell>
          <cell r="CY28">
            <v>178.03800000000001</v>
          </cell>
          <cell r="CZ28">
            <v>0</v>
          </cell>
          <cell r="DA28">
            <v>0</v>
          </cell>
          <cell r="DB28">
            <v>0</v>
          </cell>
          <cell r="DC28">
            <v>500</v>
          </cell>
          <cell r="DD28">
            <v>0.62475999999999998</v>
          </cell>
          <cell r="DE28" t="str">
            <v>f4cce4be-ba19-4dc9-b9bd-770ea648fd99</v>
          </cell>
          <cell r="DF28">
            <v>100072000000</v>
          </cell>
          <cell r="DG28">
            <v>0</v>
          </cell>
          <cell r="DH28">
            <v>3.1240000000000001</v>
          </cell>
          <cell r="DI28">
            <v>0</v>
          </cell>
          <cell r="DJ28">
            <v>0.625</v>
          </cell>
          <cell r="DK28" t="str">
            <v>BRONZE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 t="str">
            <v>NA</v>
          </cell>
          <cell r="DU28" t="str">
            <v>NA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-581.59299999999996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 t="str">
            <v>Settled</v>
          </cell>
          <cell r="FH28">
            <v>750</v>
          </cell>
          <cell r="FI28">
            <v>581.59299999999996</v>
          </cell>
          <cell r="FJ28">
            <v>181.78700000000001</v>
          </cell>
          <cell r="FK28">
            <v>107.38</v>
          </cell>
        </row>
        <row r="29">
          <cell r="A29">
            <v>8640417638</v>
          </cell>
          <cell r="B29">
            <v>10640342122</v>
          </cell>
          <cell r="C29" t="str">
            <v>return_refund</v>
          </cell>
          <cell r="D29">
            <v>45916.420138888891</v>
          </cell>
          <cell r="E29">
            <v>45900.693749999999</v>
          </cell>
          <cell r="G29" t="str">
            <v>Myntra Designs Pvt Ltd</v>
          </cell>
          <cell r="H29" t="str">
            <v>TIKICLST113026327</v>
          </cell>
          <cell r="I29" t="str">
            <v>\I2726TK000002683\""</v>
          </cell>
          <cell r="J29">
            <v>9761370523</v>
          </cell>
          <cell r="K29">
            <v>62042300</v>
          </cell>
          <cell r="L29" t="str">
            <v>Apparel</v>
          </cell>
          <cell r="M29" t="str">
            <v>INR</v>
          </cell>
          <cell r="N29">
            <v>2769</v>
          </cell>
          <cell r="O29">
            <v>2769</v>
          </cell>
          <cell r="P29">
            <v>0</v>
          </cell>
          <cell r="Q29">
            <v>3500</v>
          </cell>
          <cell r="R29">
            <v>525</v>
          </cell>
          <cell r="S29" t="str">
            <v>Inter-State</v>
          </cell>
          <cell r="T29">
            <v>12</v>
          </cell>
          <cell r="U29">
            <v>296.68</v>
          </cell>
          <cell r="V29">
            <v>0</v>
          </cell>
          <cell r="W29">
            <v>0</v>
          </cell>
          <cell r="X29">
            <v>12.362</v>
          </cell>
          <cell r="Y29">
            <v>2.472</v>
          </cell>
          <cell r="AA29">
            <v>0</v>
          </cell>
          <cell r="AB29">
            <v>686.15800000000002</v>
          </cell>
          <cell r="AC29">
            <v>686.15800000000002</v>
          </cell>
          <cell r="AD29">
            <v>700.99199999999996</v>
          </cell>
          <cell r="AE29">
            <v>-197.06</v>
          </cell>
          <cell r="AF29">
            <v>167</v>
          </cell>
          <cell r="AG29">
            <v>0</v>
          </cell>
          <cell r="AH29">
            <v>0</v>
          </cell>
          <cell r="AI29">
            <v>0</v>
          </cell>
          <cell r="AJ29">
            <v>30.06</v>
          </cell>
          <cell r="AK29">
            <v>1</v>
          </cell>
          <cell r="AL29" t="str">
            <v>NATIONAL</v>
          </cell>
          <cell r="AM29">
            <v>2975</v>
          </cell>
          <cell r="AN29">
            <v>-2265.0680000000002</v>
          </cell>
          <cell r="AO29">
            <v>-2265.0680000000002</v>
          </cell>
          <cell r="AP29">
            <v>0</v>
          </cell>
          <cell r="AS29">
            <v>0</v>
          </cell>
          <cell r="AT29">
            <v>700.99199999999996</v>
          </cell>
          <cell r="AU29">
            <v>-197.06</v>
          </cell>
          <cell r="AV29">
            <v>-2769</v>
          </cell>
          <cell r="AZ29">
            <v>45924</v>
          </cell>
          <cell r="BA29">
            <v>45924</v>
          </cell>
          <cell r="BB29">
            <v>45924</v>
          </cell>
          <cell r="BF29" t="str">
            <v>NFT-/XUTR/DEUTH025267A0V51X</v>
          </cell>
          <cell r="BG29" t="str">
            <v>NFT-/XUTR/DEUTH025267A0V51X</v>
          </cell>
          <cell r="BH29" t="str">
            <v>NFT-/XUTR/DEUTH025267A0V51X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2472.3200000000002</v>
          </cell>
          <cell r="BP29">
            <v>12</v>
          </cell>
          <cell r="BQ29">
            <v>0</v>
          </cell>
          <cell r="BR29">
            <v>0</v>
          </cell>
          <cell r="BS29">
            <v>0</v>
          </cell>
          <cell r="BT29">
            <v>0.5</v>
          </cell>
          <cell r="BU29">
            <v>0</v>
          </cell>
          <cell r="BV29">
            <v>0</v>
          </cell>
          <cell r="BW29">
            <v>0.1</v>
          </cell>
          <cell r="BX29" t="str">
            <v>Tiny Kingdom</v>
          </cell>
          <cell r="BY29" t="str">
            <v>Girls</v>
          </cell>
          <cell r="BZ29" t="str">
            <v>External</v>
          </cell>
          <cell r="CA29" t="str">
            <v>Clothing Set</v>
          </cell>
          <cell r="CB29" t="str">
            <v>ON_HAND</v>
          </cell>
          <cell r="CC29" t="b">
            <v>0</v>
          </cell>
          <cell r="CD29" t="str">
            <v>**********</v>
          </cell>
          <cell r="CE29">
            <v>141001</v>
          </cell>
          <cell r="CF29" t="str">
            <v>27AXUPC8425A1ZH</v>
          </cell>
          <cell r="CH29" t="str">
            <v>29AAECM9636P1ZJ</v>
          </cell>
          <cell r="CI29" t="str">
            <v>Mumbai</v>
          </cell>
          <cell r="CJ29">
            <v>400013</v>
          </cell>
          <cell r="CK29" t="str">
            <v>maharashtra</v>
          </cell>
          <cell r="CL29" t="str">
            <v>MH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W29">
            <v>0</v>
          </cell>
          <cell r="CX29">
            <v>686.15800000000002</v>
          </cell>
          <cell r="CY29">
            <v>686.15800000000002</v>
          </cell>
          <cell r="CZ29">
            <v>0</v>
          </cell>
          <cell r="DA29">
            <v>0</v>
          </cell>
          <cell r="DB29">
            <v>0</v>
          </cell>
          <cell r="DC29">
            <v>525</v>
          </cell>
          <cell r="DD29">
            <v>2.4723199999999999</v>
          </cell>
          <cell r="DE29" t="str">
            <v>c11d4c73-ce78-41fd-b8ab-8ebd4f63050d</v>
          </cell>
          <cell r="DF29">
            <v>100077000000</v>
          </cell>
          <cell r="DG29">
            <v>0</v>
          </cell>
          <cell r="DH29">
            <v>12.362</v>
          </cell>
          <cell r="DI29">
            <v>0</v>
          </cell>
          <cell r="DJ29">
            <v>2.472</v>
          </cell>
          <cell r="DK29" t="str">
            <v>BRONZE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 t="str">
            <v>NA</v>
          </cell>
          <cell r="DU29" t="str">
            <v>NA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-2265.0680000000002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 t="str">
            <v>Settled</v>
          </cell>
          <cell r="FH29">
            <v>2975</v>
          </cell>
          <cell r="FI29">
            <v>2265.0680000000002</v>
          </cell>
          <cell r="FJ29">
            <v>700.99199999999996</v>
          </cell>
          <cell r="FK29">
            <v>197.06</v>
          </cell>
        </row>
        <row r="30">
          <cell r="A30">
            <v>8658705104</v>
          </cell>
          <cell r="B30">
            <v>10658629207</v>
          </cell>
          <cell r="C30" t="str">
            <v>return_refund</v>
          </cell>
          <cell r="D30">
            <v>45918.580555555556</v>
          </cell>
          <cell r="E30">
            <v>45910.459722222222</v>
          </cell>
          <cell r="G30" t="str">
            <v>Myntra Designs Pvt Ltd</v>
          </cell>
          <cell r="H30" t="str">
            <v>TIKIDRSS116453909</v>
          </cell>
          <cell r="I30" t="str">
            <v>\I2726TK000002832\""</v>
          </cell>
          <cell r="J30">
            <v>8658705104</v>
          </cell>
          <cell r="K30">
            <v>62042300</v>
          </cell>
          <cell r="L30" t="str">
            <v>Apparel</v>
          </cell>
          <cell r="M30" t="str">
            <v>INR</v>
          </cell>
          <cell r="N30">
            <v>2594</v>
          </cell>
          <cell r="O30">
            <v>2594</v>
          </cell>
          <cell r="P30">
            <v>0</v>
          </cell>
          <cell r="Q30">
            <v>3500</v>
          </cell>
          <cell r="R30">
            <v>700</v>
          </cell>
          <cell r="S30" t="str">
            <v>Inter-State</v>
          </cell>
          <cell r="T30">
            <v>12</v>
          </cell>
          <cell r="U30">
            <v>277.93</v>
          </cell>
          <cell r="V30">
            <v>0</v>
          </cell>
          <cell r="W30">
            <v>0</v>
          </cell>
          <cell r="X30">
            <v>11.58</v>
          </cell>
          <cell r="Y30">
            <v>2.3159999999999998</v>
          </cell>
          <cell r="AA30">
            <v>0</v>
          </cell>
          <cell r="AB30">
            <v>550.96600000000001</v>
          </cell>
          <cell r="AC30">
            <v>550.96600000000001</v>
          </cell>
          <cell r="AD30">
            <v>564.86199999999997</v>
          </cell>
          <cell r="AE30">
            <v>-197.06</v>
          </cell>
          <cell r="AF30">
            <v>167</v>
          </cell>
          <cell r="AG30">
            <v>0</v>
          </cell>
          <cell r="AH30">
            <v>0</v>
          </cell>
          <cell r="AI30">
            <v>0</v>
          </cell>
          <cell r="AJ30">
            <v>30.06</v>
          </cell>
          <cell r="AK30">
            <v>1</v>
          </cell>
          <cell r="AL30" t="str">
            <v>NATIONAL</v>
          </cell>
          <cell r="AM30">
            <v>2800</v>
          </cell>
          <cell r="AN30">
            <v>-2226.1979999999999</v>
          </cell>
          <cell r="AO30">
            <v>-2226.1979999999999</v>
          </cell>
          <cell r="AP30">
            <v>0</v>
          </cell>
          <cell r="AS30">
            <v>0</v>
          </cell>
          <cell r="AT30">
            <v>564.86199999999997</v>
          </cell>
          <cell r="AU30">
            <v>-197.06</v>
          </cell>
          <cell r="AV30">
            <v>-2594</v>
          </cell>
          <cell r="AZ30">
            <v>45929</v>
          </cell>
          <cell r="BA30">
            <v>45929</v>
          </cell>
          <cell r="BB30">
            <v>45929</v>
          </cell>
          <cell r="BF30" t="str">
            <v>NFT-/XUTR/DEUTH025272A0QW5X</v>
          </cell>
          <cell r="BG30" t="str">
            <v>NFT-/XUTR/DEUTH025272A0QW5X</v>
          </cell>
          <cell r="BH30" t="str">
            <v>NFT-/XUTR/DEUTH025272A0QW5X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2316.0700000000002</v>
          </cell>
          <cell r="BP30">
            <v>12</v>
          </cell>
          <cell r="BQ30">
            <v>0</v>
          </cell>
          <cell r="BR30">
            <v>0</v>
          </cell>
          <cell r="BS30">
            <v>0</v>
          </cell>
          <cell r="BT30">
            <v>0.5</v>
          </cell>
          <cell r="BU30">
            <v>0</v>
          </cell>
          <cell r="BV30">
            <v>0</v>
          </cell>
          <cell r="BW30">
            <v>0.1</v>
          </cell>
          <cell r="BX30" t="str">
            <v>Tiny Kingdom</v>
          </cell>
          <cell r="BY30" t="str">
            <v>Girls</v>
          </cell>
          <cell r="BZ30" t="str">
            <v>External</v>
          </cell>
          <cell r="CA30" t="str">
            <v>Dresses</v>
          </cell>
          <cell r="CB30" t="str">
            <v>ON_HAND</v>
          </cell>
          <cell r="CC30" t="b">
            <v>0</v>
          </cell>
          <cell r="CD30" t="str">
            <v>**********</v>
          </cell>
          <cell r="CE30">
            <v>331022</v>
          </cell>
          <cell r="CF30" t="str">
            <v>27AXUPC8425A1ZH</v>
          </cell>
          <cell r="CH30" t="str">
            <v>29AAECM9636P1ZJ</v>
          </cell>
          <cell r="CI30" t="str">
            <v>Mumbai</v>
          </cell>
          <cell r="CJ30">
            <v>400013</v>
          </cell>
          <cell r="CK30" t="str">
            <v>maharashtra</v>
          </cell>
          <cell r="CL30" t="str">
            <v>MH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W30">
            <v>0</v>
          </cell>
          <cell r="CX30">
            <v>550.96600000000001</v>
          </cell>
          <cell r="CY30">
            <v>550.96600000000001</v>
          </cell>
          <cell r="CZ30">
            <v>0</v>
          </cell>
          <cell r="DA30">
            <v>0</v>
          </cell>
          <cell r="DB30">
            <v>0</v>
          </cell>
          <cell r="DC30">
            <v>700</v>
          </cell>
          <cell r="DD30">
            <v>2.3160699999999999</v>
          </cell>
          <cell r="DE30" t="str">
            <v>1aa9aafa-ff43-4b27-8a57-0462ea22725b</v>
          </cell>
          <cell r="DF30">
            <v>100079000000</v>
          </cell>
          <cell r="DG30">
            <v>0</v>
          </cell>
          <cell r="DH30">
            <v>11.58</v>
          </cell>
          <cell r="DI30">
            <v>0</v>
          </cell>
          <cell r="DJ30">
            <v>2.3159999999999998</v>
          </cell>
          <cell r="DK30" t="str">
            <v>BRONZE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 t="str">
            <v>NA</v>
          </cell>
          <cell r="DU30" t="str">
            <v>NA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-2226.1979999999999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 t="str">
            <v>Settled</v>
          </cell>
          <cell r="FH30">
            <v>2800</v>
          </cell>
          <cell r="FI30">
            <v>2226.1979999999999</v>
          </cell>
          <cell r="FJ30">
            <v>564.86199999999997</v>
          </cell>
          <cell r="FK30">
            <v>197.06</v>
          </cell>
        </row>
        <row r="31">
          <cell r="A31">
            <v>8628691316</v>
          </cell>
          <cell r="B31">
            <v>10628616154</v>
          </cell>
          <cell r="C31" t="str">
            <v>return_refund</v>
          </cell>
          <cell r="D31">
            <v>45900.447222222225</v>
          </cell>
          <cell r="E31">
            <v>45891.789583333331</v>
          </cell>
          <cell r="G31" t="str">
            <v>Myntra Designs Pvt Ltd</v>
          </cell>
          <cell r="H31" t="str">
            <v>TNBYTSHT49476469</v>
          </cell>
          <cell r="I31" t="str">
            <v>\I2726TK000002542\""</v>
          </cell>
          <cell r="J31">
            <v>8628691316</v>
          </cell>
          <cell r="K31">
            <v>61091000</v>
          </cell>
          <cell r="L31" t="str">
            <v>Apparel</v>
          </cell>
          <cell r="M31" t="str">
            <v>INR</v>
          </cell>
          <cell r="N31">
            <v>150</v>
          </cell>
          <cell r="O31">
            <v>0</v>
          </cell>
          <cell r="P31">
            <v>150</v>
          </cell>
          <cell r="Q31">
            <v>699</v>
          </cell>
          <cell r="R31">
            <v>490</v>
          </cell>
          <cell r="S31" t="str">
            <v>Inter-State</v>
          </cell>
          <cell r="T31">
            <v>5</v>
          </cell>
          <cell r="U31">
            <v>7.14</v>
          </cell>
          <cell r="V31">
            <v>0</v>
          </cell>
          <cell r="W31">
            <v>0</v>
          </cell>
          <cell r="X31">
            <v>0.71399999999999997</v>
          </cell>
          <cell r="Y31">
            <v>0.14299999999999999</v>
          </cell>
          <cell r="AA31">
            <v>0</v>
          </cell>
          <cell r="AB31">
            <v>17.7</v>
          </cell>
          <cell r="AC31">
            <v>17.7</v>
          </cell>
          <cell r="AD31">
            <v>18.556999999999999</v>
          </cell>
          <cell r="AE31">
            <v>-132.16</v>
          </cell>
          <cell r="AF31">
            <v>112</v>
          </cell>
          <cell r="AG31">
            <v>0</v>
          </cell>
          <cell r="AH31">
            <v>0</v>
          </cell>
          <cell r="AI31">
            <v>0</v>
          </cell>
          <cell r="AJ31">
            <v>20.16</v>
          </cell>
          <cell r="AK31">
            <v>1</v>
          </cell>
          <cell r="AL31" t="str">
            <v>ZONAL</v>
          </cell>
          <cell r="AM31">
            <v>209</v>
          </cell>
          <cell r="AN31">
            <v>-263.60300000000001</v>
          </cell>
          <cell r="AO31">
            <v>-263.60300000000001</v>
          </cell>
          <cell r="AP31">
            <v>0</v>
          </cell>
          <cell r="AQ31">
            <v>18.556999999999999</v>
          </cell>
          <cell r="AR31">
            <v>-132.16</v>
          </cell>
          <cell r="AS31">
            <v>-150</v>
          </cell>
          <cell r="AV31">
            <v>0</v>
          </cell>
          <cell r="AW31">
            <v>45909</v>
          </cell>
          <cell r="AX31">
            <v>45909</v>
          </cell>
          <cell r="AY31">
            <v>45909</v>
          </cell>
          <cell r="BC31" t="str">
            <v>NFT-/XUTR/DEUTH02525224705X</v>
          </cell>
          <cell r="BD31" t="str">
            <v>NFT-/XUTR/DEUTH02525224705X</v>
          </cell>
          <cell r="BE31" t="str">
            <v>NFT-/XUTR/DEUTH02525224705X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142.86000000000001</v>
          </cell>
          <cell r="BP31">
            <v>5</v>
          </cell>
          <cell r="BQ31">
            <v>0</v>
          </cell>
          <cell r="BR31">
            <v>0</v>
          </cell>
          <cell r="BS31">
            <v>0</v>
          </cell>
          <cell r="BT31">
            <v>0.5</v>
          </cell>
          <cell r="BU31">
            <v>0</v>
          </cell>
          <cell r="BV31">
            <v>0</v>
          </cell>
          <cell r="BW31">
            <v>0.1</v>
          </cell>
          <cell r="BX31" t="str">
            <v>Tiny Baby</v>
          </cell>
          <cell r="BY31" t="str">
            <v>Girls</v>
          </cell>
          <cell r="BZ31" t="str">
            <v>External</v>
          </cell>
          <cell r="CA31" t="str">
            <v>Tshirts</v>
          </cell>
          <cell r="CB31" t="str">
            <v>ON_HAND</v>
          </cell>
          <cell r="CC31" t="b">
            <v>0</v>
          </cell>
          <cell r="CD31" t="str">
            <v>**********</v>
          </cell>
          <cell r="CE31">
            <v>560100</v>
          </cell>
          <cell r="CF31" t="str">
            <v>27AXUPC8425A1ZH</v>
          </cell>
          <cell r="CH31" t="str">
            <v>29AAECM9636P1ZJ</v>
          </cell>
          <cell r="CI31" t="str">
            <v>Mumbai</v>
          </cell>
          <cell r="CJ31">
            <v>400013</v>
          </cell>
          <cell r="CK31" t="str">
            <v>maharashtra</v>
          </cell>
          <cell r="CL31" t="str">
            <v>MH</v>
          </cell>
          <cell r="CN31">
            <v>0</v>
          </cell>
          <cell r="CO31">
            <v>17.7</v>
          </cell>
          <cell r="CP31">
            <v>17.7</v>
          </cell>
          <cell r="CQ31">
            <v>0</v>
          </cell>
          <cell r="CR31">
            <v>0</v>
          </cell>
          <cell r="CS31">
            <v>0</v>
          </cell>
          <cell r="CT31">
            <v>490</v>
          </cell>
          <cell r="CU31">
            <v>0.14285999999999999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E31" t="str">
            <v>f3e558ed-0035-4a1d-8fb6-0f7efc0caed7</v>
          </cell>
          <cell r="DF31">
            <v>100074000000</v>
          </cell>
          <cell r="DG31">
            <v>0.71399999999999997</v>
          </cell>
          <cell r="DH31">
            <v>0</v>
          </cell>
          <cell r="DI31">
            <v>0.14299999999999999</v>
          </cell>
          <cell r="DJ31">
            <v>0</v>
          </cell>
          <cell r="DK31" t="str">
            <v>BRONZE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 t="str">
            <v>NA</v>
          </cell>
          <cell r="DU31" t="str">
            <v>NA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-263.60300000000001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 t="str">
            <v>Settled</v>
          </cell>
          <cell r="FH31">
            <v>209</v>
          </cell>
          <cell r="FI31">
            <v>263.60300000000001</v>
          </cell>
          <cell r="FJ31">
            <v>18.556999999999999</v>
          </cell>
          <cell r="FK31">
            <v>132.16</v>
          </cell>
        </row>
        <row r="32">
          <cell r="A32">
            <v>8644874924</v>
          </cell>
          <cell r="B32">
            <v>10644799346</v>
          </cell>
          <cell r="C32" t="str">
            <v>return_refund</v>
          </cell>
          <cell r="D32">
            <v>45909.668749999997</v>
          </cell>
          <cell r="E32">
            <v>45903.465277777781</v>
          </cell>
          <cell r="F32">
            <v>44539</v>
          </cell>
          <cell r="G32" t="str">
            <v>Myntra Designs Pvt Ltd</v>
          </cell>
          <cell r="H32" t="str">
            <v>TIKILHNC96961080</v>
          </cell>
          <cell r="I32" t="str">
            <v>\I2726TK000002733\""</v>
          </cell>
          <cell r="J32">
            <v>8644874924</v>
          </cell>
          <cell r="K32">
            <v>62042300</v>
          </cell>
          <cell r="L32" t="str">
            <v>Apparel</v>
          </cell>
          <cell r="M32" t="str">
            <v>INR</v>
          </cell>
          <cell r="N32">
            <v>2344</v>
          </cell>
          <cell r="O32">
            <v>2344</v>
          </cell>
          <cell r="P32">
            <v>0</v>
          </cell>
          <cell r="Q32">
            <v>4250</v>
          </cell>
          <cell r="R32">
            <v>1700</v>
          </cell>
          <cell r="S32" t="str">
            <v>Inter-State</v>
          </cell>
          <cell r="T32">
            <v>12</v>
          </cell>
          <cell r="U32">
            <v>251.14</v>
          </cell>
          <cell r="V32">
            <v>0</v>
          </cell>
          <cell r="W32">
            <v>0</v>
          </cell>
          <cell r="X32">
            <v>10.464</v>
          </cell>
          <cell r="Y32">
            <v>2.093</v>
          </cell>
          <cell r="AA32">
            <v>0</v>
          </cell>
          <cell r="AB32">
            <v>580.84299999999996</v>
          </cell>
          <cell r="AC32">
            <v>580.84299999999996</v>
          </cell>
          <cell r="AD32">
            <v>593.4</v>
          </cell>
          <cell r="AE32">
            <v>-197.06</v>
          </cell>
          <cell r="AF32">
            <v>167</v>
          </cell>
          <cell r="AG32">
            <v>0</v>
          </cell>
          <cell r="AH32">
            <v>0</v>
          </cell>
          <cell r="AI32">
            <v>0</v>
          </cell>
          <cell r="AJ32">
            <v>30.06</v>
          </cell>
          <cell r="AK32">
            <v>1</v>
          </cell>
          <cell r="AL32" t="str">
            <v>NATIONAL</v>
          </cell>
          <cell r="AM32">
            <v>2550</v>
          </cell>
          <cell r="AN32">
            <v>-1947.66</v>
          </cell>
          <cell r="AO32">
            <v>-1947.66</v>
          </cell>
          <cell r="AP32">
            <v>0</v>
          </cell>
          <cell r="AS32">
            <v>0</v>
          </cell>
          <cell r="AT32">
            <v>593.4</v>
          </cell>
          <cell r="AU32">
            <v>-197.06</v>
          </cell>
          <cell r="AV32">
            <v>-2344</v>
          </cell>
          <cell r="AZ32">
            <v>45922</v>
          </cell>
          <cell r="BA32">
            <v>45922</v>
          </cell>
          <cell r="BB32">
            <v>45922</v>
          </cell>
          <cell r="BF32" t="str">
            <v>NFT-/XUTR/DEUTH025265A108YX</v>
          </cell>
          <cell r="BG32" t="str">
            <v>NFT-/XUTR/DEUTH025265A108YX</v>
          </cell>
          <cell r="BH32" t="str">
            <v>NFT-/XUTR/DEUTH025265A108YX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2092.86</v>
          </cell>
          <cell r="BP32">
            <v>12</v>
          </cell>
          <cell r="BQ32">
            <v>0</v>
          </cell>
          <cell r="BR32">
            <v>0</v>
          </cell>
          <cell r="BS32">
            <v>0</v>
          </cell>
          <cell r="BT32">
            <v>0.5</v>
          </cell>
          <cell r="BU32">
            <v>0</v>
          </cell>
          <cell r="BV32">
            <v>0</v>
          </cell>
          <cell r="BW32">
            <v>0.1</v>
          </cell>
          <cell r="BX32" t="str">
            <v>Tiny Kingdom</v>
          </cell>
          <cell r="BY32" t="str">
            <v>Girls</v>
          </cell>
          <cell r="BZ32" t="str">
            <v>External</v>
          </cell>
          <cell r="CA32" t="str">
            <v>Lehenga Choli</v>
          </cell>
          <cell r="CB32" t="str">
            <v>ON_HAND</v>
          </cell>
          <cell r="CC32" t="b">
            <v>0</v>
          </cell>
          <cell r="CD32" t="str">
            <v>**********</v>
          </cell>
          <cell r="CE32">
            <v>751017</v>
          </cell>
          <cell r="CF32" t="str">
            <v>27AXUPC8425A1ZH</v>
          </cell>
          <cell r="CH32" t="str">
            <v>29AAECM9636P1ZJ</v>
          </cell>
          <cell r="CI32" t="str">
            <v>Mumbai</v>
          </cell>
          <cell r="CJ32">
            <v>400013</v>
          </cell>
          <cell r="CK32" t="str">
            <v>maharashtra</v>
          </cell>
          <cell r="CL32" t="str">
            <v>MH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W32">
            <v>0</v>
          </cell>
          <cell r="CX32">
            <v>580.84299999999996</v>
          </cell>
          <cell r="CY32">
            <v>580.84299999999996</v>
          </cell>
          <cell r="CZ32">
            <v>0</v>
          </cell>
          <cell r="DA32">
            <v>0</v>
          </cell>
          <cell r="DB32">
            <v>0</v>
          </cell>
          <cell r="DC32">
            <v>1700</v>
          </cell>
          <cell r="DD32">
            <v>2.0928599999999999</v>
          </cell>
          <cell r="DE32" t="str">
            <v>2f3d4418-7c93-4e7f-b7f5-7d8a1497c7ac</v>
          </cell>
          <cell r="DF32">
            <v>100076000000</v>
          </cell>
          <cell r="DG32">
            <v>0</v>
          </cell>
          <cell r="DH32">
            <v>10.464</v>
          </cell>
          <cell r="DI32">
            <v>0</v>
          </cell>
          <cell r="DJ32">
            <v>2.093</v>
          </cell>
          <cell r="DK32" t="str">
            <v>BRONZE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 t="str">
            <v>NA</v>
          </cell>
          <cell r="DU32" t="str">
            <v>NA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-1947.66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 t="str">
            <v>Settled</v>
          </cell>
          <cell r="FH32">
            <v>2550</v>
          </cell>
          <cell r="FI32">
            <v>1947.66</v>
          </cell>
          <cell r="FJ32">
            <v>593.4</v>
          </cell>
          <cell r="FK32">
            <v>197.06</v>
          </cell>
        </row>
        <row r="33">
          <cell r="A33">
            <v>8625549457</v>
          </cell>
          <cell r="B33">
            <v>10625474360</v>
          </cell>
          <cell r="C33" t="str">
            <v>return_refund</v>
          </cell>
          <cell r="D33">
            <v>45902.535416666666</v>
          </cell>
          <cell r="E33">
            <v>45890.458333333336</v>
          </cell>
          <cell r="G33" t="str">
            <v>Myntra Designs Pvt Ltd</v>
          </cell>
          <cell r="H33" t="str">
            <v>TIKILHNC106662011</v>
          </cell>
          <cell r="I33" t="str">
            <v>\I2726TK000002519\""</v>
          </cell>
          <cell r="J33">
            <v>8625549457</v>
          </cell>
          <cell r="K33">
            <v>62042300</v>
          </cell>
          <cell r="L33" t="str">
            <v>Apparel</v>
          </cell>
          <cell r="M33" t="str">
            <v>INR</v>
          </cell>
          <cell r="N33">
            <v>2944</v>
          </cell>
          <cell r="O33">
            <v>2751.683</v>
          </cell>
          <cell r="P33">
            <v>192.31700000000001</v>
          </cell>
          <cell r="Q33">
            <v>4500</v>
          </cell>
          <cell r="R33">
            <v>1350</v>
          </cell>
          <cell r="S33" t="str">
            <v>Inter-State</v>
          </cell>
          <cell r="T33">
            <v>12</v>
          </cell>
          <cell r="U33">
            <v>315.43</v>
          </cell>
          <cell r="V33">
            <v>0</v>
          </cell>
          <cell r="W33">
            <v>0</v>
          </cell>
          <cell r="X33">
            <v>13.143000000000001</v>
          </cell>
          <cell r="Y33">
            <v>2.629</v>
          </cell>
          <cell r="AA33">
            <v>0</v>
          </cell>
          <cell r="AB33">
            <v>729.52300000000002</v>
          </cell>
          <cell r="AC33">
            <v>729.52300000000002</v>
          </cell>
          <cell r="AD33">
            <v>745.29499999999996</v>
          </cell>
          <cell r="AE33">
            <v>-197.06</v>
          </cell>
          <cell r="AF33">
            <v>167</v>
          </cell>
          <cell r="AG33">
            <v>0</v>
          </cell>
          <cell r="AH33">
            <v>0</v>
          </cell>
          <cell r="AI33">
            <v>0</v>
          </cell>
          <cell r="AJ33">
            <v>30.06</v>
          </cell>
          <cell r="AK33">
            <v>1</v>
          </cell>
          <cell r="AL33" t="str">
            <v>NATIONAL</v>
          </cell>
          <cell r="AM33">
            <v>3150</v>
          </cell>
          <cell r="AN33">
            <v>-2395.7649999999999</v>
          </cell>
          <cell r="AO33">
            <v>-2395.7649999999999</v>
          </cell>
          <cell r="AP33">
            <v>0</v>
          </cell>
          <cell r="AQ33">
            <v>48.686999999999998</v>
          </cell>
          <cell r="AR33">
            <v>-12.87262</v>
          </cell>
          <cell r="AS33">
            <v>-192.31700000000001</v>
          </cell>
          <cell r="AT33">
            <v>696.60799999999995</v>
          </cell>
          <cell r="AU33">
            <v>-184.18737999999999</v>
          </cell>
          <cell r="AV33">
            <v>-2751.683</v>
          </cell>
          <cell r="AW33">
            <v>45908</v>
          </cell>
          <cell r="AX33">
            <v>45908</v>
          </cell>
          <cell r="AY33">
            <v>45908</v>
          </cell>
          <cell r="AZ33">
            <v>45908</v>
          </cell>
          <cell r="BA33">
            <v>45908</v>
          </cell>
          <cell r="BB33">
            <v>45908</v>
          </cell>
          <cell r="BC33" t="str">
            <v>NFT-/XUTR/DEUTH025251A0L0JX</v>
          </cell>
          <cell r="BD33" t="str">
            <v>NFT-/XUTR/DEUTH025251A0L0JX</v>
          </cell>
          <cell r="BE33" t="str">
            <v>NFT-/XUTR/DEUTH025251A0L0JX</v>
          </cell>
          <cell r="BF33" t="str">
            <v>NFT-/XUTR/DEUTH025251A0HB7X</v>
          </cell>
          <cell r="BG33" t="str">
            <v>NFT-/XUTR/DEUTH025251A0HB7X</v>
          </cell>
          <cell r="BH33" t="str">
            <v>NFT-/XUTR/DEUTH025251A0HB7X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2628.57</v>
          </cell>
          <cell r="BP33">
            <v>12</v>
          </cell>
          <cell r="BQ33">
            <v>0</v>
          </cell>
          <cell r="BR33">
            <v>0</v>
          </cell>
          <cell r="BS33">
            <v>0</v>
          </cell>
          <cell r="BT33">
            <v>0.5</v>
          </cell>
          <cell r="BU33">
            <v>0</v>
          </cell>
          <cell r="BV33">
            <v>0</v>
          </cell>
          <cell r="BW33">
            <v>0.1</v>
          </cell>
          <cell r="BX33" t="str">
            <v>Tiny Kingdom</v>
          </cell>
          <cell r="BY33" t="str">
            <v>Girls</v>
          </cell>
          <cell r="BZ33" t="str">
            <v>External</v>
          </cell>
          <cell r="CA33" t="str">
            <v>Lehenga Choli</v>
          </cell>
          <cell r="CB33" t="str">
            <v>ON_HAND</v>
          </cell>
          <cell r="CC33" t="b">
            <v>0</v>
          </cell>
          <cell r="CD33" t="str">
            <v>**********</v>
          </cell>
          <cell r="CE33">
            <v>221002</v>
          </cell>
          <cell r="CF33" t="str">
            <v>27AXUPC8425A1ZH</v>
          </cell>
          <cell r="CH33" t="str">
            <v>29AAECM9636P1ZJ</v>
          </cell>
          <cell r="CI33" t="str">
            <v>Mumbai</v>
          </cell>
          <cell r="CJ33">
            <v>400013</v>
          </cell>
          <cell r="CK33" t="str">
            <v>maharashtra</v>
          </cell>
          <cell r="CL33" t="str">
            <v>MH</v>
          </cell>
          <cell r="CN33">
            <v>0</v>
          </cell>
          <cell r="CO33">
            <v>47.655999999999999</v>
          </cell>
          <cell r="CP33">
            <v>47.655999999999999</v>
          </cell>
          <cell r="CQ33">
            <v>0</v>
          </cell>
          <cell r="CR33">
            <v>0</v>
          </cell>
          <cell r="CS33">
            <v>0</v>
          </cell>
          <cell r="CT33">
            <v>1350</v>
          </cell>
          <cell r="CU33">
            <v>2.6285699999999999</v>
          </cell>
          <cell r="CW33">
            <v>0</v>
          </cell>
          <cell r="CX33">
            <v>681.86699999999996</v>
          </cell>
          <cell r="CY33">
            <v>681.86699999999996</v>
          </cell>
          <cell r="CZ33">
            <v>0</v>
          </cell>
          <cell r="DA33">
            <v>0</v>
          </cell>
          <cell r="DB33">
            <v>0</v>
          </cell>
          <cell r="DC33">
            <v>1350</v>
          </cell>
          <cell r="DD33">
            <v>2.6285699999999999</v>
          </cell>
          <cell r="DE33" t="str">
            <v>1ad8dc3a-00da-4c4c-aca6-8f22e3800232</v>
          </cell>
          <cell r="DF33">
            <v>100074000000</v>
          </cell>
          <cell r="DG33">
            <v>0.85899999999999999</v>
          </cell>
          <cell r="DH33">
            <v>12.284000000000001</v>
          </cell>
          <cell r="DI33">
            <v>0.17199999999999999</v>
          </cell>
          <cell r="DJ33">
            <v>2.4569999999999999</v>
          </cell>
          <cell r="DK33" t="str">
            <v>BRONZE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 t="str">
            <v>NA</v>
          </cell>
          <cell r="DU33" t="str">
            <v>NA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-2395.7649999999999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 t="str">
            <v>Settled</v>
          </cell>
          <cell r="FH33">
            <v>3150</v>
          </cell>
          <cell r="FI33">
            <v>2395.7649999999999</v>
          </cell>
          <cell r="FJ33">
            <v>745.29499999999996</v>
          </cell>
          <cell r="FK33">
            <v>197.06</v>
          </cell>
        </row>
        <row r="34">
          <cell r="A34">
            <v>8612316632</v>
          </cell>
          <cell r="B34">
            <v>10612242241</v>
          </cell>
          <cell r="C34" t="str">
            <v>return_refund</v>
          </cell>
          <cell r="D34">
            <v>45889.603472222225</v>
          </cell>
          <cell r="E34">
            <v>45880.772916666669</v>
          </cell>
          <cell r="F34">
            <v>44517</v>
          </cell>
          <cell r="G34" t="str">
            <v>Myntra Designs Pvt Ltd</v>
          </cell>
          <cell r="H34" t="str">
            <v>BETYDRSS85575408</v>
          </cell>
          <cell r="I34" t="str">
            <v>\I2726TK000002381\""</v>
          </cell>
          <cell r="J34">
            <v>9753440815</v>
          </cell>
          <cell r="K34">
            <v>62042300</v>
          </cell>
          <cell r="L34" t="str">
            <v>Apparel</v>
          </cell>
          <cell r="M34" t="str">
            <v>INR</v>
          </cell>
          <cell r="N34">
            <v>2494</v>
          </cell>
          <cell r="O34">
            <v>0</v>
          </cell>
          <cell r="P34">
            <v>2494</v>
          </cell>
          <cell r="Q34">
            <v>4500</v>
          </cell>
          <cell r="R34">
            <v>1800</v>
          </cell>
          <cell r="S34" t="str">
            <v>Inter-State</v>
          </cell>
          <cell r="T34">
            <v>12</v>
          </cell>
          <cell r="U34">
            <v>267.20999999999998</v>
          </cell>
          <cell r="V34">
            <v>0</v>
          </cell>
          <cell r="W34">
            <v>0</v>
          </cell>
          <cell r="X34">
            <v>11.134</v>
          </cell>
          <cell r="Y34">
            <v>2.2269999999999999</v>
          </cell>
          <cell r="AA34">
            <v>0</v>
          </cell>
          <cell r="AB34">
            <v>794.58799999999997</v>
          </cell>
          <cell r="AC34">
            <v>794.58799999999997</v>
          </cell>
          <cell r="AD34">
            <v>807.94899999999996</v>
          </cell>
          <cell r="AE34">
            <v>-197.06</v>
          </cell>
          <cell r="AF34">
            <v>167</v>
          </cell>
          <cell r="AG34">
            <v>0</v>
          </cell>
          <cell r="AH34">
            <v>0</v>
          </cell>
          <cell r="AI34">
            <v>0</v>
          </cell>
          <cell r="AJ34">
            <v>30.06</v>
          </cell>
          <cell r="AK34">
            <v>1</v>
          </cell>
          <cell r="AL34" t="str">
            <v>NATIONAL</v>
          </cell>
          <cell r="AM34">
            <v>2700</v>
          </cell>
          <cell r="AN34">
            <v>-1883.1110000000001</v>
          </cell>
          <cell r="AO34">
            <v>-1883.1110000000001</v>
          </cell>
          <cell r="AP34">
            <v>0</v>
          </cell>
          <cell r="AQ34">
            <v>807.94899999999996</v>
          </cell>
          <cell r="AR34">
            <v>-197.06</v>
          </cell>
          <cell r="AS34">
            <v>-2494</v>
          </cell>
          <cell r="AV34">
            <v>0</v>
          </cell>
          <cell r="AW34">
            <v>45903</v>
          </cell>
          <cell r="AX34">
            <v>45903</v>
          </cell>
          <cell r="AY34">
            <v>45903</v>
          </cell>
          <cell r="BC34" t="str">
            <v>NFT-/XUTR/DEUTH025246A0T5UX</v>
          </cell>
          <cell r="BD34" t="str">
            <v>NFT-/XUTR/DEUTH025246A0T5UX</v>
          </cell>
          <cell r="BE34" t="str">
            <v>NFT-/XUTR/DEUTH025246A0T5UX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2226.79</v>
          </cell>
          <cell r="BP34">
            <v>12</v>
          </cell>
          <cell r="BQ34">
            <v>0</v>
          </cell>
          <cell r="BR34">
            <v>0</v>
          </cell>
          <cell r="BS34">
            <v>0</v>
          </cell>
          <cell r="BT34">
            <v>0.5</v>
          </cell>
          <cell r="BU34">
            <v>0</v>
          </cell>
          <cell r="BV34">
            <v>0</v>
          </cell>
          <cell r="BW34">
            <v>0.1</v>
          </cell>
          <cell r="BX34" t="str">
            <v>BETTY</v>
          </cell>
          <cell r="BY34" t="str">
            <v>Girls</v>
          </cell>
          <cell r="BZ34" t="str">
            <v>External</v>
          </cell>
          <cell r="CA34" t="str">
            <v>Dresses</v>
          </cell>
          <cell r="CB34" t="str">
            <v>ON_HAND</v>
          </cell>
          <cell r="CC34" t="b">
            <v>0</v>
          </cell>
          <cell r="CD34" t="str">
            <v>**********</v>
          </cell>
          <cell r="CE34">
            <v>144001</v>
          </cell>
          <cell r="CF34" t="str">
            <v>27AXUPC8425A1ZH</v>
          </cell>
          <cell r="CH34" t="str">
            <v>29AAECM9636P1ZJ</v>
          </cell>
          <cell r="CI34" t="str">
            <v>Mumbai</v>
          </cell>
          <cell r="CJ34">
            <v>400013</v>
          </cell>
          <cell r="CK34" t="str">
            <v>maharashtra</v>
          </cell>
          <cell r="CL34" t="str">
            <v>MH</v>
          </cell>
          <cell r="CN34">
            <v>0</v>
          </cell>
          <cell r="CO34">
            <v>794.58799999999997</v>
          </cell>
          <cell r="CP34">
            <v>794.58799999999997</v>
          </cell>
          <cell r="CQ34">
            <v>0</v>
          </cell>
          <cell r="CR34">
            <v>0</v>
          </cell>
          <cell r="CS34">
            <v>0</v>
          </cell>
          <cell r="CT34">
            <v>1800</v>
          </cell>
          <cell r="CU34">
            <v>2.2267899999999998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E34" t="str">
            <v>77d86d64-9c60-40dd-ad21-79ebfbfbb418</v>
          </cell>
          <cell r="DF34">
            <v>100071000000</v>
          </cell>
          <cell r="DG34">
            <v>11.134</v>
          </cell>
          <cell r="DH34">
            <v>0</v>
          </cell>
          <cell r="DI34">
            <v>2.2269999999999999</v>
          </cell>
          <cell r="DJ34">
            <v>0</v>
          </cell>
          <cell r="DK34" t="str">
            <v>BRONZE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 t="str">
            <v>NA</v>
          </cell>
          <cell r="DU34" t="str">
            <v>NA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EB34">
            <v>0</v>
          </cell>
          <cell r="EC34">
            <v>0</v>
          </cell>
          <cell r="ED34">
            <v>-1883.1110000000001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 t="str">
            <v>Settled</v>
          </cell>
          <cell r="FH34">
            <v>2700</v>
          </cell>
          <cell r="FI34">
            <v>1883.1110000000001</v>
          </cell>
          <cell r="FJ34">
            <v>807.94899999999996</v>
          </cell>
          <cell r="FK34">
            <v>197.06</v>
          </cell>
        </row>
        <row r="35">
          <cell r="A35">
            <v>8605901006</v>
          </cell>
          <cell r="B35">
            <v>10605826884</v>
          </cell>
          <cell r="C35" t="str">
            <v>return_refund</v>
          </cell>
          <cell r="D35">
            <v>45890.593055555553</v>
          </cell>
          <cell r="E35">
            <v>45877.451388888891</v>
          </cell>
          <cell r="G35" t="str">
            <v>Myntra Designs Pvt Ltd</v>
          </cell>
          <cell r="H35" t="str">
            <v>BETYDRSS100320370</v>
          </cell>
          <cell r="I35" t="str">
            <v>\I2726TK000002325\""</v>
          </cell>
          <cell r="J35">
            <v>8605901006</v>
          </cell>
          <cell r="K35">
            <v>62042300</v>
          </cell>
          <cell r="L35" t="str">
            <v>Apparel</v>
          </cell>
          <cell r="M35" t="str">
            <v>INR</v>
          </cell>
          <cell r="N35">
            <v>3294</v>
          </cell>
          <cell r="O35">
            <v>3294</v>
          </cell>
          <cell r="P35">
            <v>0</v>
          </cell>
          <cell r="Q35">
            <v>5000</v>
          </cell>
          <cell r="R35">
            <v>1500</v>
          </cell>
          <cell r="S35" t="str">
            <v>Inter-State</v>
          </cell>
          <cell r="T35">
            <v>12</v>
          </cell>
          <cell r="U35">
            <v>352.93</v>
          </cell>
          <cell r="V35">
            <v>0</v>
          </cell>
          <cell r="W35">
            <v>0</v>
          </cell>
          <cell r="X35">
            <v>14.705</v>
          </cell>
          <cell r="Y35">
            <v>2.9409999999999998</v>
          </cell>
          <cell r="AA35">
            <v>0</v>
          </cell>
          <cell r="AB35">
            <v>1049.4680000000001</v>
          </cell>
          <cell r="AC35">
            <v>1049.4680000000001</v>
          </cell>
          <cell r="AD35">
            <v>1067.114</v>
          </cell>
          <cell r="AE35">
            <v>-197.06</v>
          </cell>
          <cell r="AF35">
            <v>167</v>
          </cell>
          <cell r="AG35">
            <v>0</v>
          </cell>
          <cell r="AH35">
            <v>0</v>
          </cell>
          <cell r="AI35">
            <v>0</v>
          </cell>
          <cell r="AJ35">
            <v>30.06</v>
          </cell>
          <cell r="AK35">
            <v>1</v>
          </cell>
          <cell r="AL35" t="str">
            <v>NATIONAL</v>
          </cell>
          <cell r="AM35">
            <v>3500</v>
          </cell>
          <cell r="AN35">
            <v>-2423.9459999999999</v>
          </cell>
          <cell r="AO35">
            <v>-2423.9459999999999</v>
          </cell>
          <cell r="AP35">
            <v>0</v>
          </cell>
          <cell r="AS35">
            <v>0</v>
          </cell>
          <cell r="AT35">
            <v>1067.114</v>
          </cell>
          <cell r="AU35">
            <v>-197.06</v>
          </cell>
          <cell r="AV35">
            <v>-3294</v>
          </cell>
          <cell r="AZ35">
            <v>45901</v>
          </cell>
          <cell r="BA35">
            <v>45901</v>
          </cell>
          <cell r="BB35">
            <v>45901</v>
          </cell>
          <cell r="BF35" t="str">
            <v>NFT-/XUTR/DEUTH025244A0H8LX</v>
          </cell>
          <cell r="BG35" t="str">
            <v>NFT-/XUTR/DEUTH025244A0H8LX</v>
          </cell>
          <cell r="BH35" t="str">
            <v>NFT-/XUTR/DEUTH025244A0H8LX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2941.07</v>
          </cell>
          <cell r="BP35">
            <v>12</v>
          </cell>
          <cell r="BQ35">
            <v>0</v>
          </cell>
          <cell r="BR35">
            <v>0</v>
          </cell>
          <cell r="BS35">
            <v>0</v>
          </cell>
          <cell r="BT35">
            <v>0.5</v>
          </cell>
          <cell r="BU35">
            <v>0</v>
          </cell>
          <cell r="BV35">
            <v>0</v>
          </cell>
          <cell r="BW35">
            <v>0.1</v>
          </cell>
          <cell r="BX35" t="str">
            <v>BETTY</v>
          </cell>
          <cell r="BY35" t="str">
            <v>Girls</v>
          </cell>
          <cell r="BZ35" t="str">
            <v>External</v>
          </cell>
          <cell r="CA35" t="str">
            <v>Dresses</v>
          </cell>
          <cell r="CB35" t="str">
            <v>ON_HAND</v>
          </cell>
          <cell r="CC35" t="b">
            <v>0</v>
          </cell>
          <cell r="CD35" t="str">
            <v>**********</v>
          </cell>
          <cell r="CE35">
            <v>248001</v>
          </cell>
          <cell r="CF35" t="str">
            <v>27AXUPC8425A1ZH</v>
          </cell>
          <cell r="CH35" t="str">
            <v>29AAECM9636P1ZJ</v>
          </cell>
          <cell r="CI35" t="str">
            <v>Mumbai</v>
          </cell>
          <cell r="CJ35">
            <v>400013</v>
          </cell>
          <cell r="CK35" t="str">
            <v>maharashtra</v>
          </cell>
          <cell r="CL35" t="str">
            <v>MH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W35">
            <v>0</v>
          </cell>
          <cell r="CX35">
            <v>1049.4680000000001</v>
          </cell>
          <cell r="CY35">
            <v>1049.4680000000001</v>
          </cell>
          <cell r="CZ35">
            <v>0</v>
          </cell>
          <cell r="DA35">
            <v>0</v>
          </cell>
          <cell r="DB35">
            <v>0</v>
          </cell>
          <cell r="DC35">
            <v>1500</v>
          </cell>
          <cell r="DD35">
            <v>2.9410699999999999</v>
          </cell>
          <cell r="DE35" t="str">
            <v>1c841ea9-3678-4ec2-a01a-c5a4f9408eec</v>
          </cell>
          <cell r="DF35">
            <v>100071000000</v>
          </cell>
          <cell r="DG35">
            <v>0</v>
          </cell>
          <cell r="DH35">
            <v>14.705</v>
          </cell>
          <cell r="DI35">
            <v>0</v>
          </cell>
          <cell r="DJ35">
            <v>2.9409999999999998</v>
          </cell>
          <cell r="DK35" t="str">
            <v>BRONZE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 t="str">
            <v>NA</v>
          </cell>
          <cell r="DU35" t="str">
            <v>NA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EB35">
            <v>-2423.9459999999999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 t="str">
            <v>Settled</v>
          </cell>
          <cell r="FH35">
            <v>3500</v>
          </cell>
          <cell r="FI35">
            <v>2423.9459999999999</v>
          </cell>
          <cell r="FJ35">
            <v>1067.114</v>
          </cell>
          <cell r="FK35">
            <v>197.06</v>
          </cell>
        </row>
        <row r="36">
          <cell r="A36">
            <v>8622022828</v>
          </cell>
          <cell r="B36">
            <v>10621947902</v>
          </cell>
          <cell r="C36" t="str">
            <v>return_refund</v>
          </cell>
          <cell r="D36">
            <v>45912.663888888892</v>
          </cell>
          <cell r="E36">
            <v>45887.563194444447</v>
          </cell>
          <cell r="F36">
            <v>44527</v>
          </cell>
          <cell r="G36" t="str">
            <v>Myntra Designs Pvt Ltd</v>
          </cell>
          <cell r="H36" t="str">
            <v>TIKICLST103607748</v>
          </cell>
          <cell r="I36" t="str">
            <v>\I2726TK000002462\""</v>
          </cell>
          <cell r="J36">
            <v>8622022828</v>
          </cell>
          <cell r="K36">
            <v>62042300</v>
          </cell>
          <cell r="L36" t="str">
            <v>Apparel</v>
          </cell>
          <cell r="M36" t="str">
            <v>INR</v>
          </cell>
          <cell r="N36">
            <v>3169</v>
          </cell>
          <cell r="O36">
            <v>0</v>
          </cell>
          <cell r="P36">
            <v>3169</v>
          </cell>
          <cell r="Q36">
            <v>4500</v>
          </cell>
          <cell r="R36">
            <v>1125</v>
          </cell>
          <cell r="S36" t="str">
            <v>Intra-State</v>
          </cell>
          <cell r="T36">
            <v>12</v>
          </cell>
          <cell r="U36">
            <v>0</v>
          </cell>
          <cell r="V36">
            <v>169.77</v>
          </cell>
          <cell r="W36">
            <v>169.77</v>
          </cell>
          <cell r="X36">
            <v>14.147</v>
          </cell>
          <cell r="Y36">
            <v>2.8290000000000002</v>
          </cell>
          <cell r="AA36">
            <v>0</v>
          </cell>
          <cell r="AB36">
            <v>822.67200000000003</v>
          </cell>
          <cell r="AC36">
            <v>822.67200000000003</v>
          </cell>
          <cell r="AD36">
            <v>839.64800000000002</v>
          </cell>
          <cell r="AE36">
            <v>-107.38</v>
          </cell>
          <cell r="AF36">
            <v>91</v>
          </cell>
          <cell r="AG36">
            <v>0</v>
          </cell>
          <cell r="AH36">
            <v>0</v>
          </cell>
          <cell r="AI36">
            <v>0</v>
          </cell>
          <cell r="AJ36">
            <v>16.38</v>
          </cell>
          <cell r="AK36">
            <v>1</v>
          </cell>
          <cell r="AL36" t="str">
            <v>LOCAL</v>
          </cell>
          <cell r="AM36">
            <v>3375</v>
          </cell>
          <cell r="AN36">
            <v>-2436.732</v>
          </cell>
          <cell r="AO36">
            <v>-2436.732</v>
          </cell>
          <cell r="AP36">
            <v>0</v>
          </cell>
          <cell r="AQ36">
            <v>839.64800000000002</v>
          </cell>
          <cell r="AR36">
            <v>-107.38</v>
          </cell>
          <cell r="AS36">
            <v>-3169</v>
          </cell>
          <cell r="AV36">
            <v>0</v>
          </cell>
          <cell r="AW36">
            <v>45915</v>
          </cell>
          <cell r="AX36">
            <v>45915</v>
          </cell>
          <cell r="AY36">
            <v>45915</v>
          </cell>
          <cell r="BC36" t="str">
            <v>NFT-/XUTR/DEUTH025258A0IM4X</v>
          </cell>
          <cell r="BD36" t="str">
            <v>NFT-/XUTR/DEUTH025258A0IM4X</v>
          </cell>
          <cell r="BE36" t="str">
            <v>NFT-/XUTR/DEUTH025258A0IM4X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2829.46</v>
          </cell>
          <cell r="BP36">
            <v>0</v>
          </cell>
          <cell r="BQ36">
            <v>6</v>
          </cell>
          <cell r="BR36">
            <v>6</v>
          </cell>
          <cell r="BS36">
            <v>0</v>
          </cell>
          <cell r="BT36">
            <v>0</v>
          </cell>
          <cell r="BU36">
            <v>0.25</v>
          </cell>
          <cell r="BV36">
            <v>0.25</v>
          </cell>
          <cell r="BW36">
            <v>0.1</v>
          </cell>
          <cell r="BX36" t="str">
            <v>Tiny Kingdom</v>
          </cell>
          <cell r="BY36" t="str">
            <v>Girls</v>
          </cell>
          <cell r="BZ36" t="str">
            <v>External</v>
          </cell>
          <cell r="CA36" t="str">
            <v>Kurta Sets</v>
          </cell>
          <cell r="CB36" t="str">
            <v>ON_HAND</v>
          </cell>
          <cell r="CC36" t="b">
            <v>0</v>
          </cell>
          <cell r="CD36" t="str">
            <v>**********</v>
          </cell>
          <cell r="CE36">
            <v>400058</v>
          </cell>
          <cell r="CF36" t="str">
            <v>27AXUPC8425A1ZH</v>
          </cell>
          <cell r="CH36" t="str">
            <v>29AAECM9636P1ZJ</v>
          </cell>
          <cell r="CI36" t="str">
            <v>Mumbai</v>
          </cell>
          <cell r="CJ36">
            <v>400013</v>
          </cell>
          <cell r="CK36" t="str">
            <v>maharashtra</v>
          </cell>
          <cell r="CL36" t="str">
            <v>MH</v>
          </cell>
          <cell r="CN36">
            <v>0</v>
          </cell>
          <cell r="CO36">
            <v>822.67200000000003</v>
          </cell>
          <cell r="CP36">
            <v>822.67200000000003</v>
          </cell>
          <cell r="CQ36">
            <v>0</v>
          </cell>
          <cell r="CR36">
            <v>0</v>
          </cell>
          <cell r="CS36">
            <v>0</v>
          </cell>
          <cell r="CT36">
            <v>1125</v>
          </cell>
          <cell r="CU36">
            <v>2.8294600000000001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E36" t="str">
            <v>1ec23a79-52a8-421b-8a5b-d0bfd2bbe679</v>
          </cell>
          <cell r="DF36">
            <v>100074000000</v>
          </cell>
          <cell r="DG36">
            <v>14.147</v>
          </cell>
          <cell r="DH36">
            <v>0</v>
          </cell>
          <cell r="DI36">
            <v>2.8290000000000002</v>
          </cell>
          <cell r="DJ36">
            <v>0</v>
          </cell>
          <cell r="DK36" t="str">
            <v>BRONZE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 t="str">
            <v>NA</v>
          </cell>
          <cell r="DU36" t="str">
            <v>NA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-2436.732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 t="str">
            <v>Settled</v>
          </cell>
          <cell r="FH36">
            <v>3375</v>
          </cell>
          <cell r="FI36">
            <v>2436.732</v>
          </cell>
          <cell r="FJ36">
            <v>839.64800000000002</v>
          </cell>
          <cell r="FK36">
            <v>107.38</v>
          </cell>
        </row>
        <row r="37">
          <cell r="A37">
            <v>8612636944</v>
          </cell>
          <cell r="B37">
            <v>10612562552</v>
          </cell>
          <cell r="C37" t="str">
            <v>return_refund</v>
          </cell>
          <cell r="D37">
            <v>45887.573611111111</v>
          </cell>
          <cell r="E37">
            <v>45881.472222222219</v>
          </cell>
          <cell r="F37">
            <v>44514</v>
          </cell>
          <cell r="G37" t="str">
            <v>Myntra Designs Pvt Ltd</v>
          </cell>
          <cell r="H37" t="str">
            <v>TIKILHNC91174052</v>
          </cell>
          <cell r="I37" t="str">
            <v>\I2726TK000002393\""</v>
          </cell>
          <cell r="J37">
            <v>9753740224</v>
          </cell>
          <cell r="K37">
            <v>62042300</v>
          </cell>
          <cell r="L37" t="str">
            <v>Apparel</v>
          </cell>
          <cell r="M37" t="str">
            <v>INR</v>
          </cell>
          <cell r="N37">
            <v>1794</v>
          </cell>
          <cell r="O37">
            <v>0</v>
          </cell>
          <cell r="P37">
            <v>1793.99</v>
          </cell>
          <cell r="Q37">
            <v>4000</v>
          </cell>
          <cell r="R37">
            <v>2000</v>
          </cell>
          <cell r="S37" t="str">
            <v>Inter-State</v>
          </cell>
          <cell r="T37">
            <v>12</v>
          </cell>
          <cell r="U37">
            <v>192.21</v>
          </cell>
          <cell r="V37">
            <v>0</v>
          </cell>
          <cell r="W37">
            <v>0</v>
          </cell>
          <cell r="X37">
            <v>8.0090000000000003</v>
          </cell>
          <cell r="Y37">
            <v>1.6020000000000001</v>
          </cell>
          <cell r="AA37">
            <v>0</v>
          </cell>
          <cell r="AB37">
            <v>444.55099999999999</v>
          </cell>
          <cell r="AC37">
            <v>444.55099999999999</v>
          </cell>
          <cell r="AD37">
            <v>454.16199999999998</v>
          </cell>
          <cell r="AE37">
            <v>-132.16</v>
          </cell>
          <cell r="AF37">
            <v>112</v>
          </cell>
          <cell r="AG37">
            <v>0</v>
          </cell>
          <cell r="AH37">
            <v>0</v>
          </cell>
          <cell r="AI37">
            <v>0</v>
          </cell>
          <cell r="AJ37">
            <v>20.16</v>
          </cell>
          <cell r="AK37">
            <v>1</v>
          </cell>
          <cell r="AL37" t="str">
            <v>ZONAL</v>
          </cell>
          <cell r="AM37">
            <v>2000</v>
          </cell>
          <cell r="AN37">
            <v>-1471.9880000000001</v>
          </cell>
          <cell r="AO37">
            <v>-1471.9880000000001</v>
          </cell>
          <cell r="AP37">
            <v>0</v>
          </cell>
          <cell r="AQ37">
            <v>454.16199999999998</v>
          </cell>
          <cell r="AR37">
            <v>-132.16</v>
          </cell>
          <cell r="AS37">
            <v>-1793.99</v>
          </cell>
          <cell r="AV37">
            <v>0</v>
          </cell>
          <cell r="AW37">
            <v>45901</v>
          </cell>
          <cell r="AX37">
            <v>45901</v>
          </cell>
          <cell r="AY37">
            <v>45901</v>
          </cell>
          <cell r="BC37" t="str">
            <v>NFT-/XUTR/DEUTH025244A0LW1X</v>
          </cell>
          <cell r="BD37" t="str">
            <v>NFT-/XUTR/DEUTH025244A0LW1X</v>
          </cell>
          <cell r="BE37" t="str">
            <v>NFT-/XUTR/DEUTH025244A0LW1X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1601.79</v>
          </cell>
          <cell r="BP37">
            <v>12</v>
          </cell>
          <cell r="BQ37">
            <v>0</v>
          </cell>
          <cell r="BR37">
            <v>0</v>
          </cell>
          <cell r="BS37">
            <v>0</v>
          </cell>
          <cell r="BT37">
            <v>0.5</v>
          </cell>
          <cell r="BU37">
            <v>0</v>
          </cell>
          <cell r="BV37">
            <v>0</v>
          </cell>
          <cell r="BW37">
            <v>0.1</v>
          </cell>
          <cell r="BX37" t="str">
            <v>Tiny Kingdom</v>
          </cell>
          <cell r="BY37" t="str">
            <v>Girls</v>
          </cell>
          <cell r="BZ37" t="str">
            <v>External</v>
          </cell>
          <cell r="CA37" t="str">
            <v>Lehenga Choli</v>
          </cell>
          <cell r="CB37" t="str">
            <v>ON_HAND</v>
          </cell>
          <cell r="CC37" t="b">
            <v>0</v>
          </cell>
          <cell r="CD37" t="str">
            <v>**********</v>
          </cell>
          <cell r="CE37">
            <v>395005</v>
          </cell>
          <cell r="CF37" t="str">
            <v>27AXUPC8425A1ZH</v>
          </cell>
          <cell r="CH37" t="str">
            <v>29AAECM9636P1ZJ</v>
          </cell>
          <cell r="CI37" t="str">
            <v>Mumbai</v>
          </cell>
          <cell r="CJ37">
            <v>400013</v>
          </cell>
          <cell r="CK37" t="str">
            <v>maharashtra</v>
          </cell>
          <cell r="CL37" t="str">
            <v>MH</v>
          </cell>
          <cell r="CN37">
            <v>0</v>
          </cell>
          <cell r="CO37">
            <v>444.55099999999999</v>
          </cell>
          <cell r="CP37">
            <v>444.55099999999999</v>
          </cell>
          <cell r="CQ37">
            <v>0</v>
          </cell>
          <cell r="CR37">
            <v>0</v>
          </cell>
          <cell r="CS37">
            <v>0</v>
          </cell>
          <cell r="CT37">
            <v>2000</v>
          </cell>
          <cell r="CU37">
            <v>1.60179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E37" t="str">
            <v>8d793e7d-f08d-4515-9dfd-e5dd36e0418c</v>
          </cell>
          <cell r="DF37">
            <v>100071000000</v>
          </cell>
          <cell r="DG37">
            <v>8.0090000000000003</v>
          </cell>
          <cell r="DH37">
            <v>0</v>
          </cell>
          <cell r="DI37">
            <v>1.6020000000000001</v>
          </cell>
          <cell r="DJ37">
            <v>0</v>
          </cell>
          <cell r="DK37" t="str">
            <v>BRONZE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 t="str">
            <v>NA</v>
          </cell>
          <cell r="DU37" t="str">
            <v>NA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EB37">
            <v>-1471.9880000000001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 t="str">
            <v>Settled</v>
          </cell>
          <cell r="FH37">
            <v>2000</v>
          </cell>
          <cell r="FI37">
            <v>1471.9880000000001</v>
          </cell>
          <cell r="FJ37">
            <v>454.16199999999998</v>
          </cell>
          <cell r="FK37">
            <v>132.16</v>
          </cell>
        </row>
        <row r="38">
          <cell r="A38">
            <v>8640582446</v>
          </cell>
          <cell r="B38">
            <v>10640506910</v>
          </cell>
          <cell r="C38" t="str">
            <v>return_refund</v>
          </cell>
          <cell r="D38">
            <v>45907.201388888891</v>
          </cell>
          <cell r="E38">
            <v>45900.693749999999</v>
          </cell>
          <cell r="G38" t="str">
            <v>Myntra Designs Pvt Ltd</v>
          </cell>
          <cell r="H38" t="str">
            <v>TIKICLST103607745</v>
          </cell>
          <cell r="I38" t="str">
            <v>\I2726TK000002686\""</v>
          </cell>
          <cell r="J38">
            <v>8640582446</v>
          </cell>
          <cell r="K38">
            <v>62042300</v>
          </cell>
          <cell r="L38" t="str">
            <v>Apparel</v>
          </cell>
          <cell r="M38" t="str">
            <v>INR</v>
          </cell>
          <cell r="N38">
            <v>2831</v>
          </cell>
          <cell r="O38">
            <v>2831</v>
          </cell>
          <cell r="P38">
            <v>0</v>
          </cell>
          <cell r="Q38">
            <v>4500</v>
          </cell>
          <cell r="R38">
            <v>1125</v>
          </cell>
          <cell r="S38" t="str">
            <v>Inter-State</v>
          </cell>
          <cell r="T38">
            <v>12</v>
          </cell>
          <cell r="U38">
            <v>303.32</v>
          </cell>
          <cell r="V38">
            <v>0</v>
          </cell>
          <cell r="W38">
            <v>0</v>
          </cell>
          <cell r="X38">
            <v>12.638</v>
          </cell>
          <cell r="Y38">
            <v>2.528</v>
          </cell>
          <cell r="AA38">
            <v>0</v>
          </cell>
          <cell r="AB38">
            <v>734.928</v>
          </cell>
          <cell r="AC38">
            <v>734.928</v>
          </cell>
          <cell r="AD38">
            <v>750.09400000000005</v>
          </cell>
          <cell r="AE38">
            <v>-197.06</v>
          </cell>
          <cell r="AF38">
            <v>167</v>
          </cell>
          <cell r="AG38">
            <v>0</v>
          </cell>
          <cell r="AH38">
            <v>0</v>
          </cell>
          <cell r="AI38">
            <v>0</v>
          </cell>
          <cell r="AJ38">
            <v>30.06</v>
          </cell>
          <cell r="AK38">
            <v>1</v>
          </cell>
          <cell r="AL38" t="str">
            <v>NATIONAL</v>
          </cell>
          <cell r="AM38">
            <v>3037</v>
          </cell>
          <cell r="AN38">
            <v>-2277.9659999999999</v>
          </cell>
          <cell r="AO38">
            <v>-2277.9659999999999</v>
          </cell>
          <cell r="AP38">
            <v>0</v>
          </cell>
          <cell r="AS38">
            <v>0</v>
          </cell>
          <cell r="AT38">
            <v>750.09400000000005</v>
          </cell>
          <cell r="AU38">
            <v>-197.06</v>
          </cell>
          <cell r="AV38">
            <v>-2831</v>
          </cell>
          <cell r="AZ38">
            <v>45919</v>
          </cell>
          <cell r="BA38">
            <v>45919</v>
          </cell>
          <cell r="BB38">
            <v>45919</v>
          </cell>
          <cell r="BF38" t="str">
            <v>NFT-/XUTR/DEUTH025262A0UKTX</v>
          </cell>
          <cell r="BG38" t="str">
            <v>NFT-/XUTR/DEUTH025262A0UKTX</v>
          </cell>
          <cell r="BH38" t="str">
            <v>NFT-/XUTR/DEUTH025262A0UKTX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2527.6799999999998</v>
          </cell>
          <cell r="BP38">
            <v>12</v>
          </cell>
          <cell r="BQ38">
            <v>0</v>
          </cell>
          <cell r="BR38">
            <v>0</v>
          </cell>
          <cell r="BS38">
            <v>0</v>
          </cell>
          <cell r="BT38">
            <v>0.5</v>
          </cell>
          <cell r="BU38">
            <v>0</v>
          </cell>
          <cell r="BV38">
            <v>0</v>
          </cell>
          <cell r="BW38">
            <v>0.1</v>
          </cell>
          <cell r="BX38" t="str">
            <v>Tiny Kingdom</v>
          </cell>
          <cell r="BY38" t="str">
            <v>Girls</v>
          </cell>
          <cell r="BZ38" t="str">
            <v>External</v>
          </cell>
          <cell r="CA38" t="str">
            <v>Kurta Sets</v>
          </cell>
          <cell r="CB38" t="str">
            <v>ON_HAND</v>
          </cell>
          <cell r="CC38" t="b">
            <v>0</v>
          </cell>
          <cell r="CD38" t="str">
            <v>**********</v>
          </cell>
          <cell r="CE38">
            <v>201303</v>
          </cell>
          <cell r="CF38" t="str">
            <v>27AXUPC8425A1ZH</v>
          </cell>
          <cell r="CH38" t="str">
            <v>29AAECM9636P1ZJ</v>
          </cell>
          <cell r="CI38" t="str">
            <v>Mumbai</v>
          </cell>
          <cell r="CJ38">
            <v>400013</v>
          </cell>
          <cell r="CK38" t="str">
            <v>maharashtra</v>
          </cell>
          <cell r="CL38" t="str">
            <v>MH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W38">
            <v>0</v>
          </cell>
          <cell r="CX38">
            <v>734.928</v>
          </cell>
          <cell r="CY38">
            <v>734.928</v>
          </cell>
          <cell r="CZ38">
            <v>0</v>
          </cell>
          <cell r="DA38">
            <v>0</v>
          </cell>
          <cell r="DB38">
            <v>0</v>
          </cell>
          <cell r="DC38">
            <v>1125</v>
          </cell>
          <cell r="DD38">
            <v>2.5276800000000001</v>
          </cell>
          <cell r="DE38" t="str">
            <v>51eb4aa3-4404-4a49-83ca-6f886b294f3b</v>
          </cell>
          <cell r="DF38">
            <v>100076000000</v>
          </cell>
          <cell r="DG38">
            <v>0</v>
          </cell>
          <cell r="DH38">
            <v>12.638</v>
          </cell>
          <cell r="DI38">
            <v>0</v>
          </cell>
          <cell r="DJ38">
            <v>2.528</v>
          </cell>
          <cell r="DK38" t="str">
            <v>BRONZE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 t="str">
            <v>NA</v>
          </cell>
          <cell r="DU38" t="str">
            <v>NA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-2277.9659999999999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 t="str">
            <v>Settled</v>
          </cell>
          <cell r="FH38">
            <v>3037</v>
          </cell>
          <cell r="FI38">
            <v>2277.9659999999999</v>
          </cell>
          <cell r="FJ38">
            <v>750.09400000000005</v>
          </cell>
          <cell r="FK38">
            <v>197.06</v>
          </cell>
        </row>
        <row r="39">
          <cell r="A39">
            <v>8616665867</v>
          </cell>
          <cell r="B39">
            <v>10616591227</v>
          </cell>
          <cell r="C39" t="str">
            <v>return_refund</v>
          </cell>
          <cell r="D39">
            <v>45895.563194444447</v>
          </cell>
          <cell r="E39">
            <v>45883.796527777777</v>
          </cell>
          <cell r="F39">
            <v>44519</v>
          </cell>
          <cell r="G39" t="str">
            <v>Myntra Designs Pvt Ltd</v>
          </cell>
          <cell r="H39" t="str">
            <v>TIKILHNC113581777</v>
          </cell>
          <cell r="I39" t="str">
            <v>\I2726TK000002433\""</v>
          </cell>
          <cell r="J39">
            <v>8616665867</v>
          </cell>
          <cell r="K39">
            <v>62042300</v>
          </cell>
          <cell r="L39" t="str">
            <v>Apparel</v>
          </cell>
          <cell r="M39" t="str">
            <v>INR</v>
          </cell>
          <cell r="N39">
            <v>3194</v>
          </cell>
          <cell r="O39">
            <v>744.02599999999995</v>
          </cell>
          <cell r="P39">
            <v>2449.9740000000002</v>
          </cell>
          <cell r="Q39">
            <v>4000</v>
          </cell>
          <cell r="R39">
            <v>600</v>
          </cell>
          <cell r="S39" t="str">
            <v>Inter-State</v>
          </cell>
          <cell r="T39">
            <v>12</v>
          </cell>
          <cell r="U39">
            <v>342.21</v>
          </cell>
          <cell r="V39">
            <v>0</v>
          </cell>
          <cell r="W39">
            <v>0</v>
          </cell>
          <cell r="X39">
            <v>14.259</v>
          </cell>
          <cell r="Y39">
            <v>2.851</v>
          </cell>
          <cell r="AA39">
            <v>0</v>
          </cell>
          <cell r="AB39">
            <v>791.47299999999996</v>
          </cell>
          <cell r="AC39">
            <v>791.47299999999996</v>
          </cell>
          <cell r="AD39">
            <v>808.58299999999997</v>
          </cell>
          <cell r="AE39">
            <v>-197.06</v>
          </cell>
          <cell r="AF39">
            <v>167</v>
          </cell>
          <cell r="AG39">
            <v>0</v>
          </cell>
          <cell r="AH39">
            <v>0</v>
          </cell>
          <cell r="AI39">
            <v>0</v>
          </cell>
          <cell r="AJ39">
            <v>30.06</v>
          </cell>
          <cell r="AK39">
            <v>1</v>
          </cell>
          <cell r="AL39" t="str">
            <v>NATIONAL</v>
          </cell>
          <cell r="AM39">
            <v>3400</v>
          </cell>
          <cell r="AN39">
            <v>-2582.4769999999999</v>
          </cell>
          <cell r="AO39">
            <v>-2582.4769999999999</v>
          </cell>
          <cell r="AP39">
            <v>0</v>
          </cell>
          <cell r="AQ39">
            <v>620.22699999999998</v>
          </cell>
          <cell r="AR39">
            <v>-151.15564000000001</v>
          </cell>
          <cell r="AS39">
            <v>-2449.9740000000002</v>
          </cell>
          <cell r="AT39">
            <v>188.35599999999999</v>
          </cell>
          <cell r="AU39">
            <v>-45.904359999999997</v>
          </cell>
          <cell r="AV39">
            <v>-744.02599999999995</v>
          </cell>
          <cell r="AW39">
            <v>45904</v>
          </cell>
          <cell r="AX39">
            <v>45904</v>
          </cell>
          <cell r="AY39">
            <v>45904</v>
          </cell>
          <cell r="AZ39">
            <v>45904</v>
          </cell>
          <cell r="BA39">
            <v>45904</v>
          </cell>
          <cell r="BB39">
            <v>45904</v>
          </cell>
          <cell r="BC39" t="str">
            <v>NFT-/XUTR/DEUTH02524724039X</v>
          </cell>
          <cell r="BD39" t="str">
            <v>NFT-/XUTR/DEUTH02524724039X</v>
          </cell>
          <cell r="BE39" t="str">
            <v>NFT-/XUTR/DEUTH02524724039X</v>
          </cell>
          <cell r="BF39" t="str">
            <v>NFT-/XUTR/DEUTH02524710194X</v>
          </cell>
          <cell r="BG39" t="str">
            <v>NFT-/XUTR/DEUTH02524710194X</v>
          </cell>
          <cell r="BH39" t="str">
            <v>NFT-/XUTR/DEUTH02524710194X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2851.79</v>
          </cell>
          <cell r="BP39">
            <v>12</v>
          </cell>
          <cell r="BQ39">
            <v>0</v>
          </cell>
          <cell r="BR39">
            <v>0</v>
          </cell>
          <cell r="BS39">
            <v>0</v>
          </cell>
          <cell r="BT39">
            <v>0.5</v>
          </cell>
          <cell r="BU39">
            <v>0</v>
          </cell>
          <cell r="BV39">
            <v>0</v>
          </cell>
          <cell r="BW39">
            <v>0.1</v>
          </cell>
          <cell r="BX39" t="str">
            <v>Tiny Kingdom</v>
          </cell>
          <cell r="BY39" t="str">
            <v>Girls</v>
          </cell>
          <cell r="BZ39" t="str">
            <v>External</v>
          </cell>
          <cell r="CA39" t="str">
            <v>Lehenga Choli</v>
          </cell>
          <cell r="CB39" t="str">
            <v>ON_HAND</v>
          </cell>
          <cell r="CC39" t="b">
            <v>0</v>
          </cell>
          <cell r="CD39" t="str">
            <v>**********</v>
          </cell>
          <cell r="CE39">
            <v>250002</v>
          </cell>
          <cell r="CF39" t="str">
            <v>27AXUPC8425A1ZH</v>
          </cell>
          <cell r="CH39" t="str">
            <v>29AAECM9636P1ZJ</v>
          </cell>
          <cell r="CI39" t="str">
            <v>Mumbai</v>
          </cell>
          <cell r="CJ39">
            <v>400013</v>
          </cell>
          <cell r="CK39" t="str">
            <v>maharashtra</v>
          </cell>
          <cell r="CL39" t="str">
            <v>MH</v>
          </cell>
          <cell r="CN39">
            <v>0</v>
          </cell>
          <cell r="CO39">
            <v>607.10299999999995</v>
          </cell>
          <cell r="CP39">
            <v>607.10299999999995</v>
          </cell>
          <cell r="CQ39">
            <v>0</v>
          </cell>
          <cell r="CR39">
            <v>0</v>
          </cell>
          <cell r="CS39">
            <v>0</v>
          </cell>
          <cell r="CT39">
            <v>600</v>
          </cell>
          <cell r="CU39">
            <v>2.8517899999999998</v>
          </cell>
          <cell r="CW39">
            <v>0</v>
          </cell>
          <cell r="CX39">
            <v>184.37</v>
          </cell>
          <cell r="CY39">
            <v>184.37</v>
          </cell>
          <cell r="CZ39">
            <v>0</v>
          </cell>
          <cell r="DA39">
            <v>0</v>
          </cell>
          <cell r="DB39">
            <v>0</v>
          </cell>
          <cell r="DC39">
            <v>600</v>
          </cell>
          <cell r="DD39">
            <v>2.8517899999999998</v>
          </cell>
          <cell r="DE39" t="str">
            <v>597bdd9d-3e8d-46d5-a436-2a463e69ee35</v>
          </cell>
          <cell r="DF39">
            <v>100073000000</v>
          </cell>
          <cell r="DG39">
            <v>10.936999999999999</v>
          </cell>
          <cell r="DH39">
            <v>3.3220000000000001</v>
          </cell>
          <cell r="DI39">
            <v>2.1869999999999998</v>
          </cell>
          <cell r="DJ39">
            <v>0.66400000000000003</v>
          </cell>
          <cell r="DK39" t="str">
            <v>BRONZE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 t="str">
            <v>NA</v>
          </cell>
          <cell r="DU39" t="str">
            <v>NA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-2582.4769999999999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 t="str">
            <v>Settled</v>
          </cell>
          <cell r="FH39">
            <v>3400</v>
          </cell>
          <cell r="FI39">
            <v>2582.4769999999999</v>
          </cell>
          <cell r="FJ39">
            <v>808.58299999999997</v>
          </cell>
          <cell r="FK39">
            <v>197.06</v>
          </cell>
        </row>
        <row r="40">
          <cell r="A40">
            <v>8640972995</v>
          </cell>
          <cell r="B40">
            <v>10640897438</v>
          </cell>
          <cell r="C40" t="str">
            <v>return_refund</v>
          </cell>
          <cell r="D40">
            <v>45909.631249999999</v>
          </cell>
          <cell r="E40">
            <v>45901.459027777775</v>
          </cell>
          <cell r="F40">
            <v>44536</v>
          </cell>
          <cell r="G40" t="str">
            <v>Myntra Designs Pvt Ltd</v>
          </cell>
          <cell r="H40" t="str">
            <v>TIKIDRSS113491286</v>
          </cell>
          <cell r="I40" t="str">
            <v>\I2726TK000002692\""</v>
          </cell>
          <cell r="J40">
            <v>8640972995</v>
          </cell>
          <cell r="K40">
            <v>62042300</v>
          </cell>
          <cell r="L40" t="str">
            <v>Apparel</v>
          </cell>
          <cell r="M40" t="str">
            <v>INR</v>
          </cell>
          <cell r="N40">
            <v>3056</v>
          </cell>
          <cell r="O40">
            <v>0</v>
          </cell>
          <cell r="P40">
            <v>3056</v>
          </cell>
          <cell r="Q40">
            <v>3750</v>
          </cell>
          <cell r="R40">
            <v>488</v>
          </cell>
          <cell r="S40" t="str">
            <v>Inter-State</v>
          </cell>
          <cell r="T40">
            <v>12</v>
          </cell>
          <cell r="U40">
            <v>327.43</v>
          </cell>
          <cell r="V40">
            <v>0</v>
          </cell>
          <cell r="W40">
            <v>0</v>
          </cell>
          <cell r="X40">
            <v>13.643000000000001</v>
          </cell>
          <cell r="Y40">
            <v>2.7290000000000001</v>
          </cell>
          <cell r="AA40">
            <v>0</v>
          </cell>
          <cell r="AB40">
            <v>649.09400000000005</v>
          </cell>
          <cell r="AC40">
            <v>649.09400000000005</v>
          </cell>
          <cell r="AD40">
            <v>665.46600000000001</v>
          </cell>
          <cell r="AE40">
            <v>-197.06</v>
          </cell>
          <cell r="AF40">
            <v>167</v>
          </cell>
          <cell r="AG40">
            <v>0</v>
          </cell>
          <cell r="AH40">
            <v>0</v>
          </cell>
          <cell r="AI40">
            <v>0</v>
          </cell>
          <cell r="AJ40">
            <v>30.06</v>
          </cell>
          <cell r="AK40">
            <v>1</v>
          </cell>
          <cell r="AL40" t="str">
            <v>NATIONAL</v>
          </cell>
          <cell r="AM40">
            <v>3262</v>
          </cell>
          <cell r="AN40">
            <v>-2587.5940000000001</v>
          </cell>
          <cell r="AO40">
            <v>-2587.5940000000001</v>
          </cell>
          <cell r="AP40">
            <v>0</v>
          </cell>
          <cell r="AQ40">
            <v>665.46600000000001</v>
          </cell>
          <cell r="AR40">
            <v>-197.06</v>
          </cell>
          <cell r="AS40">
            <v>-3056</v>
          </cell>
          <cell r="AV40">
            <v>0</v>
          </cell>
          <cell r="AW40">
            <v>45922</v>
          </cell>
          <cell r="AX40">
            <v>45922</v>
          </cell>
          <cell r="AY40">
            <v>45922</v>
          </cell>
          <cell r="BC40" t="str">
            <v>NFT-/XUTR/DEUTH025265A10GKX</v>
          </cell>
          <cell r="BD40" t="str">
            <v>NFT-/XUTR/DEUTH025265A10GKX</v>
          </cell>
          <cell r="BE40" t="str">
            <v>NFT-/XUTR/DEUTH025265A10GKX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2728.57</v>
          </cell>
          <cell r="BP40">
            <v>12</v>
          </cell>
          <cell r="BQ40">
            <v>0</v>
          </cell>
          <cell r="BR40">
            <v>0</v>
          </cell>
          <cell r="BS40">
            <v>0</v>
          </cell>
          <cell r="BT40">
            <v>0.5</v>
          </cell>
          <cell r="BU40">
            <v>0</v>
          </cell>
          <cell r="BV40">
            <v>0</v>
          </cell>
          <cell r="BW40">
            <v>0.1</v>
          </cell>
          <cell r="BX40" t="str">
            <v>Tiny Kingdom</v>
          </cell>
          <cell r="BY40" t="str">
            <v>Girls</v>
          </cell>
          <cell r="BZ40" t="str">
            <v>External</v>
          </cell>
          <cell r="CA40" t="str">
            <v>Dresses</v>
          </cell>
          <cell r="CB40" t="str">
            <v>ON_HAND</v>
          </cell>
          <cell r="CC40" t="b">
            <v>0</v>
          </cell>
          <cell r="CD40" t="str">
            <v>**********</v>
          </cell>
          <cell r="CE40">
            <v>201305</v>
          </cell>
          <cell r="CF40" t="str">
            <v>27AXUPC8425A1ZH</v>
          </cell>
          <cell r="CH40" t="str">
            <v>29AAECM9636P1ZJ</v>
          </cell>
          <cell r="CI40" t="str">
            <v>Mumbai</v>
          </cell>
          <cell r="CJ40">
            <v>400013</v>
          </cell>
          <cell r="CK40" t="str">
            <v>maharashtra</v>
          </cell>
          <cell r="CL40" t="str">
            <v>MH</v>
          </cell>
          <cell r="CN40">
            <v>0</v>
          </cell>
          <cell r="CO40">
            <v>649.09400000000005</v>
          </cell>
          <cell r="CP40">
            <v>649.09400000000005</v>
          </cell>
          <cell r="CQ40">
            <v>0</v>
          </cell>
          <cell r="CR40">
            <v>0</v>
          </cell>
          <cell r="CS40">
            <v>0</v>
          </cell>
          <cell r="CT40">
            <v>488</v>
          </cell>
          <cell r="CU40">
            <v>2.7285699999999999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E40" t="str">
            <v>2d8b8337-951a-4291-bf26-05381f9ad051</v>
          </cell>
          <cell r="DF40">
            <v>100077000000</v>
          </cell>
          <cell r="DG40">
            <v>13.643000000000001</v>
          </cell>
          <cell r="DH40">
            <v>0</v>
          </cell>
          <cell r="DI40">
            <v>2.7290000000000001</v>
          </cell>
          <cell r="DJ40">
            <v>0</v>
          </cell>
          <cell r="DK40" t="str">
            <v>BRONZE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 t="str">
            <v>NA</v>
          </cell>
          <cell r="DU40" t="str">
            <v>NA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-2587.5940000000001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 t="str">
            <v>Settled</v>
          </cell>
          <cell r="FH40">
            <v>3262</v>
          </cell>
          <cell r="FI40">
            <v>2587.5940000000001</v>
          </cell>
          <cell r="FJ40">
            <v>665.46600000000001</v>
          </cell>
          <cell r="FK40">
            <v>197.06</v>
          </cell>
        </row>
        <row r="41">
          <cell r="A41">
            <v>8641769544</v>
          </cell>
          <cell r="B41">
            <v>10641693973</v>
          </cell>
          <cell r="C41" t="str">
            <v>return_refund</v>
          </cell>
          <cell r="D41">
            <v>45912.430555555555</v>
          </cell>
          <cell r="E41">
            <v>45901.459027777775</v>
          </cell>
          <cell r="F41">
            <v>44539</v>
          </cell>
          <cell r="G41" t="str">
            <v>Myntra Designs Pvt Ltd</v>
          </cell>
          <cell r="H41" t="str">
            <v>TIKILHNC103613424</v>
          </cell>
          <cell r="I41" t="str">
            <v>\I2726TK000002696\""</v>
          </cell>
          <cell r="J41">
            <v>8641769544</v>
          </cell>
          <cell r="K41">
            <v>62042300</v>
          </cell>
          <cell r="L41" t="str">
            <v>Apparel</v>
          </cell>
          <cell r="M41" t="str">
            <v>INR</v>
          </cell>
          <cell r="N41">
            <v>3294</v>
          </cell>
          <cell r="O41">
            <v>3294</v>
          </cell>
          <cell r="P41">
            <v>0</v>
          </cell>
          <cell r="Q41">
            <v>5000</v>
          </cell>
          <cell r="R41">
            <v>1500</v>
          </cell>
          <cell r="S41" t="str">
            <v>Inter-State</v>
          </cell>
          <cell r="T41">
            <v>12</v>
          </cell>
          <cell r="U41">
            <v>352.93</v>
          </cell>
          <cell r="V41">
            <v>0</v>
          </cell>
          <cell r="W41">
            <v>0</v>
          </cell>
          <cell r="X41">
            <v>14.705</v>
          </cell>
          <cell r="Y41">
            <v>2.9409999999999998</v>
          </cell>
          <cell r="AA41">
            <v>0</v>
          </cell>
          <cell r="AB41">
            <v>816.25300000000004</v>
          </cell>
          <cell r="AC41">
            <v>816.25300000000004</v>
          </cell>
          <cell r="AD41">
            <v>833.899</v>
          </cell>
          <cell r="AE41">
            <v>-197.06</v>
          </cell>
          <cell r="AF41">
            <v>167</v>
          </cell>
          <cell r="AG41">
            <v>0</v>
          </cell>
          <cell r="AH41">
            <v>0</v>
          </cell>
          <cell r="AI41">
            <v>0</v>
          </cell>
          <cell r="AJ41">
            <v>30.06</v>
          </cell>
          <cell r="AK41">
            <v>1</v>
          </cell>
          <cell r="AL41" t="str">
            <v>NATIONAL</v>
          </cell>
          <cell r="AM41">
            <v>3500</v>
          </cell>
          <cell r="AN41">
            <v>-2657.1610000000001</v>
          </cell>
          <cell r="AO41">
            <v>-2657.1610000000001</v>
          </cell>
          <cell r="AP41">
            <v>0</v>
          </cell>
          <cell r="AS41">
            <v>0</v>
          </cell>
          <cell r="AT41">
            <v>833.899</v>
          </cell>
          <cell r="AU41">
            <v>-197.06</v>
          </cell>
          <cell r="AV41">
            <v>-3294</v>
          </cell>
          <cell r="AZ41">
            <v>45922</v>
          </cell>
          <cell r="BA41">
            <v>45922</v>
          </cell>
          <cell r="BB41">
            <v>45922</v>
          </cell>
          <cell r="BF41" t="str">
            <v>NFT-/XUTR/DEUTH025265A108YX</v>
          </cell>
          <cell r="BG41" t="str">
            <v>NFT-/XUTR/DEUTH025265A108YX</v>
          </cell>
          <cell r="BH41" t="str">
            <v>NFT-/XUTR/DEUTH025265A108YX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2941.07</v>
          </cell>
          <cell r="BP41">
            <v>12</v>
          </cell>
          <cell r="BQ41">
            <v>0</v>
          </cell>
          <cell r="BR41">
            <v>0</v>
          </cell>
          <cell r="BS41">
            <v>0</v>
          </cell>
          <cell r="BT41">
            <v>0.5</v>
          </cell>
          <cell r="BU41">
            <v>0</v>
          </cell>
          <cell r="BV41">
            <v>0</v>
          </cell>
          <cell r="BW41">
            <v>0.1</v>
          </cell>
          <cell r="BX41" t="str">
            <v>Tiny Kingdom</v>
          </cell>
          <cell r="BY41" t="str">
            <v>Girls</v>
          </cell>
          <cell r="BZ41" t="str">
            <v>External</v>
          </cell>
          <cell r="CA41" t="str">
            <v>Lehenga Choli</v>
          </cell>
          <cell r="CB41" t="str">
            <v>ON_HAND</v>
          </cell>
          <cell r="CC41" t="b">
            <v>0</v>
          </cell>
          <cell r="CD41" t="str">
            <v>**********</v>
          </cell>
          <cell r="CE41">
            <v>125001</v>
          </cell>
          <cell r="CF41" t="str">
            <v>27AXUPC8425A1ZH</v>
          </cell>
          <cell r="CH41" t="str">
            <v>29AAECM9636P1ZJ</v>
          </cell>
          <cell r="CI41" t="str">
            <v>Mumbai</v>
          </cell>
          <cell r="CJ41">
            <v>400013</v>
          </cell>
          <cell r="CK41" t="str">
            <v>maharashtra</v>
          </cell>
          <cell r="CL41" t="str">
            <v>MH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W41">
            <v>0</v>
          </cell>
          <cell r="CX41">
            <v>816.25300000000004</v>
          </cell>
          <cell r="CY41">
            <v>816.25300000000004</v>
          </cell>
          <cell r="CZ41">
            <v>0</v>
          </cell>
          <cell r="DA41">
            <v>0</v>
          </cell>
          <cell r="DB41">
            <v>0</v>
          </cell>
          <cell r="DC41">
            <v>1500</v>
          </cell>
          <cell r="DD41">
            <v>2.9410699999999999</v>
          </cell>
          <cell r="DE41" t="str">
            <v>c79c43ed-012d-423c-992c-cff4f972a3a4</v>
          </cell>
          <cell r="DF41">
            <v>100077000000</v>
          </cell>
          <cell r="DG41">
            <v>0</v>
          </cell>
          <cell r="DH41">
            <v>14.705</v>
          </cell>
          <cell r="DI41">
            <v>0</v>
          </cell>
          <cell r="DJ41">
            <v>2.9409999999999998</v>
          </cell>
          <cell r="DK41" t="str">
            <v>BRONZE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 t="str">
            <v>NA</v>
          </cell>
          <cell r="DU41" t="str">
            <v>NA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-2657.1610000000001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 t="str">
            <v>Settled</v>
          </cell>
          <cell r="FH41">
            <v>3500</v>
          </cell>
          <cell r="FI41">
            <v>2657.1610000000001</v>
          </cell>
          <cell r="FJ41">
            <v>833.899</v>
          </cell>
          <cell r="FK41">
            <v>197.06</v>
          </cell>
        </row>
        <row r="42">
          <cell r="A42">
            <v>8612636946</v>
          </cell>
          <cell r="B42">
            <v>10612562554</v>
          </cell>
          <cell r="C42" t="str">
            <v>return_refund</v>
          </cell>
          <cell r="D42">
            <v>45887.574999999997</v>
          </cell>
          <cell r="E42">
            <v>45881.472222222219</v>
          </cell>
          <cell r="F42">
            <v>44516</v>
          </cell>
          <cell r="G42" t="str">
            <v>Myntra Designs Pvt Ltd</v>
          </cell>
          <cell r="H42" t="str">
            <v>TIKILHNC101907529</v>
          </cell>
          <cell r="I42" t="str">
            <v>\I2726TK000002393\""</v>
          </cell>
          <cell r="J42">
            <v>9753740224</v>
          </cell>
          <cell r="K42">
            <v>62042300</v>
          </cell>
          <cell r="L42" t="str">
            <v>Apparel</v>
          </cell>
          <cell r="M42" t="str">
            <v>INR</v>
          </cell>
          <cell r="N42">
            <v>1079</v>
          </cell>
          <cell r="O42">
            <v>0</v>
          </cell>
          <cell r="P42">
            <v>1079</v>
          </cell>
          <cell r="Q42">
            <v>2500</v>
          </cell>
          <cell r="R42">
            <v>1250</v>
          </cell>
          <cell r="S42" t="str">
            <v>Inter-State</v>
          </cell>
          <cell r="T42">
            <v>12</v>
          </cell>
          <cell r="U42">
            <v>115.61</v>
          </cell>
          <cell r="V42">
            <v>0</v>
          </cell>
          <cell r="W42">
            <v>0</v>
          </cell>
          <cell r="X42">
            <v>4.8170000000000002</v>
          </cell>
          <cell r="Y42">
            <v>0.96299999999999997</v>
          </cell>
          <cell r="AA42">
            <v>0</v>
          </cell>
          <cell r="AB42">
            <v>267.37599999999998</v>
          </cell>
          <cell r="AC42">
            <v>267.37599999999998</v>
          </cell>
          <cell r="AD42">
            <v>273.15600000000001</v>
          </cell>
          <cell r="AE42">
            <v>-132.16</v>
          </cell>
          <cell r="AF42">
            <v>112</v>
          </cell>
          <cell r="AG42">
            <v>0</v>
          </cell>
          <cell r="AH42">
            <v>0</v>
          </cell>
          <cell r="AI42">
            <v>0</v>
          </cell>
          <cell r="AJ42">
            <v>20.16</v>
          </cell>
          <cell r="AK42">
            <v>1</v>
          </cell>
          <cell r="AL42" t="str">
            <v>ZONAL</v>
          </cell>
          <cell r="AM42">
            <v>1250</v>
          </cell>
          <cell r="AN42">
            <v>-938.00400000000002</v>
          </cell>
          <cell r="AO42">
            <v>-938.00400000000002</v>
          </cell>
          <cell r="AP42">
            <v>0</v>
          </cell>
          <cell r="AQ42">
            <v>273.15600000000001</v>
          </cell>
          <cell r="AR42">
            <v>-132.16</v>
          </cell>
          <cell r="AS42">
            <v>-1079</v>
          </cell>
          <cell r="AV42">
            <v>0</v>
          </cell>
          <cell r="AW42">
            <v>45901</v>
          </cell>
          <cell r="AX42">
            <v>45901</v>
          </cell>
          <cell r="AY42">
            <v>45901</v>
          </cell>
          <cell r="BC42" t="str">
            <v>NFT-/XUTR/DEUTH025244A0LW1X</v>
          </cell>
          <cell r="BD42" t="str">
            <v>NFT-/XUTR/DEUTH025244A0LW1X</v>
          </cell>
          <cell r="BE42" t="str">
            <v>NFT-/XUTR/DEUTH025244A0LW1X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963.39</v>
          </cell>
          <cell r="BP42">
            <v>12</v>
          </cell>
          <cell r="BQ42">
            <v>0</v>
          </cell>
          <cell r="BR42">
            <v>0</v>
          </cell>
          <cell r="BS42">
            <v>0</v>
          </cell>
          <cell r="BT42">
            <v>0.5</v>
          </cell>
          <cell r="BU42">
            <v>0</v>
          </cell>
          <cell r="BV42">
            <v>0</v>
          </cell>
          <cell r="BW42">
            <v>0.1</v>
          </cell>
          <cell r="BX42" t="str">
            <v>Tiny Kingdom</v>
          </cell>
          <cell r="BY42" t="str">
            <v>Girls</v>
          </cell>
          <cell r="BZ42" t="str">
            <v>External</v>
          </cell>
          <cell r="CA42" t="str">
            <v>Lehenga Choli</v>
          </cell>
          <cell r="CB42" t="str">
            <v>ON_HAND</v>
          </cell>
          <cell r="CC42" t="b">
            <v>0</v>
          </cell>
          <cell r="CD42" t="str">
            <v>**********</v>
          </cell>
          <cell r="CE42">
            <v>395005</v>
          </cell>
          <cell r="CF42" t="str">
            <v>27AXUPC8425A1ZH</v>
          </cell>
          <cell r="CH42" t="str">
            <v>29AAECM9636P1ZJ</v>
          </cell>
          <cell r="CI42" t="str">
            <v>Mumbai</v>
          </cell>
          <cell r="CJ42">
            <v>400013</v>
          </cell>
          <cell r="CK42" t="str">
            <v>maharashtra</v>
          </cell>
          <cell r="CL42" t="str">
            <v>MH</v>
          </cell>
          <cell r="CN42">
            <v>0</v>
          </cell>
          <cell r="CO42">
            <v>267.37599999999998</v>
          </cell>
          <cell r="CP42">
            <v>267.37599999999998</v>
          </cell>
          <cell r="CQ42">
            <v>0</v>
          </cell>
          <cell r="CR42">
            <v>0</v>
          </cell>
          <cell r="CS42">
            <v>0</v>
          </cell>
          <cell r="CT42">
            <v>1250</v>
          </cell>
          <cell r="CU42">
            <v>0.96338999999999997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E42" t="str">
            <v>8d793e7d-f08d-4515-9dfd-e5dd36e0418c</v>
          </cell>
          <cell r="DF42">
            <v>100071000000</v>
          </cell>
          <cell r="DG42">
            <v>4.8170000000000002</v>
          </cell>
          <cell r="DH42">
            <v>0</v>
          </cell>
          <cell r="DI42">
            <v>0.96299999999999997</v>
          </cell>
          <cell r="DJ42">
            <v>0</v>
          </cell>
          <cell r="DK42" t="str">
            <v>BRONZE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 t="str">
            <v>NA</v>
          </cell>
          <cell r="DU42" t="str">
            <v>NA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EB42">
            <v>-938.00400000000002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 t="str">
            <v>Settled</v>
          </cell>
          <cell r="FH42">
            <v>1250</v>
          </cell>
          <cell r="FI42">
            <v>938.00400000000002</v>
          </cell>
          <cell r="FJ42">
            <v>273.15600000000001</v>
          </cell>
          <cell r="FK42">
            <v>132.16</v>
          </cell>
        </row>
        <row r="43">
          <cell r="A43">
            <v>8624683467</v>
          </cell>
          <cell r="B43">
            <v>10624608409</v>
          </cell>
          <cell r="C43" t="str">
            <v>return_refund</v>
          </cell>
          <cell r="D43">
            <v>45900.480555555558</v>
          </cell>
          <cell r="E43">
            <v>45889.78125</v>
          </cell>
          <cell r="G43" t="str">
            <v>Myntra Designs Pvt Ltd</v>
          </cell>
          <cell r="H43" t="str">
            <v>TIKILHNC99925421</v>
          </cell>
          <cell r="I43" t="str">
            <v>\I2726TK000002514\""</v>
          </cell>
          <cell r="J43">
            <v>9757274620</v>
          </cell>
          <cell r="K43">
            <v>62042300</v>
          </cell>
          <cell r="L43" t="str">
            <v>Apparel</v>
          </cell>
          <cell r="M43" t="str">
            <v>INR</v>
          </cell>
          <cell r="N43">
            <v>1794</v>
          </cell>
          <cell r="O43">
            <v>0</v>
          </cell>
          <cell r="P43">
            <v>1794</v>
          </cell>
          <cell r="Q43">
            <v>4000</v>
          </cell>
          <cell r="R43">
            <v>2000</v>
          </cell>
          <cell r="S43" t="str">
            <v>Intra-State</v>
          </cell>
          <cell r="T43">
            <v>12</v>
          </cell>
          <cell r="U43">
            <v>0</v>
          </cell>
          <cell r="V43">
            <v>96.11</v>
          </cell>
          <cell r="W43">
            <v>96.11</v>
          </cell>
          <cell r="X43">
            <v>8.0090000000000003</v>
          </cell>
          <cell r="Y43">
            <v>1.6020000000000001</v>
          </cell>
          <cell r="AA43">
            <v>0</v>
          </cell>
          <cell r="AB43">
            <v>444.553</v>
          </cell>
          <cell r="AC43">
            <v>444.553</v>
          </cell>
          <cell r="AD43">
            <v>454.16399999999999</v>
          </cell>
          <cell r="AE43">
            <v>-107.38</v>
          </cell>
          <cell r="AF43">
            <v>91</v>
          </cell>
          <cell r="AG43">
            <v>0</v>
          </cell>
          <cell r="AH43">
            <v>0</v>
          </cell>
          <cell r="AI43">
            <v>0</v>
          </cell>
          <cell r="AJ43">
            <v>16.38</v>
          </cell>
          <cell r="AK43">
            <v>1</v>
          </cell>
          <cell r="AL43" t="str">
            <v>LOCAL</v>
          </cell>
          <cell r="AM43">
            <v>2000</v>
          </cell>
          <cell r="AN43">
            <v>-1447.2159999999999</v>
          </cell>
          <cell r="AO43">
            <v>-1447.2159999999999</v>
          </cell>
          <cell r="AP43">
            <v>0</v>
          </cell>
          <cell r="AQ43">
            <v>454.16399999999999</v>
          </cell>
          <cell r="AR43">
            <v>-107.38</v>
          </cell>
          <cell r="AS43">
            <v>-1794</v>
          </cell>
          <cell r="AV43">
            <v>0</v>
          </cell>
          <cell r="AW43">
            <v>45908</v>
          </cell>
          <cell r="AX43">
            <v>45908</v>
          </cell>
          <cell r="AY43">
            <v>45908</v>
          </cell>
          <cell r="BC43" t="str">
            <v>NFT-/XUTR/DEUTH025251A0L0JX</v>
          </cell>
          <cell r="BD43" t="str">
            <v>NFT-/XUTR/DEUTH025251A0L0JX</v>
          </cell>
          <cell r="BE43" t="str">
            <v>NFT-/XUTR/DEUTH025251A0L0JX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1601.78</v>
          </cell>
          <cell r="BP43">
            <v>0</v>
          </cell>
          <cell r="BQ43">
            <v>6</v>
          </cell>
          <cell r="BR43">
            <v>6</v>
          </cell>
          <cell r="BS43">
            <v>0</v>
          </cell>
          <cell r="BT43">
            <v>0</v>
          </cell>
          <cell r="BU43">
            <v>0.25</v>
          </cell>
          <cell r="BV43">
            <v>0.25</v>
          </cell>
          <cell r="BW43">
            <v>0.1</v>
          </cell>
          <cell r="BX43" t="str">
            <v>Tiny Kingdom</v>
          </cell>
          <cell r="BY43" t="str">
            <v>Girls</v>
          </cell>
          <cell r="BZ43" t="str">
            <v>External</v>
          </cell>
          <cell r="CA43" t="str">
            <v>Lehenga Choli</v>
          </cell>
          <cell r="CB43" t="str">
            <v>ON_HAND</v>
          </cell>
          <cell r="CC43" t="b">
            <v>0</v>
          </cell>
          <cell r="CD43" t="str">
            <v>**********</v>
          </cell>
          <cell r="CE43">
            <v>400706</v>
          </cell>
          <cell r="CF43" t="str">
            <v>27AXUPC8425A1ZH</v>
          </cell>
          <cell r="CH43" t="str">
            <v>29AAECM9636P1ZJ</v>
          </cell>
          <cell r="CI43" t="str">
            <v>Mumbai</v>
          </cell>
          <cell r="CJ43">
            <v>400013</v>
          </cell>
          <cell r="CK43" t="str">
            <v>maharashtra</v>
          </cell>
          <cell r="CL43" t="str">
            <v>MH</v>
          </cell>
          <cell r="CN43">
            <v>0</v>
          </cell>
          <cell r="CO43">
            <v>444.553</v>
          </cell>
          <cell r="CP43">
            <v>444.553</v>
          </cell>
          <cell r="CQ43">
            <v>0</v>
          </cell>
          <cell r="CR43">
            <v>0</v>
          </cell>
          <cell r="CS43">
            <v>0</v>
          </cell>
          <cell r="CT43">
            <v>2000</v>
          </cell>
          <cell r="CU43">
            <v>1.60178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E43" t="str">
            <v>8edff3f8-d9f4-45bf-b74c-929000d16150</v>
          </cell>
          <cell r="DF43">
            <v>100074000000</v>
          </cell>
          <cell r="DG43">
            <v>8.0090000000000003</v>
          </cell>
          <cell r="DH43">
            <v>0</v>
          </cell>
          <cell r="DI43">
            <v>1.6020000000000001</v>
          </cell>
          <cell r="DJ43">
            <v>0</v>
          </cell>
          <cell r="DK43" t="str">
            <v>BRONZE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 t="str">
            <v>NA</v>
          </cell>
          <cell r="DU43" t="str">
            <v>NA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-1447.2159999999999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 t="str">
            <v>Settled</v>
          </cell>
          <cell r="FH43">
            <v>2000</v>
          </cell>
          <cell r="FI43">
            <v>1447.2159999999999</v>
          </cell>
          <cell r="FJ43">
            <v>454.16399999999999</v>
          </cell>
          <cell r="FK43">
            <v>107.38</v>
          </cell>
        </row>
        <row r="44">
          <cell r="A44">
            <v>8652499305</v>
          </cell>
          <cell r="B44">
            <v>10652423543</v>
          </cell>
          <cell r="C44" t="str">
            <v>return_refund</v>
          </cell>
          <cell r="D44">
            <v>45915.425694444442</v>
          </cell>
          <cell r="E44">
            <v>45906.671527777777</v>
          </cell>
          <cell r="G44" t="str">
            <v>Myntra Designs Pvt Ltd</v>
          </cell>
          <cell r="H44" t="str">
            <v>BETYDRSS85575354</v>
          </cell>
          <cell r="I44" t="str">
            <v>\I2726TK000002781\""</v>
          </cell>
          <cell r="J44">
            <v>8652499305</v>
          </cell>
          <cell r="K44">
            <v>62042300</v>
          </cell>
          <cell r="L44" t="str">
            <v>Apparel</v>
          </cell>
          <cell r="M44" t="str">
            <v>INR</v>
          </cell>
          <cell r="N44">
            <v>2344</v>
          </cell>
          <cell r="O44">
            <v>0</v>
          </cell>
          <cell r="P44">
            <v>2344</v>
          </cell>
          <cell r="Q44">
            <v>4250</v>
          </cell>
          <cell r="R44">
            <v>1700</v>
          </cell>
          <cell r="S44" t="str">
            <v>Intra-State</v>
          </cell>
          <cell r="T44">
            <v>12</v>
          </cell>
          <cell r="U44">
            <v>0</v>
          </cell>
          <cell r="V44">
            <v>125.57</v>
          </cell>
          <cell r="W44">
            <v>125.57</v>
          </cell>
          <cell r="X44">
            <v>10.464</v>
          </cell>
          <cell r="Y44">
            <v>2.093</v>
          </cell>
          <cell r="AA44">
            <v>0</v>
          </cell>
          <cell r="AB44">
            <v>746.798</v>
          </cell>
          <cell r="AC44">
            <v>746.798</v>
          </cell>
          <cell r="AD44">
            <v>759.35500000000002</v>
          </cell>
          <cell r="AE44">
            <v>-107.38</v>
          </cell>
          <cell r="AF44">
            <v>91</v>
          </cell>
          <cell r="AG44">
            <v>0</v>
          </cell>
          <cell r="AH44">
            <v>0</v>
          </cell>
          <cell r="AI44">
            <v>0</v>
          </cell>
          <cell r="AJ44">
            <v>16.38</v>
          </cell>
          <cell r="AK44">
            <v>1</v>
          </cell>
          <cell r="AL44" t="str">
            <v>LOCAL</v>
          </cell>
          <cell r="AM44">
            <v>2550</v>
          </cell>
          <cell r="AN44">
            <v>-1692.0250000000001</v>
          </cell>
          <cell r="AO44">
            <v>-1692.0250000000001</v>
          </cell>
          <cell r="AP44">
            <v>0</v>
          </cell>
          <cell r="AQ44">
            <v>759.35500000000002</v>
          </cell>
          <cell r="AR44">
            <v>-107.38</v>
          </cell>
          <cell r="AS44">
            <v>-2344</v>
          </cell>
          <cell r="AV44">
            <v>0</v>
          </cell>
          <cell r="AW44">
            <v>45925</v>
          </cell>
          <cell r="AX44">
            <v>45925</v>
          </cell>
          <cell r="AY44">
            <v>45925</v>
          </cell>
          <cell r="BC44" t="str">
            <v>NFT-/XUTR/DEUTH02526823565X</v>
          </cell>
          <cell r="BD44" t="str">
            <v>NFT-/XUTR/DEUTH02526823565X</v>
          </cell>
          <cell r="BE44" t="str">
            <v>NFT-/XUTR/DEUTH02526823565X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2092.86</v>
          </cell>
          <cell r="BP44">
            <v>0</v>
          </cell>
          <cell r="BQ44">
            <v>6</v>
          </cell>
          <cell r="BR44">
            <v>6</v>
          </cell>
          <cell r="BS44">
            <v>0</v>
          </cell>
          <cell r="BT44">
            <v>0</v>
          </cell>
          <cell r="BU44">
            <v>0.25</v>
          </cell>
          <cell r="BV44">
            <v>0.25</v>
          </cell>
          <cell r="BW44">
            <v>0.1</v>
          </cell>
          <cell r="BX44" t="str">
            <v>BETTY</v>
          </cell>
          <cell r="BY44" t="str">
            <v>Girls</v>
          </cell>
          <cell r="BZ44" t="str">
            <v>External</v>
          </cell>
          <cell r="CA44" t="str">
            <v>Dresses</v>
          </cell>
          <cell r="CB44" t="str">
            <v>ON_HAND</v>
          </cell>
          <cell r="CC44" t="b">
            <v>0</v>
          </cell>
          <cell r="CD44" t="str">
            <v>**********</v>
          </cell>
          <cell r="CE44">
            <v>421301</v>
          </cell>
          <cell r="CF44" t="str">
            <v>27AXUPC8425A1ZH</v>
          </cell>
          <cell r="CH44" t="str">
            <v>29AAECM9636P1ZJ</v>
          </cell>
          <cell r="CI44" t="str">
            <v>Mumbai</v>
          </cell>
          <cell r="CJ44">
            <v>400013</v>
          </cell>
          <cell r="CK44" t="str">
            <v>maharashtra</v>
          </cell>
          <cell r="CL44" t="str">
            <v>MH</v>
          </cell>
          <cell r="CN44">
            <v>0</v>
          </cell>
          <cell r="CO44">
            <v>746.798</v>
          </cell>
          <cell r="CP44">
            <v>746.798</v>
          </cell>
          <cell r="CQ44">
            <v>0</v>
          </cell>
          <cell r="CR44">
            <v>0</v>
          </cell>
          <cell r="CS44">
            <v>0</v>
          </cell>
          <cell r="CT44">
            <v>1700</v>
          </cell>
          <cell r="CU44">
            <v>2.0928599999999999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E44" t="str">
            <v>fbd6fb68-4f17-46f4-a924-0e866d116556</v>
          </cell>
          <cell r="DF44">
            <v>100078000000</v>
          </cell>
          <cell r="DG44">
            <v>10.464</v>
          </cell>
          <cell r="DH44">
            <v>0</v>
          </cell>
          <cell r="DI44">
            <v>2.093</v>
          </cell>
          <cell r="DJ44">
            <v>0</v>
          </cell>
          <cell r="DK44" t="str">
            <v>BRONZE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 t="str">
            <v>NA</v>
          </cell>
          <cell r="DU44" t="str">
            <v>NA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-1692.0250000000001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 t="str">
            <v>Settled</v>
          </cell>
          <cell r="FH44">
            <v>2550</v>
          </cell>
          <cell r="FI44">
            <v>1692.0250000000001</v>
          </cell>
          <cell r="FJ44">
            <v>759.35500000000002</v>
          </cell>
          <cell r="FK44">
            <v>107.38</v>
          </cell>
        </row>
        <row r="45">
          <cell r="A45">
            <v>8625651297</v>
          </cell>
          <cell r="B45">
            <v>10625576200</v>
          </cell>
          <cell r="C45" t="str">
            <v>return_refund</v>
          </cell>
          <cell r="D45">
            <v>45898.54583333333</v>
          </cell>
          <cell r="E45">
            <v>45890.458333333336</v>
          </cell>
          <cell r="G45" t="str">
            <v>Myntra Designs Pvt Ltd</v>
          </cell>
          <cell r="H45" t="str">
            <v>TIKIDRSS101406985</v>
          </cell>
          <cell r="I45" t="str">
            <v>\I2726TK000002520\""</v>
          </cell>
          <cell r="J45">
            <v>8625651297</v>
          </cell>
          <cell r="K45">
            <v>62042300</v>
          </cell>
          <cell r="L45" t="str">
            <v>Apparel</v>
          </cell>
          <cell r="M45" t="str">
            <v>INR</v>
          </cell>
          <cell r="N45">
            <v>2994</v>
          </cell>
          <cell r="O45">
            <v>2994</v>
          </cell>
          <cell r="P45">
            <v>0</v>
          </cell>
          <cell r="Q45">
            <v>4000</v>
          </cell>
          <cell r="R45">
            <v>800</v>
          </cell>
          <cell r="S45" t="str">
            <v>Inter-State</v>
          </cell>
          <cell r="T45">
            <v>12</v>
          </cell>
          <cell r="U45">
            <v>320.79000000000002</v>
          </cell>
          <cell r="V45">
            <v>0</v>
          </cell>
          <cell r="W45">
            <v>0</v>
          </cell>
          <cell r="X45">
            <v>13.366</v>
          </cell>
          <cell r="Y45">
            <v>2.673</v>
          </cell>
          <cell r="AA45">
            <v>0</v>
          </cell>
          <cell r="AB45">
            <v>635.92600000000004</v>
          </cell>
          <cell r="AC45">
            <v>635.92600000000004</v>
          </cell>
          <cell r="AD45">
            <v>651.96500000000003</v>
          </cell>
          <cell r="AE45">
            <v>-197.06</v>
          </cell>
          <cell r="AF45">
            <v>167</v>
          </cell>
          <cell r="AG45">
            <v>0</v>
          </cell>
          <cell r="AH45">
            <v>0</v>
          </cell>
          <cell r="AI45">
            <v>0</v>
          </cell>
          <cell r="AJ45">
            <v>30.06</v>
          </cell>
          <cell r="AK45">
            <v>1</v>
          </cell>
          <cell r="AL45" t="str">
            <v>NATIONAL</v>
          </cell>
          <cell r="AM45">
            <v>3200</v>
          </cell>
          <cell r="AN45">
            <v>-2539.0949999999998</v>
          </cell>
          <cell r="AO45">
            <v>-2539.0949999999998</v>
          </cell>
          <cell r="AP45">
            <v>0</v>
          </cell>
          <cell r="AS45">
            <v>0</v>
          </cell>
          <cell r="AT45">
            <v>651.96500000000003</v>
          </cell>
          <cell r="AU45">
            <v>-197.06</v>
          </cell>
          <cell r="AV45">
            <v>-2994</v>
          </cell>
          <cell r="AZ45">
            <v>45909</v>
          </cell>
          <cell r="BA45">
            <v>45909</v>
          </cell>
          <cell r="BB45">
            <v>45909</v>
          </cell>
          <cell r="BF45" t="str">
            <v>NFT-/XUTR/DEUTH02525209411X</v>
          </cell>
          <cell r="BG45" t="str">
            <v>NFT-/XUTR/DEUTH02525209411X</v>
          </cell>
          <cell r="BH45" t="str">
            <v>NFT-/XUTR/DEUTH02525209411X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2673.21</v>
          </cell>
          <cell r="BP45">
            <v>12</v>
          </cell>
          <cell r="BQ45">
            <v>0</v>
          </cell>
          <cell r="BR45">
            <v>0</v>
          </cell>
          <cell r="BS45">
            <v>0</v>
          </cell>
          <cell r="BT45">
            <v>0.5</v>
          </cell>
          <cell r="BU45">
            <v>0</v>
          </cell>
          <cell r="BV45">
            <v>0</v>
          </cell>
          <cell r="BW45">
            <v>0.1</v>
          </cell>
          <cell r="BX45" t="str">
            <v>Tiny Kingdom</v>
          </cell>
          <cell r="BY45" t="str">
            <v>Girls</v>
          </cell>
          <cell r="BZ45" t="str">
            <v>External</v>
          </cell>
          <cell r="CA45" t="str">
            <v>Dresses</v>
          </cell>
          <cell r="CB45" t="str">
            <v>ON_HAND</v>
          </cell>
          <cell r="CC45" t="b">
            <v>0</v>
          </cell>
          <cell r="CD45" t="str">
            <v>**********</v>
          </cell>
          <cell r="CE45">
            <v>201009</v>
          </cell>
          <cell r="CF45" t="str">
            <v>27AXUPC8425A1ZH</v>
          </cell>
          <cell r="CH45" t="str">
            <v>29AAECM9636P1ZJ</v>
          </cell>
          <cell r="CI45" t="str">
            <v>Mumbai</v>
          </cell>
          <cell r="CJ45">
            <v>400013</v>
          </cell>
          <cell r="CK45" t="str">
            <v>maharashtra</v>
          </cell>
          <cell r="CL45" t="str">
            <v>MH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W45">
            <v>0</v>
          </cell>
          <cell r="CX45">
            <v>635.92600000000004</v>
          </cell>
          <cell r="CY45">
            <v>635.92600000000004</v>
          </cell>
          <cell r="CZ45">
            <v>0</v>
          </cell>
          <cell r="DA45">
            <v>0</v>
          </cell>
          <cell r="DB45">
            <v>0</v>
          </cell>
          <cell r="DC45">
            <v>800</v>
          </cell>
          <cell r="DD45">
            <v>2.6732100000000001</v>
          </cell>
          <cell r="DE45" t="str">
            <v>b197cfb1-60e0-48d7-b27d-797b80e82a0c</v>
          </cell>
          <cell r="DF45">
            <v>100073000000</v>
          </cell>
          <cell r="DG45">
            <v>0</v>
          </cell>
          <cell r="DH45">
            <v>13.366</v>
          </cell>
          <cell r="DI45">
            <v>0</v>
          </cell>
          <cell r="DJ45">
            <v>2.673</v>
          </cell>
          <cell r="DK45" t="str">
            <v>BRONZE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 t="str">
            <v>NA</v>
          </cell>
          <cell r="DU45" t="str">
            <v>NA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-2539.0949999999998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 t="str">
            <v>Settled</v>
          </cell>
          <cell r="FH45">
            <v>3200</v>
          </cell>
          <cell r="FI45">
            <v>2539.0949999999998</v>
          </cell>
          <cell r="FJ45">
            <v>651.96500000000003</v>
          </cell>
          <cell r="FK45">
            <v>197.06</v>
          </cell>
        </row>
        <row r="46">
          <cell r="A46">
            <v>8622999029</v>
          </cell>
          <cell r="B46">
            <v>10622924043</v>
          </cell>
          <cell r="C46" t="str">
            <v>return_refund</v>
          </cell>
          <cell r="D46">
            <v>45893.436805555553</v>
          </cell>
          <cell r="E46">
            <v>45888.475694444445</v>
          </cell>
          <cell r="G46" t="str">
            <v>Myntra Designs Pvt Ltd</v>
          </cell>
          <cell r="H46" t="str">
            <v>TIKILHNC106661976</v>
          </cell>
          <cell r="I46" t="str">
            <v>\I2726TK000002477\""</v>
          </cell>
          <cell r="J46">
            <v>8622999029</v>
          </cell>
          <cell r="K46">
            <v>62042300</v>
          </cell>
          <cell r="L46" t="str">
            <v>Apparel</v>
          </cell>
          <cell r="M46" t="str">
            <v>INR</v>
          </cell>
          <cell r="N46">
            <v>2606</v>
          </cell>
          <cell r="O46">
            <v>0</v>
          </cell>
          <cell r="P46">
            <v>2606</v>
          </cell>
          <cell r="Q46">
            <v>3750</v>
          </cell>
          <cell r="R46">
            <v>938</v>
          </cell>
          <cell r="S46" t="str">
            <v>Inter-State</v>
          </cell>
          <cell r="T46">
            <v>12</v>
          </cell>
          <cell r="U46">
            <v>279.20999999999998</v>
          </cell>
          <cell r="V46">
            <v>0</v>
          </cell>
          <cell r="W46">
            <v>0</v>
          </cell>
          <cell r="X46">
            <v>11.634</v>
          </cell>
          <cell r="Y46">
            <v>2.327</v>
          </cell>
          <cell r="AA46">
            <v>0</v>
          </cell>
          <cell r="AB46">
            <v>645.76700000000005</v>
          </cell>
          <cell r="AC46">
            <v>645.76700000000005</v>
          </cell>
          <cell r="AD46">
            <v>659.72799999999995</v>
          </cell>
          <cell r="AE46">
            <v>-132.16</v>
          </cell>
          <cell r="AF46">
            <v>112</v>
          </cell>
          <cell r="AG46">
            <v>0</v>
          </cell>
          <cell r="AH46">
            <v>0</v>
          </cell>
          <cell r="AI46">
            <v>0</v>
          </cell>
          <cell r="AJ46">
            <v>20.16</v>
          </cell>
          <cell r="AK46">
            <v>1</v>
          </cell>
          <cell r="AL46" t="str">
            <v>ZONAL</v>
          </cell>
          <cell r="AM46">
            <v>2812</v>
          </cell>
          <cell r="AN46">
            <v>-2078.4319999999998</v>
          </cell>
          <cell r="AO46">
            <v>-2078.4319999999998</v>
          </cell>
          <cell r="AP46">
            <v>0</v>
          </cell>
          <cell r="AQ46">
            <v>659.72799999999995</v>
          </cell>
          <cell r="AR46">
            <v>-132.16</v>
          </cell>
          <cell r="AS46">
            <v>-2606</v>
          </cell>
          <cell r="AV46">
            <v>0</v>
          </cell>
          <cell r="AW46">
            <v>45908</v>
          </cell>
          <cell r="AX46">
            <v>45908</v>
          </cell>
          <cell r="AY46">
            <v>45908</v>
          </cell>
          <cell r="BC46" t="str">
            <v>NFT-/XUTR/DEUTH025251A0L0JX</v>
          </cell>
          <cell r="BD46" t="str">
            <v>NFT-/XUTR/DEUTH025251A0L0JX</v>
          </cell>
          <cell r="BE46" t="str">
            <v>NFT-/XUTR/DEUTH025251A0L0JX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2326.79</v>
          </cell>
          <cell r="BP46">
            <v>12</v>
          </cell>
          <cell r="BQ46">
            <v>0</v>
          </cell>
          <cell r="BR46">
            <v>0</v>
          </cell>
          <cell r="BS46">
            <v>0</v>
          </cell>
          <cell r="BT46">
            <v>0.5</v>
          </cell>
          <cell r="BU46">
            <v>0</v>
          </cell>
          <cell r="BV46">
            <v>0</v>
          </cell>
          <cell r="BW46">
            <v>0.1</v>
          </cell>
          <cell r="BX46" t="str">
            <v>Tiny Kingdom</v>
          </cell>
          <cell r="BY46" t="str">
            <v>Girls</v>
          </cell>
          <cell r="BZ46" t="str">
            <v>External</v>
          </cell>
          <cell r="CA46" t="str">
            <v>Lehenga Choli</v>
          </cell>
          <cell r="CB46" t="str">
            <v>ON_HAND</v>
          </cell>
          <cell r="CC46" t="b">
            <v>0</v>
          </cell>
          <cell r="CD46" t="str">
            <v>**********</v>
          </cell>
          <cell r="CE46">
            <v>560035</v>
          </cell>
          <cell r="CF46" t="str">
            <v>27AXUPC8425A1ZH</v>
          </cell>
          <cell r="CH46" t="str">
            <v>29AAECM9636P1ZJ</v>
          </cell>
          <cell r="CI46" t="str">
            <v>Mumbai</v>
          </cell>
          <cell r="CJ46">
            <v>400013</v>
          </cell>
          <cell r="CK46" t="str">
            <v>maharashtra</v>
          </cell>
          <cell r="CL46" t="str">
            <v>MH</v>
          </cell>
          <cell r="CN46">
            <v>0</v>
          </cell>
          <cell r="CO46">
            <v>645.76700000000005</v>
          </cell>
          <cell r="CP46">
            <v>645.76700000000005</v>
          </cell>
          <cell r="CQ46">
            <v>0</v>
          </cell>
          <cell r="CR46">
            <v>0</v>
          </cell>
          <cell r="CS46">
            <v>0</v>
          </cell>
          <cell r="CT46">
            <v>938</v>
          </cell>
          <cell r="CU46">
            <v>2.3267899999999999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E46" t="str">
            <v>c961172d-a02c-4fdb-95e7-d613f6b6bae2</v>
          </cell>
          <cell r="DF46">
            <v>100072000000</v>
          </cell>
          <cell r="DG46">
            <v>11.634</v>
          </cell>
          <cell r="DH46">
            <v>0</v>
          </cell>
          <cell r="DI46">
            <v>2.327</v>
          </cell>
          <cell r="DJ46">
            <v>0</v>
          </cell>
          <cell r="DK46" t="str">
            <v>BRONZE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 t="str">
            <v>NA</v>
          </cell>
          <cell r="DU46" t="str">
            <v>NA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-2078.4319999999998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 t="str">
            <v>Settled</v>
          </cell>
          <cell r="FH46">
            <v>2812</v>
          </cell>
          <cell r="FI46">
            <v>2078.4319999999998</v>
          </cell>
          <cell r="FJ46">
            <v>659.72799999999995</v>
          </cell>
          <cell r="FK46">
            <v>132.16</v>
          </cell>
        </row>
        <row r="47">
          <cell r="A47">
            <v>8624339982</v>
          </cell>
          <cell r="B47">
            <v>10624264931</v>
          </cell>
          <cell r="C47" t="str">
            <v>return_refund</v>
          </cell>
          <cell r="D47">
            <v>45894.357638888891</v>
          </cell>
          <cell r="E47">
            <v>45889.441666666666</v>
          </cell>
          <cell r="F47">
            <v>44526</v>
          </cell>
          <cell r="G47" t="str">
            <v>Myntra Designs Pvt Ltd</v>
          </cell>
          <cell r="H47" t="str">
            <v>TIKILHNC98845677</v>
          </cell>
          <cell r="I47" t="str">
            <v>\I2726TK000002507\""</v>
          </cell>
          <cell r="J47">
            <v>8624339982</v>
          </cell>
          <cell r="K47">
            <v>62042300</v>
          </cell>
          <cell r="L47" t="str">
            <v>Apparel</v>
          </cell>
          <cell r="M47" t="str">
            <v>INR</v>
          </cell>
          <cell r="N47">
            <v>1204</v>
          </cell>
          <cell r="O47">
            <v>0</v>
          </cell>
          <cell r="P47">
            <v>1204</v>
          </cell>
          <cell r="Q47">
            <v>2750</v>
          </cell>
          <cell r="R47">
            <v>1375</v>
          </cell>
          <cell r="S47" t="str">
            <v>Inter-State</v>
          </cell>
          <cell r="T47">
            <v>12</v>
          </cell>
          <cell r="U47">
            <v>129</v>
          </cell>
          <cell r="V47">
            <v>0</v>
          </cell>
          <cell r="W47">
            <v>0</v>
          </cell>
          <cell r="X47">
            <v>5.375</v>
          </cell>
          <cell r="Y47">
            <v>1.075</v>
          </cell>
          <cell r="AA47">
            <v>0</v>
          </cell>
          <cell r="AB47">
            <v>298.351</v>
          </cell>
          <cell r="AC47">
            <v>298.351</v>
          </cell>
          <cell r="AD47">
            <v>304.80099999999999</v>
          </cell>
          <cell r="AE47">
            <v>-132.16</v>
          </cell>
          <cell r="AF47">
            <v>112</v>
          </cell>
          <cell r="AG47">
            <v>0</v>
          </cell>
          <cell r="AH47">
            <v>0</v>
          </cell>
          <cell r="AI47">
            <v>0</v>
          </cell>
          <cell r="AJ47">
            <v>20.16</v>
          </cell>
          <cell r="AK47">
            <v>1</v>
          </cell>
          <cell r="AL47" t="str">
            <v>ZONAL</v>
          </cell>
          <cell r="AM47">
            <v>1375</v>
          </cell>
          <cell r="AN47">
            <v>-1031.3589999999999</v>
          </cell>
          <cell r="AO47">
            <v>-1031.3589999999999</v>
          </cell>
          <cell r="AP47">
            <v>0</v>
          </cell>
          <cell r="AQ47">
            <v>304.80099999999999</v>
          </cell>
          <cell r="AR47">
            <v>-132.16</v>
          </cell>
          <cell r="AS47">
            <v>-1204</v>
          </cell>
          <cell r="AV47">
            <v>0</v>
          </cell>
          <cell r="AW47">
            <v>45908</v>
          </cell>
          <cell r="AX47">
            <v>45908</v>
          </cell>
          <cell r="AY47">
            <v>45908</v>
          </cell>
          <cell r="BC47" t="str">
            <v>NFT-/XUTR/DEUTH025251A0L0JX</v>
          </cell>
          <cell r="BD47" t="str">
            <v>NFT-/XUTR/DEUTH025251A0L0JX</v>
          </cell>
          <cell r="BE47" t="str">
            <v>NFT-/XUTR/DEUTH025251A0L0JX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1075</v>
          </cell>
          <cell r="BP47">
            <v>12</v>
          </cell>
          <cell r="BQ47">
            <v>0</v>
          </cell>
          <cell r="BR47">
            <v>0</v>
          </cell>
          <cell r="BS47">
            <v>0</v>
          </cell>
          <cell r="BT47">
            <v>0.5</v>
          </cell>
          <cell r="BU47">
            <v>0</v>
          </cell>
          <cell r="BV47">
            <v>0</v>
          </cell>
          <cell r="BW47">
            <v>0.1</v>
          </cell>
          <cell r="BX47" t="str">
            <v>Tiny Kingdom</v>
          </cell>
          <cell r="BY47" t="str">
            <v>Girls</v>
          </cell>
          <cell r="BZ47" t="str">
            <v>External</v>
          </cell>
          <cell r="CA47" t="str">
            <v>Lehenga Choli</v>
          </cell>
          <cell r="CB47" t="str">
            <v>ON_HAND</v>
          </cell>
          <cell r="CC47" t="b">
            <v>0</v>
          </cell>
          <cell r="CD47" t="str">
            <v>**********</v>
          </cell>
          <cell r="CE47">
            <v>560024</v>
          </cell>
          <cell r="CF47" t="str">
            <v>27AXUPC8425A1ZH</v>
          </cell>
          <cell r="CH47" t="str">
            <v>29AAECM9636P1ZJ</v>
          </cell>
          <cell r="CI47" t="str">
            <v>Mumbai</v>
          </cell>
          <cell r="CJ47">
            <v>400013</v>
          </cell>
          <cell r="CK47" t="str">
            <v>maharashtra</v>
          </cell>
          <cell r="CL47" t="str">
            <v>MH</v>
          </cell>
          <cell r="CN47">
            <v>0</v>
          </cell>
          <cell r="CO47">
            <v>298.351</v>
          </cell>
          <cell r="CP47">
            <v>298.351</v>
          </cell>
          <cell r="CQ47">
            <v>0</v>
          </cell>
          <cell r="CR47">
            <v>0</v>
          </cell>
          <cell r="CS47">
            <v>0</v>
          </cell>
          <cell r="CT47">
            <v>1375</v>
          </cell>
          <cell r="CU47">
            <v>1.075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E47" t="str">
            <v>d0a358fa-f63f-473b-8ee2-0e424a9dab67</v>
          </cell>
          <cell r="DF47">
            <v>100073000000</v>
          </cell>
          <cell r="DG47">
            <v>5.375</v>
          </cell>
          <cell r="DH47">
            <v>0</v>
          </cell>
          <cell r="DI47">
            <v>1.075</v>
          </cell>
          <cell r="DJ47">
            <v>0</v>
          </cell>
          <cell r="DK47" t="str">
            <v>BRONZE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 t="str">
            <v>NA</v>
          </cell>
          <cell r="DU47" t="str">
            <v>NA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-1031.3589999999999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 t="str">
            <v>Settled</v>
          </cell>
          <cell r="FH47">
            <v>1375</v>
          </cell>
          <cell r="FI47">
            <v>1031.3589999999999</v>
          </cell>
          <cell r="FJ47">
            <v>304.80099999999999</v>
          </cell>
          <cell r="FK47">
            <v>132.16</v>
          </cell>
        </row>
        <row r="48">
          <cell r="A48">
            <v>8630677968</v>
          </cell>
          <cell r="B48">
            <v>10630602678</v>
          </cell>
          <cell r="C48" t="str">
            <v>return_refund</v>
          </cell>
          <cell r="D48">
            <v>45907.509722222225</v>
          </cell>
          <cell r="E48">
            <v>45894.452777777777</v>
          </cell>
          <cell r="F48">
            <v>44532</v>
          </cell>
          <cell r="G48" t="str">
            <v>Myntra Designs Pvt Ltd</v>
          </cell>
          <cell r="H48" t="str">
            <v>TIKICLST103607758</v>
          </cell>
          <cell r="I48" t="str">
            <v>\I2726TK000002580\""</v>
          </cell>
          <cell r="J48">
            <v>8630677968</v>
          </cell>
          <cell r="K48">
            <v>62042300</v>
          </cell>
          <cell r="L48" t="str">
            <v>Apparel</v>
          </cell>
          <cell r="M48" t="str">
            <v>INR</v>
          </cell>
          <cell r="N48">
            <v>3169</v>
          </cell>
          <cell r="O48">
            <v>3169</v>
          </cell>
          <cell r="P48">
            <v>0</v>
          </cell>
          <cell r="Q48">
            <v>5000</v>
          </cell>
          <cell r="R48">
            <v>1250</v>
          </cell>
          <cell r="S48" t="str">
            <v>Inter-State</v>
          </cell>
          <cell r="T48">
            <v>12</v>
          </cell>
          <cell r="U48">
            <v>339.54</v>
          </cell>
          <cell r="V48">
            <v>0</v>
          </cell>
          <cell r="W48">
            <v>0</v>
          </cell>
          <cell r="X48">
            <v>14.147</v>
          </cell>
          <cell r="Y48">
            <v>2.8290000000000002</v>
          </cell>
          <cell r="AA48">
            <v>0</v>
          </cell>
          <cell r="AB48">
            <v>822.67200000000003</v>
          </cell>
          <cell r="AC48">
            <v>822.67200000000003</v>
          </cell>
          <cell r="AD48">
            <v>839.64800000000002</v>
          </cell>
          <cell r="AE48">
            <v>-197.06</v>
          </cell>
          <cell r="AF48">
            <v>167</v>
          </cell>
          <cell r="AG48">
            <v>0</v>
          </cell>
          <cell r="AH48">
            <v>0</v>
          </cell>
          <cell r="AI48">
            <v>0</v>
          </cell>
          <cell r="AJ48">
            <v>30.06</v>
          </cell>
          <cell r="AK48">
            <v>1</v>
          </cell>
          <cell r="AL48" t="str">
            <v>NATIONAL</v>
          </cell>
          <cell r="AM48">
            <v>3375</v>
          </cell>
          <cell r="AN48">
            <v>-2526.4119999999998</v>
          </cell>
          <cell r="AO48">
            <v>-2526.4119999999998</v>
          </cell>
          <cell r="AP48">
            <v>0</v>
          </cell>
          <cell r="AS48">
            <v>0</v>
          </cell>
          <cell r="AT48">
            <v>839.64800000000002</v>
          </cell>
          <cell r="AU48">
            <v>-197.06</v>
          </cell>
          <cell r="AV48">
            <v>-3169</v>
          </cell>
          <cell r="AZ48">
            <v>45915</v>
          </cell>
          <cell r="BA48">
            <v>45915</v>
          </cell>
          <cell r="BB48">
            <v>45915</v>
          </cell>
          <cell r="BF48" t="str">
            <v>NFT-/XUTR/DEUTH02525806657X</v>
          </cell>
          <cell r="BG48" t="str">
            <v>NFT-/XUTR/DEUTH02525806657X</v>
          </cell>
          <cell r="BH48" t="str">
            <v>NFT-/XUTR/DEUTH02525806657X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2829.46</v>
          </cell>
          <cell r="BP48">
            <v>12</v>
          </cell>
          <cell r="BQ48">
            <v>0</v>
          </cell>
          <cell r="BR48">
            <v>0</v>
          </cell>
          <cell r="BS48">
            <v>0</v>
          </cell>
          <cell r="BT48">
            <v>0.5</v>
          </cell>
          <cell r="BU48">
            <v>0</v>
          </cell>
          <cell r="BV48">
            <v>0</v>
          </cell>
          <cell r="BW48">
            <v>0.1</v>
          </cell>
          <cell r="BX48" t="str">
            <v>Tiny Kingdom</v>
          </cell>
          <cell r="BY48" t="str">
            <v>Girls</v>
          </cell>
          <cell r="BZ48" t="str">
            <v>External</v>
          </cell>
          <cell r="CA48" t="str">
            <v>Kurta Sets</v>
          </cell>
          <cell r="CB48" t="str">
            <v>ON_HAND</v>
          </cell>
          <cell r="CC48" t="b">
            <v>0</v>
          </cell>
          <cell r="CD48" t="str">
            <v>**********</v>
          </cell>
          <cell r="CE48">
            <v>202001</v>
          </cell>
          <cell r="CF48" t="str">
            <v>27AXUPC8425A1ZH</v>
          </cell>
          <cell r="CH48" t="str">
            <v>29AAECM9636P1ZJ</v>
          </cell>
          <cell r="CI48" t="str">
            <v>Mumbai</v>
          </cell>
          <cell r="CJ48">
            <v>400013</v>
          </cell>
          <cell r="CK48" t="str">
            <v>maharashtra</v>
          </cell>
          <cell r="CL48" t="str">
            <v>MH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W48">
            <v>0</v>
          </cell>
          <cell r="CX48">
            <v>822.67200000000003</v>
          </cell>
          <cell r="CY48">
            <v>822.67200000000003</v>
          </cell>
          <cell r="CZ48">
            <v>0</v>
          </cell>
          <cell r="DA48">
            <v>0</v>
          </cell>
          <cell r="DB48">
            <v>0</v>
          </cell>
          <cell r="DC48">
            <v>1250</v>
          </cell>
          <cell r="DD48">
            <v>2.8294600000000001</v>
          </cell>
          <cell r="DE48" t="str">
            <v>98fbf3d0-f975-40e3-b9bd-d459b2993491</v>
          </cell>
          <cell r="DF48">
            <v>100076000000</v>
          </cell>
          <cell r="DG48">
            <v>0</v>
          </cell>
          <cell r="DH48">
            <v>14.147</v>
          </cell>
          <cell r="DI48">
            <v>0</v>
          </cell>
          <cell r="DJ48">
            <v>2.8290000000000002</v>
          </cell>
          <cell r="DK48" t="str">
            <v>BRONZE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 t="str">
            <v>NA</v>
          </cell>
          <cell r="DU48" t="str">
            <v>NA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-2526.4119999999998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 t="str">
            <v>Settled</v>
          </cell>
          <cell r="FH48">
            <v>3375</v>
          </cell>
          <cell r="FI48">
            <v>2526.4119999999998</v>
          </cell>
          <cell r="FJ48">
            <v>839.64800000000002</v>
          </cell>
          <cell r="FK48">
            <v>197.06</v>
          </cell>
        </row>
        <row r="49">
          <cell r="A49">
            <v>8622910273</v>
          </cell>
          <cell r="B49">
            <v>10622835296</v>
          </cell>
          <cell r="C49" t="str">
            <v>return_refund</v>
          </cell>
          <cell r="D49">
            <v>45898.48541666667</v>
          </cell>
          <cell r="E49">
            <v>45888.475694444445</v>
          </cell>
          <cell r="G49" t="str">
            <v>Myntra Designs Pvt Ltd</v>
          </cell>
          <cell r="H49" t="str">
            <v>BETYDRSS100320415</v>
          </cell>
          <cell r="I49" t="str">
            <v>\I2726TK000002492\""</v>
          </cell>
          <cell r="J49">
            <v>8622910273</v>
          </cell>
          <cell r="K49">
            <v>62042300</v>
          </cell>
          <cell r="L49" t="str">
            <v>Apparel</v>
          </cell>
          <cell r="M49" t="str">
            <v>INR</v>
          </cell>
          <cell r="N49">
            <v>3994</v>
          </cell>
          <cell r="O49">
            <v>3994</v>
          </cell>
          <cell r="P49">
            <v>0</v>
          </cell>
          <cell r="Q49">
            <v>6000</v>
          </cell>
          <cell r="R49">
            <v>1800</v>
          </cell>
          <cell r="S49" t="str">
            <v>Inter-State</v>
          </cell>
          <cell r="T49">
            <v>12</v>
          </cell>
          <cell r="U49">
            <v>427.93</v>
          </cell>
          <cell r="V49">
            <v>0</v>
          </cell>
          <cell r="W49">
            <v>0</v>
          </cell>
          <cell r="X49">
            <v>17.829999999999998</v>
          </cell>
          <cell r="Y49">
            <v>3.5659999999999998</v>
          </cell>
          <cell r="AA49">
            <v>0</v>
          </cell>
          <cell r="AB49">
            <v>1272.4880000000001</v>
          </cell>
          <cell r="AC49">
            <v>1272.4880000000001</v>
          </cell>
          <cell r="AD49">
            <v>1293.884</v>
          </cell>
          <cell r="AE49">
            <v>-197.06</v>
          </cell>
          <cell r="AF49">
            <v>167</v>
          </cell>
          <cell r="AG49">
            <v>0</v>
          </cell>
          <cell r="AH49">
            <v>0</v>
          </cell>
          <cell r="AI49">
            <v>0</v>
          </cell>
          <cell r="AJ49">
            <v>30.06</v>
          </cell>
          <cell r="AK49">
            <v>1</v>
          </cell>
          <cell r="AL49" t="str">
            <v>NATIONAL</v>
          </cell>
          <cell r="AM49">
            <v>4200</v>
          </cell>
          <cell r="AN49">
            <v>-2897.1759999999999</v>
          </cell>
          <cell r="AO49">
            <v>-2897.1759999999999</v>
          </cell>
          <cell r="AP49">
            <v>0</v>
          </cell>
          <cell r="AS49">
            <v>0</v>
          </cell>
          <cell r="AT49">
            <v>1293.884</v>
          </cell>
          <cell r="AU49">
            <v>-197.06</v>
          </cell>
          <cell r="AV49">
            <v>-3994</v>
          </cell>
          <cell r="AZ49">
            <v>45908</v>
          </cell>
          <cell r="BA49">
            <v>45908</v>
          </cell>
          <cell r="BB49">
            <v>45908</v>
          </cell>
          <cell r="BF49" t="str">
            <v>NFT-/XUTR/DEUTH025251A0HB7X</v>
          </cell>
          <cell r="BG49" t="str">
            <v>NFT-/XUTR/DEUTH025251A0HB7X</v>
          </cell>
          <cell r="BH49" t="str">
            <v>NFT-/XUTR/DEUTH025251A0HB7X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3566.07</v>
          </cell>
          <cell r="BP49">
            <v>12</v>
          </cell>
          <cell r="BQ49">
            <v>0</v>
          </cell>
          <cell r="BR49">
            <v>0</v>
          </cell>
          <cell r="BS49">
            <v>0</v>
          </cell>
          <cell r="BT49">
            <v>0.5</v>
          </cell>
          <cell r="BU49">
            <v>0</v>
          </cell>
          <cell r="BV49">
            <v>0</v>
          </cell>
          <cell r="BW49">
            <v>0.1</v>
          </cell>
          <cell r="BX49" t="str">
            <v>BETTY</v>
          </cell>
          <cell r="BY49" t="str">
            <v>Girls</v>
          </cell>
          <cell r="BZ49" t="str">
            <v>External</v>
          </cell>
          <cell r="CA49" t="str">
            <v>Dresses</v>
          </cell>
          <cell r="CB49" t="str">
            <v>ON_HAND</v>
          </cell>
          <cell r="CC49" t="b">
            <v>0</v>
          </cell>
          <cell r="CD49" t="str">
            <v>**********</v>
          </cell>
          <cell r="CE49">
            <v>211003</v>
          </cell>
          <cell r="CF49" t="str">
            <v>27AXUPC8425A1ZH</v>
          </cell>
          <cell r="CH49" t="str">
            <v>29AAECM9636P1ZJ</v>
          </cell>
          <cell r="CI49" t="str">
            <v>Mumbai</v>
          </cell>
          <cell r="CJ49">
            <v>400013</v>
          </cell>
          <cell r="CK49" t="str">
            <v>maharashtra</v>
          </cell>
          <cell r="CL49" t="str">
            <v>MH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W49">
            <v>0</v>
          </cell>
          <cell r="CX49">
            <v>1272.4880000000001</v>
          </cell>
          <cell r="CY49">
            <v>1272.4880000000001</v>
          </cell>
          <cell r="CZ49">
            <v>0</v>
          </cell>
          <cell r="DA49">
            <v>0</v>
          </cell>
          <cell r="DB49">
            <v>0</v>
          </cell>
          <cell r="DC49">
            <v>1800</v>
          </cell>
          <cell r="DD49">
            <v>3.5660699999999999</v>
          </cell>
          <cell r="DE49" t="str">
            <v>f470252d-5346-4f6c-909c-d5b5704731d0</v>
          </cell>
          <cell r="DF49">
            <v>100074000000</v>
          </cell>
          <cell r="DG49">
            <v>0</v>
          </cell>
          <cell r="DH49">
            <v>17.829999999999998</v>
          </cell>
          <cell r="DI49">
            <v>0</v>
          </cell>
          <cell r="DJ49">
            <v>3.5659999999999998</v>
          </cell>
          <cell r="DK49" t="str">
            <v>BRONZE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 t="str">
            <v>NA</v>
          </cell>
          <cell r="DU49" t="str">
            <v>NA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-2897.1759999999999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 t="str">
            <v>Settled</v>
          </cell>
          <cell r="FH49">
            <v>4200</v>
          </cell>
          <cell r="FI49">
            <v>2897.1759999999999</v>
          </cell>
          <cell r="FJ49">
            <v>1293.884</v>
          </cell>
          <cell r="FK49">
            <v>197.06</v>
          </cell>
        </row>
        <row r="50">
          <cell r="A50">
            <v>8612775582</v>
          </cell>
          <cell r="B50">
            <v>10612701191</v>
          </cell>
          <cell r="C50" t="str">
            <v>return_refund</v>
          </cell>
          <cell r="D50">
            <v>45889.603472222225</v>
          </cell>
          <cell r="E50">
            <v>45881.472222222219</v>
          </cell>
          <cell r="G50" t="str">
            <v>Myntra Designs Pvt Ltd</v>
          </cell>
          <cell r="H50" t="str">
            <v>BETYLHNC106823507</v>
          </cell>
          <cell r="I50" t="str">
            <v>\I2726TK000002399\""</v>
          </cell>
          <cell r="J50">
            <v>9753740228</v>
          </cell>
          <cell r="K50">
            <v>62042300</v>
          </cell>
          <cell r="L50" t="str">
            <v>Apparel</v>
          </cell>
          <cell r="M50" t="str">
            <v>INR</v>
          </cell>
          <cell r="N50">
            <v>4294</v>
          </cell>
          <cell r="O50">
            <v>0</v>
          </cell>
          <cell r="P50">
            <v>4294</v>
          </cell>
          <cell r="Q50">
            <v>6000</v>
          </cell>
          <cell r="R50">
            <v>1500</v>
          </cell>
          <cell r="S50" t="str">
            <v>Inter-State</v>
          </cell>
          <cell r="T50">
            <v>12</v>
          </cell>
          <cell r="U50">
            <v>460.07</v>
          </cell>
          <cell r="V50">
            <v>0</v>
          </cell>
          <cell r="W50">
            <v>0</v>
          </cell>
          <cell r="X50">
            <v>19.170000000000002</v>
          </cell>
          <cell r="Y50">
            <v>3.8340000000000001</v>
          </cell>
          <cell r="AA50">
            <v>0</v>
          </cell>
          <cell r="AB50">
            <v>1317.3989999999999</v>
          </cell>
          <cell r="AC50">
            <v>1317.3989999999999</v>
          </cell>
          <cell r="AD50">
            <v>1340.403</v>
          </cell>
          <cell r="AE50">
            <v>-197.06</v>
          </cell>
          <cell r="AF50">
            <v>167</v>
          </cell>
          <cell r="AG50">
            <v>0</v>
          </cell>
          <cell r="AH50">
            <v>0</v>
          </cell>
          <cell r="AI50">
            <v>0</v>
          </cell>
          <cell r="AJ50">
            <v>30.06</v>
          </cell>
          <cell r="AK50">
            <v>1</v>
          </cell>
          <cell r="AL50" t="str">
            <v>NATIONAL</v>
          </cell>
          <cell r="AM50">
            <v>4500</v>
          </cell>
          <cell r="AN50">
            <v>-3150.6570000000002</v>
          </cell>
          <cell r="AO50">
            <v>-3150.6570000000002</v>
          </cell>
          <cell r="AP50">
            <v>0</v>
          </cell>
          <cell r="AQ50">
            <v>1340.403</v>
          </cell>
          <cell r="AR50">
            <v>-197.06</v>
          </cell>
          <cell r="AS50">
            <v>-4294</v>
          </cell>
          <cell r="AV50">
            <v>0</v>
          </cell>
          <cell r="AW50">
            <v>45901</v>
          </cell>
          <cell r="AX50">
            <v>45901</v>
          </cell>
          <cell r="AY50">
            <v>45901</v>
          </cell>
          <cell r="BC50" t="str">
            <v>NFT-/XUTR/DEUTH025244A0LW1X</v>
          </cell>
          <cell r="BD50" t="str">
            <v>NFT-/XUTR/DEUTH025244A0LW1X</v>
          </cell>
          <cell r="BE50" t="str">
            <v>NFT-/XUTR/DEUTH025244A0LW1X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3833.93</v>
          </cell>
          <cell r="BP50">
            <v>12</v>
          </cell>
          <cell r="BQ50">
            <v>0</v>
          </cell>
          <cell r="BR50">
            <v>0</v>
          </cell>
          <cell r="BS50">
            <v>0</v>
          </cell>
          <cell r="BT50">
            <v>0.5</v>
          </cell>
          <cell r="BU50">
            <v>0</v>
          </cell>
          <cell r="BV50">
            <v>0</v>
          </cell>
          <cell r="BW50">
            <v>0.1</v>
          </cell>
          <cell r="BX50" t="str">
            <v>BETTY</v>
          </cell>
          <cell r="BY50" t="str">
            <v>Girls</v>
          </cell>
          <cell r="BZ50" t="str">
            <v>External</v>
          </cell>
          <cell r="CA50" t="str">
            <v>Lehenga Choli</v>
          </cell>
          <cell r="CB50" t="str">
            <v>ON_HAND</v>
          </cell>
          <cell r="CC50" t="b">
            <v>0</v>
          </cell>
          <cell r="CD50" t="str">
            <v>**********</v>
          </cell>
          <cell r="CE50">
            <v>144001</v>
          </cell>
          <cell r="CF50" t="str">
            <v>27AXUPC8425A1ZH</v>
          </cell>
          <cell r="CH50" t="str">
            <v>29AAECM9636P1ZJ</v>
          </cell>
          <cell r="CI50" t="str">
            <v>Mumbai</v>
          </cell>
          <cell r="CJ50">
            <v>400013</v>
          </cell>
          <cell r="CK50" t="str">
            <v>maharashtra</v>
          </cell>
          <cell r="CL50" t="str">
            <v>MH</v>
          </cell>
          <cell r="CN50">
            <v>0</v>
          </cell>
          <cell r="CO50">
            <v>1317.3989999999999</v>
          </cell>
          <cell r="CP50">
            <v>1317.3989999999999</v>
          </cell>
          <cell r="CQ50">
            <v>0</v>
          </cell>
          <cell r="CR50">
            <v>0</v>
          </cell>
          <cell r="CS50">
            <v>0</v>
          </cell>
          <cell r="CT50">
            <v>1500</v>
          </cell>
          <cell r="CU50">
            <v>3.8339300000000001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E50" t="str">
            <v>e5a8cfd5-22f2-461f-80da-82183989900f</v>
          </cell>
          <cell r="DF50">
            <v>100071000000</v>
          </cell>
          <cell r="DG50">
            <v>19.170000000000002</v>
          </cell>
          <cell r="DH50">
            <v>0</v>
          </cell>
          <cell r="DI50">
            <v>3.8340000000000001</v>
          </cell>
          <cell r="DJ50">
            <v>0</v>
          </cell>
          <cell r="DK50" t="str">
            <v>BRONZE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 t="str">
            <v>NA</v>
          </cell>
          <cell r="DU50" t="str">
            <v>NA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EB50">
            <v>-3150.6570000000002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 t="str">
            <v>Settled</v>
          </cell>
          <cell r="FH50">
            <v>4500</v>
          </cell>
          <cell r="FI50">
            <v>3150.6570000000002</v>
          </cell>
          <cell r="FJ50">
            <v>1340.403</v>
          </cell>
          <cell r="FK50">
            <v>197.06</v>
          </cell>
        </row>
        <row r="51">
          <cell r="A51">
            <v>8643991542</v>
          </cell>
          <cell r="B51">
            <v>10643915962</v>
          </cell>
          <cell r="C51" t="str">
            <v>return_refund</v>
          </cell>
          <cell r="D51">
            <v>45907.411805555559</v>
          </cell>
          <cell r="E51">
            <v>45902.448611111111</v>
          </cell>
          <cell r="F51">
            <v>44539</v>
          </cell>
          <cell r="G51" t="str">
            <v>Myntra Designs Pvt Ltd</v>
          </cell>
          <cell r="H51" t="str">
            <v>TIKIDRSS97455150</v>
          </cell>
          <cell r="I51" t="str">
            <v>\I2726TK000002711\""</v>
          </cell>
          <cell r="J51">
            <v>8643991542</v>
          </cell>
          <cell r="K51">
            <v>62042300</v>
          </cell>
          <cell r="L51" t="str">
            <v>Apparel</v>
          </cell>
          <cell r="M51" t="str">
            <v>INR</v>
          </cell>
          <cell r="N51">
            <v>2644</v>
          </cell>
          <cell r="O51">
            <v>2215.0509999999999</v>
          </cell>
          <cell r="P51">
            <v>428.959</v>
          </cell>
          <cell r="Q51">
            <v>4750</v>
          </cell>
          <cell r="R51">
            <v>1900</v>
          </cell>
          <cell r="S51" t="str">
            <v>Inter-State</v>
          </cell>
          <cell r="T51">
            <v>12</v>
          </cell>
          <cell r="U51">
            <v>283.29000000000002</v>
          </cell>
          <cell r="V51">
            <v>0</v>
          </cell>
          <cell r="W51">
            <v>0</v>
          </cell>
          <cell r="X51">
            <v>11.804</v>
          </cell>
          <cell r="Y51">
            <v>2.3610000000000002</v>
          </cell>
          <cell r="AA51">
            <v>0</v>
          </cell>
          <cell r="AB51">
            <v>561.58799999999997</v>
          </cell>
          <cell r="AC51">
            <v>561.58799999999997</v>
          </cell>
          <cell r="AD51">
            <v>575.75300000000004</v>
          </cell>
          <cell r="AE51">
            <v>-132.16</v>
          </cell>
          <cell r="AF51">
            <v>112</v>
          </cell>
          <cell r="AG51">
            <v>0</v>
          </cell>
          <cell r="AH51">
            <v>0</v>
          </cell>
          <cell r="AI51">
            <v>0</v>
          </cell>
          <cell r="AJ51">
            <v>20.16</v>
          </cell>
          <cell r="AK51">
            <v>1</v>
          </cell>
          <cell r="AL51" t="str">
            <v>ZONAL</v>
          </cell>
          <cell r="AM51">
            <v>2850</v>
          </cell>
          <cell r="AN51">
            <v>-2200.4169999999999</v>
          </cell>
          <cell r="AO51">
            <v>-2200.4169999999999</v>
          </cell>
          <cell r="AP51">
            <v>0</v>
          </cell>
          <cell r="AQ51">
            <v>93.409000000000006</v>
          </cell>
          <cell r="AR51">
            <v>-21.441780000000001</v>
          </cell>
          <cell r="AS51">
            <v>-428.959</v>
          </cell>
          <cell r="AT51">
            <v>482.34399999999999</v>
          </cell>
          <cell r="AU51">
            <v>-110.71822</v>
          </cell>
          <cell r="AV51">
            <v>-2215.0509999999999</v>
          </cell>
          <cell r="AW51">
            <v>45922</v>
          </cell>
          <cell r="AX51">
            <v>45922</v>
          </cell>
          <cell r="AY51">
            <v>45922</v>
          </cell>
          <cell r="AZ51">
            <v>45922</v>
          </cell>
          <cell r="BA51">
            <v>45922</v>
          </cell>
          <cell r="BB51">
            <v>45922</v>
          </cell>
          <cell r="BC51" t="str">
            <v>NFT-/XUTR/DEUTH025265A10GKX</v>
          </cell>
          <cell r="BD51" t="str">
            <v>NFT-/XUTR/DEUTH025265A10GKX</v>
          </cell>
          <cell r="BE51" t="str">
            <v>NFT-/XUTR/DEUTH025265A10GKX</v>
          </cell>
          <cell r="BF51" t="str">
            <v>NFT-/XUTR/DEUTH025265A108YX</v>
          </cell>
          <cell r="BG51" t="str">
            <v>NFT-/XUTR/DEUTH025265A108YX</v>
          </cell>
          <cell r="BH51" t="str">
            <v>NFT-/XUTR/DEUTH025265A108YX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2360.71</v>
          </cell>
          <cell r="BP51">
            <v>12</v>
          </cell>
          <cell r="BQ51">
            <v>0</v>
          </cell>
          <cell r="BR51">
            <v>0</v>
          </cell>
          <cell r="BS51">
            <v>0</v>
          </cell>
          <cell r="BT51">
            <v>0.5</v>
          </cell>
          <cell r="BU51">
            <v>0</v>
          </cell>
          <cell r="BV51">
            <v>0</v>
          </cell>
          <cell r="BW51">
            <v>0.1</v>
          </cell>
          <cell r="BX51" t="str">
            <v>Tiny Kingdom</v>
          </cell>
          <cell r="BY51" t="str">
            <v>Girls</v>
          </cell>
          <cell r="BZ51" t="str">
            <v>External</v>
          </cell>
          <cell r="CA51" t="str">
            <v>Dresses</v>
          </cell>
          <cell r="CB51" t="str">
            <v>ON_HAND</v>
          </cell>
          <cell r="CC51" t="b">
            <v>0</v>
          </cell>
          <cell r="CD51" t="str">
            <v>**********</v>
          </cell>
          <cell r="CE51">
            <v>500072</v>
          </cell>
          <cell r="CF51" t="str">
            <v>27AXUPC8425A1ZH</v>
          </cell>
          <cell r="CH51" t="str">
            <v>29AAECM9636P1ZJ</v>
          </cell>
          <cell r="CI51" t="str">
            <v>Mumbai</v>
          </cell>
          <cell r="CJ51">
            <v>400013</v>
          </cell>
          <cell r="CK51" t="str">
            <v>maharashtra</v>
          </cell>
          <cell r="CL51" t="str">
            <v>MH</v>
          </cell>
          <cell r="CN51">
            <v>0</v>
          </cell>
          <cell r="CO51">
            <v>91.111000000000004</v>
          </cell>
          <cell r="CP51">
            <v>91.111000000000004</v>
          </cell>
          <cell r="CQ51">
            <v>0</v>
          </cell>
          <cell r="CR51">
            <v>0</v>
          </cell>
          <cell r="CS51">
            <v>0</v>
          </cell>
          <cell r="CT51">
            <v>1900</v>
          </cell>
          <cell r="CU51">
            <v>2.3607100000000001</v>
          </cell>
          <cell r="CW51">
            <v>0</v>
          </cell>
          <cell r="CX51">
            <v>470.47699999999998</v>
          </cell>
          <cell r="CY51">
            <v>470.47699999999998</v>
          </cell>
          <cell r="CZ51">
            <v>0</v>
          </cell>
          <cell r="DA51">
            <v>0</v>
          </cell>
          <cell r="DB51">
            <v>0</v>
          </cell>
          <cell r="DC51">
            <v>1900</v>
          </cell>
          <cell r="DD51">
            <v>2.3607100000000001</v>
          </cell>
          <cell r="DE51" t="str">
            <v>47454909-629d-4167-9174-880e95ced104</v>
          </cell>
          <cell r="DF51">
            <v>100076000000</v>
          </cell>
          <cell r="DG51">
            <v>1.915</v>
          </cell>
          <cell r="DH51">
            <v>9.8889999999999993</v>
          </cell>
          <cell r="DI51">
            <v>0.38300000000000001</v>
          </cell>
          <cell r="DJ51">
            <v>1.978</v>
          </cell>
          <cell r="DK51" t="str">
            <v>BRONZE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 t="str">
            <v>NA</v>
          </cell>
          <cell r="DU51" t="str">
            <v>NA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-2200.4169999999999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 t="str">
            <v>Settled</v>
          </cell>
          <cell r="FH51">
            <v>2850</v>
          </cell>
          <cell r="FI51">
            <v>2200.4169999999999</v>
          </cell>
          <cell r="FJ51">
            <v>575.75300000000004</v>
          </cell>
          <cell r="FK51">
            <v>132.16</v>
          </cell>
        </row>
        <row r="52">
          <cell r="A52">
            <v>8645334629</v>
          </cell>
          <cell r="B52">
            <v>10645259044</v>
          </cell>
          <cell r="C52" t="str">
            <v>return_refund</v>
          </cell>
          <cell r="D52">
            <v>45912.54583333333</v>
          </cell>
          <cell r="E52">
            <v>45903.465277777781</v>
          </cell>
          <cell r="F52">
            <v>44538</v>
          </cell>
          <cell r="G52" t="str">
            <v>Myntra Designs Pvt Ltd</v>
          </cell>
          <cell r="H52" t="str">
            <v>BETYDRSS93852544</v>
          </cell>
          <cell r="I52" t="str">
            <v>\I2726TK000002726\""</v>
          </cell>
          <cell r="J52">
            <v>8645334629</v>
          </cell>
          <cell r="K52">
            <v>62042300</v>
          </cell>
          <cell r="L52" t="str">
            <v>Apparel</v>
          </cell>
          <cell r="M52" t="str">
            <v>INR</v>
          </cell>
          <cell r="N52">
            <v>3294</v>
          </cell>
          <cell r="O52">
            <v>3294</v>
          </cell>
          <cell r="P52">
            <v>0</v>
          </cell>
          <cell r="Q52">
            <v>5000</v>
          </cell>
          <cell r="R52">
            <v>1500</v>
          </cell>
          <cell r="S52" t="str">
            <v>Inter-State</v>
          </cell>
          <cell r="T52">
            <v>12</v>
          </cell>
          <cell r="U52">
            <v>352.93</v>
          </cell>
          <cell r="V52">
            <v>0</v>
          </cell>
          <cell r="W52">
            <v>0</v>
          </cell>
          <cell r="X52">
            <v>14.705</v>
          </cell>
          <cell r="Y52">
            <v>2.9409999999999998</v>
          </cell>
          <cell r="AA52">
            <v>0</v>
          </cell>
          <cell r="AB52">
            <v>1049.4680000000001</v>
          </cell>
          <cell r="AC52">
            <v>1049.4680000000001</v>
          </cell>
          <cell r="AD52">
            <v>1067.114</v>
          </cell>
          <cell r="AE52">
            <v>-197.06</v>
          </cell>
          <cell r="AF52">
            <v>167</v>
          </cell>
          <cell r="AG52">
            <v>0</v>
          </cell>
          <cell r="AH52">
            <v>0</v>
          </cell>
          <cell r="AI52">
            <v>0</v>
          </cell>
          <cell r="AJ52">
            <v>30.06</v>
          </cell>
          <cell r="AK52">
            <v>1</v>
          </cell>
          <cell r="AL52" t="str">
            <v>NATIONAL</v>
          </cell>
          <cell r="AM52">
            <v>3500</v>
          </cell>
          <cell r="AN52">
            <v>-2423.9459999999999</v>
          </cell>
          <cell r="AO52">
            <v>-2423.9459999999999</v>
          </cell>
          <cell r="AP52">
            <v>0</v>
          </cell>
          <cell r="AS52">
            <v>0</v>
          </cell>
          <cell r="AT52">
            <v>1067.114</v>
          </cell>
          <cell r="AU52">
            <v>-197.06</v>
          </cell>
          <cell r="AV52">
            <v>-3294</v>
          </cell>
          <cell r="AZ52">
            <v>45922</v>
          </cell>
          <cell r="BA52">
            <v>45922</v>
          </cell>
          <cell r="BB52">
            <v>45922</v>
          </cell>
          <cell r="BF52" t="str">
            <v>NFT-/XUTR/DEUTH025265A108YX</v>
          </cell>
          <cell r="BG52" t="str">
            <v>NFT-/XUTR/DEUTH025265A108YX</v>
          </cell>
          <cell r="BH52" t="str">
            <v>NFT-/XUTR/DEUTH025265A108YX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2941.07</v>
          </cell>
          <cell r="BP52">
            <v>12</v>
          </cell>
          <cell r="BQ52">
            <v>0</v>
          </cell>
          <cell r="BR52">
            <v>0</v>
          </cell>
          <cell r="BS52">
            <v>0</v>
          </cell>
          <cell r="BT52">
            <v>0.5</v>
          </cell>
          <cell r="BU52">
            <v>0</v>
          </cell>
          <cell r="BV52">
            <v>0</v>
          </cell>
          <cell r="BW52">
            <v>0.1</v>
          </cell>
          <cell r="BX52" t="str">
            <v>BETTY</v>
          </cell>
          <cell r="BY52" t="str">
            <v>Girls</v>
          </cell>
          <cell r="BZ52" t="str">
            <v>External</v>
          </cell>
          <cell r="CA52" t="str">
            <v>Dresses</v>
          </cell>
          <cell r="CB52" t="str">
            <v>ON_HAND</v>
          </cell>
          <cell r="CC52" t="b">
            <v>0</v>
          </cell>
          <cell r="CD52" t="str">
            <v>**********</v>
          </cell>
          <cell r="CE52">
            <v>827009</v>
          </cell>
          <cell r="CF52" t="str">
            <v>27AXUPC8425A1ZH</v>
          </cell>
          <cell r="CH52" t="str">
            <v>29AAECM9636P1ZJ</v>
          </cell>
          <cell r="CI52" t="str">
            <v>Mumbai</v>
          </cell>
          <cell r="CJ52">
            <v>400013</v>
          </cell>
          <cell r="CK52" t="str">
            <v>maharashtra</v>
          </cell>
          <cell r="CL52" t="str">
            <v>MH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W52">
            <v>0</v>
          </cell>
          <cell r="CX52">
            <v>1049.4680000000001</v>
          </cell>
          <cell r="CY52">
            <v>1049.4680000000001</v>
          </cell>
          <cell r="CZ52">
            <v>0</v>
          </cell>
          <cell r="DA52">
            <v>0</v>
          </cell>
          <cell r="DB52">
            <v>0</v>
          </cell>
          <cell r="DC52">
            <v>1500</v>
          </cell>
          <cell r="DD52">
            <v>2.9410699999999999</v>
          </cell>
          <cell r="DE52" t="str">
            <v>8e7b11d3-12fb-4e2f-8e65-2802e5e688f0</v>
          </cell>
          <cell r="DF52">
            <v>100077000000</v>
          </cell>
          <cell r="DG52">
            <v>0</v>
          </cell>
          <cell r="DH52">
            <v>14.705</v>
          </cell>
          <cell r="DI52">
            <v>0</v>
          </cell>
          <cell r="DJ52">
            <v>2.9409999999999998</v>
          </cell>
          <cell r="DK52" t="str">
            <v>BRONZE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 t="str">
            <v>NA</v>
          </cell>
          <cell r="DU52" t="str">
            <v>NA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-2423.9459999999999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 t="str">
            <v>Settled</v>
          </cell>
          <cell r="FH52">
            <v>3500</v>
          </cell>
          <cell r="FI52">
            <v>2423.9459999999999</v>
          </cell>
          <cell r="FJ52">
            <v>1067.114</v>
          </cell>
          <cell r="FK52">
            <v>197.06</v>
          </cell>
        </row>
        <row r="53">
          <cell r="A53">
            <v>8624683466</v>
          </cell>
          <cell r="B53">
            <v>10624608408</v>
          </cell>
          <cell r="C53" t="str">
            <v>return_refund</v>
          </cell>
          <cell r="D53">
            <v>45900.481249999997</v>
          </cell>
          <cell r="E53">
            <v>45889.78125</v>
          </cell>
          <cell r="G53" t="str">
            <v>Myntra Designs Pvt Ltd</v>
          </cell>
          <cell r="H53" t="str">
            <v>TIKILHNC96961099</v>
          </cell>
          <cell r="I53" t="str">
            <v>\I2726TK000002514\""</v>
          </cell>
          <cell r="J53">
            <v>9757274620</v>
          </cell>
          <cell r="K53">
            <v>62042300</v>
          </cell>
          <cell r="L53" t="str">
            <v>Apparel</v>
          </cell>
          <cell r="M53" t="str">
            <v>INR</v>
          </cell>
          <cell r="N53">
            <v>2719</v>
          </cell>
          <cell r="O53">
            <v>0</v>
          </cell>
          <cell r="P53">
            <v>2719</v>
          </cell>
          <cell r="Q53">
            <v>4500</v>
          </cell>
          <cell r="R53">
            <v>1575</v>
          </cell>
          <cell r="S53" t="str">
            <v>Intra-State</v>
          </cell>
          <cell r="T53">
            <v>12</v>
          </cell>
          <cell r="U53">
            <v>0</v>
          </cell>
          <cell r="V53">
            <v>145.66</v>
          </cell>
          <cell r="W53">
            <v>145.66</v>
          </cell>
          <cell r="X53">
            <v>12.138</v>
          </cell>
          <cell r="Y53">
            <v>2.4279999999999999</v>
          </cell>
          <cell r="AA53">
            <v>0</v>
          </cell>
          <cell r="AB53">
            <v>673.76800000000003</v>
          </cell>
          <cell r="AC53">
            <v>673.76800000000003</v>
          </cell>
          <cell r="AD53">
            <v>688.33399999999995</v>
          </cell>
          <cell r="AE53">
            <v>-107.38</v>
          </cell>
          <cell r="AF53">
            <v>91</v>
          </cell>
          <cell r="AG53">
            <v>0</v>
          </cell>
          <cell r="AH53">
            <v>0</v>
          </cell>
          <cell r="AI53">
            <v>0</v>
          </cell>
          <cell r="AJ53">
            <v>16.38</v>
          </cell>
          <cell r="AK53">
            <v>1</v>
          </cell>
          <cell r="AL53" t="str">
            <v>LOCAL</v>
          </cell>
          <cell r="AM53">
            <v>2925</v>
          </cell>
          <cell r="AN53">
            <v>-2138.0459999999998</v>
          </cell>
          <cell r="AO53">
            <v>-2138.0459999999998</v>
          </cell>
          <cell r="AP53">
            <v>0</v>
          </cell>
          <cell r="AQ53">
            <v>688.33399999999995</v>
          </cell>
          <cell r="AR53">
            <v>-107.38</v>
          </cell>
          <cell r="AS53">
            <v>-2719</v>
          </cell>
          <cell r="AV53">
            <v>0</v>
          </cell>
          <cell r="AW53">
            <v>45908</v>
          </cell>
          <cell r="AX53">
            <v>45908</v>
          </cell>
          <cell r="AY53">
            <v>45908</v>
          </cell>
          <cell r="BC53" t="str">
            <v>NFT-/XUTR/DEUTH025251A0L0JX</v>
          </cell>
          <cell r="BD53" t="str">
            <v>NFT-/XUTR/DEUTH025251A0L0JX</v>
          </cell>
          <cell r="BE53" t="str">
            <v>NFT-/XUTR/DEUTH025251A0L0JX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2427.6799999999998</v>
          </cell>
          <cell r="BP53">
            <v>0</v>
          </cell>
          <cell r="BQ53">
            <v>6</v>
          </cell>
          <cell r="BR53">
            <v>6</v>
          </cell>
          <cell r="BS53">
            <v>0</v>
          </cell>
          <cell r="BT53">
            <v>0</v>
          </cell>
          <cell r="BU53">
            <v>0.25</v>
          </cell>
          <cell r="BV53">
            <v>0.25</v>
          </cell>
          <cell r="BW53">
            <v>0.1</v>
          </cell>
          <cell r="BX53" t="str">
            <v>Tiny Kingdom</v>
          </cell>
          <cell r="BY53" t="str">
            <v>Girls</v>
          </cell>
          <cell r="BZ53" t="str">
            <v>External</v>
          </cell>
          <cell r="CA53" t="str">
            <v>Lehenga Choli</v>
          </cell>
          <cell r="CB53" t="str">
            <v>ON_HAND</v>
          </cell>
          <cell r="CC53" t="b">
            <v>0</v>
          </cell>
          <cell r="CD53" t="str">
            <v>**********</v>
          </cell>
          <cell r="CE53">
            <v>400706</v>
          </cell>
          <cell r="CF53" t="str">
            <v>27AXUPC8425A1ZH</v>
          </cell>
          <cell r="CH53" t="str">
            <v>29AAECM9636P1ZJ</v>
          </cell>
          <cell r="CI53" t="str">
            <v>Mumbai</v>
          </cell>
          <cell r="CJ53">
            <v>400013</v>
          </cell>
          <cell r="CK53" t="str">
            <v>maharashtra</v>
          </cell>
          <cell r="CL53" t="str">
            <v>MH</v>
          </cell>
          <cell r="CN53">
            <v>0</v>
          </cell>
          <cell r="CO53">
            <v>673.76800000000003</v>
          </cell>
          <cell r="CP53">
            <v>673.76800000000003</v>
          </cell>
          <cell r="CQ53">
            <v>0</v>
          </cell>
          <cell r="CR53">
            <v>0</v>
          </cell>
          <cell r="CS53">
            <v>0</v>
          </cell>
          <cell r="CT53">
            <v>1575</v>
          </cell>
          <cell r="CU53">
            <v>2.4276800000000001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E53" t="str">
            <v>8edff3f8-d9f4-45bf-b74c-929000d16150</v>
          </cell>
          <cell r="DF53">
            <v>100074000000</v>
          </cell>
          <cell r="DG53">
            <v>12.138</v>
          </cell>
          <cell r="DH53">
            <v>0</v>
          </cell>
          <cell r="DI53">
            <v>2.4279999999999999</v>
          </cell>
          <cell r="DJ53">
            <v>0</v>
          </cell>
          <cell r="DK53" t="str">
            <v>BRONZE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 t="str">
            <v>NA</v>
          </cell>
          <cell r="DU53" t="str">
            <v>NA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-2138.0459999999998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 t="str">
            <v>Settled</v>
          </cell>
          <cell r="FH53">
            <v>2925</v>
          </cell>
          <cell r="FI53">
            <v>2138.0459999999998</v>
          </cell>
          <cell r="FJ53">
            <v>688.33399999999995</v>
          </cell>
          <cell r="FK53">
            <v>107.38</v>
          </cell>
        </row>
        <row r="54">
          <cell r="A54">
            <v>8629832600</v>
          </cell>
          <cell r="B54">
            <v>10629757379</v>
          </cell>
          <cell r="C54" t="str">
            <v>return_refund</v>
          </cell>
          <cell r="D54">
            <v>45903.574999999997</v>
          </cell>
          <cell r="E54">
            <v>45892.679861111108</v>
          </cell>
          <cell r="F54">
            <v>44537</v>
          </cell>
          <cell r="G54" t="str">
            <v>Myntra Designs Pvt Ltd</v>
          </cell>
          <cell r="H54" t="str">
            <v>BETYCLST112352466</v>
          </cell>
          <cell r="I54" t="str">
            <v>\I2726TK000002555\""</v>
          </cell>
          <cell r="J54">
            <v>8629832600</v>
          </cell>
          <cell r="K54">
            <v>62042300</v>
          </cell>
          <cell r="L54" t="str">
            <v>Apparel</v>
          </cell>
          <cell r="M54" t="str">
            <v>INR</v>
          </cell>
          <cell r="N54">
            <v>4594</v>
          </cell>
          <cell r="O54">
            <v>4594</v>
          </cell>
          <cell r="P54">
            <v>0</v>
          </cell>
          <cell r="Q54">
            <v>6000</v>
          </cell>
          <cell r="R54">
            <v>1200</v>
          </cell>
          <cell r="S54" t="str">
            <v>Inter-State</v>
          </cell>
          <cell r="T54">
            <v>12</v>
          </cell>
          <cell r="U54">
            <v>492.21</v>
          </cell>
          <cell r="V54">
            <v>0</v>
          </cell>
          <cell r="W54">
            <v>0</v>
          </cell>
          <cell r="X54">
            <v>20.509</v>
          </cell>
          <cell r="Y54">
            <v>4.1020000000000003</v>
          </cell>
          <cell r="AA54">
            <v>0</v>
          </cell>
          <cell r="AB54">
            <v>1409.4390000000001</v>
          </cell>
          <cell r="AC54">
            <v>1409.4390000000001</v>
          </cell>
          <cell r="AD54">
            <v>1434.05</v>
          </cell>
          <cell r="AE54">
            <v>-132.16</v>
          </cell>
          <cell r="AF54">
            <v>112</v>
          </cell>
          <cell r="AG54">
            <v>0</v>
          </cell>
          <cell r="AH54">
            <v>0</v>
          </cell>
          <cell r="AI54">
            <v>0</v>
          </cell>
          <cell r="AJ54">
            <v>20.16</v>
          </cell>
          <cell r="AK54">
            <v>1</v>
          </cell>
          <cell r="AL54" t="str">
            <v>ZONAL</v>
          </cell>
          <cell r="AM54">
            <v>4800</v>
          </cell>
          <cell r="AN54">
            <v>-3292.11</v>
          </cell>
          <cell r="AO54">
            <v>-3292.11</v>
          </cell>
          <cell r="AP54">
            <v>0</v>
          </cell>
          <cell r="AS54">
            <v>0</v>
          </cell>
          <cell r="AT54">
            <v>1434.05</v>
          </cell>
          <cell r="AU54">
            <v>-132.16</v>
          </cell>
          <cell r="AV54">
            <v>-4594</v>
          </cell>
          <cell r="AZ54">
            <v>45911</v>
          </cell>
          <cell r="BA54">
            <v>45911</v>
          </cell>
          <cell r="BB54">
            <v>45911</v>
          </cell>
          <cell r="BF54" t="str">
            <v>NFT-/XUTR/DEUTH02525408682X</v>
          </cell>
          <cell r="BG54" t="str">
            <v>NFT-/XUTR/DEUTH02525408682X</v>
          </cell>
          <cell r="BH54" t="str">
            <v>NFT-/XUTR/DEUTH02525408682X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4101.79</v>
          </cell>
          <cell r="BP54">
            <v>12</v>
          </cell>
          <cell r="BQ54">
            <v>0</v>
          </cell>
          <cell r="BR54">
            <v>0</v>
          </cell>
          <cell r="BS54">
            <v>0</v>
          </cell>
          <cell r="BT54">
            <v>0.5</v>
          </cell>
          <cell r="BU54">
            <v>0</v>
          </cell>
          <cell r="BV54">
            <v>0</v>
          </cell>
          <cell r="BW54">
            <v>0.1</v>
          </cell>
          <cell r="BX54" t="str">
            <v>BETTY</v>
          </cell>
          <cell r="BY54" t="str">
            <v>Girls</v>
          </cell>
          <cell r="BZ54" t="str">
            <v>External</v>
          </cell>
          <cell r="CA54" t="str">
            <v>Clothing Set</v>
          </cell>
          <cell r="CB54" t="str">
            <v>ON_HAND</v>
          </cell>
          <cell r="CC54" t="b">
            <v>0</v>
          </cell>
          <cell r="CD54" t="str">
            <v>**********</v>
          </cell>
          <cell r="CE54">
            <v>395010</v>
          </cell>
          <cell r="CF54" t="str">
            <v>27AXUPC8425A1ZH</v>
          </cell>
          <cell r="CH54" t="str">
            <v>29AAECM9636P1ZJ</v>
          </cell>
          <cell r="CI54" t="str">
            <v>Mumbai</v>
          </cell>
          <cell r="CJ54">
            <v>400013</v>
          </cell>
          <cell r="CK54" t="str">
            <v>maharashtra</v>
          </cell>
          <cell r="CL54" t="str">
            <v>MH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W54">
            <v>0</v>
          </cell>
          <cell r="CX54">
            <v>1409.4390000000001</v>
          </cell>
          <cell r="CY54">
            <v>1409.4390000000001</v>
          </cell>
          <cell r="CZ54">
            <v>0</v>
          </cell>
          <cell r="DA54">
            <v>0</v>
          </cell>
          <cell r="DB54">
            <v>0</v>
          </cell>
          <cell r="DC54">
            <v>1200</v>
          </cell>
          <cell r="DD54">
            <v>4.1017900000000003</v>
          </cell>
          <cell r="DE54" t="str">
            <v>8bb40015-c8bf-4129-92c4-3ad0b24a852e</v>
          </cell>
          <cell r="DF54">
            <v>100075000000</v>
          </cell>
          <cell r="DG54">
            <v>0</v>
          </cell>
          <cell r="DH54">
            <v>20.509</v>
          </cell>
          <cell r="DI54">
            <v>0</v>
          </cell>
          <cell r="DJ54">
            <v>4.1020000000000003</v>
          </cell>
          <cell r="DK54" t="str">
            <v>BRONZE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 t="str">
            <v>NA</v>
          </cell>
          <cell r="DU54" t="str">
            <v>NA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-3292.11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 t="str">
            <v>Settled</v>
          </cell>
          <cell r="FH54">
            <v>4800</v>
          </cell>
          <cell r="FI54">
            <v>3292.11</v>
          </cell>
          <cell r="FJ54">
            <v>1434.05</v>
          </cell>
          <cell r="FK54">
            <v>132.16</v>
          </cell>
        </row>
        <row r="55">
          <cell r="A55">
            <v>8617829141</v>
          </cell>
          <cell r="B55">
            <v>10617754453</v>
          </cell>
          <cell r="C55" t="str">
            <v>return_refund</v>
          </cell>
          <cell r="D55">
            <v>45893.573611111111</v>
          </cell>
          <cell r="E55">
            <v>45888.475694444445</v>
          </cell>
          <cell r="G55" t="str">
            <v>Myntra Designs Pvt Ltd</v>
          </cell>
          <cell r="H55" t="str">
            <v>BETYDRSS100320368</v>
          </cell>
          <cell r="I55" t="str">
            <v>\I2726TK000002491\""</v>
          </cell>
          <cell r="J55">
            <v>8617829141</v>
          </cell>
          <cell r="K55">
            <v>62042300</v>
          </cell>
          <cell r="L55" t="str">
            <v>Apparel</v>
          </cell>
          <cell r="M55" t="str">
            <v>INR</v>
          </cell>
          <cell r="N55">
            <v>3294</v>
          </cell>
          <cell r="O55">
            <v>0</v>
          </cell>
          <cell r="P55">
            <v>3294</v>
          </cell>
          <cell r="Q55">
            <v>5000</v>
          </cell>
          <cell r="R55">
            <v>1500</v>
          </cell>
          <cell r="S55" t="str">
            <v>Inter-State</v>
          </cell>
          <cell r="T55">
            <v>12</v>
          </cell>
          <cell r="U55">
            <v>352.93</v>
          </cell>
          <cell r="V55">
            <v>0</v>
          </cell>
          <cell r="W55">
            <v>0</v>
          </cell>
          <cell r="X55">
            <v>14.705</v>
          </cell>
          <cell r="Y55">
            <v>2.9409999999999998</v>
          </cell>
          <cell r="AA55">
            <v>0</v>
          </cell>
          <cell r="AB55">
            <v>1049.4680000000001</v>
          </cell>
          <cell r="AC55">
            <v>1049.4680000000001</v>
          </cell>
          <cell r="AD55">
            <v>1067.114</v>
          </cell>
          <cell r="AE55">
            <v>-132.16</v>
          </cell>
          <cell r="AF55">
            <v>112</v>
          </cell>
          <cell r="AG55">
            <v>0</v>
          </cell>
          <cell r="AH55">
            <v>0</v>
          </cell>
          <cell r="AI55">
            <v>0</v>
          </cell>
          <cell r="AJ55">
            <v>20.16</v>
          </cell>
          <cell r="AK55">
            <v>1</v>
          </cell>
          <cell r="AL55" t="str">
            <v>ZONAL</v>
          </cell>
          <cell r="AM55">
            <v>3500</v>
          </cell>
          <cell r="AN55">
            <v>-2359.0459999999998</v>
          </cell>
          <cell r="AO55">
            <v>-2359.0459999999998</v>
          </cell>
          <cell r="AP55">
            <v>0</v>
          </cell>
          <cell r="AQ55">
            <v>1067.114</v>
          </cell>
          <cell r="AR55">
            <v>-132.16</v>
          </cell>
          <cell r="AS55">
            <v>-3294</v>
          </cell>
          <cell r="AV55">
            <v>0</v>
          </cell>
          <cell r="AW55">
            <v>45908</v>
          </cell>
          <cell r="AX55">
            <v>45908</v>
          </cell>
          <cell r="AY55">
            <v>45908</v>
          </cell>
          <cell r="BC55" t="str">
            <v>NFT-/XUTR/DEUTH025251A0L0JX</v>
          </cell>
          <cell r="BD55" t="str">
            <v>NFT-/XUTR/DEUTH025251A0L0JX</v>
          </cell>
          <cell r="BE55" t="str">
            <v>NFT-/XUTR/DEUTH025251A0L0JX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2941.07</v>
          </cell>
          <cell r="BP55">
            <v>12</v>
          </cell>
          <cell r="BQ55">
            <v>0</v>
          </cell>
          <cell r="BR55">
            <v>0</v>
          </cell>
          <cell r="BS55">
            <v>0</v>
          </cell>
          <cell r="BT55">
            <v>0.5</v>
          </cell>
          <cell r="BU55">
            <v>0</v>
          </cell>
          <cell r="BV55">
            <v>0</v>
          </cell>
          <cell r="BW55">
            <v>0.1</v>
          </cell>
          <cell r="BX55" t="str">
            <v>BETTY</v>
          </cell>
          <cell r="BY55" t="str">
            <v>Girls</v>
          </cell>
          <cell r="BZ55" t="str">
            <v>External</v>
          </cell>
          <cell r="CA55" t="str">
            <v>Dresses</v>
          </cell>
          <cell r="CB55" t="str">
            <v>ON_HAND</v>
          </cell>
          <cell r="CC55" t="b">
            <v>0</v>
          </cell>
          <cell r="CD55" t="str">
            <v>**********</v>
          </cell>
          <cell r="CE55">
            <v>462026</v>
          </cell>
          <cell r="CF55" t="str">
            <v>27AXUPC8425A1ZH</v>
          </cell>
          <cell r="CH55" t="str">
            <v>29AAECM9636P1ZJ</v>
          </cell>
          <cell r="CI55" t="str">
            <v>Mumbai</v>
          </cell>
          <cell r="CJ55">
            <v>400013</v>
          </cell>
          <cell r="CK55" t="str">
            <v>maharashtra</v>
          </cell>
          <cell r="CL55" t="str">
            <v>MH</v>
          </cell>
          <cell r="CN55">
            <v>0</v>
          </cell>
          <cell r="CO55">
            <v>1049.4680000000001</v>
          </cell>
          <cell r="CP55">
            <v>1049.4680000000001</v>
          </cell>
          <cell r="CQ55">
            <v>0</v>
          </cell>
          <cell r="CR55">
            <v>0</v>
          </cell>
          <cell r="CS55">
            <v>0</v>
          </cell>
          <cell r="CT55">
            <v>1500</v>
          </cell>
          <cell r="CU55">
            <v>2.9410699999999999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E55" t="str">
            <v>4858f63f-d54d-4d4d-b053-d7e8315820e6</v>
          </cell>
          <cell r="DF55">
            <v>100072000000</v>
          </cell>
          <cell r="DG55">
            <v>14.705</v>
          </cell>
          <cell r="DH55">
            <v>0</v>
          </cell>
          <cell r="DI55">
            <v>2.9409999999999998</v>
          </cell>
          <cell r="DJ55">
            <v>0</v>
          </cell>
          <cell r="DK55" t="str">
            <v>BRONZE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 t="str">
            <v>NA</v>
          </cell>
          <cell r="DU55" t="str">
            <v>NA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-2359.0459999999998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 t="str">
            <v>Settled</v>
          </cell>
          <cell r="FH55">
            <v>3500</v>
          </cell>
          <cell r="FI55">
            <v>2359.0459999999998</v>
          </cell>
          <cell r="FJ55">
            <v>1067.114</v>
          </cell>
          <cell r="FK55">
            <v>132.16</v>
          </cell>
        </row>
        <row r="56">
          <cell r="A56">
            <v>8649864856</v>
          </cell>
          <cell r="B56">
            <v>10649789160</v>
          </cell>
          <cell r="C56" t="str">
            <v>return_refund</v>
          </cell>
          <cell r="D56">
            <v>45911.575694444444</v>
          </cell>
          <cell r="E56">
            <v>45905.578472222223</v>
          </cell>
          <cell r="F56">
            <v>44541</v>
          </cell>
          <cell r="G56" t="str">
            <v>Myntra Designs Pvt Ltd</v>
          </cell>
          <cell r="H56" t="str">
            <v>BETYDRSS93852552</v>
          </cell>
          <cell r="I56" t="str">
            <v>\I2726TK000002761\""</v>
          </cell>
          <cell r="J56">
            <v>8649864856</v>
          </cell>
          <cell r="K56">
            <v>62042300</v>
          </cell>
          <cell r="L56" t="str">
            <v>Apparel</v>
          </cell>
          <cell r="M56" t="str">
            <v>INR</v>
          </cell>
          <cell r="N56">
            <v>3294</v>
          </cell>
          <cell r="O56">
            <v>3294</v>
          </cell>
          <cell r="P56">
            <v>0</v>
          </cell>
          <cell r="Q56">
            <v>5000</v>
          </cell>
          <cell r="R56">
            <v>1500</v>
          </cell>
          <cell r="S56" t="str">
            <v>Inter-State</v>
          </cell>
          <cell r="T56">
            <v>12</v>
          </cell>
          <cell r="U56">
            <v>352.93</v>
          </cell>
          <cell r="V56">
            <v>0</v>
          </cell>
          <cell r="W56">
            <v>0</v>
          </cell>
          <cell r="X56">
            <v>14.705</v>
          </cell>
          <cell r="Y56">
            <v>2.9409999999999998</v>
          </cell>
          <cell r="AA56">
            <v>0</v>
          </cell>
          <cell r="AB56">
            <v>1049.4680000000001</v>
          </cell>
          <cell r="AC56">
            <v>1049.4680000000001</v>
          </cell>
          <cell r="AD56">
            <v>1067.114</v>
          </cell>
          <cell r="AE56">
            <v>-197.06</v>
          </cell>
          <cell r="AF56">
            <v>167</v>
          </cell>
          <cell r="AG56">
            <v>0</v>
          </cell>
          <cell r="AH56">
            <v>0</v>
          </cell>
          <cell r="AI56">
            <v>0</v>
          </cell>
          <cell r="AJ56">
            <v>30.06</v>
          </cell>
          <cell r="AK56">
            <v>1</v>
          </cell>
          <cell r="AL56" t="str">
            <v>NATIONAL</v>
          </cell>
          <cell r="AM56">
            <v>3500</v>
          </cell>
          <cell r="AN56">
            <v>-2423.9459999999999</v>
          </cell>
          <cell r="AO56">
            <v>-2423.9459999999999</v>
          </cell>
          <cell r="AP56">
            <v>0</v>
          </cell>
          <cell r="AS56">
            <v>0</v>
          </cell>
          <cell r="AT56">
            <v>1067.114</v>
          </cell>
          <cell r="AU56">
            <v>-197.06</v>
          </cell>
          <cell r="AV56">
            <v>-3294</v>
          </cell>
          <cell r="AZ56">
            <v>45924</v>
          </cell>
          <cell r="BA56">
            <v>45924</v>
          </cell>
          <cell r="BB56">
            <v>45924</v>
          </cell>
          <cell r="BF56" t="str">
            <v>NFT-/XUTR/DEUTH025267A0V51X</v>
          </cell>
          <cell r="BG56" t="str">
            <v>NFT-/XUTR/DEUTH025267A0V51X</v>
          </cell>
          <cell r="BH56" t="str">
            <v>NFT-/XUTR/DEUTH025267A0V51X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2941.07</v>
          </cell>
          <cell r="BP56">
            <v>12</v>
          </cell>
          <cell r="BQ56">
            <v>0</v>
          </cell>
          <cell r="BR56">
            <v>0</v>
          </cell>
          <cell r="BS56">
            <v>0</v>
          </cell>
          <cell r="BT56">
            <v>0.5</v>
          </cell>
          <cell r="BU56">
            <v>0</v>
          </cell>
          <cell r="BV56">
            <v>0</v>
          </cell>
          <cell r="BW56">
            <v>0.1</v>
          </cell>
          <cell r="BX56" t="str">
            <v>BETTY</v>
          </cell>
          <cell r="BY56" t="str">
            <v>Girls</v>
          </cell>
          <cell r="BZ56" t="str">
            <v>External</v>
          </cell>
          <cell r="CA56" t="str">
            <v>Dresses</v>
          </cell>
          <cell r="CB56" t="str">
            <v>ON_HAND</v>
          </cell>
          <cell r="CC56" t="b">
            <v>0</v>
          </cell>
          <cell r="CD56" t="str">
            <v>**********</v>
          </cell>
          <cell r="CE56">
            <v>110063</v>
          </cell>
          <cell r="CF56" t="str">
            <v>27AXUPC8425A1ZH</v>
          </cell>
          <cell r="CH56" t="str">
            <v>29AAECM9636P1ZJ</v>
          </cell>
          <cell r="CI56" t="str">
            <v>Mumbai</v>
          </cell>
          <cell r="CJ56">
            <v>400013</v>
          </cell>
          <cell r="CK56" t="str">
            <v>maharashtra</v>
          </cell>
          <cell r="CL56" t="str">
            <v>MH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W56">
            <v>0</v>
          </cell>
          <cell r="CX56">
            <v>1049.4680000000001</v>
          </cell>
          <cell r="CY56">
            <v>1049.4680000000001</v>
          </cell>
          <cell r="CZ56">
            <v>0</v>
          </cell>
          <cell r="DA56">
            <v>0</v>
          </cell>
          <cell r="DB56">
            <v>0</v>
          </cell>
          <cell r="DC56">
            <v>1500</v>
          </cell>
          <cell r="DD56">
            <v>2.9410699999999999</v>
          </cell>
          <cell r="DE56" t="str">
            <v>cf5b16e3-120c-4206-8ce1-737266ec0b1c</v>
          </cell>
          <cell r="DF56">
            <v>100077000000</v>
          </cell>
          <cell r="DG56">
            <v>0</v>
          </cell>
          <cell r="DH56">
            <v>14.705</v>
          </cell>
          <cell r="DI56">
            <v>0</v>
          </cell>
          <cell r="DJ56">
            <v>2.9409999999999998</v>
          </cell>
          <cell r="DK56" t="str">
            <v>BRONZE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 t="str">
            <v>NA</v>
          </cell>
          <cell r="DU56" t="str">
            <v>NA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-2423.9459999999999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 t="str">
            <v>Settled</v>
          </cell>
          <cell r="FH56">
            <v>3500</v>
          </cell>
          <cell r="FI56">
            <v>2423.9459999999999</v>
          </cell>
          <cell r="FJ56">
            <v>1067.114</v>
          </cell>
          <cell r="FK56">
            <v>197.06</v>
          </cell>
        </row>
        <row r="57">
          <cell r="A57">
            <v>8625548146</v>
          </cell>
          <cell r="B57">
            <v>10625473049</v>
          </cell>
          <cell r="C57" t="str">
            <v>return_refund</v>
          </cell>
          <cell r="D57">
            <v>45895.552083333336</v>
          </cell>
          <cell r="E57">
            <v>45890.458333333336</v>
          </cell>
          <cell r="G57" t="str">
            <v>Myntra Designs Pvt Ltd</v>
          </cell>
          <cell r="H57" t="str">
            <v>TIKIDRSS101150930</v>
          </cell>
          <cell r="I57" t="str">
            <v>\I2726TK000002522\""</v>
          </cell>
          <cell r="J57">
            <v>8625548146</v>
          </cell>
          <cell r="K57">
            <v>62042300</v>
          </cell>
          <cell r="L57" t="str">
            <v>Apparel</v>
          </cell>
          <cell r="M57" t="str">
            <v>INR</v>
          </cell>
          <cell r="N57">
            <v>1704</v>
          </cell>
          <cell r="O57">
            <v>0</v>
          </cell>
          <cell r="P57">
            <v>1704</v>
          </cell>
          <cell r="Q57">
            <v>3750</v>
          </cell>
          <cell r="R57">
            <v>1875</v>
          </cell>
          <cell r="S57" t="str">
            <v>Inter-State</v>
          </cell>
          <cell r="T57">
            <v>12</v>
          </cell>
          <cell r="U57">
            <v>182.57</v>
          </cell>
          <cell r="V57">
            <v>0</v>
          </cell>
          <cell r="W57">
            <v>0</v>
          </cell>
          <cell r="X57">
            <v>7.6070000000000002</v>
          </cell>
          <cell r="Y57">
            <v>1.5209999999999999</v>
          </cell>
          <cell r="AA57">
            <v>0</v>
          </cell>
          <cell r="AB57">
            <v>382.03699999999998</v>
          </cell>
          <cell r="AC57">
            <v>382.03699999999998</v>
          </cell>
          <cell r="AD57">
            <v>391.16500000000002</v>
          </cell>
          <cell r="AE57">
            <v>-132.16</v>
          </cell>
          <cell r="AF57">
            <v>112</v>
          </cell>
          <cell r="AG57">
            <v>0</v>
          </cell>
          <cell r="AH57">
            <v>0</v>
          </cell>
          <cell r="AI57">
            <v>0</v>
          </cell>
          <cell r="AJ57">
            <v>20.16</v>
          </cell>
          <cell r="AK57">
            <v>1</v>
          </cell>
          <cell r="AL57" t="str">
            <v>ZONAL</v>
          </cell>
          <cell r="AM57">
            <v>1875</v>
          </cell>
          <cell r="AN57">
            <v>-1444.9949999999999</v>
          </cell>
          <cell r="AO57">
            <v>-1444.9949999999999</v>
          </cell>
          <cell r="AP57">
            <v>0</v>
          </cell>
          <cell r="AQ57">
            <v>391.16500000000002</v>
          </cell>
          <cell r="AR57">
            <v>-132.16</v>
          </cell>
          <cell r="AS57">
            <v>-1704</v>
          </cell>
          <cell r="AV57">
            <v>0</v>
          </cell>
          <cell r="AW57">
            <v>45908</v>
          </cell>
          <cell r="AX57">
            <v>45908</v>
          </cell>
          <cell r="AY57">
            <v>45908</v>
          </cell>
          <cell r="BC57" t="str">
            <v>NFT-/XUTR/DEUTH025251A0L0JX</v>
          </cell>
          <cell r="BD57" t="str">
            <v>NFT-/XUTR/DEUTH025251A0L0JX</v>
          </cell>
          <cell r="BE57" t="str">
            <v>NFT-/XUTR/DEUTH025251A0L0JX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1521.43</v>
          </cell>
          <cell r="BP57">
            <v>12</v>
          </cell>
          <cell r="BQ57">
            <v>0</v>
          </cell>
          <cell r="BR57">
            <v>0</v>
          </cell>
          <cell r="BS57">
            <v>0</v>
          </cell>
          <cell r="BT57">
            <v>0.5</v>
          </cell>
          <cell r="BU57">
            <v>0</v>
          </cell>
          <cell r="BV57">
            <v>0</v>
          </cell>
          <cell r="BW57">
            <v>0.1</v>
          </cell>
          <cell r="BX57" t="str">
            <v>Tiny Kingdom</v>
          </cell>
          <cell r="BY57" t="str">
            <v>Girls</v>
          </cell>
          <cell r="BZ57" t="str">
            <v>External</v>
          </cell>
          <cell r="CA57" t="str">
            <v>Dresses</v>
          </cell>
          <cell r="CB57" t="str">
            <v>ON_HAND</v>
          </cell>
          <cell r="CC57" t="b">
            <v>0</v>
          </cell>
          <cell r="CD57" t="str">
            <v>**********</v>
          </cell>
          <cell r="CE57">
            <v>560061</v>
          </cell>
          <cell r="CF57" t="str">
            <v>27AXUPC8425A1ZH</v>
          </cell>
          <cell r="CH57" t="str">
            <v>29AAECM9636P1ZJ</v>
          </cell>
          <cell r="CI57" t="str">
            <v>Mumbai</v>
          </cell>
          <cell r="CJ57">
            <v>400013</v>
          </cell>
          <cell r="CK57" t="str">
            <v>maharashtra</v>
          </cell>
          <cell r="CL57" t="str">
            <v>MH</v>
          </cell>
          <cell r="CN57">
            <v>0</v>
          </cell>
          <cell r="CO57">
            <v>382.03699999999998</v>
          </cell>
          <cell r="CP57">
            <v>382.03699999999998</v>
          </cell>
          <cell r="CQ57">
            <v>0</v>
          </cell>
          <cell r="CR57">
            <v>0</v>
          </cell>
          <cell r="CS57">
            <v>0</v>
          </cell>
          <cell r="CT57">
            <v>1875</v>
          </cell>
          <cell r="CU57">
            <v>1.5214300000000001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E57" t="str">
            <v>839e5cda-1efc-4165-bf83-80b4212f94d9</v>
          </cell>
          <cell r="DF57">
            <v>100073000000</v>
          </cell>
          <cell r="DG57">
            <v>7.6070000000000002</v>
          </cell>
          <cell r="DH57">
            <v>0</v>
          </cell>
          <cell r="DI57">
            <v>1.5209999999999999</v>
          </cell>
          <cell r="DJ57">
            <v>0</v>
          </cell>
          <cell r="DK57" t="str">
            <v>BRONZE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 t="str">
            <v>NA</v>
          </cell>
          <cell r="DU57" t="str">
            <v>NA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-1444.9949999999999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 t="str">
            <v>Settled</v>
          </cell>
          <cell r="FH57">
            <v>1875</v>
          </cell>
          <cell r="FI57">
            <v>1444.9949999999999</v>
          </cell>
          <cell r="FJ57">
            <v>391.16500000000002</v>
          </cell>
          <cell r="FK57">
            <v>132.16</v>
          </cell>
        </row>
        <row r="58">
          <cell r="A58">
            <v>8622201619</v>
          </cell>
          <cell r="B58">
            <v>10622126692</v>
          </cell>
          <cell r="C58" t="str">
            <v>return_refund</v>
          </cell>
          <cell r="D58">
            <v>45900.611805555556</v>
          </cell>
          <cell r="E58">
            <v>45887.75277777778</v>
          </cell>
          <cell r="F58">
            <v>44526</v>
          </cell>
          <cell r="G58" t="str">
            <v>Myntra Designs Pvt Ltd</v>
          </cell>
          <cell r="H58" t="str">
            <v>BETYDRSS74936808</v>
          </cell>
          <cell r="I58" t="str">
            <v>\I2726TK000002466\""</v>
          </cell>
          <cell r="J58">
            <v>8622201619</v>
          </cell>
          <cell r="K58">
            <v>62042300</v>
          </cell>
          <cell r="L58" t="str">
            <v>Apparel</v>
          </cell>
          <cell r="M58" t="str">
            <v>INR</v>
          </cell>
          <cell r="N58">
            <v>1819</v>
          </cell>
          <cell r="O58">
            <v>0</v>
          </cell>
          <cell r="P58">
            <v>1819</v>
          </cell>
          <cell r="Q58">
            <v>4500</v>
          </cell>
          <cell r="R58">
            <v>2475</v>
          </cell>
          <cell r="S58" t="str">
            <v>Inter-State</v>
          </cell>
          <cell r="T58">
            <v>12</v>
          </cell>
          <cell r="U58">
            <v>194.89</v>
          </cell>
          <cell r="V58">
            <v>0</v>
          </cell>
          <cell r="W58">
            <v>0</v>
          </cell>
          <cell r="X58">
            <v>8.1210000000000004</v>
          </cell>
          <cell r="Y58">
            <v>1.6240000000000001</v>
          </cell>
          <cell r="AA58">
            <v>0</v>
          </cell>
          <cell r="AB58">
            <v>536.60500000000002</v>
          </cell>
          <cell r="AC58">
            <v>536.60500000000002</v>
          </cell>
          <cell r="AD58">
            <v>546.35</v>
          </cell>
          <cell r="AE58">
            <v>-197.06</v>
          </cell>
          <cell r="AF58">
            <v>167</v>
          </cell>
          <cell r="AG58">
            <v>0</v>
          </cell>
          <cell r="AH58">
            <v>0</v>
          </cell>
          <cell r="AI58">
            <v>0</v>
          </cell>
          <cell r="AJ58">
            <v>30.06</v>
          </cell>
          <cell r="AK58">
            <v>1</v>
          </cell>
          <cell r="AL58" t="str">
            <v>NATIONAL</v>
          </cell>
          <cell r="AM58">
            <v>2025</v>
          </cell>
          <cell r="AN58">
            <v>-1469.71</v>
          </cell>
          <cell r="AO58">
            <v>-1469.71</v>
          </cell>
          <cell r="AP58">
            <v>0</v>
          </cell>
          <cell r="AQ58">
            <v>546.35</v>
          </cell>
          <cell r="AR58">
            <v>-197.06</v>
          </cell>
          <cell r="AS58">
            <v>-1819</v>
          </cell>
          <cell r="AV58">
            <v>0</v>
          </cell>
          <cell r="AW58">
            <v>45908</v>
          </cell>
          <cell r="AX58">
            <v>45908</v>
          </cell>
          <cell r="AY58">
            <v>45908</v>
          </cell>
          <cell r="BC58" t="str">
            <v>NFT-/XUTR/DEUTH025251A0L0JX</v>
          </cell>
          <cell r="BD58" t="str">
            <v>NFT-/XUTR/DEUTH025251A0L0JX</v>
          </cell>
          <cell r="BE58" t="str">
            <v>NFT-/XUTR/DEUTH025251A0L0JX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1624.11</v>
          </cell>
          <cell r="BP58">
            <v>12</v>
          </cell>
          <cell r="BQ58">
            <v>0</v>
          </cell>
          <cell r="BR58">
            <v>0</v>
          </cell>
          <cell r="BS58">
            <v>0</v>
          </cell>
          <cell r="BT58">
            <v>0.5</v>
          </cell>
          <cell r="BU58">
            <v>0</v>
          </cell>
          <cell r="BV58">
            <v>0</v>
          </cell>
          <cell r="BW58">
            <v>0.1</v>
          </cell>
          <cell r="BX58" t="str">
            <v>BETTY</v>
          </cell>
          <cell r="BY58" t="str">
            <v>Girls</v>
          </cell>
          <cell r="BZ58" t="str">
            <v>External</v>
          </cell>
          <cell r="CA58" t="str">
            <v>Ethnic Dresses</v>
          </cell>
          <cell r="CB58" t="str">
            <v>ON_HAND</v>
          </cell>
          <cell r="CC58" t="b">
            <v>0</v>
          </cell>
          <cell r="CD58" t="str">
            <v>**********</v>
          </cell>
          <cell r="CE58">
            <v>600101</v>
          </cell>
          <cell r="CF58" t="str">
            <v>27AXUPC8425A1ZH</v>
          </cell>
          <cell r="CH58" t="str">
            <v>29AAECM9636P1ZJ</v>
          </cell>
          <cell r="CI58" t="str">
            <v>Mumbai</v>
          </cell>
          <cell r="CJ58">
            <v>400013</v>
          </cell>
          <cell r="CK58" t="str">
            <v>maharashtra</v>
          </cell>
          <cell r="CL58" t="str">
            <v>MH</v>
          </cell>
          <cell r="CN58">
            <v>0</v>
          </cell>
          <cell r="CO58">
            <v>536.60500000000002</v>
          </cell>
          <cell r="CP58">
            <v>536.60500000000002</v>
          </cell>
          <cell r="CQ58">
            <v>0</v>
          </cell>
          <cell r="CR58">
            <v>0</v>
          </cell>
          <cell r="CS58">
            <v>0</v>
          </cell>
          <cell r="CT58">
            <v>2475</v>
          </cell>
          <cell r="CU58">
            <v>1.6241099999999999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E58" t="str">
            <v>3add5811-7811-4fc3-b10f-10494af8e2ca</v>
          </cell>
          <cell r="DF58">
            <v>100074000000</v>
          </cell>
          <cell r="DG58">
            <v>8.1210000000000004</v>
          </cell>
          <cell r="DH58">
            <v>0</v>
          </cell>
          <cell r="DI58">
            <v>1.6240000000000001</v>
          </cell>
          <cell r="DJ58">
            <v>0</v>
          </cell>
          <cell r="DK58" t="str">
            <v>BRONZE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 t="str">
            <v>NA</v>
          </cell>
          <cell r="DU58" t="str">
            <v>NA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-1469.71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 t="str">
            <v>Settled</v>
          </cell>
          <cell r="FH58">
            <v>2025</v>
          </cell>
          <cell r="FI58">
            <v>1469.71</v>
          </cell>
          <cell r="FJ58">
            <v>546.35</v>
          </cell>
          <cell r="FK58">
            <v>197.06</v>
          </cell>
        </row>
        <row r="59">
          <cell r="A59">
            <v>8652565766</v>
          </cell>
          <cell r="B59">
            <v>10652490004</v>
          </cell>
          <cell r="C59" t="str">
            <v>return_refund</v>
          </cell>
          <cell r="D59">
            <v>45914.359027777777</v>
          </cell>
          <cell r="E59">
            <v>45906.671527777777</v>
          </cell>
          <cell r="G59" t="str">
            <v>Myntra Designs Pvt Ltd</v>
          </cell>
          <cell r="H59" t="str">
            <v>TNBYDRSS96885033</v>
          </cell>
          <cell r="I59" t="str">
            <v>\I2726TK000002780\""</v>
          </cell>
          <cell r="J59">
            <v>8652565766</v>
          </cell>
          <cell r="K59">
            <v>62042300</v>
          </cell>
          <cell r="L59" t="str">
            <v>Apparel</v>
          </cell>
          <cell r="M59" t="str">
            <v>INR</v>
          </cell>
          <cell r="N59">
            <v>1794</v>
          </cell>
          <cell r="O59">
            <v>0</v>
          </cell>
          <cell r="P59">
            <v>1794</v>
          </cell>
          <cell r="Q59">
            <v>2500</v>
          </cell>
          <cell r="R59">
            <v>500</v>
          </cell>
          <cell r="S59" t="str">
            <v>Intra-State</v>
          </cell>
          <cell r="T59">
            <v>12</v>
          </cell>
          <cell r="U59">
            <v>0</v>
          </cell>
          <cell r="V59">
            <v>96.11</v>
          </cell>
          <cell r="W59">
            <v>96.11</v>
          </cell>
          <cell r="X59">
            <v>8.0090000000000003</v>
          </cell>
          <cell r="Y59">
            <v>1.6020000000000001</v>
          </cell>
          <cell r="AA59">
            <v>0</v>
          </cell>
          <cell r="AB59">
            <v>486.892</v>
          </cell>
          <cell r="AC59">
            <v>486.892</v>
          </cell>
          <cell r="AD59">
            <v>496.50299999999999</v>
          </cell>
          <cell r="AE59">
            <v>-107.38</v>
          </cell>
          <cell r="AF59">
            <v>91</v>
          </cell>
          <cell r="AG59">
            <v>0</v>
          </cell>
          <cell r="AH59">
            <v>0</v>
          </cell>
          <cell r="AI59">
            <v>0</v>
          </cell>
          <cell r="AJ59">
            <v>16.38</v>
          </cell>
          <cell r="AK59">
            <v>1</v>
          </cell>
          <cell r="AL59" t="str">
            <v>LOCAL</v>
          </cell>
          <cell r="AM59">
            <v>2000</v>
          </cell>
          <cell r="AN59">
            <v>-1404.877</v>
          </cell>
          <cell r="AO59">
            <v>-1404.877</v>
          </cell>
          <cell r="AP59">
            <v>0</v>
          </cell>
          <cell r="AQ59">
            <v>496.50299999999999</v>
          </cell>
          <cell r="AR59">
            <v>-107.38</v>
          </cell>
          <cell r="AS59">
            <v>-1794</v>
          </cell>
          <cell r="AV59">
            <v>0</v>
          </cell>
          <cell r="AW59">
            <v>45924</v>
          </cell>
          <cell r="AX59">
            <v>45924</v>
          </cell>
          <cell r="AY59">
            <v>45924</v>
          </cell>
          <cell r="BC59" t="str">
            <v>NFT-/XUTR/DEUTH025267A0XFKX</v>
          </cell>
          <cell r="BD59" t="str">
            <v>NFT-/XUTR/DEUTH025267A0XFKX</v>
          </cell>
          <cell r="BE59" t="str">
            <v>NFT-/XUTR/DEUTH025267A0XFKX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1601.78</v>
          </cell>
          <cell r="BP59">
            <v>0</v>
          </cell>
          <cell r="BQ59">
            <v>6</v>
          </cell>
          <cell r="BR59">
            <v>6</v>
          </cell>
          <cell r="BS59">
            <v>0</v>
          </cell>
          <cell r="BT59">
            <v>0</v>
          </cell>
          <cell r="BU59">
            <v>0.25</v>
          </cell>
          <cell r="BV59">
            <v>0.25</v>
          </cell>
          <cell r="BW59">
            <v>0.1</v>
          </cell>
          <cell r="BX59" t="str">
            <v>Tiny Baby</v>
          </cell>
          <cell r="BY59" t="str">
            <v>Girls</v>
          </cell>
          <cell r="BZ59" t="str">
            <v>External</v>
          </cell>
          <cell r="CA59" t="str">
            <v>Dresses</v>
          </cell>
          <cell r="CB59" t="str">
            <v>ON_HAND</v>
          </cell>
          <cell r="CC59" t="b">
            <v>0</v>
          </cell>
          <cell r="CD59" t="str">
            <v>**********</v>
          </cell>
          <cell r="CE59">
            <v>411048</v>
          </cell>
          <cell r="CF59" t="str">
            <v>27AXUPC8425A1ZH</v>
          </cell>
          <cell r="CH59" t="str">
            <v>29AAECM9636P1ZJ</v>
          </cell>
          <cell r="CI59" t="str">
            <v>Mumbai</v>
          </cell>
          <cell r="CJ59">
            <v>400013</v>
          </cell>
          <cell r="CK59" t="str">
            <v>maharashtra</v>
          </cell>
          <cell r="CL59" t="str">
            <v>MH</v>
          </cell>
          <cell r="CN59">
            <v>0</v>
          </cell>
          <cell r="CO59">
            <v>486.892</v>
          </cell>
          <cell r="CP59">
            <v>486.892</v>
          </cell>
          <cell r="CQ59">
            <v>0</v>
          </cell>
          <cell r="CR59">
            <v>0</v>
          </cell>
          <cell r="CS59">
            <v>0</v>
          </cell>
          <cell r="CT59">
            <v>500</v>
          </cell>
          <cell r="CU59">
            <v>1.60178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E59" t="str">
            <v>a7e64f66-804f-430e-ad36-8befb68c837e</v>
          </cell>
          <cell r="DF59">
            <v>100078000000</v>
          </cell>
          <cell r="DG59">
            <v>8.0090000000000003</v>
          </cell>
          <cell r="DH59">
            <v>0</v>
          </cell>
          <cell r="DI59">
            <v>1.6020000000000001</v>
          </cell>
          <cell r="DJ59">
            <v>0</v>
          </cell>
          <cell r="DK59" t="str">
            <v>BRONZE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 t="str">
            <v>NA</v>
          </cell>
          <cell r="DU59" t="str">
            <v>NA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-1404.877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 t="str">
            <v>Settled</v>
          </cell>
          <cell r="FH59">
            <v>2000</v>
          </cell>
          <cell r="FI59">
            <v>1404.877</v>
          </cell>
          <cell r="FJ59">
            <v>496.50299999999999</v>
          </cell>
          <cell r="FK59">
            <v>107.38</v>
          </cell>
        </row>
        <row r="60">
          <cell r="A60">
            <v>8654459527</v>
          </cell>
          <cell r="B60">
            <v>10654383736</v>
          </cell>
          <cell r="C60" t="str">
            <v>return_refund</v>
          </cell>
          <cell r="D60">
            <v>45914.474305555559</v>
          </cell>
          <cell r="E60">
            <v>45908.48333333333</v>
          </cell>
          <cell r="F60">
            <v>44545</v>
          </cell>
          <cell r="G60" t="str">
            <v>Myntra Designs Pvt Ltd</v>
          </cell>
          <cell r="H60" t="str">
            <v>TIKILHNC112303897</v>
          </cell>
          <cell r="I60" t="str">
            <v>\I2726TK000002804\""</v>
          </cell>
          <cell r="J60">
            <v>8654459527</v>
          </cell>
          <cell r="K60">
            <v>62042300</v>
          </cell>
          <cell r="L60" t="str">
            <v>Apparel</v>
          </cell>
          <cell r="M60" t="str">
            <v>INR</v>
          </cell>
          <cell r="N60">
            <v>2794</v>
          </cell>
          <cell r="O60">
            <v>0</v>
          </cell>
          <cell r="P60">
            <v>2794</v>
          </cell>
          <cell r="Q60">
            <v>3750</v>
          </cell>
          <cell r="R60">
            <v>750</v>
          </cell>
          <cell r="S60" t="str">
            <v>Inter-State</v>
          </cell>
          <cell r="T60">
            <v>12</v>
          </cell>
          <cell r="U60">
            <v>299.36</v>
          </cell>
          <cell r="V60">
            <v>0</v>
          </cell>
          <cell r="W60">
            <v>0</v>
          </cell>
          <cell r="X60">
            <v>12.473000000000001</v>
          </cell>
          <cell r="Y60">
            <v>2.4950000000000001</v>
          </cell>
          <cell r="AA60">
            <v>0</v>
          </cell>
          <cell r="AB60">
            <v>692.35299999999995</v>
          </cell>
          <cell r="AC60">
            <v>692.35299999999995</v>
          </cell>
          <cell r="AD60">
            <v>707.32100000000003</v>
          </cell>
          <cell r="AE60">
            <v>-132.16</v>
          </cell>
          <cell r="AF60">
            <v>112</v>
          </cell>
          <cell r="AG60">
            <v>0</v>
          </cell>
          <cell r="AH60">
            <v>0</v>
          </cell>
          <cell r="AI60">
            <v>0</v>
          </cell>
          <cell r="AJ60">
            <v>20.16</v>
          </cell>
          <cell r="AK60">
            <v>1</v>
          </cell>
          <cell r="AL60" t="str">
            <v>ZONAL</v>
          </cell>
          <cell r="AM60">
            <v>3000</v>
          </cell>
          <cell r="AN60">
            <v>-2218.8389999999999</v>
          </cell>
          <cell r="AO60">
            <v>-2218.8389999999999</v>
          </cell>
          <cell r="AP60">
            <v>0</v>
          </cell>
          <cell r="AQ60">
            <v>707.32100000000003</v>
          </cell>
          <cell r="AR60">
            <v>-132.16</v>
          </cell>
          <cell r="AS60">
            <v>-2794</v>
          </cell>
          <cell r="AV60">
            <v>0</v>
          </cell>
          <cell r="AW60">
            <v>45925</v>
          </cell>
          <cell r="AX60">
            <v>45925</v>
          </cell>
          <cell r="AY60">
            <v>45925</v>
          </cell>
          <cell r="BC60" t="str">
            <v>NFT-/XUTR/DEUTH02526823565X</v>
          </cell>
          <cell r="BD60" t="str">
            <v>NFT-/XUTR/DEUTH02526823565X</v>
          </cell>
          <cell r="BE60" t="str">
            <v>NFT-/XUTR/DEUTH02526823565X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2494.64</v>
          </cell>
          <cell r="BP60">
            <v>12</v>
          </cell>
          <cell r="BQ60">
            <v>0</v>
          </cell>
          <cell r="BR60">
            <v>0</v>
          </cell>
          <cell r="BS60">
            <v>0</v>
          </cell>
          <cell r="BT60">
            <v>0.5</v>
          </cell>
          <cell r="BU60">
            <v>0</v>
          </cell>
          <cell r="BV60">
            <v>0</v>
          </cell>
          <cell r="BW60">
            <v>0.1</v>
          </cell>
          <cell r="BX60" t="str">
            <v>Tiny Kingdom</v>
          </cell>
          <cell r="BY60" t="str">
            <v>Girls</v>
          </cell>
          <cell r="BZ60" t="str">
            <v>External</v>
          </cell>
          <cell r="CA60" t="str">
            <v>Lehenga Choli</v>
          </cell>
          <cell r="CB60" t="str">
            <v>ON_HAND</v>
          </cell>
          <cell r="CC60" t="b">
            <v>0</v>
          </cell>
          <cell r="CD60" t="str">
            <v>**********</v>
          </cell>
          <cell r="CE60">
            <v>560103</v>
          </cell>
          <cell r="CF60" t="str">
            <v>27AXUPC8425A1ZH</v>
          </cell>
          <cell r="CH60" t="str">
            <v>29AAECM9636P1ZJ</v>
          </cell>
          <cell r="CI60" t="str">
            <v>Mumbai</v>
          </cell>
          <cell r="CJ60">
            <v>400013</v>
          </cell>
          <cell r="CK60" t="str">
            <v>maharashtra</v>
          </cell>
          <cell r="CL60" t="str">
            <v>MH</v>
          </cell>
          <cell r="CN60">
            <v>0</v>
          </cell>
          <cell r="CO60">
            <v>692.35299999999995</v>
          </cell>
          <cell r="CP60">
            <v>692.35299999999995</v>
          </cell>
          <cell r="CQ60">
            <v>0</v>
          </cell>
          <cell r="CR60">
            <v>0</v>
          </cell>
          <cell r="CS60">
            <v>0</v>
          </cell>
          <cell r="CT60">
            <v>750</v>
          </cell>
          <cell r="CU60">
            <v>2.49464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E60" t="str">
            <v>8473c17a-e9dc-4185-b4eb-e45d90ab1f8e</v>
          </cell>
          <cell r="DF60">
            <v>100078000000</v>
          </cell>
          <cell r="DG60">
            <v>12.473000000000001</v>
          </cell>
          <cell r="DH60">
            <v>0</v>
          </cell>
          <cell r="DI60">
            <v>2.4950000000000001</v>
          </cell>
          <cell r="DJ60">
            <v>0</v>
          </cell>
          <cell r="DK60" t="str">
            <v>BRONZE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 t="str">
            <v>NA</v>
          </cell>
          <cell r="DU60" t="str">
            <v>NA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-2218.8389999999999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 t="str">
            <v>Settled</v>
          </cell>
          <cell r="FH60">
            <v>3000</v>
          </cell>
          <cell r="FI60">
            <v>2218.8389999999999</v>
          </cell>
          <cell r="FJ60">
            <v>707.32100000000003</v>
          </cell>
          <cell r="FK60">
            <v>132.16</v>
          </cell>
        </row>
        <row r="61">
          <cell r="A61">
            <v>8610217098</v>
          </cell>
          <cell r="B61">
            <v>10610142791</v>
          </cell>
          <cell r="C61" t="str">
            <v>return_refund</v>
          </cell>
          <cell r="D61">
            <v>45886.627083333333</v>
          </cell>
          <cell r="E61">
            <v>45880.458333333336</v>
          </cell>
          <cell r="F61">
            <v>44514</v>
          </cell>
          <cell r="G61" t="str">
            <v>Myntra Designs Pvt Ltd</v>
          </cell>
          <cell r="H61" t="str">
            <v>TNBYCLST79241160</v>
          </cell>
          <cell r="I61" t="str">
            <v>\I2726TK000002355\""</v>
          </cell>
          <cell r="J61">
            <v>8610217098</v>
          </cell>
          <cell r="K61">
            <v>62042300</v>
          </cell>
          <cell r="L61" t="str">
            <v>Apparel</v>
          </cell>
          <cell r="M61" t="str">
            <v>INR</v>
          </cell>
          <cell r="N61">
            <v>1894</v>
          </cell>
          <cell r="O61">
            <v>1894</v>
          </cell>
          <cell r="P61">
            <v>0</v>
          </cell>
          <cell r="Q61">
            <v>3000</v>
          </cell>
          <cell r="R61">
            <v>900</v>
          </cell>
          <cell r="S61" t="str">
            <v>Inter-State</v>
          </cell>
          <cell r="T61">
            <v>12</v>
          </cell>
          <cell r="U61">
            <v>202.93</v>
          </cell>
          <cell r="V61">
            <v>0</v>
          </cell>
          <cell r="W61">
            <v>0</v>
          </cell>
          <cell r="X61">
            <v>8.4550000000000001</v>
          </cell>
          <cell r="Y61">
            <v>1.6910000000000001</v>
          </cell>
          <cell r="AA61">
            <v>0</v>
          </cell>
          <cell r="AB61">
            <v>514.03200000000004</v>
          </cell>
          <cell r="AC61">
            <v>514.03200000000004</v>
          </cell>
          <cell r="AD61">
            <v>524.178</v>
          </cell>
          <cell r="AE61">
            <v>-197.06</v>
          </cell>
          <cell r="AF61">
            <v>167</v>
          </cell>
          <cell r="AG61">
            <v>0</v>
          </cell>
          <cell r="AH61">
            <v>0</v>
          </cell>
          <cell r="AI61">
            <v>0</v>
          </cell>
          <cell r="AJ61">
            <v>30.06</v>
          </cell>
          <cell r="AK61">
            <v>1</v>
          </cell>
          <cell r="AL61" t="str">
            <v>NATIONAL</v>
          </cell>
          <cell r="AM61">
            <v>2100</v>
          </cell>
          <cell r="AN61">
            <v>-1566.8820000000001</v>
          </cell>
          <cell r="AO61">
            <v>-1566.8820000000001</v>
          </cell>
          <cell r="AP61">
            <v>0</v>
          </cell>
          <cell r="AS61">
            <v>0</v>
          </cell>
          <cell r="AT61">
            <v>524.178</v>
          </cell>
          <cell r="AU61">
            <v>-197.06</v>
          </cell>
          <cell r="AV61">
            <v>-1894</v>
          </cell>
          <cell r="AZ61">
            <v>45901</v>
          </cell>
          <cell r="BA61">
            <v>45901</v>
          </cell>
          <cell r="BB61">
            <v>45901</v>
          </cell>
          <cell r="BF61" t="str">
            <v>NFT-/XUTR/DEUTH025244A0H8LX</v>
          </cell>
          <cell r="BG61" t="str">
            <v>NFT-/XUTR/DEUTH025244A0H8LX</v>
          </cell>
          <cell r="BH61" t="str">
            <v>NFT-/XUTR/DEUTH025244A0H8LX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1691.07</v>
          </cell>
          <cell r="BP61">
            <v>12</v>
          </cell>
          <cell r="BQ61">
            <v>0</v>
          </cell>
          <cell r="BR61">
            <v>0</v>
          </cell>
          <cell r="BS61">
            <v>0</v>
          </cell>
          <cell r="BT61">
            <v>0.5</v>
          </cell>
          <cell r="BU61">
            <v>0</v>
          </cell>
          <cell r="BV61">
            <v>0</v>
          </cell>
          <cell r="BW61">
            <v>0.1</v>
          </cell>
          <cell r="BX61" t="str">
            <v>Tiny Baby</v>
          </cell>
          <cell r="BY61" t="str">
            <v>Girls</v>
          </cell>
          <cell r="BZ61" t="str">
            <v>External</v>
          </cell>
          <cell r="CA61" t="str">
            <v>Clothing Set</v>
          </cell>
          <cell r="CB61" t="str">
            <v>ON_HAND</v>
          </cell>
          <cell r="CC61" t="b">
            <v>0</v>
          </cell>
          <cell r="CD61" t="str">
            <v>**********</v>
          </cell>
          <cell r="CE61">
            <v>700039</v>
          </cell>
          <cell r="CF61" t="str">
            <v>27AXUPC8425A1ZH</v>
          </cell>
          <cell r="CH61" t="str">
            <v>29AAECM9636P1ZJ</v>
          </cell>
          <cell r="CI61" t="str">
            <v>Mumbai</v>
          </cell>
          <cell r="CJ61">
            <v>400013</v>
          </cell>
          <cell r="CK61" t="str">
            <v>maharashtra</v>
          </cell>
          <cell r="CL61" t="str">
            <v>MH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W61">
            <v>0</v>
          </cell>
          <cell r="CX61">
            <v>514.03200000000004</v>
          </cell>
          <cell r="CY61">
            <v>514.03200000000004</v>
          </cell>
          <cell r="CZ61">
            <v>0</v>
          </cell>
          <cell r="DA61">
            <v>0</v>
          </cell>
          <cell r="DB61">
            <v>0</v>
          </cell>
          <cell r="DC61">
            <v>900</v>
          </cell>
          <cell r="DD61">
            <v>1.6910700000000001</v>
          </cell>
          <cell r="DE61" t="str">
            <v>5d9cebf7-7cb0-4e74-870e-0174f90b007f</v>
          </cell>
          <cell r="DF61">
            <v>100071000000</v>
          </cell>
          <cell r="DG61">
            <v>0</v>
          </cell>
          <cell r="DH61">
            <v>8.4550000000000001</v>
          </cell>
          <cell r="DI61">
            <v>0</v>
          </cell>
          <cell r="DJ61">
            <v>1.6910000000000001</v>
          </cell>
          <cell r="DK61" t="str">
            <v>BRONZE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 t="str">
            <v>NA</v>
          </cell>
          <cell r="DU61" t="str">
            <v>NA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EB61">
            <v>-1566.8820000000001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 t="str">
            <v>Settled</v>
          </cell>
          <cell r="FH61">
            <v>2100</v>
          </cell>
          <cell r="FI61">
            <v>1566.8820000000001</v>
          </cell>
          <cell r="FJ61">
            <v>524.178</v>
          </cell>
          <cell r="FK61">
            <v>197.06</v>
          </cell>
        </row>
        <row r="62">
          <cell r="A62">
            <v>8643430475</v>
          </cell>
          <cell r="B62">
            <v>10643354891</v>
          </cell>
          <cell r="C62" t="str">
            <v>return_refund</v>
          </cell>
          <cell r="D62">
            <v>45905.709027777775</v>
          </cell>
          <cell r="E62">
            <v>45902.448611111111</v>
          </cell>
          <cell r="G62" t="str">
            <v>Myntra Designs Pvt Ltd</v>
          </cell>
          <cell r="H62" t="str">
            <v>TNBYCLST112438355</v>
          </cell>
          <cell r="I62" t="str">
            <v>\I2726TK000002715\""</v>
          </cell>
          <cell r="J62">
            <v>9762044759</v>
          </cell>
          <cell r="K62">
            <v>62042300</v>
          </cell>
          <cell r="L62" t="str">
            <v>Apparel</v>
          </cell>
          <cell r="M62" t="str">
            <v>INR</v>
          </cell>
          <cell r="N62">
            <v>1629</v>
          </cell>
          <cell r="O62">
            <v>0</v>
          </cell>
          <cell r="P62">
            <v>1629</v>
          </cell>
          <cell r="Q62">
            <v>2000</v>
          </cell>
          <cell r="R62">
            <v>200</v>
          </cell>
          <cell r="S62" t="str">
            <v>Intra-State</v>
          </cell>
          <cell r="T62">
            <v>12</v>
          </cell>
          <cell r="U62">
            <v>0</v>
          </cell>
          <cell r="V62">
            <v>87.27</v>
          </cell>
          <cell r="W62">
            <v>87.27</v>
          </cell>
          <cell r="X62">
            <v>7.2720000000000002</v>
          </cell>
          <cell r="Y62">
            <v>1.454</v>
          </cell>
          <cell r="AA62">
            <v>0</v>
          </cell>
          <cell r="AB62">
            <v>422.88799999999998</v>
          </cell>
          <cell r="AC62">
            <v>422.88799999999998</v>
          </cell>
          <cell r="AD62">
            <v>431.61399999999998</v>
          </cell>
          <cell r="AE62">
            <v>-107.38</v>
          </cell>
          <cell r="AF62">
            <v>91</v>
          </cell>
          <cell r="AG62">
            <v>0</v>
          </cell>
          <cell r="AH62">
            <v>0</v>
          </cell>
          <cell r="AI62">
            <v>0</v>
          </cell>
          <cell r="AJ62">
            <v>16.38</v>
          </cell>
          <cell r="AK62">
            <v>1</v>
          </cell>
          <cell r="AL62" t="str">
            <v>LOCAL</v>
          </cell>
          <cell r="AM62">
            <v>1800</v>
          </cell>
          <cell r="AN62">
            <v>-1304.7660000000001</v>
          </cell>
          <cell r="AO62">
            <v>-1304.7660000000001</v>
          </cell>
          <cell r="AP62">
            <v>0</v>
          </cell>
          <cell r="AQ62">
            <v>431.61399999999998</v>
          </cell>
          <cell r="AR62">
            <v>-107.38</v>
          </cell>
          <cell r="AS62">
            <v>-1629</v>
          </cell>
          <cell r="AV62">
            <v>0</v>
          </cell>
          <cell r="AW62">
            <v>45918</v>
          </cell>
          <cell r="AX62">
            <v>45918</v>
          </cell>
          <cell r="AY62">
            <v>45918</v>
          </cell>
          <cell r="BC62" t="str">
            <v>NFT-/XUTR/DEUTH02526109557X</v>
          </cell>
          <cell r="BD62" t="str">
            <v>NFT-/XUTR/DEUTH02526109557X</v>
          </cell>
          <cell r="BE62" t="str">
            <v>NFT-/XUTR/DEUTH02526109557X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1454.46</v>
          </cell>
          <cell r="BP62">
            <v>0</v>
          </cell>
          <cell r="BQ62">
            <v>6</v>
          </cell>
          <cell r="BR62">
            <v>6</v>
          </cell>
          <cell r="BS62">
            <v>0</v>
          </cell>
          <cell r="BT62">
            <v>0</v>
          </cell>
          <cell r="BU62">
            <v>0.25</v>
          </cell>
          <cell r="BV62">
            <v>0.25</v>
          </cell>
          <cell r="BW62">
            <v>0.1</v>
          </cell>
          <cell r="BX62" t="str">
            <v>Tiny Baby</v>
          </cell>
          <cell r="BY62" t="str">
            <v>Girls</v>
          </cell>
          <cell r="BZ62" t="str">
            <v>External</v>
          </cell>
          <cell r="CA62" t="str">
            <v>Jumpsuit</v>
          </cell>
          <cell r="CB62" t="str">
            <v>ON_HAND</v>
          </cell>
          <cell r="CC62" t="b">
            <v>0</v>
          </cell>
          <cell r="CD62" t="str">
            <v>**********</v>
          </cell>
          <cell r="CE62">
            <v>400709</v>
          </cell>
          <cell r="CF62" t="str">
            <v>27AXUPC8425A1ZH</v>
          </cell>
          <cell r="CH62" t="str">
            <v>29AAECM9636P1ZJ</v>
          </cell>
          <cell r="CI62" t="str">
            <v>Mumbai</v>
          </cell>
          <cell r="CJ62">
            <v>400013</v>
          </cell>
          <cell r="CK62" t="str">
            <v>maharashtra</v>
          </cell>
          <cell r="CL62" t="str">
            <v>MH</v>
          </cell>
          <cell r="CN62">
            <v>0</v>
          </cell>
          <cell r="CO62">
            <v>422.88799999999998</v>
          </cell>
          <cell r="CP62">
            <v>422.88799999999998</v>
          </cell>
          <cell r="CQ62">
            <v>0</v>
          </cell>
          <cell r="CR62">
            <v>0</v>
          </cell>
          <cell r="CS62">
            <v>0</v>
          </cell>
          <cell r="CT62">
            <v>200</v>
          </cell>
          <cell r="CU62">
            <v>1.4544600000000001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E62" t="str">
            <v>d06d6674-c956-4eb6-b839-6056de4c66ec</v>
          </cell>
          <cell r="DF62">
            <v>100075000000</v>
          </cell>
          <cell r="DG62">
            <v>7.2720000000000002</v>
          </cell>
          <cell r="DH62">
            <v>0</v>
          </cell>
          <cell r="DI62">
            <v>1.454</v>
          </cell>
          <cell r="DJ62">
            <v>0</v>
          </cell>
          <cell r="DK62" t="str">
            <v>BRONZE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 t="str">
            <v>NA</v>
          </cell>
          <cell r="DU62" t="str">
            <v>NA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-1304.7660000000001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 t="str">
            <v>Settled</v>
          </cell>
          <cell r="FH62">
            <v>1800</v>
          </cell>
          <cell r="FI62">
            <v>1304.7660000000001</v>
          </cell>
          <cell r="FJ62">
            <v>431.61399999999998</v>
          </cell>
          <cell r="FK62">
            <v>107.38</v>
          </cell>
        </row>
        <row r="63">
          <cell r="A63">
            <v>8634169145</v>
          </cell>
          <cell r="B63">
            <v>10634093757</v>
          </cell>
          <cell r="C63" t="str">
            <v>return_refund</v>
          </cell>
          <cell r="D63">
            <v>45911.524305555555</v>
          </cell>
          <cell r="E63">
            <v>45895.786805555559</v>
          </cell>
          <cell r="G63" t="str">
            <v>Myntra Designs Pvt Ltd</v>
          </cell>
          <cell r="H63" t="str">
            <v>TIKICLST113026317</v>
          </cell>
          <cell r="I63" t="str">
            <v>\I2726TK000002603\""</v>
          </cell>
          <cell r="J63">
            <v>8634169145</v>
          </cell>
          <cell r="K63">
            <v>62042300</v>
          </cell>
          <cell r="L63" t="str">
            <v>Apparel</v>
          </cell>
          <cell r="M63" t="str">
            <v>INR</v>
          </cell>
          <cell r="N63">
            <v>2769</v>
          </cell>
          <cell r="O63">
            <v>2769</v>
          </cell>
          <cell r="P63">
            <v>0</v>
          </cell>
          <cell r="Q63">
            <v>3500</v>
          </cell>
          <cell r="R63">
            <v>525</v>
          </cell>
          <cell r="S63" t="str">
            <v>Inter-State</v>
          </cell>
          <cell r="T63">
            <v>12</v>
          </cell>
          <cell r="U63">
            <v>296.68</v>
          </cell>
          <cell r="V63">
            <v>0</v>
          </cell>
          <cell r="W63">
            <v>0</v>
          </cell>
          <cell r="X63">
            <v>12.362</v>
          </cell>
          <cell r="Y63">
            <v>2.472</v>
          </cell>
          <cell r="AA63">
            <v>0</v>
          </cell>
          <cell r="AB63">
            <v>686.15800000000002</v>
          </cell>
          <cell r="AC63">
            <v>686.15800000000002</v>
          </cell>
          <cell r="AD63">
            <v>700.99199999999996</v>
          </cell>
          <cell r="AE63">
            <v>-197.06</v>
          </cell>
          <cell r="AF63">
            <v>167</v>
          </cell>
          <cell r="AG63">
            <v>0</v>
          </cell>
          <cell r="AH63">
            <v>0</v>
          </cell>
          <cell r="AI63">
            <v>0</v>
          </cell>
          <cell r="AJ63">
            <v>30.06</v>
          </cell>
          <cell r="AK63">
            <v>1</v>
          </cell>
          <cell r="AL63" t="str">
            <v>NATIONAL</v>
          </cell>
          <cell r="AM63">
            <v>2975</v>
          </cell>
          <cell r="AN63">
            <v>-2265.0680000000002</v>
          </cell>
          <cell r="AO63">
            <v>-2265.0680000000002</v>
          </cell>
          <cell r="AP63">
            <v>0</v>
          </cell>
          <cell r="AS63">
            <v>0</v>
          </cell>
          <cell r="AT63">
            <v>700.99199999999996</v>
          </cell>
          <cell r="AU63">
            <v>-197.06</v>
          </cell>
          <cell r="AV63">
            <v>-2769</v>
          </cell>
          <cell r="AZ63">
            <v>45915</v>
          </cell>
          <cell r="BA63">
            <v>45915</v>
          </cell>
          <cell r="BB63">
            <v>45915</v>
          </cell>
          <cell r="BF63" t="str">
            <v>NFT-/XUTR/DEUTH02525806657X</v>
          </cell>
          <cell r="BG63" t="str">
            <v>NFT-/XUTR/DEUTH02525806657X</v>
          </cell>
          <cell r="BH63" t="str">
            <v>NFT-/XUTR/DEUTH02525806657X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2472.3200000000002</v>
          </cell>
          <cell r="BP63">
            <v>12</v>
          </cell>
          <cell r="BQ63">
            <v>0</v>
          </cell>
          <cell r="BR63">
            <v>0</v>
          </cell>
          <cell r="BS63">
            <v>0</v>
          </cell>
          <cell r="BT63">
            <v>0.5</v>
          </cell>
          <cell r="BU63">
            <v>0</v>
          </cell>
          <cell r="BV63">
            <v>0</v>
          </cell>
          <cell r="BW63">
            <v>0.1</v>
          </cell>
          <cell r="BX63" t="str">
            <v>Tiny Kingdom</v>
          </cell>
          <cell r="BY63" t="str">
            <v>Girls</v>
          </cell>
          <cell r="BZ63" t="str">
            <v>External</v>
          </cell>
          <cell r="CA63" t="str">
            <v>Clothing Set</v>
          </cell>
          <cell r="CB63" t="str">
            <v>ON_HAND</v>
          </cell>
          <cell r="CC63" t="b">
            <v>0</v>
          </cell>
          <cell r="CD63" t="str">
            <v>**********</v>
          </cell>
          <cell r="CE63">
            <v>221002</v>
          </cell>
          <cell r="CF63" t="str">
            <v>27AXUPC8425A1ZH</v>
          </cell>
          <cell r="CH63" t="str">
            <v>29AAECM9636P1ZJ</v>
          </cell>
          <cell r="CI63" t="str">
            <v>Mumbai</v>
          </cell>
          <cell r="CJ63">
            <v>400013</v>
          </cell>
          <cell r="CK63" t="str">
            <v>maharashtra</v>
          </cell>
          <cell r="CL63" t="str">
            <v>MH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W63">
            <v>0</v>
          </cell>
          <cell r="CX63">
            <v>686.15800000000002</v>
          </cell>
          <cell r="CY63">
            <v>686.15800000000002</v>
          </cell>
          <cell r="CZ63">
            <v>0</v>
          </cell>
          <cell r="DA63">
            <v>0</v>
          </cell>
          <cell r="DB63">
            <v>0</v>
          </cell>
          <cell r="DC63">
            <v>525</v>
          </cell>
          <cell r="DD63">
            <v>2.4723199999999999</v>
          </cell>
          <cell r="DE63" t="str">
            <v>0e4b71c9-0120-429c-890d-8ba006bce118</v>
          </cell>
          <cell r="DF63">
            <v>100076000000</v>
          </cell>
          <cell r="DG63">
            <v>0</v>
          </cell>
          <cell r="DH63">
            <v>12.362</v>
          </cell>
          <cell r="DI63">
            <v>0</v>
          </cell>
          <cell r="DJ63">
            <v>2.472</v>
          </cell>
          <cell r="DK63" t="str">
            <v>BRONZE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 t="str">
            <v>NA</v>
          </cell>
          <cell r="DU63" t="str">
            <v>NA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-2265.0680000000002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 t="str">
            <v>Settled</v>
          </cell>
          <cell r="FH63">
            <v>2975</v>
          </cell>
          <cell r="FI63">
            <v>2265.0680000000002</v>
          </cell>
          <cell r="FJ63">
            <v>700.99199999999996</v>
          </cell>
          <cell r="FK63">
            <v>197.06</v>
          </cell>
        </row>
        <row r="64">
          <cell r="A64">
            <v>8629057586</v>
          </cell>
          <cell r="B64">
            <v>10628982411</v>
          </cell>
          <cell r="C64" t="str">
            <v>return_refund</v>
          </cell>
          <cell r="D64">
            <v>45904.479166666664</v>
          </cell>
          <cell r="E64">
            <v>45892.432638888888</v>
          </cell>
          <cell r="G64" t="str">
            <v>Myntra Designs Pvt Ltd</v>
          </cell>
          <cell r="H64" t="str">
            <v>TIKILHNC115963235</v>
          </cell>
          <cell r="I64" t="str">
            <v>\I2726TK000002553\""</v>
          </cell>
          <cell r="J64">
            <v>8629057586</v>
          </cell>
          <cell r="K64">
            <v>62042300</v>
          </cell>
          <cell r="L64" t="str">
            <v>Apparel</v>
          </cell>
          <cell r="M64" t="str">
            <v>INR</v>
          </cell>
          <cell r="N64">
            <v>2981</v>
          </cell>
          <cell r="O64">
            <v>0</v>
          </cell>
          <cell r="P64">
            <v>2981</v>
          </cell>
          <cell r="Q64">
            <v>3750</v>
          </cell>
          <cell r="R64">
            <v>563</v>
          </cell>
          <cell r="S64" t="str">
            <v>Inter-State</v>
          </cell>
          <cell r="T64">
            <v>12</v>
          </cell>
          <cell r="U64">
            <v>319.39</v>
          </cell>
          <cell r="V64">
            <v>0</v>
          </cell>
          <cell r="W64">
            <v>0</v>
          </cell>
          <cell r="X64">
            <v>13.308</v>
          </cell>
          <cell r="Y64">
            <v>2.6619999999999999</v>
          </cell>
          <cell r="AA64">
            <v>0</v>
          </cell>
          <cell r="AB64">
            <v>738.69200000000001</v>
          </cell>
          <cell r="AC64">
            <v>738.69200000000001</v>
          </cell>
          <cell r="AD64">
            <v>754.66200000000003</v>
          </cell>
          <cell r="AE64">
            <v>-132.16</v>
          </cell>
          <cell r="AF64">
            <v>112</v>
          </cell>
          <cell r="AG64">
            <v>0</v>
          </cell>
          <cell r="AH64">
            <v>0</v>
          </cell>
          <cell r="AI64">
            <v>0</v>
          </cell>
          <cell r="AJ64">
            <v>20.16</v>
          </cell>
          <cell r="AK64">
            <v>1</v>
          </cell>
          <cell r="AL64" t="str">
            <v>ZONAL</v>
          </cell>
          <cell r="AM64">
            <v>3187</v>
          </cell>
          <cell r="AN64">
            <v>-2358.498</v>
          </cell>
          <cell r="AO64">
            <v>-2358.498</v>
          </cell>
          <cell r="AP64">
            <v>0</v>
          </cell>
          <cell r="AQ64">
            <v>754.66200000000003</v>
          </cell>
          <cell r="AR64">
            <v>-132.16</v>
          </cell>
          <cell r="AS64">
            <v>-2981</v>
          </cell>
          <cell r="AV64">
            <v>0</v>
          </cell>
          <cell r="AW64">
            <v>45911</v>
          </cell>
          <cell r="AX64">
            <v>45911</v>
          </cell>
          <cell r="AY64">
            <v>45911</v>
          </cell>
          <cell r="BC64" t="str">
            <v>NFT-/XUTR/DEUTH02525423909X</v>
          </cell>
          <cell r="BD64" t="str">
            <v>NFT-/XUTR/DEUTH02525423909X</v>
          </cell>
          <cell r="BE64" t="str">
            <v>NFT-/XUTR/DEUTH02525423909X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2661.61</v>
          </cell>
          <cell r="BP64">
            <v>12</v>
          </cell>
          <cell r="BQ64">
            <v>0</v>
          </cell>
          <cell r="BR64">
            <v>0</v>
          </cell>
          <cell r="BS64">
            <v>0</v>
          </cell>
          <cell r="BT64">
            <v>0.5</v>
          </cell>
          <cell r="BU64">
            <v>0</v>
          </cell>
          <cell r="BV64">
            <v>0</v>
          </cell>
          <cell r="BW64">
            <v>0.1</v>
          </cell>
          <cell r="BX64" t="str">
            <v>Tiny Kingdom</v>
          </cell>
          <cell r="BY64" t="str">
            <v>Girls</v>
          </cell>
          <cell r="BZ64" t="str">
            <v>External</v>
          </cell>
          <cell r="CA64" t="str">
            <v>Lehenga Choli</v>
          </cell>
          <cell r="CB64" t="str">
            <v>ON_HAND</v>
          </cell>
          <cell r="CC64" t="b">
            <v>0</v>
          </cell>
          <cell r="CD64" t="str">
            <v>**********</v>
          </cell>
          <cell r="CE64">
            <v>560103</v>
          </cell>
          <cell r="CF64" t="str">
            <v>27AXUPC8425A1ZH</v>
          </cell>
          <cell r="CH64" t="str">
            <v>29AAECM9636P1ZJ</v>
          </cell>
          <cell r="CI64" t="str">
            <v>Mumbai</v>
          </cell>
          <cell r="CJ64">
            <v>400013</v>
          </cell>
          <cell r="CK64" t="str">
            <v>maharashtra</v>
          </cell>
          <cell r="CL64" t="str">
            <v>MH</v>
          </cell>
          <cell r="CN64">
            <v>0</v>
          </cell>
          <cell r="CO64">
            <v>738.69200000000001</v>
          </cell>
          <cell r="CP64">
            <v>738.69200000000001</v>
          </cell>
          <cell r="CQ64">
            <v>0</v>
          </cell>
          <cell r="CR64">
            <v>0</v>
          </cell>
          <cell r="CS64">
            <v>0</v>
          </cell>
          <cell r="CT64">
            <v>563</v>
          </cell>
          <cell r="CU64">
            <v>2.66161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E64" t="str">
            <v>19afe2ce-69a5-418e-b577-b4961d666b0c</v>
          </cell>
          <cell r="DF64">
            <v>100074000000</v>
          </cell>
          <cell r="DG64">
            <v>13.308</v>
          </cell>
          <cell r="DH64">
            <v>0</v>
          </cell>
          <cell r="DI64">
            <v>2.6619999999999999</v>
          </cell>
          <cell r="DJ64">
            <v>0</v>
          </cell>
          <cell r="DK64" t="str">
            <v>BRONZE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 t="str">
            <v>NA</v>
          </cell>
          <cell r="DU64" t="str">
            <v>NA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-2358.498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 t="str">
            <v>Settled</v>
          </cell>
          <cell r="FH64">
            <v>3187</v>
          </cell>
          <cell r="FI64">
            <v>2358.498</v>
          </cell>
          <cell r="FJ64">
            <v>754.66200000000003</v>
          </cell>
          <cell r="FK64">
            <v>132.16</v>
          </cell>
        </row>
        <row r="65">
          <cell r="A65">
            <v>8637117652</v>
          </cell>
          <cell r="B65">
            <v>10637042213</v>
          </cell>
          <cell r="C65" t="str">
            <v>return_refund</v>
          </cell>
          <cell r="D65">
            <v>45907.722222222219</v>
          </cell>
          <cell r="E65">
            <v>45898.445138888892</v>
          </cell>
          <cell r="G65" t="str">
            <v>Myntra Designs Pvt Ltd</v>
          </cell>
          <cell r="H65" t="str">
            <v>TIKILHNC106661948</v>
          </cell>
          <cell r="I65" t="str">
            <v>\I2726TK000002648\""</v>
          </cell>
          <cell r="J65">
            <v>8637117652</v>
          </cell>
          <cell r="K65">
            <v>62042300</v>
          </cell>
          <cell r="L65" t="str">
            <v>Apparel</v>
          </cell>
          <cell r="M65" t="str">
            <v>INR</v>
          </cell>
          <cell r="N65">
            <v>4579</v>
          </cell>
          <cell r="O65">
            <v>4579</v>
          </cell>
          <cell r="P65">
            <v>0</v>
          </cell>
          <cell r="Q65">
            <v>5500</v>
          </cell>
          <cell r="R65">
            <v>715</v>
          </cell>
          <cell r="S65" t="str">
            <v>Inter-State</v>
          </cell>
          <cell r="T65">
            <v>12</v>
          </cell>
          <cell r="U65">
            <v>490.61</v>
          </cell>
          <cell r="V65">
            <v>0</v>
          </cell>
          <cell r="W65">
            <v>0</v>
          </cell>
          <cell r="X65">
            <v>20.442</v>
          </cell>
          <cell r="Y65">
            <v>4.0880000000000001</v>
          </cell>
          <cell r="AA65">
            <v>0</v>
          </cell>
          <cell r="AB65">
            <v>1134.6759999999999</v>
          </cell>
          <cell r="AC65">
            <v>1134.6759999999999</v>
          </cell>
          <cell r="AD65">
            <v>1159.2059999999999</v>
          </cell>
          <cell r="AE65">
            <v>-197.06</v>
          </cell>
          <cell r="AF65">
            <v>167</v>
          </cell>
          <cell r="AG65">
            <v>0</v>
          </cell>
          <cell r="AH65">
            <v>0</v>
          </cell>
          <cell r="AI65">
            <v>0</v>
          </cell>
          <cell r="AJ65">
            <v>30.06</v>
          </cell>
          <cell r="AK65">
            <v>1</v>
          </cell>
          <cell r="AL65" t="str">
            <v>NATIONAL</v>
          </cell>
          <cell r="AM65">
            <v>4785</v>
          </cell>
          <cell r="AN65">
            <v>-3616.8539999999998</v>
          </cell>
          <cell r="AO65">
            <v>-3616.8539999999998</v>
          </cell>
          <cell r="AP65">
            <v>0</v>
          </cell>
          <cell r="AS65">
            <v>0</v>
          </cell>
          <cell r="AT65">
            <v>1159.2059999999999</v>
          </cell>
          <cell r="AU65">
            <v>-197.06</v>
          </cell>
          <cell r="AV65">
            <v>-4579</v>
          </cell>
          <cell r="AZ65">
            <v>45916</v>
          </cell>
          <cell r="BA65">
            <v>45916</v>
          </cell>
          <cell r="BB65">
            <v>45916</v>
          </cell>
          <cell r="BF65" t="str">
            <v>NFT-/XUTR/DEUTH02525909403X</v>
          </cell>
          <cell r="BG65" t="str">
            <v>NFT-/XUTR/DEUTH02525909403X</v>
          </cell>
          <cell r="BH65" t="str">
            <v>NFT-/XUTR/DEUTH02525909403X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4088.39</v>
          </cell>
          <cell r="BP65">
            <v>12</v>
          </cell>
          <cell r="BQ65">
            <v>0</v>
          </cell>
          <cell r="BR65">
            <v>0</v>
          </cell>
          <cell r="BS65">
            <v>0</v>
          </cell>
          <cell r="BT65">
            <v>0.5</v>
          </cell>
          <cell r="BU65">
            <v>0</v>
          </cell>
          <cell r="BV65">
            <v>0</v>
          </cell>
          <cell r="BW65">
            <v>0.1</v>
          </cell>
          <cell r="BX65" t="str">
            <v>Tiny Kingdom</v>
          </cell>
          <cell r="BY65" t="str">
            <v>Girls</v>
          </cell>
          <cell r="BZ65" t="str">
            <v>External</v>
          </cell>
          <cell r="CA65" t="str">
            <v>Lehenga Choli</v>
          </cell>
          <cell r="CB65" t="str">
            <v>ON_HAND</v>
          </cell>
          <cell r="CC65" t="b">
            <v>0</v>
          </cell>
          <cell r="CD65" t="str">
            <v>**********</v>
          </cell>
          <cell r="CE65">
            <v>522265</v>
          </cell>
          <cell r="CF65" t="str">
            <v>27AXUPC8425A1ZH</v>
          </cell>
          <cell r="CH65" t="str">
            <v>29AAECM9636P1ZJ</v>
          </cell>
          <cell r="CI65" t="str">
            <v>Mumbai</v>
          </cell>
          <cell r="CJ65">
            <v>400013</v>
          </cell>
          <cell r="CK65" t="str">
            <v>maharashtra</v>
          </cell>
          <cell r="CL65" t="str">
            <v>MH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W65">
            <v>0</v>
          </cell>
          <cell r="CX65">
            <v>1134.6759999999999</v>
          </cell>
          <cell r="CY65">
            <v>1134.6759999999999</v>
          </cell>
          <cell r="CZ65">
            <v>0</v>
          </cell>
          <cell r="DA65">
            <v>0</v>
          </cell>
          <cell r="DB65">
            <v>0</v>
          </cell>
          <cell r="DC65">
            <v>715</v>
          </cell>
          <cell r="DD65">
            <v>4.0883900000000004</v>
          </cell>
          <cell r="DE65" t="str">
            <v>0d664648-8517-4148-a125-0b6b4d66503d</v>
          </cell>
          <cell r="DF65">
            <v>100076000000</v>
          </cell>
          <cell r="DG65">
            <v>0</v>
          </cell>
          <cell r="DH65">
            <v>20.442</v>
          </cell>
          <cell r="DI65">
            <v>0</v>
          </cell>
          <cell r="DJ65">
            <v>4.0880000000000001</v>
          </cell>
          <cell r="DK65" t="str">
            <v>BRONZE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 t="str">
            <v>NA</v>
          </cell>
          <cell r="DU65" t="str">
            <v>NA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-3616.8539999999998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 t="str">
            <v>Settled</v>
          </cell>
          <cell r="FH65">
            <v>4785</v>
          </cell>
          <cell r="FI65">
            <v>3616.8539999999998</v>
          </cell>
          <cell r="FJ65">
            <v>1159.2059999999999</v>
          </cell>
          <cell r="FK65">
            <v>197.06</v>
          </cell>
        </row>
        <row r="66">
          <cell r="A66">
            <v>8657350152</v>
          </cell>
          <cell r="B66">
            <v>10657274273</v>
          </cell>
          <cell r="C66" t="str">
            <v>return_refund</v>
          </cell>
          <cell r="D66">
            <v>45916.532638888886</v>
          </cell>
          <cell r="E66">
            <v>45909.541666666664</v>
          </cell>
          <cell r="G66" t="str">
            <v>Myntra Designs Pvt Ltd</v>
          </cell>
          <cell r="H66" t="str">
            <v>TNBYCLST96143594</v>
          </cell>
          <cell r="I66" t="str">
            <v>\I2726TK000002828\""</v>
          </cell>
          <cell r="J66">
            <v>8657350152</v>
          </cell>
          <cell r="K66">
            <v>62042300</v>
          </cell>
          <cell r="L66" t="str">
            <v>Apparel</v>
          </cell>
          <cell r="M66" t="str">
            <v>INR</v>
          </cell>
          <cell r="N66">
            <v>1994</v>
          </cell>
          <cell r="O66">
            <v>0</v>
          </cell>
          <cell r="P66">
            <v>1994</v>
          </cell>
          <cell r="Q66">
            <v>2750</v>
          </cell>
          <cell r="R66">
            <v>550</v>
          </cell>
          <cell r="S66" t="str">
            <v>Intra-State</v>
          </cell>
          <cell r="T66">
            <v>12</v>
          </cell>
          <cell r="U66">
            <v>0</v>
          </cell>
          <cell r="V66">
            <v>106.82</v>
          </cell>
          <cell r="W66">
            <v>106.82</v>
          </cell>
          <cell r="X66">
            <v>8.9019999999999992</v>
          </cell>
          <cell r="Y66">
            <v>1.78</v>
          </cell>
          <cell r="AA66">
            <v>0</v>
          </cell>
          <cell r="AB66">
            <v>541.17200000000003</v>
          </cell>
          <cell r="AC66">
            <v>541.17200000000003</v>
          </cell>
          <cell r="AD66">
            <v>551.85400000000004</v>
          </cell>
          <cell r="AE66">
            <v>-107.38</v>
          </cell>
          <cell r="AF66">
            <v>91</v>
          </cell>
          <cell r="AG66">
            <v>0</v>
          </cell>
          <cell r="AH66">
            <v>0</v>
          </cell>
          <cell r="AI66">
            <v>0</v>
          </cell>
          <cell r="AJ66">
            <v>16.38</v>
          </cell>
          <cell r="AK66">
            <v>1</v>
          </cell>
          <cell r="AL66" t="str">
            <v>LOCAL</v>
          </cell>
          <cell r="AM66">
            <v>2200</v>
          </cell>
          <cell r="AN66">
            <v>-1549.5260000000001</v>
          </cell>
          <cell r="AO66">
            <v>-1549.5260000000001</v>
          </cell>
          <cell r="AP66">
            <v>0</v>
          </cell>
          <cell r="AQ66">
            <v>551.85400000000004</v>
          </cell>
          <cell r="AR66">
            <v>-107.38</v>
          </cell>
          <cell r="AS66">
            <v>-1994</v>
          </cell>
          <cell r="AV66">
            <v>0</v>
          </cell>
          <cell r="AW66">
            <v>45925</v>
          </cell>
          <cell r="AX66">
            <v>45925</v>
          </cell>
          <cell r="AY66">
            <v>45925</v>
          </cell>
          <cell r="BC66" t="str">
            <v>NFT-/XUTR/DEUTH02526823565X</v>
          </cell>
          <cell r="BD66" t="str">
            <v>NFT-/XUTR/DEUTH02526823565X</v>
          </cell>
          <cell r="BE66" t="str">
            <v>NFT-/XUTR/DEUTH02526823565X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1780.36</v>
          </cell>
          <cell r="BP66">
            <v>0</v>
          </cell>
          <cell r="BQ66">
            <v>6</v>
          </cell>
          <cell r="BR66">
            <v>6</v>
          </cell>
          <cell r="BS66">
            <v>0</v>
          </cell>
          <cell r="BT66">
            <v>0</v>
          </cell>
          <cell r="BU66">
            <v>0.25</v>
          </cell>
          <cell r="BV66">
            <v>0.25</v>
          </cell>
          <cell r="BW66">
            <v>0.1</v>
          </cell>
          <cell r="BX66" t="str">
            <v>Tiny Baby</v>
          </cell>
          <cell r="BY66" t="str">
            <v>Girls</v>
          </cell>
          <cell r="BZ66" t="str">
            <v>External</v>
          </cell>
          <cell r="CA66" t="str">
            <v>Clothing Set</v>
          </cell>
          <cell r="CB66" t="str">
            <v>ON_HAND</v>
          </cell>
          <cell r="CC66" t="b">
            <v>0</v>
          </cell>
          <cell r="CD66" t="str">
            <v>**********</v>
          </cell>
          <cell r="CE66">
            <v>411057</v>
          </cell>
          <cell r="CF66" t="str">
            <v>27AXUPC8425A1ZH</v>
          </cell>
          <cell r="CH66" t="str">
            <v>29AAECM9636P1ZJ</v>
          </cell>
          <cell r="CI66" t="str">
            <v>Mumbai</v>
          </cell>
          <cell r="CJ66">
            <v>400013</v>
          </cell>
          <cell r="CK66" t="str">
            <v>maharashtra</v>
          </cell>
          <cell r="CL66" t="str">
            <v>MH</v>
          </cell>
          <cell r="CN66">
            <v>0</v>
          </cell>
          <cell r="CO66">
            <v>541.17200000000003</v>
          </cell>
          <cell r="CP66">
            <v>541.17200000000003</v>
          </cell>
          <cell r="CQ66">
            <v>0</v>
          </cell>
          <cell r="CR66">
            <v>0</v>
          </cell>
          <cell r="CS66">
            <v>0</v>
          </cell>
          <cell r="CT66">
            <v>550</v>
          </cell>
          <cell r="CU66">
            <v>1.7803599999999999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E66" t="str">
            <v>1bf5ebb8-f011-498b-9bc5-c43a51695ea2</v>
          </cell>
          <cell r="DF66">
            <v>100078000000</v>
          </cell>
          <cell r="DG66">
            <v>8.9019999999999992</v>
          </cell>
          <cell r="DH66">
            <v>0</v>
          </cell>
          <cell r="DI66">
            <v>1.78</v>
          </cell>
          <cell r="DJ66">
            <v>0</v>
          </cell>
          <cell r="DK66" t="str">
            <v>BRONZE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 t="str">
            <v>NA</v>
          </cell>
          <cell r="DU66" t="str">
            <v>NA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-1549.5260000000001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 t="str">
            <v>Settled</v>
          </cell>
          <cell r="FH66">
            <v>2200</v>
          </cell>
          <cell r="FI66">
            <v>1549.5260000000001</v>
          </cell>
          <cell r="FJ66">
            <v>551.85400000000004</v>
          </cell>
          <cell r="FK66">
            <v>107.38</v>
          </cell>
        </row>
        <row r="67">
          <cell r="A67">
            <v>8641995562</v>
          </cell>
          <cell r="B67">
            <v>10641919993</v>
          </cell>
          <cell r="C67" t="str">
            <v>return_refund</v>
          </cell>
          <cell r="D67">
            <v>45910.656944444447</v>
          </cell>
          <cell r="E67">
            <v>45901.459027777775</v>
          </cell>
          <cell r="F67">
            <v>44533</v>
          </cell>
          <cell r="G67" t="str">
            <v>Myntra Designs Pvt Ltd</v>
          </cell>
          <cell r="H67" t="str">
            <v>TIKIDRSS103324819</v>
          </cell>
          <cell r="I67" t="str">
            <v>\I2726TK000002694\""</v>
          </cell>
          <cell r="J67">
            <v>8641995562</v>
          </cell>
          <cell r="K67">
            <v>62042300</v>
          </cell>
          <cell r="L67" t="str">
            <v>Apparel</v>
          </cell>
          <cell r="M67" t="str">
            <v>INR</v>
          </cell>
          <cell r="N67">
            <v>3274</v>
          </cell>
          <cell r="O67">
            <v>0</v>
          </cell>
          <cell r="P67">
            <v>3274</v>
          </cell>
          <cell r="Q67">
            <v>4000</v>
          </cell>
          <cell r="R67">
            <v>520</v>
          </cell>
          <cell r="S67" t="str">
            <v>Inter-State</v>
          </cell>
          <cell r="T67">
            <v>12</v>
          </cell>
          <cell r="U67">
            <v>350.79</v>
          </cell>
          <cell r="V67">
            <v>0</v>
          </cell>
          <cell r="W67">
            <v>0</v>
          </cell>
          <cell r="X67">
            <v>14.616</v>
          </cell>
          <cell r="Y67">
            <v>2.923</v>
          </cell>
          <cell r="AA67">
            <v>0</v>
          </cell>
          <cell r="AB67">
            <v>695.39800000000002</v>
          </cell>
          <cell r="AC67">
            <v>695.39800000000002</v>
          </cell>
          <cell r="AD67">
            <v>712.93700000000001</v>
          </cell>
          <cell r="AE67">
            <v>-197.06</v>
          </cell>
          <cell r="AF67">
            <v>167</v>
          </cell>
          <cell r="AG67">
            <v>0</v>
          </cell>
          <cell r="AH67">
            <v>0</v>
          </cell>
          <cell r="AI67">
            <v>0</v>
          </cell>
          <cell r="AJ67">
            <v>30.06</v>
          </cell>
          <cell r="AK67">
            <v>1</v>
          </cell>
          <cell r="AL67" t="str">
            <v>NATIONAL</v>
          </cell>
          <cell r="AM67">
            <v>3480</v>
          </cell>
          <cell r="AN67">
            <v>-2758.123</v>
          </cell>
          <cell r="AO67">
            <v>-2758.123</v>
          </cell>
          <cell r="AP67">
            <v>0</v>
          </cell>
          <cell r="AQ67">
            <v>712.93700000000001</v>
          </cell>
          <cell r="AR67">
            <v>-197.06</v>
          </cell>
          <cell r="AS67">
            <v>-3274</v>
          </cell>
          <cell r="AV67">
            <v>0</v>
          </cell>
          <cell r="AW67">
            <v>45923</v>
          </cell>
          <cell r="AX67">
            <v>45923</v>
          </cell>
          <cell r="AY67">
            <v>45923</v>
          </cell>
          <cell r="BC67" t="str">
            <v>NFT-/XUTR/DEUTH02526623121X</v>
          </cell>
          <cell r="BD67" t="str">
            <v>NFT-/XUTR/DEUTH02526623121X</v>
          </cell>
          <cell r="BE67" t="str">
            <v>NFT-/XUTR/DEUTH02526623121X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2923.21</v>
          </cell>
          <cell r="BP67">
            <v>12</v>
          </cell>
          <cell r="BQ67">
            <v>0</v>
          </cell>
          <cell r="BR67">
            <v>0</v>
          </cell>
          <cell r="BS67">
            <v>0</v>
          </cell>
          <cell r="BT67">
            <v>0.5</v>
          </cell>
          <cell r="BU67">
            <v>0</v>
          </cell>
          <cell r="BV67">
            <v>0</v>
          </cell>
          <cell r="BW67">
            <v>0.1</v>
          </cell>
          <cell r="BX67" t="str">
            <v>Tiny Kingdom</v>
          </cell>
          <cell r="BY67" t="str">
            <v>Girls</v>
          </cell>
          <cell r="BZ67" t="str">
            <v>External</v>
          </cell>
          <cell r="CA67" t="str">
            <v>Dresses</v>
          </cell>
          <cell r="CB67" t="str">
            <v>ON_HAND</v>
          </cell>
          <cell r="CC67" t="b">
            <v>0</v>
          </cell>
          <cell r="CD67" t="str">
            <v>**********</v>
          </cell>
          <cell r="CE67">
            <v>201301</v>
          </cell>
          <cell r="CF67" t="str">
            <v>27AXUPC8425A1ZH</v>
          </cell>
          <cell r="CH67" t="str">
            <v>29AAECM9636P1ZJ</v>
          </cell>
          <cell r="CI67" t="str">
            <v>Mumbai</v>
          </cell>
          <cell r="CJ67">
            <v>400013</v>
          </cell>
          <cell r="CK67" t="str">
            <v>maharashtra</v>
          </cell>
          <cell r="CL67" t="str">
            <v>MH</v>
          </cell>
          <cell r="CN67">
            <v>0</v>
          </cell>
          <cell r="CO67">
            <v>695.39800000000002</v>
          </cell>
          <cell r="CP67">
            <v>695.39800000000002</v>
          </cell>
          <cell r="CQ67">
            <v>0</v>
          </cell>
          <cell r="CR67">
            <v>0</v>
          </cell>
          <cell r="CS67">
            <v>0</v>
          </cell>
          <cell r="CT67">
            <v>520</v>
          </cell>
          <cell r="CU67">
            <v>2.9232100000000001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E67" t="str">
            <v>690f11b5-0f23-4fd6-8d5a-d98b1cac4e80</v>
          </cell>
          <cell r="DF67">
            <v>100077000000</v>
          </cell>
          <cell r="DG67">
            <v>14.616</v>
          </cell>
          <cell r="DH67">
            <v>0</v>
          </cell>
          <cell r="DI67">
            <v>2.923</v>
          </cell>
          <cell r="DJ67">
            <v>0</v>
          </cell>
          <cell r="DK67" t="str">
            <v>BRONZE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 t="str">
            <v>NA</v>
          </cell>
          <cell r="DU67" t="str">
            <v>NA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-2758.123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 t="str">
            <v>Settled</v>
          </cell>
          <cell r="FH67">
            <v>3480</v>
          </cell>
          <cell r="FI67">
            <v>2758.123</v>
          </cell>
          <cell r="FJ67">
            <v>712.93700000000001</v>
          </cell>
          <cell r="FK67">
            <v>197.06</v>
          </cell>
        </row>
        <row r="68">
          <cell r="A68">
            <v>8639804045</v>
          </cell>
          <cell r="B68">
            <v>10639728542</v>
          </cell>
          <cell r="C68" t="str">
            <v>return_refund</v>
          </cell>
          <cell r="D68">
            <v>45907.412499999999</v>
          </cell>
          <cell r="E68">
            <v>45900.458333333336</v>
          </cell>
          <cell r="G68" t="str">
            <v>Myntra Designs Pvt Ltd</v>
          </cell>
          <cell r="H68" t="str">
            <v>TIKICLST103607759</v>
          </cell>
          <cell r="I68" t="str">
            <v>\I2726TK000002675\""</v>
          </cell>
          <cell r="J68">
            <v>8639804045</v>
          </cell>
          <cell r="K68">
            <v>62042300</v>
          </cell>
          <cell r="L68" t="str">
            <v>Apparel</v>
          </cell>
          <cell r="M68" t="str">
            <v>INR</v>
          </cell>
          <cell r="N68">
            <v>3544</v>
          </cell>
          <cell r="O68">
            <v>3173.8319999999999</v>
          </cell>
          <cell r="P68">
            <v>370.14800000000002</v>
          </cell>
          <cell r="Q68">
            <v>5000</v>
          </cell>
          <cell r="R68">
            <v>1250</v>
          </cell>
          <cell r="S68" t="str">
            <v>Inter-State</v>
          </cell>
          <cell r="T68">
            <v>12</v>
          </cell>
          <cell r="U68">
            <v>379.71</v>
          </cell>
          <cell r="V68">
            <v>0</v>
          </cell>
          <cell r="W68">
            <v>0</v>
          </cell>
          <cell r="X68">
            <v>15.821</v>
          </cell>
          <cell r="Y68">
            <v>3.1640000000000001</v>
          </cell>
          <cell r="AA68">
            <v>0</v>
          </cell>
          <cell r="AB68">
            <v>920.01700000000005</v>
          </cell>
          <cell r="AC68">
            <v>920.01700000000005</v>
          </cell>
          <cell r="AD68">
            <v>939.00199999999995</v>
          </cell>
          <cell r="AE68">
            <v>-197.06</v>
          </cell>
          <cell r="AF68">
            <v>167</v>
          </cell>
          <cell r="AG68">
            <v>0</v>
          </cell>
          <cell r="AH68">
            <v>0</v>
          </cell>
          <cell r="AI68">
            <v>0</v>
          </cell>
          <cell r="AJ68">
            <v>30.06</v>
          </cell>
          <cell r="AK68">
            <v>1</v>
          </cell>
          <cell r="AL68" t="str">
            <v>NATIONAL</v>
          </cell>
          <cell r="AM68">
            <v>3750</v>
          </cell>
          <cell r="AN68">
            <v>-2802.038</v>
          </cell>
          <cell r="AO68">
            <v>-2802.038</v>
          </cell>
          <cell r="AP68">
            <v>0</v>
          </cell>
          <cell r="AQ68">
            <v>98.072000000000003</v>
          </cell>
          <cell r="AR68">
            <v>-20.58156</v>
          </cell>
          <cell r="AS68">
            <v>-370.14800000000002</v>
          </cell>
          <cell r="AT68">
            <v>840.93</v>
          </cell>
          <cell r="AU68">
            <v>-176.47844000000001</v>
          </cell>
          <cell r="AV68">
            <v>-3173.8319999999999</v>
          </cell>
          <cell r="AW68">
            <v>45922</v>
          </cell>
          <cell r="AX68">
            <v>45922</v>
          </cell>
          <cell r="AY68">
            <v>45922</v>
          </cell>
          <cell r="AZ68">
            <v>45922</v>
          </cell>
          <cell r="BA68">
            <v>45922</v>
          </cell>
          <cell r="BB68">
            <v>45922</v>
          </cell>
          <cell r="BC68" t="str">
            <v>NFT-/XUTR/DEUTH025265A10GKX</v>
          </cell>
          <cell r="BD68" t="str">
            <v>NFT-/XUTR/DEUTH025265A10GKX</v>
          </cell>
          <cell r="BE68" t="str">
            <v>NFT-/XUTR/DEUTH025265A10GKX</v>
          </cell>
          <cell r="BF68" t="str">
            <v>NFT-/XUTR/DEUTH025265A108YX</v>
          </cell>
          <cell r="BG68" t="str">
            <v>NFT-/XUTR/DEUTH025265A108YX</v>
          </cell>
          <cell r="BH68" t="str">
            <v>NFT-/XUTR/DEUTH025265A108YX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3164.29</v>
          </cell>
          <cell r="BP68">
            <v>12</v>
          </cell>
          <cell r="BQ68">
            <v>0</v>
          </cell>
          <cell r="BR68">
            <v>0</v>
          </cell>
          <cell r="BS68">
            <v>0</v>
          </cell>
          <cell r="BT68">
            <v>0.5</v>
          </cell>
          <cell r="BU68">
            <v>0</v>
          </cell>
          <cell r="BV68">
            <v>0</v>
          </cell>
          <cell r="BW68">
            <v>0.1</v>
          </cell>
          <cell r="BX68" t="str">
            <v>Tiny Kingdom</v>
          </cell>
          <cell r="BY68" t="str">
            <v>Girls</v>
          </cell>
          <cell r="BZ68" t="str">
            <v>External</v>
          </cell>
          <cell r="CA68" t="str">
            <v>Kurta Sets</v>
          </cell>
          <cell r="CB68" t="str">
            <v>ON_HAND</v>
          </cell>
          <cell r="CC68" t="b">
            <v>0</v>
          </cell>
          <cell r="CD68" t="str">
            <v>**********</v>
          </cell>
          <cell r="CE68">
            <v>121008</v>
          </cell>
          <cell r="CF68" t="str">
            <v>27AXUPC8425A1ZH</v>
          </cell>
          <cell r="CH68" t="str">
            <v>29AAECM9636P1ZJ</v>
          </cell>
          <cell r="CI68" t="str">
            <v>Mumbai</v>
          </cell>
          <cell r="CJ68">
            <v>400013</v>
          </cell>
          <cell r="CK68" t="str">
            <v>maharashtra</v>
          </cell>
          <cell r="CL68" t="str">
            <v>MH</v>
          </cell>
          <cell r="CN68">
            <v>0</v>
          </cell>
          <cell r="CO68">
            <v>96.09</v>
          </cell>
          <cell r="CP68">
            <v>96.09</v>
          </cell>
          <cell r="CQ68">
            <v>0</v>
          </cell>
          <cell r="CR68">
            <v>0</v>
          </cell>
          <cell r="CS68">
            <v>0</v>
          </cell>
          <cell r="CT68">
            <v>1250</v>
          </cell>
          <cell r="CU68">
            <v>3.1642899999999998</v>
          </cell>
          <cell r="CW68">
            <v>0</v>
          </cell>
          <cell r="CX68">
            <v>823.92700000000002</v>
          </cell>
          <cell r="CY68">
            <v>823.92700000000002</v>
          </cell>
          <cell r="CZ68">
            <v>0</v>
          </cell>
          <cell r="DA68">
            <v>0</v>
          </cell>
          <cell r="DB68">
            <v>0</v>
          </cell>
          <cell r="DC68">
            <v>1250</v>
          </cell>
          <cell r="DD68">
            <v>3.1642899999999998</v>
          </cell>
          <cell r="DE68" t="str">
            <v>da090ae9-7fb6-43cf-9e8d-cc6340fab99f</v>
          </cell>
          <cell r="DF68">
            <v>100076000000</v>
          </cell>
          <cell r="DG68">
            <v>1.6519999999999999</v>
          </cell>
          <cell r="DH68">
            <v>14.169</v>
          </cell>
          <cell r="DI68">
            <v>0.33</v>
          </cell>
          <cell r="DJ68">
            <v>2.8340000000000001</v>
          </cell>
          <cell r="DK68" t="str">
            <v>BRONZE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 t="str">
            <v>NA</v>
          </cell>
          <cell r="DU68" t="str">
            <v>NA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-2802.038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 t="str">
            <v>Settled</v>
          </cell>
          <cell r="FH68">
            <v>3750</v>
          </cell>
          <cell r="FI68">
            <v>2802.038</v>
          </cell>
          <cell r="FJ68">
            <v>939.00199999999995</v>
          </cell>
          <cell r="FK68">
            <v>197.06</v>
          </cell>
        </row>
        <row r="69">
          <cell r="A69">
            <v>8648738364</v>
          </cell>
          <cell r="B69">
            <v>10648662670</v>
          </cell>
          <cell r="C69" t="str">
            <v>return_refund</v>
          </cell>
          <cell r="D69">
            <v>45916.581250000003</v>
          </cell>
          <cell r="E69">
            <v>45905.450694444444</v>
          </cell>
          <cell r="G69" t="str">
            <v>Myntra Designs Pvt Ltd</v>
          </cell>
          <cell r="H69" t="str">
            <v>BETYDRSS79060516</v>
          </cell>
          <cell r="I69" t="str">
            <v>\I2726TK000002752\""</v>
          </cell>
          <cell r="J69">
            <v>8648738364</v>
          </cell>
          <cell r="K69">
            <v>62042300</v>
          </cell>
          <cell r="L69" t="str">
            <v>Apparel</v>
          </cell>
          <cell r="M69" t="str">
            <v>INR</v>
          </cell>
          <cell r="N69">
            <v>2044</v>
          </cell>
          <cell r="O69">
            <v>110.078</v>
          </cell>
          <cell r="P69">
            <v>1933.922</v>
          </cell>
          <cell r="Q69">
            <v>4500</v>
          </cell>
          <cell r="R69">
            <v>2250</v>
          </cell>
          <cell r="S69" t="str">
            <v>Inter-State</v>
          </cell>
          <cell r="T69">
            <v>12</v>
          </cell>
          <cell r="U69">
            <v>219</v>
          </cell>
          <cell r="V69">
            <v>0</v>
          </cell>
          <cell r="W69">
            <v>0</v>
          </cell>
          <cell r="X69">
            <v>9.125</v>
          </cell>
          <cell r="Y69">
            <v>1.825</v>
          </cell>
          <cell r="AA69">
            <v>0</v>
          </cell>
          <cell r="AB69">
            <v>651.21799999999996</v>
          </cell>
          <cell r="AC69">
            <v>651.21799999999996</v>
          </cell>
          <cell r="AD69">
            <v>662.16800000000001</v>
          </cell>
          <cell r="AE69">
            <v>-197.06</v>
          </cell>
          <cell r="AF69">
            <v>167</v>
          </cell>
          <cell r="AG69">
            <v>0</v>
          </cell>
          <cell r="AH69">
            <v>0</v>
          </cell>
          <cell r="AI69">
            <v>0</v>
          </cell>
          <cell r="AJ69">
            <v>30.06</v>
          </cell>
          <cell r="AK69">
            <v>1</v>
          </cell>
          <cell r="AL69" t="str">
            <v>NATIONAL</v>
          </cell>
          <cell r="AM69">
            <v>2250</v>
          </cell>
          <cell r="AN69">
            <v>-1578.8920000000001</v>
          </cell>
          <cell r="AO69">
            <v>-1578.8920000000001</v>
          </cell>
          <cell r="AP69">
            <v>0</v>
          </cell>
          <cell r="AQ69">
            <v>626.50800000000004</v>
          </cell>
          <cell r="AR69">
            <v>-186.44708</v>
          </cell>
          <cell r="AS69">
            <v>-1933.922</v>
          </cell>
          <cell r="AT69">
            <v>35.659999999999997</v>
          </cell>
          <cell r="AU69">
            <v>-10.612920000000001</v>
          </cell>
          <cell r="AV69">
            <v>-110.078</v>
          </cell>
          <cell r="AW69">
            <v>45929</v>
          </cell>
          <cell r="AX69">
            <v>45929</v>
          </cell>
          <cell r="AY69">
            <v>45929</v>
          </cell>
          <cell r="AZ69">
            <v>45929</v>
          </cell>
          <cell r="BA69">
            <v>45929</v>
          </cell>
          <cell r="BB69">
            <v>45929</v>
          </cell>
          <cell r="BC69" t="str">
            <v>NFT-/XUTR/DEUTH025272A0RO3X</v>
          </cell>
          <cell r="BD69" t="str">
            <v>NFT-/XUTR/DEUTH025272A0RO3X</v>
          </cell>
          <cell r="BE69" t="str">
            <v>NFT-/XUTR/DEUTH025272A0RO3X</v>
          </cell>
          <cell r="BF69" t="str">
            <v>NFT-/XUTR/DEUTH025272A0QW5X</v>
          </cell>
          <cell r="BG69" t="str">
            <v>NFT-/XUTR/DEUTH025272A0QW5X</v>
          </cell>
          <cell r="BH69" t="str">
            <v>NFT-/XUTR/DEUTH025272A0QW5X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100</v>
          </cell>
          <cell r="BN69">
            <v>0</v>
          </cell>
          <cell r="BO69">
            <v>1825</v>
          </cell>
          <cell r="BP69">
            <v>12</v>
          </cell>
          <cell r="BQ69">
            <v>0</v>
          </cell>
          <cell r="BR69">
            <v>0</v>
          </cell>
          <cell r="BS69">
            <v>0</v>
          </cell>
          <cell r="BT69">
            <v>0.5</v>
          </cell>
          <cell r="BU69">
            <v>0</v>
          </cell>
          <cell r="BV69">
            <v>0</v>
          </cell>
          <cell r="BW69">
            <v>0.1</v>
          </cell>
          <cell r="BX69" t="str">
            <v>BETTY</v>
          </cell>
          <cell r="BY69" t="str">
            <v>Girls</v>
          </cell>
          <cell r="BZ69" t="str">
            <v>External</v>
          </cell>
          <cell r="CA69" t="str">
            <v>Dresses</v>
          </cell>
          <cell r="CB69" t="str">
            <v>ON_HAND</v>
          </cell>
          <cell r="CC69" t="b">
            <v>0</v>
          </cell>
          <cell r="CD69" t="str">
            <v>**********</v>
          </cell>
          <cell r="CE69">
            <v>813102</v>
          </cell>
          <cell r="CF69" t="str">
            <v>27AXUPC8425A1ZH</v>
          </cell>
          <cell r="CH69" t="str">
            <v>29AAECM9636P1ZJ</v>
          </cell>
          <cell r="CI69" t="str">
            <v>Mumbai</v>
          </cell>
          <cell r="CJ69">
            <v>400013</v>
          </cell>
          <cell r="CK69" t="str">
            <v>maharashtra</v>
          </cell>
          <cell r="CL69" t="str">
            <v>MH</v>
          </cell>
          <cell r="CN69">
            <v>0</v>
          </cell>
          <cell r="CO69">
            <v>616.14700000000005</v>
          </cell>
          <cell r="CP69">
            <v>616.14700000000005</v>
          </cell>
          <cell r="CQ69">
            <v>0</v>
          </cell>
          <cell r="CR69">
            <v>0</v>
          </cell>
          <cell r="CS69">
            <v>0</v>
          </cell>
          <cell r="CT69">
            <v>2250</v>
          </cell>
          <cell r="CU69">
            <v>1.825</v>
          </cell>
          <cell r="CW69">
            <v>0</v>
          </cell>
          <cell r="CX69">
            <v>35.070999999999998</v>
          </cell>
          <cell r="CY69">
            <v>35.070999999999998</v>
          </cell>
          <cell r="CZ69">
            <v>0</v>
          </cell>
          <cell r="DA69">
            <v>0</v>
          </cell>
          <cell r="DB69">
            <v>0</v>
          </cell>
          <cell r="DC69">
            <v>2250</v>
          </cell>
          <cell r="DD69">
            <v>1.825</v>
          </cell>
          <cell r="DE69" t="str">
            <v>1643909c-3420-40ac-923f-4d14b34d09df</v>
          </cell>
          <cell r="DF69">
            <v>100079000000</v>
          </cell>
          <cell r="DG69">
            <v>8.6340000000000003</v>
          </cell>
          <cell r="DH69">
            <v>0.49099999999999999</v>
          </cell>
          <cell r="DI69">
            <v>1.7270000000000001</v>
          </cell>
          <cell r="DJ69">
            <v>9.8000000000000004E-2</v>
          </cell>
          <cell r="DK69" t="str">
            <v>BRONZE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 t="str">
            <v>NA</v>
          </cell>
          <cell r="DU69" t="str">
            <v>NA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-1578.8920000000001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 t="str">
            <v>Settled</v>
          </cell>
          <cell r="FH69">
            <v>2250</v>
          </cell>
          <cell r="FI69">
            <v>1578.8920000000001</v>
          </cell>
          <cell r="FJ69">
            <v>662.16800000000001</v>
          </cell>
          <cell r="FK69">
            <v>197.06</v>
          </cell>
        </row>
        <row r="70">
          <cell r="A70">
            <v>8637335372</v>
          </cell>
          <cell r="B70">
            <v>10637259922</v>
          </cell>
          <cell r="C70" t="str">
            <v>return_refund</v>
          </cell>
          <cell r="D70">
            <v>45904.488888888889</v>
          </cell>
          <cell r="E70">
            <v>45898.45</v>
          </cell>
          <cell r="G70" t="str">
            <v>Myntra Designs Pvt Ltd</v>
          </cell>
          <cell r="H70" t="str">
            <v>BETYDRSS100320377</v>
          </cell>
          <cell r="I70" t="str">
            <v>\I2726TK000002652\""</v>
          </cell>
          <cell r="J70">
            <v>9760437241</v>
          </cell>
          <cell r="K70">
            <v>62042300</v>
          </cell>
          <cell r="L70" t="str">
            <v>Apparel</v>
          </cell>
          <cell r="M70" t="str">
            <v>INR</v>
          </cell>
          <cell r="N70">
            <v>3394</v>
          </cell>
          <cell r="O70">
            <v>0</v>
          </cell>
          <cell r="P70">
            <v>3394</v>
          </cell>
          <cell r="Q70">
            <v>4500</v>
          </cell>
          <cell r="R70">
            <v>900</v>
          </cell>
          <cell r="S70" t="str">
            <v>Inter-State</v>
          </cell>
          <cell r="T70">
            <v>12</v>
          </cell>
          <cell r="U70">
            <v>363.64</v>
          </cell>
          <cell r="V70">
            <v>0</v>
          </cell>
          <cell r="W70">
            <v>0</v>
          </cell>
          <cell r="X70">
            <v>15.151999999999999</v>
          </cell>
          <cell r="Y70">
            <v>3.03</v>
          </cell>
          <cell r="AA70">
            <v>0</v>
          </cell>
          <cell r="AB70">
            <v>1081.328</v>
          </cell>
          <cell r="AC70">
            <v>1081.328</v>
          </cell>
          <cell r="AD70">
            <v>1099.51</v>
          </cell>
          <cell r="AE70">
            <v>-197.06</v>
          </cell>
          <cell r="AF70">
            <v>167</v>
          </cell>
          <cell r="AG70">
            <v>0</v>
          </cell>
          <cell r="AH70">
            <v>0</v>
          </cell>
          <cell r="AI70">
            <v>0</v>
          </cell>
          <cell r="AJ70">
            <v>30.06</v>
          </cell>
          <cell r="AK70">
            <v>1</v>
          </cell>
          <cell r="AL70" t="str">
            <v>NATIONAL</v>
          </cell>
          <cell r="AM70">
            <v>3600</v>
          </cell>
          <cell r="AN70">
            <v>-2491.5500000000002</v>
          </cell>
          <cell r="AO70">
            <v>-2491.5500000000002</v>
          </cell>
          <cell r="AP70">
            <v>0</v>
          </cell>
          <cell r="AQ70">
            <v>1099.51</v>
          </cell>
          <cell r="AR70">
            <v>-197.06</v>
          </cell>
          <cell r="AS70">
            <v>-3394</v>
          </cell>
          <cell r="AV70">
            <v>0</v>
          </cell>
          <cell r="AW70">
            <v>45917</v>
          </cell>
          <cell r="AX70">
            <v>45917</v>
          </cell>
          <cell r="AY70">
            <v>45917</v>
          </cell>
          <cell r="BC70" t="str">
            <v>NFT-/XUTR/DEUTH025260A0NZCX</v>
          </cell>
          <cell r="BD70" t="str">
            <v>NFT-/XUTR/DEUTH025260A0NZCX</v>
          </cell>
          <cell r="BE70" t="str">
            <v>NFT-/XUTR/DEUTH025260A0NZCX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3030.36</v>
          </cell>
          <cell r="BP70">
            <v>12</v>
          </cell>
          <cell r="BQ70">
            <v>0</v>
          </cell>
          <cell r="BR70">
            <v>0</v>
          </cell>
          <cell r="BS70">
            <v>0</v>
          </cell>
          <cell r="BT70">
            <v>0.5</v>
          </cell>
          <cell r="BU70">
            <v>0</v>
          </cell>
          <cell r="BV70">
            <v>0</v>
          </cell>
          <cell r="BW70">
            <v>0.1</v>
          </cell>
          <cell r="BX70" t="str">
            <v>BETTY</v>
          </cell>
          <cell r="BY70" t="str">
            <v>Girls</v>
          </cell>
          <cell r="BZ70" t="str">
            <v>External</v>
          </cell>
          <cell r="CA70" t="str">
            <v>Dresses</v>
          </cell>
          <cell r="CB70" t="str">
            <v>ON_HAND</v>
          </cell>
          <cell r="CC70" t="b">
            <v>0</v>
          </cell>
          <cell r="CD70" t="str">
            <v>**********</v>
          </cell>
          <cell r="CE70">
            <v>851101</v>
          </cell>
          <cell r="CF70" t="str">
            <v>27AXUPC8425A1ZH</v>
          </cell>
          <cell r="CH70" t="str">
            <v>29AAECM9636P1ZJ</v>
          </cell>
          <cell r="CI70" t="str">
            <v>Mumbai</v>
          </cell>
          <cell r="CJ70">
            <v>400013</v>
          </cell>
          <cell r="CK70" t="str">
            <v>maharashtra</v>
          </cell>
          <cell r="CL70" t="str">
            <v>MH</v>
          </cell>
          <cell r="CN70">
            <v>0</v>
          </cell>
          <cell r="CO70">
            <v>1081.328</v>
          </cell>
          <cell r="CP70">
            <v>1081.328</v>
          </cell>
          <cell r="CQ70">
            <v>0</v>
          </cell>
          <cell r="CR70">
            <v>0</v>
          </cell>
          <cell r="CS70">
            <v>0</v>
          </cell>
          <cell r="CT70">
            <v>900</v>
          </cell>
          <cell r="CU70">
            <v>3.0303599999999999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E70" t="str">
            <v>2eeb8215-b4b0-4ac5-a347-6e4325a4ee6a</v>
          </cell>
          <cell r="DF70">
            <v>100075000000</v>
          </cell>
          <cell r="DG70">
            <v>15.151999999999999</v>
          </cell>
          <cell r="DH70">
            <v>0</v>
          </cell>
          <cell r="DI70">
            <v>3.03</v>
          </cell>
          <cell r="DJ70">
            <v>0</v>
          </cell>
          <cell r="DK70" t="str">
            <v>BRONZE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 t="str">
            <v>NA</v>
          </cell>
          <cell r="DU70" t="str">
            <v>NA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-2491.5500000000002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 t="str">
            <v>Settled</v>
          </cell>
          <cell r="FH70">
            <v>3600</v>
          </cell>
          <cell r="FI70">
            <v>2491.5500000000002</v>
          </cell>
          <cell r="FJ70">
            <v>1099.51</v>
          </cell>
          <cell r="FK70">
            <v>197.06</v>
          </cell>
        </row>
        <row r="71">
          <cell r="A71">
            <v>8615334103</v>
          </cell>
          <cell r="B71">
            <v>10615259561</v>
          </cell>
          <cell r="C71" t="str">
            <v>return_refund</v>
          </cell>
          <cell r="D71">
            <v>45890.572222222225</v>
          </cell>
          <cell r="E71">
            <v>45882.768750000003</v>
          </cell>
          <cell r="F71">
            <v>44523</v>
          </cell>
          <cell r="G71" t="str">
            <v>Myntra Designs Pvt Ltd</v>
          </cell>
          <cell r="H71" t="str">
            <v>TIKILHNC101907531</v>
          </cell>
          <cell r="I71" t="str">
            <v>\I2726TK000002423\""</v>
          </cell>
          <cell r="J71">
            <v>9754422492</v>
          </cell>
          <cell r="K71">
            <v>62042300</v>
          </cell>
          <cell r="L71" t="str">
            <v>Apparel</v>
          </cell>
          <cell r="M71" t="str">
            <v>INR</v>
          </cell>
          <cell r="N71">
            <v>1079</v>
          </cell>
          <cell r="O71">
            <v>0</v>
          </cell>
          <cell r="P71">
            <v>1079</v>
          </cell>
          <cell r="Q71">
            <v>2500</v>
          </cell>
          <cell r="R71">
            <v>1250</v>
          </cell>
          <cell r="S71" t="str">
            <v>Inter-State</v>
          </cell>
          <cell r="T71">
            <v>12</v>
          </cell>
          <cell r="U71">
            <v>115.61</v>
          </cell>
          <cell r="V71">
            <v>0</v>
          </cell>
          <cell r="W71">
            <v>0</v>
          </cell>
          <cell r="X71">
            <v>4.8170000000000002</v>
          </cell>
          <cell r="Y71">
            <v>0.96299999999999997</v>
          </cell>
          <cell r="AA71">
            <v>0</v>
          </cell>
          <cell r="AB71">
            <v>267.37599999999998</v>
          </cell>
          <cell r="AC71">
            <v>267.37599999999998</v>
          </cell>
          <cell r="AD71">
            <v>273.15600000000001</v>
          </cell>
          <cell r="AE71">
            <v>-197.06</v>
          </cell>
          <cell r="AF71">
            <v>167</v>
          </cell>
          <cell r="AG71">
            <v>0</v>
          </cell>
          <cell r="AH71">
            <v>0</v>
          </cell>
          <cell r="AI71">
            <v>0</v>
          </cell>
          <cell r="AJ71">
            <v>30.06</v>
          </cell>
          <cell r="AK71">
            <v>1</v>
          </cell>
          <cell r="AL71" t="str">
            <v>NATIONAL</v>
          </cell>
          <cell r="AM71">
            <v>1250</v>
          </cell>
          <cell r="AN71">
            <v>-1002.904</v>
          </cell>
          <cell r="AO71">
            <v>-1002.904</v>
          </cell>
          <cell r="AP71">
            <v>0</v>
          </cell>
          <cell r="AQ71">
            <v>273.15600000000001</v>
          </cell>
          <cell r="AR71">
            <v>-197.06</v>
          </cell>
          <cell r="AS71">
            <v>-1079</v>
          </cell>
          <cell r="AV71">
            <v>0</v>
          </cell>
          <cell r="AW71">
            <v>45901</v>
          </cell>
          <cell r="AX71">
            <v>45901</v>
          </cell>
          <cell r="AY71">
            <v>45901</v>
          </cell>
          <cell r="BC71" t="str">
            <v>NFT-/XUTR/DEUTH025244A0LW1X</v>
          </cell>
          <cell r="BD71" t="str">
            <v>NFT-/XUTR/DEUTH025244A0LW1X</v>
          </cell>
          <cell r="BE71" t="str">
            <v>NFT-/XUTR/DEUTH025244A0LW1X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963.39</v>
          </cell>
          <cell r="BP71">
            <v>12</v>
          </cell>
          <cell r="BQ71">
            <v>0</v>
          </cell>
          <cell r="BR71">
            <v>0</v>
          </cell>
          <cell r="BS71">
            <v>0</v>
          </cell>
          <cell r="BT71">
            <v>0.5</v>
          </cell>
          <cell r="BU71">
            <v>0</v>
          </cell>
          <cell r="BV71">
            <v>0</v>
          </cell>
          <cell r="BW71">
            <v>0.1</v>
          </cell>
          <cell r="BX71" t="str">
            <v>Tiny Kingdom</v>
          </cell>
          <cell r="BY71" t="str">
            <v>Girls</v>
          </cell>
          <cell r="BZ71" t="str">
            <v>External</v>
          </cell>
          <cell r="CA71" t="str">
            <v>Lehenga Choli</v>
          </cell>
          <cell r="CB71" t="str">
            <v>ON_HAND</v>
          </cell>
          <cell r="CC71" t="b">
            <v>0</v>
          </cell>
          <cell r="CD71" t="str">
            <v>**********</v>
          </cell>
          <cell r="CE71">
            <v>700027</v>
          </cell>
          <cell r="CF71" t="str">
            <v>27AXUPC8425A1ZH</v>
          </cell>
          <cell r="CH71" t="str">
            <v>29AAECM9636P1ZJ</v>
          </cell>
          <cell r="CI71" t="str">
            <v>Mumbai</v>
          </cell>
          <cell r="CJ71">
            <v>400013</v>
          </cell>
          <cell r="CK71" t="str">
            <v>maharashtra</v>
          </cell>
          <cell r="CL71" t="str">
            <v>MH</v>
          </cell>
          <cell r="CN71">
            <v>0</v>
          </cell>
          <cell r="CO71">
            <v>267.37599999999998</v>
          </cell>
          <cell r="CP71">
            <v>267.37599999999998</v>
          </cell>
          <cell r="CQ71">
            <v>0</v>
          </cell>
          <cell r="CR71">
            <v>0</v>
          </cell>
          <cell r="CS71">
            <v>0</v>
          </cell>
          <cell r="CT71">
            <v>1250</v>
          </cell>
          <cell r="CU71">
            <v>0.96338999999999997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E71" t="str">
            <v>c5d2e74c-e53b-4122-97ca-d0d95f6c5e1b</v>
          </cell>
          <cell r="DF71">
            <v>100072000000</v>
          </cell>
          <cell r="DG71">
            <v>4.8170000000000002</v>
          </cell>
          <cell r="DH71">
            <v>0</v>
          </cell>
          <cell r="DI71">
            <v>0.96299999999999997</v>
          </cell>
          <cell r="DJ71">
            <v>0</v>
          </cell>
          <cell r="DK71" t="str">
            <v>BRONZE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 t="str">
            <v>NA</v>
          </cell>
          <cell r="DU71" t="str">
            <v>NA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EB71">
            <v>-1002.904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 t="str">
            <v>Settled</v>
          </cell>
          <cell r="FH71">
            <v>1250</v>
          </cell>
          <cell r="FI71">
            <v>1002.904</v>
          </cell>
          <cell r="FJ71">
            <v>273.15600000000001</v>
          </cell>
          <cell r="FK71">
            <v>197.06</v>
          </cell>
        </row>
        <row r="72">
          <cell r="A72">
            <v>8639764517</v>
          </cell>
          <cell r="B72">
            <v>10639689014</v>
          </cell>
          <cell r="C72" t="str">
            <v>return_refund</v>
          </cell>
          <cell r="D72">
            <v>45908.587500000001</v>
          </cell>
          <cell r="E72">
            <v>45900.458333333336</v>
          </cell>
          <cell r="G72" t="str">
            <v>Myntra Designs Pvt Ltd</v>
          </cell>
          <cell r="H72" t="str">
            <v>TIKILHNC112303901</v>
          </cell>
          <cell r="I72" t="str">
            <v>\I2726TK000002682\""</v>
          </cell>
          <cell r="J72">
            <v>8639764517</v>
          </cell>
          <cell r="K72">
            <v>62042300</v>
          </cell>
          <cell r="L72" t="str">
            <v>Apparel</v>
          </cell>
          <cell r="M72" t="str">
            <v>INR</v>
          </cell>
          <cell r="N72">
            <v>2981</v>
          </cell>
          <cell r="O72">
            <v>0</v>
          </cell>
          <cell r="P72">
            <v>2981</v>
          </cell>
          <cell r="Q72">
            <v>3750</v>
          </cell>
          <cell r="R72">
            <v>563</v>
          </cell>
          <cell r="S72" t="str">
            <v>Inter-State</v>
          </cell>
          <cell r="T72">
            <v>12</v>
          </cell>
          <cell r="U72">
            <v>319.39</v>
          </cell>
          <cell r="V72">
            <v>0</v>
          </cell>
          <cell r="W72">
            <v>0</v>
          </cell>
          <cell r="X72">
            <v>13.308</v>
          </cell>
          <cell r="Y72">
            <v>2.6619999999999999</v>
          </cell>
          <cell r="AA72">
            <v>0</v>
          </cell>
          <cell r="AB72">
            <v>738.69200000000001</v>
          </cell>
          <cell r="AC72">
            <v>738.69200000000001</v>
          </cell>
          <cell r="AD72">
            <v>754.66200000000003</v>
          </cell>
          <cell r="AE72">
            <v>-132.16</v>
          </cell>
          <cell r="AF72">
            <v>112</v>
          </cell>
          <cell r="AG72">
            <v>0</v>
          </cell>
          <cell r="AH72">
            <v>0</v>
          </cell>
          <cell r="AI72">
            <v>0</v>
          </cell>
          <cell r="AJ72">
            <v>20.16</v>
          </cell>
          <cell r="AK72">
            <v>1</v>
          </cell>
          <cell r="AL72" t="str">
            <v>ZONAL</v>
          </cell>
          <cell r="AM72">
            <v>3187</v>
          </cell>
          <cell r="AN72">
            <v>-2358.498</v>
          </cell>
          <cell r="AO72">
            <v>-2358.498</v>
          </cell>
          <cell r="AP72">
            <v>0</v>
          </cell>
          <cell r="AQ72">
            <v>754.66200000000003</v>
          </cell>
          <cell r="AR72">
            <v>-132.16</v>
          </cell>
          <cell r="AS72">
            <v>-2981</v>
          </cell>
          <cell r="AV72">
            <v>0</v>
          </cell>
          <cell r="AW72">
            <v>45919</v>
          </cell>
          <cell r="AX72">
            <v>45919</v>
          </cell>
          <cell r="AY72">
            <v>45919</v>
          </cell>
          <cell r="BC72" t="str">
            <v>NFT-/XUTR/DEUTH025262A0W6UX</v>
          </cell>
          <cell r="BD72" t="str">
            <v>NFT-/XUTR/DEUTH025262A0W6UX</v>
          </cell>
          <cell r="BE72" t="str">
            <v>NFT-/XUTR/DEUTH025262A0W6UX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2661.61</v>
          </cell>
          <cell r="BP72">
            <v>12</v>
          </cell>
          <cell r="BQ72">
            <v>0</v>
          </cell>
          <cell r="BR72">
            <v>0</v>
          </cell>
          <cell r="BS72">
            <v>0</v>
          </cell>
          <cell r="BT72">
            <v>0.5</v>
          </cell>
          <cell r="BU72">
            <v>0</v>
          </cell>
          <cell r="BV72">
            <v>0</v>
          </cell>
          <cell r="BW72">
            <v>0.1</v>
          </cell>
          <cell r="BX72" t="str">
            <v>Tiny Kingdom</v>
          </cell>
          <cell r="BY72" t="str">
            <v>Girls</v>
          </cell>
          <cell r="BZ72" t="str">
            <v>External</v>
          </cell>
          <cell r="CA72" t="str">
            <v>Lehenga Choli</v>
          </cell>
          <cell r="CB72" t="str">
            <v>ON_HAND</v>
          </cell>
          <cell r="CC72" t="b">
            <v>0</v>
          </cell>
          <cell r="CD72" t="str">
            <v>**********</v>
          </cell>
          <cell r="CE72">
            <v>560056</v>
          </cell>
          <cell r="CF72" t="str">
            <v>27AXUPC8425A1ZH</v>
          </cell>
          <cell r="CH72" t="str">
            <v>29AAECM9636P1ZJ</v>
          </cell>
          <cell r="CI72" t="str">
            <v>Mumbai</v>
          </cell>
          <cell r="CJ72">
            <v>400013</v>
          </cell>
          <cell r="CK72" t="str">
            <v>maharashtra</v>
          </cell>
          <cell r="CL72" t="str">
            <v>MH</v>
          </cell>
          <cell r="CN72">
            <v>0</v>
          </cell>
          <cell r="CO72">
            <v>738.69200000000001</v>
          </cell>
          <cell r="CP72">
            <v>738.69200000000001</v>
          </cell>
          <cell r="CQ72">
            <v>0</v>
          </cell>
          <cell r="CR72">
            <v>0</v>
          </cell>
          <cell r="CS72">
            <v>0</v>
          </cell>
          <cell r="CT72">
            <v>563</v>
          </cell>
          <cell r="CU72">
            <v>2.66161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E72" t="str">
            <v>eb89abf9-fb6f-4428-a1cc-3fea0298f586</v>
          </cell>
          <cell r="DF72">
            <v>100076000000</v>
          </cell>
          <cell r="DG72">
            <v>13.308</v>
          </cell>
          <cell r="DH72">
            <v>0</v>
          </cell>
          <cell r="DI72">
            <v>2.6619999999999999</v>
          </cell>
          <cell r="DJ72">
            <v>0</v>
          </cell>
          <cell r="DK72" t="str">
            <v>BRONZE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 t="str">
            <v>NA</v>
          </cell>
          <cell r="DU72" t="str">
            <v>NA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-2358.498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 t="str">
            <v>Settled</v>
          </cell>
          <cell r="FH72">
            <v>3187</v>
          </cell>
          <cell r="FI72">
            <v>2358.498</v>
          </cell>
          <cell r="FJ72">
            <v>754.66200000000003</v>
          </cell>
          <cell r="FK72">
            <v>132.16</v>
          </cell>
        </row>
        <row r="73">
          <cell r="A73">
            <v>8632532798</v>
          </cell>
          <cell r="B73">
            <v>10632457450</v>
          </cell>
          <cell r="C73" t="str">
            <v>return_refund</v>
          </cell>
          <cell r="D73">
            <v>45902.572222222225</v>
          </cell>
          <cell r="E73">
            <v>45894.452777777777</v>
          </cell>
          <cell r="G73" t="str">
            <v>Myntra Designs Pvt Ltd</v>
          </cell>
          <cell r="H73" t="str">
            <v>BETYDRSS93852578</v>
          </cell>
          <cell r="I73" t="str">
            <v>\I2726TK000002562\""</v>
          </cell>
          <cell r="J73">
            <v>8632532798</v>
          </cell>
          <cell r="K73">
            <v>62042300</v>
          </cell>
          <cell r="L73" t="str">
            <v>Apparel</v>
          </cell>
          <cell r="M73" t="str">
            <v>INR</v>
          </cell>
          <cell r="N73">
            <v>2594</v>
          </cell>
          <cell r="O73">
            <v>0</v>
          </cell>
          <cell r="P73">
            <v>2594</v>
          </cell>
          <cell r="Q73">
            <v>4000</v>
          </cell>
          <cell r="R73">
            <v>1200</v>
          </cell>
          <cell r="S73" t="str">
            <v>Inter-State</v>
          </cell>
          <cell r="T73">
            <v>12</v>
          </cell>
          <cell r="U73">
            <v>277.93</v>
          </cell>
          <cell r="V73">
            <v>0</v>
          </cell>
          <cell r="W73">
            <v>0</v>
          </cell>
          <cell r="X73">
            <v>11.58</v>
          </cell>
          <cell r="Y73">
            <v>2.3159999999999998</v>
          </cell>
          <cell r="AA73">
            <v>0</v>
          </cell>
          <cell r="AB73">
            <v>826.44799999999998</v>
          </cell>
          <cell r="AC73">
            <v>826.44799999999998</v>
          </cell>
          <cell r="AD73">
            <v>840.34400000000005</v>
          </cell>
          <cell r="AE73">
            <v>-132.16</v>
          </cell>
          <cell r="AF73">
            <v>112</v>
          </cell>
          <cell r="AG73">
            <v>0</v>
          </cell>
          <cell r="AH73">
            <v>0</v>
          </cell>
          <cell r="AI73">
            <v>0</v>
          </cell>
          <cell r="AJ73">
            <v>20.16</v>
          </cell>
          <cell r="AK73">
            <v>1</v>
          </cell>
          <cell r="AL73" t="str">
            <v>ZONAL</v>
          </cell>
          <cell r="AM73">
            <v>2800</v>
          </cell>
          <cell r="AN73">
            <v>-1885.816</v>
          </cell>
          <cell r="AO73">
            <v>-1885.816</v>
          </cell>
          <cell r="AP73">
            <v>0</v>
          </cell>
          <cell r="AQ73">
            <v>840.34400000000005</v>
          </cell>
          <cell r="AR73">
            <v>-132.16</v>
          </cell>
          <cell r="AS73">
            <v>-2594</v>
          </cell>
          <cell r="AV73">
            <v>0</v>
          </cell>
          <cell r="AW73">
            <v>45911</v>
          </cell>
          <cell r="AX73">
            <v>45911</v>
          </cell>
          <cell r="AY73">
            <v>45911</v>
          </cell>
          <cell r="BC73" t="str">
            <v>NFT-/XUTR/DEUTH02525423909X</v>
          </cell>
          <cell r="BD73" t="str">
            <v>NFT-/XUTR/DEUTH02525423909X</v>
          </cell>
          <cell r="BE73" t="str">
            <v>NFT-/XUTR/DEUTH02525423909X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2316.0700000000002</v>
          </cell>
          <cell r="BP73">
            <v>12</v>
          </cell>
          <cell r="BQ73">
            <v>0</v>
          </cell>
          <cell r="BR73">
            <v>0</v>
          </cell>
          <cell r="BS73">
            <v>0</v>
          </cell>
          <cell r="BT73">
            <v>0.5</v>
          </cell>
          <cell r="BU73">
            <v>0</v>
          </cell>
          <cell r="BV73">
            <v>0</v>
          </cell>
          <cell r="BW73">
            <v>0.1</v>
          </cell>
          <cell r="BX73" t="str">
            <v>BETTY</v>
          </cell>
          <cell r="BY73" t="str">
            <v>Girls</v>
          </cell>
          <cell r="BZ73" t="str">
            <v>External</v>
          </cell>
          <cell r="CA73" t="str">
            <v>Dresses</v>
          </cell>
          <cell r="CB73" t="str">
            <v>ON_HAND</v>
          </cell>
          <cell r="CC73" t="b">
            <v>0</v>
          </cell>
          <cell r="CD73" t="str">
            <v>**********</v>
          </cell>
          <cell r="CE73">
            <v>500089</v>
          </cell>
          <cell r="CF73" t="str">
            <v>27AXUPC8425A1ZH</v>
          </cell>
          <cell r="CH73" t="str">
            <v>29AAECM9636P1ZJ</v>
          </cell>
          <cell r="CI73" t="str">
            <v>Mumbai</v>
          </cell>
          <cell r="CJ73">
            <v>400013</v>
          </cell>
          <cell r="CK73" t="str">
            <v>maharashtra</v>
          </cell>
          <cell r="CL73" t="str">
            <v>MH</v>
          </cell>
          <cell r="CN73">
            <v>0</v>
          </cell>
          <cell r="CO73">
            <v>826.44799999999998</v>
          </cell>
          <cell r="CP73">
            <v>826.44799999999998</v>
          </cell>
          <cell r="CQ73">
            <v>0</v>
          </cell>
          <cell r="CR73">
            <v>0</v>
          </cell>
          <cell r="CS73">
            <v>0</v>
          </cell>
          <cell r="CT73">
            <v>1200</v>
          </cell>
          <cell r="CU73">
            <v>2.3160699999999999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E73" t="str">
            <v>3d977934-c947-49ef-8bb3-375598a3358f</v>
          </cell>
          <cell r="DF73">
            <v>100075000000</v>
          </cell>
          <cell r="DG73">
            <v>11.58</v>
          </cell>
          <cell r="DH73">
            <v>0</v>
          </cell>
          <cell r="DI73">
            <v>2.3159999999999998</v>
          </cell>
          <cell r="DJ73">
            <v>0</v>
          </cell>
          <cell r="DK73" t="str">
            <v>BRONZE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 t="str">
            <v>NA</v>
          </cell>
          <cell r="DU73" t="str">
            <v>NA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-1885.816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 t="str">
            <v>Settled</v>
          </cell>
          <cell r="FH73">
            <v>2800</v>
          </cell>
          <cell r="FI73">
            <v>1885.816</v>
          </cell>
          <cell r="FJ73">
            <v>840.34400000000005</v>
          </cell>
          <cell r="FK73">
            <v>132.16</v>
          </cell>
        </row>
        <row r="74">
          <cell r="A74">
            <v>8619901287</v>
          </cell>
          <cell r="B74">
            <v>10619826493</v>
          </cell>
          <cell r="C74" t="str">
            <v>return_refund</v>
          </cell>
          <cell r="D74">
            <v>45899.445833333331</v>
          </cell>
          <cell r="E74">
            <v>45888.475694444445</v>
          </cell>
          <cell r="G74" t="str">
            <v>Myntra Designs Pvt Ltd</v>
          </cell>
          <cell r="H74" t="str">
            <v>TIKIDRSS101406987</v>
          </cell>
          <cell r="I74" t="str">
            <v>\I2726TK000002473\""</v>
          </cell>
          <cell r="J74">
            <v>8619901287</v>
          </cell>
          <cell r="K74">
            <v>62042300</v>
          </cell>
          <cell r="L74" t="str">
            <v>Apparel</v>
          </cell>
          <cell r="M74" t="str">
            <v>INR</v>
          </cell>
          <cell r="N74">
            <v>2674</v>
          </cell>
          <cell r="O74">
            <v>0</v>
          </cell>
          <cell r="P74">
            <v>2674</v>
          </cell>
          <cell r="Q74">
            <v>4000</v>
          </cell>
          <cell r="R74">
            <v>800</v>
          </cell>
          <cell r="S74" t="str">
            <v>Inter-State</v>
          </cell>
          <cell r="T74">
            <v>12</v>
          </cell>
          <cell r="U74">
            <v>286.5</v>
          </cell>
          <cell r="V74">
            <v>0</v>
          </cell>
          <cell r="W74">
            <v>0</v>
          </cell>
          <cell r="X74">
            <v>11.936999999999999</v>
          </cell>
          <cell r="Y74">
            <v>2.3879999999999999</v>
          </cell>
          <cell r="AA74">
            <v>0</v>
          </cell>
          <cell r="AB74">
            <v>567.95799999999997</v>
          </cell>
          <cell r="AC74">
            <v>567.95799999999997</v>
          </cell>
          <cell r="AD74">
            <v>582.28300000000002</v>
          </cell>
          <cell r="AE74">
            <v>-197.06</v>
          </cell>
          <cell r="AF74">
            <v>167</v>
          </cell>
          <cell r="AG74">
            <v>0</v>
          </cell>
          <cell r="AH74">
            <v>0</v>
          </cell>
          <cell r="AI74">
            <v>0</v>
          </cell>
          <cell r="AJ74">
            <v>30.06</v>
          </cell>
          <cell r="AK74">
            <v>1</v>
          </cell>
          <cell r="AL74" t="str">
            <v>NATIONAL</v>
          </cell>
          <cell r="AM74">
            <v>2880</v>
          </cell>
          <cell r="AN74">
            <v>-2288.777</v>
          </cell>
          <cell r="AO74">
            <v>-2288.777</v>
          </cell>
          <cell r="AP74">
            <v>0</v>
          </cell>
          <cell r="AQ74">
            <v>582.28300000000002</v>
          </cell>
          <cell r="AR74">
            <v>-197.06</v>
          </cell>
          <cell r="AS74">
            <v>-2674</v>
          </cell>
          <cell r="AV74">
            <v>0</v>
          </cell>
          <cell r="AW74">
            <v>45908</v>
          </cell>
          <cell r="AX74">
            <v>45908</v>
          </cell>
          <cell r="AY74">
            <v>45908</v>
          </cell>
          <cell r="BC74" t="str">
            <v>NFT-/XUTR/DEUTH025251A0L0JX</v>
          </cell>
          <cell r="BD74" t="str">
            <v>NFT-/XUTR/DEUTH025251A0L0JX</v>
          </cell>
          <cell r="BE74" t="str">
            <v>NFT-/XUTR/DEUTH025251A0L0JX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2387.5</v>
          </cell>
          <cell r="BP74">
            <v>12</v>
          </cell>
          <cell r="BQ74">
            <v>0</v>
          </cell>
          <cell r="BR74">
            <v>0</v>
          </cell>
          <cell r="BS74">
            <v>0</v>
          </cell>
          <cell r="BT74">
            <v>0.5</v>
          </cell>
          <cell r="BU74">
            <v>0</v>
          </cell>
          <cell r="BV74">
            <v>0</v>
          </cell>
          <cell r="BW74">
            <v>0.1</v>
          </cell>
          <cell r="BX74" t="str">
            <v>Tiny Kingdom</v>
          </cell>
          <cell r="BY74" t="str">
            <v>Girls</v>
          </cell>
          <cell r="BZ74" t="str">
            <v>External</v>
          </cell>
          <cell r="CA74" t="str">
            <v>Dresses</v>
          </cell>
          <cell r="CB74" t="str">
            <v>ON_HAND</v>
          </cell>
          <cell r="CC74" t="b">
            <v>0</v>
          </cell>
          <cell r="CD74" t="str">
            <v>**********</v>
          </cell>
          <cell r="CE74">
            <v>201306</v>
          </cell>
          <cell r="CF74" t="str">
            <v>27AXUPC8425A1ZH</v>
          </cell>
          <cell r="CH74" t="str">
            <v>29AAECM9636P1ZJ</v>
          </cell>
          <cell r="CI74" t="str">
            <v>Mumbai</v>
          </cell>
          <cell r="CJ74">
            <v>400013</v>
          </cell>
          <cell r="CK74" t="str">
            <v>maharashtra</v>
          </cell>
          <cell r="CL74" t="str">
            <v>MH</v>
          </cell>
          <cell r="CN74">
            <v>0</v>
          </cell>
          <cell r="CO74">
            <v>567.95799999999997</v>
          </cell>
          <cell r="CP74">
            <v>567.95799999999997</v>
          </cell>
          <cell r="CQ74">
            <v>0</v>
          </cell>
          <cell r="CR74">
            <v>0</v>
          </cell>
          <cell r="CS74">
            <v>0</v>
          </cell>
          <cell r="CT74">
            <v>800</v>
          </cell>
          <cell r="CU74">
            <v>2.3875000000000002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E74" t="str">
            <v>b61fa3f7-f5c3-4cc6-b1b9-8fd6f957839d</v>
          </cell>
          <cell r="DF74">
            <v>100073000000</v>
          </cell>
          <cell r="DG74">
            <v>11.936999999999999</v>
          </cell>
          <cell r="DH74">
            <v>0</v>
          </cell>
          <cell r="DI74">
            <v>2.3879999999999999</v>
          </cell>
          <cell r="DJ74">
            <v>0</v>
          </cell>
          <cell r="DK74" t="str">
            <v>BRONZE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 t="str">
            <v>NA</v>
          </cell>
          <cell r="DU74" t="str">
            <v>NA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-2288.777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 t="str">
            <v>Settled</v>
          </cell>
          <cell r="FH74">
            <v>2880</v>
          </cell>
          <cell r="FI74">
            <v>2288.777</v>
          </cell>
          <cell r="FJ74">
            <v>582.28300000000002</v>
          </cell>
          <cell r="FK74">
            <v>197.06</v>
          </cell>
        </row>
        <row r="75">
          <cell r="A75">
            <v>8639784997</v>
          </cell>
          <cell r="B75">
            <v>10639709494</v>
          </cell>
          <cell r="C75" t="str">
            <v>return_refund</v>
          </cell>
          <cell r="D75">
            <v>45908.688194444447</v>
          </cell>
          <cell r="E75">
            <v>45900.458333333336</v>
          </cell>
          <cell r="G75" t="str">
            <v>Myntra Designs Pvt Ltd</v>
          </cell>
          <cell r="H75" t="str">
            <v>BETYCLST66795350</v>
          </cell>
          <cell r="I75" t="str">
            <v>\I2726TK000002678\""</v>
          </cell>
          <cell r="J75">
            <v>8639784997</v>
          </cell>
          <cell r="K75">
            <v>62042300</v>
          </cell>
          <cell r="L75" t="str">
            <v>Apparel</v>
          </cell>
          <cell r="M75" t="str">
            <v>INR</v>
          </cell>
          <cell r="N75">
            <v>2294</v>
          </cell>
          <cell r="O75">
            <v>0</v>
          </cell>
          <cell r="P75">
            <v>2294</v>
          </cell>
          <cell r="Q75">
            <v>5000</v>
          </cell>
          <cell r="R75">
            <v>2500</v>
          </cell>
          <cell r="S75" t="str">
            <v>Intra-State</v>
          </cell>
          <cell r="T75">
            <v>12</v>
          </cell>
          <cell r="U75">
            <v>0</v>
          </cell>
          <cell r="V75">
            <v>122.89</v>
          </cell>
          <cell r="W75">
            <v>122.89</v>
          </cell>
          <cell r="X75">
            <v>10.241</v>
          </cell>
          <cell r="Y75">
            <v>2.048</v>
          </cell>
          <cell r="AA75">
            <v>0</v>
          </cell>
          <cell r="AB75">
            <v>703.79899999999998</v>
          </cell>
          <cell r="AC75">
            <v>703.79899999999998</v>
          </cell>
          <cell r="AD75">
            <v>716.08799999999997</v>
          </cell>
          <cell r="AE75">
            <v>-107.38</v>
          </cell>
          <cell r="AF75">
            <v>91</v>
          </cell>
          <cell r="AG75">
            <v>0</v>
          </cell>
          <cell r="AH75">
            <v>0</v>
          </cell>
          <cell r="AI75">
            <v>0</v>
          </cell>
          <cell r="AJ75">
            <v>16.38</v>
          </cell>
          <cell r="AK75">
            <v>1</v>
          </cell>
          <cell r="AL75" t="str">
            <v>LOCAL</v>
          </cell>
          <cell r="AM75">
            <v>2500</v>
          </cell>
          <cell r="AN75">
            <v>-1685.2919999999999</v>
          </cell>
          <cell r="AO75">
            <v>-1685.2919999999999</v>
          </cell>
          <cell r="AP75">
            <v>0</v>
          </cell>
          <cell r="AQ75">
            <v>716.08799999999997</v>
          </cell>
          <cell r="AR75">
            <v>-107.38</v>
          </cell>
          <cell r="AS75">
            <v>-2294</v>
          </cell>
          <cell r="AV75">
            <v>0</v>
          </cell>
          <cell r="AW75">
            <v>45917</v>
          </cell>
          <cell r="AX75">
            <v>45917</v>
          </cell>
          <cell r="AY75">
            <v>45917</v>
          </cell>
          <cell r="BC75" t="str">
            <v>NFT-/XUTR/DEUTH025260A0NZCX</v>
          </cell>
          <cell r="BD75" t="str">
            <v>NFT-/XUTR/DEUTH025260A0NZCX</v>
          </cell>
          <cell r="BE75" t="str">
            <v>NFT-/XUTR/DEUTH025260A0NZCX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2048.2199999999998</v>
          </cell>
          <cell r="BP75">
            <v>0</v>
          </cell>
          <cell r="BQ75">
            <v>6</v>
          </cell>
          <cell r="BR75">
            <v>6</v>
          </cell>
          <cell r="BS75">
            <v>0</v>
          </cell>
          <cell r="BT75">
            <v>0</v>
          </cell>
          <cell r="BU75">
            <v>0.25</v>
          </cell>
          <cell r="BV75">
            <v>0.25</v>
          </cell>
          <cell r="BW75">
            <v>0.1</v>
          </cell>
          <cell r="BX75" t="str">
            <v>BETTY</v>
          </cell>
          <cell r="BY75" t="str">
            <v>Girls</v>
          </cell>
          <cell r="BZ75" t="str">
            <v>External</v>
          </cell>
          <cell r="CA75" t="str">
            <v>Clothing Set</v>
          </cell>
          <cell r="CB75" t="str">
            <v>ON_HAND</v>
          </cell>
          <cell r="CC75" t="b">
            <v>0</v>
          </cell>
          <cell r="CD75" t="str">
            <v>**********</v>
          </cell>
          <cell r="CE75">
            <v>400709</v>
          </cell>
          <cell r="CF75" t="str">
            <v>27AXUPC8425A1ZH</v>
          </cell>
          <cell r="CH75" t="str">
            <v>29AAECM9636P1ZJ</v>
          </cell>
          <cell r="CI75" t="str">
            <v>Mumbai</v>
          </cell>
          <cell r="CJ75">
            <v>400013</v>
          </cell>
          <cell r="CK75" t="str">
            <v>maharashtra</v>
          </cell>
          <cell r="CL75" t="str">
            <v>MH</v>
          </cell>
          <cell r="CN75">
            <v>0</v>
          </cell>
          <cell r="CO75">
            <v>703.79899999999998</v>
          </cell>
          <cell r="CP75">
            <v>703.79899999999998</v>
          </cell>
          <cell r="CQ75">
            <v>0</v>
          </cell>
          <cell r="CR75">
            <v>0</v>
          </cell>
          <cell r="CS75">
            <v>0</v>
          </cell>
          <cell r="CT75">
            <v>2500</v>
          </cell>
          <cell r="CU75">
            <v>2.0482200000000002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E75" t="str">
            <v>9a95e406-cb4d-4748-8193-f94eb4649bb8</v>
          </cell>
          <cell r="DF75">
            <v>100076000000</v>
          </cell>
          <cell r="DG75">
            <v>10.241</v>
          </cell>
          <cell r="DH75">
            <v>0</v>
          </cell>
          <cell r="DI75">
            <v>2.048</v>
          </cell>
          <cell r="DJ75">
            <v>0</v>
          </cell>
          <cell r="DK75" t="str">
            <v>BRONZE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 t="str">
            <v>NA</v>
          </cell>
          <cell r="DU75" t="str">
            <v>NA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-1685.2919999999999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 t="str">
            <v>Settled</v>
          </cell>
          <cell r="FH75">
            <v>2500</v>
          </cell>
          <cell r="FI75">
            <v>1685.2919999999999</v>
          </cell>
          <cell r="FJ75">
            <v>716.08799999999997</v>
          </cell>
          <cell r="FK75">
            <v>107.38</v>
          </cell>
        </row>
        <row r="76">
          <cell r="A76">
            <v>8620149668</v>
          </cell>
          <cell r="B76">
            <v>10620074869</v>
          </cell>
          <cell r="C76" t="str">
            <v>return_refund</v>
          </cell>
          <cell r="D76">
            <v>45896.595833333333</v>
          </cell>
          <cell r="E76">
            <v>45887.452777777777</v>
          </cell>
          <cell r="F76">
            <v>44526</v>
          </cell>
          <cell r="G76" t="str">
            <v>Myntra Designs Pvt Ltd</v>
          </cell>
          <cell r="H76" t="str">
            <v>TIKIDRSS101150936</v>
          </cell>
          <cell r="I76" t="str">
            <v>\I2726TK000002453\""</v>
          </cell>
          <cell r="J76">
            <v>8620149668</v>
          </cell>
          <cell r="K76">
            <v>62042300</v>
          </cell>
          <cell r="L76" t="str">
            <v>Apparel</v>
          </cell>
          <cell r="M76" t="str">
            <v>INR</v>
          </cell>
          <cell r="N76">
            <v>1704</v>
          </cell>
          <cell r="O76">
            <v>0</v>
          </cell>
          <cell r="P76">
            <v>1704</v>
          </cell>
          <cell r="Q76">
            <v>3750</v>
          </cell>
          <cell r="R76">
            <v>1875</v>
          </cell>
          <cell r="S76" t="str">
            <v>Intra-State</v>
          </cell>
          <cell r="T76">
            <v>12</v>
          </cell>
          <cell r="U76">
            <v>0</v>
          </cell>
          <cell r="V76">
            <v>91.29</v>
          </cell>
          <cell r="W76">
            <v>91.29</v>
          </cell>
          <cell r="X76">
            <v>7.6070000000000002</v>
          </cell>
          <cell r="Y76">
            <v>1.5209999999999999</v>
          </cell>
          <cell r="AA76">
            <v>0</v>
          </cell>
          <cell r="AB76">
            <v>382.03699999999998</v>
          </cell>
          <cell r="AC76">
            <v>382.03699999999998</v>
          </cell>
          <cell r="AD76">
            <v>391.16500000000002</v>
          </cell>
          <cell r="AE76">
            <v>-107.38</v>
          </cell>
          <cell r="AF76">
            <v>91</v>
          </cell>
          <cell r="AG76">
            <v>0</v>
          </cell>
          <cell r="AH76">
            <v>0</v>
          </cell>
          <cell r="AI76">
            <v>0</v>
          </cell>
          <cell r="AJ76">
            <v>16.38</v>
          </cell>
          <cell r="AK76">
            <v>1</v>
          </cell>
          <cell r="AL76" t="str">
            <v>LOCAL</v>
          </cell>
          <cell r="AM76">
            <v>1875</v>
          </cell>
          <cell r="AN76">
            <v>-1420.2149999999999</v>
          </cell>
          <cell r="AO76">
            <v>-1420.2149999999999</v>
          </cell>
          <cell r="AP76">
            <v>0</v>
          </cell>
          <cell r="AQ76">
            <v>391.16500000000002</v>
          </cell>
          <cell r="AR76">
            <v>-107.38</v>
          </cell>
          <cell r="AS76">
            <v>-1704</v>
          </cell>
          <cell r="AV76">
            <v>0</v>
          </cell>
          <cell r="AW76">
            <v>45908</v>
          </cell>
          <cell r="AX76">
            <v>45908</v>
          </cell>
          <cell r="AY76">
            <v>45908</v>
          </cell>
          <cell r="BC76" t="str">
            <v>NFT-/XUTR/DEUTH025251A0L0JX</v>
          </cell>
          <cell r="BD76" t="str">
            <v>NFT-/XUTR/DEUTH025251A0L0JX</v>
          </cell>
          <cell r="BE76" t="str">
            <v>NFT-/XUTR/DEUTH025251A0L0JX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1521.42</v>
          </cell>
          <cell r="BP76">
            <v>0</v>
          </cell>
          <cell r="BQ76">
            <v>6</v>
          </cell>
          <cell r="BR76">
            <v>6</v>
          </cell>
          <cell r="BS76">
            <v>0</v>
          </cell>
          <cell r="BT76">
            <v>0</v>
          </cell>
          <cell r="BU76">
            <v>0.25</v>
          </cell>
          <cell r="BV76">
            <v>0.25</v>
          </cell>
          <cell r="BW76">
            <v>0.1</v>
          </cell>
          <cell r="BX76" t="str">
            <v>Tiny Kingdom</v>
          </cell>
          <cell r="BY76" t="str">
            <v>Girls</v>
          </cell>
          <cell r="BZ76" t="str">
            <v>External</v>
          </cell>
          <cell r="CA76" t="str">
            <v>Dresses</v>
          </cell>
          <cell r="CB76" t="str">
            <v>ON_HAND</v>
          </cell>
          <cell r="CC76" t="b">
            <v>0</v>
          </cell>
          <cell r="CD76" t="str">
            <v>**********</v>
          </cell>
          <cell r="CE76">
            <v>411047</v>
          </cell>
          <cell r="CF76" t="str">
            <v>27AXUPC8425A1ZH</v>
          </cell>
          <cell r="CH76" t="str">
            <v>29AAECM9636P1ZJ</v>
          </cell>
          <cell r="CI76" t="str">
            <v>Mumbai</v>
          </cell>
          <cell r="CJ76">
            <v>400013</v>
          </cell>
          <cell r="CK76" t="str">
            <v>maharashtra</v>
          </cell>
          <cell r="CL76" t="str">
            <v>MH</v>
          </cell>
          <cell r="CN76">
            <v>0</v>
          </cell>
          <cell r="CO76">
            <v>382.03699999999998</v>
          </cell>
          <cell r="CP76">
            <v>382.03699999999998</v>
          </cell>
          <cell r="CQ76">
            <v>0</v>
          </cell>
          <cell r="CR76">
            <v>0</v>
          </cell>
          <cell r="CS76">
            <v>0</v>
          </cell>
          <cell r="CT76">
            <v>1875</v>
          </cell>
          <cell r="CU76">
            <v>1.52142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E76" t="str">
            <v>d8b4f3ae-74a7-4527-8c80-f66cfa10dc85</v>
          </cell>
          <cell r="DF76">
            <v>100073000000</v>
          </cell>
          <cell r="DG76">
            <v>7.6070000000000002</v>
          </cell>
          <cell r="DH76">
            <v>0</v>
          </cell>
          <cell r="DI76">
            <v>1.5209999999999999</v>
          </cell>
          <cell r="DJ76">
            <v>0</v>
          </cell>
          <cell r="DK76" t="str">
            <v>BRONZE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 t="str">
            <v>NA</v>
          </cell>
          <cell r="DU76" t="str">
            <v>NA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-1420.2149999999999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 t="str">
            <v>Settled</v>
          </cell>
          <cell r="FH76">
            <v>1875</v>
          </cell>
          <cell r="FI76">
            <v>1420.2149999999999</v>
          </cell>
          <cell r="FJ76">
            <v>391.16500000000002</v>
          </cell>
          <cell r="FK76">
            <v>107.38</v>
          </cell>
        </row>
        <row r="77">
          <cell r="A77">
            <v>8615086353</v>
          </cell>
          <cell r="B77">
            <v>10615011818</v>
          </cell>
          <cell r="C77" t="str">
            <v>return_refund</v>
          </cell>
          <cell r="D77">
            <v>45900.631944444445</v>
          </cell>
          <cell r="E77">
            <v>45882.768750000003</v>
          </cell>
          <cell r="G77" t="str">
            <v>Myntra Designs Pvt Ltd</v>
          </cell>
          <cell r="H77" t="str">
            <v>TIKILHNC106661951</v>
          </cell>
          <cell r="I77" t="str">
            <v>\I2726TK000002422\""</v>
          </cell>
          <cell r="J77">
            <v>8615086353</v>
          </cell>
          <cell r="K77">
            <v>62042300</v>
          </cell>
          <cell r="L77" t="str">
            <v>Apparel</v>
          </cell>
          <cell r="M77" t="str">
            <v>INR</v>
          </cell>
          <cell r="N77">
            <v>3919</v>
          </cell>
          <cell r="O77">
            <v>3919</v>
          </cell>
          <cell r="P77">
            <v>0</v>
          </cell>
          <cell r="Q77">
            <v>5500</v>
          </cell>
          <cell r="R77">
            <v>1375</v>
          </cell>
          <cell r="S77" t="str">
            <v>Inter-State</v>
          </cell>
          <cell r="T77">
            <v>12</v>
          </cell>
          <cell r="U77">
            <v>419.89</v>
          </cell>
          <cell r="V77">
            <v>0</v>
          </cell>
          <cell r="W77">
            <v>0</v>
          </cell>
          <cell r="X77">
            <v>17.495999999999999</v>
          </cell>
          <cell r="Y77">
            <v>3.4990000000000001</v>
          </cell>
          <cell r="AA77">
            <v>0</v>
          </cell>
          <cell r="AB77">
            <v>971.12800000000004</v>
          </cell>
          <cell r="AC77">
            <v>971.12800000000004</v>
          </cell>
          <cell r="AD77">
            <v>992.12300000000005</v>
          </cell>
          <cell r="AE77">
            <v>-197.06</v>
          </cell>
          <cell r="AF77">
            <v>167</v>
          </cell>
          <cell r="AG77">
            <v>0</v>
          </cell>
          <cell r="AH77">
            <v>0</v>
          </cell>
          <cell r="AI77">
            <v>0</v>
          </cell>
          <cell r="AJ77">
            <v>30.06</v>
          </cell>
          <cell r="AK77">
            <v>1</v>
          </cell>
          <cell r="AL77" t="str">
            <v>NATIONAL</v>
          </cell>
          <cell r="AM77">
            <v>4125</v>
          </cell>
          <cell r="AN77">
            <v>-3123.9369999999999</v>
          </cell>
          <cell r="AO77">
            <v>-3123.9369999999999</v>
          </cell>
          <cell r="AP77">
            <v>0</v>
          </cell>
          <cell r="AS77">
            <v>0</v>
          </cell>
          <cell r="AT77">
            <v>992.12300000000005</v>
          </cell>
          <cell r="AU77">
            <v>-197.06</v>
          </cell>
          <cell r="AV77">
            <v>-3919</v>
          </cell>
          <cell r="AZ77">
            <v>45904</v>
          </cell>
          <cell r="BA77">
            <v>45904</v>
          </cell>
          <cell r="BB77">
            <v>45904</v>
          </cell>
          <cell r="BF77" t="str">
            <v>NFT-/XUTR/DEUTH02524710194X</v>
          </cell>
          <cell r="BG77" t="str">
            <v>NFT-/XUTR/DEUTH02524710194X</v>
          </cell>
          <cell r="BH77" t="str">
            <v>NFT-/XUTR/DEUTH02524710194X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3499.11</v>
          </cell>
          <cell r="BP77">
            <v>12</v>
          </cell>
          <cell r="BQ77">
            <v>0</v>
          </cell>
          <cell r="BR77">
            <v>0</v>
          </cell>
          <cell r="BS77">
            <v>0</v>
          </cell>
          <cell r="BT77">
            <v>0.5</v>
          </cell>
          <cell r="BU77">
            <v>0</v>
          </cell>
          <cell r="BV77">
            <v>0</v>
          </cell>
          <cell r="BW77">
            <v>0.1</v>
          </cell>
          <cell r="BX77" t="str">
            <v>Tiny Kingdom</v>
          </cell>
          <cell r="BY77" t="str">
            <v>Girls</v>
          </cell>
          <cell r="BZ77" t="str">
            <v>External</v>
          </cell>
          <cell r="CA77" t="str">
            <v>Lehenga Choli</v>
          </cell>
          <cell r="CB77" t="str">
            <v>ON_HAND</v>
          </cell>
          <cell r="CC77" t="b">
            <v>0</v>
          </cell>
          <cell r="CD77" t="str">
            <v>**********</v>
          </cell>
          <cell r="CE77">
            <v>768017</v>
          </cell>
          <cell r="CF77" t="str">
            <v>27AXUPC8425A1ZH</v>
          </cell>
          <cell r="CH77" t="str">
            <v>29AAECM9636P1ZJ</v>
          </cell>
          <cell r="CI77" t="str">
            <v>Mumbai</v>
          </cell>
          <cell r="CJ77">
            <v>400013</v>
          </cell>
          <cell r="CK77" t="str">
            <v>maharashtra</v>
          </cell>
          <cell r="CL77" t="str">
            <v>MH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W77">
            <v>0</v>
          </cell>
          <cell r="CX77">
            <v>971.12800000000004</v>
          </cell>
          <cell r="CY77">
            <v>971.12800000000004</v>
          </cell>
          <cell r="CZ77">
            <v>0</v>
          </cell>
          <cell r="DA77">
            <v>0</v>
          </cell>
          <cell r="DB77">
            <v>0</v>
          </cell>
          <cell r="DC77">
            <v>1375</v>
          </cell>
          <cell r="DD77">
            <v>3.4991099999999999</v>
          </cell>
          <cell r="DE77" t="str">
            <v>5ab76e6b-acd2-4928-8e0f-0a7071bc9954</v>
          </cell>
          <cell r="DF77">
            <v>100072000000</v>
          </cell>
          <cell r="DG77">
            <v>0</v>
          </cell>
          <cell r="DH77">
            <v>17.495999999999999</v>
          </cell>
          <cell r="DI77">
            <v>0</v>
          </cell>
          <cell r="DJ77">
            <v>3.4990000000000001</v>
          </cell>
          <cell r="DK77" t="str">
            <v>BRONZE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 t="str">
            <v>NA</v>
          </cell>
          <cell r="DU77" t="str">
            <v>NA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-3123.9369999999999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 t="str">
            <v>Settled</v>
          </cell>
          <cell r="FH77">
            <v>4125</v>
          </cell>
          <cell r="FI77">
            <v>3123.9369999999999</v>
          </cell>
          <cell r="FJ77">
            <v>992.12300000000005</v>
          </cell>
          <cell r="FK77">
            <v>197.06</v>
          </cell>
        </row>
        <row r="78">
          <cell r="A78">
            <v>8612022945</v>
          </cell>
          <cell r="B78">
            <v>10611948561</v>
          </cell>
          <cell r="C78" t="str">
            <v>return_refund</v>
          </cell>
          <cell r="D78">
            <v>45887.406944444447</v>
          </cell>
          <cell r="E78">
            <v>45880.772916666669</v>
          </cell>
          <cell r="F78">
            <v>44516</v>
          </cell>
          <cell r="G78" t="str">
            <v>Myntra Designs Pvt Ltd</v>
          </cell>
          <cell r="H78" t="str">
            <v>TIKICLST113026325</v>
          </cell>
          <cell r="I78" t="str">
            <v>\I2726TK000002378\""</v>
          </cell>
          <cell r="J78">
            <v>8612022945</v>
          </cell>
          <cell r="K78">
            <v>62042300</v>
          </cell>
          <cell r="L78" t="str">
            <v>Apparel</v>
          </cell>
          <cell r="M78" t="str">
            <v>INR</v>
          </cell>
          <cell r="N78">
            <v>2944</v>
          </cell>
          <cell r="O78">
            <v>0</v>
          </cell>
          <cell r="P78">
            <v>2944</v>
          </cell>
          <cell r="Q78">
            <v>3500</v>
          </cell>
          <cell r="R78">
            <v>350</v>
          </cell>
          <cell r="S78" t="str">
            <v>Inter-State</v>
          </cell>
          <cell r="T78">
            <v>12</v>
          </cell>
          <cell r="U78">
            <v>315.43</v>
          </cell>
          <cell r="V78">
            <v>0</v>
          </cell>
          <cell r="W78">
            <v>0</v>
          </cell>
          <cell r="X78">
            <v>13.143000000000001</v>
          </cell>
          <cell r="Y78">
            <v>2.629</v>
          </cell>
          <cell r="AA78">
            <v>0</v>
          </cell>
          <cell r="AB78">
            <v>729.52300000000002</v>
          </cell>
          <cell r="AC78">
            <v>729.52300000000002</v>
          </cell>
          <cell r="AD78">
            <v>745.29499999999996</v>
          </cell>
          <cell r="AE78">
            <v>-197.06</v>
          </cell>
          <cell r="AF78">
            <v>167</v>
          </cell>
          <cell r="AG78">
            <v>0</v>
          </cell>
          <cell r="AH78">
            <v>0</v>
          </cell>
          <cell r="AI78">
            <v>0</v>
          </cell>
          <cell r="AJ78">
            <v>30.06</v>
          </cell>
          <cell r="AK78">
            <v>1</v>
          </cell>
          <cell r="AL78" t="str">
            <v>NATIONAL</v>
          </cell>
          <cell r="AM78">
            <v>3150</v>
          </cell>
          <cell r="AN78">
            <v>-2395.7649999999999</v>
          </cell>
          <cell r="AO78">
            <v>-2395.7649999999999</v>
          </cell>
          <cell r="AP78">
            <v>0</v>
          </cell>
          <cell r="AQ78">
            <v>745.29499999999996</v>
          </cell>
          <cell r="AR78">
            <v>-197.06</v>
          </cell>
          <cell r="AS78">
            <v>-2944</v>
          </cell>
          <cell r="AV78">
            <v>0</v>
          </cell>
          <cell r="AW78">
            <v>45901</v>
          </cell>
          <cell r="AX78">
            <v>45901</v>
          </cell>
          <cell r="AY78">
            <v>45901</v>
          </cell>
          <cell r="BC78" t="str">
            <v>NFT-/XUTR/DEUTH025244A0LW1X</v>
          </cell>
          <cell r="BD78" t="str">
            <v>NFT-/XUTR/DEUTH025244A0LW1X</v>
          </cell>
          <cell r="BE78" t="str">
            <v>NFT-/XUTR/DEUTH025244A0LW1X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2628.57</v>
          </cell>
          <cell r="BP78">
            <v>12</v>
          </cell>
          <cell r="BQ78">
            <v>0</v>
          </cell>
          <cell r="BR78">
            <v>0</v>
          </cell>
          <cell r="BS78">
            <v>0</v>
          </cell>
          <cell r="BT78">
            <v>0.5</v>
          </cell>
          <cell r="BU78">
            <v>0</v>
          </cell>
          <cell r="BV78">
            <v>0</v>
          </cell>
          <cell r="BW78">
            <v>0.1</v>
          </cell>
          <cell r="BX78" t="str">
            <v>Tiny Kingdom</v>
          </cell>
          <cell r="BY78" t="str">
            <v>Girls</v>
          </cell>
          <cell r="BZ78" t="str">
            <v>External</v>
          </cell>
          <cell r="CA78" t="str">
            <v>Clothing Set</v>
          </cell>
          <cell r="CB78" t="str">
            <v>ON_HAND</v>
          </cell>
          <cell r="CC78" t="b">
            <v>0</v>
          </cell>
          <cell r="CD78" t="str">
            <v>**********</v>
          </cell>
          <cell r="CE78">
            <v>273003</v>
          </cell>
          <cell r="CF78" t="str">
            <v>27AXUPC8425A1ZH</v>
          </cell>
          <cell r="CH78" t="str">
            <v>29AAECM9636P1ZJ</v>
          </cell>
          <cell r="CI78" t="str">
            <v>Mumbai</v>
          </cell>
          <cell r="CJ78">
            <v>400013</v>
          </cell>
          <cell r="CK78" t="str">
            <v>maharashtra</v>
          </cell>
          <cell r="CL78" t="str">
            <v>MH</v>
          </cell>
          <cell r="CN78">
            <v>0</v>
          </cell>
          <cell r="CO78">
            <v>729.52300000000002</v>
          </cell>
          <cell r="CP78">
            <v>729.52300000000002</v>
          </cell>
          <cell r="CQ78">
            <v>0</v>
          </cell>
          <cell r="CR78">
            <v>0</v>
          </cell>
          <cell r="CS78">
            <v>0</v>
          </cell>
          <cell r="CT78">
            <v>350</v>
          </cell>
          <cell r="CU78">
            <v>2.6285699999999999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E78" t="str">
            <v>8f4f9ceb-3fe2-411e-820f-b85e1f74ca03</v>
          </cell>
          <cell r="DF78">
            <v>100071000000</v>
          </cell>
          <cell r="DG78">
            <v>13.143000000000001</v>
          </cell>
          <cell r="DH78">
            <v>0</v>
          </cell>
          <cell r="DI78">
            <v>2.629</v>
          </cell>
          <cell r="DJ78">
            <v>0</v>
          </cell>
          <cell r="DK78" t="str">
            <v>BRONZE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 t="str">
            <v>NA</v>
          </cell>
          <cell r="DU78" t="str">
            <v>NA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EB78">
            <v>-2395.7649999999999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 t="str">
            <v>Settled</v>
          </cell>
          <cell r="FH78">
            <v>3150</v>
          </cell>
          <cell r="FI78">
            <v>2395.7649999999999</v>
          </cell>
          <cell r="FJ78">
            <v>745.29499999999996</v>
          </cell>
          <cell r="FK78">
            <v>197.06</v>
          </cell>
        </row>
        <row r="79">
          <cell r="A79">
            <v>8634757737</v>
          </cell>
          <cell r="B79">
            <v>10634682347</v>
          </cell>
          <cell r="C79" t="str">
            <v>return_refund</v>
          </cell>
          <cell r="D79">
            <v>45900.723611111112</v>
          </cell>
          <cell r="E79">
            <v>45897.440972222219</v>
          </cell>
          <cell r="G79" t="str">
            <v>Myntra Designs Pvt Ltd</v>
          </cell>
          <cell r="H79" t="str">
            <v>TIKILHNC113049612</v>
          </cell>
          <cell r="I79" t="str">
            <v>\I2726TK000002616\""</v>
          </cell>
          <cell r="J79">
            <v>8634757737</v>
          </cell>
          <cell r="K79">
            <v>62042300</v>
          </cell>
          <cell r="L79" t="str">
            <v>Apparel</v>
          </cell>
          <cell r="M79" t="str">
            <v>INR</v>
          </cell>
          <cell r="N79">
            <v>3194</v>
          </cell>
          <cell r="O79">
            <v>3194</v>
          </cell>
          <cell r="P79">
            <v>0</v>
          </cell>
          <cell r="Q79">
            <v>4000</v>
          </cell>
          <cell r="R79">
            <v>600</v>
          </cell>
          <cell r="S79" t="str">
            <v>Intra-State</v>
          </cell>
          <cell r="T79">
            <v>12</v>
          </cell>
          <cell r="U79">
            <v>0</v>
          </cell>
          <cell r="V79">
            <v>171.11</v>
          </cell>
          <cell r="W79">
            <v>171.11</v>
          </cell>
          <cell r="X79">
            <v>14.259</v>
          </cell>
          <cell r="Y79">
            <v>2.8519999999999999</v>
          </cell>
          <cell r="AA79">
            <v>0</v>
          </cell>
          <cell r="AB79">
            <v>791.47299999999996</v>
          </cell>
          <cell r="AC79">
            <v>791.47299999999996</v>
          </cell>
          <cell r="AD79">
            <v>808.58399999999995</v>
          </cell>
          <cell r="AE79">
            <v>-107.38</v>
          </cell>
          <cell r="AF79">
            <v>91</v>
          </cell>
          <cell r="AG79">
            <v>0</v>
          </cell>
          <cell r="AH79">
            <v>0</v>
          </cell>
          <cell r="AI79">
            <v>0</v>
          </cell>
          <cell r="AJ79">
            <v>16.38</v>
          </cell>
          <cell r="AK79">
            <v>1</v>
          </cell>
          <cell r="AL79" t="str">
            <v>LOCAL</v>
          </cell>
          <cell r="AM79">
            <v>3400</v>
          </cell>
          <cell r="AN79">
            <v>-2492.7959999999998</v>
          </cell>
          <cell r="AO79">
            <v>-2492.7959999999998</v>
          </cell>
          <cell r="AP79">
            <v>0</v>
          </cell>
          <cell r="AS79">
            <v>0</v>
          </cell>
          <cell r="AT79">
            <v>808.58399999999995</v>
          </cell>
          <cell r="AU79">
            <v>-107.38</v>
          </cell>
          <cell r="AV79">
            <v>-3194</v>
          </cell>
          <cell r="AZ79">
            <v>45915</v>
          </cell>
          <cell r="BA79">
            <v>45915</v>
          </cell>
          <cell r="BB79">
            <v>45915</v>
          </cell>
          <cell r="BF79" t="str">
            <v>NFT-/XUTR/DEUTH02525806657X</v>
          </cell>
          <cell r="BG79" t="str">
            <v>NFT-/XUTR/DEUTH02525806657X</v>
          </cell>
          <cell r="BH79" t="str">
            <v>NFT-/XUTR/DEUTH02525806657X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2851.78</v>
          </cell>
          <cell r="BP79">
            <v>0</v>
          </cell>
          <cell r="BQ79">
            <v>6</v>
          </cell>
          <cell r="BR79">
            <v>6</v>
          </cell>
          <cell r="BS79">
            <v>0</v>
          </cell>
          <cell r="BT79">
            <v>0</v>
          </cell>
          <cell r="BU79">
            <v>0.25</v>
          </cell>
          <cell r="BV79">
            <v>0.25</v>
          </cell>
          <cell r="BW79">
            <v>0.1</v>
          </cell>
          <cell r="BX79" t="str">
            <v>Tiny Kingdom</v>
          </cell>
          <cell r="BY79" t="str">
            <v>Girls</v>
          </cell>
          <cell r="BZ79" t="str">
            <v>External</v>
          </cell>
          <cell r="CA79" t="str">
            <v>Lehenga Choli</v>
          </cell>
          <cell r="CB79" t="str">
            <v>ON_HAND</v>
          </cell>
          <cell r="CC79" t="b">
            <v>0</v>
          </cell>
          <cell r="CD79" t="str">
            <v>**********</v>
          </cell>
          <cell r="CE79">
            <v>400607</v>
          </cell>
          <cell r="CF79" t="str">
            <v>27AXUPC8425A1ZH</v>
          </cell>
          <cell r="CH79" t="str">
            <v>29AAECM9636P1ZJ</v>
          </cell>
          <cell r="CI79" t="str">
            <v>Mumbai</v>
          </cell>
          <cell r="CJ79">
            <v>400013</v>
          </cell>
          <cell r="CK79" t="str">
            <v>maharashtra</v>
          </cell>
          <cell r="CL79" t="str">
            <v>MH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W79">
            <v>0</v>
          </cell>
          <cell r="CX79">
            <v>791.47299999999996</v>
          </cell>
          <cell r="CY79">
            <v>791.47299999999996</v>
          </cell>
          <cell r="CZ79">
            <v>0</v>
          </cell>
          <cell r="DA79">
            <v>0</v>
          </cell>
          <cell r="DB79">
            <v>0</v>
          </cell>
          <cell r="DC79">
            <v>600</v>
          </cell>
          <cell r="DD79">
            <v>2.8517800000000002</v>
          </cell>
          <cell r="DE79" t="str">
            <v>b8dec636-bfd9-4210-a2db-fe070594d8aa</v>
          </cell>
          <cell r="DF79">
            <v>100074000000</v>
          </cell>
          <cell r="DG79">
            <v>0</v>
          </cell>
          <cell r="DH79">
            <v>14.259</v>
          </cell>
          <cell r="DI79">
            <v>0</v>
          </cell>
          <cell r="DJ79">
            <v>2.8519999999999999</v>
          </cell>
          <cell r="DK79" t="str">
            <v>BRONZE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 t="str">
            <v>NA</v>
          </cell>
          <cell r="DU79" t="str">
            <v>NA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-2492.7959999999998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 t="str">
            <v>Settled</v>
          </cell>
          <cell r="FH79">
            <v>3400</v>
          </cell>
          <cell r="FI79">
            <v>2492.7959999999998</v>
          </cell>
          <cell r="FJ79">
            <v>808.58399999999995</v>
          </cell>
          <cell r="FK79">
            <v>107.38</v>
          </cell>
        </row>
        <row r="80">
          <cell r="A80">
            <v>8633441706</v>
          </cell>
          <cell r="B80">
            <v>10633366324</v>
          </cell>
          <cell r="C80" t="str">
            <v>return_refund</v>
          </cell>
          <cell r="D80">
            <v>45909.59375</v>
          </cell>
          <cell r="E80">
            <v>45895.447222222225</v>
          </cell>
          <cell r="F80">
            <v>44534</v>
          </cell>
          <cell r="G80" t="str">
            <v>Myntra Designs Pvt Ltd</v>
          </cell>
          <cell r="H80" t="str">
            <v>TIKITOPS93503758</v>
          </cell>
          <cell r="I80" t="str">
            <v>\I2726TK000002600\""</v>
          </cell>
          <cell r="J80">
            <v>8633441706</v>
          </cell>
          <cell r="K80">
            <v>62064000</v>
          </cell>
          <cell r="L80" t="str">
            <v>Apparel</v>
          </cell>
          <cell r="M80" t="str">
            <v>INR</v>
          </cell>
          <cell r="N80">
            <v>503</v>
          </cell>
          <cell r="O80">
            <v>0</v>
          </cell>
          <cell r="P80">
            <v>503</v>
          </cell>
          <cell r="Q80">
            <v>995</v>
          </cell>
          <cell r="R80">
            <v>398</v>
          </cell>
          <cell r="S80" t="str">
            <v>Inter-State</v>
          </cell>
          <cell r="T80">
            <v>5</v>
          </cell>
          <cell r="U80">
            <v>23.95</v>
          </cell>
          <cell r="V80">
            <v>0</v>
          </cell>
          <cell r="W80">
            <v>0</v>
          </cell>
          <cell r="X80">
            <v>2.395</v>
          </cell>
          <cell r="Y80">
            <v>0.47899999999999998</v>
          </cell>
          <cell r="AA80">
            <v>0</v>
          </cell>
          <cell r="AB80">
            <v>136.51400000000001</v>
          </cell>
          <cell r="AC80">
            <v>136.51400000000001</v>
          </cell>
          <cell r="AD80">
            <v>139.38800000000001</v>
          </cell>
          <cell r="AE80">
            <v>-197.06</v>
          </cell>
          <cell r="AF80">
            <v>167</v>
          </cell>
          <cell r="AG80">
            <v>0</v>
          </cell>
          <cell r="AH80">
            <v>0</v>
          </cell>
          <cell r="AI80">
            <v>0</v>
          </cell>
          <cell r="AJ80">
            <v>30.06</v>
          </cell>
          <cell r="AK80">
            <v>1</v>
          </cell>
          <cell r="AL80" t="str">
            <v>NATIONAL</v>
          </cell>
          <cell r="AM80">
            <v>597</v>
          </cell>
          <cell r="AN80">
            <v>-560.67200000000003</v>
          </cell>
          <cell r="AO80">
            <v>-560.67200000000003</v>
          </cell>
          <cell r="AP80">
            <v>0</v>
          </cell>
          <cell r="AQ80">
            <v>139.38800000000001</v>
          </cell>
          <cell r="AR80">
            <v>-197.06</v>
          </cell>
          <cell r="AS80">
            <v>-503</v>
          </cell>
          <cell r="AV80">
            <v>0</v>
          </cell>
          <cell r="AW80">
            <v>45919</v>
          </cell>
          <cell r="AX80">
            <v>45919</v>
          </cell>
          <cell r="AY80">
            <v>45919</v>
          </cell>
          <cell r="BC80" t="str">
            <v>NFT-/XUTR/DEUTH025262A0W6UX</v>
          </cell>
          <cell r="BD80" t="str">
            <v>NFT-/XUTR/DEUTH025262A0W6UX</v>
          </cell>
          <cell r="BE80" t="str">
            <v>NFT-/XUTR/DEUTH025262A0W6UX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479.05</v>
          </cell>
          <cell r="BP80">
            <v>5</v>
          </cell>
          <cell r="BQ80">
            <v>0</v>
          </cell>
          <cell r="BR80">
            <v>0</v>
          </cell>
          <cell r="BS80">
            <v>0</v>
          </cell>
          <cell r="BT80">
            <v>0.5</v>
          </cell>
          <cell r="BU80">
            <v>0</v>
          </cell>
          <cell r="BV80">
            <v>0</v>
          </cell>
          <cell r="BW80">
            <v>0.1</v>
          </cell>
          <cell r="BX80" t="str">
            <v>Tiny Kingdom</v>
          </cell>
          <cell r="BY80" t="str">
            <v>Girls</v>
          </cell>
          <cell r="BZ80" t="str">
            <v>External</v>
          </cell>
          <cell r="CA80" t="str">
            <v>Tops</v>
          </cell>
          <cell r="CB80" t="str">
            <v>ON_HAND</v>
          </cell>
          <cell r="CC80" t="b">
            <v>0</v>
          </cell>
          <cell r="CD80" t="str">
            <v>**********</v>
          </cell>
          <cell r="CE80">
            <v>201301</v>
          </cell>
          <cell r="CF80" t="str">
            <v>27AXUPC8425A1ZH</v>
          </cell>
          <cell r="CH80" t="str">
            <v>29AAECM9636P1ZJ</v>
          </cell>
          <cell r="CI80" t="str">
            <v>Mumbai</v>
          </cell>
          <cell r="CJ80">
            <v>400013</v>
          </cell>
          <cell r="CK80" t="str">
            <v>maharashtra</v>
          </cell>
          <cell r="CL80" t="str">
            <v>MH</v>
          </cell>
          <cell r="CN80">
            <v>0</v>
          </cell>
          <cell r="CO80">
            <v>136.51400000000001</v>
          </cell>
          <cell r="CP80">
            <v>136.51400000000001</v>
          </cell>
          <cell r="CQ80">
            <v>0</v>
          </cell>
          <cell r="CR80">
            <v>0</v>
          </cell>
          <cell r="CS80">
            <v>0</v>
          </cell>
          <cell r="CT80">
            <v>398</v>
          </cell>
          <cell r="CU80">
            <v>0.47904999999999998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E80" t="str">
            <v>d2fec701-c6b7-41ba-b377-3f6d1c4400d3</v>
          </cell>
          <cell r="DF80">
            <v>100076000000</v>
          </cell>
          <cell r="DG80">
            <v>2.395</v>
          </cell>
          <cell r="DH80">
            <v>0</v>
          </cell>
          <cell r="DI80">
            <v>0.47899999999999998</v>
          </cell>
          <cell r="DJ80">
            <v>0</v>
          </cell>
          <cell r="DK80" t="str">
            <v>BRONZE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 t="str">
            <v>NA</v>
          </cell>
          <cell r="DU80" t="str">
            <v>NA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-560.67200000000003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 t="str">
            <v>Settled</v>
          </cell>
          <cell r="FH80">
            <v>597</v>
          </cell>
          <cell r="FI80">
            <v>560.67200000000003</v>
          </cell>
          <cell r="FJ80">
            <v>139.38800000000001</v>
          </cell>
          <cell r="FK80">
            <v>197.06</v>
          </cell>
        </row>
        <row r="81">
          <cell r="A81">
            <v>8640366432</v>
          </cell>
          <cell r="B81">
            <v>10640290918</v>
          </cell>
          <cell r="C81" t="str">
            <v>return_refund</v>
          </cell>
          <cell r="D81">
            <v>45909.453472222223</v>
          </cell>
          <cell r="E81">
            <v>45900.693749999999</v>
          </cell>
          <cell r="F81">
            <v>44533</v>
          </cell>
          <cell r="G81" t="str">
            <v>Myntra Designs Pvt Ltd</v>
          </cell>
          <cell r="H81" t="str">
            <v>TIKILHNC112303899</v>
          </cell>
          <cell r="I81" t="str">
            <v>\I2726TK000002688\""</v>
          </cell>
          <cell r="J81">
            <v>8640366432</v>
          </cell>
          <cell r="K81">
            <v>62042300</v>
          </cell>
          <cell r="L81" t="str">
            <v>Apparel</v>
          </cell>
          <cell r="M81" t="str">
            <v>INR</v>
          </cell>
          <cell r="N81">
            <v>2981</v>
          </cell>
          <cell r="O81">
            <v>0</v>
          </cell>
          <cell r="P81">
            <v>2981</v>
          </cell>
          <cell r="Q81">
            <v>3750</v>
          </cell>
          <cell r="R81">
            <v>563</v>
          </cell>
          <cell r="S81" t="str">
            <v>Inter-State</v>
          </cell>
          <cell r="T81">
            <v>12</v>
          </cell>
          <cell r="U81">
            <v>319.39</v>
          </cell>
          <cell r="V81">
            <v>0</v>
          </cell>
          <cell r="W81">
            <v>0</v>
          </cell>
          <cell r="X81">
            <v>13.308</v>
          </cell>
          <cell r="Y81">
            <v>2.6619999999999999</v>
          </cell>
          <cell r="AA81">
            <v>0</v>
          </cell>
          <cell r="AB81">
            <v>738.69200000000001</v>
          </cell>
          <cell r="AC81">
            <v>738.69200000000001</v>
          </cell>
          <cell r="AD81">
            <v>754.66200000000003</v>
          </cell>
          <cell r="AE81">
            <v>-197.06</v>
          </cell>
          <cell r="AF81">
            <v>167</v>
          </cell>
          <cell r="AG81">
            <v>0</v>
          </cell>
          <cell r="AH81">
            <v>0</v>
          </cell>
          <cell r="AI81">
            <v>0</v>
          </cell>
          <cell r="AJ81">
            <v>30.06</v>
          </cell>
          <cell r="AK81">
            <v>1</v>
          </cell>
          <cell r="AL81" t="str">
            <v>NATIONAL</v>
          </cell>
          <cell r="AM81">
            <v>3187</v>
          </cell>
          <cell r="AN81">
            <v>-2423.3980000000001</v>
          </cell>
          <cell r="AO81">
            <v>-2423.3980000000001</v>
          </cell>
          <cell r="AP81">
            <v>0</v>
          </cell>
          <cell r="AQ81">
            <v>754.66200000000003</v>
          </cell>
          <cell r="AR81">
            <v>-197.06</v>
          </cell>
          <cell r="AS81">
            <v>-2981</v>
          </cell>
          <cell r="AV81">
            <v>0</v>
          </cell>
          <cell r="AW81">
            <v>45922</v>
          </cell>
          <cell r="AX81">
            <v>45922</v>
          </cell>
          <cell r="AY81">
            <v>45922</v>
          </cell>
          <cell r="BC81" t="str">
            <v>NFT-/XUTR/DEUTH025265A10GKX</v>
          </cell>
          <cell r="BD81" t="str">
            <v>NFT-/XUTR/DEUTH025265A10GKX</v>
          </cell>
          <cell r="BE81" t="str">
            <v>NFT-/XUTR/DEUTH025265A10GKX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2661.61</v>
          </cell>
          <cell r="BP81">
            <v>12</v>
          </cell>
          <cell r="BQ81">
            <v>0</v>
          </cell>
          <cell r="BR81">
            <v>0</v>
          </cell>
          <cell r="BS81">
            <v>0</v>
          </cell>
          <cell r="BT81">
            <v>0.5</v>
          </cell>
          <cell r="BU81">
            <v>0</v>
          </cell>
          <cell r="BV81">
            <v>0</v>
          </cell>
          <cell r="BW81">
            <v>0.1</v>
          </cell>
          <cell r="BX81" t="str">
            <v>Tiny Kingdom</v>
          </cell>
          <cell r="BY81" t="str">
            <v>Girls</v>
          </cell>
          <cell r="BZ81" t="str">
            <v>External</v>
          </cell>
          <cell r="CA81" t="str">
            <v>Lehenga Choli</v>
          </cell>
          <cell r="CB81" t="str">
            <v>ON_HAND</v>
          </cell>
          <cell r="CC81" t="b">
            <v>0</v>
          </cell>
          <cell r="CD81" t="str">
            <v>**********</v>
          </cell>
          <cell r="CE81">
            <v>474011</v>
          </cell>
          <cell r="CF81" t="str">
            <v>27AXUPC8425A1ZH</v>
          </cell>
          <cell r="CH81" t="str">
            <v>29AAECM9636P1ZJ</v>
          </cell>
          <cell r="CI81" t="str">
            <v>Mumbai</v>
          </cell>
          <cell r="CJ81">
            <v>400013</v>
          </cell>
          <cell r="CK81" t="str">
            <v>maharashtra</v>
          </cell>
          <cell r="CL81" t="str">
            <v>MH</v>
          </cell>
          <cell r="CN81">
            <v>0</v>
          </cell>
          <cell r="CO81">
            <v>738.69200000000001</v>
          </cell>
          <cell r="CP81">
            <v>738.69200000000001</v>
          </cell>
          <cell r="CQ81">
            <v>0</v>
          </cell>
          <cell r="CR81">
            <v>0</v>
          </cell>
          <cell r="CS81">
            <v>0</v>
          </cell>
          <cell r="CT81">
            <v>563</v>
          </cell>
          <cell r="CU81">
            <v>2.66161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E81" t="str">
            <v>0ac5be57-f098-4202-9f1d-538cae7b05dd</v>
          </cell>
          <cell r="DF81">
            <v>100077000000</v>
          </cell>
          <cell r="DG81">
            <v>13.308</v>
          </cell>
          <cell r="DH81">
            <v>0</v>
          </cell>
          <cell r="DI81">
            <v>2.6619999999999999</v>
          </cell>
          <cell r="DJ81">
            <v>0</v>
          </cell>
          <cell r="DK81" t="str">
            <v>BRONZE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 t="str">
            <v>NA</v>
          </cell>
          <cell r="DU81" t="str">
            <v>NA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-2423.3980000000001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 t="str">
            <v>Settled</v>
          </cell>
          <cell r="FH81">
            <v>3187</v>
          </cell>
          <cell r="FI81">
            <v>2423.3980000000001</v>
          </cell>
          <cell r="FJ81">
            <v>754.66200000000003</v>
          </cell>
          <cell r="FK81">
            <v>197.06</v>
          </cell>
        </row>
        <row r="82">
          <cell r="A82">
            <v>8617654049</v>
          </cell>
          <cell r="B82">
            <v>10617579377</v>
          </cell>
          <cell r="C82" t="str">
            <v>return_refund</v>
          </cell>
          <cell r="D82">
            <v>45898.512499999997</v>
          </cell>
          <cell r="E82">
            <v>45888.475694444445</v>
          </cell>
          <cell r="F82">
            <v>44522</v>
          </cell>
          <cell r="G82" t="str">
            <v>Myntra Designs Pvt Ltd</v>
          </cell>
          <cell r="H82" t="str">
            <v>TIKILHNC103598138</v>
          </cell>
          <cell r="I82" t="str">
            <v>\I2726TK000002470\""</v>
          </cell>
          <cell r="J82">
            <v>8617654049</v>
          </cell>
          <cell r="K82">
            <v>62042300</v>
          </cell>
          <cell r="L82" t="str">
            <v>Apparel</v>
          </cell>
          <cell r="M82" t="str">
            <v>INR</v>
          </cell>
          <cell r="N82">
            <v>3294</v>
          </cell>
          <cell r="O82">
            <v>0</v>
          </cell>
          <cell r="P82">
            <v>3294</v>
          </cell>
          <cell r="Q82">
            <v>5000</v>
          </cell>
          <cell r="R82">
            <v>1500</v>
          </cell>
          <cell r="S82" t="str">
            <v>Inter-State</v>
          </cell>
          <cell r="T82">
            <v>12</v>
          </cell>
          <cell r="U82">
            <v>352.93</v>
          </cell>
          <cell r="V82">
            <v>0</v>
          </cell>
          <cell r="W82">
            <v>0</v>
          </cell>
          <cell r="X82">
            <v>14.705</v>
          </cell>
          <cell r="Y82">
            <v>2.9409999999999998</v>
          </cell>
          <cell r="AA82">
            <v>0</v>
          </cell>
          <cell r="AB82">
            <v>816.25300000000004</v>
          </cell>
          <cell r="AC82">
            <v>816.25300000000004</v>
          </cell>
          <cell r="AD82">
            <v>833.899</v>
          </cell>
          <cell r="AE82">
            <v>-197.06</v>
          </cell>
          <cell r="AF82">
            <v>167</v>
          </cell>
          <cell r="AG82">
            <v>0</v>
          </cell>
          <cell r="AH82">
            <v>0</v>
          </cell>
          <cell r="AI82">
            <v>0</v>
          </cell>
          <cell r="AJ82">
            <v>30.06</v>
          </cell>
          <cell r="AK82">
            <v>1</v>
          </cell>
          <cell r="AL82" t="str">
            <v>NATIONAL</v>
          </cell>
          <cell r="AM82">
            <v>3500</v>
          </cell>
          <cell r="AN82">
            <v>-2657.1610000000001</v>
          </cell>
          <cell r="AO82">
            <v>-2657.1610000000001</v>
          </cell>
          <cell r="AP82">
            <v>0</v>
          </cell>
          <cell r="AQ82">
            <v>833.899</v>
          </cell>
          <cell r="AR82">
            <v>-197.06</v>
          </cell>
          <cell r="AS82">
            <v>-3294</v>
          </cell>
          <cell r="AV82">
            <v>0</v>
          </cell>
          <cell r="AW82">
            <v>45908</v>
          </cell>
          <cell r="AX82">
            <v>45908</v>
          </cell>
          <cell r="AY82">
            <v>45908</v>
          </cell>
          <cell r="BC82" t="str">
            <v>NFT-/XUTR/DEUTH025251A0L0JX</v>
          </cell>
          <cell r="BD82" t="str">
            <v>NFT-/XUTR/DEUTH025251A0L0JX</v>
          </cell>
          <cell r="BE82" t="str">
            <v>NFT-/XUTR/DEUTH025251A0L0JX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2941.07</v>
          </cell>
          <cell r="BP82">
            <v>12</v>
          </cell>
          <cell r="BQ82">
            <v>0</v>
          </cell>
          <cell r="BR82">
            <v>0</v>
          </cell>
          <cell r="BS82">
            <v>0</v>
          </cell>
          <cell r="BT82">
            <v>0.5</v>
          </cell>
          <cell r="BU82">
            <v>0</v>
          </cell>
          <cell r="BV82">
            <v>0</v>
          </cell>
          <cell r="BW82">
            <v>0.1</v>
          </cell>
          <cell r="BX82" t="str">
            <v>Tiny Kingdom</v>
          </cell>
          <cell r="BY82" t="str">
            <v>Girls</v>
          </cell>
          <cell r="BZ82" t="str">
            <v>External</v>
          </cell>
          <cell r="CA82" t="str">
            <v>Lehenga Choli</v>
          </cell>
          <cell r="CB82" t="str">
            <v>ON_HAND</v>
          </cell>
          <cell r="CC82" t="b">
            <v>0</v>
          </cell>
          <cell r="CD82" t="str">
            <v>**********</v>
          </cell>
          <cell r="CE82">
            <v>121001</v>
          </cell>
          <cell r="CF82" t="str">
            <v>27AXUPC8425A1ZH</v>
          </cell>
          <cell r="CH82" t="str">
            <v>29AAECM9636P1ZJ</v>
          </cell>
          <cell r="CI82" t="str">
            <v>Mumbai</v>
          </cell>
          <cell r="CJ82">
            <v>400013</v>
          </cell>
          <cell r="CK82" t="str">
            <v>maharashtra</v>
          </cell>
          <cell r="CL82" t="str">
            <v>MH</v>
          </cell>
          <cell r="CN82">
            <v>0</v>
          </cell>
          <cell r="CO82">
            <v>816.25300000000004</v>
          </cell>
          <cell r="CP82">
            <v>816.25300000000004</v>
          </cell>
          <cell r="CQ82">
            <v>0</v>
          </cell>
          <cell r="CR82">
            <v>0</v>
          </cell>
          <cell r="CS82">
            <v>0</v>
          </cell>
          <cell r="CT82">
            <v>1500</v>
          </cell>
          <cell r="CU82">
            <v>2.9410699999999999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E82" t="str">
            <v>7fb055b6-41c3-4671-855d-ec6d7b868f04</v>
          </cell>
          <cell r="DF82">
            <v>100073000000</v>
          </cell>
          <cell r="DG82">
            <v>14.705</v>
          </cell>
          <cell r="DH82">
            <v>0</v>
          </cell>
          <cell r="DI82">
            <v>2.9409999999999998</v>
          </cell>
          <cell r="DJ82">
            <v>0</v>
          </cell>
          <cell r="DK82" t="str">
            <v>BRONZE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 t="str">
            <v>NA</v>
          </cell>
          <cell r="DU82" t="str">
            <v>NA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-2657.1610000000001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 t="str">
            <v>Settled</v>
          </cell>
          <cell r="FH82">
            <v>3500</v>
          </cell>
          <cell r="FI82">
            <v>2657.1610000000001</v>
          </cell>
          <cell r="FJ82">
            <v>833.899</v>
          </cell>
          <cell r="FK82">
            <v>197.06</v>
          </cell>
        </row>
        <row r="83">
          <cell r="A83">
            <v>8591878358</v>
          </cell>
          <cell r="B83">
            <v>10591804852</v>
          </cell>
          <cell r="C83" t="str">
            <v>return_refund</v>
          </cell>
          <cell r="D83">
            <v>45902.335416666669</v>
          </cell>
          <cell r="E83">
            <v>45869.762499999997</v>
          </cell>
          <cell r="F83">
            <v>44497</v>
          </cell>
          <cell r="G83" t="str">
            <v>Myntra Designs Pvt Ltd</v>
          </cell>
          <cell r="H83" t="str">
            <v>BETYLHNC106823503</v>
          </cell>
          <cell r="I83" t="str">
            <v>\I2726TK000002173\""</v>
          </cell>
          <cell r="J83">
            <v>8591878358</v>
          </cell>
          <cell r="K83">
            <v>62042300</v>
          </cell>
          <cell r="L83" t="str">
            <v>Apparel</v>
          </cell>
          <cell r="M83" t="str">
            <v>INR</v>
          </cell>
          <cell r="N83">
            <v>4294</v>
          </cell>
          <cell r="O83">
            <v>4294</v>
          </cell>
          <cell r="P83">
            <v>0</v>
          </cell>
          <cell r="Q83">
            <v>6000</v>
          </cell>
          <cell r="R83">
            <v>1500</v>
          </cell>
          <cell r="S83" t="str">
            <v>Inter-State</v>
          </cell>
          <cell r="T83">
            <v>12</v>
          </cell>
          <cell r="U83">
            <v>460.07</v>
          </cell>
          <cell r="V83">
            <v>0</v>
          </cell>
          <cell r="W83">
            <v>0</v>
          </cell>
          <cell r="X83">
            <v>19.170000000000002</v>
          </cell>
          <cell r="Y83">
            <v>3.8340000000000001</v>
          </cell>
          <cell r="AA83">
            <v>0</v>
          </cell>
          <cell r="AB83">
            <v>1317.3989999999999</v>
          </cell>
          <cell r="AC83">
            <v>1317.3989999999999</v>
          </cell>
          <cell r="AD83">
            <v>1340.403</v>
          </cell>
          <cell r="AE83">
            <v>-197.06</v>
          </cell>
          <cell r="AF83">
            <v>167</v>
          </cell>
          <cell r="AG83">
            <v>0</v>
          </cell>
          <cell r="AH83">
            <v>0</v>
          </cell>
          <cell r="AI83">
            <v>0</v>
          </cell>
          <cell r="AJ83">
            <v>30.06</v>
          </cell>
          <cell r="AK83">
            <v>1</v>
          </cell>
          <cell r="AL83" t="str">
            <v>NATIONAL</v>
          </cell>
          <cell r="AM83">
            <v>4500</v>
          </cell>
          <cell r="AN83">
            <v>-3150.6570000000002</v>
          </cell>
          <cell r="AO83">
            <v>-3150.6570000000002</v>
          </cell>
          <cell r="AP83">
            <v>0</v>
          </cell>
          <cell r="AS83">
            <v>0</v>
          </cell>
          <cell r="AT83">
            <v>1340.403</v>
          </cell>
          <cell r="AU83">
            <v>-197.06</v>
          </cell>
          <cell r="AV83">
            <v>-4294</v>
          </cell>
          <cell r="AZ83">
            <v>45904</v>
          </cell>
          <cell r="BA83">
            <v>45904</v>
          </cell>
          <cell r="BB83">
            <v>45904</v>
          </cell>
          <cell r="BF83" t="str">
            <v>NFT-/XUTR/DEUTH02524710194X</v>
          </cell>
          <cell r="BG83" t="str">
            <v>NFT-/XUTR/DEUTH02524710194X</v>
          </cell>
          <cell r="BH83" t="str">
            <v>NFT-/XUTR/DEUTH02524710194X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3833.93</v>
          </cell>
          <cell r="BP83">
            <v>12</v>
          </cell>
          <cell r="BQ83">
            <v>0</v>
          </cell>
          <cell r="BR83">
            <v>0</v>
          </cell>
          <cell r="BS83">
            <v>0</v>
          </cell>
          <cell r="BT83">
            <v>0.5</v>
          </cell>
          <cell r="BU83">
            <v>0</v>
          </cell>
          <cell r="BV83">
            <v>0</v>
          </cell>
          <cell r="BW83">
            <v>0.1</v>
          </cell>
          <cell r="BX83" t="str">
            <v>BETTY</v>
          </cell>
          <cell r="BY83" t="str">
            <v>Girls</v>
          </cell>
          <cell r="BZ83" t="str">
            <v>External</v>
          </cell>
          <cell r="CA83" t="str">
            <v>Lehenga Choli</v>
          </cell>
          <cell r="CB83" t="str">
            <v>ON_HAND</v>
          </cell>
          <cell r="CC83" t="b">
            <v>0</v>
          </cell>
          <cell r="CD83" t="str">
            <v>**********</v>
          </cell>
          <cell r="CE83">
            <v>800026</v>
          </cell>
          <cell r="CF83" t="str">
            <v>27AXUPC8425A1ZH</v>
          </cell>
          <cell r="CH83" t="str">
            <v>29AAECM9636P1ZJ</v>
          </cell>
          <cell r="CI83" t="str">
            <v>Mumbai</v>
          </cell>
          <cell r="CJ83">
            <v>400013</v>
          </cell>
          <cell r="CK83" t="str">
            <v>maharashtra</v>
          </cell>
          <cell r="CL83" t="str">
            <v>MH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W83">
            <v>0</v>
          </cell>
          <cell r="CX83">
            <v>1317.3989999999999</v>
          </cell>
          <cell r="CY83">
            <v>1317.3989999999999</v>
          </cell>
          <cell r="CZ83">
            <v>0</v>
          </cell>
          <cell r="DA83">
            <v>0</v>
          </cell>
          <cell r="DB83">
            <v>0</v>
          </cell>
          <cell r="DC83">
            <v>1500</v>
          </cell>
          <cell r="DD83">
            <v>3.8339300000000001</v>
          </cell>
          <cell r="DE83" t="str">
            <v>ac629829-e556-4406-9a5b-9c916119247a</v>
          </cell>
          <cell r="DF83">
            <v>100069000000</v>
          </cell>
          <cell r="DG83">
            <v>0</v>
          </cell>
          <cell r="DH83">
            <v>19.170000000000002</v>
          </cell>
          <cell r="DI83">
            <v>0</v>
          </cell>
          <cell r="DJ83">
            <v>3.8340000000000001</v>
          </cell>
          <cell r="DK83" t="str">
            <v>BRONZE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 t="str">
            <v>NA</v>
          </cell>
          <cell r="DU83" t="str">
            <v>NA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-3150.6570000000002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 t="str">
            <v>Settled</v>
          </cell>
          <cell r="FH83">
            <v>4500</v>
          </cell>
          <cell r="FI83">
            <v>3150.6570000000002</v>
          </cell>
          <cell r="FJ83">
            <v>1340.403</v>
          </cell>
          <cell r="FK83">
            <v>197.06</v>
          </cell>
        </row>
        <row r="84">
          <cell r="A84">
            <v>8632281492</v>
          </cell>
          <cell r="B84">
            <v>10632206151</v>
          </cell>
          <cell r="C84" t="str">
            <v>return_refund</v>
          </cell>
          <cell r="D84">
            <v>45899.615277777775</v>
          </cell>
          <cell r="E84">
            <v>45894.452777777777</v>
          </cell>
          <cell r="F84">
            <v>44530</v>
          </cell>
          <cell r="G84" t="str">
            <v>Myntra Designs Pvt Ltd</v>
          </cell>
          <cell r="H84" t="str">
            <v>BETYDRSS93852558</v>
          </cell>
          <cell r="I84" t="str">
            <v>\I2726TK000002584\""</v>
          </cell>
          <cell r="J84">
            <v>8632281492</v>
          </cell>
          <cell r="K84">
            <v>62042300</v>
          </cell>
          <cell r="L84" t="str">
            <v>Apparel</v>
          </cell>
          <cell r="M84" t="str">
            <v>INR</v>
          </cell>
          <cell r="N84">
            <v>3294</v>
          </cell>
          <cell r="O84">
            <v>3227.6289999999999</v>
          </cell>
          <cell r="P84">
            <v>66.370999999999995</v>
          </cell>
          <cell r="Q84">
            <v>5000</v>
          </cell>
          <cell r="R84">
            <v>1500</v>
          </cell>
          <cell r="S84" t="str">
            <v>Inter-State</v>
          </cell>
          <cell r="T84">
            <v>12</v>
          </cell>
          <cell r="U84">
            <v>352.93</v>
          </cell>
          <cell r="V84">
            <v>0</v>
          </cell>
          <cell r="W84">
            <v>0</v>
          </cell>
          <cell r="X84">
            <v>14.705</v>
          </cell>
          <cell r="Y84">
            <v>2.9409999999999998</v>
          </cell>
          <cell r="AA84">
            <v>0</v>
          </cell>
          <cell r="AB84">
            <v>1049.4690000000001</v>
          </cell>
          <cell r="AC84">
            <v>1049.4690000000001</v>
          </cell>
          <cell r="AD84">
            <v>1067.115</v>
          </cell>
          <cell r="AE84">
            <v>-132.16</v>
          </cell>
          <cell r="AF84">
            <v>112</v>
          </cell>
          <cell r="AG84">
            <v>0</v>
          </cell>
          <cell r="AH84">
            <v>0</v>
          </cell>
          <cell r="AI84">
            <v>0</v>
          </cell>
          <cell r="AJ84">
            <v>20.16</v>
          </cell>
          <cell r="AK84">
            <v>1</v>
          </cell>
          <cell r="AL84" t="str">
            <v>ZONAL</v>
          </cell>
          <cell r="AM84">
            <v>3500</v>
          </cell>
          <cell r="AN84">
            <v>-2359.0450000000001</v>
          </cell>
          <cell r="AO84">
            <v>-2359.0450000000001</v>
          </cell>
          <cell r="AP84">
            <v>0</v>
          </cell>
          <cell r="AQ84">
            <v>21.501000000000001</v>
          </cell>
          <cell r="AR84">
            <v>-2.6632600000000002</v>
          </cell>
          <cell r="AS84">
            <v>-66.370999999999995</v>
          </cell>
          <cell r="AT84">
            <v>1045.614</v>
          </cell>
          <cell r="AU84">
            <v>-129.49673999999999</v>
          </cell>
          <cell r="AV84">
            <v>-3227.6289999999999</v>
          </cell>
          <cell r="AW84">
            <v>45911</v>
          </cell>
          <cell r="AX84">
            <v>45911</v>
          </cell>
          <cell r="AY84">
            <v>45911</v>
          </cell>
          <cell r="AZ84">
            <v>45911</v>
          </cell>
          <cell r="BA84">
            <v>45911</v>
          </cell>
          <cell r="BB84">
            <v>45911</v>
          </cell>
          <cell r="BC84" t="str">
            <v>NFT-/XUTR/DEUTH02525423909X</v>
          </cell>
          <cell r="BD84" t="str">
            <v>NFT-/XUTR/DEUTH02525423909X</v>
          </cell>
          <cell r="BE84" t="str">
            <v>NFT-/XUTR/DEUTH02525423909X</v>
          </cell>
          <cell r="BF84" t="str">
            <v>NFT-/XUTR/DEUTH02525408682X</v>
          </cell>
          <cell r="BG84" t="str">
            <v>NFT-/XUTR/DEUTH02525408682X</v>
          </cell>
          <cell r="BH84" t="str">
            <v>NFT-/XUTR/DEUTH02525408682X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2941.07</v>
          </cell>
          <cell r="BP84">
            <v>12</v>
          </cell>
          <cell r="BQ84">
            <v>0</v>
          </cell>
          <cell r="BR84">
            <v>0</v>
          </cell>
          <cell r="BS84">
            <v>0</v>
          </cell>
          <cell r="BT84">
            <v>0.5</v>
          </cell>
          <cell r="BU84">
            <v>0</v>
          </cell>
          <cell r="BV84">
            <v>0</v>
          </cell>
          <cell r="BW84">
            <v>0.1</v>
          </cell>
          <cell r="BX84" t="str">
            <v>BETTY</v>
          </cell>
          <cell r="BY84" t="str">
            <v>Girls</v>
          </cell>
          <cell r="BZ84" t="str">
            <v>External</v>
          </cell>
          <cell r="CA84" t="str">
            <v>Dresses</v>
          </cell>
          <cell r="CB84" t="str">
            <v>ON_HAND</v>
          </cell>
          <cell r="CC84" t="b">
            <v>0</v>
          </cell>
          <cell r="CD84" t="str">
            <v>**********</v>
          </cell>
          <cell r="CE84">
            <v>500089</v>
          </cell>
          <cell r="CF84" t="str">
            <v>27AXUPC8425A1ZH</v>
          </cell>
          <cell r="CH84" t="str">
            <v>29AAECM9636P1ZJ</v>
          </cell>
          <cell r="CI84" t="str">
            <v>Mumbai</v>
          </cell>
          <cell r="CJ84">
            <v>400013</v>
          </cell>
          <cell r="CK84" t="str">
            <v>maharashtra</v>
          </cell>
          <cell r="CL84" t="str">
            <v>MH</v>
          </cell>
          <cell r="CN84">
            <v>0</v>
          </cell>
          <cell r="CO84">
            <v>21.146000000000001</v>
          </cell>
          <cell r="CP84">
            <v>21.146000000000001</v>
          </cell>
          <cell r="CQ84">
            <v>0</v>
          </cell>
          <cell r="CR84">
            <v>0</v>
          </cell>
          <cell r="CS84">
            <v>0</v>
          </cell>
          <cell r="CT84">
            <v>1500</v>
          </cell>
          <cell r="CU84">
            <v>2.9410699999999999</v>
          </cell>
          <cell r="CW84">
            <v>0</v>
          </cell>
          <cell r="CX84">
            <v>1028.3230000000001</v>
          </cell>
          <cell r="CY84">
            <v>1028.3230000000001</v>
          </cell>
          <cell r="CZ84">
            <v>0</v>
          </cell>
          <cell r="DA84">
            <v>0</v>
          </cell>
          <cell r="DB84">
            <v>0</v>
          </cell>
          <cell r="DC84">
            <v>1500</v>
          </cell>
          <cell r="DD84">
            <v>2.9410699999999999</v>
          </cell>
          <cell r="DE84" t="str">
            <v>0b76b564-98a6-49c8-add7-6fe38f13f1cc</v>
          </cell>
          <cell r="DF84">
            <v>100074000000</v>
          </cell>
          <cell r="DG84">
            <v>0.29599999999999999</v>
          </cell>
          <cell r="DH84">
            <v>14.409000000000001</v>
          </cell>
          <cell r="DI84">
            <v>5.8999999999999997E-2</v>
          </cell>
          <cell r="DJ84">
            <v>2.8820000000000001</v>
          </cell>
          <cell r="DK84" t="str">
            <v>BRONZE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 t="str">
            <v>NA</v>
          </cell>
          <cell r="DU84" t="str">
            <v>NA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-2359.0450000000001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 t="str">
            <v>Settled</v>
          </cell>
          <cell r="FH84">
            <v>3500</v>
          </cell>
          <cell r="FI84">
            <v>2359.0450000000001</v>
          </cell>
          <cell r="FJ84">
            <v>1067.115</v>
          </cell>
          <cell r="FK84">
            <v>132.16</v>
          </cell>
        </row>
        <row r="85">
          <cell r="A85">
            <v>8637107040</v>
          </cell>
          <cell r="B85">
            <v>10637031606</v>
          </cell>
          <cell r="C85" t="str">
            <v>return_refund</v>
          </cell>
          <cell r="D85">
            <v>45905.478472222225</v>
          </cell>
          <cell r="E85">
            <v>45898.445138888892</v>
          </cell>
          <cell r="G85" t="str">
            <v>Myntra Designs Pvt Ltd</v>
          </cell>
          <cell r="H85" t="str">
            <v>BETYDRSS93852526</v>
          </cell>
          <cell r="I85" t="str">
            <v>\I2726TK000002651\""</v>
          </cell>
          <cell r="J85">
            <v>8637107040</v>
          </cell>
          <cell r="K85">
            <v>62042300</v>
          </cell>
          <cell r="L85" t="str">
            <v>Apparel</v>
          </cell>
          <cell r="M85" t="str">
            <v>INR</v>
          </cell>
          <cell r="N85">
            <v>3644</v>
          </cell>
          <cell r="O85">
            <v>2249.2779999999998</v>
          </cell>
          <cell r="P85">
            <v>1394.702</v>
          </cell>
          <cell r="Q85">
            <v>5500</v>
          </cell>
          <cell r="R85">
            <v>1650</v>
          </cell>
          <cell r="S85" t="str">
            <v>Inter-State</v>
          </cell>
          <cell r="T85">
            <v>12</v>
          </cell>
          <cell r="U85">
            <v>390.43</v>
          </cell>
          <cell r="V85">
            <v>0</v>
          </cell>
          <cell r="W85">
            <v>0</v>
          </cell>
          <cell r="X85">
            <v>16.266999999999999</v>
          </cell>
          <cell r="Y85">
            <v>3.2530000000000001</v>
          </cell>
          <cell r="AA85">
            <v>0</v>
          </cell>
          <cell r="AB85">
            <v>1160.972</v>
          </cell>
          <cell r="AC85">
            <v>1160.972</v>
          </cell>
          <cell r="AD85">
            <v>1180.492</v>
          </cell>
          <cell r="AE85">
            <v>-197.06</v>
          </cell>
          <cell r="AF85">
            <v>167</v>
          </cell>
          <cell r="AG85">
            <v>0</v>
          </cell>
          <cell r="AH85">
            <v>0</v>
          </cell>
          <cell r="AI85">
            <v>0</v>
          </cell>
          <cell r="AJ85">
            <v>30.06</v>
          </cell>
          <cell r="AK85">
            <v>1</v>
          </cell>
          <cell r="AL85" t="str">
            <v>NATIONAL</v>
          </cell>
          <cell r="AM85">
            <v>3850</v>
          </cell>
          <cell r="AN85">
            <v>-2660.5479999999998</v>
          </cell>
          <cell r="AO85">
            <v>-2660.5479999999998</v>
          </cell>
          <cell r="AP85">
            <v>0</v>
          </cell>
          <cell r="AQ85">
            <v>451.82299999999998</v>
          </cell>
          <cell r="AR85">
            <v>-75.423240000000007</v>
          </cell>
          <cell r="AS85">
            <v>-1394.702</v>
          </cell>
          <cell r="AT85">
            <v>728.66899999999998</v>
          </cell>
          <cell r="AU85">
            <v>-121.63676</v>
          </cell>
          <cell r="AV85">
            <v>-2249.2779999999998</v>
          </cell>
          <cell r="AW85">
            <v>45918</v>
          </cell>
          <cell r="AX85">
            <v>45918</v>
          </cell>
          <cell r="AY85">
            <v>45918</v>
          </cell>
          <cell r="AZ85">
            <v>45918</v>
          </cell>
          <cell r="BA85">
            <v>45918</v>
          </cell>
          <cell r="BB85">
            <v>45918</v>
          </cell>
          <cell r="BC85" t="str">
            <v>NFT-/XUTR/DEUTH02526109557X</v>
          </cell>
          <cell r="BD85" t="str">
            <v>NFT-/XUTR/DEUTH02526109557X</v>
          </cell>
          <cell r="BE85" t="str">
            <v>NFT-/XUTR/DEUTH02526109557X</v>
          </cell>
          <cell r="BF85" t="str">
            <v>NFT-/XUTR/DEUTH02526119796X</v>
          </cell>
          <cell r="BG85" t="str">
            <v>NFT-/XUTR/DEUTH02526119796X</v>
          </cell>
          <cell r="BH85" t="str">
            <v>NFT-/XUTR/DEUTH02526119796X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3253.57</v>
          </cell>
          <cell r="BP85">
            <v>12</v>
          </cell>
          <cell r="BQ85">
            <v>0</v>
          </cell>
          <cell r="BR85">
            <v>0</v>
          </cell>
          <cell r="BS85">
            <v>0</v>
          </cell>
          <cell r="BT85">
            <v>0.5</v>
          </cell>
          <cell r="BU85">
            <v>0</v>
          </cell>
          <cell r="BV85">
            <v>0</v>
          </cell>
          <cell r="BW85">
            <v>0.1</v>
          </cell>
          <cell r="BX85" t="str">
            <v>BETTY</v>
          </cell>
          <cell r="BY85" t="str">
            <v>Girls</v>
          </cell>
          <cell r="BZ85" t="str">
            <v>External</v>
          </cell>
          <cell r="CA85" t="str">
            <v>Dresses</v>
          </cell>
          <cell r="CB85" t="str">
            <v>ON_HAND</v>
          </cell>
          <cell r="CC85" t="b">
            <v>0</v>
          </cell>
          <cell r="CD85" t="str">
            <v>**********</v>
          </cell>
          <cell r="CE85">
            <v>573134</v>
          </cell>
          <cell r="CF85" t="str">
            <v>27AXUPC8425A1ZH</v>
          </cell>
          <cell r="CH85" t="str">
            <v>29AAECM9636P1ZJ</v>
          </cell>
          <cell r="CI85" t="str">
            <v>Mumbai</v>
          </cell>
          <cell r="CJ85">
            <v>400013</v>
          </cell>
          <cell r="CK85" t="str">
            <v>maharashtra</v>
          </cell>
          <cell r="CL85" t="str">
            <v>MH</v>
          </cell>
          <cell r="CN85">
            <v>0</v>
          </cell>
          <cell r="CO85">
            <v>444.35199999999998</v>
          </cell>
          <cell r="CP85">
            <v>444.35199999999998</v>
          </cell>
          <cell r="CQ85">
            <v>0</v>
          </cell>
          <cell r="CR85">
            <v>0</v>
          </cell>
          <cell r="CS85">
            <v>0</v>
          </cell>
          <cell r="CT85">
            <v>1650</v>
          </cell>
          <cell r="CU85">
            <v>3.2535699999999999</v>
          </cell>
          <cell r="CW85">
            <v>0</v>
          </cell>
          <cell r="CX85">
            <v>716.62</v>
          </cell>
          <cell r="CY85">
            <v>716.62</v>
          </cell>
          <cell r="CZ85">
            <v>0</v>
          </cell>
          <cell r="DA85">
            <v>0</v>
          </cell>
          <cell r="DB85">
            <v>0</v>
          </cell>
          <cell r="DC85">
            <v>1650</v>
          </cell>
          <cell r="DD85">
            <v>3.2535699999999999</v>
          </cell>
          <cell r="DE85" t="str">
            <v>e764f663-4880-40ca-82bc-aeebecc719fe</v>
          </cell>
          <cell r="DF85">
            <v>100075000000</v>
          </cell>
          <cell r="DG85">
            <v>6.226</v>
          </cell>
          <cell r="DH85">
            <v>10.041</v>
          </cell>
          <cell r="DI85">
            <v>1.2450000000000001</v>
          </cell>
          <cell r="DJ85">
            <v>2.008</v>
          </cell>
          <cell r="DK85" t="str">
            <v>BRONZE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 t="str">
            <v>NA</v>
          </cell>
          <cell r="DU85" t="str">
            <v>NA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-2660.5479999999998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 t="str">
            <v>Settled</v>
          </cell>
          <cell r="FH85">
            <v>3850</v>
          </cell>
          <cell r="FI85">
            <v>2660.5479999999998</v>
          </cell>
          <cell r="FJ85">
            <v>1180.492</v>
          </cell>
          <cell r="FK85">
            <v>197.06</v>
          </cell>
        </row>
        <row r="86">
          <cell r="A86">
            <v>8613771637</v>
          </cell>
          <cell r="B86">
            <v>10613697190</v>
          </cell>
          <cell r="C86" t="str">
            <v>return_refund</v>
          </cell>
          <cell r="D86">
            <v>45886.54583333333</v>
          </cell>
          <cell r="E86">
            <v>45881.771527777775</v>
          </cell>
          <cell r="F86">
            <v>44519</v>
          </cell>
          <cell r="G86" t="str">
            <v>Myntra Designs Pvt Ltd</v>
          </cell>
          <cell r="H86" t="str">
            <v>BETYDRSS112339710</v>
          </cell>
          <cell r="I86" t="str">
            <v>\I2726TK000002406\""</v>
          </cell>
          <cell r="J86">
            <v>8613771637</v>
          </cell>
          <cell r="K86">
            <v>62042300</v>
          </cell>
          <cell r="L86" t="str">
            <v>Apparel</v>
          </cell>
          <cell r="M86" t="str">
            <v>INR</v>
          </cell>
          <cell r="N86">
            <v>4594</v>
          </cell>
          <cell r="O86">
            <v>0</v>
          </cell>
          <cell r="P86">
            <v>4594</v>
          </cell>
          <cell r="Q86">
            <v>6000</v>
          </cell>
          <cell r="R86">
            <v>1200</v>
          </cell>
          <cell r="S86" t="str">
            <v>Inter-State</v>
          </cell>
          <cell r="T86">
            <v>12</v>
          </cell>
          <cell r="U86">
            <v>492.21</v>
          </cell>
          <cell r="V86">
            <v>0</v>
          </cell>
          <cell r="W86">
            <v>0</v>
          </cell>
          <cell r="X86">
            <v>20.509</v>
          </cell>
          <cell r="Y86">
            <v>4.1020000000000003</v>
          </cell>
          <cell r="AA86">
            <v>0</v>
          </cell>
          <cell r="AB86">
            <v>1301.021</v>
          </cell>
          <cell r="AC86">
            <v>1301.021</v>
          </cell>
          <cell r="AD86">
            <v>1325.6320000000001</v>
          </cell>
          <cell r="AE86">
            <v>-197.06</v>
          </cell>
          <cell r="AF86">
            <v>167</v>
          </cell>
          <cell r="AG86">
            <v>0</v>
          </cell>
          <cell r="AH86">
            <v>0</v>
          </cell>
          <cell r="AI86">
            <v>0</v>
          </cell>
          <cell r="AJ86">
            <v>30.06</v>
          </cell>
          <cell r="AK86">
            <v>1</v>
          </cell>
          <cell r="AL86" t="str">
            <v>NATIONAL</v>
          </cell>
          <cell r="AM86">
            <v>4800</v>
          </cell>
          <cell r="AN86">
            <v>-3465.4279999999999</v>
          </cell>
          <cell r="AO86">
            <v>-3465.4279999999999</v>
          </cell>
          <cell r="AP86">
            <v>0</v>
          </cell>
          <cell r="AQ86">
            <v>1325.6320000000001</v>
          </cell>
          <cell r="AR86">
            <v>-197.06</v>
          </cell>
          <cell r="AS86">
            <v>-4594</v>
          </cell>
          <cell r="AV86">
            <v>0</v>
          </cell>
          <cell r="AW86">
            <v>45901</v>
          </cell>
          <cell r="AX86">
            <v>45901</v>
          </cell>
          <cell r="AY86">
            <v>45901</v>
          </cell>
          <cell r="BC86" t="str">
            <v>NFT-/XUTR/DEUTH025244A0LW1X</v>
          </cell>
          <cell r="BD86" t="str">
            <v>NFT-/XUTR/DEUTH025244A0LW1X</v>
          </cell>
          <cell r="BE86" t="str">
            <v>NFT-/XUTR/DEUTH025244A0LW1X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4101.79</v>
          </cell>
          <cell r="BP86">
            <v>12</v>
          </cell>
          <cell r="BQ86">
            <v>0</v>
          </cell>
          <cell r="BR86">
            <v>0</v>
          </cell>
          <cell r="BS86">
            <v>0</v>
          </cell>
          <cell r="BT86">
            <v>0.5</v>
          </cell>
          <cell r="BU86">
            <v>0</v>
          </cell>
          <cell r="BV86">
            <v>0</v>
          </cell>
          <cell r="BW86">
            <v>0.1</v>
          </cell>
          <cell r="BX86" t="str">
            <v>BETTY</v>
          </cell>
          <cell r="BY86" t="str">
            <v>Girls</v>
          </cell>
          <cell r="BZ86" t="str">
            <v>External</v>
          </cell>
          <cell r="CA86" t="str">
            <v>Ethnic Dresses</v>
          </cell>
          <cell r="CB86" t="str">
            <v>ON_HAND</v>
          </cell>
          <cell r="CC86" t="b">
            <v>0</v>
          </cell>
          <cell r="CD86" t="str">
            <v>**********</v>
          </cell>
          <cell r="CE86">
            <v>700008</v>
          </cell>
          <cell r="CF86" t="str">
            <v>27AXUPC8425A1ZH</v>
          </cell>
          <cell r="CH86" t="str">
            <v>29AAECM9636P1ZJ</v>
          </cell>
          <cell r="CI86" t="str">
            <v>Mumbai</v>
          </cell>
          <cell r="CJ86">
            <v>400013</v>
          </cell>
          <cell r="CK86" t="str">
            <v>maharashtra</v>
          </cell>
          <cell r="CL86" t="str">
            <v>MH</v>
          </cell>
          <cell r="CN86">
            <v>0</v>
          </cell>
          <cell r="CO86">
            <v>1301.021</v>
          </cell>
          <cell r="CP86">
            <v>1301.021</v>
          </cell>
          <cell r="CQ86">
            <v>0</v>
          </cell>
          <cell r="CR86">
            <v>0</v>
          </cell>
          <cell r="CS86">
            <v>0</v>
          </cell>
          <cell r="CT86">
            <v>1200</v>
          </cell>
          <cell r="CU86">
            <v>4.1017900000000003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E86" t="str">
            <v>678a483a-2162-4eca-b6e1-9f4d23aa48bd</v>
          </cell>
          <cell r="DF86">
            <v>100071000000</v>
          </cell>
          <cell r="DG86">
            <v>20.509</v>
          </cell>
          <cell r="DH86">
            <v>0</v>
          </cell>
          <cell r="DI86">
            <v>4.1020000000000003</v>
          </cell>
          <cell r="DJ86">
            <v>0</v>
          </cell>
          <cell r="DK86" t="str">
            <v>BRONZE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 t="str">
            <v>NA</v>
          </cell>
          <cell r="DU86" t="str">
            <v>NA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EB86">
            <v>-3465.4279999999999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 t="str">
            <v>Settled</v>
          </cell>
          <cell r="FH86">
            <v>4800</v>
          </cell>
          <cell r="FI86">
            <v>3465.4279999999999</v>
          </cell>
          <cell r="FJ86">
            <v>1325.6320000000001</v>
          </cell>
          <cell r="FK86">
            <v>197.06</v>
          </cell>
        </row>
        <row r="87">
          <cell r="A87">
            <v>8644827450</v>
          </cell>
          <cell r="B87">
            <v>10644751872</v>
          </cell>
          <cell r="C87" t="str">
            <v>return_refund</v>
          </cell>
          <cell r="D87">
            <v>45909.456944444442</v>
          </cell>
          <cell r="E87">
            <v>45903.465277777781</v>
          </cell>
          <cell r="G87" t="str">
            <v>Myntra Designs Pvt Ltd</v>
          </cell>
          <cell r="H87" t="str">
            <v>TIKILHNC115963205</v>
          </cell>
          <cell r="I87" t="str">
            <v>\I2726TK000002729\""</v>
          </cell>
          <cell r="J87">
            <v>8644827450</v>
          </cell>
          <cell r="K87">
            <v>62042300</v>
          </cell>
          <cell r="L87" t="str">
            <v>Apparel</v>
          </cell>
          <cell r="M87" t="str">
            <v>INR</v>
          </cell>
          <cell r="N87">
            <v>3194</v>
          </cell>
          <cell r="O87">
            <v>3194</v>
          </cell>
          <cell r="P87">
            <v>0</v>
          </cell>
          <cell r="Q87">
            <v>4000</v>
          </cell>
          <cell r="R87">
            <v>600</v>
          </cell>
          <cell r="S87" t="str">
            <v>Inter-State</v>
          </cell>
          <cell r="T87">
            <v>12</v>
          </cell>
          <cell r="U87">
            <v>342.21</v>
          </cell>
          <cell r="V87">
            <v>0</v>
          </cell>
          <cell r="W87">
            <v>0</v>
          </cell>
          <cell r="X87">
            <v>14.259</v>
          </cell>
          <cell r="Y87">
            <v>2.8519999999999999</v>
          </cell>
          <cell r="AA87">
            <v>0</v>
          </cell>
          <cell r="AB87">
            <v>791.47299999999996</v>
          </cell>
          <cell r="AC87">
            <v>791.47299999999996</v>
          </cell>
          <cell r="AD87">
            <v>808.58399999999995</v>
          </cell>
          <cell r="AE87">
            <v>-197.06</v>
          </cell>
          <cell r="AF87">
            <v>167</v>
          </cell>
          <cell r="AG87">
            <v>0</v>
          </cell>
          <cell r="AH87">
            <v>0</v>
          </cell>
          <cell r="AI87">
            <v>0</v>
          </cell>
          <cell r="AJ87">
            <v>30.06</v>
          </cell>
          <cell r="AK87">
            <v>1</v>
          </cell>
          <cell r="AL87" t="str">
            <v>NATIONAL</v>
          </cell>
          <cell r="AM87">
            <v>3400</v>
          </cell>
          <cell r="AN87">
            <v>-2582.4760000000001</v>
          </cell>
          <cell r="AO87">
            <v>-2582.4760000000001</v>
          </cell>
          <cell r="AP87">
            <v>0</v>
          </cell>
          <cell r="AS87">
            <v>0</v>
          </cell>
          <cell r="AT87">
            <v>808.58399999999995</v>
          </cell>
          <cell r="AU87">
            <v>-197.06</v>
          </cell>
          <cell r="AV87">
            <v>-3194</v>
          </cell>
          <cell r="AZ87">
            <v>45922</v>
          </cell>
          <cell r="BA87">
            <v>45922</v>
          </cell>
          <cell r="BB87">
            <v>45922</v>
          </cell>
          <cell r="BF87" t="str">
            <v>NFT-/XUTR/DEUTH025265A108YX</v>
          </cell>
          <cell r="BG87" t="str">
            <v>NFT-/XUTR/DEUTH025265A108YX</v>
          </cell>
          <cell r="BH87" t="str">
            <v>NFT-/XUTR/DEUTH025265A108YX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2851.79</v>
          </cell>
          <cell r="BP87">
            <v>12</v>
          </cell>
          <cell r="BQ87">
            <v>0</v>
          </cell>
          <cell r="BR87">
            <v>0</v>
          </cell>
          <cell r="BS87">
            <v>0</v>
          </cell>
          <cell r="BT87">
            <v>0.5</v>
          </cell>
          <cell r="BU87">
            <v>0</v>
          </cell>
          <cell r="BV87">
            <v>0</v>
          </cell>
          <cell r="BW87">
            <v>0.1</v>
          </cell>
          <cell r="BX87" t="str">
            <v>Tiny Kingdom</v>
          </cell>
          <cell r="BY87" t="str">
            <v>Girls</v>
          </cell>
          <cell r="BZ87" t="str">
            <v>External</v>
          </cell>
          <cell r="CA87" t="str">
            <v>Lehenga Choli</v>
          </cell>
          <cell r="CB87" t="str">
            <v>ON_HAND</v>
          </cell>
          <cell r="CC87" t="b">
            <v>0</v>
          </cell>
          <cell r="CD87" t="str">
            <v>**********</v>
          </cell>
          <cell r="CE87">
            <v>770076</v>
          </cell>
          <cell r="CF87" t="str">
            <v>27AXUPC8425A1ZH</v>
          </cell>
          <cell r="CH87" t="str">
            <v>29AAECM9636P1ZJ</v>
          </cell>
          <cell r="CI87" t="str">
            <v>Mumbai</v>
          </cell>
          <cell r="CJ87">
            <v>400013</v>
          </cell>
          <cell r="CK87" t="str">
            <v>maharashtra</v>
          </cell>
          <cell r="CL87" t="str">
            <v>MH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W87">
            <v>0</v>
          </cell>
          <cell r="CX87">
            <v>791.47299999999996</v>
          </cell>
          <cell r="CY87">
            <v>791.47299999999996</v>
          </cell>
          <cell r="CZ87">
            <v>0</v>
          </cell>
          <cell r="DA87">
            <v>0</v>
          </cell>
          <cell r="DB87">
            <v>0</v>
          </cell>
          <cell r="DC87">
            <v>600</v>
          </cell>
          <cell r="DD87">
            <v>2.8517899999999998</v>
          </cell>
          <cell r="DE87" t="str">
            <v>d0bc604a-6519-4327-84bd-72c9cca6c7ed</v>
          </cell>
          <cell r="DF87">
            <v>100077000000</v>
          </cell>
          <cell r="DG87">
            <v>0</v>
          </cell>
          <cell r="DH87">
            <v>14.259</v>
          </cell>
          <cell r="DI87">
            <v>0</v>
          </cell>
          <cell r="DJ87">
            <v>2.8519999999999999</v>
          </cell>
          <cell r="DK87" t="str">
            <v>BRONZE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 t="str">
            <v>NA</v>
          </cell>
          <cell r="DU87" t="str">
            <v>NA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-2582.4760000000001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 t="str">
            <v>Settled</v>
          </cell>
          <cell r="FH87">
            <v>3400</v>
          </cell>
          <cell r="FI87">
            <v>2582.4760000000001</v>
          </cell>
          <cell r="FJ87">
            <v>808.58399999999995</v>
          </cell>
          <cell r="FK87">
            <v>197.06</v>
          </cell>
        </row>
        <row r="88">
          <cell r="A88">
            <v>8657127242</v>
          </cell>
          <cell r="B88">
            <v>10657051361</v>
          </cell>
          <cell r="C88" t="str">
            <v>return_refund</v>
          </cell>
          <cell r="D88">
            <v>45914.497916666667</v>
          </cell>
          <cell r="E88">
            <v>45909.456250000003</v>
          </cell>
          <cell r="G88" t="str">
            <v>Myntra Designs Pvt Ltd</v>
          </cell>
          <cell r="H88" t="str">
            <v>TIKICLST87107570</v>
          </cell>
          <cell r="I88" t="str">
            <v>\I2726TK000002820\""</v>
          </cell>
          <cell r="J88">
            <v>8657127242</v>
          </cell>
          <cell r="K88">
            <v>62042300</v>
          </cell>
          <cell r="L88" t="str">
            <v>Apparel</v>
          </cell>
          <cell r="M88" t="str">
            <v>INR</v>
          </cell>
          <cell r="N88">
            <v>1794</v>
          </cell>
          <cell r="O88">
            <v>334.44799999999998</v>
          </cell>
          <cell r="P88">
            <v>1459.5519999999999</v>
          </cell>
          <cell r="Q88">
            <v>4000</v>
          </cell>
          <cell r="R88">
            <v>2000</v>
          </cell>
          <cell r="S88" t="str">
            <v>Inter-State</v>
          </cell>
          <cell r="T88">
            <v>12</v>
          </cell>
          <cell r="U88">
            <v>192.21</v>
          </cell>
          <cell r="V88">
            <v>0</v>
          </cell>
          <cell r="W88">
            <v>0</v>
          </cell>
          <cell r="X88">
            <v>8.0090000000000003</v>
          </cell>
          <cell r="Y88">
            <v>1.6020000000000001</v>
          </cell>
          <cell r="AA88">
            <v>0</v>
          </cell>
          <cell r="AB88">
            <v>465.72300000000001</v>
          </cell>
          <cell r="AC88">
            <v>465.72300000000001</v>
          </cell>
          <cell r="AD88">
            <v>475.334</v>
          </cell>
          <cell r="AE88">
            <v>-132.16</v>
          </cell>
          <cell r="AF88">
            <v>112</v>
          </cell>
          <cell r="AG88">
            <v>0</v>
          </cell>
          <cell r="AH88">
            <v>0</v>
          </cell>
          <cell r="AI88">
            <v>0</v>
          </cell>
          <cell r="AJ88">
            <v>20.16</v>
          </cell>
          <cell r="AK88">
            <v>1</v>
          </cell>
          <cell r="AL88" t="str">
            <v>ZONAL</v>
          </cell>
          <cell r="AM88">
            <v>2000</v>
          </cell>
          <cell r="AN88">
            <v>-1450.826</v>
          </cell>
          <cell r="AO88">
            <v>-1450.826</v>
          </cell>
          <cell r="AP88">
            <v>0</v>
          </cell>
          <cell r="AQ88">
            <v>386.71899999999999</v>
          </cell>
          <cell r="AR88">
            <v>-107.52160000000001</v>
          </cell>
          <cell r="AS88">
            <v>-1459.5519999999999</v>
          </cell>
          <cell r="AT88">
            <v>88.614999999999995</v>
          </cell>
          <cell r="AU88">
            <v>-24.638400000000001</v>
          </cell>
          <cell r="AV88">
            <v>-334.44799999999998</v>
          </cell>
          <cell r="AW88">
            <v>45926</v>
          </cell>
          <cell r="AX88">
            <v>45926</v>
          </cell>
          <cell r="AY88">
            <v>45926</v>
          </cell>
          <cell r="AZ88">
            <v>45926</v>
          </cell>
          <cell r="BA88">
            <v>45926</v>
          </cell>
          <cell r="BB88">
            <v>45926</v>
          </cell>
          <cell r="BC88" t="str">
            <v>NFT-/XUTR/DEUTH02526963643X</v>
          </cell>
          <cell r="BD88" t="str">
            <v>NFT-/XUTR/DEUTH02526963643X</v>
          </cell>
          <cell r="BE88" t="str">
            <v>NFT-/XUTR/DEUTH02526963643X</v>
          </cell>
          <cell r="BF88" t="str">
            <v>NFT-/XUTR/DEUTH02526965743X</v>
          </cell>
          <cell r="BG88" t="str">
            <v>NFT-/XUTR/DEUTH02526965743X</v>
          </cell>
          <cell r="BH88" t="str">
            <v>NFT-/XUTR/DEUTH02526965743X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300</v>
          </cell>
          <cell r="BN88">
            <v>0</v>
          </cell>
          <cell r="BO88">
            <v>1601.79</v>
          </cell>
          <cell r="BP88">
            <v>12</v>
          </cell>
          <cell r="BQ88">
            <v>0</v>
          </cell>
          <cell r="BR88">
            <v>0</v>
          </cell>
          <cell r="BS88">
            <v>0</v>
          </cell>
          <cell r="BT88">
            <v>0.5</v>
          </cell>
          <cell r="BU88">
            <v>0</v>
          </cell>
          <cell r="BV88">
            <v>0</v>
          </cell>
          <cell r="BW88">
            <v>0.1</v>
          </cell>
          <cell r="BX88" t="str">
            <v>Tiny Kingdom</v>
          </cell>
          <cell r="BY88" t="str">
            <v>Girls</v>
          </cell>
          <cell r="BZ88" t="str">
            <v>External</v>
          </cell>
          <cell r="CA88" t="str">
            <v>Clothing Set</v>
          </cell>
          <cell r="CB88" t="str">
            <v>ON_HAND</v>
          </cell>
          <cell r="CC88" t="b">
            <v>0</v>
          </cell>
          <cell r="CD88" t="str">
            <v>**********</v>
          </cell>
          <cell r="CE88">
            <v>380001</v>
          </cell>
          <cell r="CF88" t="str">
            <v>27AXUPC8425A1ZH</v>
          </cell>
          <cell r="CH88" t="str">
            <v>29AAECM9636P1ZJ</v>
          </cell>
          <cell r="CI88" t="str">
            <v>Mumbai</v>
          </cell>
          <cell r="CJ88">
            <v>400013</v>
          </cell>
          <cell r="CK88" t="str">
            <v>maharashtra</v>
          </cell>
          <cell r="CL88" t="str">
            <v>MH</v>
          </cell>
          <cell r="CN88">
            <v>0</v>
          </cell>
          <cell r="CO88">
            <v>378.9</v>
          </cell>
          <cell r="CP88">
            <v>378.9</v>
          </cell>
          <cell r="CQ88">
            <v>0</v>
          </cell>
          <cell r="CR88">
            <v>0</v>
          </cell>
          <cell r="CS88">
            <v>0</v>
          </cell>
          <cell r="CT88">
            <v>2000</v>
          </cell>
          <cell r="CU88">
            <v>1.60179</v>
          </cell>
          <cell r="CW88">
            <v>0</v>
          </cell>
          <cell r="CX88">
            <v>86.822999999999993</v>
          </cell>
          <cell r="CY88">
            <v>86.822999999999993</v>
          </cell>
          <cell r="CZ88">
            <v>0</v>
          </cell>
          <cell r="DA88">
            <v>0</v>
          </cell>
          <cell r="DB88">
            <v>0</v>
          </cell>
          <cell r="DC88">
            <v>2000</v>
          </cell>
          <cell r="DD88">
            <v>1.60179</v>
          </cell>
          <cell r="DE88" t="str">
            <v>912fec2d-a37d-461e-a631-9863b4c7603e</v>
          </cell>
          <cell r="DF88">
            <v>100078000000</v>
          </cell>
          <cell r="DG88">
            <v>6.516</v>
          </cell>
          <cell r="DH88">
            <v>1.4930000000000001</v>
          </cell>
          <cell r="DI88">
            <v>1.3029999999999999</v>
          </cell>
          <cell r="DJ88">
            <v>0.29899999999999999</v>
          </cell>
          <cell r="DK88" t="str">
            <v>BRONZE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 t="str">
            <v>NA</v>
          </cell>
          <cell r="DU88" t="str">
            <v>NA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-1450.826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 t="str">
            <v>Settled</v>
          </cell>
          <cell r="FH88">
            <v>2000</v>
          </cell>
          <cell r="FI88">
            <v>1450.826</v>
          </cell>
          <cell r="FJ88">
            <v>475.334</v>
          </cell>
          <cell r="FK88">
            <v>132.16</v>
          </cell>
        </row>
        <row r="89">
          <cell r="A89">
            <v>8655672020</v>
          </cell>
          <cell r="B89">
            <v>10655596167</v>
          </cell>
          <cell r="C89" t="str">
            <v>return_refund</v>
          </cell>
          <cell r="D89">
            <v>45912.168749999997</v>
          </cell>
          <cell r="E89">
            <v>45908.48333333333</v>
          </cell>
          <cell r="G89" t="str">
            <v>Myntra Designs Pvt Ltd</v>
          </cell>
          <cell r="H89" t="str">
            <v>TIKILHNC101415399</v>
          </cell>
          <cell r="I89" t="str">
            <v>\I2726TK000002798\""</v>
          </cell>
          <cell r="J89">
            <v>8655672020</v>
          </cell>
          <cell r="K89">
            <v>62042300</v>
          </cell>
          <cell r="L89" t="str">
            <v>Apparel</v>
          </cell>
          <cell r="M89" t="str">
            <v>INR</v>
          </cell>
          <cell r="N89">
            <v>2169</v>
          </cell>
          <cell r="O89">
            <v>0</v>
          </cell>
          <cell r="P89">
            <v>2169</v>
          </cell>
          <cell r="Q89">
            <v>4750</v>
          </cell>
          <cell r="R89">
            <v>2375</v>
          </cell>
          <cell r="S89" t="str">
            <v>Inter-State</v>
          </cell>
          <cell r="T89">
            <v>12</v>
          </cell>
          <cell r="U89">
            <v>232.39</v>
          </cell>
          <cell r="V89">
            <v>0</v>
          </cell>
          <cell r="W89">
            <v>0</v>
          </cell>
          <cell r="X89">
            <v>9.6829999999999998</v>
          </cell>
          <cell r="Y89">
            <v>1.9370000000000001</v>
          </cell>
          <cell r="AA89">
            <v>0</v>
          </cell>
          <cell r="AB89">
            <v>537.47799999999995</v>
          </cell>
          <cell r="AC89">
            <v>537.47799999999995</v>
          </cell>
          <cell r="AD89">
            <v>549.09799999999996</v>
          </cell>
          <cell r="AE89">
            <v>-132.16</v>
          </cell>
          <cell r="AF89">
            <v>112</v>
          </cell>
          <cell r="AG89">
            <v>0</v>
          </cell>
          <cell r="AH89">
            <v>0</v>
          </cell>
          <cell r="AI89">
            <v>0</v>
          </cell>
          <cell r="AJ89">
            <v>20.16</v>
          </cell>
          <cell r="AK89">
            <v>1</v>
          </cell>
          <cell r="AL89" t="str">
            <v>ZONAL</v>
          </cell>
          <cell r="AM89">
            <v>2375</v>
          </cell>
          <cell r="AN89">
            <v>-1752.0619999999999</v>
          </cell>
          <cell r="AO89">
            <v>-1752.0619999999999</v>
          </cell>
          <cell r="AP89">
            <v>0</v>
          </cell>
          <cell r="AQ89">
            <v>549.09799999999996</v>
          </cell>
          <cell r="AR89">
            <v>-132.16</v>
          </cell>
          <cell r="AS89">
            <v>-2169</v>
          </cell>
          <cell r="AV89">
            <v>0</v>
          </cell>
          <cell r="AW89">
            <v>45925</v>
          </cell>
          <cell r="AX89">
            <v>45925</v>
          </cell>
          <cell r="AY89">
            <v>45925</v>
          </cell>
          <cell r="BC89" t="str">
            <v>NFT-/XUTR/DEUTH02526823565X</v>
          </cell>
          <cell r="BD89" t="str">
            <v>NFT-/XUTR/DEUTH02526823565X</v>
          </cell>
          <cell r="BE89" t="str">
            <v>NFT-/XUTR/DEUTH02526823565X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1936.61</v>
          </cell>
          <cell r="BP89">
            <v>12</v>
          </cell>
          <cell r="BQ89">
            <v>0</v>
          </cell>
          <cell r="BR89">
            <v>0</v>
          </cell>
          <cell r="BS89">
            <v>0</v>
          </cell>
          <cell r="BT89">
            <v>0.5</v>
          </cell>
          <cell r="BU89">
            <v>0</v>
          </cell>
          <cell r="BV89">
            <v>0</v>
          </cell>
          <cell r="BW89">
            <v>0.1</v>
          </cell>
          <cell r="BX89" t="str">
            <v>Tiny Kingdom</v>
          </cell>
          <cell r="BY89" t="str">
            <v>Girls</v>
          </cell>
          <cell r="BZ89" t="str">
            <v>External</v>
          </cell>
          <cell r="CA89" t="str">
            <v>Lehenga Choli</v>
          </cell>
          <cell r="CB89" t="str">
            <v>ON_HAND</v>
          </cell>
          <cell r="CC89" t="b">
            <v>0</v>
          </cell>
          <cell r="CD89" t="str">
            <v>**********</v>
          </cell>
          <cell r="CE89">
            <v>395001</v>
          </cell>
          <cell r="CF89" t="str">
            <v>27AXUPC8425A1ZH</v>
          </cell>
          <cell r="CH89" t="str">
            <v>29AAECM9636P1ZJ</v>
          </cell>
          <cell r="CI89" t="str">
            <v>Mumbai</v>
          </cell>
          <cell r="CJ89">
            <v>400013</v>
          </cell>
          <cell r="CK89" t="str">
            <v>maharashtra</v>
          </cell>
          <cell r="CL89" t="str">
            <v>MH</v>
          </cell>
          <cell r="CN89">
            <v>0</v>
          </cell>
          <cell r="CO89">
            <v>537.47799999999995</v>
          </cell>
          <cell r="CP89">
            <v>537.47799999999995</v>
          </cell>
          <cell r="CQ89">
            <v>0</v>
          </cell>
          <cell r="CR89">
            <v>0</v>
          </cell>
          <cell r="CS89">
            <v>0</v>
          </cell>
          <cell r="CT89">
            <v>2375</v>
          </cell>
          <cell r="CU89">
            <v>1.9366099999999999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E89" t="str">
            <v>6f5ded71-f126-42f5-981e-fa2421da9d90</v>
          </cell>
          <cell r="DF89">
            <v>100077000000</v>
          </cell>
          <cell r="DG89">
            <v>9.6829999999999998</v>
          </cell>
          <cell r="DH89">
            <v>0</v>
          </cell>
          <cell r="DI89">
            <v>1.9370000000000001</v>
          </cell>
          <cell r="DJ89">
            <v>0</v>
          </cell>
          <cell r="DK89" t="str">
            <v>BRONZE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 t="str">
            <v>NA</v>
          </cell>
          <cell r="DU89" t="str">
            <v>NA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-1752.0619999999999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 t="str">
            <v>Settled</v>
          </cell>
          <cell r="FH89">
            <v>2375</v>
          </cell>
          <cell r="FI89">
            <v>1752.0619999999999</v>
          </cell>
          <cell r="FJ89">
            <v>549.09799999999996</v>
          </cell>
          <cell r="FK89">
            <v>132.16</v>
          </cell>
        </row>
        <row r="90">
          <cell r="A90">
            <v>8596909068</v>
          </cell>
          <cell r="B90">
            <v>10596835468</v>
          </cell>
          <cell r="C90" t="str">
            <v>return_refund</v>
          </cell>
          <cell r="D90">
            <v>45900.31527777778</v>
          </cell>
          <cell r="E90">
            <v>45873.455555555556</v>
          </cell>
          <cell r="F90">
            <v>44501</v>
          </cell>
          <cell r="G90" t="str">
            <v>Myntra Designs Pvt Ltd</v>
          </cell>
          <cell r="H90" t="str">
            <v>TIKILHNC106661971</v>
          </cell>
          <cell r="I90" t="str">
            <v>\I2726TK000002219\""</v>
          </cell>
          <cell r="J90">
            <v>8596909068</v>
          </cell>
          <cell r="K90">
            <v>62042300</v>
          </cell>
          <cell r="L90" t="str">
            <v>Apparel</v>
          </cell>
          <cell r="M90" t="str">
            <v>INR</v>
          </cell>
          <cell r="N90">
            <v>3294</v>
          </cell>
          <cell r="O90">
            <v>3294</v>
          </cell>
          <cell r="P90">
            <v>0</v>
          </cell>
          <cell r="Q90">
            <v>5000</v>
          </cell>
          <cell r="R90">
            <v>1500</v>
          </cell>
          <cell r="S90" t="str">
            <v>Inter-State</v>
          </cell>
          <cell r="T90">
            <v>12</v>
          </cell>
          <cell r="U90">
            <v>352.93</v>
          </cell>
          <cell r="V90">
            <v>0</v>
          </cell>
          <cell r="W90">
            <v>0</v>
          </cell>
          <cell r="X90">
            <v>14.705</v>
          </cell>
          <cell r="Y90">
            <v>2.9409999999999998</v>
          </cell>
          <cell r="AA90">
            <v>0</v>
          </cell>
          <cell r="AB90">
            <v>816.25300000000004</v>
          </cell>
          <cell r="AC90">
            <v>816.25300000000004</v>
          </cell>
          <cell r="AD90">
            <v>833.899</v>
          </cell>
          <cell r="AE90">
            <v>-197.06</v>
          </cell>
          <cell r="AF90">
            <v>167</v>
          </cell>
          <cell r="AG90">
            <v>0</v>
          </cell>
          <cell r="AH90">
            <v>0</v>
          </cell>
          <cell r="AI90">
            <v>0</v>
          </cell>
          <cell r="AJ90">
            <v>30.06</v>
          </cell>
          <cell r="AK90">
            <v>1</v>
          </cell>
          <cell r="AL90" t="str">
            <v>NATIONAL</v>
          </cell>
          <cell r="AM90">
            <v>3500</v>
          </cell>
          <cell r="AN90">
            <v>-2657.1610000000001</v>
          </cell>
          <cell r="AO90">
            <v>-2657.1610000000001</v>
          </cell>
          <cell r="AP90">
            <v>0</v>
          </cell>
          <cell r="AS90">
            <v>0</v>
          </cell>
          <cell r="AT90">
            <v>833.899</v>
          </cell>
          <cell r="AU90">
            <v>-197.06</v>
          </cell>
          <cell r="AV90">
            <v>-3294</v>
          </cell>
          <cell r="AZ90">
            <v>45903</v>
          </cell>
          <cell r="BA90">
            <v>45903</v>
          </cell>
          <cell r="BB90">
            <v>45903</v>
          </cell>
          <cell r="BF90" t="str">
            <v>NFT-/XUTR/DEUTH025246A0P15X</v>
          </cell>
          <cell r="BG90" t="str">
            <v>NFT-/XUTR/DEUTH025246A0P15X</v>
          </cell>
          <cell r="BH90" t="str">
            <v>NFT-/XUTR/DEUTH025246A0P15X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2941.07</v>
          </cell>
          <cell r="BP90">
            <v>12</v>
          </cell>
          <cell r="BQ90">
            <v>0</v>
          </cell>
          <cell r="BR90">
            <v>0</v>
          </cell>
          <cell r="BS90">
            <v>0</v>
          </cell>
          <cell r="BT90">
            <v>0.5</v>
          </cell>
          <cell r="BU90">
            <v>0</v>
          </cell>
          <cell r="BV90">
            <v>0</v>
          </cell>
          <cell r="BW90">
            <v>0.1</v>
          </cell>
          <cell r="BX90" t="str">
            <v>Tiny Kingdom</v>
          </cell>
          <cell r="BY90" t="str">
            <v>Girls</v>
          </cell>
          <cell r="BZ90" t="str">
            <v>External</v>
          </cell>
          <cell r="CA90" t="str">
            <v>Lehenga Choli</v>
          </cell>
          <cell r="CB90" t="str">
            <v>ON_HAND</v>
          </cell>
          <cell r="CC90" t="b">
            <v>0</v>
          </cell>
          <cell r="CD90" t="str">
            <v>**********</v>
          </cell>
          <cell r="CE90">
            <v>755019</v>
          </cell>
          <cell r="CF90" t="str">
            <v>27AXUPC8425A1ZH</v>
          </cell>
          <cell r="CH90" t="str">
            <v>29AAECM9636P1ZJ</v>
          </cell>
          <cell r="CI90" t="str">
            <v>Mumbai</v>
          </cell>
          <cell r="CJ90">
            <v>400013</v>
          </cell>
          <cell r="CK90" t="str">
            <v>maharashtra</v>
          </cell>
          <cell r="CL90" t="str">
            <v>MH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W90">
            <v>0</v>
          </cell>
          <cell r="CX90">
            <v>816.25300000000004</v>
          </cell>
          <cell r="CY90">
            <v>816.25300000000004</v>
          </cell>
          <cell r="CZ90">
            <v>0</v>
          </cell>
          <cell r="DA90">
            <v>0</v>
          </cell>
          <cell r="DB90">
            <v>0</v>
          </cell>
          <cell r="DC90">
            <v>1500</v>
          </cell>
          <cell r="DD90">
            <v>2.9410699999999999</v>
          </cell>
          <cell r="DE90" t="str">
            <v>d4c739ec-3b3b-48a1-98e3-baca86c6501b</v>
          </cell>
          <cell r="DF90">
            <v>100070000000</v>
          </cell>
          <cell r="DG90">
            <v>0</v>
          </cell>
          <cell r="DH90">
            <v>14.705</v>
          </cell>
          <cell r="DI90">
            <v>0</v>
          </cell>
          <cell r="DJ90">
            <v>2.9409999999999998</v>
          </cell>
          <cell r="DK90" t="str">
            <v>BRONZE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 t="str">
            <v>NA</v>
          </cell>
          <cell r="DU90" t="str">
            <v>NA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EB90">
            <v>0</v>
          </cell>
          <cell r="EC90">
            <v>0</v>
          </cell>
          <cell r="ED90">
            <v>-2657.1610000000001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 t="str">
            <v>Settled</v>
          </cell>
          <cell r="FH90">
            <v>3500</v>
          </cell>
          <cell r="FI90">
            <v>2657.1610000000001</v>
          </cell>
          <cell r="FJ90">
            <v>833.899</v>
          </cell>
          <cell r="FK90">
            <v>197.06</v>
          </cell>
        </row>
        <row r="91">
          <cell r="A91">
            <v>8636814714</v>
          </cell>
          <cell r="B91">
            <v>10636739283</v>
          </cell>
          <cell r="C91" t="str">
            <v>return_refund</v>
          </cell>
          <cell r="D91">
            <v>45903.642361111109</v>
          </cell>
          <cell r="E91">
            <v>45898.445138888892</v>
          </cell>
          <cell r="G91" t="str">
            <v>Myntra Designs Pvt Ltd</v>
          </cell>
          <cell r="H91" t="str">
            <v>TIKICLST103607742</v>
          </cell>
          <cell r="I91" t="str">
            <v>\I2726TK000002647\""</v>
          </cell>
          <cell r="J91">
            <v>9760434452</v>
          </cell>
          <cell r="K91">
            <v>62042300</v>
          </cell>
          <cell r="L91" t="str">
            <v>Apparel</v>
          </cell>
          <cell r="M91" t="str">
            <v>INR</v>
          </cell>
          <cell r="N91">
            <v>3544</v>
          </cell>
          <cell r="O91">
            <v>0</v>
          </cell>
          <cell r="P91">
            <v>3544</v>
          </cell>
          <cell r="Q91">
            <v>5000</v>
          </cell>
          <cell r="R91">
            <v>1250</v>
          </cell>
          <cell r="S91" t="str">
            <v>Inter-State</v>
          </cell>
          <cell r="T91">
            <v>12</v>
          </cell>
          <cell r="U91">
            <v>379.71</v>
          </cell>
          <cell r="V91">
            <v>0</v>
          </cell>
          <cell r="W91">
            <v>0</v>
          </cell>
          <cell r="X91">
            <v>15.821</v>
          </cell>
          <cell r="Y91">
            <v>3.1640000000000001</v>
          </cell>
          <cell r="AA91">
            <v>0</v>
          </cell>
          <cell r="AB91">
            <v>920.02200000000005</v>
          </cell>
          <cell r="AC91">
            <v>920.02200000000005</v>
          </cell>
          <cell r="AD91">
            <v>939.00699999999995</v>
          </cell>
          <cell r="AE91">
            <v>-197.06</v>
          </cell>
          <cell r="AF91">
            <v>167</v>
          </cell>
          <cell r="AG91">
            <v>0</v>
          </cell>
          <cell r="AH91">
            <v>0</v>
          </cell>
          <cell r="AI91">
            <v>0</v>
          </cell>
          <cell r="AJ91">
            <v>30.06</v>
          </cell>
          <cell r="AK91">
            <v>1</v>
          </cell>
          <cell r="AL91" t="str">
            <v>NATIONAL</v>
          </cell>
          <cell r="AM91">
            <v>3750</v>
          </cell>
          <cell r="AN91">
            <v>-2802.0529999999999</v>
          </cell>
          <cell r="AO91">
            <v>-2802.0529999999999</v>
          </cell>
          <cell r="AP91">
            <v>0</v>
          </cell>
          <cell r="AQ91">
            <v>939.00699999999995</v>
          </cell>
          <cell r="AR91">
            <v>-197.06</v>
          </cell>
          <cell r="AS91">
            <v>-3544</v>
          </cell>
          <cell r="AV91">
            <v>0</v>
          </cell>
          <cell r="AW91">
            <v>45916</v>
          </cell>
          <cell r="AX91">
            <v>45916</v>
          </cell>
          <cell r="AY91">
            <v>45916</v>
          </cell>
          <cell r="BC91" t="str">
            <v>NFT-/XUTR/DEUTH02525924409X</v>
          </cell>
          <cell r="BD91" t="str">
            <v>NFT-/XUTR/DEUTH02525924409X</v>
          </cell>
          <cell r="BE91" t="str">
            <v>NFT-/XUTR/DEUTH02525924409X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3164.29</v>
          </cell>
          <cell r="BP91">
            <v>12</v>
          </cell>
          <cell r="BQ91">
            <v>0</v>
          </cell>
          <cell r="BR91">
            <v>0</v>
          </cell>
          <cell r="BS91">
            <v>0</v>
          </cell>
          <cell r="BT91">
            <v>0.5</v>
          </cell>
          <cell r="BU91">
            <v>0</v>
          </cell>
          <cell r="BV91">
            <v>0</v>
          </cell>
          <cell r="BW91">
            <v>0.1</v>
          </cell>
          <cell r="BX91" t="str">
            <v>Tiny Kingdom</v>
          </cell>
          <cell r="BY91" t="str">
            <v>Girls</v>
          </cell>
          <cell r="BZ91" t="str">
            <v>External</v>
          </cell>
          <cell r="CA91" t="str">
            <v>Kurta Sets</v>
          </cell>
          <cell r="CB91" t="str">
            <v>ON_HAND</v>
          </cell>
          <cell r="CC91" t="b">
            <v>0</v>
          </cell>
          <cell r="CD91" t="str">
            <v>**********</v>
          </cell>
          <cell r="CE91">
            <v>201014</v>
          </cell>
          <cell r="CF91" t="str">
            <v>27AXUPC8425A1ZH</v>
          </cell>
          <cell r="CH91" t="str">
            <v>29AAECM9636P1ZJ</v>
          </cell>
          <cell r="CI91" t="str">
            <v>Mumbai</v>
          </cell>
          <cell r="CJ91">
            <v>400013</v>
          </cell>
          <cell r="CK91" t="str">
            <v>maharashtra</v>
          </cell>
          <cell r="CL91" t="str">
            <v>MH</v>
          </cell>
          <cell r="CN91">
            <v>0</v>
          </cell>
          <cell r="CO91">
            <v>920.02200000000005</v>
          </cell>
          <cell r="CP91">
            <v>920.02200000000005</v>
          </cell>
          <cell r="CQ91">
            <v>0</v>
          </cell>
          <cell r="CR91">
            <v>0</v>
          </cell>
          <cell r="CS91">
            <v>0</v>
          </cell>
          <cell r="CT91">
            <v>1250</v>
          </cell>
          <cell r="CU91">
            <v>3.1642899999999998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E91" t="str">
            <v>628c8361-15fd-427f-923b-415c657e57e8</v>
          </cell>
          <cell r="DF91">
            <v>100075000000</v>
          </cell>
          <cell r="DG91">
            <v>15.821</v>
          </cell>
          <cell r="DH91">
            <v>0</v>
          </cell>
          <cell r="DI91">
            <v>3.1640000000000001</v>
          </cell>
          <cell r="DJ91">
            <v>0</v>
          </cell>
          <cell r="DK91" t="str">
            <v>BRONZE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 t="str">
            <v>NA</v>
          </cell>
          <cell r="DU91" t="str">
            <v>NA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-2802.0529999999999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 t="str">
            <v>Settled</v>
          </cell>
          <cell r="FH91">
            <v>3750</v>
          </cell>
          <cell r="FI91">
            <v>2802.0529999999999</v>
          </cell>
          <cell r="FJ91">
            <v>939.00699999999995</v>
          </cell>
          <cell r="FK91">
            <v>197.06</v>
          </cell>
        </row>
        <row r="92">
          <cell r="A92">
            <v>8637571130</v>
          </cell>
          <cell r="B92">
            <v>10637495658</v>
          </cell>
          <cell r="C92" t="str">
            <v>return_refund</v>
          </cell>
          <cell r="D92">
            <v>45904.538888888892</v>
          </cell>
          <cell r="E92">
            <v>45898.775000000001</v>
          </cell>
          <cell r="G92" t="str">
            <v>Myntra Designs Pvt Ltd</v>
          </cell>
          <cell r="H92" t="str">
            <v>TIKICLST112288673</v>
          </cell>
          <cell r="I92" t="str">
            <v>\I2726TK000002656\""</v>
          </cell>
          <cell r="J92">
            <v>8637571130</v>
          </cell>
          <cell r="K92">
            <v>62042300</v>
          </cell>
          <cell r="L92" t="str">
            <v>Apparel</v>
          </cell>
          <cell r="M92" t="str">
            <v>INR</v>
          </cell>
          <cell r="N92">
            <v>3619</v>
          </cell>
          <cell r="O92">
            <v>0</v>
          </cell>
          <cell r="P92">
            <v>3619</v>
          </cell>
          <cell r="Q92">
            <v>4500</v>
          </cell>
          <cell r="R92">
            <v>675</v>
          </cell>
          <cell r="S92" t="str">
            <v>Inter-State</v>
          </cell>
          <cell r="T92">
            <v>12</v>
          </cell>
          <cell r="U92">
            <v>387.75</v>
          </cell>
          <cell r="V92">
            <v>0</v>
          </cell>
          <cell r="W92">
            <v>0</v>
          </cell>
          <cell r="X92">
            <v>16.155999999999999</v>
          </cell>
          <cell r="Y92">
            <v>3.2309999999999999</v>
          </cell>
          <cell r="AA92">
            <v>0</v>
          </cell>
          <cell r="AB92">
            <v>896.78800000000001</v>
          </cell>
          <cell r="AC92">
            <v>896.78800000000001</v>
          </cell>
          <cell r="AD92">
            <v>916.17499999999995</v>
          </cell>
          <cell r="AE92">
            <v>-197.06</v>
          </cell>
          <cell r="AF92">
            <v>167</v>
          </cell>
          <cell r="AG92">
            <v>0</v>
          </cell>
          <cell r="AH92">
            <v>0</v>
          </cell>
          <cell r="AI92">
            <v>0</v>
          </cell>
          <cell r="AJ92">
            <v>30.06</v>
          </cell>
          <cell r="AK92">
            <v>1</v>
          </cell>
          <cell r="AL92" t="str">
            <v>NATIONAL</v>
          </cell>
          <cell r="AM92">
            <v>3825</v>
          </cell>
          <cell r="AN92">
            <v>-2899.8850000000002</v>
          </cell>
          <cell r="AO92">
            <v>-2899.8850000000002</v>
          </cell>
          <cell r="AP92">
            <v>0</v>
          </cell>
          <cell r="AQ92">
            <v>916.17499999999995</v>
          </cell>
          <cell r="AR92">
            <v>-197.06</v>
          </cell>
          <cell r="AS92">
            <v>-3619</v>
          </cell>
          <cell r="AV92">
            <v>0</v>
          </cell>
          <cell r="AW92">
            <v>45917</v>
          </cell>
          <cell r="AX92">
            <v>45917</v>
          </cell>
          <cell r="AY92">
            <v>45917</v>
          </cell>
          <cell r="BC92" t="str">
            <v>NFT-/XUTR/DEUTH025260A0NZCX</v>
          </cell>
          <cell r="BD92" t="str">
            <v>NFT-/XUTR/DEUTH025260A0NZCX</v>
          </cell>
          <cell r="BE92" t="str">
            <v>NFT-/XUTR/DEUTH025260A0NZCX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3231.25</v>
          </cell>
          <cell r="BP92">
            <v>12</v>
          </cell>
          <cell r="BQ92">
            <v>0</v>
          </cell>
          <cell r="BR92">
            <v>0</v>
          </cell>
          <cell r="BS92">
            <v>0</v>
          </cell>
          <cell r="BT92">
            <v>0.5</v>
          </cell>
          <cell r="BU92">
            <v>0</v>
          </cell>
          <cell r="BV92">
            <v>0</v>
          </cell>
          <cell r="BW92">
            <v>0.1</v>
          </cell>
          <cell r="BX92" t="str">
            <v>Tiny Kingdom</v>
          </cell>
          <cell r="BY92" t="str">
            <v>Girls</v>
          </cell>
          <cell r="BZ92" t="str">
            <v>External</v>
          </cell>
          <cell r="CA92" t="str">
            <v>Clothing Set</v>
          </cell>
          <cell r="CB92" t="str">
            <v>ON_HAND</v>
          </cell>
          <cell r="CC92" t="b">
            <v>0</v>
          </cell>
          <cell r="CD92" t="str">
            <v>**********</v>
          </cell>
          <cell r="CE92">
            <v>834003</v>
          </cell>
          <cell r="CF92" t="str">
            <v>27AXUPC8425A1ZH</v>
          </cell>
          <cell r="CH92" t="str">
            <v>29AAECM9636P1ZJ</v>
          </cell>
          <cell r="CI92" t="str">
            <v>Mumbai</v>
          </cell>
          <cell r="CJ92">
            <v>400013</v>
          </cell>
          <cell r="CK92" t="str">
            <v>maharashtra</v>
          </cell>
          <cell r="CL92" t="str">
            <v>MH</v>
          </cell>
          <cell r="CN92">
            <v>0</v>
          </cell>
          <cell r="CO92">
            <v>896.78800000000001</v>
          </cell>
          <cell r="CP92">
            <v>896.78800000000001</v>
          </cell>
          <cell r="CQ92">
            <v>0</v>
          </cell>
          <cell r="CR92">
            <v>0</v>
          </cell>
          <cell r="CS92">
            <v>0</v>
          </cell>
          <cell r="CT92">
            <v>675</v>
          </cell>
          <cell r="CU92">
            <v>3.2312500000000002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E92" t="str">
            <v>4d91f1ab-484b-420a-9d89-580c4d9ab35e</v>
          </cell>
          <cell r="DF92">
            <v>100075000000</v>
          </cell>
          <cell r="DG92">
            <v>16.155999999999999</v>
          </cell>
          <cell r="DH92">
            <v>0</v>
          </cell>
          <cell r="DI92">
            <v>3.2309999999999999</v>
          </cell>
          <cell r="DJ92">
            <v>0</v>
          </cell>
          <cell r="DK92" t="str">
            <v>BRONZE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 t="str">
            <v>NA</v>
          </cell>
          <cell r="DU92" t="str">
            <v>NA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-2899.8850000000002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 t="str">
            <v>Settled</v>
          </cell>
          <cell r="FH92">
            <v>3825</v>
          </cell>
          <cell r="FI92">
            <v>2899.8850000000002</v>
          </cell>
          <cell r="FJ92">
            <v>916.17499999999995</v>
          </cell>
          <cell r="FK92">
            <v>197.06</v>
          </cell>
        </row>
        <row r="93">
          <cell r="A93">
            <v>8643430474</v>
          </cell>
          <cell r="B93">
            <v>10643354890</v>
          </cell>
          <cell r="C93" t="str">
            <v>return_refund</v>
          </cell>
          <cell r="D93">
            <v>45905.695833333331</v>
          </cell>
          <cell r="E93">
            <v>45902.448611111111</v>
          </cell>
          <cell r="G93" t="str">
            <v>Myntra Designs Pvt Ltd</v>
          </cell>
          <cell r="H93" t="str">
            <v>TNBYCLST112438355</v>
          </cell>
          <cell r="I93" t="str">
            <v>\I2726TK000002715\""</v>
          </cell>
          <cell r="J93">
            <v>9762044759</v>
          </cell>
          <cell r="K93">
            <v>62042300</v>
          </cell>
          <cell r="L93" t="str">
            <v>Apparel</v>
          </cell>
          <cell r="M93" t="str">
            <v>INR</v>
          </cell>
          <cell r="N93">
            <v>1629</v>
          </cell>
          <cell r="O93">
            <v>0</v>
          </cell>
          <cell r="P93">
            <v>1629</v>
          </cell>
          <cell r="Q93">
            <v>2000</v>
          </cell>
          <cell r="R93">
            <v>200</v>
          </cell>
          <cell r="S93" t="str">
            <v>Intra-State</v>
          </cell>
          <cell r="T93">
            <v>12</v>
          </cell>
          <cell r="U93">
            <v>0</v>
          </cell>
          <cell r="V93">
            <v>87.27</v>
          </cell>
          <cell r="W93">
            <v>87.27</v>
          </cell>
          <cell r="X93">
            <v>7.2720000000000002</v>
          </cell>
          <cell r="Y93">
            <v>1.454</v>
          </cell>
          <cell r="AA93">
            <v>0</v>
          </cell>
          <cell r="AB93">
            <v>422.88799999999998</v>
          </cell>
          <cell r="AC93">
            <v>422.88799999999998</v>
          </cell>
          <cell r="AD93">
            <v>431.61399999999998</v>
          </cell>
          <cell r="AE93">
            <v>-107.38</v>
          </cell>
          <cell r="AF93">
            <v>91</v>
          </cell>
          <cell r="AG93">
            <v>0</v>
          </cell>
          <cell r="AH93">
            <v>0</v>
          </cell>
          <cell r="AI93">
            <v>0</v>
          </cell>
          <cell r="AJ93">
            <v>16.38</v>
          </cell>
          <cell r="AK93">
            <v>1</v>
          </cell>
          <cell r="AL93" t="str">
            <v>LOCAL</v>
          </cell>
          <cell r="AM93">
            <v>1800</v>
          </cell>
          <cell r="AN93">
            <v>-1304.7660000000001</v>
          </cell>
          <cell r="AO93">
            <v>-1304.7660000000001</v>
          </cell>
          <cell r="AP93">
            <v>0</v>
          </cell>
          <cell r="AQ93">
            <v>431.61399999999998</v>
          </cell>
          <cell r="AR93">
            <v>-107.38</v>
          </cell>
          <cell r="AS93">
            <v>-1629</v>
          </cell>
          <cell r="AV93">
            <v>0</v>
          </cell>
          <cell r="AW93">
            <v>45918</v>
          </cell>
          <cell r="AX93">
            <v>45918</v>
          </cell>
          <cell r="AY93">
            <v>45918</v>
          </cell>
          <cell r="BC93" t="str">
            <v>NFT-/XUTR/DEUTH02526109557X</v>
          </cell>
          <cell r="BD93" t="str">
            <v>NFT-/XUTR/DEUTH02526109557X</v>
          </cell>
          <cell r="BE93" t="str">
            <v>NFT-/XUTR/DEUTH02526109557X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1454.46</v>
          </cell>
          <cell r="BP93">
            <v>0</v>
          </cell>
          <cell r="BQ93">
            <v>6</v>
          </cell>
          <cell r="BR93">
            <v>6</v>
          </cell>
          <cell r="BS93">
            <v>0</v>
          </cell>
          <cell r="BT93">
            <v>0</v>
          </cell>
          <cell r="BU93">
            <v>0.25</v>
          </cell>
          <cell r="BV93">
            <v>0.25</v>
          </cell>
          <cell r="BW93">
            <v>0.1</v>
          </cell>
          <cell r="BX93" t="str">
            <v>Tiny Baby</v>
          </cell>
          <cell r="BY93" t="str">
            <v>Girls</v>
          </cell>
          <cell r="BZ93" t="str">
            <v>External</v>
          </cell>
          <cell r="CA93" t="str">
            <v>Jumpsuit</v>
          </cell>
          <cell r="CB93" t="str">
            <v>ON_HAND</v>
          </cell>
          <cell r="CC93" t="b">
            <v>0</v>
          </cell>
          <cell r="CD93" t="str">
            <v>**********</v>
          </cell>
          <cell r="CE93">
            <v>400709</v>
          </cell>
          <cell r="CF93" t="str">
            <v>27AXUPC8425A1ZH</v>
          </cell>
          <cell r="CH93" t="str">
            <v>29AAECM9636P1ZJ</v>
          </cell>
          <cell r="CI93" t="str">
            <v>Mumbai</v>
          </cell>
          <cell r="CJ93">
            <v>400013</v>
          </cell>
          <cell r="CK93" t="str">
            <v>maharashtra</v>
          </cell>
          <cell r="CL93" t="str">
            <v>MH</v>
          </cell>
          <cell r="CN93">
            <v>0</v>
          </cell>
          <cell r="CO93">
            <v>422.88799999999998</v>
          </cell>
          <cell r="CP93">
            <v>422.88799999999998</v>
          </cell>
          <cell r="CQ93">
            <v>0</v>
          </cell>
          <cell r="CR93">
            <v>0</v>
          </cell>
          <cell r="CS93">
            <v>0</v>
          </cell>
          <cell r="CT93">
            <v>200</v>
          </cell>
          <cell r="CU93">
            <v>1.4544600000000001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E93" t="str">
            <v>d06d6674-c956-4eb6-b839-6056de4c66ec</v>
          </cell>
          <cell r="DF93">
            <v>100075000000</v>
          </cell>
          <cell r="DG93">
            <v>7.2720000000000002</v>
          </cell>
          <cell r="DH93">
            <v>0</v>
          </cell>
          <cell r="DI93">
            <v>1.454</v>
          </cell>
          <cell r="DJ93">
            <v>0</v>
          </cell>
          <cell r="DK93" t="str">
            <v>BRONZE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 t="str">
            <v>NA</v>
          </cell>
          <cell r="DU93" t="str">
            <v>NA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-1304.7660000000001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 t="str">
            <v>Settled</v>
          </cell>
          <cell r="FH93">
            <v>1800</v>
          </cell>
          <cell r="FI93">
            <v>1304.7660000000001</v>
          </cell>
          <cell r="FJ93">
            <v>431.61399999999998</v>
          </cell>
          <cell r="FK93">
            <v>107.38</v>
          </cell>
        </row>
        <row r="94">
          <cell r="A94">
            <v>8658713369</v>
          </cell>
          <cell r="B94">
            <v>10658637472</v>
          </cell>
          <cell r="C94" t="str">
            <v>return_refund</v>
          </cell>
          <cell r="D94">
            <v>45917.338194444441</v>
          </cell>
          <cell r="E94">
            <v>45910.459722222222</v>
          </cell>
          <cell r="G94" t="str">
            <v>Myntra Designs Pvt Ltd</v>
          </cell>
          <cell r="H94" t="str">
            <v>BETYDRSS93852532</v>
          </cell>
          <cell r="I94" t="str">
            <v>\I2726TK000002834\""</v>
          </cell>
          <cell r="J94">
            <v>8658713369</v>
          </cell>
          <cell r="K94">
            <v>62042300</v>
          </cell>
          <cell r="L94" t="str">
            <v>Apparel</v>
          </cell>
          <cell r="M94" t="str">
            <v>INR</v>
          </cell>
          <cell r="N94">
            <v>3644</v>
          </cell>
          <cell r="O94">
            <v>0</v>
          </cell>
          <cell r="P94">
            <v>3644</v>
          </cell>
          <cell r="Q94">
            <v>5500</v>
          </cell>
          <cell r="R94">
            <v>1650</v>
          </cell>
          <cell r="S94" t="str">
            <v>Intra-State</v>
          </cell>
          <cell r="T94">
            <v>12</v>
          </cell>
          <cell r="U94">
            <v>0</v>
          </cell>
          <cell r="V94">
            <v>195.21</v>
          </cell>
          <cell r="W94">
            <v>195.21</v>
          </cell>
          <cell r="X94">
            <v>16.268000000000001</v>
          </cell>
          <cell r="Y94">
            <v>3.254</v>
          </cell>
          <cell r="AA94">
            <v>0</v>
          </cell>
          <cell r="AB94">
            <v>1160.9780000000001</v>
          </cell>
          <cell r="AC94">
            <v>1160.9780000000001</v>
          </cell>
          <cell r="AD94">
            <v>1180.5</v>
          </cell>
          <cell r="AE94">
            <v>-107.38</v>
          </cell>
          <cell r="AF94">
            <v>91</v>
          </cell>
          <cell r="AG94">
            <v>0</v>
          </cell>
          <cell r="AH94">
            <v>0</v>
          </cell>
          <cell r="AI94">
            <v>0</v>
          </cell>
          <cell r="AJ94">
            <v>16.38</v>
          </cell>
          <cell r="AK94">
            <v>1</v>
          </cell>
          <cell r="AL94" t="str">
            <v>LOCAL</v>
          </cell>
          <cell r="AM94">
            <v>3850</v>
          </cell>
          <cell r="AN94">
            <v>-2570.88</v>
          </cell>
          <cell r="AO94">
            <v>-2570.88</v>
          </cell>
          <cell r="AP94">
            <v>0</v>
          </cell>
          <cell r="AQ94">
            <v>1180.5</v>
          </cell>
          <cell r="AR94">
            <v>-107.38</v>
          </cell>
          <cell r="AS94">
            <v>-3644</v>
          </cell>
          <cell r="AV94">
            <v>0</v>
          </cell>
          <cell r="AW94">
            <v>45926</v>
          </cell>
          <cell r="AX94">
            <v>45926</v>
          </cell>
          <cell r="AY94">
            <v>45926</v>
          </cell>
          <cell r="BC94" t="str">
            <v>NFT-/XUTR/DEUTH02526963643X</v>
          </cell>
          <cell r="BD94" t="str">
            <v>NFT-/XUTR/DEUTH02526963643X</v>
          </cell>
          <cell r="BE94" t="str">
            <v>NFT-/XUTR/DEUTH02526963643X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3253.58</v>
          </cell>
          <cell r="BP94">
            <v>0</v>
          </cell>
          <cell r="BQ94">
            <v>6</v>
          </cell>
          <cell r="BR94">
            <v>6</v>
          </cell>
          <cell r="BS94">
            <v>0</v>
          </cell>
          <cell r="BT94">
            <v>0</v>
          </cell>
          <cell r="BU94">
            <v>0.25</v>
          </cell>
          <cell r="BV94">
            <v>0.25</v>
          </cell>
          <cell r="BW94">
            <v>0.1</v>
          </cell>
          <cell r="BX94" t="str">
            <v>BETTY</v>
          </cell>
          <cell r="BY94" t="str">
            <v>Girls</v>
          </cell>
          <cell r="BZ94" t="str">
            <v>External</v>
          </cell>
          <cell r="CA94" t="str">
            <v>Dresses</v>
          </cell>
          <cell r="CB94" t="str">
            <v>ON_HAND</v>
          </cell>
          <cell r="CC94" t="b">
            <v>0</v>
          </cell>
          <cell r="CD94" t="str">
            <v>**********</v>
          </cell>
          <cell r="CE94">
            <v>400077</v>
          </cell>
          <cell r="CF94" t="str">
            <v>27AXUPC8425A1ZH</v>
          </cell>
          <cell r="CH94" t="str">
            <v>29AAECM9636P1ZJ</v>
          </cell>
          <cell r="CI94" t="str">
            <v>Mumbai</v>
          </cell>
          <cell r="CJ94">
            <v>400013</v>
          </cell>
          <cell r="CK94" t="str">
            <v>maharashtra</v>
          </cell>
          <cell r="CL94" t="str">
            <v>MH</v>
          </cell>
          <cell r="CN94">
            <v>0</v>
          </cell>
          <cell r="CO94">
            <v>1160.9780000000001</v>
          </cell>
          <cell r="CP94">
            <v>1160.9780000000001</v>
          </cell>
          <cell r="CQ94">
            <v>0</v>
          </cell>
          <cell r="CR94">
            <v>0</v>
          </cell>
          <cell r="CS94">
            <v>0</v>
          </cell>
          <cell r="CT94">
            <v>1650</v>
          </cell>
          <cell r="CU94">
            <v>3.2535799999999999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E94" t="str">
            <v>0c8c2224-3746-49c6-9fec-02bdc7ac76b3</v>
          </cell>
          <cell r="DF94">
            <v>100079000000</v>
          </cell>
          <cell r="DG94">
            <v>16.268000000000001</v>
          </cell>
          <cell r="DH94">
            <v>0</v>
          </cell>
          <cell r="DI94">
            <v>3.254</v>
          </cell>
          <cell r="DJ94">
            <v>0</v>
          </cell>
          <cell r="DK94" t="str">
            <v>BRONZE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 t="str">
            <v>NA</v>
          </cell>
          <cell r="DU94" t="str">
            <v>NA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-2570.88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 t="str">
            <v>Settled</v>
          </cell>
          <cell r="FH94">
            <v>3850</v>
          </cell>
          <cell r="FI94">
            <v>2570.88</v>
          </cell>
          <cell r="FJ94">
            <v>1180.5</v>
          </cell>
          <cell r="FK94">
            <v>107.38</v>
          </cell>
        </row>
        <row r="95">
          <cell r="A95">
            <v>8637560672</v>
          </cell>
          <cell r="B95">
            <v>10637485200</v>
          </cell>
          <cell r="C95" t="str">
            <v>return_refund</v>
          </cell>
          <cell r="D95">
            <v>45904.635416666664</v>
          </cell>
          <cell r="E95">
            <v>45898.775000000001</v>
          </cell>
          <cell r="G95" t="str">
            <v>Myntra Designs Pvt Ltd</v>
          </cell>
          <cell r="H95" t="str">
            <v>TIKILHNC96926306</v>
          </cell>
          <cell r="I95" t="str">
            <v>\I2726TK000002653\""</v>
          </cell>
          <cell r="J95">
            <v>8637560672</v>
          </cell>
          <cell r="K95">
            <v>62042300</v>
          </cell>
          <cell r="L95" t="str">
            <v>Apparel</v>
          </cell>
          <cell r="M95" t="str">
            <v>INR</v>
          </cell>
          <cell r="N95">
            <v>1794</v>
          </cell>
          <cell r="O95">
            <v>0</v>
          </cell>
          <cell r="P95">
            <v>1794</v>
          </cell>
          <cell r="Q95">
            <v>4000</v>
          </cell>
          <cell r="R95">
            <v>2000</v>
          </cell>
          <cell r="S95" t="str">
            <v>Inter-State</v>
          </cell>
          <cell r="T95">
            <v>12</v>
          </cell>
          <cell r="U95">
            <v>192.21</v>
          </cell>
          <cell r="V95">
            <v>0</v>
          </cell>
          <cell r="W95">
            <v>0</v>
          </cell>
          <cell r="X95">
            <v>8.0090000000000003</v>
          </cell>
          <cell r="Y95">
            <v>1.6020000000000001</v>
          </cell>
          <cell r="AA95">
            <v>0</v>
          </cell>
          <cell r="AB95">
            <v>444.553</v>
          </cell>
          <cell r="AC95">
            <v>444.553</v>
          </cell>
          <cell r="AD95">
            <v>454.16399999999999</v>
          </cell>
          <cell r="AE95">
            <v>-132.16</v>
          </cell>
          <cell r="AF95">
            <v>112</v>
          </cell>
          <cell r="AG95">
            <v>0</v>
          </cell>
          <cell r="AH95">
            <v>0</v>
          </cell>
          <cell r="AI95">
            <v>0</v>
          </cell>
          <cell r="AJ95">
            <v>20.16</v>
          </cell>
          <cell r="AK95">
            <v>1</v>
          </cell>
          <cell r="AL95" t="str">
            <v>ZONAL</v>
          </cell>
          <cell r="AM95">
            <v>2000</v>
          </cell>
          <cell r="AN95">
            <v>-1471.9960000000001</v>
          </cell>
          <cell r="AO95">
            <v>-1471.9960000000001</v>
          </cell>
          <cell r="AP95">
            <v>0</v>
          </cell>
          <cell r="AQ95">
            <v>454.16399999999999</v>
          </cell>
          <cell r="AR95">
            <v>-132.16</v>
          </cell>
          <cell r="AS95">
            <v>-1794</v>
          </cell>
          <cell r="AV95">
            <v>0</v>
          </cell>
          <cell r="AW95">
            <v>45916</v>
          </cell>
          <cell r="AX95">
            <v>45916</v>
          </cell>
          <cell r="AY95">
            <v>45916</v>
          </cell>
          <cell r="BC95" t="str">
            <v>NFT-/XUTR/DEUTH02525924409X</v>
          </cell>
          <cell r="BD95" t="str">
            <v>NFT-/XUTR/DEUTH02525924409X</v>
          </cell>
          <cell r="BE95" t="str">
            <v>NFT-/XUTR/DEUTH02525924409X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1601.79</v>
          </cell>
          <cell r="BP95">
            <v>12</v>
          </cell>
          <cell r="BQ95">
            <v>0</v>
          </cell>
          <cell r="BR95">
            <v>0</v>
          </cell>
          <cell r="BS95">
            <v>0</v>
          </cell>
          <cell r="BT95">
            <v>0.5</v>
          </cell>
          <cell r="BU95">
            <v>0</v>
          </cell>
          <cell r="BV95">
            <v>0</v>
          </cell>
          <cell r="BW95">
            <v>0.1</v>
          </cell>
          <cell r="BX95" t="str">
            <v>Tiny Kingdom</v>
          </cell>
          <cell r="BY95" t="str">
            <v>Girls</v>
          </cell>
          <cell r="BZ95" t="str">
            <v>External</v>
          </cell>
          <cell r="CA95" t="str">
            <v>Lehenga Choli</v>
          </cell>
          <cell r="CB95" t="str">
            <v>ON_HAND</v>
          </cell>
          <cell r="CC95" t="b">
            <v>0</v>
          </cell>
          <cell r="CD95" t="str">
            <v>**********</v>
          </cell>
          <cell r="CE95">
            <v>560037</v>
          </cell>
          <cell r="CF95" t="str">
            <v>27AXUPC8425A1ZH</v>
          </cell>
          <cell r="CH95" t="str">
            <v>29AAECM9636P1ZJ</v>
          </cell>
          <cell r="CI95" t="str">
            <v>Mumbai</v>
          </cell>
          <cell r="CJ95">
            <v>400013</v>
          </cell>
          <cell r="CK95" t="str">
            <v>maharashtra</v>
          </cell>
          <cell r="CL95" t="str">
            <v>MH</v>
          </cell>
          <cell r="CN95">
            <v>0</v>
          </cell>
          <cell r="CO95">
            <v>444.553</v>
          </cell>
          <cell r="CP95">
            <v>444.553</v>
          </cell>
          <cell r="CQ95">
            <v>0</v>
          </cell>
          <cell r="CR95">
            <v>0</v>
          </cell>
          <cell r="CS95">
            <v>0</v>
          </cell>
          <cell r="CT95">
            <v>2000</v>
          </cell>
          <cell r="CU95">
            <v>1.60179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E95" t="str">
            <v>b5511c5a-c230-4f19-8158-e0a4e3ad7b98</v>
          </cell>
          <cell r="DF95">
            <v>100075000000</v>
          </cell>
          <cell r="DG95">
            <v>8.0090000000000003</v>
          </cell>
          <cell r="DH95">
            <v>0</v>
          </cell>
          <cell r="DI95">
            <v>1.6020000000000001</v>
          </cell>
          <cell r="DJ95">
            <v>0</v>
          </cell>
          <cell r="DK95" t="str">
            <v>BRONZE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 t="str">
            <v>NA</v>
          </cell>
          <cell r="DU95" t="str">
            <v>NA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-1471.9960000000001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 t="str">
            <v>Settled</v>
          </cell>
          <cell r="FH95">
            <v>2000</v>
          </cell>
          <cell r="FI95">
            <v>1471.9960000000001</v>
          </cell>
          <cell r="FJ95">
            <v>454.16399999999999</v>
          </cell>
          <cell r="FK95">
            <v>132.16</v>
          </cell>
        </row>
        <row r="96">
          <cell r="A96">
            <v>8616196476</v>
          </cell>
          <cell r="B96">
            <v>10616121871</v>
          </cell>
          <cell r="C96" t="str">
            <v>return_refund</v>
          </cell>
          <cell r="D96">
            <v>45894.668749999997</v>
          </cell>
          <cell r="E96">
            <v>45883.446527777778</v>
          </cell>
          <cell r="G96" t="str">
            <v>Myntra Designs Pvt Ltd</v>
          </cell>
          <cell r="H96" t="str">
            <v>TIKICLST113026296</v>
          </cell>
          <cell r="I96" t="str">
            <v>\I2726TK000002426\""</v>
          </cell>
          <cell r="J96">
            <v>8616196476</v>
          </cell>
          <cell r="K96">
            <v>62042300</v>
          </cell>
          <cell r="L96" t="str">
            <v>Apparel</v>
          </cell>
          <cell r="M96" t="str">
            <v>INR</v>
          </cell>
          <cell r="N96">
            <v>3394</v>
          </cell>
          <cell r="O96">
            <v>0</v>
          </cell>
          <cell r="P96">
            <v>3394</v>
          </cell>
          <cell r="Q96">
            <v>4000</v>
          </cell>
          <cell r="R96">
            <v>400</v>
          </cell>
          <cell r="S96" t="str">
            <v>Inter-State</v>
          </cell>
          <cell r="T96">
            <v>12</v>
          </cell>
          <cell r="U96">
            <v>363.64</v>
          </cell>
          <cell r="V96">
            <v>0</v>
          </cell>
          <cell r="W96">
            <v>0</v>
          </cell>
          <cell r="X96">
            <v>15.151999999999999</v>
          </cell>
          <cell r="Y96">
            <v>3.03</v>
          </cell>
          <cell r="AA96">
            <v>0</v>
          </cell>
          <cell r="AB96">
            <v>841.03300000000002</v>
          </cell>
          <cell r="AC96">
            <v>841.03300000000002</v>
          </cell>
          <cell r="AD96">
            <v>859.21500000000003</v>
          </cell>
          <cell r="AE96">
            <v>-197.06</v>
          </cell>
          <cell r="AF96">
            <v>167</v>
          </cell>
          <cell r="AG96">
            <v>0</v>
          </cell>
          <cell r="AH96">
            <v>0</v>
          </cell>
          <cell r="AI96">
            <v>0</v>
          </cell>
          <cell r="AJ96">
            <v>30.06</v>
          </cell>
          <cell r="AK96">
            <v>1</v>
          </cell>
          <cell r="AL96" t="str">
            <v>NATIONAL</v>
          </cell>
          <cell r="AM96">
            <v>3600</v>
          </cell>
          <cell r="AN96">
            <v>-2731.8449999999998</v>
          </cell>
          <cell r="AO96">
            <v>-2731.8449999999998</v>
          </cell>
          <cell r="AP96">
            <v>0</v>
          </cell>
          <cell r="AQ96">
            <v>859.21500000000003</v>
          </cell>
          <cell r="AR96">
            <v>-197.06</v>
          </cell>
          <cell r="AS96">
            <v>-3394</v>
          </cell>
          <cell r="AV96">
            <v>0</v>
          </cell>
          <cell r="AW96">
            <v>45903</v>
          </cell>
          <cell r="AX96">
            <v>45903</v>
          </cell>
          <cell r="AY96">
            <v>45903</v>
          </cell>
          <cell r="BC96" t="str">
            <v>NFT-/XUTR/DEUTH025246A0T5UX</v>
          </cell>
          <cell r="BD96" t="str">
            <v>NFT-/XUTR/DEUTH025246A0T5UX</v>
          </cell>
          <cell r="BE96" t="str">
            <v>NFT-/XUTR/DEUTH025246A0T5UX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3030.36</v>
          </cell>
          <cell r="BP96">
            <v>12</v>
          </cell>
          <cell r="BQ96">
            <v>0</v>
          </cell>
          <cell r="BR96">
            <v>0</v>
          </cell>
          <cell r="BS96">
            <v>0</v>
          </cell>
          <cell r="BT96">
            <v>0.5</v>
          </cell>
          <cell r="BU96">
            <v>0</v>
          </cell>
          <cell r="BV96">
            <v>0</v>
          </cell>
          <cell r="BW96">
            <v>0.1</v>
          </cell>
          <cell r="BX96" t="str">
            <v>Tiny Kingdom</v>
          </cell>
          <cell r="BY96" t="str">
            <v>Girls</v>
          </cell>
          <cell r="BZ96" t="str">
            <v>External</v>
          </cell>
          <cell r="CA96" t="str">
            <v>Clothing Set</v>
          </cell>
          <cell r="CB96" t="str">
            <v>ON_HAND</v>
          </cell>
          <cell r="CC96" t="b">
            <v>0</v>
          </cell>
          <cell r="CD96" t="str">
            <v>**********</v>
          </cell>
          <cell r="CE96">
            <v>132113</v>
          </cell>
          <cell r="CF96" t="str">
            <v>27AXUPC8425A1ZH</v>
          </cell>
          <cell r="CH96" t="str">
            <v>29AAECM9636P1ZJ</v>
          </cell>
          <cell r="CI96" t="str">
            <v>Mumbai</v>
          </cell>
          <cell r="CJ96">
            <v>400013</v>
          </cell>
          <cell r="CK96" t="str">
            <v>maharashtra</v>
          </cell>
          <cell r="CL96" t="str">
            <v>MH</v>
          </cell>
          <cell r="CN96">
            <v>0</v>
          </cell>
          <cell r="CO96">
            <v>841.03300000000002</v>
          </cell>
          <cell r="CP96">
            <v>841.03300000000002</v>
          </cell>
          <cell r="CQ96">
            <v>0</v>
          </cell>
          <cell r="CR96">
            <v>0</v>
          </cell>
          <cell r="CS96">
            <v>0</v>
          </cell>
          <cell r="CT96">
            <v>400</v>
          </cell>
          <cell r="CU96">
            <v>3.0303599999999999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E96" t="str">
            <v>e843d6b5-3fb7-49cb-b3ef-ba9bb2f9419a</v>
          </cell>
          <cell r="DF96">
            <v>100073000000</v>
          </cell>
          <cell r="DG96">
            <v>15.151999999999999</v>
          </cell>
          <cell r="DH96">
            <v>0</v>
          </cell>
          <cell r="DI96">
            <v>3.03</v>
          </cell>
          <cell r="DJ96">
            <v>0</v>
          </cell>
          <cell r="DK96" t="str">
            <v>BRONZE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 t="str">
            <v>NA</v>
          </cell>
          <cell r="DU96" t="str">
            <v>NA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EB96">
            <v>0</v>
          </cell>
          <cell r="EC96">
            <v>0</v>
          </cell>
          <cell r="ED96">
            <v>-2731.8449999999998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 t="str">
            <v>Settled</v>
          </cell>
          <cell r="FH96">
            <v>3600</v>
          </cell>
          <cell r="FI96">
            <v>2731.8449999999998</v>
          </cell>
          <cell r="FJ96">
            <v>859.21500000000003</v>
          </cell>
          <cell r="FK96">
            <v>197.06</v>
          </cell>
        </row>
        <row r="97">
          <cell r="A97">
            <v>8610375507</v>
          </cell>
          <cell r="B97">
            <v>10610301197</v>
          </cell>
          <cell r="C97" t="str">
            <v>return_refund</v>
          </cell>
          <cell r="D97">
            <v>45888.588194444441</v>
          </cell>
          <cell r="E97">
            <v>45880.458333333336</v>
          </cell>
          <cell r="G97" t="str">
            <v>Myntra Designs Pvt Ltd</v>
          </cell>
          <cell r="H97" t="str">
            <v>BETYDRSS89528540</v>
          </cell>
          <cell r="I97" t="str">
            <v>\I2726TK000002364\""</v>
          </cell>
          <cell r="J97">
            <v>8610375507</v>
          </cell>
          <cell r="K97">
            <v>62042300</v>
          </cell>
          <cell r="L97" t="str">
            <v>Apparel</v>
          </cell>
          <cell r="M97" t="str">
            <v>INR</v>
          </cell>
          <cell r="N97">
            <v>2294</v>
          </cell>
          <cell r="O97">
            <v>0</v>
          </cell>
          <cell r="P97">
            <v>2293.98</v>
          </cell>
          <cell r="Q97">
            <v>5000</v>
          </cell>
          <cell r="R97">
            <v>2500</v>
          </cell>
          <cell r="S97" t="str">
            <v>Inter-State</v>
          </cell>
          <cell r="T97">
            <v>12</v>
          </cell>
          <cell r="U97">
            <v>245.79</v>
          </cell>
          <cell r="V97">
            <v>0</v>
          </cell>
          <cell r="W97">
            <v>0</v>
          </cell>
          <cell r="X97">
            <v>10.241</v>
          </cell>
          <cell r="Y97">
            <v>2.048</v>
          </cell>
          <cell r="AA97">
            <v>0</v>
          </cell>
          <cell r="AB97">
            <v>730.86199999999997</v>
          </cell>
          <cell r="AC97">
            <v>730.86199999999997</v>
          </cell>
          <cell r="AD97">
            <v>743.15099999999995</v>
          </cell>
          <cell r="AE97">
            <v>-197.06</v>
          </cell>
          <cell r="AF97">
            <v>167</v>
          </cell>
          <cell r="AG97">
            <v>0</v>
          </cell>
          <cell r="AH97">
            <v>0</v>
          </cell>
          <cell r="AI97">
            <v>0</v>
          </cell>
          <cell r="AJ97">
            <v>30.06</v>
          </cell>
          <cell r="AK97">
            <v>1</v>
          </cell>
          <cell r="AL97" t="str">
            <v>NATIONAL</v>
          </cell>
          <cell r="AM97">
            <v>2500</v>
          </cell>
          <cell r="AN97">
            <v>-1747.8889999999999</v>
          </cell>
          <cell r="AO97">
            <v>-1747.8889999999999</v>
          </cell>
          <cell r="AP97">
            <v>0</v>
          </cell>
          <cell r="AQ97">
            <v>743.15099999999995</v>
          </cell>
          <cell r="AR97">
            <v>-197.06</v>
          </cell>
          <cell r="AS97">
            <v>-2293.98</v>
          </cell>
          <cell r="AV97">
            <v>0</v>
          </cell>
          <cell r="AW97">
            <v>45901</v>
          </cell>
          <cell r="AX97">
            <v>45901</v>
          </cell>
          <cell r="AY97">
            <v>45901</v>
          </cell>
          <cell r="BC97" t="str">
            <v>NFT-/XUTR/DEUTH025244A0LW1X</v>
          </cell>
          <cell r="BD97" t="str">
            <v>NFT-/XUTR/DEUTH025244A0LW1X</v>
          </cell>
          <cell r="BE97" t="str">
            <v>NFT-/XUTR/DEUTH025244A0LW1X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2048.21</v>
          </cell>
          <cell r="BP97">
            <v>12</v>
          </cell>
          <cell r="BQ97">
            <v>0</v>
          </cell>
          <cell r="BR97">
            <v>0</v>
          </cell>
          <cell r="BS97">
            <v>0</v>
          </cell>
          <cell r="BT97">
            <v>0.5</v>
          </cell>
          <cell r="BU97">
            <v>0</v>
          </cell>
          <cell r="BV97">
            <v>0</v>
          </cell>
          <cell r="BW97">
            <v>0.1</v>
          </cell>
          <cell r="BX97" t="str">
            <v>BETTY</v>
          </cell>
          <cell r="BY97" t="str">
            <v>Girls</v>
          </cell>
          <cell r="BZ97" t="str">
            <v>External</v>
          </cell>
          <cell r="CA97" t="str">
            <v>Dresses</v>
          </cell>
          <cell r="CB97" t="str">
            <v>ON_HAND</v>
          </cell>
          <cell r="CC97" t="b">
            <v>0</v>
          </cell>
          <cell r="CD97" t="str">
            <v>**********</v>
          </cell>
          <cell r="CE97">
            <v>800013</v>
          </cell>
          <cell r="CF97" t="str">
            <v>27AXUPC8425A1ZH</v>
          </cell>
          <cell r="CH97" t="str">
            <v>29AAECM9636P1ZJ</v>
          </cell>
          <cell r="CI97" t="str">
            <v>Mumbai</v>
          </cell>
          <cell r="CJ97">
            <v>400013</v>
          </cell>
          <cell r="CK97" t="str">
            <v>maharashtra</v>
          </cell>
          <cell r="CL97" t="str">
            <v>MH</v>
          </cell>
          <cell r="CN97">
            <v>0</v>
          </cell>
          <cell r="CO97">
            <v>730.86199999999997</v>
          </cell>
          <cell r="CP97">
            <v>730.86199999999997</v>
          </cell>
          <cell r="CQ97">
            <v>0</v>
          </cell>
          <cell r="CR97">
            <v>0</v>
          </cell>
          <cell r="CS97">
            <v>0</v>
          </cell>
          <cell r="CT97">
            <v>2500</v>
          </cell>
          <cell r="CU97">
            <v>2.0482100000000001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E97" t="str">
            <v>601cce85-b905-4f58-886c-0f795bc20351</v>
          </cell>
          <cell r="DF97">
            <v>100071000000</v>
          </cell>
          <cell r="DG97">
            <v>10.241</v>
          </cell>
          <cell r="DH97">
            <v>0</v>
          </cell>
          <cell r="DI97">
            <v>2.048</v>
          </cell>
          <cell r="DJ97">
            <v>0</v>
          </cell>
          <cell r="DK97" t="str">
            <v>BRONZE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 t="str">
            <v>NA</v>
          </cell>
          <cell r="DU97" t="str">
            <v>NA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EB97">
            <v>-1747.8889999999999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 t="str">
            <v>Settled</v>
          </cell>
          <cell r="FH97">
            <v>2500</v>
          </cell>
          <cell r="FI97">
            <v>1747.8889999999999</v>
          </cell>
          <cell r="FJ97">
            <v>743.15099999999995</v>
          </cell>
          <cell r="FK97">
            <v>197.06</v>
          </cell>
        </row>
        <row r="98">
          <cell r="A98">
            <v>8629059218</v>
          </cell>
          <cell r="B98">
            <v>10628984043</v>
          </cell>
          <cell r="C98" t="str">
            <v>return_refund</v>
          </cell>
          <cell r="D98">
            <v>45913.530555555553</v>
          </cell>
          <cell r="E98">
            <v>45892.432638888888</v>
          </cell>
          <cell r="G98" t="str">
            <v>Myntra Designs Pvt Ltd</v>
          </cell>
          <cell r="H98" t="str">
            <v>TIKICLST103607751</v>
          </cell>
          <cell r="I98" t="str">
            <v>\I2726TK000002550\""</v>
          </cell>
          <cell r="J98">
            <v>8629059218</v>
          </cell>
          <cell r="K98">
            <v>62042300</v>
          </cell>
          <cell r="L98" t="str">
            <v>Apparel</v>
          </cell>
          <cell r="M98" t="str">
            <v>INR</v>
          </cell>
          <cell r="N98">
            <v>3169</v>
          </cell>
          <cell r="O98">
            <v>3169</v>
          </cell>
          <cell r="P98">
            <v>0</v>
          </cell>
          <cell r="Q98">
            <v>4500</v>
          </cell>
          <cell r="R98">
            <v>1125</v>
          </cell>
          <cell r="S98" t="str">
            <v>Inter-State</v>
          </cell>
          <cell r="T98">
            <v>12</v>
          </cell>
          <cell r="U98">
            <v>339.54</v>
          </cell>
          <cell r="V98">
            <v>0</v>
          </cell>
          <cell r="W98">
            <v>0</v>
          </cell>
          <cell r="X98">
            <v>14.147</v>
          </cell>
          <cell r="Y98">
            <v>2.8290000000000002</v>
          </cell>
          <cell r="AA98">
            <v>0</v>
          </cell>
          <cell r="AB98">
            <v>822.67200000000003</v>
          </cell>
          <cell r="AC98">
            <v>822.67200000000003</v>
          </cell>
          <cell r="AD98">
            <v>839.64800000000002</v>
          </cell>
          <cell r="AE98">
            <v>-197.06</v>
          </cell>
          <cell r="AF98">
            <v>167</v>
          </cell>
          <cell r="AG98">
            <v>0</v>
          </cell>
          <cell r="AH98">
            <v>0</v>
          </cell>
          <cell r="AI98">
            <v>0</v>
          </cell>
          <cell r="AJ98">
            <v>30.06</v>
          </cell>
          <cell r="AK98">
            <v>1</v>
          </cell>
          <cell r="AL98" t="str">
            <v>NATIONAL</v>
          </cell>
          <cell r="AM98">
            <v>3375</v>
          </cell>
          <cell r="AN98">
            <v>-2526.4119999999998</v>
          </cell>
          <cell r="AO98">
            <v>-2526.4119999999998</v>
          </cell>
          <cell r="AP98">
            <v>0</v>
          </cell>
          <cell r="AS98">
            <v>0</v>
          </cell>
          <cell r="AT98">
            <v>839.64800000000002</v>
          </cell>
          <cell r="AU98">
            <v>-197.06</v>
          </cell>
          <cell r="AV98">
            <v>-3169</v>
          </cell>
          <cell r="AZ98">
            <v>45915</v>
          </cell>
          <cell r="BA98">
            <v>45915</v>
          </cell>
          <cell r="BB98">
            <v>45915</v>
          </cell>
          <cell r="BF98" t="str">
            <v>NFT-/XUTR/DEUTH02525806657X</v>
          </cell>
          <cell r="BG98" t="str">
            <v>NFT-/XUTR/DEUTH02525806657X</v>
          </cell>
          <cell r="BH98" t="str">
            <v>NFT-/XUTR/DEUTH02525806657X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2829.46</v>
          </cell>
          <cell r="BP98">
            <v>12</v>
          </cell>
          <cell r="BQ98">
            <v>0</v>
          </cell>
          <cell r="BR98">
            <v>0</v>
          </cell>
          <cell r="BS98">
            <v>0</v>
          </cell>
          <cell r="BT98">
            <v>0.5</v>
          </cell>
          <cell r="BU98">
            <v>0</v>
          </cell>
          <cell r="BV98">
            <v>0</v>
          </cell>
          <cell r="BW98">
            <v>0.1</v>
          </cell>
          <cell r="BX98" t="str">
            <v>Tiny Kingdom</v>
          </cell>
          <cell r="BY98" t="str">
            <v>Girls</v>
          </cell>
          <cell r="BZ98" t="str">
            <v>External</v>
          </cell>
          <cell r="CA98" t="str">
            <v>Kurta Sets</v>
          </cell>
          <cell r="CB98" t="str">
            <v>ON_HAND</v>
          </cell>
          <cell r="CC98" t="b">
            <v>0</v>
          </cell>
          <cell r="CD98" t="str">
            <v>**********</v>
          </cell>
          <cell r="CE98">
            <v>783301</v>
          </cell>
          <cell r="CF98" t="str">
            <v>27AXUPC8425A1ZH</v>
          </cell>
          <cell r="CH98" t="str">
            <v>29AAECM9636P1ZJ</v>
          </cell>
          <cell r="CI98" t="str">
            <v>Mumbai</v>
          </cell>
          <cell r="CJ98">
            <v>400013</v>
          </cell>
          <cell r="CK98" t="str">
            <v>maharashtra</v>
          </cell>
          <cell r="CL98" t="str">
            <v>MH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W98">
            <v>0</v>
          </cell>
          <cell r="CX98">
            <v>822.67200000000003</v>
          </cell>
          <cell r="CY98">
            <v>822.67200000000003</v>
          </cell>
          <cell r="CZ98">
            <v>0</v>
          </cell>
          <cell r="DA98">
            <v>0</v>
          </cell>
          <cell r="DB98">
            <v>0</v>
          </cell>
          <cell r="DC98">
            <v>1125</v>
          </cell>
          <cell r="DD98">
            <v>2.8294600000000001</v>
          </cell>
          <cell r="DE98" t="str">
            <v>abd2202d-6a95-4ffd-bc42-da6f313b5f56</v>
          </cell>
          <cell r="DF98">
            <v>100077000000</v>
          </cell>
          <cell r="DG98">
            <v>0</v>
          </cell>
          <cell r="DH98">
            <v>14.147</v>
          </cell>
          <cell r="DI98">
            <v>0</v>
          </cell>
          <cell r="DJ98">
            <v>2.8290000000000002</v>
          </cell>
          <cell r="DK98" t="str">
            <v>BRONZE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 t="str">
            <v>NA</v>
          </cell>
          <cell r="DU98" t="str">
            <v>NA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-2526.4119999999998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 t="str">
            <v>Settled</v>
          </cell>
          <cell r="FH98">
            <v>3375</v>
          </cell>
          <cell r="FI98">
            <v>2526.4119999999998</v>
          </cell>
          <cell r="FJ98">
            <v>839.64800000000002</v>
          </cell>
          <cell r="FK98">
            <v>197.06</v>
          </cell>
        </row>
        <row r="99">
          <cell r="A99">
            <v>8613861450</v>
          </cell>
          <cell r="B99">
            <v>10613786999</v>
          </cell>
          <cell r="C99" t="str">
            <v>return_refund</v>
          </cell>
          <cell r="D99">
            <v>45892.51458333333</v>
          </cell>
          <cell r="E99">
            <v>45881.771527777775</v>
          </cell>
          <cell r="G99" t="str">
            <v>Myntra Designs Pvt Ltd</v>
          </cell>
          <cell r="H99" t="str">
            <v>TIKIDRSS106641704</v>
          </cell>
          <cell r="I99" t="str">
            <v>\I2726TK000002404\""</v>
          </cell>
          <cell r="J99">
            <v>8613861450</v>
          </cell>
          <cell r="K99">
            <v>62042300</v>
          </cell>
          <cell r="L99" t="str">
            <v>Apparel</v>
          </cell>
          <cell r="M99" t="str">
            <v>INR</v>
          </cell>
          <cell r="N99">
            <v>2606</v>
          </cell>
          <cell r="O99">
            <v>2606</v>
          </cell>
          <cell r="P99">
            <v>0</v>
          </cell>
          <cell r="Q99">
            <v>3750</v>
          </cell>
          <cell r="R99">
            <v>938</v>
          </cell>
          <cell r="S99" t="str">
            <v>Inter-State</v>
          </cell>
          <cell r="T99">
            <v>12</v>
          </cell>
          <cell r="U99">
            <v>279.20999999999998</v>
          </cell>
          <cell r="V99">
            <v>0</v>
          </cell>
          <cell r="W99">
            <v>0</v>
          </cell>
          <cell r="X99">
            <v>11.634</v>
          </cell>
          <cell r="Y99">
            <v>2.327</v>
          </cell>
          <cell r="AA99">
            <v>0</v>
          </cell>
          <cell r="AB99">
            <v>553.51400000000001</v>
          </cell>
          <cell r="AC99">
            <v>553.51400000000001</v>
          </cell>
          <cell r="AD99">
            <v>567.47500000000002</v>
          </cell>
          <cell r="AE99">
            <v>-197.06</v>
          </cell>
          <cell r="AF99">
            <v>167</v>
          </cell>
          <cell r="AG99">
            <v>0</v>
          </cell>
          <cell r="AH99">
            <v>0</v>
          </cell>
          <cell r="AI99">
            <v>0</v>
          </cell>
          <cell r="AJ99">
            <v>30.06</v>
          </cell>
          <cell r="AK99">
            <v>1</v>
          </cell>
          <cell r="AL99" t="str">
            <v>NATIONAL</v>
          </cell>
          <cell r="AM99">
            <v>2812</v>
          </cell>
          <cell r="AN99">
            <v>-2235.585</v>
          </cell>
          <cell r="AO99">
            <v>-2235.585</v>
          </cell>
          <cell r="AP99">
            <v>0</v>
          </cell>
          <cell r="AS99">
            <v>0</v>
          </cell>
          <cell r="AT99">
            <v>567.47500000000002</v>
          </cell>
          <cell r="AU99">
            <v>-197.06</v>
          </cell>
          <cell r="AV99">
            <v>-2606</v>
          </cell>
          <cell r="AZ99">
            <v>45903</v>
          </cell>
          <cell r="BA99">
            <v>45903</v>
          </cell>
          <cell r="BB99">
            <v>45903</v>
          </cell>
          <cell r="BF99" t="str">
            <v>NFT-/XUTR/DEUTH025246A0P15X</v>
          </cell>
          <cell r="BG99" t="str">
            <v>NFT-/XUTR/DEUTH025246A0P15X</v>
          </cell>
          <cell r="BH99" t="str">
            <v>NFT-/XUTR/DEUTH025246A0P15X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2326.79</v>
          </cell>
          <cell r="BP99">
            <v>12</v>
          </cell>
          <cell r="BQ99">
            <v>0</v>
          </cell>
          <cell r="BR99">
            <v>0</v>
          </cell>
          <cell r="BS99">
            <v>0</v>
          </cell>
          <cell r="BT99">
            <v>0.5</v>
          </cell>
          <cell r="BU99">
            <v>0</v>
          </cell>
          <cell r="BV99">
            <v>0</v>
          </cell>
          <cell r="BW99">
            <v>0.1</v>
          </cell>
          <cell r="BX99" t="str">
            <v>Tiny Kingdom</v>
          </cell>
          <cell r="BY99" t="str">
            <v>Girls</v>
          </cell>
          <cell r="BZ99" t="str">
            <v>External</v>
          </cell>
          <cell r="CA99" t="str">
            <v>Dresses</v>
          </cell>
          <cell r="CB99" t="str">
            <v>ON_HAND</v>
          </cell>
          <cell r="CC99" t="b">
            <v>0</v>
          </cell>
          <cell r="CD99" t="str">
            <v>**********</v>
          </cell>
          <cell r="CE99">
            <v>786125</v>
          </cell>
          <cell r="CF99" t="str">
            <v>27AXUPC8425A1ZH</v>
          </cell>
          <cell r="CH99" t="str">
            <v>29AAECM9636P1ZJ</v>
          </cell>
          <cell r="CI99" t="str">
            <v>Mumbai</v>
          </cell>
          <cell r="CJ99">
            <v>400013</v>
          </cell>
          <cell r="CK99" t="str">
            <v>maharashtra</v>
          </cell>
          <cell r="CL99" t="str">
            <v>MH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W99">
            <v>0</v>
          </cell>
          <cell r="CX99">
            <v>553.51400000000001</v>
          </cell>
          <cell r="CY99">
            <v>553.51400000000001</v>
          </cell>
          <cell r="CZ99">
            <v>0</v>
          </cell>
          <cell r="DA99">
            <v>0</v>
          </cell>
          <cell r="DB99">
            <v>0</v>
          </cell>
          <cell r="DC99">
            <v>938</v>
          </cell>
          <cell r="DD99">
            <v>2.3267899999999999</v>
          </cell>
          <cell r="DE99" t="str">
            <v>0ef9dd8e-42fb-4ab2-a639-afd2800fbc02</v>
          </cell>
          <cell r="DF99">
            <v>100072000000</v>
          </cell>
          <cell r="DG99">
            <v>0</v>
          </cell>
          <cell r="DH99">
            <v>11.634</v>
          </cell>
          <cell r="DI99">
            <v>0</v>
          </cell>
          <cell r="DJ99">
            <v>2.327</v>
          </cell>
          <cell r="DK99" t="str">
            <v>BRONZE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 t="str">
            <v>NA</v>
          </cell>
          <cell r="DU99" t="str">
            <v>NA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EB99">
            <v>0</v>
          </cell>
          <cell r="EC99">
            <v>0</v>
          </cell>
          <cell r="ED99">
            <v>-2235.585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 t="str">
            <v>Settled</v>
          </cell>
          <cell r="FH99">
            <v>2812</v>
          </cell>
          <cell r="FI99">
            <v>2235.585</v>
          </cell>
          <cell r="FJ99">
            <v>567.47500000000002</v>
          </cell>
          <cell r="FK99">
            <v>197.06</v>
          </cell>
        </row>
        <row r="100">
          <cell r="A100">
            <v>8655200769</v>
          </cell>
          <cell r="B100">
            <v>10655124951</v>
          </cell>
          <cell r="C100" t="str">
            <v>return_refund</v>
          </cell>
          <cell r="D100">
            <v>45912.388194444444</v>
          </cell>
          <cell r="E100">
            <v>45908.48333333333</v>
          </cell>
          <cell r="G100" t="str">
            <v>Myntra Designs Pvt Ltd</v>
          </cell>
          <cell r="H100" t="str">
            <v>TIKIDRSS103325303</v>
          </cell>
          <cell r="I100" t="str">
            <v>\I2726TK000002803\""</v>
          </cell>
          <cell r="J100">
            <v>8655200769</v>
          </cell>
          <cell r="K100">
            <v>62042300</v>
          </cell>
          <cell r="L100" t="str">
            <v>Apparel</v>
          </cell>
          <cell r="M100" t="str">
            <v>INR</v>
          </cell>
          <cell r="N100">
            <v>2419</v>
          </cell>
          <cell r="O100">
            <v>0</v>
          </cell>
          <cell r="P100">
            <v>2419</v>
          </cell>
          <cell r="Q100">
            <v>3750</v>
          </cell>
          <cell r="R100">
            <v>1125</v>
          </cell>
          <cell r="S100" t="str">
            <v>Inter-State</v>
          </cell>
          <cell r="T100">
            <v>12</v>
          </cell>
          <cell r="U100">
            <v>259.18</v>
          </cell>
          <cell r="V100">
            <v>0</v>
          </cell>
          <cell r="W100">
            <v>0</v>
          </cell>
          <cell r="X100">
            <v>10.798999999999999</v>
          </cell>
          <cell r="Y100">
            <v>2.16</v>
          </cell>
          <cell r="AA100">
            <v>0</v>
          </cell>
          <cell r="AB100">
            <v>513.79600000000005</v>
          </cell>
          <cell r="AC100">
            <v>513.79600000000005</v>
          </cell>
          <cell r="AD100">
            <v>526.755</v>
          </cell>
          <cell r="AE100">
            <v>-132.16</v>
          </cell>
          <cell r="AF100">
            <v>112</v>
          </cell>
          <cell r="AG100">
            <v>0</v>
          </cell>
          <cell r="AH100">
            <v>0</v>
          </cell>
          <cell r="AI100">
            <v>0</v>
          </cell>
          <cell r="AJ100">
            <v>20.16</v>
          </cell>
          <cell r="AK100">
            <v>1</v>
          </cell>
          <cell r="AL100" t="str">
            <v>ZONAL</v>
          </cell>
          <cell r="AM100">
            <v>2625</v>
          </cell>
          <cell r="AN100">
            <v>-2024.405</v>
          </cell>
          <cell r="AO100">
            <v>-2024.405</v>
          </cell>
          <cell r="AP100">
            <v>0</v>
          </cell>
          <cell r="AQ100">
            <v>526.755</v>
          </cell>
          <cell r="AR100">
            <v>-132.16</v>
          </cell>
          <cell r="AS100">
            <v>-2419</v>
          </cell>
          <cell r="AV100">
            <v>0</v>
          </cell>
          <cell r="AW100">
            <v>45925</v>
          </cell>
          <cell r="AX100">
            <v>45925</v>
          </cell>
          <cell r="AY100">
            <v>45925</v>
          </cell>
          <cell r="BC100" t="str">
            <v>NFT-/XUTR/DEUTH02526823565X</v>
          </cell>
          <cell r="BD100" t="str">
            <v>NFT-/XUTR/DEUTH02526823565X</v>
          </cell>
          <cell r="BE100" t="str">
            <v>NFT-/XUTR/DEUTH02526823565X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2159.8200000000002</v>
          </cell>
          <cell r="BP100">
            <v>12</v>
          </cell>
          <cell r="BQ100">
            <v>0</v>
          </cell>
          <cell r="BR100">
            <v>0</v>
          </cell>
          <cell r="BS100">
            <v>0</v>
          </cell>
          <cell r="BT100">
            <v>0.5</v>
          </cell>
          <cell r="BU100">
            <v>0</v>
          </cell>
          <cell r="BV100">
            <v>0</v>
          </cell>
          <cell r="BW100">
            <v>0.1</v>
          </cell>
          <cell r="BX100" t="str">
            <v>Tiny Kingdom</v>
          </cell>
          <cell r="BY100" t="str">
            <v>Girls</v>
          </cell>
          <cell r="BZ100" t="str">
            <v>External</v>
          </cell>
          <cell r="CA100" t="str">
            <v>Dresses</v>
          </cell>
          <cell r="CB100" t="str">
            <v>ON_HAND</v>
          </cell>
          <cell r="CC100" t="b">
            <v>0</v>
          </cell>
          <cell r="CD100" t="str">
            <v>**********</v>
          </cell>
          <cell r="CE100">
            <v>500089</v>
          </cell>
          <cell r="CF100" t="str">
            <v>27AXUPC8425A1ZH</v>
          </cell>
          <cell r="CH100" t="str">
            <v>29AAECM9636P1ZJ</v>
          </cell>
          <cell r="CI100" t="str">
            <v>Mumbai</v>
          </cell>
          <cell r="CJ100">
            <v>400013</v>
          </cell>
          <cell r="CK100" t="str">
            <v>maharashtra</v>
          </cell>
          <cell r="CL100" t="str">
            <v>MH</v>
          </cell>
          <cell r="CN100">
            <v>0</v>
          </cell>
          <cell r="CO100">
            <v>513.79600000000005</v>
          </cell>
          <cell r="CP100">
            <v>513.79600000000005</v>
          </cell>
          <cell r="CQ100">
            <v>0</v>
          </cell>
          <cell r="CR100">
            <v>0</v>
          </cell>
          <cell r="CS100">
            <v>0</v>
          </cell>
          <cell r="CT100">
            <v>1125</v>
          </cell>
          <cell r="CU100">
            <v>2.1598199999999999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E100" t="str">
            <v>1a4e767c-ccc4-444b-8ed9-a617c045ac99</v>
          </cell>
          <cell r="DF100">
            <v>100078000000</v>
          </cell>
          <cell r="DG100">
            <v>10.798999999999999</v>
          </cell>
          <cell r="DH100">
            <v>0</v>
          </cell>
          <cell r="DI100">
            <v>2.16</v>
          </cell>
          <cell r="DJ100">
            <v>0</v>
          </cell>
          <cell r="DK100" t="str">
            <v>BRONZE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 t="str">
            <v>NA</v>
          </cell>
          <cell r="DU100" t="str">
            <v>NA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-2024.405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 t="str">
            <v>Settled</v>
          </cell>
          <cell r="FH100">
            <v>2625</v>
          </cell>
          <cell r="FI100">
            <v>2024.405</v>
          </cell>
          <cell r="FJ100">
            <v>526.755</v>
          </cell>
          <cell r="FK100">
            <v>132.16</v>
          </cell>
        </row>
        <row r="101">
          <cell r="A101">
            <v>8637335371</v>
          </cell>
          <cell r="B101">
            <v>10637259921</v>
          </cell>
          <cell r="C101" t="str">
            <v>return_refund</v>
          </cell>
          <cell r="D101">
            <v>45904.490277777775</v>
          </cell>
          <cell r="E101">
            <v>45898.45</v>
          </cell>
          <cell r="G101" t="str">
            <v>Myntra Designs Pvt Ltd</v>
          </cell>
          <cell r="H101" t="str">
            <v>BETYDRSS103350155</v>
          </cell>
          <cell r="I101" t="str">
            <v>\I2726TK000002652\""</v>
          </cell>
          <cell r="J101">
            <v>9760437241</v>
          </cell>
          <cell r="K101">
            <v>62042300</v>
          </cell>
          <cell r="L101" t="str">
            <v>Apparel</v>
          </cell>
          <cell r="M101" t="str">
            <v>INR</v>
          </cell>
          <cell r="N101">
            <v>3994</v>
          </cell>
          <cell r="O101">
            <v>0</v>
          </cell>
          <cell r="P101">
            <v>3994</v>
          </cell>
          <cell r="Q101">
            <v>6000</v>
          </cell>
          <cell r="R101">
            <v>1800</v>
          </cell>
          <cell r="S101" t="str">
            <v>Inter-State</v>
          </cell>
          <cell r="T101">
            <v>12</v>
          </cell>
          <cell r="U101">
            <v>427.93</v>
          </cell>
          <cell r="V101">
            <v>0</v>
          </cell>
          <cell r="W101">
            <v>0</v>
          </cell>
          <cell r="X101">
            <v>17.829999999999998</v>
          </cell>
          <cell r="Y101">
            <v>3.5659999999999998</v>
          </cell>
          <cell r="AA101">
            <v>0</v>
          </cell>
          <cell r="AB101">
            <v>1272.4880000000001</v>
          </cell>
          <cell r="AC101">
            <v>1272.4880000000001</v>
          </cell>
          <cell r="AD101">
            <v>1293.884</v>
          </cell>
          <cell r="AE101">
            <v>-197.06</v>
          </cell>
          <cell r="AF101">
            <v>167</v>
          </cell>
          <cell r="AG101">
            <v>0</v>
          </cell>
          <cell r="AH101">
            <v>0</v>
          </cell>
          <cell r="AI101">
            <v>0</v>
          </cell>
          <cell r="AJ101">
            <v>30.06</v>
          </cell>
          <cell r="AK101">
            <v>1</v>
          </cell>
          <cell r="AL101" t="str">
            <v>NATIONAL</v>
          </cell>
          <cell r="AM101">
            <v>4200</v>
          </cell>
          <cell r="AN101">
            <v>-2897.1759999999999</v>
          </cell>
          <cell r="AO101">
            <v>-2897.1759999999999</v>
          </cell>
          <cell r="AP101">
            <v>0</v>
          </cell>
          <cell r="AQ101">
            <v>1293.884</v>
          </cell>
          <cell r="AR101">
            <v>-197.06</v>
          </cell>
          <cell r="AS101">
            <v>-3994</v>
          </cell>
          <cell r="AV101">
            <v>0</v>
          </cell>
          <cell r="AW101">
            <v>45917</v>
          </cell>
          <cell r="AX101">
            <v>45917</v>
          </cell>
          <cell r="AY101">
            <v>45917</v>
          </cell>
          <cell r="BC101" t="str">
            <v>NFT-/XUTR/DEUTH025260A0NZCX</v>
          </cell>
          <cell r="BD101" t="str">
            <v>NFT-/XUTR/DEUTH025260A0NZCX</v>
          </cell>
          <cell r="BE101" t="str">
            <v>NFT-/XUTR/DEUTH025260A0NZCX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3566.07</v>
          </cell>
          <cell r="BP101">
            <v>12</v>
          </cell>
          <cell r="BQ101">
            <v>0</v>
          </cell>
          <cell r="BR101">
            <v>0</v>
          </cell>
          <cell r="BS101">
            <v>0</v>
          </cell>
          <cell r="BT101">
            <v>0.5</v>
          </cell>
          <cell r="BU101">
            <v>0</v>
          </cell>
          <cell r="BV101">
            <v>0</v>
          </cell>
          <cell r="BW101">
            <v>0.1</v>
          </cell>
          <cell r="BX101" t="str">
            <v>BETTY</v>
          </cell>
          <cell r="BY101" t="str">
            <v>Girls</v>
          </cell>
          <cell r="BZ101" t="str">
            <v>External</v>
          </cell>
          <cell r="CA101" t="str">
            <v>Dresses</v>
          </cell>
          <cell r="CB101" t="str">
            <v>ON_HAND</v>
          </cell>
          <cell r="CC101" t="b">
            <v>0</v>
          </cell>
          <cell r="CD101" t="str">
            <v>**********</v>
          </cell>
          <cell r="CE101">
            <v>851101</v>
          </cell>
          <cell r="CF101" t="str">
            <v>27AXUPC8425A1ZH</v>
          </cell>
          <cell r="CH101" t="str">
            <v>29AAECM9636P1ZJ</v>
          </cell>
          <cell r="CI101" t="str">
            <v>Mumbai</v>
          </cell>
          <cell r="CJ101">
            <v>400013</v>
          </cell>
          <cell r="CK101" t="str">
            <v>maharashtra</v>
          </cell>
          <cell r="CL101" t="str">
            <v>MH</v>
          </cell>
          <cell r="CN101">
            <v>0</v>
          </cell>
          <cell r="CO101">
            <v>1272.4880000000001</v>
          </cell>
          <cell r="CP101">
            <v>1272.4880000000001</v>
          </cell>
          <cell r="CQ101">
            <v>0</v>
          </cell>
          <cell r="CR101">
            <v>0</v>
          </cell>
          <cell r="CS101">
            <v>0</v>
          </cell>
          <cell r="CT101">
            <v>1800</v>
          </cell>
          <cell r="CU101">
            <v>3.5660699999999999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E101" t="str">
            <v>2eeb8215-b4b0-4ac5-a347-6e4325a4ee6a</v>
          </cell>
          <cell r="DF101">
            <v>100075000000</v>
          </cell>
          <cell r="DG101">
            <v>17.829999999999998</v>
          </cell>
          <cell r="DH101">
            <v>0</v>
          </cell>
          <cell r="DI101">
            <v>3.5659999999999998</v>
          </cell>
          <cell r="DJ101">
            <v>0</v>
          </cell>
          <cell r="DK101" t="str">
            <v>BRONZE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 t="str">
            <v>NA</v>
          </cell>
          <cell r="DU101" t="str">
            <v>NA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-2897.1759999999999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 t="str">
            <v>Settled</v>
          </cell>
          <cell r="FH101">
            <v>4200</v>
          </cell>
          <cell r="FI101">
            <v>2897.1759999999999</v>
          </cell>
          <cell r="FJ101">
            <v>1293.884</v>
          </cell>
          <cell r="FK101">
            <v>197.06</v>
          </cell>
        </row>
        <row r="102">
          <cell r="A102">
            <v>8618679840</v>
          </cell>
          <cell r="B102">
            <v>10618605132</v>
          </cell>
          <cell r="C102" t="str">
            <v>return_refund</v>
          </cell>
          <cell r="D102">
            <v>45893.611111111109</v>
          </cell>
          <cell r="E102">
            <v>45885.463194444441</v>
          </cell>
          <cell r="F102">
            <v>44521</v>
          </cell>
          <cell r="G102" t="str">
            <v>Myntra Designs Pvt Ltd</v>
          </cell>
          <cell r="H102" t="str">
            <v>TIKICLST103607744</v>
          </cell>
          <cell r="I102" t="str">
            <v>\I2726TK000002443\""</v>
          </cell>
          <cell r="J102">
            <v>8618679840</v>
          </cell>
          <cell r="K102">
            <v>62042300</v>
          </cell>
          <cell r="L102" t="str">
            <v>Apparel</v>
          </cell>
          <cell r="M102" t="str">
            <v>INR</v>
          </cell>
          <cell r="N102">
            <v>3169</v>
          </cell>
          <cell r="O102">
            <v>0</v>
          </cell>
          <cell r="P102">
            <v>3169</v>
          </cell>
          <cell r="Q102">
            <v>4500</v>
          </cell>
          <cell r="R102">
            <v>1125</v>
          </cell>
          <cell r="S102" t="str">
            <v>Intra-State</v>
          </cell>
          <cell r="T102">
            <v>12</v>
          </cell>
          <cell r="U102">
            <v>0</v>
          </cell>
          <cell r="V102">
            <v>169.77</v>
          </cell>
          <cell r="W102">
            <v>169.77</v>
          </cell>
          <cell r="X102">
            <v>14.147</v>
          </cell>
          <cell r="Y102">
            <v>2.8290000000000002</v>
          </cell>
          <cell r="AA102">
            <v>0</v>
          </cell>
          <cell r="AB102">
            <v>822.67200000000003</v>
          </cell>
          <cell r="AC102">
            <v>822.67200000000003</v>
          </cell>
          <cell r="AD102">
            <v>839.64800000000002</v>
          </cell>
          <cell r="AE102">
            <v>-107.38</v>
          </cell>
          <cell r="AF102">
            <v>91</v>
          </cell>
          <cell r="AG102">
            <v>0</v>
          </cell>
          <cell r="AH102">
            <v>0</v>
          </cell>
          <cell r="AI102">
            <v>0</v>
          </cell>
          <cell r="AJ102">
            <v>16.38</v>
          </cell>
          <cell r="AK102">
            <v>1</v>
          </cell>
          <cell r="AL102" t="str">
            <v>LOCAL</v>
          </cell>
          <cell r="AM102">
            <v>3375</v>
          </cell>
          <cell r="AN102">
            <v>-2436.732</v>
          </cell>
          <cell r="AO102">
            <v>-2436.732</v>
          </cell>
          <cell r="AP102">
            <v>0</v>
          </cell>
          <cell r="AQ102">
            <v>839.64800000000002</v>
          </cell>
          <cell r="AR102">
            <v>-107.38</v>
          </cell>
          <cell r="AS102">
            <v>-3169</v>
          </cell>
          <cell r="AV102">
            <v>0</v>
          </cell>
          <cell r="AW102">
            <v>45903</v>
          </cell>
          <cell r="AX102">
            <v>45903</v>
          </cell>
          <cell r="AY102">
            <v>45903</v>
          </cell>
          <cell r="BC102" t="str">
            <v>NFT-/XUTR/DEUTH025246A0T5UX</v>
          </cell>
          <cell r="BD102" t="str">
            <v>NFT-/XUTR/DEUTH025246A0T5UX</v>
          </cell>
          <cell r="BE102" t="str">
            <v>NFT-/XUTR/DEUTH025246A0T5UX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2829.46</v>
          </cell>
          <cell r="BP102">
            <v>0</v>
          </cell>
          <cell r="BQ102">
            <v>6</v>
          </cell>
          <cell r="BR102">
            <v>6</v>
          </cell>
          <cell r="BS102">
            <v>0</v>
          </cell>
          <cell r="BT102">
            <v>0</v>
          </cell>
          <cell r="BU102">
            <v>0.25</v>
          </cell>
          <cell r="BV102">
            <v>0.25</v>
          </cell>
          <cell r="BW102">
            <v>0.1</v>
          </cell>
          <cell r="BX102" t="str">
            <v>Tiny Kingdom</v>
          </cell>
          <cell r="BY102" t="str">
            <v>Girls</v>
          </cell>
          <cell r="BZ102" t="str">
            <v>External</v>
          </cell>
          <cell r="CA102" t="str">
            <v>Kurta Sets</v>
          </cell>
          <cell r="CB102" t="str">
            <v>ON_HAND</v>
          </cell>
          <cell r="CC102" t="b">
            <v>0</v>
          </cell>
          <cell r="CD102" t="str">
            <v>**********</v>
          </cell>
          <cell r="CE102">
            <v>411045</v>
          </cell>
          <cell r="CF102" t="str">
            <v>27AXUPC8425A1ZH</v>
          </cell>
          <cell r="CH102" t="str">
            <v>29AAECM9636P1ZJ</v>
          </cell>
          <cell r="CI102" t="str">
            <v>Mumbai</v>
          </cell>
          <cell r="CJ102">
            <v>400013</v>
          </cell>
          <cell r="CK102" t="str">
            <v>maharashtra</v>
          </cell>
          <cell r="CL102" t="str">
            <v>MH</v>
          </cell>
          <cell r="CN102">
            <v>0</v>
          </cell>
          <cell r="CO102">
            <v>822.67200000000003</v>
          </cell>
          <cell r="CP102">
            <v>822.67200000000003</v>
          </cell>
          <cell r="CQ102">
            <v>0</v>
          </cell>
          <cell r="CR102">
            <v>0</v>
          </cell>
          <cell r="CS102">
            <v>0</v>
          </cell>
          <cell r="CT102">
            <v>1125</v>
          </cell>
          <cell r="CU102">
            <v>2.8294600000000001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E102" t="str">
            <v>1f7f1ac7-bc81-4813-9184-821b4e79d613</v>
          </cell>
          <cell r="DF102">
            <v>100072000000</v>
          </cell>
          <cell r="DG102">
            <v>14.147</v>
          </cell>
          <cell r="DH102">
            <v>0</v>
          </cell>
          <cell r="DI102">
            <v>2.8290000000000002</v>
          </cell>
          <cell r="DJ102">
            <v>0</v>
          </cell>
          <cell r="DK102" t="str">
            <v>BRONZE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 t="str">
            <v>NA</v>
          </cell>
          <cell r="DU102" t="str">
            <v>NA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EB102">
            <v>0</v>
          </cell>
          <cell r="EC102">
            <v>0</v>
          </cell>
          <cell r="ED102">
            <v>-2436.732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 t="str">
            <v>Settled</v>
          </cell>
          <cell r="FH102">
            <v>3375</v>
          </cell>
          <cell r="FI102">
            <v>2436.732</v>
          </cell>
          <cell r="FJ102">
            <v>839.64800000000002</v>
          </cell>
          <cell r="FK102">
            <v>107.38</v>
          </cell>
        </row>
        <row r="103">
          <cell r="A103">
            <v>8639002063</v>
          </cell>
          <cell r="B103">
            <v>10638926575</v>
          </cell>
          <cell r="C103" t="str">
            <v>return_refund</v>
          </cell>
          <cell r="D103">
            <v>45907.193055555559</v>
          </cell>
          <cell r="E103">
            <v>45899.763888888891</v>
          </cell>
          <cell r="G103" t="str">
            <v>Myntra Designs Pvt Ltd</v>
          </cell>
          <cell r="H103" t="str">
            <v>TIKIDRSS94856448</v>
          </cell>
          <cell r="I103" t="str">
            <v>\I2726TK000002668\""</v>
          </cell>
          <cell r="J103">
            <v>8639002063</v>
          </cell>
          <cell r="K103">
            <v>62042300</v>
          </cell>
          <cell r="L103" t="str">
            <v>Apparel</v>
          </cell>
          <cell r="M103" t="str">
            <v>INR</v>
          </cell>
          <cell r="N103">
            <v>2194</v>
          </cell>
          <cell r="O103">
            <v>2194</v>
          </cell>
          <cell r="P103">
            <v>0</v>
          </cell>
          <cell r="Q103">
            <v>4000</v>
          </cell>
          <cell r="R103">
            <v>1600</v>
          </cell>
          <cell r="S103" t="str">
            <v>Inter-State</v>
          </cell>
          <cell r="T103">
            <v>12</v>
          </cell>
          <cell r="U103">
            <v>235.07</v>
          </cell>
          <cell r="V103">
            <v>0</v>
          </cell>
          <cell r="W103">
            <v>0</v>
          </cell>
          <cell r="X103">
            <v>9.7949999999999999</v>
          </cell>
          <cell r="Y103">
            <v>1.9590000000000001</v>
          </cell>
          <cell r="AA103">
            <v>0</v>
          </cell>
          <cell r="AB103">
            <v>466.00599999999997</v>
          </cell>
          <cell r="AC103">
            <v>466.00599999999997</v>
          </cell>
          <cell r="AD103">
            <v>477.76</v>
          </cell>
          <cell r="AE103">
            <v>-197.06</v>
          </cell>
          <cell r="AF103">
            <v>167</v>
          </cell>
          <cell r="AG103">
            <v>0</v>
          </cell>
          <cell r="AH103">
            <v>0</v>
          </cell>
          <cell r="AI103">
            <v>0</v>
          </cell>
          <cell r="AJ103">
            <v>30.06</v>
          </cell>
          <cell r="AK103">
            <v>1</v>
          </cell>
          <cell r="AL103" t="str">
            <v>NATIONAL</v>
          </cell>
          <cell r="AM103">
            <v>2400</v>
          </cell>
          <cell r="AN103">
            <v>-1913.3</v>
          </cell>
          <cell r="AO103">
            <v>-1913.3</v>
          </cell>
          <cell r="AP103">
            <v>0</v>
          </cell>
          <cell r="AS103">
            <v>0</v>
          </cell>
          <cell r="AT103">
            <v>477.76</v>
          </cell>
          <cell r="AU103">
            <v>-197.06</v>
          </cell>
          <cell r="AV103">
            <v>-2194</v>
          </cell>
          <cell r="AZ103">
            <v>45919</v>
          </cell>
          <cell r="BA103">
            <v>45919</v>
          </cell>
          <cell r="BB103">
            <v>45919</v>
          </cell>
          <cell r="BF103" t="str">
            <v>NFT-/XUTR/DEUTH025262A0UKTX</v>
          </cell>
          <cell r="BG103" t="str">
            <v>NFT-/XUTR/DEUTH025262A0UKTX</v>
          </cell>
          <cell r="BH103" t="str">
            <v>NFT-/XUTR/DEUTH025262A0UKTX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1958.93</v>
          </cell>
          <cell r="BP103">
            <v>12</v>
          </cell>
          <cell r="BQ103">
            <v>0</v>
          </cell>
          <cell r="BR103">
            <v>0</v>
          </cell>
          <cell r="BS103">
            <v>0</v>
          </cell>
          <cell r="BT103">
            <v>0.5</v>
          </cell>
          <cell r="BU103">
            <v>0</v>
          </cell>
          <cell r="BV103">
            <v>0</v>
          </cell>
          <cell r="BW103">
            <v>0.1</v>
          </cell>
          <cell r="BX103" t="str">
            <v>Tiny Kingdom</v>
          </cell>
          <cell r="BY103" t="str">
            <v>Girls</v>
          </cell>
          <cell r="BZ103" t="str">
            <v>External</v>
          </cell>
          <cell r="CA103" t="str">
            <v>Dresses</v>
          </cell>
          <cell r="CB103" t="str">
            <v>ON_HAND</v>
          </cell>
          <cell r="CC103" t="b">
            <v>0</v>
          </cell>
          <cell r="CD103" t="str">
            <v>**********</v>
          </cell>
          <cell r="CE103">
            <v>520012</v>
          </cell>
          <cell r="CF103" t="str">
            <v>27AXUPC8425A1ZH</v>
          </cell>
          <cell r="CH103" t="str">
            <v>29AAECM9636P1ZJ</v>
          </cell>
          <cell r="CI103" t="str">
            <v>Mumbai</v>
          </cell>
          <cell r="CJ103">
            <v>400013</v>
          </cell>
          <cell r="CK103" t="str">
            <v>maharashtra</v>
          </cell>
          <cell r="CL103" t="str">
            <v>MH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W103">
            <v>0</v>
          </cell>
          <cell r="CX103">
            <v>466.00599999999997</v>
          </cell>
          <cell r="CY103">
            <v>466.00599999999997</v>
          </cell>
          <cell r="CZ103">
            <v>0</v>
          </cell>
          <cell r="DA103">
            <v>0</v>
          </cell>
          <cell r="DB103">
            <v>0</v>
          </cell>
          <cell r="DC103">
            <v>1600</v>
          </cell>
          <cell r="DD103">
            <v>1.9589300000000001</v>
          </cell>
          <cell r="DE103" t="str">
            <v>f951c08c-29d2-4f7a-8f53-cb44d7160a83</v>
          </cell>
          <cell r="DF103">
            <v>100076000000</v>
          </cell>
          <cell r="DG103">
            <v>0</v>
          </cell>
          <cell r="DH103">
            <v>9.7949999999999999</v>
          </cell>
          <cell r="DI103">
            <v>0</v>
          </cell>
          <cell r="DJ103">
            <v>1.9590000000000001</v>
          </cell>
          <cell r="DK103" t="str">
            <v>BRONZE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 t="str">
            <v>NA</v>
          </cell>
          <cell r="DU103" t="str">
            <v>NA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-1913.3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 t="str">
            <v>Settled</v>
          </cell>
          <cell r="FH103">
            <v>2400</v>
          </cell>
          <cell r="FI103">
            <v>1913.3</v>
          </cell>
          <cell r="FJ103">
            <v>477.76</v>
          </cell>
          <cell r="FK103">
            <v>197.06</v>
          </cell>
        </row>
        <row r="104">
          <cell r="A104">
            <v>8649047784</v>
          </cell>
          <cell r="B104">
            <v>10648972085</v>
          </cell>
          <cell r="C104" t="str">
            <v>return_refund</v>
          </cell>
          <cell r="D104">
            <v>45910.6</v>
          </cell>
          <cell r="E104">
            <v>45905.450694444444</v>
          </cell>
          <cell r="G104" t="str">
            <v>Myntra Designs Pvt Ltd</v>
          </cell>
          <cell r="H104" t="str">
            <v>TIKIDRSS97455138</v>
          </cell>
          <cell r="I104" t="str">
            <v>\I2726TK000002759\""</v>
          </cell>
          <cell r="J104">
            <v>8649047784</v>
          </cell>
          <cell r="K104">
            <v>62042300</v>
          </cell>
          <cell r="L104" t="str">
            <v>Apparel</v>
          </cell>
          <cell r="M104" t="str">
            <v>INR</v>
          </cell>
          <cell r="N104">
            <v>1454</v>
          </cell>
          <cell r="O104">
            <v>1451.54</v>
          </cell>
          <cell r="P104">
            <v>2.48</v>
          </cell>
          <cell r="Q104">
            <v>3250</v>
          </cell>
          <cell r="R104">
            <v>1625</v>
          </cell>
          <cell r="S104" t="str">
            <v>Inter-State</v>
          </cell>
          <cell r="T104">
            <v>12</v>
          </cell>
          <cell r="U104">
            <v>155.79</v>
          </cell>
          <cell r="V104">
            <v>0</v>
          </cell>
          <cell r="W104">
            <v>0</v>
          </cell>
          <cell r="X104">
            <v>6.4909999999999997</v>
          </cell>
          <cell r="Y104">
            <v>1.298</v>
          </cell>
          <cell r="AA104">
            <v>0</v>
          </cell>
          <cell r="AB104">
            <v>325.99099999999999</v>
          </cell>
          <cell r="AC104">
            <v>325.99099999999999</v>
          </cell>
          <cell r="AD104">
            <v>333.78</v>
          </cell>
          <cell r="AE104">
            <v>-197.06</v>
          </cell>
          <cell r="AF104">
            <v>167</v>
          </cell>
          <cell r="AG104">
            <v>0</v>
          </cell>
          <cell r="AH104">
            <v>0</v>
          </cell>
          <cell r="AI104">
            <v>0</v>
          </cell>
          <cell r="AJ104">
            <v>30.06</v>
          </cell>
          <cell r="AK104">
            <v>1</v>
          </cell>
          <cell r="AL104" t="str">
            <v>NATIONAL</v>
          </cell>
          <cell r="AM104">
            <v>1625</v>
          </cell>
          <cell r="AN104">
            <v>-1317.3</v>
          </cell>
          <cell r="AO104">
            <v>-1317.3</v>
          </cell>
          <cell r="AP104">
            <v>0</v>
          </cell>
          <cell r="AQ104">
            <v>0.56899999999999995</v>
          </cell>
          <cell r="AR104">
            <v>-0.33629999999999999</v>
          </cell>
          <cell r="AS104">
            <v>-2.48</v>
          </cell>
          <cell r="AT104">
            <v>333.21100000000001</v>
          </cell>
          <cell r="AU104">
            <v>-196.72370000000001</v>
          </cell>
          <cell r="AV104">
            <v>-1451.54</v>
          </cell>
          <cell r="AW104">
            <v>45923</v>
          </cell>
          <cell r="AX104">
            <v>45923</v>
          </cell>
          <cell r="AY104">
            <v>45923</v>
          </cell>
          <cell r="AZ104">
            <v>45924</v>
          </cell>
          <cell r="BA104">
            <v>45924</v>
          </cell>
          <cell r="BB104">
            <v>45924</v>
          </cell>
          <cell r="BC104" t="str">
            <v>NFT-/XUTR/DEUTH02526623121X</v>
          </cell>
          <cell r="BD104" t="str">
            <v>NFT-/XUTR/DEUTH02526623121X</v>
          </cell>
          <cell r="BE104" t="str">
            <v>NFT-/XUTR/DEUTH02526623121X</v>
          </cell>
          <cell r="BF104" t="str">
            <v>NFT-/XUTR/DEUTH025267A0V51X</v>
          </cell>
          <cell r="BG104" t="str">
            <v>NFT-/XUTR/DEUTH025267A0V51X</v>
          </cell>
          <cell r="BH104" t="str">
            <v>NFT-/XUTR/DEUTH025267A0V51X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300</v>
          </cell>
          <cell r="BN104">
            <v>0</v>
          </cell>
          <cell r="BO104">
            <v>1298.21</v>
          </cell>
          <cell r="BP104">
            <v>12</v>
          </cell>
          <cell r="BQ104">
            <v>0</v>
          </cell>
          <cell r="BR104">
            <v>0</v>
          </cell>
          <cell r="BS104">
            <v>0</v>
          </cell>
          <cell r="BT104">
            <v>0.5</v>
          </cell>
          <cell r="BU104">
            <v>0</v>
          </cell>
          <cell r="BV104">
            <v>0</v>
          </cell>
          <cell r="BW104">
            <v>0.1</v>
          </cell>
          <cell r="BX104" t="str">
            <v>Tiny Kingdom</v>
          </cell>
          <cell r="BY104" t="str">
            <v>Girls</v>
          </cell>
          <cell r="BZ104" t="str">
            <v>External</v>
          </cell>
          <cell r="CA104" t="str">
            <v>Dresses</v>
          </cell>
          <cell r="CB104" t="str">
            <v>ON_HAND</v>
          </cell>
          <cell r="CC104" t="b">
            <v>0</v>
          </cell>
          <cell r="CD104" t="str">
            <v>**********</v>
          </cell>
          <cell r="CE104">
            <v>522001</v>
          </cell>
          <cell r="CF104" t="str">
            <v>27AXUPC8425A1ZH</v>
          </cell>
          <cell r="CH104" t="str">
            <v>29AAECM9636P1ZJ</v>
          </cell>
          <cell r="CI104" t="str">
            <v>Mumbai</v>
          </cell>
          <cell r="CJ104">
            <v>400013</v>
          </cell>
          <cell r="CK104" t="str">
            <v>maharashtra</v>
          </cell>
          <cell r="CL104" t="str">
            <v>MH</v>
          </cell>
          <cell r="CN104">
            <v>0</v>
          </cell>
          <cell r="CO104">
            <v>0.55600000000000005</v>
          </cell>
          <cell r="CP104">
            <v>0.55600000000000005</v>
          </cell>
          <cell r="CQ104">
            <v>0</v>
          </cell>
          <cell r="CR104">
            <v>0</v>
          </cell>
          <cell r="CS104">
            <v>0</v>
          </cell>
          <cell r="CT104">
            <v>1625</v>
          </cell>
          <cell r="CU104">
            <v>1.2982100000000001</v>
          </cell>
          <cell r="CW104">
            <v>0</v>
          </cell>
          <cell r="CX104">
            <v>325.435</v>
          </cell>
          <cell r="CY104">
            <v>325.435</v>
          </cell>
          <cell r="CZ104">
            <v>0</v>
          </cell>
          <cell r="DA104">
            <v>0</v>
          </cell>
          <cell r="DB104">
            <v>0</v>
          </cell>
          <cell r="DC104">
            <v>1625</v>
          </cell>
          <cell r="DD104">
            <v>1.2982100000000001</v>
          </cell>
          <cell r="DE104" t="str">
            <v>1389559e-8523-4885-af27-8f75d81b879a</v>
          </cell>
          <cell r="DF104">
            <v>100077000000</v>
          </cell>
          <cell r="DG104">
            <v>1.0999999999999999E-2</v>
          </cell>
          <cell r="DH104">
            <v>6.48</v>
          </cell>
          <cell r="DI104">
            <v>2E-3</v>
          </cell>
          <cell r="DJ104">
            <v>1.296</v>
          </cell>
          <cell r="DK104" t="str">
            <v>BRONZE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 t="str">
            <v>NA</v>
          </cell>
          <cell r="DU104" t="str">
            <v>NA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-2.2473000000000001</v>
          </cell>
          <cell r="ER104">
            <v>-1315.0527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 t="str">
            <v>Settled</v>
          </cell>
          <cell r="FH104">
            <v>1625</v>
          </cell>
          <cell r="FI104">
            <v>1317.3</v>
          </cell>
          <cell r="FJ104">
            <v>333.78000000000003</v>
          </cell>
          <cell r="FK104">
            <v>197.06</v>
          </cell>
        </row>
        <row r="105">
          <cell r="A105">
            <v>8631473616</v>
          </cell>
          <cell r="B105">
            <v>10631398315</v>
          </cell>
          <cell r="C105" t="str">
            <v>return_refund</v>
          </cell>
          <cell r="D105">
            <v>45902.568749999999</v>
          </cell>
          <cell r="E105">
            <v>45894.452777777777</v>
          </cell>
          <cell r="F105">
            <v>44530</v>
          </cell>
          <cell r="G105" t="str">
            <v>Myntra Designs Pvt Ltd</v>
          </cell>
          <cell r="H105" t="str">
            <v>TIKIDRSS106641707</v>
          </cell>
          <cell r="I105" t="str">
            <v>\I2726TK000002585\""</v>
          </cell>
          <cell r="J105">
            <v>8631473616</v>
          </cell>
          <cell r="K105">
            <v>62042300</v>
          </cell>
          <cell r="L105" t="str">
            <v>Apparel</v>
          </cell>
          <cell r="M105" t="str">
            <v>INR</v>
          </cell>
          <cell r="N105">
            <v>2606</v>
          </cell>
          <cell r="O105">
            <v>0</v>
          </cell>
          <cell r="P105">
            <v>2606</v>
          </cell>
          <cell r="Q105">
            <v>3750</v>
          </cell>
          <cell r="R105">
            <v>938</v>
          </cell>
          <cell r="S105" t="str">
            <v>Inter-State</v>
          </cell>
          <cell r="T105">
            <v>12</v>
          </cell>
          <cell r="U105">
            <v>279.20999999999998</v>
          </cell>
          <cell r="V105">
            <v>0</v>
          </cell>
          <cell r="W105">
            <v>0</v>
          </cell>
          <cell r="X105">
            <v>11.634</v>
          </cell>
          <cell r="Y105">
            <v>2.327</v>
          </cell>
          <cell r="AA105">
            <v>0</v>
          </cell>
          <cell r="AB105">
            <v>553.51400000000001</v>
          </cell>
          <cell r="AC105">
            <v>553.51400000000001</v>
          </cell>
          <cell r="AD105">
            <v>567.47500000000002</v>
          </cell>
          <cell r="AE105">
            <v>-132.16</v>
          </cell>
          <cell r="AF105">
            <v>112</v>
          </cell>
          <cell r="AG105">
            <v>0</v>
          </cell>
          <cell r="AH105">
            <v>0</v>
          </cell>
          <cell r="AI105">
            <v>0</v>
          </cell>
          <cell r="AJ105">
            <v>20.16</v>
          </cell>
          <cell r="AK105">
            <v>1</v>
          </cell>
          <cell r="AL105" t="str">
            <v>ZONAL</v>
          </cell>
          <cell r="AM105">
            <v>2812</v>
          </cell>
          <cell r="AN105">
            <v>-2170.6849999999999</v>
          </cell>
          <cell r="AO105">
            <v>-2170.6849999999999</v>
          </cell>
          <cell r="AP105">
            <v>0</v>
          </cell>
          <cell r="AQ105">
            <v>567.47500000000002</v>
          </cell>
          <cell r="AR105">
            <v>-132.16</v>
          </cell>
          <cell r="AS105">
            <v>-2606</v>
          </cell>
          <cell r="AV105">
            <v>0</v>
          </cell>
          <cell r="AW105">
            <v>45915</v>
          </cell>
          <cell r="AX105">
            <v>45915</v>
          </cell>
          <cell r="AY105">
            <v>45915</v>
          </cell>
          <cell r="BC105" t="str">
            <v>NFT-/XUTR/DEUTH025258A0IM4X</v>
          </cell>
          <cell r="BD105" t="str">
            <v>NFT-/XUTR/DEUTH025258A0IM4X</v>
          </cell>
          <cell r="BE105" t="str">
            <v>NFT-/XUTR/DEUTH025258A0IM4X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2326.79</v>
          </cell>
          <cell r="BP105">
            <v>12</v>
          </cell>
          <cell r="BQ105">
            <v>0</v>
          </cell>
          <cell r="BR105">
            <v>0</v>
          </cell>
          <cell r="BS105">
            <v>0</v>
          </cell>
          <cell r="BT105">
            <v>0.5</v>
          </cell>
          <cell r="BU105">
            <v>0</v>
          </cell>
          <cell r="BV105">
            <v>0</v>
          </cell>
          <cell r="BW105">
            <v>0.1</v>
          </cell>
          <cell r="BX105" t="str">
            <v>Tiny Kingdom</v>
          </cell>
          <cell r="BY105" t="str">
            <v>Girls</v>
          </cell>
          <cell r="BZ105" t="str">
            <v>External</v>
          </cell>
          <cell r="CA105" t="str">
            <v>Dresses</v>
          </cell>
          <cell r="CB105" t="str">
            <v>ON_HAND</v>
          </cell>
          <cell r="CC105" t="b">
            <v>0</v>
          </cell>
          <cell r="CD105" t="str">
            <v>**********</v>
          </cell>
          <cell r="CE105">
            <v>560043</v>
          </cell>
          <cell r="CF105" t="str">
            <v>27AXUPC8425A1ZH</v>
          </cell>
          <cell r="CH105" t="str">
            <v>29AAECM9636P1ZJ</v>
          </cell>
          <cell r="CI105" t="str">
            <v>Mumbai</v>
          </cell>
          <cell r="CJ105">
            <v>400013</v>
          </cell>
          <cell r="CK105" t="str">
            <v>maharashtra</v>
          </cell>
          <cell r="CL105" t="str">
            <v>MH</v>
          </cell>
          <cell r="CN105">
            <v>0</v>
          </cell>
          <cell r="CO105">
            <v>553.51400000000001</v>
          </cell>
          <cell r="CP105">
            <v>553.51400000000001</v>
          </cell>
          <cell r="CQ105">
            <v>0</v>
          </cell>
          <cell r="CR105">
            <v>0</v>
          </cell>
          <cell r="CS105">
            <v>0</v>
          </cell>
          <cell r="CT105">
            <v>938</v>
          </cell>
          <cell r="CU105">
            <v>2.3267899999999999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E105" t="str">
            <v>0c585e80-b335-44bb-8ef7-a056daf10278</v>
          </cell>
          <cell r="DF105">
            <v>100074000000</v>
          </cell>
          <cell r="DG105">
            <v>11.634</v>
          </cell>
          <cell r="DH105">
            <v>0</v>
          </cell>
          <cell r="DI105">
            <v>2.327</v>
          </cell>
          <cell r="DJ105">
            <v>0</v>
          </cell>
          <cell r="DK105" t="str">
            <v>BRONZE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 t="str">
            <v>NA</v>
          </cell>
          <cell r="DU105" t="str">
            <v>NA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-2170.6849999999999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 t="str">
            <v>Settled</v>
          </cell>
          <cell r="FH105">
            <v>2812</v>
          </cell>
          <cell r="FI105">
            <v>2170.6849999999999</v>
          </cell>
          <cell r="FJ105">
            <v>567.47500000000002</v>
          </cell>
          <cell r="FK105">
            <v>132.16</v>
          </cell>
        </row>
        <row r="106">
          <cell r="A106">
            <v>8625958524</v>
          </cell>
          <cell r="B106">
            <v>10625883427</v>
          </cell>
          <cell r="C106" t="str">
            <v>return_refund</v>
          </cell>
          <cell r="D106">
            <v>45897.405555555553</v>
          </cell>
          <cell r="E106">
            <v>45890.458333333336</v>
          </cell>
          <cell r="G106" t="str">
            <v>Myntra Designs Pvt Ltd</v>
          </cell>
          <cell r="H106" t="str">
            <v>TIKILHNC103613407</v>
          </cell>
          <cell r="I106" t="str">
            <v>\I2726TK000002518\""</v>
          </cell>
          <cell r="J106">
            <v>8625958524</v>
          </cell>
          <cell r="K106">
            <v>62042300</v>
          </cell>
          <cell r="L106" t="str">
            <v>Apparel</v>
          </cell>
          <cell r="M106" t="str">
            <v>INR</v>
          </cell>
          <cell r="N106">
            <v>2944</v>
          </cell>
          <cell r="O106">
            <v>2944</v>
          </cell>
          <cell r="P106">
            <v>0</v>
          </cell>
          <cell r="Q106">
            <v>4500</v>
          </cell>
          <cell r="R106">
            <v>1350</v>
          </cell>
          <cell r="S106" t="str">
            <v>Inter-State</v>
          </cell>
          <cell r="T106">
            <v>12</v>
          </cell>
          <cell r="U106">
            <v>315.43</v>
          </cell>
          <cell r="V106">
            <v>0</v>
          </cell>
          <cell r="W106">
            <v>0</v>
          </cell>
          <cell r="X106">
            <v>13.143000000000001</v>
          </cell>
          <cell r="Y106">
            <v>2.629</v>
          </cell>
          <cell r="AA106">
            <v>0</v>
          </cell>
          <cell r="AB106">
            <v>729.52300000000002</v>
          </cell>
          <cell r="AC106">
            <v>729.52300000000002</v>
          </cell>
          <cell r="AD106">
            <v>745.29499999999996</v>
          </cell>
          <cell r="AE106">
            <v>-197.06</v>
          </cell>
          <cell r="AF106">
            <v>167</v>
          </cell>
          <cell r="AG106">
            <v>0</v>
          </cell>
          <cell r="AH106">
            <v>0</v>
          </cell>
          <cell r="AI106">
            <v>0</v>
          </cell>
          <cell r="AJ106">
            <v>30.06</v>
          </cell>
          <cell r="AK106">
            <v>1</v>
          </cell>
          <cell r="AL106" t="str">
            <v>NATIONAL</v>
          </cell>
          <cell r="AM106">
            <v>3150</v>
          </cell>
          <cell r="AN106">
            <v>-2395.7649999999999</v>
          </cell>
          <cell r="AO106">
            <v>-2395.7649999999999</v>
          </cell>
          <cell r="AP106">
            <v>0</v>
          </cell>
          <cell r="AS106">
            <v>0</v>
          </cell>
          <cell r="AT106">
            <v>745.29499999999996</v>
          </cell>
          <cell r="AU106">
            <v>-197.06</v>
          </cell>
          <cell r="AV106">
            <v>-2944</v>
          </cell>
          <cell r="AZ106">
            <v>45908</v>
          </cell>
          <cell r="BA106">
            <v>45908</v>
          </cell>
          <cell r="BB106">
            <v>45908</v>
          </cell>
          <cell r="BF106" t="str">
            <v>NFT-/XUTR/DEUTH025251A0HB7X</v>
          </cell>
          <cell r="BG106" t="str">
            <v>NFT-/XUTR/DEUTH025251A0HB7X</v>
          </cell>
          <cell r="BH106" t="str">
            <v>NFT-/XUTR/DEUTH025251A0HB7X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2628.57</v>
          </cell>
          <cell r="BP106">
            <v>12</v>
          </cell>
          <cell r="BQ106">
            <v>0</v>
          </cell>
          <cell r="BR106">
            <v>0</v>
          </cell>
          <cell r="BS106">
            <v>0</v>
          </cell>
          <cell r="BT106">
            <v>0.5</v>
          </cell>
          <cell r="BU106">
            <v>0</v>
          </cell>
          <cell r="BV106">
            <v>0</v>
          </cell>
          <cell r="BW106">
            <v>0.1</v>
          </cell>
          <cell r="BX106" t="str">
            <v>Tiny Kingdom</v>
          </cell>
          <cell r="BY106" t="str">
            <v>Girls</v>
          </cell>
          <cell r="BZ106" t="str">
            <v>External</v>
          </cell>
          <cell r="CA106" t="str">
            <v>Lehenga Choli</v>
          </cell>
          <cell r="CB106" t="str">
            <v>ON_HAND</v>
          </cell>
          <cell r="CC106" t="b">
            <v>0</v>
          </cell>
          <cell r="CD106" t="str">
            <v>**********</v>
          </cell>
          <cell r="CE106">
            <v>534005</v>
          </cell>
          <cell r="CF106" t="str">
            <v>27AXUPC8425A1ZH</v>
          </cell>
          <cell r="CH106" t="str">
            <v>29AAECM9636P1ZJ</v>
          </cell>
          <cell r="CI106" t="str">
            <v>Mumbai</v>
          </cell>
          <cell r="CJ106">
            <v>400013</v>
          </cell>
          <cell r="CK106" t="str">
            <v>maharashtra</v>
          </cell>
          <cell r="CL106" t="str">
            <v>MH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W106">
            <v>0</v>
          </cell>
          <cell r="CX106">
            <v>729.52300000000002</v>
          </cell>
          <cell r="CY106">
            <v>729.52300000000002</v>
          </cell>
          <cell r="CZ106">
            <v>0</v>
          </cell>
          <cell r="DA106">
            <v>0</v>
          </cell>
          <cell r="DB106">
            <v>0</v>
          </cell>
          <cell r="DC106">
            <v>1350</v>
          </cell>
          <cell r="DD106">
            <v>2.6285699999999999</v>
          </cell>
          <cell r="DE106" t="str">
            <v>f6b3c2a6-d763-4528-87d9-4efe6e68e390</v>
          </cell>
          <cell r="DF106">
            <v>100073000000</v>
          </cell>
          <cell r="DG106">
            <v>0</v>
          </cell>
          <cell r="DH106">
            <v>13.143000000000001</v>
          </cell>
          <cell r="DI106">
            <v>0</v>
          </cell>
          <cell r="DJ106">
            <v>2.629</v>
          </cell>
          <cell r="DK106" t="str">
            <v>BRONZE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 t="str">
            <v>NA</v>
          </cell>
          <cell r="DU106" t="str">
            <v>NA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-2395.7649999999999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 t="str">
            <v>Settled</v>
          </cell>
          <cell r="FH106">
            <v>3150</v>
          </cell>
          <cell r="FI106">
            <v>2395.7649999999999</v>
          </cell>
          <cell r="FJ106">
            <v>745.29499999999996</v>
          </cell>
          <cell r="FK106">
            <v>197.06</v>
          </cell>
        </row>
        <row r="107">
          <cell r="A107">
            <v>8641770468</v>
          </cell>
          <cell r="B107">
            <v>10641694897</v>
          </cell>
          <cell r="C107" t="str">
            <v>return_refund</v>
          </cell>
          <cell r="D107">
            <v>45909.243055555555</v>
          </cell>
          <cell r="E107">
            <v>45901.459027777775</v>
          </cell>
          <cell r="G107" t="str">
            <v>Myntra Designs Pvt Ltd</v>
          </cell>
          <cell r="H107" t="str">
            <v>BETYDRSS74936970</v>
          </cell>
          <cell r="I107" t="str">
            <v>\I2726TK000002693\""</v>
          </cell>
          <cell r="J107">
            <v>8641770468</v>
          </cell>
          <cell r="K107">
            <v>62042300</v>
          </cell>
          <cell r="L107" t="str">
            <v>Apparel</v>
          </cell>
          <cell r="M107" t="str">
            <v>INR</v>
          </cell>
          <cell r="N107">
            <v>1594</v>
          </cell>
          <cell r="O107">
            <v>0</v>
          </cell>
          <cell r="P107">
            <v>1594</v>
          </cell>
          <cell r="Q107">
            <v>5000</v>
          </cell>
          <cell r="R107">
            <v>3000</v>
          </cell>
          <cell r="S107" t="str">
            <v>Inter-State</v>
          </cell>
          <cell r="T107">
            <v>12</v>
          </cell>
          <cell r="U107">
            <v>170.79</v>
          </cell>
          <cell r="V107">
            <v>0</v>
          </cell>
          <cell r="W107">
            <v>0</v>
          </cell>
          <cell r="X107">
            <v>7.1159999999999997</v>
          </cell>
          <cell r="Y107">
            <v>1.423</v>
          </cell>
          <cell r="AA107">
            <v>0</v>
          </cell>
          <cell r="AB107">
            <v>470.23</v>
          </cell>
          <cell r="AC107">
            <v>470.23</v>
          </cell>
          <cell r="AD107">
            <v>478.76900000000001</v>
          </cell>
          <cell r="AE107">
            <v>-197.06</v>
          </cell>
          <cell r="AF107">
            <v>167</v>
          </cell>
          <cell r="AG107">
            <v>0</v>
          </cell>
          <cell r="AH107">
            <v>0</v>
          </cell>
          <cell r="AI107">
            <v>0</v>
          </cell>
          <cell r="AJ107">
            <v>30.06</v>
          </cell>
          <cell r="AK107">
            <v>1</v>
          </cell>
          <cell r="AL107" t="str">
            <v>NATIONAL</v>
          </cell>
          <cell r="AM107">
            <v>1800</v>
          </cell>
          <cell r="AN107">
            <v>-1312.2909999999999</v>
          </cell>
          <cell r="AO107">
            <v>-1312.2909999999999</v>
          </cell>
          <cell r="AP107">
            <v>0</v>
          </cell>
          <cell r="AQ107">
            <v>478.76900000000001</v>
          </cell>
          <cell r="AR107">
            <v>-197.06</v>
          </cell>
          <cell r="AS107">
            <v>-1594</v>
          </cell>
          <cell r="AV107">
            <v>0</v>
          </cell>
          <cell r="AW107">
            <v>45922</v>
          </cell>
          <cell r="AX107">
            <v>45922</v>
          </cell>
          <cell r="AY107">
            <v>45922</v>
          </cell>
          <cell r="BC107" t="str">
            <v>NFT-/XUTR/DEUTH025265A10GKX</v>
          </cell>
          <cell r="BD107" t="str">
            <v>NFT-/XUTR/DEUTH025265A10GKX</v>
          </cell>
          <cell r="BE107" t="str">
            <v>NFT-/XUTR/DEUTH025265A10GKX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1423.21</v>
          </cell>
          <cell r="BP107">
            <v>12</v>
          </cell>
          <cell r="BQ107">
            <v>0</v>
          </cell>
          <cell r="BR107">
            <v>0</v>
          </cell>
          <cell r="BS107">
            <v>0</v>
          </cell>
          <cell r="BT107">
            <v>0.5</v>
          </cell>
          <cell r="BU107">
            <v>0</v>
          </cell>
          <cell r="BV107">
            <v>0</v>
          </cell>
          <cell r="BW107">
            <v>0.1</v>
          </cell>
          <cell r="BX107" t="str">
            <v>BETTY</v>
          </cell>
          <cell r="BY107" t="str">
            <v>Girls</v>
          </cell>
          <cell r="BZ107" t="str">
            <v>External</v>
          </cell>
          <cell r="CA107" t="str">
            <v>Ethnic Dresses</v>
          </cell>
          <cell r="CB107" t="str">
            <v>ON_HAND</v>
          </cell>
          <cell r="CC107" t="b">
            <v>0</v>
          </cell>
          <cell r="CD107" t="str">
            <v>**********</v>
          </cell>
          <cell r="CE107">
            <v>700056</v>
          </cell>
          <cell r="CF107" t="str">
            <v>27AXUPC8425A1ZH</v>
          </cell>
          <cell r="CH107" t="str">
            <v>29AAECM9636P1ZJ</v>
          </cell>
          <cell r="CI107" t="str">
            <v>Mumbai</v>
          </cell>
          <cell r="CJ107">
            <v>400013</v>
          </cell>
          <cell r="CK107" t="str">
            <v>maharashtra</v>
          </cell>
          <cell r="CL107" t="str">
            <v>MH</v>
          </cell>
          <cell r="CN107">
            <v>0</v>
          </cell>
          <cell r="CO107">
            <v>470.23</v>
          </cell>
          <cell r="CP107">
            <v>470.23</v>
          </cell>
          <cell r="CQ107">
            <v>0</v>
          </cell>
          <cell r="CR107">
            <v>0</v>
          </cell>
          <cell r="CS107">
            <v>0</v>
          </cell>
          <cell r="CT107">
            <v>3000</v>
          </cell>
          <cell r="CU107">
            <v>1.4232100000000001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E107" t="str">
            <v>74462706-b32f-4979-9ea2-c01ddc837b43</v>
          </cell>
          <cell r="DF107">
            <v>100076000000</v>
          </cell>
          <cell r="DG107">
            <v>7.1159999999999997</v>
          </cell>
          <cell r="DH107">
            <v>0</v>
          </cell>
          <cell r="DI107">
            <v>1.423</v>
          </cell>
          <cell r="DJ107">
            <v>0</v>
          </cell>
          <cell r="DK107" t="str">
            <v>BRONZE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 t="str">
            <v>NA</v>
          </cell>
          <cell r="DU107" t="str">
            <v>NA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-1312.2909999999999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 t="str">
            <v>Settled</v>
          </cell>
          <cell r="FH107">
            <v>1800</v>
          </cell>
          <cell r="FI107">
            <v>1312.2909999999999</v>
          </cell>
          <cell r="FJ107">
            <v>478.76900000000001</v>
          </cell>
          <cell r="FK107">
            <v>197.06</v>
          </cell>
        </row>
        <row r="108">
          <cell r="A108">
            <v>8640417637</v>
          </cell>
          <cell r="B108">
            <v>10640342121</v>
          </cell>
          <cell r="C108" t="str">
            <v>return_refund</v>
          </cell>
          <cell r="D108">
            <v>45916.419444444444</v>
          </cell>
          <cell r="E108">
            <v>45900.693749999999</v>
          </cell>
          <cell r="G108" t="str">
            <v>Myntra Designs Pvt Ltd</v>
          </cell>
          <cell r="H108" t="str">
            <v>TIKICLST116340919</v>
          </cell>
          <cell r="I108" t="str">
            <v>\I2726TK000002683\""</v>
          </cell>
          <cell r="J108">
            <v>9761370523</v>
          </cell>
          <cell r="K108">
            <v>62042300</v>
          </cell>
          <cell r="L108" t="str">
            <v>Apparel</v>
          </cell>
          <cell r="M108" t="str">
            <v>INR</v>
          </cell>
          <cell r="N108">
            <v>3194</v>
          </cell>
          <cell r="O108">
            <v>3194</v>
          </cell>
          <cell r="P108">
            <v>0</v>
          </cell>
          <cell r="Q108">
            <v>4000</v>
          </cell>
          <cell r="R108">
            <v>600</v>
          </cell>
          <cell r="S108" t="str">
            <v>Inter-State</v>
          </cell>
          <cell r="T108">
            <v>12</v>
          </cell>
          <cell r="U108">
            <v>342.21</v>
          </cell>
          <cell r="V108">
            <v>0</v>
          </cell>
          <cell r="W108">
            <v>0</v>
          </cell>
          <cell r="X108">
            <v>14.259</v>
          </cell>
          <cell r="Y108">
            <v>2.8519999999999999</v>
          </cell>
          <cell r="AA108">
            <v>0</v>
          </cell>
          <cell r="AB108">
            <v>791.47299999999996</v>
          </cell>
          <cell r="AC108">
            <v>791.47299999999996</v>
          </cell>
          <cell r="AD108">
            <v>808.58399999999995</v>
          </cell>
          <cell r="AE108">
            <v>-197.06</v>
          </cell>
          <cell r="AF108">
            <v>167</v>
          </cell>
          <cell r="AG108">
            <v>0</v>
          </cell>
          <cell r="AH108">
            <v>0</v>
          </cell>
          <cell r="AI108">
            <v>0</v>
          </cell>
          <cell r="AJ108">
            <v>30.06</v>
          </cell>
          <cell r="AK108">
            <v>1</v>
          </cell>
          <cell r="AL108" t="str">
            <v>NATIONAL</v>
          </cell>
          <cell r="AM108">
            <v>3400</v>
          </cell>
          <cell r="AN108">
            <v>-2582.4760000000001</v>
          </cell>
          <cell r="AO108">
            <v>-2582.4760000000001</v>
          </cell>
          <cell r="AP108">
            <v>0</v>
          </cell>
          <cell r="AS108">
            <v>0</v>
          </cell>
          <cell r="AT108">
            <v>808.58399999999995</v>
          </cell>
          <cell r="AU108">
            <v>-197.06</v>
          </cell>
          <cell r="AV108">
            <v>-3194</v>
          </cell>
          <cell r="AZ108">
            <v>45924</v>
          </cell>
          <cell r="BA108">
            <v>45924</v>
          </cell>
          <cell r="BB108">
            <v>45924</v>
          </cell>
          <cell r="BF108" t="str">
            <v>NFT-/XUTR/DEUTH025267A0V51X</v>
          </cell>
          <cell r="BG108" t="str">
            <v>NFT-/XUTR/DEUTH025267A0V51X</v>
          </cell>
          <cell r="BH108" t="str">
            <v>NFT-/XUTR/DEUTH025267A0V51X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2851.79</v>
          </cell>
          <cell r="BP108">
            <v>12</v>
          </cell>
          <cell r="BQ108">
            <v>0</v>
          </cell>
          <cell r="BR108">
            <v>0</v>
          </cell>
          <cell r="BS108">
            <v>0</v>
          </cell>
          <cell r="BT108">
            <v>0.5</v>
          </cell>
          <cell r="BU108">
            <v>0</v>
          </cell>
          <cell r="BV108">
            <v>0</v>
          </cell>
          <cell r="BW108">
            <v>0.1</v>
          </cell>
          <cell r="BX108" t="str">
            <v>Tiny Kingdom</v>
          </cell>
          <cell r="BY108" t="str">
            <v>Girls</v>
          </cell>
          <cell r="BZ108" t="str">
            <v>External</v>
          </cell>
          <cell r="CA108" t="str">
            <v>Clothing Set</v>
          </cell>
          <cell r="CB108" t="str">
            <v>ON_HAND</v>
          </cell>
          <cell r="CC108" t="b">
            <v>0</v>
          </cell>
          <cell r="CD108" t="str">
            <v>**********</v>
          </cell>
          <cell r="CE108">
            <v>141001</v>
          </cell>
          <cell r="CF108" t="str">
            <v>27AXUPC8425A1ZH</v>
          </cell>
          <cell r="CH108" t="str">
            <v>29AAECM9636P1ZJ</v>
          </cell>
          <cell r="CI108" t="str">
            <v>Mumbai</v>
          </cell>
          <cell r="CJ108">
            <v>400013</v>
          </cell>
          <cell r="CK108" t="str">
            <v>maharashtra</v>
          </cell>
          <cell r="CL108" t="str">
            <v>MH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W108">
            <v>0</v>
          </cell>
          <cell r="CX108">
            <v>791.47299999999996</v>
          </cell>
          <cell r="CY108">
            <v>791.47299999999996</v>
          </cell>
          <cell r="CZ108">
            <v>0</v>
          </cell>
          <cell r="DA108">
            <v>0</v>
          </cell>
          <cell r="DB108">
            <v>0</v>
          </cell>
          <cell r="DC108">
            <v>600</v>
          </cell>
          <cell r="DD108">
            <v>2.8517899999999998</v>
          </cell>
          <cell r="DE108" t="str">
            <v>c11d4c73-ce78-41fd-b8ab-8ebd4f63050d</v>
          </cell>
          <cell r="DF108">
            <v>100077000000</v>
          </cell>
          <cell r="DG108">
            <v>0</v>
          </cell>
          <cell r="DH108">
            <v>14.259</v>
          </cell>
          <cell r="DI108">
            <v>0</v>
          </cell>
          <cell r="DJ108">
            <v>2.8519999999999999</v>
          </cell>
          <cell r="DK108" t="str">
            <v>BRONZE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 t="str">
            <v>NA</v>
          </cell>
          <cell r="DU108" t="str">
            <v>NA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-2582.4760000000001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 t="str">
            <v>Settled</v>
          </cell>
          <cell r="FH108">
            <v>3400</v>
          </cell>
          <cell r="FI108">
            <v>2582.4760000000001</v>
          </cell>
          <cell r="FJ108">
            <v>808.58399999999995</v>
          </cell>
          <cell r="FK108">
            <v>197.06</v>
          </cell>
        </row>
        <row r="109">
          <cell r="A109">
            <v>8648759871</v>
          </cell>
          <cell r="B109">
            <v>10648684177</v>
          </cell>
          <cell r="C109" t="str">
            <v>return_refund</v>
          </cell>
          <cell r="D109">
            <v>45920.579861111109</v>
          </cell>
          <cell r="E109">
            <v>45905.450694444444</v>
          </cell>
          <cell r="F109">
            <v>44544</v>
          </cell>
          <cell r="G109" t="str">
            <v>Myntra Designs Pvt Ltd</v>
          </cell>
          <cell r="H109" t="str">
            <v>TIKICLST106810663</v>
          </cell>
          <cell r="I109" t="str">
            <v>\I2726TK000002753\""</v>
          </cell>
          <cell r="J109">
            <v>9763551533</v>
          </cell>
          <cell r="K109">
            <v>62042300</v>
          </cell>
          <cell r="L109" t="str">
            <v>Apparel</v>
          </cell>
          <cell r="M109" t="str">
            <v>INR</v>
          </cell>
          <cell r="N109">
            <v>3394</v>
          </cell>
          <cell r="O109">
            <v>0</v>
          </cell>
          <cell r="P109">
            <v>3394</v>
          </cell>
          <cell r="Q109">
            <v>4500</v>
          </cell>
          <cell r="R109">
            <v>900</v>
          </cell>
          <cell r="S109" t="str">
            <v>Inter-State</v>
          </cell>
          <cell r="T109">
            <v>12</v>
          </cell>
          <cell r="U109">
            <v>363.64</v>
          </cell>
          <cell r="V109">
            <v>0</v>
          </cell>
          <cell r="W109">
            <v>0</v>
          </cell>
          <cell r="X109">
            <v>15.151999999999999</v>
          </cell>
          <cell r="Y109">
            <v>3.03</v>
          </cell>
          <cell r="AA109">
            <v>0</v>
          </cell>
          <cell r="AB109">
            <v>841.03300000000002</v>
          </cell>
          <cell r="AC109">
            <v>841.03300000000002</v>
          </cell>
          <cell r="AD109">
            <v>859.21500000000003</v>
          </cell>
          <cell r="AE109">
            <v>-197.06</v>
          </cell>
          <cell r="AF109">
            <v>167</v>
          </cell>
          <cell r="AG109">
            <v>0</v>
          </cell>
          <cell r="AH109">
            <v>0</v>
          </cell>
          <cell r="AI109">
            <v>0</v>
          </cell>
          <cell r="AJ109">
            <v>30.06</v>
          </cell>
          <cell r="AK109">
            <v>1</v>
          </cell>
          <cell r="AL109" t="str">
            <v>NATIONAL</v>
          </cell>
          <cell r="AM109">
            <v>3600</v>
          </cell>
          <cell r="AN109">
            <v>-2731.8449999999998</v>
          </cell>
          <cell r="AO109">
            <v>-2731.8449999999998</v>
          </cell>
          <cell r="AP109">
            <v>0</v>
          </cell>
          <cell r="AQ109">
            <v>859.21500000000003</v>
          </cell>
          <cell r="AR109">
            <v>-197.06</v>
          </cell>
          <cell r="AS109">
            <v>-3394</v>
          </cell>
          <cell r="AV109">
            <v>0</v>
          </cell>
          <cell r="AW109">
            <v>45923</v>
          </cell>
          <cell r="AX109">
            <v>45923</v>
          </cell>
          <cell r="AY109">
            <v>45923</v>
          </cell>
          <cell r="BC109" t="str">
            <v>NFT-/XUTR/DEUTH02526623121X</v>
          </cell>
          <cell r="BD109" t="str">
            <v>NFT-/XUTR/DEUTH02526623121X</v>
          </cell>
          <cell r="BE109" t="str">
            <v>NFT-/XUTR/DEUTH02526623121X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3030.36</v>
          </cell>
          <cell r="BP109">
            <v>12</v>
          </cell>
          <cell r="BQ109">
            <v>0</v>
          </cell>
          <cell r="BR109">
            <v>0</v>
          </cell>
          <cell r="BS109">
            <v>0</v>
          </cell>
          <cell r="BT109">
            <v>0.5</v>
          </cell>
          <cell r="BU109">
            <v>0</v>
          </cell>
          <cell r="BV109">
            <v>0</v>
          </cell>
          <cell r="BW109">
            <v>0.1</v>
          </cell>
          <cell r="BX109" t="str">
            <v>Tiny Kingdom</v>
          </cell>
          <cell r="BY109" t="str">
            <v>Girls</v>
          </cell>
          <cell r="BZ109" t="str">
            <v>External</v>
          </cell>
          <cell r="CA109" t="str">
            <v>Clothing Set</v>
          </cell>
          <cell r="CB109" t="str">
            <v>ON_HAND</v>
          </cell>
          <cell r="CC109" t="b">
            <v>0</v>
          </cell>
          <cell r="CD109" t="str">
            <v>**********</v>
          </cell>
          <cell r="CE109">
            <v>521201</v>
          </cell>
          <cell r="CF109" t="str">
            <v>27AXUPC8425A1ZH</v>
          </cell>
          <cell r="CH109" t="str">
            <v>29AAECM9636P1ZJ</v>
          </cell>
          <cell r="CI109" t="str">
            <v>Mumbai</v>
          </cell>
          <cell r="CJ109">
            <v>400013</v>
          </cell>
          <cell r="CK109" t="str">
            <v>maharashtra</v>
          </cell>
          <cell r="CL109" t="str">
            <v>MH</v>
          </cell>
          <cell r="CN109">
            <v>0</v>
          </cell>
          <cell r="CO109">
            <v>841.03300000000002</v>
          </cell>
          <cell r="CP109">
            <v>841.03300000000002</v>
          </cell>
          <cell r="CQ109">
            <v>0</v>
          </cell>
          <cell r="CR109">
            <v>0</v>
          </cell>
          <cell r="CS109">
            <v>0</v>
          </cell>
          <cell r="CT109">
            <v>900</v>
          </cell>
          <cell r="CU109">
            <v>3.0303599999999999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E109" t="str">
            <v>d7d84b0d-833d-4852-a239-1c5aea05ebfd</v>
          </cell>
          <cell r="DF109">
            <v>100078000000</v>
          </cell>
          <cell r="DG109">
            <v>15.151999999999999</v>
          </cell>
          <cell r="DH109">
            <v>0</v>
          </cell>
          <cell r="DI109">
            <v>3.03</v>
          </cell>
          <cell r="DJ109">
            <v>0</v>
          </cell>
          <cell r="DK109" t="str">
            <v>BRONZE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 t="str">
            <v>NA</v>
          </cell>
          <cell r="DU109" t="str">
            <v>NA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-2731.8449999999998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 t="str">
            <v>Settled</v>
          </cell>
          <cell r="FH109">
            <v>3600</v>
          </cell>
          <cell r="FI109">
            <v>2731.8449999999998</v>
          </cell>
          <cell r="FJ109">
            <v>859.21500000000003</v>
          </cell>
          <cell r="FK109">
            <v>197.06</v>
          </cell>
        </row>
        <row r="110">
          <cell r="A110">
            <v>8613805161</v>
          </cell>
          <cell r="B110">
            <v>10613730709</v>
          </cell>
          <cell r="C110" t="str">
            <v>return_refund</v>
          </cell>
          <cell r="D110">
            <v>45891.458333333336</v>
          </cell>
          <cell r="E110">
            <v>45881.771527777775</v>
          </cell>
          <cell r="F110">
            <v>44520</v>
          </cell>
          <cell r="G110" t="str">
            <v>Myntra Designs Pvt Ltd</v>
          </cell>
          <cell r="H110" t="str">
            <v>TIKIDRSS106641709</v>
          </cell>
          <cell r="I110" t="str">
            <v>\I2726TK000002405\""</v>
          </cell>
          <cell r="J110">
            <v>8613805161</v>
          </cell>
          <cell r="K110">
            <v>62042300</v>
          </cell>
          <cell r="L110" t="str">
            <v>Apparel</v>
          </cell>
          <cell r="M110" t="str">
            <v>INR</v>
          </cell>
          <cell r="N110">
            <v>2606</v>
          </cell>
          <cell r="O110">
            <v>0</v>
          </cell>
          <cell r="P110">
            <v>2606</v>
          </cell>
          <cell r="Q110">
            <v>3750</v>
          </cell>
          <cell r="R110">
            <v>938</v>
          </cell>
          <cell r="S110" t="str">
            <v>Inter-State</v>
          </cell>
          <cell r="T110">
            <v>12</v>
          </cell>
          <cell r="U110">
            <v>279.20999999999998</v>
          </cell>
          <cell r="V110">
            <v>0</v>
          </cell>
          <cell r="W110">
            <v>0</v>
          </cell>
          <cell r="X110">
            <v>11.634</v>
          </cell>
          <cell r="Y110">
            <v>2.327</v>
          </cell>
          <cell r="AA110">
            <v>0</v>
          </cell>
          <cell r="AB110">
            <v>553.51400000000001</v>
          </cell>
          <cell r="AC110">
            <v>553.51400000000001</v>
          </cell>
          <cell r="AD110">
            <v>567.47500000000002</v>
          </cell>
          <cell r="AE110">
            <v>-197.06</v>
          </cell>
          <cell r="AF110">
            <v>167</v>
          </cell>
          <cell r="AG110">
            <v>0</v>
          </cell>
          <cell r="AH110">
            <v>0</v>
          </cell>
          <cell r="AI110">
            <v>0</v>
          </cell>
          <cell r="AJ110">
            <v>30.06</v>
          </cell>
          <cell r="AK110">
            <v>1</v>
          </cell>
          <cell r="AL110" t="str">
            <v>NATIONAL</v>
          </cell>
          <cell r="AM110">
            <v>2812</v>
          </cell>
          <cell r="AN110">
            <v>-2235.585</v>
          </cell>
          <cell r="AO110">
            <v>-2235.585</v>
          </cell>
          <cell r="AP110">
            <v>0</v>
          </cell>
          <cell r="AQ110">
            <v>567.47500000000002</v>
          </cell>
          <cell r="AR110">
            <v>-197.06</v>
          </cell>
          <cell r="AS110">
            <v>-2606</v>
          </cell>
          <cell r="AV110">
            <v>0</v>
          </cell>
          <cell r="AW110">
            <v>45901</v>
          </cell>
          <cell r="AX110">
            <v>45901</v>
          </cell>
          <cell r="AY110">
            <v>45901</v>
          </cell>
          <cell r="BC110" t="str">
            <v>NFT-/XUTR/DEUTH025244A0LW1X</v>
          </cell>
          <cell r="BD110" t="str">
            <v>NFT-/XUTR/DEUTH025244A0LW1X</v>
          </cell>
          <cell r="BE110" t="str">
            <v>NFT-/XUTR/DEUTH025244A0LW1X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2326.79</v>
          </cell>
          <cell r="BP110">
            <v>12</v>
          </cell>
          <cell r="BQ110">
            <v>0</v>
          </cell>
          <cell r="BR110">
            <v>0</v>
          </cell>
          <cell r="BS110">
            <v>0</v>
          </cell>
          <cell r="BT110">
            <v>0.5</v>
          </cell>
          <cell r="BU110">
            <v>0</v>
          </cell>
          <cell r="BV110">
            <v>0</v>
          </cell>
          <cell r="BW110">
            <v>0.1</v>
          </cell>
          <cell r="BX110" t="str">
            <v>Tiny Kingdom</v>
          </cell>
          <cell r="BY110" t="str">
            <v>Girls</v>
          </cell>
          <cell r="BZ110" t="str">
            <v>External</v>
          </cell>
          <cell r="CA110" t="str">
            <v>Dresses</v>
          </cell>
          <cell r="CB110" t="str">
            <v>ON_HAND</v>
          </cell>
          <cell r="CC110" t="b">
            <v>0</v>
          </cell>
          <cell r="CD110" t="str">
            <v>**********</v>
          </cell>
          <cell r="CE110">
            <v>492101</v>
          </cell>
          <cell r="CF110" t="str">
            <v>27AXUPC8425A1ZH</v>
          </cell>
          <cell r="CH110" t="str">
            <v>29AAECM9636P1ZJ</v>
          </cell>
          <cell r="CI110" t="str">
            <v>Mumbai</v>
          </cell>
          <cell r="CJ110">
            <v>400013</v>
          </cell>
          <cell r="CK110" t="str">
            <v>maharashtra</v>
          </cell>
          <cell r="CL110" t="str">
            <v>MH</v>
          </cell>
          <cell r="CN110">
            <v>0</v>
          </cell>
          <cell r="CO110">
            <v>553.51400000000001</v>
          </cell>
          <cell r="CP110">
            <v>553.51400000000001</v>
          </cell>
          <cell r="CQ110">
            <v>0</v>
          </cell>
          <cell r="CR110">
            <v>0</v>
          </cell>
          <cell r="CS110">
            <v>0</v>
          </cell>
          <cell r="CT110">
            <v>938</v>
          </cell>
          <cell r="CU110">
            <v>2.3267899999999999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E110" t="str">
            <v>1fae1793-0589-4dfd-8c5f-a54e04358542</v>
          </cell>
          <cell r="DF110">
            <v>100071000000</v>
          </cell>
          <cell r="DG110">
            <v>11.634</v>
          </cell>
          <cell r="DH110">
            <v>0</v>
          </cell>
          <cell r="DI110">
            <v>2.327</v>
          </cell>
          <cell r="DJ110">
            <v>0</v>
          </cell>
          <cell r="DK110" t="str">
            <v>BRONZE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 t="str">
            <v>NA</v>
          </cell>
          <cell r="DU110" t="str">
            <v>NA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EB110">
            <v>-2235.585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 t="str">
            <v>Settled</v>
          </cell>
          <cell r="FH110">
            <v>2812</v>
          </cell>
          <cell r="FI110">
            <v>2235.585</v>
          </cell>
          <cell r="FJ110">
            <v>567.47500000000002</v>
          </cell>
          <cell r="FK110">
            <v>197.06</v>
          </cell>
        </row>
        <row r="111">
          <cell r="A111">
            <v>8654866662</v>
          </cell>
          <cell r="B111">
            <v>10654790860</v>
          </cell>
          <cell r="C111" t="str">
            <v>return_refund</v>
          </cell>
          <cell r="D111">
            <v>45914.636805555558</v>
          </cell>
          <cell r="E111">
            <v>45908.48333333333</v>
          </cell>
          <cell r="F111">
            <v>44542</v>
          </cell>
          <cell r="G111" t="str">
            <v>Myntra Designs Pvt Ltd</v>
          </cell>
          <cell r="H111" t="str">
            <v>TIKILHNC106661972</v>
          </cell>
          <cell r="I111" t="str">
            <v>\I2726TK000002782\""</v>
          </cell>
          <cell r="J111">
            <v>8654866662</v>
          </cell>
          <cell r="K111">
            <v>62042300</v>
          </cell>
          <cell r="L111" t="str">
            <v>Apparel</v>
          </cell>
          <cell r="M111" t="str">
            <v>INR</v>
          </cell>
          <cell r="N111">
            <v>3794</v>
          </cell>
          <cell r="O111">
            <v>0</v>
          </cell>
          <cell r="P111">
            <v>3794</v>
          </cell>
          <cell r="Q111">
            <v>5000</v>
          </cell>
          <cell r="R111">
            <v>1000</v>
          </cell>
          <cell r="S111" t="str">
            <v>Inter-State</v>
          </cell>
          <cell r="T111">
            <v>12</v>
          </cell>
          <cell r="U111">
            <v>406.5</v>
          </cell>
          <cell r="V111">
            <v>0</v>
          </cell>
          <cell r="W111">
            <v>0</v>
          </cell>
          <cell r="X111">
            <v>16.937000000000001</v>
          </cell>
          <cell r="Y111">
            <v>3.3879999999999999</v>
          </cell>
          <cell r="AA111">
            <v>0</v>
          </cell>
          <cell r="AB111">
            <v>940.15300000000002</v>
          </cell>
          <cell r="AC111">
            <v>940.15300000000002</v>
          </cell>
          <cell r="AD111">
            <v>960.47799999999995</v>
          </cell>
          <cell r="AE111">
            <v>-197.06</v>
          </cell>
          <cell r="AF111">
            <v>167</v>
          </cell>
          <cell r="AG111">
            <v>0</v>
          </cell>
          <cell r="AH111">
            <v>0</v>
          </cell>
          <cell r="AI111">
            <v>0</v>
          </cell>
          <cell r="AJ111">
            <v>30.06</v>
          </cell>
          <cell r="AK111">
            <v>1</v>
          </cell>
          <cell r="AL111" t="str">
            <v>NATIONAL</v>
          </cell>
          <cell r="AM111">
            <v>4000</v>
          </cell>
          <cell r="AN111">
            <v>-3030.5819999999999</v>
          </cell>
          <cell r="AO111">
            <v>-3030.5819999999999</v>
          </cell>
          <cell r="AP111">
            <v>0</v>
          </cell>
          <cell r="AQ111">
            <v>960.47799999999995</v>
          </cell>
          <cell r="AR111">
            <v>-197.06</v>
          </cell>
          <cell r="AS111">
            <v>-3794</v>
          </cell>
          <cell r="AV111">
            <v>0</v>
          </cell>
          <cell r="AW111">
            <v>45929</v>
          </cell>
          <cell r="AX111">
            <v>45929</v>
          </cell>
          <cell r="AY111">
            <v>45929</v>
          </cell>
          <cell r="BC111" t="str">
            <v>NFT-/XUTR/DEUTH025272A0RO3X</v>
          </cell>
          <cell r="BD111" t="str">
            <v>NFT-/XUTR/DEUTH025272A0RO3X</v>
          </cell>
          <cell r="BE111" t="str">
            <v>NFT-/XUTR/DEUTH025272A0RO3X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3387.5</v>
          </cell>
          <cell r="BP111">
            <v>12</v>
          </cell>
          <cell r="BQ111">
            <v>0</v>
          </cell>
          <cell r="BR111">
            <v>0</v>
          </cell>
          <cell r="BS111">
            <v>0</v>
          </cell>
          <cell r="BT111">
            <v>0.5</v>
          </cell>
          <cell r="BU111">
            <v>0</v>
          </cell>
          <cell r="BV111">
            <v>0</v>
          </cell>
          <cell r="BW111">
            <v>0.1</v>
          </cell>
          <cell r="BX111" t="str">
            <v>Tiny Kingdom</v>
          </cell>
          <cell r="BY111" t="str">
            <v>Girls</v>
          </cell>
          <cell r="BZ111" t="str">
            <v>External</v>
          </cell>
          <cell r="CA111" t="str">
            <v>Lehenga Choli</v>
          </cell>
          <cell r="CB111" t="str">
            <v>ON_HAND</v>
          </cell>
          <cell r="CC111" t="b">
            <v>0</v>
          </cell>
          <cell r="CD111" t="str">
            <v>**********</v>
          </cell>
          <cell r="CE111">
            <v>831014</v>
          </cell>
          <cell r="CF111" t="str">
            <v>27AXUPC8425A1ZH</v>
          </cell>
          <cell r="CH111" t="str">
            <v>29AAECM9636P1ZJ</v>
          </cell>
          <cell r="CI111" t="str">
            <v>Mumbai</v>
          </cell>
          <cell r="CJ111">
            <v>400013</v>
          </cell>
          <cell r="CK111" t="str">
            <v>maharashtra</v>
          </cell>
          <cell r="CL111" t="str">
            <v>MH</v>
          </cell>
          <cell r="CN111">
            <v>0</v>
          </cell>
          <cell r="CO111">
            <v>940.15300000000002</v>
          </cell>
          <cell r="CP111">
            <v>940.15300000000002</v>
          </cell>
          <cell r="CQ111">
            <v>0</v>
          </cell>
          <cell r="CR111">
            <v>0</v>
          </cell>
          <cell r="CS111">
            <v>0</v>
          </cell>
          <cell r="CT111">
            <v>1000</v>
          </cell>
          <cell r="CU111">
            <v>3.3875000000000002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E111" t="str">
            <v>cb00943b-0941-496d-a9fb-d4ddd1695174</v>
          </cell>
          <cell r="DF111">
            <v>100078000000</v>
          </cell>
          <cell r="DG111">
            <v>16.937000000000001</v>
          </cell>
          <cell r="DH111">
            <v>0</v>
          </cell>
          <cell r="DI111">
            <v>3.3879999999999999</v>
          </cell>
          <cell r="DJ111">
            <v>0</v>
          </cell>
          <cell r="DK111" t="str">
            <v>BRONZE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 t="str">
            <v>NA</v>
          </cell>
          <cell r="DU111" t="str">
            <v>NA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-3030.5819999999999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 t="str">
            <v>Settled</v>
          </cell>
          <cell r="FH111">
            <v>4000</v>
          </cell>
          <cell r="FI111">
            <v>3030.5819999999999</v>
          </cell>
          <cell r="FJ111">
            <v>960.47799999999995</v>
          </cell>
          <cell r="FK111">
            <v>197.06</v>
          </cell>
        </row>
        <row r="112">
          <cell r="A112">
            <v>8649750336</v>
          </cell>
          <cell r="B112">
            <v>10649674640</v>
          </cell>
          <cell r="C112" t="str">
            <v>return_refund</v>
          </cell>
          <cell r="D112">
            <v>45918.169444444444</v>
          </cell>
          <cell r="E112">
            <v>45905.57916666667</v>
          </cell>
          <cell r="F112">
            <v>44541</v>
          </cell>
          <cell r="G112" t="str">
            <v>Myntra Designs Pvt Ltd</v>
          </cell>
          <cell r="H112" t="str">
            <v>BETYDRSS98745561</v>
          </cell>
          <cell r="I112" t="str">
            <v>\I2726TK000002762\""</v>
          </cell>
          <cell r="J112">
            <v>8649750336</v>
          </cell>
          <cell r="K112">
            <v>62042300</v>
          </cell>
          <cell r="L112" t="str">
            <v>Apparel</v>
          </cell>
          <cell r="M112" t="str">
            <v>INR</v>
          </cell>
          <cell r="N112">
            <v>2419</v>
          </cell>
          <cell r="O112">
            <v>0</v>
          </cell>
          <cell r="P112">
            <v>2419</v>
          </cell>
          <cell r="Q112">
            <v>3750</v>
          </cell>
          <cell r="R112">
            <v>1125</v>
          </cell>
          <cell r="S112" t="str">
            <v>Inter-State</v>
          </cell>
          <cell r="T112">
            <v>12</v>
          </cell>
          <cell r="U112">
            <v>259.18</v>
          </cell>
          <cell r="V112">
            <v>0</v>
          </cell>
          <cell r="W112">
            <v>0</v>
          </cell>
          <cell r="X112">
            <v>10.798999999999999</v>
          </cell>
          <cell r="Y112">
            <v>2.16</v>
          </cell>
          <cell r="AA112">
            <v>0</v>
          </cell>
          <cell r="AB112">
            <v>770.69299999999998</v>
          </cell>
          <cell r="AC112">
            <v>770.69299999999998</v>
          </cell>
          <cell r="AD112">
            <v>783.65200000000004</v>
          </cell>
          <cell r="AE112">
            <v>-197.06</v>
          </cell>
          <cell r="AF112">
            <v>167</v>
          </cell>
          <cell r="AG112">
            <v>0</v>
          </cell>
          <cell r="AH112">
            <v>0</v>
          </cell>
          <cell r="AI112">
            <v>0</v>
          </cell>
          <cell r="AJ112">
            <v>30.06</v>
          </cell>
          <cell r="AK112">
            <v>1</v>
          </cell>
          <cell r="AL112" t="str">
            <v>NATIONAL</v>
          </cell>
          <cell r="AM112">
            <v>2625</v>
          </cell>
          <cell r="AN112">
            <v>-1832.4079999999999</v>
          </cell>
          <cell r="AO112">
            <v>-1832.4079999999999</v>
          </cell>
          <cell r="AP112">
            <v>0</v>
          </cell>
          <cell r="AQ112">
            <v>783.65200000000004</v>
          </cell>
          <cell r="AR112">
            <v>-197.06</v>
          </cell>
          <cell r="AS112">
            <v>-2419</v>
          </cell>
          <cell r="AV112">
            <v>0</v>
          </cell>
          <cell r="AW112">
            <v>45926</v>
          </cell>
          <cell r="AX112">
            <v>45926</v>
          </cell>
          <cell r="AY112">
            <v>45926</v>
          </cell>
          <cell r="BC112" t="str">
            <v>NFT-/XUTR/DEUTH02526963643X</v>
          </cell>
          <cell r="BD112" t="str">
            <v>NFT-/XUTR/DEUTH02526963643X</v>
          </cell>
          <cell r="BE112" t="str">
            <v>NFT-/XUTR/DEUTH02526963643X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2159.8200000000002</v>
          </cell>
          <cell r="BP112">
            <v>12</v>
          </cell>
          <cell r="BQ112">
            <v>0</v>
          </cell>
          <cell r="BR112">
            <v>0</v>
          </cell>
          <cell r="BS112">
            <v>0</v>
          </cell>
          <cell r="BT112">
            <v>0.5</v>
          </cell>
          <cell r="BU112">
            <v>0</v>
          </cell>
          <cell r="BV112">
            <v>0</v>
          </cell>
          <cell r="BW112">
            <v>0.1</v>
          </cell>
          <cell r="BX112" t="str">
            <v>BETTY</v>
          </cell>
          <cell r="BY112" t="str">
            <v>Girls</v>
          </cell>
          <cell r="BZ112" t="str">
            <v>External</v>
          </cell>
          <cell r="CA112" t="str">
            <v>Dresses</v>
          </cell>
          <cell r="CB112" t="str">
            <v>ON_HAND</v>
          </cell>
          <cell r="CC112" t="b">
            <v>0</v>
          </cell>
          <cell r="CD112" t="str">
            <v>**********</v>
          </cell>
          <cell r="CE112">
            <v>122003</v>
          </cell>
          <cell r="CF112" t="str">
            <v>27AXUPC8425A1ZH</v>
          </cell>
          <cell r="CH112" t="str">
            <v>29AAECM9636P1ZJ</v>
          </cell>
          <cell r="CI112" t="str">
            <v>Mumbai</v>
          </cell>
          <cell r="CJ112">
            <v>400013</v>
          </cell>
          <cell r="CK112" t="str">
            <v>maharashtra</v>
          </cell>
          <cell r="CL112" t="str">
            <v>MH</v>
          </cell>
          <cell r="CN112">
            <v>0</v>
          </cell>
          <cell r="CO112">
            <v>770.69299999999998</v>
          </cell>
          <cell r="CP112">
            <v>770.69299999999998</v>
          </cell>
          <cell r="CQ112">
            <v>0</v>
          </cell>
          <cell r="CR112">
            <v>0</v>
          </cell>
          <cell r="CS112">
            <v>0</v>
          </cell>
          <cell r="CT112">
            <v>1125</v>
          </cell>
          <cell r="CU112">
            <v>2.1598199999999999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E112" t="str">
            <v>37a70e58-b397-4b04-8659-9f4fd36b5644</v>
          </cell>
          <cell r="DF112">
            <v>100079000000</v>
          </cell>
          <cell r="DG112">
            <v>10.798999999999999</v>
          </cell>
          <cell r="DH112">
            <v>0</v>
          </cell>
          <cell r="DI112">
            <v>2.16</v>
          </cell>
          <cell r="DJ112">
            <v>0</v>
          </cell>
          <cell r="DK112" t="str">
            <v>BRONZE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 t="str">
            <v>NA</v>
          </cell>
          <cell r="DU112" t="str">
            <v>NA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-1832.4079999999999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 t="str">
            <v>Settled</v>
          </cell>
          <cell r="FH112">
            <v>2625</v>
          </cell>
          <cell r="FI112">
            <v>1832.4079999999999</v>
          </cell>
          <cell r="FJ112">
            <v>783.65200000000004</v>
          </cell>
          <cell r="FK112">
            <v>197.06</v>
          </cell>
        </row>
        <row r="113">
          <cell r="A113">
            <v>8620217140</v>
          </cell>
          <cell r="B113">
            <v>10620142341</v>
          </cell>
          <cell r="C113" t="str">
            <v>return_refund</v>
          </cell>
          <cell r="D113">
            <v>45893.446527777778</v>
          </cell>
          <cell r="E113">
            <v>45887.452777777777</v>
          </cell>
          <cell r="F113">
            <v>44526</v>
          </cell>
          <cell r="G113" t="str">
            <v>Myntra Designs Pvt Ltd</v>
          </cell>
          <cell r="H113" t="str">
            <v>BETYCLST112352481</v>
          </cell>
          <cell r="I113" t="str">
            <v>\I2726TK000002455\""</v>
          </cell>
          <cell r="J113">
            <v>8620217140</v>
          </cell>
          <cell r="K113">
            <v>62042300</v>
          </cell>
          <cell r="L113" t="str">
            <v>Apparel</v>
          </cell>
          <cell r="M113" t="str">
            <v>INR</v>
          </cell>
          <cell r="N113">
            <v>5006</v>
          </cell>
          <cell r="O113">
            <v>5006</v>
          </cell>
          <cell r="P113">
            <v>0</v>
          </cell>
          <cell r="Q113">
            <v>6950</v>
          </cell>
          <cell r="R113">
            <v>1738</v>
          </cell>
          <cell r="S113" t="str">
            <v>Inter-State</v>
          </cell>
          <cell r="T113">
            <v>12</v>
          </cell>
          <cell r="U113">
            <v>536.36</v>
          </cell>
          <cell r="V113">
            <v>0</v>
          </cell>
          <cell r="W113">
            <v>0</v>
          </cell>
          <cell r="X113">
            <v>22.347999999999999</v>
          </cell>
          <cell r="Y113">
            <v>4.47</v>
          </cell>
          <cell r="AA113">
            <v>0</v>
          </cell>
          <cell r="AB113">
            <v>1535.8409999999999</v>
          </cell>
          <cell r="AC113">
            <v>1535.8409999999999</v>
          </cell>
          <cell r="AD113">
            <v>1562.6590000000001</v>
          </cell>
          <cell r="AE113">
            <v>-197.06</v>
          </cell>
          <cell r="AF113">
            <v>167</v>
          </cell>
          <cell r="AG113">
            <v>0</v>
          </cell>
          <cell r="AH113">
            <v>0</v>
          </cell>
          <cell r="AI113">
            <v>0</v>
          </cell>
          <cell r="AJ113">
            <v>30.06</v>
          </cell>
          <cell r="AK113">
            <v>1</v>
          </cell>
          <cell r="AL113" t="str">
            <v>NATIONAL</v>
          </cell>
          <cell r="AM113">
            <v>5212</v>
          </cell>
          <cell r="AN113">
            <v>-3640.4009999999998</v>
          </cell>
          <cell r="AO113">
            <v>-3640.4009999999998</v>
          </cell>
          <cell r="AP113">
            <v>0</v>
          </cell>
          <cell r="AS113">
            <v>0</v>
          </cell>
          <cell r="AT113">
            <v>1562.6590000000001</v>
          </cell>
          <cell r="AU113">
            <v>-197.06</v>
          </cell>
          <cell r="AV113">
            <v>-5006</v>
          </cell>
          <cell r="AZ113">
            <v>45908</v>
          </cell>
          <cell r="BA113">
            <v>45908</v>
          </cell>
          <cell r="BB113">
            <v>45908</v>
          </cell>
          <cell r="BF113" t="str">
            <v>NFT-/XUTR/DEUTH025251A0HB7X</v>
          </cell>
          <cell r="BG113" t="str">
            <v>NFT-/XUTR/DEUTH025251A0HB7X</v>
          </cell>
          <cell r="BH113" t="str">
            <v>NFT-/XUTR/DEUTH025251A0HB7X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4469.6400000000003</v>
          </cell>
          <cell r="BP113">
            <v>12</v>
          </cell>
          <cell r="BQ113">
            <v>0</v>
          </cell>
          <cell r="BR113">
            <v>0</v>
          </cell>
          <cell r="BS113">
            <v>0</v>
          </cell>
          <cell r="BT113">
            <v>0.5</v>
          </cell>
          <cell r="BU113">
            <v>0</v>
          </cell>
          <cell r="BV113">
            <v>0</v>
          </cell>
          <cell r="BW113">
            <v>0.1</v>
          </cell>
          <cell r="BX113" t="str">
            <v>BETTY</v>
          </cell>
          <cell r="BY113" t="str">
            <v>Girls</v>
          </cell>
          <cell r="BZ113" t="str">
            <v>External</v>
          </cell>
          <cell r="CA113" t="str">
            <v>Kurta Sets</v>
          </cell>
          <cell r="CB113" t="str">
            <v>ON_HAND</v>
          </cell>
          <cell r="CC113" t="b">
            <v>0</v>
          </cell>
          <cell r="CD113" t="str">
            <v>**********</v>
          </cell>
          <cell r="CE113">
            <v>495001</v>
          </cell>
          <cell r="CF113" t="str">
            <v>27AXUPC8425A1ZH</v>
          </cell>
          <cell r="CH113" t="str">
            <v>29AAECM9636P1ZJ</v>
          </cell>
          <cell r="CI113" t="str">
            <v>Mumbai</v>
          </cell>
          <cell r="CJ113">
            <v>400013</v>
          </cell>
          <cell r="CK113" t="str">
            <v>maharashtra</v>
          </cell>
          <cell r="CL113" t="str">
            <v>MH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W113">
            <v>0</v>
          </cell>
          <cell r="CX113">
            <v>1535.8409999999999</v>
          </cell>
          <cell r="CY113">
            <v>1535.8409999999999</v>
          </cell>
          <cell r="CZ113">
            <v>0</v>
          </cell>
          <cell r="DA113">
            <v>0</v>
          </cell>
          <cell r="DB113">
            <v>0</v>
          </cell>
          <cell r="DC113">
            <v>1738</v>
          </cell>
          <cell r="DD113">
            <v>4.4696400000000001</v>
          </cell>
          <cell r="DE113" t="str">
            <v>dfe4fe32-ce98-4318-89a3-6561a7fbe893</v>
          </cell>
          <cell r="DF113">
            <v>100072000000</v>
          </cell>
          <cell r="DG113">
            <v>0</v>
          </cell>
          <cell r="DH113">
            <v>22.347999999999999</v>
          </cell>
          <cell r="DI113">
            <v>0</v>
          </cell>
          <cell r="DJ113">
            <v>4.47</v>
          </cell>
          <cell r="DK113" t="str">
            <v>BRONZE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 t="str">
            <v>NA</v>
          </cell>
          <cell r="DU113" t="str">
            <v>NA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-3640.4009999999998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 t="str">
            <v>Settled</v>
          </cell>
          <cell r="FH113">
            <v>5212</v>
          </cell>
          <cell r="FI113">
            <v>3640.4009999999998</v>
          </cell>
          <cell r="FJ113">
            <v>1562.6590000000001</v>
          </cell>
          <cell r="FK113">
            <v>197.06</v>
          </cell>
        </row>
        <row r="114">
          <cell r="A114">
            <v>8659789290</v>
          </cell>
          <cell r="B114">
            <v>10659713388</v>
          </cell>
          <cell r="C114" t="str">
            <v>return_refund</v>
          </cell>
          <cell r="D114">
            <v>45921.442361111112</v>
          </cell>
          <cell r="E114">
            <v>45911.459027777775</v>
          </cell>
          <cell r="G114" t="str">
            <v>Myntra Designs Pvt Ltd</v>
          </cell>
          <cell r="H114" t="str">
            <v>TIKIDRSS94856462</v>
          </cell>
          <cell r="I114" t="str">
            <v>\I2726TK000002855\""</v>
          </cell>
          <cell r="J114">
            <v>8659789290</v>
          </cell>
          <cell r="K114">
            <v>62042300</v>
          </cell>
          <cell r="L114" t="str">
            <v>Apparel</v>
          </cell>
          <cell r="M114" t="str">
            <v>INR</v>
          </cell>
          <cell r="N114">
            <v>2194</v>
          </cell>
          <cell r="O114">
            <v>0</v>
          </cell>
          <cell r="P114">
            <v>2194</v>
          </cell>
          <cell r="Q114">
            <v>4000</v>
          </cell>
          <cell r="R114">
            <v>1600</v>
          </cell>
          <cell r="S114" t="str">
            <v>Inter-State</v>
          </cell>
          <cell r="T114">
            <v>12</v>
          </cell>
          <cell r="U114">
            <v>235.07</v>
          </cell>
          <cell r="V114">
            <v>0</v>
          </cell>
          <cell r="W114">
            <v>0</v>
          </cell>
          <cell r="X114">
            <v>9.7949999999999999</v>
          </cell>
          <cell r="Y114">
            <v>1.9590000000000001</v>
          </cell>
          <cell r="AA114">
            <v>0</v>
          </cell>
          <cell r="AB114">
            <v>466.00599999999997</v>
          </cell>
          <cell r="AC114">
            <v>466.00599999999997</v>
          </cell>
          <cell r="AD114">
            <v>477.76</v>
          </cell>
          <cell r="AE114">
            <v>-197.06</v>
          </cell>
          <cell r="AF114">
            <v>167</v>
          </cell>
          <cell r="AG114">
            <v>0</v>
          </cell>
          <cell r="AH114">
            <v>0</v>
          </cell>
          <cell r="AI114">
            <v>0</v>
          </cell>
          <cell r="AJ114">
            <v>30.06</v>
          </cell>
          <cell r="AK114">
            <v>1</v>
          </cell>
          <cell r="AL114" t="str">
            <v>NATIONAL</v>
          </cell>
          <cell r="AM114">
            <v>2400</v>
          </cell>
          <cell r="AN114">
            <v>-1913.3</v>
          </cell>
          <cell r="AO114">
            <v>-1913.3</v>
          </cell>
          <cell r="AP114">
            <v>0</v>
          </cell>
          <cell r="AQ114">
            <v>477.76</v>
          </cell>
          <cell r="AR114">
            <v>-197.06</v>
          </cell>
          <cell r="AS114">
            <v>-2194</v>
          </cell>
          <cell r="AV114">
            <v>0</v>
          </cell>
          <cell r="AW114">
            <v>45929</v>
          </cell>
          <cell r="AX114">
            <v>45929</v>
          </cell>
          <cell r="AY114">
            <v>45929</v>
          </cell>
          <cell r="BC114" t="str">
            <v>NFT-/XUTR/DEUTH025272A0RO3X</v>
          </cell>
          <cell r="BD114" t="str">
            <v>NFT-/XUTR/DEUTH025272A0RO3X</v>
          </cell>
          <cell r="BE114" t="str">
            <v>NFT-/XUTR/DEUTH025272A0RO3X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1958.93</v>
          </cell>
          <cell r="BP114">
            <v>12</v>
          </cell>
          <cell r="BQ114">
            <v>0</v>
          </cell>
          <cell r="BR114">
            <v>0</v>
          </cell>
          <cell r="BS114">
            <v>0</v>
          </cell>
          <cell r="BT114">
            <v>0.5</v>
          </cell>
          <cell r="BU114">
            <v>0</v>
          </cell>
          <cell r="BV114">
            <v>0</v>
          </cell>
          <cell r="BW114">
            <v>0.1</v>
          </cell>
          <cell r="BX114" t="str">
            <v>Tiny Kingdom</v>
          </cell>
          <cell r="BY114" t="str">
            <v>Girls</v>
          </cell>
          <cell r="BZ114" t="str">
            <v>External</v>
          </cell>
          <cell r="CA114" t="str">
            <v>Dresses</v>
          </cell>
          <cell r="CB114" t="str">
            <v>ON_HAND</v>
          </cell>
          <cell r="CC114" t="b">
            <v>0</v>
          </cell>
          <cell r="CD114" t="str">
            <v>**********</v>
          </cell>
          <cell r="CE114">
            <v>474011</v>
          </cell>
          <cell r="CF114" t="str">
            <v>27AXUPC8425A1ZH</v>
          </cell>
          <cell r="CH114" t="str">
            <v>29AAECM9636P1ZJ</v>
          </cell>
          <cell r="CI114" t="str">
            <v>Mumbai</v>
          </cell>
          <cell r="CJ114">
            <v>400013</v>
          </cell>
          <cell r="CK114" t="str">
            <v>maharashtra</v>
          </cell>
          <cell r="CL114" t="str">
            <v>MH</v>
          </cell>
          <cell r="CN114">
            <v>0</v>
          </cell>
          <cell r="CO114">
            <v>466.00599999999997</v>
          </cell>
          <cell r="CP114">
            <v>466.00599999999997</v>
          </cell>
          <cell r="CQ114">
            <v>0</v>
          </cell>
          <cell r="CR114">
            <v>0</v>
          </cell>
          <cell r="CS114">
            <v>0</v>
          </cell>
          <cell r="CT114">
            <v>1600</v>
          </cell>
          <cell r="CU114">
            <v>1.9589300000000001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E114" t="str">
            <v>cc7f203f-c5cc-46dd-83d1-49bbaf534edb</v>
          </cell>
          <cell r="DF114">
            <v>100080000000</v>
          </cell>
          <cell r="DG114">
            <v>9.7949999999999999</v>
          </cell>
          <cell r="DH114">
            <v>0</v>
          </cell>
          <cell r="DI114">
            <v>1.9590000000000001</v>
          </cell>
          <cell r="DJ114">
            <v>0</v>
          </cell>
          <cell r="DK114" t="str">
            <v>BRONZE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 t="str">
            <v>NA</v>
          </cell>
          <cell r="DU114" t="str">
            <v>NA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-1913.3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 t="str">
            <v>Settled</v>
          </cell>
          <cell r="FH114">
            <v>2400</v>
          </cell>
          <cell r="FI114">
            <v>1913.3</v>
          </cell>
          <cell r="FJ114">
            <v>477.76</v>
          </cell>
          <cell r="FK114">
            <v>197.06</v>
          </cell>
        </row>
        <row r="115">
          <cell r="A115">
            <v>8656288035</v>
          </cell>
          <cell r="B115">
            <v>10656212164</v>
          </cell>
          <cell r="C115" t="str">
            <v>return_refund</v>
          </cell>
          <cell r="D115">
            <v>45913.606249999997</v>
          </cell>
          <cell r="E115">
            <v>45908.788194444445</v>
          </cell>
          <cell r="F115">
            <v>44547</v>
          </cell>
          <cell r="G115" t="str">
            <v>Myntra Designs Pvt Ltd</v>
          </cell>
          <cell r="H115" t="str">
            <v>TIKICLST113026320</v>
          </cell>
          <cell r="I115" t="str">
            <v>\I2726TK000002814\""</v>
          </cell>
          <cell r="J115">
            <v>8656288035</v>
          </cell>
          <cell r="K115">
            <v>62042300</v>
          </cell>
          <cell r="L115" t="str">
            <v>Apparel</v>
          </cell>
          <cell r="M115" t="str">
            <v>INR</v>
          </cell>
          <cell r="N115">
            <v>2994</v>
          </cell>
          <cell r="O115">
            <v>2994</v>
          </cell>
          <cell r="P115">
            <v>0</v>
          </cell>
          <cell r="Q115">
            <v>4000</v>
          </cell>
          <cell r="R115">
            <v>800</v>
          </cell>
          <cell r="S115" t="str">
            <v>Inter-State</v>
          </cell>
          <cell r="T115">
            <v>12</v>
          </cell>
          <cell r="U115">
            <v>320.79000000000002</v>
          </cell>
          <cell r="V115">
            <v>0</v>
          </cell>
          <cell r="W115">
            <v>0</v>
          </cell>
          <cell r="X115">
            <v>13.366</v>
          </cell>
          <cell r="Y115">
            <v>2.673</v>
          </cell>
          <cell r="AA115">
            <v>0</v>
          </cell>
          <cell r="AB115">
            <v>777.24199999999996</v>
          </cell>
          <cell r="AC115">
            <v>777.24199999999996</v>
          </cell>
          <cell r="AD115">
            <v>793.28099999999995</v>
          </cell>
          <cell r="AE115">
            <v>-132.16</v>
          </cell>
          <cell r="AF115">
            <v>112</v>
          </cell>
          <cell r="AG115">
            <v>0</v>
          </cell>
          <cell r="AH115">
            <v>0</v>
          </cell>
          <cell r="AI115">
            <v>0</v>
          </cell>
          <cell r="AJ115">
            <v>20.16</v>
          </cell>
          <cell r="AK115">
            <v>1</v>
          </cell>
          <cell r="AL115" t="str">
            <v>ZONAL</v>
          </cell>
          <cell r="AM115">
            <v>3200</v>
          </cell>
          <cell r="AN115">
            <v>-2332.8789999999999</v>
          </cell>
          <cell r="AO115">
            <v>-2332.8789999999999</v>
          </cell>
          <cell r="AP115">
            <v>0</v>
          </cell>
          <cell r="AS115">
            <v>0</v>
          </cell>
          <cell r="AT115">
            <v>793.28099999999995</v>
          </cell>
          <cell r="AU115">
            <v>-132.16</v>
          </cell>
          <cell r="AV115">
            <v>-2994</v>
          </cell>
          <cell r="AZ115">
            <v>45926</v>
          </cell>
          <cell r="BA115">
            <v>45926</v>
          </cell>
          <cell r="BB115">
            <v>45926</v>
          </cell>
          <cell r="BF115" t="str">
            <v>NFT-/XUTR/DEUTH02526965743X</v>
          </cell>
          <cell r="BG115" t="str">
            <v>NFT-/XUTR/DEUTH02526965743X</v>
          </cell>
          <cell r="BH115" t="str">
            <v>NFT-/XUTR/DEUTH02526965743X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2673.21</v>
          </cell>
          <cell r="BP115">
            <v>12</v>
          </cell>
          <cell r="BQ115">
            <v>0</v>
          </cell>
          <cell r="BR115">
            <v>0</v>
          </cell>
          <cell r="BS115">
            <v>0</v>
          </cell>
          <cell r="BT115">
            <v>0.5</v>
          </cell>
          <cell r="BU115">
            <v>0</v>
          </cell>
          <cell r="BV115">
            <v>0</v>
          </cell>
          <cell r="BW115">
            <v>0.1</v>
          </cell>
          <cell r="BX115" t="str">
            <v>Tiny Kingdom</v>
          </cell>
          <cell r="BY115" t="str">
            <v>Girls</v>
          </cell>
          <cell r="BZ115" t="str">
            <v>External</v>
          </cell>
          <cell r="CA115" t="str">
            <v>Kurta Sets</v>
          </cell>
          <cell r="CB115" t="str">
            <v>ON_HAND</v>
          </cell>
          <cell r="CC115" t="b">
            <v>0</v>
          </cell>
          <cell r="CD115" t="str">
            <v>**********</v>
          </cell>
          <cell r="CE115">
            <v>560102</v>
          </cell>
          <cell r="CF115" t="str">
            <v>27AXUPC8425A1ZH</v>
          </cell>
          <cell r="CH115" t="str">
            <v>29AAECM9636P1ZJ</v>
          </cell>
          <cell r="CI115" t="str">
            <v>Mumbai</v>
          </cell>
          <cell r="CJ115">
            <v>400013</v>
          </cell>
          <cell r="CK115" t="str">
            <v>maharashtra</v>
          </cell>
          <cell r="CL115" t="str">
            <v>MH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W115">
            <v>0</v>
          </cell>
          <cell r="CX115">
            <v>777.24199999999996</v>
          </cell>
          <cell r="CY115">
            <v>777.24199999999996</v>
          </cell>
          <cell r="CZ115">
            <v>0</v>
          </cell>
          <cell r="DA115">
            <v>0</v>
          </cell>
          <cell r="DB115">
            <v>0</v>
          </cell>
          <cell r="DC115">
            <v>800</v>
          </cell>
          <cell r="DD115">
            <v>2.6732100000000001</v>
          </cell>
          <cell r="DE115" t="str">
            <v>94f1ca22-39bf-4728-a8df-f1672c5ded43</v>
          </cell>
          <cell r="DF115">
            <v>100078000000</v>
          </cell>
          <cell r="DG115">
            <v>0</v>
          </cell>
          <cell r="DH115">
            <v>13.366</v>
          </cell>
          <cell r="DI115">
            <v>0</v>
          </cell>
          <cell r="DJ115">
            <v>2.673</v>
          </cell>
          <cell r="DK115" t="str">
            <v>BRONZE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 t="str">
            <v>NA</v>
          </cell>
          <cell r="DU115" t="str">
            <v>NA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-2332.8789999999999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 t="str">
            <v>Settled</v>
          </cell>
          <cell r="FH115">
            <v>3200</v>
          </cell>
          <cell r="FI115">
            <v>2332.8789999999999</v>
          </cell>
          <cell r="FJ115">
            <v>793.28099999999995</v>
          </cell>
          <cell r="FK115">
            <v>132.16</v>
          </cell>
        </row>
        <row r="116">
          <cell r="A116">
            <v>8641095253</v>
          </cell>
          <cell r="B116">
            <v>10641019697</v>
          </cell>
          <cell r="C116" t="str">
            <v>return_refund</v>
          </cell>
          <cell r="D116">
            <v>45906.522222222222</v>
          </cell>
          <cell r="E116">
            <v>45901.459027777775</v>
          </cell>
          <cell r="G116" t="str">
            <v>Myntra Designs Pvt Ltd</v>
          </cell>
          <cell r="H116" t="str">
            <v>BETYDRSS103350162</v>
          </cell>
          <cell r="I116" t="str">
            <v>\I2726TK000002690\""</v>
          </cell>
          <cell r="J116">
            <v>8641095253</v>
          </cell>
          <cell r="K116">
            <v>62042300</v>
          </cell>
          <cell r="L116" t="str">
            <v>Apparel</v>
          </cell>
          <cell r="M116" t="str">
            <v>INR</v>
          </cell>
          <cell r="N116">
            <v>3994</v>
          </cell>
          <cell r="O116">
            <v>0</v>
          </cell>
          <cell r="P116">
            <v>3994</v>
          </cell>
          <cell r="Q116">
            <v>6000</v>
          </cell>
          <cell r="R116">
            <v>1800</v>
          </cell>
          <cell r="S116" t="str">
            <v>Inter-State</v>
          </cell>
          <cell r="T116">
            <v>12</v>
          </cell>
          <cell r="U116">
            <v>427.93</v>
          </cell>
          <cell r="V116">
            <v>0</v>
          </cell>
          <cell r="W116">
            <v>0</v>
          </cell>
          <cell r="X116">
            <v>17.829999999999998</v>
          </cell>
          <cell r="Y116">
            <v>3.5659999999999998</v>
          </cell>
          <cell r="AA116">
            <v>0</v>
          </cell>
          <cell r="AB116">
            <v>1272.4880000000001</v>
          </cell>
          <cell r="AC116">
            <v>1272.4880000000001</v>
          </cell>
          <cell r="AD116">
            <v>1293.884</v>
          </cell>
          <cell r="AE116">
            <v>-197.06</v>
          </cell>
          <cell r="AF116">
            <v>167</v>
          </cell>
          <cell r="AG116">
            <v>0</v>
          </cell>
          <cell r="AH116">
            <v>0</v>
          </cell>
          <cell r="AI116">
            <v>0</v>
          </cell>
          <cell r="AJ116">
            <v>30.06</v>
          </cell>
          <cell r="AK116">
            <v>1</v>
          </cell>
          <cell r="AL116" t="str">
            <v>NATIONAL</v>
          </cell>
          <cell r="AM116">
            <v>4200</v>
          </cell>
          <cell r="AN116">
            <v>-2897.1759999999999</v>
          </cell>
          <cell r="AO116">
            <v>-2897.1759999999999</v>
          </cell>
          <cell r="AP116">
            <v>0</v>
          </cell>
          <cell r="AQ116">
            <v>1293.884</v>
          </cell>
          <cell r="AR116">
            <v>-197.06</v>
          </cell>
          <cell r="AS116">
            <v>-3994</v>
          </cell>
          <cell r="AV116">
            <v>0</v>
          </cell>
          <cell r="AW116">
            <v>45918</v>
          </cell>
          <cell r="AX116">
            <v>45918</v>
          </cell>
          <cell r="AY116">
            <v>45918</v>
          </cell>
          <cell r="BC116" t="str">
            <v>NFT-/XUTR/DEUTH02526109557X</v>
          </cell>
          <cell r="BD116" t="str">
            <v>NFT-/XUTR/DEUTH02526109557X</v>
          </cell>
          <cell r="BE116" t="str">
            <v>NFT-/XUTR/DEUTH02526109557X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3566.07</v>
          </cell>
          <cell r="BP116">
            <v>12</v>
          </cell>
          <cell r="BQ116">
            <v>0</v>
          </cell>
          <cell r="BR116">
            <v>0</v>
          </cell>
          <cell r="BS116">
            <v>0</v>
          </cell>
          <cell r="BT116">
            <v>0.5</v>
          </cell>
          <cell r="BU116">
            <v>0</v>
          </cell>
          <cell r="BV116">
            <v>0</v>
          </cell>
          <cell r="BW116">
            <v>0.1</v>
          </cell>
          <cell r="BX116" t="str">
            <v>BETTY</v>
          </cell>
          <cell r="BY116" t="str">
            <v>Girls</v>
          </cell>
          <cell r="BZ116" t="str">
            <v>External</v>
          </cell>
          <cell r="CA116" t="str">
            <v>Dresses</v>
          </cell>
          <cell r="CB116" t="str">
            <v>ON_HAND</v>
          </cell>
          <cell r="CC116" t="b">
            <v>0</v>
          </cell>
          <cell r="CD116" t="str">
            <v>**********</v>
          </cell>
          <cell r="CE116">
            <v>600075</v>
          </cell>
          <cell r="CF116" t="str">
            <v>27AXUPC8425A1ZH</v>
          </cell>
          <cell r="CH116" t="str">
            <v>29AAECM9636P1ZJ</v>
          </cell>
          <cell r="CI116" t="str">
            <v>Mumbai</v>
          </cell>
          <cell r="CJ116">
            <v>400013</v>
          </cell>
          <cell r="CK116" t="str">
            <v>maharashtra</v>
          </cell>
          <cell r="CL116" t="str">
            <v>MH</v>
          </cell>
          <cell r="CN116">
            <v>0</v>
          </cell>
          <cell r="CO116">
            <v>1272.4880000000001</v>
          </cell>
          <cell r="CP116">
            <v>1272.4880000000001</v>
          </cell>
          <cell r="CQ116">
            <v>0</v>
          </cell>
          <cell r="CR116">
            <v>0</v>
          </cell>
          <cell r="CS116">
            <v>0</v>
          </cell>
          <cell r="CT116">
            <v>1800</v>
          </cell>
          <cell r="CU116">
            <v>3.5660699999999999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E116" t="str">
            <v>93ac8b0d-1fec-450f-bfe7-c91a1ba0d7cc</v>
          </cell>
          <cell r="DF116">
            <v>100075000000</v>
          </cell>
          <cell r="DG116">
            <v>17.829999999999998</v>
          </cell>
          <cell r="DH116">
            <v>0</v>
          </cell>
          <cell r="DI116">
            <v>3.5659999999999998</v>
          </cell>
          <cell r="DJ116">
            <v>0</v>
          </cell>
          <cell r="DK116" t="str">
            <v>BRONZE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 t="str">
            <v>NA</v>
          </cell>
          <cell r="DU116" t="str">
            <v>NA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-2897.1759999999999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 t="str">
            <v>Settled</v>
          </cell>
          <cell r="FH116">
            <v>4200</v>
          </cell>
          <cell r="FI116">
            <v>2897.1759999999999</v>
          </cell>
          <cell r="FJ116">
            <v>1293.884</v>
          </cell>
          <cell r="FK116">
            <v>197.06</v>
          </cell>
        </row>
        <row r="117">
          <cell r="A117">
            <v>8630702581</v>
          </cell>
          <cell r="B117">
            <v>10630627292</v>
          </cell>
          <cell r="C117" t="str">
            <v>return_refund</v>
          </cell>
          <cell r="D117">
            <v>45904.558333333334</v>
          </cell>
          <cell r="E117">
            <v>45894.452777777777</v>
          </cell>
          <cell r="F117">
            <v>44534</v>
          </cell>
          <cell r="G117" t="str">
            <v>Myntra Designs Pvt Ltd</v>
          </cell>
          <cell r="H117" t="str">
            <v>TIKIDRSS103325153</v>
          </cell>
          <cell r="I117" t="str">
            <v>\I2726TK000002589\""</v>
          </cell>
          <cell r="J117">
            <v>8630702581</v>
          </cell>
          <cell r="K117">
            <v>62042300</v>
          </cell>
          <cell r="L117" t="str">
            <v>Apparel</v>
          </cell>
          <cell r="M117" t="str">
            <v>INR</v>
          </cell>
          <cell r="N117">
            <v>2244</v>
          </cell>
          <cell r="O117">
            <v>2242.3710000000001</v>
          </cell>
          <cell r="P117">
            <v>1.619</v>
          </cell>
          <cell r="Q117">
            <v>3500</v>
          </cell>
          <cell r="R117">
            <v>1050</v>
          </cell>
          <cell r="S117" t="str">
            <v>Inter-State</v>
          </cell>
          <cell r="T117">
            <v>12</v>
          </cell>
          <cell r="U117">
            <v>240.43</v>
          </cell>
          <cell r="V117">
            <v>0</v>
          </cell>
          <cell r="W117">
            <v>0</v>
          </cell>
          <cell r="X117">
            <v>10.018000000000001</v>
          </cell>
          <cell r="Y117">
            <v>2.0030000000000001</v>
          </cell>
          <cell r="AA117">
            <v>0</v>
          </cell>
          <cell r="AB117">
            <v>476.62400000000002</v>
          </cell>
          <cell r="AC117">
            <v>476.62400000000002</v>
          </cell>
          <cell r="AD117">
            <v>488.64499999999998</v>
          </cell>
          <cell r="AE117">
            <v>-132.16</v>
          </cell>
          <cell r="AF117">
            <v>112</v>
          </cell>
          <cell r="AG117">
            <v>0</v>
          </cell>
          <cell r="AH117">
            <v>0</v>
          </cell>
          <cell r="AI117">
            <v>0</v>
          </cell>
          <cell r="AJ117">
            <v>20.16</v>
          </cell>
          <cell r="AK117">
            <v>1</v>
          </cell>
          <cell r="AL117" t="str">
            <v>ZONAL</v>
          </cell>
          <cell r="AM117">
            <v>2450</v>
          </cell>
          <cell r="AN117">
            <v>-1887.5050000000001</v>
          </cell>
          <cell r="AO117">
            <v>-1887.5050000000001</v>
          </cell>
          <cell r="AP117">
            <v>0</v>
          </cell>
          <cell r="AQ117">
            <v>0.35199999999999998</v>
          </cell>
          <cell r="AR117">
            <v>-9.5579999999999998E-2</v>
          </cell>
          <cell r="AS117">
            <v>-1.619</v>
          </cell>
          <cell r="AT117">
            <v>488.29300000000001</v>
          </cell>
          <cell r="AU117">
            <v>-132.06442000000001</v>
          </cell>
          <cell r="AV117">
            <v>-2242.3710000000001</v>
          </cell>
          <cell r="AW117">
            <v>45911</v>
          </cell>
          <cell r="AX117">
            <v>45911</v>
          </cell>
          <cell r="AY117">
            <v>45911</v>
          </cell>
          <cell r="AZ117">
            <v>45911</v>
          </cell>
          <cell r="BA117">
            <v>45911</v>
          </cell>
          <cell r="BB117">
            <v>45911</v>
          </cell>
          <cell r="BC117" t="str">
            <v>NFT-/XUTR/DEUTH02525423909X</v>
          </cell>
          <cell r="BD117" t="str">
            <v>NFT-/XUTR/DEUTH02525423909X</v>
          </cell>
          <cell r="BE117" t="str">
            <v>NFT-/XUTR/DEUTH02525423909X</v>
          </cell>
          <cell r="BF117" t="str">
            <v>NFT-/XUTR/DEUTH02525408682X</v>
          </cell>
          <cell r="BG117" t="str">
            <v>NFT-/XUTR/DEUTH02525408682X</v>
          </cell>
          <cell r="BH117" t="str">
            <v>NFT-/XUTR/DEUTH02525408682X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2003.57</v>
          </cell>
          <cell r="BP117">
            <v>12</v>
          </cell>
          <cell r="BQ117">
            <v>0</v>
          </cell>
          <cell r="BR117">
            <v>0</v>
          </cell>
          <cell r="BS117">
            <v>0</v>
          </cell>
          <cell r="BT117">
            <v>0.5</v>
          </cell>
          <cell r="BU117">
            <v>0</v>
          </cell>
          <cell r="BV117">
            <v>0</v>
          </cell>
          <cell r="BW117">
            <v>0.1</v>
          </cell>
          <cell r="BX117" t="str">
            <v>Tiny Kingdom</v>
          </cell>
          <cell r="BY117" t="str">
            <v>Girls</v>
          </cell>
          <cell r="BZ117" t="str">
            <v>External</v>
          </cell>
          <cell r="CA117" t="str">
            <v>Dresses</v>
          </cell>
          <cell r="CB117" t="str">
            <v>ON_HAND</v>
          </cell>
          <cell r="CC117" t="b">
            <v>0</v>
          </cell>
          <cell r="CD117" t="str">
            <v>**********</v>
          </cell>
          <cell r="CE117">
            <v>403507</v>
          </cell>
          <cell r="CF117" t="str">
            <v>27AXUPC8425A1ZH</v>
          </cell>
          <cell r="CH117" t="str">
            <v>29AAECM9636P1ZJ</v>
          </cell>
          <cell r="CI117" t="str">
            <v>Mumbai</v>
          </cell>
          <cell r="CJ117">
            <v>400013</v>
          </cell>
          <cell r="CK117" t="str">
            <v>maharashtra</v>
          </cell>
          <cell r="CL117" t="str">
            <v>MH</v>
          </cell>
          <cell r="CN117">
            <v>0</v>
          </cell>
          <cell r="CO117">
            <v>0.34399999999999997</v>
          </cell>
          <cell r="CP117">
            <v>0.34399999999999997</v>
          </cell>
          <cell r="CQ117">
            <v>0</v>
          </cell>
          <cell r="CR117">
            <v>0</v>
          </cell>
          <cell r="CS117">
            <v>0</v>
          </cell>
          <cell r="CT117">
            <v>1050</v>
          </cell>
          <cell r="CU117">
            <v>2.0035699999999999</v>
          </cell>
          <cell r="CW117">
            <v>0</v>
          </cell>
          <cell r="CX117">
            <v>476.28</v>
          </cell>
          <cell r="CY117">
            <v>476.28</v>
          </cell>
          <cell r="CZ117">
            <v>0</v>
          </cell>
          <cell r="DA117">
            <v>0</v>
          </cell>
          <cell r="DB117">
            <v>0</v>
          </cell>
          <cell r="DC117">
            <v>1050</v>
          </cell>
          <cell r="DD117">
            <v>2.0035699999999999</v>
          </cell>
          <cell r="DE117" t="str">
            <v>b5a6e704-feb3-48b3-a459-10f9637da2a1</v>
          </cell>
          <cell r="DF117">
            <v>100075000000</v>
          </cell>
          <cell r="DG117">
            <v>7.0000000000000001E-3</v>
          </cell>
          <cell r="DH117">
            <v>10.010999999999999</v>
          </cell>
          <cell r="DI117">
            <v>1E-3</v>
          </cell>
          <cell r="DJ117">
            <v>2.0019999999999998</v>
          </cell>
          <cell r="DK117" t="str">
            <v>BRONZE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 t="str">
            <v>NA</v>
          </cell>
          <cell r="DU117" t="str">
            <v>NA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-1887.5050000000001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 t="str">
            <v>Settled</v>
          </cell>
          <cell r="FH117">
            <v>2450</v>
          </cell>
          <cell r="FI117">
            <v>1887.5050000000001</v>
          </cell>
          <cell r="FJ117">
            <v>488.64499999999998</v>
          </cell>
          <cell r="FK117">
            <v>132.16000000000003</v>
          </cell>
        </row>
        <row r="118">
          <cell r="A118">
            <v>8623738388</v>
          </cell>
          <cell r="B118">
            <v>10623663359</v>
          </cell>
          <cell r="C118" t="str">
            <v>return_refund</v>
          </cell>
          <cell r="D118">
            <v>45904.601388888892</v>
          </cell>
          <cell r="E118">
            <v>45888.776388888888</v>
          </cell>
          <cell r="F118">
            <v>44529</v>
          </cell>
          <cell r="G118" t="str">
            <v>Myntra Designs Pvt Ltd</v>
          </cell>
          <cell r="H118" t="str">
            <v>BETYCLST89590610</v>
          </cell>
          <cell r="I118" t="str">
            <v>\I2726TK000002503\""</v>
          </cell>
          <cell r="J118">
            <v>8623738388</v>
          </cell>
          <cell r="K118">
            <v>62042300</v>
          </cell>
          <cell r="L118" t="str">
            <v>Apparel</v>
          </cell>
          <cell r="M118" t="str">
            <v>INR</v>
          </cell>
          <cell r="N118">
            <v>3169</v>
          </cell>
          <cell r="O118">
            <v>3169</v>
          </cell>
          <cell r="P118">
            <v>0</v>
          </cell>
          <cell r="Q118">
            <v>4500</v>
          </cell>
          <cell r="R118">
            <v>1125</v>
          </cell>
          <cell r="S118" t="str">
            <v>Inter-State</v>
          </cell>
          <cell r="T118">
            <v>12</v>
          </cell>
          <cell r="U118">
            <v>339.54</v>
          </cell>
          <cell r="V118">
            <v>0</v>
          </cell>
          <cell r="W118">
            <v>0</v>
          </cell>
          <cell r="X118">
            <v>14.147</v>
          </cell>
          <cell r="Y118">
            <v>2.8290000000000002</v>
          </cell>
          <cell r="AA118">
            <v>0</v>
          </cell>
          <cell r="AB118">
            <v>972.24900000000002</v>
          </cell>
          <cell r="AC118">
            <v>972.24900000000002</v>
          </cell>
          <cell r="AD118">
            <v>989.22500000000002</v>
          </cell>
          <cell r="AE118">
            <v>-197.06</v>
          </cell>
          <cell r="AF118">
            <v>167</v>
          </cell>
          <cell r="AG118">
            <v>0</v>
          </cell>
          <cell r="AH118">
            <v>0</v>
          </cell>
          <cell r="AI118">
            <v>0</v>
          </cell>
          <cell r="AJ118">
            <v>30.06</v>
          </cell>
          <cell r="AK118">
            <v>1</v>
          </cell>
          <cell r="AL118" t="str">
            <v>NATIONAL</v>
          </cell>
          <cell r="AM118">
            <v>3375</v>
          </cell>
          <cell r="AN118">
            <v>-2376.835</v>
          </cell>
          <cell r="AO118">
            <v>-2376.835</v>
          </cell>
          <cell r="AP118">
            <v>0</v>
          </cell>
          <cell r="AS118">
            <v>0</v>
          </cell>
          <cell r="AT118">
            <v>989.22500000000002</v>
          </cell>
          <cell r="AU118">
            <v>-197.06</v>
          </cell>
          <cell r="AV118">
            <v>-3169</v>
          </cell>
          <cell r="AZ118">
            <v>45908</v>
          </cell>
          <cell r="BA118">
            <v>45908</v>
          </cell>
          <cell r="BB118">
            <v>45908</v>
          </cell>
          <cell r="BF118" t="str">
            <v>NFT-/XUTR/DEUTH025251A0HB7X</v>
          </cell>
          <cell r="BG118" t="str">
            <v>NFT-/XUTR/DEUTH025251A0HB7X</v>
          </cell>
          <cell r="BH118" t="str">
            <v>NFT-/XUTR/DEUTH025251A0HB7X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2829.46</v>
          </cell>
          <cell r="BP118">
            <v>12</v>
          </cell>
          <cell r="BQ118">
            <v>0</v>
          </cell>
          <cell r="BR118">
            <v>0</v>
          </cell>
          <cell r="BS118">
            <v>0</v>
          </cell>
          <cell r="BT118">
            <v>0.5</v>
          </cell>
          <cell r="BU118">
            <v>0</v>
          </cell>
          <cell r="BV118">
            <v>0</v>
          </cell>
          <cell r="BW118">
            <v>0.1</v>
          </cell>
          <cell r="BX118" t="str">
            <v>BETTY</v>
          </cell>
          <cell r="BY118" t="str">
            <v>Girls</v>
          </cell>
          <cell r="BZ118" t="str">
            <v>External</v>
          </cell>
          <cell r="CA118" t="str">
            <v>Kurta Sets</v>
          </cell>
          <cell r="CB118" t="str">
            <v>ON_HAND</v>
          </cell>
          <cell r="CC118" t="b">
            <v>0</v>
          </cell>
          <cell r="CD118" t="str">
            <v>**********</v>
          </cell>
          <cell r="CE118">
            <v>110063</v>
          </cell>
          <cell r="CF118" t="str">
            <v>27AXUPC8425A1ZH</v>
          </cell>
          <cell r="CH118" t="str">
            <v>29AAECM9636P1ZJ</v>
          </cell>
          <cell r="CI118" t="str">
            <v>Mumbai</v>
          </cell>
          <cell r="CJ118">
            <v>400013</v>
          </cell>
          <cell r="CK118" t="str">
            <v>maharashtra</v>
          </cell>
          <cell r="CL118" t="str">
            <v>MH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W118">
            <v>0</v>
          </cell>
          <cell r="CX118">
            <v>972.24900000000002</v>
          </cell>
          <cell r="CY118">
            <v>972.24900000000002</v>
          </cell>
          <cell r="CZ118">
            <v>0</v>
          </cell>
          <cell r="DA118">
            <v>0</v>
          </cell>
          <cell r="DB118">
            <v>0</v>
          </cell>
          <cell r="DC118">
            <v>1125</v>
          </cell>
          <cell r="DD118">
            <v>2.8294600000000001</v>
          </cell>
          <cell r="DE118" t="str">
            <v>d0c0d88e-7463-4042-a8b1-8df95e897253</v>
          </cell>
          <cell r="DF118">
            <v>100075000000</v>
          </cell>
          <cell r="DG118">
            <v>0</v>
          </cell>
          <cell r="DH118">
            <v>14.147</v>
          </cell>
          <cell r="DI118">
            <v>0</v>
          </cell>
          <cell r="DJ118">
            <v>2.8290000000000002</v>
          </cell>
          <cell r="DK118" t="str">
            <v>BRONZE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 t="str">
            <v>NA</v>
          </cell>
          <cell r="DU118" t="str">
            <v>NA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-2376.835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 t="str">
            <v>Settled</v>
          </cell>
          <cell r="FH118">
            <v>3375</v>
          </cell>
          <cell r="FI118">
            <v>2376.835</v>
          </cell>
          <cell r="FJ118">
            <v>989.22500000000002</v>
          </cell>
          <cell r="FK118">
            <v>197.06</v>
          </cell>
        </row>
        <row r="119">
          <cell r="A119">
            <v>8659785912</v>
          </cell>
          <cell r="B119">
            <v>10659710010</v>
          </cell>
          <cell r="C119" t="str">
            <v>return_refund</v>
          </cell>
          <cell r="D119">
            <v>45921.580555555556</v>
          </cell>
          <cell r="E119">
            <v>45911.459027777775</v>
          </cell>
          <cell r="F119">
            <v>44544</v>
          </cell>
          <cell r="G119" t="str">
            <v>Myntra Designs Pvt Ltd</v>
          </cell>
          <cell r="H119" t="str">
            <v>TIKILHNC115963237</v>
          </cell>
          <cell r="I119" t="str">
            <v>\I2726TK000002851\""</v>
          </cell>
          <cell r="J119">
            <v>8659785912</v>
          </cell>
          <cell r="K119">
            <v>62042300</v>
          </cell>
          <cell r="L119" t="str">
            <v>Apparel</v>
          </cell>
          <cell r="M119" t="str">
            <v>INR</v>
          </cell>
          <cell r="N119">
            <v>3594</v>
          </cell>
          <cell r="O119">
            <v>3594</v>
          </cell>
          <cell r="P119">
            <v>0</v>
          </cell>
          <cell r="Q119">
            <v>4750</v>
          </cell>
          <cell r="R119">
            <v>950</v>
          </cell>
          <cell r="S119" t="str">
            <v>Inter-State</v>
          </cell>
          <cell r="T119">
            <v>12</v>
          </cell>
          <cell r="U119">
            <v>385.07</v>
          </cell>
          <cell r="V119">
            <v>0</v>
          </cell>
          <cell r="W119">
            <v>0</v>
          </cell>
          <cell r="X119">
            <v>16.045000000000002</v>
          </cell>
          <cell r="Y119">
            <v>3.2090000000000001</v>
          </cell>
          <cell r="AA119">
            <v>0</v>
          </cell>
          <cell r="AB119">
            <v>890.59299999999996</v>
          </cell>
          <cell r="AC119">
            <v>890.59299999999996</v>
          </cell>
          <cell r="AD119">
            <v>909.84699999999998</v>
          </cell>
          <cell r="AE119">
            <v>-197.06</v>
          </cell>
          <cell r="AF119">
            <v>167</v>
          </cell>
          <cell r="AG119">
            <v>0</v>
          </cell>
          <cell r="AH119">
            <v>0</v>
          </cell>
          <cell r="AI119">
            <v>0</v>
          </cell>
          <cell r="AJ119">
            <v>30.06</v>
          </cell>
          <cell r="AK119">
            <v>1</v>
          </cell>
          <cell r="AL119" t="str">
            <v>NATIONAL</v>
          </cell>
          <cell r="AM119">
            <v>3800</v>
          </cell>
          <cell r="AN119">
            <v>-2881.2130000000002</v>
          </cell>
          <cell r="AO119">
            <v>-2881.2130000000002</v>
          </cell>
          <cell r="AP119">
            <v>0</v>
          </cell>
          <cell r="AS119">
            <v>0</v>
          </cell>
          <cell r="AT119">
            <v>909.84699999999998</v>
          </cell>
          <cell r="AU119">
            <v>-197.06</v>
          </cell>
          <cell r="AV119">
            <v>-3594</v>
          </cell>
          <cell r="AZ119">
            <v>45929</v>
          </cell>
          <cell r="BA119">
            <v>45929</v>
          </cell>
          <cell r="BB119">
            <v>45929</v>
          </cell>
          <cell r="BF119" t="str">
            <v>NFT-/XUTR/DEUTH025272A0QW5X</v>
          </cell>
          <cell r="BG119" t="str">
            <v>NFT-/XUTR/DEUTH025272A0QW5X</v>
          </cell>
          <cell r="BH119" t="str">
            <v>NFT-/XUTR/DEUTH025272A0QW5X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3208.93</v>
          </cell>
          <cell r="BP119">
            <v>12</v>
          </cell>
          <cell r="BQ119">
            <v>0</v>
          </cell>
          <cell r="BR119">
            <v>0</v>
          </cell>
          <cell r="BS119">
            <v>0</v>
          </cell>
          <cell r="BT119">
            <v>0.5</v>
          </cell>
          <cell r="BU119">
            <v>0</v>
          </cell>
          <cell r="BV119">
            <v>0</v>
          </cell>
          <cell r="BW119">
            <v>0.1</v>
          </cell>
          <cell r="BX119" t="str">
            <v>Tiny Kingdom</v>
          </cell>
          <cell r="BY119" t="str">
            <v>Girls</v>
          </cell>
          <cell r="BZ119" t="str">
            <v>External</v>
          </cell>
          <cell r="CA119" t="str">
            <v>Lehenga Choli</v>
          </cell>
          <cell r="CB119" t="str">
            <v>ON_HAND</v>
          </cell>
          <cell r="CC119" t="b">
            <v>0</v>
          </cell>
          <cell r="CD119" t="str">
            <v>**********</v>
          </cell>
          <cell r="CE119">
            <v>628003</v>
          </cell>
          <cell r="CF119" t="str">
            <v>27AXUPC8425A1ZH</v>
          </cell>
          <cell r="CH119" t="str">
            <v>29AAECM9636P1ZJ</v>
          </cell>
          <cell r="CI119" t="str">
            <v>Mumbai</v>
          </cell>
          <cell r="CJ119">
            <v>400013</v>
          </cell>
          <cell r="CK119" t="str">
            <v>maharashtra</v>
          </cell>
          <cell r="CL119" t="str">
            <v>MH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W119">
            <v>0</v>
          </cell>
          <cell r="CX119">
            <v>890.59299999999996</v>
          </cell>
          <cell r="CY119">
            <v>890.59299999999996</v>
          </cell>
          <cell r="CZ119">
            <v>0</v>
          </cell>
          <cell r="DA119">
            <v>0</v>
          </cell>
          <cell r="DB119">
            <v>0</v>
          </cell>
          <cell r="DC119">
            <v>950</v>
          </cell>
          <cell r="DD119">
            <v>3.2089300000000001</v>
          </cell>
          <cell r="DE119" t="str">
            <v>80d9d924-fd24-42a8-b257-2d38c59a4491</v>
          </cell>
          <cell r="DF119">
            <v>100080000000</v>
          </cell>
          <cell r="DG119">
            <v>0</v>
          </cell>
          <cell r="DH119">
            <v>16.045000000000002</v>
          </cell>
          <cell r="DI119">
            <v>0</v>
          </cell>
          <cell r="DJ119">
            <v>3.2090000000000001</v>
          </cell>
          <cell r="DK119" t="str">
            <v>BRONZE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 t="str">
            <v>NA</v>
          </cell>
          <cell r="DU119" t="str">
            <v>NA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-2881.2130000000002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 t="str">
            <v>Settled</v>
          </cell>
          <cell r="FH119">
            <v>3800</v>
          </cell>
          <cell r="FI119">
            <v>2881.2130000000002</v>
          </cell>
          <cell r="FJ119">
            <v>909.84699999999998</v>
          </cell>
          <cell r="FK119">
            <v>197.06</v>
          </cell>
        </row>
        <row r="120">
          <cell r="A120">
            <v>8621926796</v>
          </cell>
          <cell r="B120">
            <v>10621851882</v>
          </cell>
          <cell r="C120" t="str">
            <v>return_refund</v>
          </cell>
          <cell r="D120">
            <v>45898.557638888888</v>
          </cell>
          <cell r="E120">
            <v>45887.452777777777</v>
          </cell>
          <cell r="G120" t="str">
            <v>Myntra Designs Pvt Ltd</v>
          </cell>
          <cell r="H120" t="str">
            <v>TNBYDRSS100915664</v>
          </cell>
          <cell r="I120" t="str">
            <v>\I2726TK000002454\""</v>
          </cell>
          <cell r="J120">
            <v>8621926796</v>
          </cell>
          <cell r="K120">
            <v>62042300</v>
          </cell>
          <cell r="L120" t="str">
            <v>Apparel</v>
          </cell>
          <cell r="M120" t="str">
            <v>INR</v>
          </cell>
          <cell r="N120">
            <v>2474</v>
          </cell>
          <cell r="O120">
            <v>0</v>
          </cell>
          <cell r="P120">
            <v>2474</v>
          </cell>
          <cell r="Q120">
            <v>3350</v>
          </cell>
          <cell r="R120">
            <v>670</v>
          </cell>
          <cell r="S120" t="str">
            <v>Inter-State</v>
          </cell>
          <cell r="T120">
            <v>12</v>
          </cell>
          <cell r="U120">
            <v>265.07</v>
          </cell>
          <cell r="V120">
            <v>0</v>
          </cell>
          <cell r="W120">
            <v>0</v>
          </cell>
          <cell r="X120">
            <v>11.045</v>
          </cell>
          <cell r="Y120">
            <v>2.2090000000000001</v>
          </cell>
          <cell r="AA120">
            <v>0</v>
          </cell>
          <cell r="AB120">
            <v>642.25</v>
          </cell>
          <cell r="AC120">
            <v>642.25</v>
          </cell>
          <cell r="AD120">
            <v>655.50400000000002</v>
          </cell>
          <cell r="AE120">
            <v>-197.06</v>
          </cell>
          <cell r="AF120">
            <v>167</v>
          </cell>
          <cell r="AG120">
            <v>0</v>
          </cell>
          <cell r="AH120">
            <v>0</v>
          </cell>
          <cell r="AI120">
            <v>0</v>
          </cell>
          <cell r="AJ120">
            <v>30.06</v>
          </cell>
          <cell r="AK120">
            <v>1</v>
          </cell>
          <cell r="AL120" t="str">
            <v>NATIONAL</v>
          </cell>
          <cell r="AM120">
            <v>2680</v>
          </cell>
          <cell r="AN120">
            <v>-2015.556</v>
          </cell>
          <cell r="AO120">
            <v>-2015.556</v>
          </cell>
          <cell r="AP120">
            <v>0</v>
          </cell>
          <cell r="AQ120">
            <v>655.50400000000002</v>
          </cell>
          <cell r="AR120">
            <v>-197.06</v>
          </cell>
          <cell r="AS120">
            <v>-2474</v>
          </cell>
          <cell r="AV120">
            <v>0</v>
          </cell>
          <cell r="AW120">
            <v>45908</v>
          </cell>
          <cell r="AX120">
            <v>45908</v>
          </cell>
          <cell r="AY120">
            <v>45908</v>
          </cell>
          <cell r="BC120" t="str">
            <v>NFT-/XUTR/DEUTH025251A0L0JX</v>
          </cell>
          <cell r="BD120" t="str">
            <v>NFT-/XUTR/DEUTH025251A0L0JX</v>
          </cell>
          <cell r="BE120" t="str">
            <v>NFT-/XUTR/DEUTH025251A0L0JX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2208.9299999999998</v>
          </cell>
          <cell r="BP120">
            <v>12</v>
          </cell>
          <cell r="BQ120">
            <v>0</v>
          </cell>
          <cell r="BR120">
            <v>0</v>
          </cell>
          <cell r="BS120">
            <v>0</v>
          </cell>
          <cell r="BT120">
            <v>0.5</v>
          </cell>
          <cell r="BU120">
            <v>0</v>
          </cell>
          <cell r="BV120">
            <v>0</v>
          </cell>
          <cell r="BW120">
            <v>0.1</v>
          </cell>
          <cell r="BX120" t="str">
            <v>Tiny Baby</v>
          </cell>
          <cell r="BY120" t="str">
            <v>Girls</v>
          </cell>
          <cell r="BZ120" t="str">
            <v>External</v>
          </cell>
          <cell r="CA120" t="str">
            <v>Dresses</v>
          </cell>
          <cell r="CB120" t="str">
            <v>ON_HAND</v>
          </cell>
          <cell r="CC120" t="b">
            <v>0</v>
          </cell>
          <cell r="CD120" t="str">
            <v>**********</v>
          </cell>
          <cell r="CE120">
            <v>201301</v>
          </cell>
          <cell r="CF120" t="str">
            <v>27AXUPC8425A1ZH</v>
          </cell>
          <cell r="CH120" t="str">
            <v>29AAECM9636P1ZJ</v>
          </cell>
          <cell r="CI120" t="str">
            <v>Mumbai</v>
          </cell>
          <cell r="CJ120">
            <v>400013</v>
          </cell>
          <cell r="CK120" t="str">
            <v>maharashtra</v>
          </cell>
          <cell r="CL120" t="str">
            <v>MH</v>
          </cell>
          <cell r="CN120">
            <v>0</v>
          </cell>
          <cell r="CO120">
            <v>642.25</v>
          </cell>
          <cell r="CP120">
            <v>642.25</v>
          </cell>
          <cell r="CQ120">
            <v>0</v>
          </cell>
          <cell r="CR120">
            <v>0</v>
          </cell>
          <cell r="CS120">
            <v>0</v>
          </cell>
          <cell r="CT120">
            <v>670</v>
          </cell>
          <cell r="CU120">
            <v>2.2089300000000001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E120" t="str">
            <v>c35269f6-c21b-45af-83a9-ad88fce4b023</v>
          </cell>
          <cell r="DF120">
            <v>100073000000</v>
          </cell>
          <cell r="DG120">
            <v>11.045</v>
          </cell>
          <cell r="DH120">
            <v>0</v>
          </cell>
          <cell r="DI120">
            <v>2.2090000000000001</v>
          </cell>
          <cell r="DJ120">
            <v>0</v>
          </cell>
          <cell r="DK120" t="str">
            <v>BRONZE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 t="str">
            <v>NA</v>
          </cell>
          <cell r="DU120" t="str">
            <v>NA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-2015.556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 t="str">
            <v>Settled</v>
          </cell>
          <cell r="FH120">
            <v>2680</v>
          </cell>
          <cell r="FI120">
            <v>2015.556</v>
          </cell>
          <cell r="FJ120">
            <v>655.50400000000002</v>
          </cell>
          <cell r="FK120">
            <v>197.06</v>
          </cell>
        </row>
        <row r="121">
          <cell r="A121">
            <v>8637711047</v>
          </cell>
          <cell r="B121">
            <v>10637635575</v>
          </cell>
          <cell r="C121" t="str">
            <v>return_refund</v>
          </cell>
          <cell r="D121">
            <v>45912.379861111112</v>
          </cell>
          <cell r="E121">
            <v>45898.775000000001</v>
          </cell>
          <cell r="G121" t="str">
            <v>Myntra Designs Pvt Ltd</v>
          </cell>
          <cell r="H121" t="str">
            <v>TIKILHNC113581775</v>
          </cell>
          <cell r="I121" t="str">
            <v>\I2726TK000002655\""</v>
          </cell>
          <cell r="J121">
            <v>8637711047</v>
          </cell>
          <cell r="K121">
            <v>62042300</v>
          </cell>
          <cell r="L121" t="str">
            <v>Apparel</v>
          </cell>
          <cell r="M121" t="str">
            <v>INR</v>
          </cell>
          <cell r="N121">
            <v>3194</v>
          </cell>
          <cell r="O121">
            <v>3194</v>
          </cell>
          <cell r="P121">
            <v>0</v>
          </cell>
          <cell r="Q121">
            <v>4000</v>
          </cell>
          <cell r="R121">
            <v>600</v>
          </cell>
          <cell r="S121" t="str">
            <v>Inter-State</v>
          </cell>
          <cell r="T121">
            <v>12</v>
          </cell>
          <cell r="U121">
            <v>342.21</v>
          </cell>
          <cell r="V121">
            <v>0</v>
          </cell>
          <cell r="W121">
            <v>0</v>
          </cell>
          <cell r="X121">
            <v>14.259</v>
          </cell>
          <cell r="Y121">
            <v>2.8519999999999999</v>
          </cell>
          <cell r="AA121">
            <v>0</v>
          </cell>
          <cell r="AB121">
            <v>791.47299999999996</v>
          </cell>
          <cell r="AC121">
            <v>791.47299999999996</v>
          </cell>
          <cell r="AD121">
            <v>808.58399999999995</v>
          </cell>
          <cell r="AE121">
            <v>-197.06</v>
          </cell>
          <cell r="AF121">
            <v>167</v>
          </cell>
          <cell r="AG121">
            <v>0</v>
          </cell>
          <cell r="AH121">
            <v>0</v>
          </cell>
          <cell r="AI121">
            <v>0</v>
          </cell>
          <cell r="AJ121">
            <v>30.06</v>
          </cell>
          <cell r="AK121">
            <v>1</v>
          </cell>
          <cell r="AL121" t="str">
            <v>NATIONAL</v>
          </cell>
          <cell r="AM121">
            <v>3400</v>
          </cell>
          <cell r="AN121">
            <v>-2582.4760000000001</v>
          </cell>
          <cell r="AO121">
            <v>-2582.4760000000001</v>
          </cell>
          <cell r="AP121">
            <v>0</v>
          </cell>
          <cell r="AS121">
            <v>0</v>
          </cell>
          <cell r="AT121">
            <v>808.58399999999995</v>
          </cell>
          <cell r="AU121">
            <v>-197.06</v>
          </cell>
          <cell r="AV121">
            <v>-3194</v>
          </cell>
          <cell r="AZ121">
            <v>45919</v>
          </cell>
          <cell r="BA121">
            <v>45919</v>
          </cell>
          <cell r="BB121">
            <v>45919</v>
          </cell>
          <cell r="BF121" t="str">
            <v>NFT-/XUTR/DEUTH025262A0UKTX</v>
          </cell>
          <cell r="BG121" t="str">
            <v>NFT-/XUTR/DEUTH025262A0UKTX</v>
          </cell>
          <cell r="BH121" t="str">
            <v>NFT-/XUTR/DEUTH025262A0UKTX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2851.79</v>
          </cell>
          <cell r="BP121">
            <v>12</v>
          </cell>
          <cell r="BQ121">
            <v>0</v>
          </cell>
          <cell r="BR121">
            <v>0</v>
          </cell>
          <cell r="BS121">
            <v>0</v>
          </cell>
          <cell r="BT121">
            <v>0.5</v>
          </cell>
          <cell r="BU121">
            <v>0</v>
          </cell>
          <cell r="BV121">
            <v>0</v>
          </cell>
          <cell r="BW121">
            <v>0.1</v>
          </cell>
          <cell r="BX121" t="str">
            <v>Tiny Kingdom</v>
          </cell>
          <cell r="BY121" t="str">
            <v>Girls</v>
          </cell>
          <cell r="BZ121" t="str">
            <v>External</v>
          </cell>
          <cell r="CA121" t="str">
            <v>Lehenga Choli</v>
          </cell>
          <cell r="CB121" t="str">
            <v>ON_HAND</v>
          </cell>
          <cell r="CC121" t="b">
            <v>0</v>
          </cell>
          <cell r="CD121" t="str">
            <v>**********</v>
          </cell>
          <cell r="CE121">
            <v>171012</v>
          </cell>
          <cell r="CF121" t="str">
            <v>27AXUPC8425A1ZH</v>
          </cell>
          <cell r="CH121" t="str">
            <v>29AAECM9636P1ZJ</v>
          </cell>
          <cell r="CI121" t="str">
            <v>Mumbai</v>
          </cell>
          <cell r="CJ121">
            <v>400013</v>
          </cell>
          <cell r="CK121" t="str">
            <v>maharashtra</v>
          </cell>
          <cell r="CL121" t="str">
            <v>MH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W121">
            <v>0</v>
          </cell>
          <cell r="CX121">
            <v>791.47299999999996</v>
          </cell>
          <cell r="CY121">
            <v>791.47299999999996</v>
          </cell>
          <cell r="CZ121">
            <v>0</v>
          </cell>
          <cell r="DA121">
            <v>0</v>
          </cell>
          <cell r="DB121">
            <v>0</v>
          </cell>
          <cell r="DC121">
            <v>600</v>
          </cell>
          <cell r="DD121">
            <v>2.8517899999999998</v>
          </cell>
          <cell r="DE121" t="str">
            <v>2c30d9c1-384e-4f1c-a70d-54baf53530fd</v>
          </cell>
          <cell r="DF121">
            <v>100076000000</v>
          </cell>
          <cell r="DG121">
            <v>0</v>
          </cell>
          <cell r="DH121">
            <v>14.259</v>
          </cell>
          <cell r="DI121">
            <v>0</v>
          </cell>
          <cell r="DJ121">
            <v>2.8519999999999999</v>
          </cell>
          <cell r="DK121" t="str">
            <v>BRONZE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 t="str">
            <v>NA</v>
          </cell>
          <cell r="DU121" t="str">
            <v>NA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-2582.4760000000001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 t="str">
            <v>Settled</v>
          </cell>
          <cell r="FH121">
            <v>3400</v>
          </cell>
          <cell r="FI121">
            <v>2582.4760000000001</v>
          </cell>
          <cell r="FJ121">
            <v>808.58399999999995</v>
          </cell>
          <cell r="FK121">
            <v>197.06</v>
          </cell>
        </row>
        <row r="122">
          <cell r="A122">
            <v>8639335995</v>
          </cell>
          <cell r="B122">
            <v>10639260496</v>
          </cell>
          <cell r="C122" t="str">
            <v>return_refund</v>
          </cell>
          <cell r="D122">
            <v>45912.405555555553</v>
          </cell>
          <cell r="E122">
            <v>45900.458333333336</v>
          </cell>
          <cell r="G122" t="str">
            <v>Myntra Designs Pvt Ltd</v>
          </cell>
          <cell r="H122" t="str">
            <v>TIKICLST98837572</v>
          </cell>
          <cell r="I122" t="str">
            <v>\I2726TK000002680\""</v>
          </cell>
          <cell r="J122">
            <v>8639335995</v>
          </cell>
          <cell r="K122">
            <v>62042300</v>
          </cell>
          <cell r="L122" t="str">
            <v>Apparel</v>
          </cell>
          <cell r="M122" t="str">
            <v>INR</v>
          </cell>
          <cell r="N122">
            <v>1204</v>
          </cell>
          <cell r="O122">
            <v>87.936000000000007</v>
          </cell>
          <cell r="P122">
            <v>1116.0640000000001</v>
          </cell>
          <cell r="Q122">
            <v>2750</v>
          </cell>
          <cell r="R122">
            <v>1375</v>
          </cell>
          <cell r="S122" t="str">
            <v>Inter-State</v>
          </cell>
          <cell r="T122">
            <v>12</v>
          </cell>
          <cell r="U122">
            <v>129</v>
          </cell>
          <cell r="V122">
            <v>0</v>
          </cell>
          <cell r="W122">
            <v>0</v>
          </cell>
          <cell r="X122">
            <v>5.375</v>
          </cell>
          <cell r="Y122">
            <v>1.075</v>
          </cell>
          <cell r="AA122">
            <v>0</v>
          </cell>
          <cell r="AB122">
            <v>312.55799999999999</v>
          </cell>
          <cell r="AC122">
            <v>312.55799999999999</v>
          </cell>
          <cell r="AD122">
            <v>319.00799999999998</v>
          </cell>
          <cell r="AE122">
            <v>-197.06</v>
          </cell>
          <cell r="AF122">
            <v>167</v>
          </cell>
          <cell r="AG122">
            <v>0</v>
          </cell>
          <cell r="AH122">
            <v>0</v>
          </cell>
          <cell r="AI122">
            <v>0</v>
          </cell>
          <cell r="AJ122">
            <v>30.06</v>
          </cell>
          <cell r="AK122">
            <v>1</v>
          </cell>
          <cell r="AL122" t="str">
            <v>NATIONAL</v>
          </cell>
          <cell r="AM122">
            <v>1375</v>
          </cell>
          <cell r="AN122">
            <v>-1082.0519999999999</v>
          </cell>
          <cell r="AO122">
            <v>-1082.0519999999999</v>
          </cell>
          <cell r="AP122">
            <v>0</v>
          </cell>
          <cell r="AQ122">
            <v>295.70800000000003</v>
          </cell>
          <cell r="AR122">
            <v>-182.66754</v>
          </cell>
          <cell r="AS122">
            <v>-1116.0640000000001</v>
          </cell>
          <cell r="AT122">
            <v>23.3</v>
          </cell>
          <cell r="AU122">
            <v>-14.39246</v>
          </cell>
          <cell r="AV122">
            <v>-87.936000000000007</v>
          </cell>
          <cell r="AW122">
            <v>45922</v>
          </cell>
          <cell r="AX122">
            <v>45922</v>
          </cell>
          <cell r="AY122">
            <v>45922</v>
          </cell>
          <cell r="AZ122">
            <v>45922</v>
          </cell>
          <cell r="BA122">
            <v>45922</v>
          </cell>
          <cell r="BB122">
            <v>45922</v>
          </cell>
          <cell r="BC122" t="str">
            <v>NFT-/XUTR/DEUTH025265A10GKX</v>
          </cell>
          <cell r="BD122" t="str">
            <v>NFT-/XUTR/DEUTH025265A10GKX</v>
          </cell>
          <cell r="BE122" t="str">
            <v>NFT-/XUTR/DEUTH025265A10GKX</v>
          </cell>
          <cell r="BF122" t="str">
            <v>NFT-/XUTR/DEUTH025265A108YX</v>
          </cell>
          <cell r="BG122" t="str">
            <v>NFT-/XUTR/DEUTH025265A108YX</v>
          </cell>
          <cell r="BH122" t="str">
            <v>NFT-/XUTR/DEUTH025265A108YX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77</v>
          </cell>
          <cell r="BN122">
            <v>0</v>
          </cell>
          <cell r="BO122">
            <v>1075</v>
          </cell>
          <cell r="BP122">
            <v>12</v>
          </cell>
          <cell r="BQ122">
            <v>0</v>
          </cell>
          <cell r="BR122">
            <v>0</v>
          </cell>
          <cell r="BS122">
            <v>0</v>
          </cell>
          <cell r="BT122">
            <v>0.5</v>
          </cell>
          <cell r="BU122">
            <v>0</v>
          </cell>
          <cell r="BV122">
            <v>0</v>
          </cell>
          <cell r="BW122">
            <v>0.1</v>
          </cell>
          <cell r="BX122" t="str">
            <v>Tiny Kingdom</v>
          </cell>
          <cell r="BY122" t="str">
            <v>Girls</v>
          </cell>
          <cell r="BZ122" t="str">
            <v>External</v>
          </cell>
          <cell r="CA122" t="str">
            <v>Clothing Set</v>
          </cell>
          <cell r="CB122" t="str">
            <v>ON_HAND</v>
          </cell>
          <cell r="CC122" t="b">
            <v>0</v>
          </cell>
          <cell r="CD122" t="str">
            <v>**********</v>
          </cell>
          <cell r="CE122">
            <v>151005</v>
          </cell>
          <cell r="CF122" t="str">
            <v>27AXUPC8425A1ZH</v>
          </cell>
          <cell r="CH122" t="str">
            <v>29AAECM9636P1ZJ</v>
          </cell>
          <cell r="CI122" t="str">
            <v>Mumbai</v>
          </cell>
          <cell r="CJ122">
            <v>400013</v>
          </cell>
          <cell r="CK122" t="str">
            <v>maharashtra</v>
          </cell>
          <cell r="CL122" t="str">
            <v>MH</v>
          </cell>
          <cell r="CN122">
            <v>0</v>
          </cell>
          <cell r="CO122">
            <v>289.73</v>
          </cell>
          <cell r="CP122">
            <v>289.73</v>
          </cell>
          <cell r="CQ122">
            <v>0</v>
          </cell>
          <cell r="CR122">
            <v>0</v>
          </cell>
          <cell r="CS122">
            <v>0</v>
          </cell>
          <cell r="CT122">
            <v>1375</v>
          </cell>
          <cell r="CU122">
            <v>1.075</v>
          </cell>
          <cell r="CW122">
            <v>0</v>
          </cell>
          <cell r="CX122">
            <v>22.827999999999999</v>
          </cell>
          <cell r="CY122">
            <v>22.827999999999999</v>
          </cell>
          <cell r="CZ122">
            <v>0</v>
          </cell>
          <cell r="DA122">
            <v>0</v>
          </cell>
          <cell r="DB122">
            <v>0</v>
          </cell>
          <cell r="DC122">
            <v>1375</v>
          </cell>
          <cell r="DD122">
            <v>1.075</v>
          </cell>
          <cell r="DE122" t="str">
            <v>f85b8dc5-f96f-4517-942d-f4908ccd31a9</v>
          </cell>
          <cell r="DF122">
            <v>100078000000</v>
          </cell>
          <cell r="DG122">
            <v>4.9820000000000002</v>
          </cell>
          <cell r="DH122">
            <v>0.39300000000000002</v>
          </cell>
          <cell r="DI122">
            <v>0.996</v>
          </cell>
          <cell r="DJ122">
            <v>7.9000000000000001E-2</v>
          </cell>
          <cell r="DK122" t="str">
            <v>BRONZE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 t="str">
            <v>NA</v>
          </cell>
          <cell r="DU122" t="str">
            <v>NA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-1082.0519999999999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 t="str">
            <v>Settled</v>
          </cell>
          <cell r="FH122">
            <v>1375</v>
          </cell>
          <cell r="FI122">
            <v>1082.0519999999999</v>
          </cell>
          <cell r="FJ122">
            <v>319.00800000000004</v>
          </cell>
          <cell r="FK122">
            <v>197.06</v>
          </cell>
        </row>
        <row r="123">
          <cell r="A123">
            <v>8639253705</v>
          </cell>
          <cell r="B123">
            <v>10639178208</v>
          </cell>
          <cell r="C123" t="str">
            <v>return_refund</v>
          </cell>
          <cell r="D123">
            <v>45909.500694444447</v>
          </cell>
          <cell r="E123">
            <v>45899.763888888891</v>
          </cell>
          <cell r="G123" t="str">
            <v>Myntra Designs Pvt Ltd</v>
          </cell>
          <cell r="H123" t="str">
            <v>TIKILHNC103613437</v>
          </cell>
          <cell r="I123" t="str">
            <v>\I2726TK000002671\""</v>
          </cell>
          <cell r="J123">
            <v>8639253705</v>
          </cell>
          <cell r="K123">
            <v>62042300</v>
          </cell>
          <cell r="L123" t="str">
            <v>Apparel</v>
          </cell>
          <cell r="M123" t="str">
            <v>INR</v>
          </cell>
          <cell r="N123">
            <v>2944</v>
          </cell>
          <cell r="O123">
            <v>0</v>
          </cell>
          <cell r="P123">
            <v>2944</v>
          </cell>
          <cell r="Q123">
            <v>4500</v>
          </cell>
          <cell r="R123">
            <v>1350</v>
          </cell>
          <cell r="S123" t="str">
            <v>Inter-State</v>
          </cell>
          <cell r="T123">
            <v>12</v>
          </cell>
          <cell r="U123">
            <v>315.43</v>
          </cell>
          <cell r="V123">
            <v>0</v>
          </cell>
          <cell r="W123">
            <v>0</v>
          </cell>
          <cell r="X123">
            <v>13.143000000000001</v>
          </cell>
          <cell r="Y123">
            <v>2.629</v>
          </cell>
          <cell r="AA123">
            <v>0</v>
          </cell>
          <cell r="AB123">
            <v>729.52300000000002</v>
          </cell>
          <cell r="AC123">
            <v>729.52300000000002</v>
          </cell>
          <cell r="AD123">
            <v>745.29499999999996</v>
          </cell>
          <cell r="AE123">
            <v>-197.06</v>
          </cell>
          <cell r="AF123">
            <v>167</v>
          </cell>
          <cell r="AG123">
            <v>0</v>
          </cell>
          <cell r="AH123">
            <v>0</v>
          </cell>
          <cell r="AI123">
            <v>0</v>
          </cell>
          <cell r="AJ123">
            <v>30.06</v>
          </cell>
          <cell r="AK123">
            <v>1</v>
          </cell>
          <cell r="AL123" t="str">
            <v>NATIONAL</v>
          </cell>
          <cell r="AM123">
            <v>3150</v>
          </cell>
          <cell r="AN123">
            <v>-2395.7649999999999</v>
          </cell>
          <cell r="AO123">
            <v>-2395.7649999999999</v>
          </cell>
          <cell r="AP123">
            <v>0</v>
          </cell>
          <cell r="AQ123">
            <v>745.29499999999996</v>
          </cell>
          <cell r="AR123">
            <v>-197.06</v>
          </cell>
          <cell r="AS123">
            <v>-2944</v>
          </cell>
          <cell r="AV123">
            <v>0</v>
          </cell>
          <cell r="AW123">
            <v>45919</v>
          </cell>
          <cell r="AX123">
            <v>45919</v>
          </cell>
          <cell r="AY123">
            <v>45919</v>
          </cell>
          <cell r="BC123" t="str">
            <v>NFT-/XUTR/DEUTH025262A0W6UX</v>
          </cell>
          <cell r="BD123" t="str">
            <v>NFT-/XUTR/DEUTH025262A0W6UX</v>
          </cell>
          <cell r="BE123" t="str">
            <v>NFT-/XUTR/DEUTH025262A0W6UX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2628.57</v>
          </cell>
          <cell r="BP123">
            <v>12</v>
          </cell>
          <cell r="BQ123">
            <v>0</v>
          </cell>
          <cell r="BR123">
            <v>0</v>
          </cell>
          <cell r="BS123">
            <v>0</v>
          </cell>
          <cell r="BT123">
            <v>0.5</v>
          </cell>
          <cell r="BU123">
            <v>0</v>
          </cell>
          <cell r="BV123">
            <v>0</v>
          </cell>
          <cell r="BW123">
            <v>0.1</v>
          </cell>
          <cell r="BX123" t="str">
            <v>Tiny Kingdom</v>
          </cell>
          <cell r="BY123" t="str">
            <v>Girls</v>
          </cell>
          <cell r="BZ123" t="str">
            <v>External</v>
          </cell>
          <cell r="CA123" t="str">
            <v>Lehenga Choli</v>
          </cell>
          <cell r="CB123" t="str">
            <v>ON_HAND</v>
          </cell>
          <cell r="CC123" t="b">
            <v>0</v>
          </cell>
          <cell r="CD123" t="str">
            <v>**********</v>
          </cell>
          <cell r="CE123">
            <v>521201</v>
          </cell>
          <cell r="CF123" t="str">
            <v>27AXUPC8425A1ZH</v>
          </cell>
          <cell r="CH123" t="str">
            <v>29AAECM9636P1ZJ</v>
          </cell>
          <cell r="CI123" t="str">
            <v>Mumbai</v>
          </cell>
          <cell r="CJ123">
            <v>400013</v>
          </cell>
          <cell r="CK123" t="str">
            <v>maharashtra</v>
          </cell>
          <cell r="CL123" t="str">
            <v>MH</v>
          </cell>
          <cell r="CN123">
            <v>0</v>
          </cell>
          <cell r="CO123">
            <v>729.52300000000002</v>
          </cell>
          <cell r="CP123">
            <v>729.52300000000002</v>
          </cell>
          <cell r="CQ123">
            <v>0</v>
          </cell>
          <cell r="CR123">
            <v>0</v>
          </cell>
          <cell r="CS123">
            <v>0</v>
          </cell>
          <cell r="CT123">
            <v>1350</v>
          </cell>
          <cell r="CU123">
            <v>2.6285699999999999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E123" t="str">
            <v>3a06b49d-e1cc-49d2-b4b5-6a86106cfa5c</v>
          </cell>
          <cell r="DF123">
            <v>100076000000</v>
          </cell>
          <cell r="DG123">
            <v>13.143000000000001</v>
          </cell>
          <cell r="DH123">
            <v>0</v>
          </cell>
          <cell r="DI123">
            <v>2.629</v>
          </cell>
          <cell r="DJ123">
            <v>0</v>
          </cell>
          <cell r="DK123" t="str">
            <v>BRONZE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 t="str">
            <v>NA</v>
          </cell>
          <cell r="DU123" t="str">
            <v>NA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-2395.7649999999999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 t="str">
            <v>Settled</v>
          </cell>
          <cell r="FH123">
            <v>3150</v>
          </cell>
          <cell r="FI123">
            <v>2395.7649999999999</v>
          </cell>
          <cell r="FJ123">
            <v>745.29499999999996</v>
          </cell>
          <cell r="FK123">
            <v>197.06</v>
          </cell>
        </row>
        <row r="124">
          <cell r="A124">
            <v>8629466445</v>
          </cell>
          <cell r="B124">
            <v>10629391250</v>
          </cell>
          <cell r="C124" t="str">
            <v>return_refund</v>
          </cell>
          <cell r="D124">
            <v>45900.611805555556</v>
          </cell>
          <cell r="E124">
            <v>45892.432638888888</v>
          </cell>
          <cell r="G124" t="str">
            <v>Myntra Designs Pvt Ltd</v>
          </cell>
          <cell r="H124" t="str">
            <v>TIKICLST103607752</v>
          </cell>
          <cell r="I124" t="str">
            <v>\I2726TK000002551\""</v>
          </cell>
          <cell r="J124">
            <v>8629466445</v>
          </cell>
          <cell r="K124">
            <v>62042300</v>
          </cell>
          <cell r="L124" t="str">
            <v>Apparel</v>
          </cell>
          <cell r="M124" t="str">
            <v>INR</v>
          </cell>
          <cell r="N124">
            <v>3544</v>
          </cell>
          <cell r="O124">
            <v>3544</v>
          </cell>
          <cell r="P124">
            <v>0</v>
          </cell>
          <cell r="Q124">
            <v>5000</v>
          </cell>
          <cell r="R124">
            <v>1250</v>
          </cell>
          <cell r="S124" t="str">
            <v>Inter-State</v>
          </cell>
          <cell r="T124">
            <v>12</v>
          </cell>
          <cell r="U124">
            <v>379.71</v>
          </cell>
          <cell r="V124">
            <v>0</v>
          </cell>
          <cell r="W124">
            <v>0</v>
          </cell>
          <cell r="X124">
            <v>15.821</v>
          </cell>
          <cell r="Y124">
            <v>3.1640000000000001</v>
          </cell>
          <cell r="AA124">
            <v>0</v>
          </cell>
          <cell r="AB124">
            <v>920.02200000000005</v>
          </cell>
          <cell r="AC124">
            <v>920.02200000000005</v>
          </cell>
          <cell r="AD124">
            <v>939.00699999999995</v>
          </cell>
          <cell r="AE124">
            <v>-197.06</v>
          </cell>
          <cell r="AF124">
            <v>167</v>
          </cell>
          <cell r="AG124">
            <v>0</v>
          </cell>
          <cell r="AH124">
            <v>0</v>
          </cell>
          <cell r="AI124">
            <v>0</v>
          </cell>
          <cell r="AJ124">
            <v>30.06</v>
          </cell>
          <cell r="AK124">
            <v>1</v>
          </cell>
          <cell r="AL124" t="str">
            <v>NATIONAL</v>
          </cell>
          <cell r="AM124">
            <v>3750</v>
          </cell>
          <cell r="AN124">
            <v>-2802.0529999999999</v>
          </cell>
          <cell r="AO124">
            <v>-2802.0529999999999</v>
          </cell>
          <cell r="AP124">
            <v>0</v>
          </cell>
          <cell r="AS124">
            <v>0</v>
          </cell>
          <cell r="AT124">
            <v>939.00699999999995</v>
          </cell>
          <cell r="AU124">
            <v>-197.06</v>
          </cell>
          <cell r="AV124">
            <v>-3544</v>
          </cell>
          <cell r="AZ124">
            <v>45912</v>
          </cell>
          <cell r="BA124">
            <v>45912</v>
          </cell>
          <cell r="BB124">
            <v>45912</v>
          </cell>
          <cell r="BF124" t="str">
            <v>NFT-/XUTR/DEUTH025255A0BS7X</v>
          </cell>
          <cell r="BG124" t="str">
            <v>NFT-/XUTR/DEUTH025255A0BS7X</v>
          </cell>
          <cell r="BH124" t="str">
            <v>NFT-/XUTR/DEUTH025255A0BS7X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3164.29</v>
          </cell>
          <cell r="BP124">
            <v>12</v>
          </cell>
          <cell r="BQ124">
            <v>0</v>
          </cell>
          <cell r="BR124">
            <v>0</v>
          </cell>
          <cell r="BS124">
            <v>0</v>
          </cell>
          <cell r="BT124">
            <v>0.5</v>
          </cell>
          <cell r="BU124">
            <v>0</v>
          </cell>
          <cell r="BV124">
            <v>0</v>
          </cell>
          <cell r="BW124">
            <v>0.1</v>
          </cell>
          <cell r="BX124" t="str">
            <v>Tiny Kingdom</v>
          </cell>
          <cell r="BY124" t="str">
            <v>Girls</v>
          </cell>
          <cell r="BZ124" t="str">
            <v>External</v>
          </cell>
          <cell r="CA124" t="str">
            <v>Kurta Sets</v>
          </cell>
          <cell r="CB124" t="str">
            <v>ON_HAND</v>
          </cell>
          <cell r="CC124" t="b">
            <v>0</v>
          </cell>
          <cell r="CD124" t="str">
            <v>**********</v>
          </cell>
          <cell r="CE124">
            <v>804408</v>
          </cell>
          <cell r="CF124" t="str">
            <v>27AXUPC8425A1ZH</v>
          </cell>
          <cell r="CH124" t="str">
            <v>29AAECM9636P1ZJ</v>
          </cell>
          <cell r="CI124" t="str">
            <v>Mumbai</v>
          </cell>
          <cell r="CJ124">
            <v>400013</v>
          </cell>
          <cell r="CK124" t="str">
            <v>maharashtra</v>
          </cell>
          <cell r="CL124" t="str">
            <v>MH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W124">
            <v>0</v>
          </cell>
          <cell r="CX124">
            <v>920.02200000000005</v>
          </cell>
          <cell r="CY124">
            <v>920.02200000000005</v>
          </cell>
          <cell r="CZ124">
            <v>0</v>
          </cell>
          <cell r="DA124">
            <v>0</v>
          </cell>
          <cell r="DB124">
            <v>0</v>
          </cell>
          <cell r="DC124">
            <v>1250</v>
          </cell>
          <cell r="DD124">
            <v>3.1642899999999998</v>
          </cell>
          <cell r="DE124" t="str">
            <v>bbfdec55-ff9b-4843-bc01-b9ec26a12c0d</v>
          </cell>
          <cell r="DF124">
            <v>100074000000</v>
          </cell>
          <cell r="DG124">
            <v>0</v>
          </cell>
          <cell r="DH124">
            <v>15.821</v>
          </cell>
          <cell r="DI124">
            <v>0</v>
          </cell>
          <cell r="DJ124">
            <v>3.1640000000000001</v>
          </cell>
          <cell r="DK124" t="str">
            <v>BRONZE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 t="str">
            <v>NA</v>
          </cell>
          <cell r="DU124" t="str">
            <v>NA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-2802.0529999999999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 t="str">
            <v>Settled</v>
          </cell>
          <cell r="FH124">
            <v>3750</v>
          </cell>
          <cell r="FI124">
            <v>2802.0529999999999</v>
          </cell>
          <cell r="FJ124">
            <v>939.00699999999995</v>
          </cell>
          <cell r="FK124">
            <v>197.06</v>
          </cell>
        </row>
        <row r="125">
          <cell r="A125">
            <v>8636814713</v>
          </cell>
          <cell r="B125">
            <v>10636739282</v>
          </cell>
          <cell r="C125" t="str">
            <v>return_refund</v>
          </cell>
          <cell r="D125">
            <v>45903.6875</v>
          </cell>
          <cell r="E125">
            <v>45898.445138888892</v>
          </cell>
          <cell r="G125" t="str">
            <v>Myntra Designs Pvt Ltd</v>
          </cell>
          <cell r="H125" t="str">
            <v>TIKICLST103607781</v>
          </cell>
          <cell r="I125" t="str">
            <v>\I2726TK000002647\""</v>
          </cell>
          <cell r="J125">
            <v>9760434452</v>
          </cell>
          <cell r="K125">
            <v>62042300</v>
          </cell>
          <cell r="L125" t="str">
            <v>Apparel</v>
          </cell>
          <cell r="M125" t="str">
            <v>INR</v>
          </cell>
          <cell r="N125">
            <v>3544</v>
          </cell>
          <cell r="O125">
            <v>0</v>
          </cell>
          <cell r="P125">
            <v>3544</v>
          </cell>
          <cell r="Q125">
            <v>5000</v>
          </cell>
          <cell r="R125">
            <v>1250</v>
          </cell>
          <cell r="S125" t="str">
            <v>Inter-State</v>
          </cell>
          <cell r="T125">
            <v>12</v>
          </cell>
          <cell r="U125">
            <v>379.71</v>
          </cell>
          <cell r="V125">
            <v>0</v>
          </cell>
          <cell r="W125">
            <v>0</v>
          </cell>
          <cell r="X125">
            <v>15.821</v>
          </cell>
          <cell r="Y125">
            <v>3.1640000000000001</v>
          </cell>
          <cell r="AA125">
            <v>0</v>
          </cell>
          <cell r="AB125">
            <v>920.02200000000005</v>
          </cell>
          <cell r="AC125">
            <v>920.02200000000005</v>
          </cell>
          <cell r="AD125">
            <v>939.00699999999995</v>
          </cell>
          <cell r="AE125">
            <v>-197.06</v>
          </cell>
          <cell r="AF125">
            <v>167</v>
          </cell>
          <cell r="AG125">
            <v>0</v>
          </cell>
          <cell r="AH125">
            <v>0</v>
          </cell>
          <cell r="AI125">
            <v>0</v>
          </cell>
          <cell r="AJ125">
            <v>30.06</v>
          </cell>
          <cell r="AK125">
            <v>1</v>
          </cell>
          <cell r="AL125" t="str">
            <v>NATIONAL</v>
          </cell>
          <cell r="AM125">
            <v>3750</v>
          </cell>
          <cell r="AN125">
            <v>-2802.0529999999999</v>
          </cell>
          <cell r="AO125">
            <v>-2802.0529999999999</v>
          </cell>
          <cell r="AP125">
            <v>0</v>
          </cell>
          <cell r="AQ125">
            <v>939.00699999999995</v>
          </cell>
          <cell r="AR125">
            <v>-197.06</v>
          </cell>
          <cell r="AS125">
            <v>-3544</v>
          </cell>
          <cell r="AV125">
            <v>0</v>
          </cell>
          <cell r="AW125">
            <v>45916</v>
          </cell>
          <cell r="AX125">
            <v>45916</v>
          </cell>
          <cell r="AY125">
            <v>45916</v>
          </cell>
          <cell r="BC125" t="str">
            <v>NFT-/XUTR/DEUTH02525924409X</v>
          </cell>
          <cell r="BD125" t="str">
            <v>NFT-/XUTR/DEUTH02525924409X</v>
          </cell>
          <cell r="BE125" t="str">
            <v>NFT-/XUTR/DEUTH02525924409X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3164.29</v>
          </cell>
          <cell r="BP125">
            <v>12</v>
          </cell>
          <cell r="BQ125">
            <v>0</v>
          </cell>
          <cell r="BR125">
            <v>0</v>
          </cell>
          <cell r="BS125">
            <v>0</v>
          </cell>
          <cell r="BT125">
            <v>0.5</v>
          </cell>
          <cell r="BU125">
            <v>0</v>
          </cell>
          <cell r="BV125">
            <v>0</v>
          </cell>
          <cell r="BW125">
            <v>0.1</v>
          </cell>
          <cell r="BX125" t="str">
            <v>Tiny Kingdom</v>
          </cell>
          <cell r="BY125" t="str">
            <v>Girls</v>
          </cell>
          <cell r="BZ125" t="str">
            <v>External</v>
          </cell>
          <cell r="CA125" t="str">
            <v>Kurta Sets</v>
          </cell>
          <cell r="CB125" t="str">
            <v>ON_HAND</v>
          </cell>
          <cell r="CC125" t="b">
            <v>0</v>
          </cell>
          <cell r="CD125" t="str">
            <v>**********</v>
          </cell>
          <cell r="CE125">
            <v>201014</v>
          </cell>
          <cell r="CF125" t="str">
            <v>27AXUPC8425A1ZH</v>
          </cell>
          <cell r="CH125" t="str">
            <v>29AAECM9636P1ZJ</v>
          </cell>
          <cell r="CI125" t="str">
            <v>Mumbai</v>
          </cell>
          <cell r="CJ125">
            <v>400013</v>
          </cell>
          <cell r="CK125" t="str">
            <v>maharashtra</v>
          </cell>
          <cell r="CL125" t="str">
            <v>MH</v>
          </cell>
          <cell r="CN125">
            <v>0</v>
          </cell>
          <cell r="CO125">
            <v>920.02200000000005</v>
          </cell>
          <cell r="CP125">
            <v>920.02200000000005</v>
          </cell>
          <cell r="CQ125">
            <v>0</v>
          </cell>
          <cell r="CR125">
            <v>0</v>
          </cell>
          <cell r="CS125">
            <v>0</v>
          </cell>
          <cell r="CT125">
            <v>1250</v>
          </cell>
          <cell r="CU125">
            <v>3.1642899999999998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E125" t="str">
            <v>628c8361-15fd-427f-923b-415c657e57e8</v>
          </cell>
          <cell r="DF125">
            <v>100075000000</v>
          </cell>
          <cell r="DG125">
            <v>15.821</v>
          </cell>
          <cell r="DH125">
            <v>0</v>
          </cell>
          <cell r="DI125">
            <v>3.1640000000000001</v>
          </cell>
          <cell r="DJ125">
            <v>0</v>
          </cell>
          <cell r="DK125" t="str">
            <v>BRONZE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 t="str">
            <v>NA</v>
          </cell>
          <cell r="DU125" t="str">
            <v>NA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-2802.0529999999999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 t="str">
            <v>Settled</v>
          </cell>
          <cell r="FH125">
            <v>3750</v>
          </cell>
          <cell r="FI125">
            <v>2802.0529999999999</v>
          </cell>
          <cell r="FJ125">
            <v>939.00699999999995</v>
          </cell>
          <cell r="FK125">
            <v>197.06</v>
          </cell>
        </row>
        <row r="126">
          <cell r="A126">
            <v>8642584741</v>
          </cell>
          <cell r="B126">
            <v>10642509176</v>
          </cell>
          <cell r="C126" t="str">
            <v>return_refund</v>
          </cell>
          <cell r="D126">
            <v>45918.686805555553</v>
          </cell>
          <cell r="E126">
            <v>45901.785416666666</v>
          </cell>
          <cell r="G126" t="str">
            <v>Myntra Designs Pvt Ltd</v>
          </cell>
          <cell r="H126" t="str">
            <v>TIKILHNC101907529</v>
          </cell>
          <cell r="I126" t="str">
            <v>\I2726TK000002706\""</v>
          </cell>
          <cell r="J126">
            <v>8642584741</v>
          </cell>
          <cell r="K126">
            <v>62042300</v>
          </cell>
          <cell r="L126" t="str">
            <v>Apparel</v>
          </cell>
          <cell r="M126" t="str">
            <v>INR</v>
          </cell>
          <cell r="N126">
            <v>1079</v>
          </cell>
          <cell r="O126">
            <v>0</v>
          </cell>
          <cell r="P126">
            <v>1079</v>
          </cell>
          <cell r="Q126">
            <v>2500</v>
          </cell>
          <cell r="R126">
            <v>1250</v>
          </cell>
          <cell r="S126" t="str">
            <v>Inter-State</v>
          </cell>
          <cell r="T126">
            <v>12</v>
          </cell>
          <cell r="U126">
            <v>115.61</v>
          </cell>
          <cell r="V126">
            <v>0</v>
          </cell>
          <cell r="W126">
            <v>0</v>
          </cell>
          <cell r="X126">
            <v>4.8170000000000002</v>
          </cell>
          <cell r="Y126">
            <v>0.96299999999999997</v>
          </cell>
          <cell r="AA126">
            <v>0</v>
          </cell>
          <cell r="AB126">
            <v>267.37599999999998</v>
          </cell>
          <cell r="AC126">
            <v>267.37599999999998</v>
          </cell>
          <cell r="AD126">
            <v>273.15600000000001</v>
          </cell>
          <cell r="AE126">
            <v>-132.16</v>
          </cell>
          <cell r="AF126">
            <v>112</v>
          </cell>
          <cell r="AG126">
            <v>0</v>
          </cell>
          <cell r="AH126">
            <v>0</v>
          </cell>
          <cell r="AI126">
            <v>0</v>
          </cell>
          <cell r="AJ126">
            <v>20.16</v>
          </cell>
          <cell r="AK126">
            <v>1</v>
          </cell>
          <cell r="AL126" t="str">
            <v>ZONAL</v>
          </cell>
          <cell r="AM126">
            <v>1250</v>
          </cell>
          <cell r="AN126">
            <v>-938.00400000000002</v>
          </cell>
          <cell r="AO126">
            <v>-938.00400000000002</v>
          </cell>
          <cell r="AP126">
            <v>0</v>
          </cell>
          <cell r="AQ126">
            <v>273.15600000000001</v>
          </cell>
          <cell r="AR126">
            <v>-132.16</v>
          </cell>
          <cell r="AS126">
            <v>-1079</v>
          </cell>
          <cell r="AV126">
            <v>0</v>
          </cell>
          <cell r="AW126">
            <v>45925</v>
          </cell>
          <cell r="AX126">
            <v>45925</v>
          </cell>
          <cell r="AY126">
            <v>45925</v>
          </cell>
          <cell r="BC126" t="str">
            <v>NFT-/XUTR/DEUTH02526823565X</v>
          </cell>
          <cell r="BD126" t="str">
            <v>NFT-/XUTR/DEUTH02526823565X</v>
          </cell>
          <cell r="BE126" t="str">
            <v>NFT-/XUTR/DEUTH02526823565X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963.39</v>
          </cell>
          <cell r="BP126">
            <v>12</v>
          </cell>
          <cell r="BQ126">
            <v>0</v>
          </cell>
          <cell r="BR126">
            <v>0</v>
          </cell>
          <cell r="BS126">
            <v>0</v>
          </cell>
          <cell r="BT126">
            <v>0.5</v>
          </cell>
          <cell r="BU126">
            <v>0</v>
          </cell>
          <cell r="BV126">
            <v>0</v>
          </cell>
          <cell r="BW126">
            <v>0.1</v>
          </cell>
          <cell r="BX126" t="str">
            <v>Tiny Kingdom</v>
          </cell>
          <cell r="BY126" t="str">
            <v>Girls</v>
          </cell>
          <cell r="BZ126" t="str">
            <v>External</v>
          </cell>
          <cell r="CA126" t="str">
            <v>Lehenga Choli</v>
          </cell>
          <cell r="CB126" t="str">
            <v>ON_HAND</v>
          </cell>
          <cell r="CC126" t="b">
            <v>0</v>
          </cell>
          <cell r="CD126" t="str">
            <v>**********</v>
          </cell>
          <cell r="CE126">
            <v>560048</v>
          </cell>
          <cell r="CF126" t="str">
            <v>27AXUPC8425A1ZH</v>
          </cell>
          <cell r="CH126" t="str">
            <v>29AAECM9636P1ZJ</v>
          </cell>
          <cell r="CI126" t="str">
            <v>Mumbai</v>
          </cell>
          <cell r="CJ126">
            <v>400013</v>
          </cell>
          <cell r="CK126" t="str">
            <v>maharashtra</v>
          </cell>
          <cell r="CL126" t="str">
            <v>MH</v>
          </cell>
          <cell r="CN126">
            <v>0</v>
          </cell>
          <cell r="CO126">
            <v>267.37599999999998</v>
          </cell>
          <cell r="CP126">
            <v>267.37599999999998</v>
          </cell>
          <cell r="CQ126">
            <v>0</v>
          </cell>
          <cell r="CR126">
            <v>0</v>
          </cell>
          <cell r="CS126">
            <v>0</v>
          </cell>
          <cell r="CT126">
            <v>1250</v>
          </cell>
          <cell r="CU126">
            <v>0.96338999999999997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E126" t="str">
            <v>87341402-1c92-4f47-b010-5c78e14eccbf</v>
          </cell>
          <cell r="DF126">
            <v>100078000000</v>
          </cell>
          <cell r="DG126">
            <v>4.8170000000000002</v>
          </cell>
          <cell r="DH126">
            <v>0</v>
          </cell>
          <cell r="DI126">
            <v>0.96299999999999997</v>
          </cell>
          <cell r="DJ126">
            <v>0</v>
          </cell>
          <cell r="DK126" t="str">
            <v>BRONZE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 t="str">
            <v>NA</v>
          </cell>
          <cell r="DU126" t="str">
            <v>NA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-938.00400000000002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 t="str">
            <v>Settled</v>
          </cell>
          <cell r="FH126">
            <v>1250</v>
          </cell>
          <cell r="FI126">
            <v>938.00400000000002</v>
          </cell>
          <cell r="FJ126">
            <v>273.15600000000001</v>
          </cell>
          <cell r="FK126">
            <v>132.16</v>
          </cell>
        </row>
        <row r="127">
          <cell r="A127">
            <v>8610667779</v>
          </cell>
          <cell r="B127">
            <v>10610593464</v>
          </cell>
          <cell r="C127" t="str">
            <v>return_refund</v>
          </cell>
          <cell r="D127">
            <v>45886.624305555553</v>
          </cell>
          <cell r="E127">
            <v>45880.458333333336</v>
          </cell>
          <cell r="F127">
            <v>44516</v>
          </cell>
          <cell r="G127" t="str">
            <v>Myntra Designs Pvt Ltd</v>
          </cell>
          <cell r="H127" t="str">
            <v>TIKICLST103607727</v>
          </cell>
          <cell r="I127" t="str">
            <v>\I2726TK000002353\""</v>
          </cell>
          <cell r="J127">
            <v>8610667779</v>
          </cell>
          <cell r="K127">
            <v>62042300</v>
          </cell>
          <cell r="L127" t="str">
            <v>Apparel</v>
          </cell>
          <cell r="M127" t="str">
            <v>INR</v>
          </cell>
          <cell r="N127">
            <v>2944</v>
          </cell>
          <cell r="O127">
            <v>2944</v>
          </cell>
          <cell r="P127">
            <v>0</v>
          </cell>
          <cell r="Q127">
            <v>4500</v>
          </cell>
          <cell r="R127">
            <v>1350</v>
          </cell>
          <cell r="S127" t="str">
            <v>Inter-State</v>
          </cell>
          <cell r="T127">
            <v>12</v>
          </cell>
          <cell r="U127">
            <v>315.43</v>
          </cell>
          <cell r="V127">
            <v>0</v>
          </cell>
          <cell r="W127">
            <v>0</v>
          </cell>
          <cell r="X127">
            <v>13.143000000000001</v>
          </cell>
          <cell r="Y127">
            <v>2.629</v>
          </cell>
          <cell r="AA127">
            <v>0</v>
          </cell>
          <cell r="AB127">
            <v>764.26199999999994</v>
          </cell>
          <cell r="AC127">
            <v>764.26199999999994</v>
          </cell>
          <cell r="AD127">
            <v>780.03399999999999</v>
          </cell>
          <cell r="AE127">
            <v>-197.06</v>
          </cell>
          <cell r="AF127">
            <v>167</v>
          </cell>
          <cell r="AG127">
            <v>0</v>
          </cell>
          <cell r="AH127">
            <v>0</v>
          </cell>
          <cell r="AI127">
            <v>0</v>
          </cell>
          <cell r="AJ127">
            <v>30.06</v>
          </cell>
          <cell r="AK127">
            <v>1</v>
          </cell>
          <cell r="AL127" t="str">
            <v>NATIONAL</v>
          </cell>
          <cell r="AM127">
            <v>3150</v>
          </cell>
          <cell r="AN127">
            <v>-2361.0259999999998</v>
          </cell>
          <cell r="AO127">
            <v>-2361.0259999999998</v>
          </cell>
          <cell r="AP127">
            <v>0</v>
          </cell>
          <cell r="AS127">
            <v>0</v>
          </cell>
          <cell r="AT127">
            <v>780.03399999999999</v>
          </cell>
          <cell r="AU127">
            <v>-197.06</v>
          </cell>
          <cell r="AV127">
            <v>-2944</v>
          </cell>
          <cell r="AZ127">
            <v>45901</v>
          </cell>
          <cell r="BA127">
            <v>45901</v>
          </cell>
          <cell r="BB127">
            <v>45901</v>
          </cell>
          <cell r="BF127" t="str">
            <v>NFT-/XUTR/DEUTH025244A0H8LX</v>
          </cell>
          <cell r="BG127" t="str">
            <v>NFT-/XUTR/DEUTH025244A0H8LX</v>
          </cell>
          <cell r="BH127" t="str">
            <v>NFT-/XUTR/DEUTH025244A0H8LX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2628.57</v>
          </cell>
          <cell r="BP127">
            <v>12</v>
          </cell>
          <cell r="BQ127">
            <v>0</v>
          </cell>
          <cell r="BR127">
            <v>0</v>
          </cell>
          <cell r="BS127">
            <v>0</v>
          </cell>
          <cell r="BT127">
            <v>0.5</v>
          </cell>
          <cell r="BU127">
            <v>0</v>
          </cell>
          <cell r="BV127">
            <v>0</v>
          </cell>
          <cell r="BW127">
            <v>0.1</v>
          </cell>
          <cell r="BX127" t="str">
            <v>Tiny Kingdom</v>
          </cell>
          <cell r="BY127" t="str">
            <v>Girls</v>
          </cell>
          <cell r="BZ127" t="str">
            <v>External</v>
          </cell>
          <cell r="CA127" t="str">
            <v>Kurta Sets</v>
          </cell>
          <cell r="CB127" t="str">
            <v>ON_HAND</v>
          </cell>
          <cell r="CC127" t="b">
            <v>0</v>
          </cell>
          <cell r="CD127" t="str">
            <v>**********</v>
          </cell>
          <cell r="CE127">
            <v>841413</v>
          </cell>
          <cell r="CF127" t="str">
            <v>27AXUPC8425A1ZH</v>
          </cell>
          <cell r="CH127" t="str">
            <v>29AAECM9636P1ZJ</v>
          </cell>
          <cell r="CI127" t="str">
            <v>Mumbai</v>
          </cell>
          <cell r="CJ127">
            <v>400013</v>
          </cell>
          <cell r="CK127" t="str">
            <v>maharashtra</v>
          </cell>
          <cell r="CL127" t="str">
            <v>MH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W127">
            <v>0</v>
          </cell>
          <cell r="CX127">
            <v>764.26199999999994</v>
          </cell>
          <cell r="CY127">
            <v>764.26199999999994</v>
          </cell>
          <cell r="CZ127">
            <v>0</v>
          </cell>
          <cell r="DA127">
            <v>0</v>
          </cell>
          <cell r="DB127">
            <v>0</v>
          </cell>
          <cell r="DC127">
            <v>1350</v>
          </cell>
          <cell r="DD127">
            <v>2.6285699999999999</v>
          </cell>
          <cell r="DE127" t="str">
            <v>bee49b8f-097a-4287-9a2a-936271e3145f</v>
          </cell>
          <cell r="DF127">
            <v>100071000000</v>
          </cell>
          <cell r="DG127">
            <v>0</v>
          </cell>
          <cell r="DH127">
            <v>13.143000000000001</v>
          </cell>
          <cell r="DI127">
            <v>0</v>
          </cell>
          <cell r="DJ127">
            <v>2.629</v>
          </cell>
          <cell r="DK127" t="str">
            <v>BRONZE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 t="str">
            <v>NA</v>
          </cell>
          <cell r="DU127" t="str">
            <v>NA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EB127">
            <v>-2361.0259999999998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 t="str">
            <v>Settled</v>
          </cell>
          <cell r="FH127">
            <v>3150</v>
          </cell>
          <cell r="FI127">
            <v>2361.0259999999998</v>
          </cell>
          <cell r="FJ127">
            <v>780.03399999999999</v>
          </cell>
          <cell r="FK127">
            <v>197.06</v>
          </cell>
        </row>
        <row r="128">
          <cell r="A128">
            <v>8635735486</v>
          </cell>
          <cell r="B128">
            <v>10635660100</v>
          </cell>
          <cell r="C128" t="str">
            <v>return_refund</v>
          </cell>
          <cell r="D128">
            <v>45905.529861111114</v>
          </cell>
          <cell r="E128">
            <v>45897.440972222219</v>
          </cell>
          <cell r="F128">
            <v>44538</v>
          </cell>
          <cell r="G128" t="str">
            <v>Myntra Designs Pvt Ltd</v>
          </cell>
          <cell r="H128" t="str">
            <v>TIKICLST90224446</v>
          </cell>
          <cell r="I128" t="str">
            <v>\I2726TK000002634\""</v>
          </cell>
          <cell r="J128">
            <v>8635735486</v>
          </cell>
          <cell r="K128">
            <v>62042300</v>
          </cell>
          <cell r="L128" t="str">
            <v>Apparel</v>
          </cell>
          <cell r="M128" t="str">
            <v>INR</v>
          </cell>
          <cell r="N128">
            <v>1329</v>
          </cell>
          <cell r="O128">
            <v>1329</v>
          </cell>
          <cell r="P128">
            <v>0</v>
          </cell>
          <cell r="Q128">
            <v>3000</v>
          </cell>
          <cell r="R128">
            <v>1500</v>
          </cell>
          <cell r="S128" t="str">
            <v>Inter-State</v>
          </cell>
          <cell r="T128">
            <v>12</v>
          </cell>
          <cell r="U128">
            <v>142.38999999999999</v>
          </cell>
          <cell r="V128">
            <v>0</v>
          </cell>
          <cell r="W128">
            <v>0</v>
          </cell>
          <cell r="X128">
            <v>5.9329999999999998</v>
          </cell>
          <cell r="Y128">
            <v>1.1870000000000001</v>
          </cell>
          <cell r="AA128">
            <v>0</v>
          </cell>
          <cell r="AB128">
            <v>345.00799999999998</v>
          </cell>
          <cell r="AC128">
            <v>345.00799999999998</v>
          </cell>
          <cell r="AD128">
            <v>352.12799999999999</v>
          </cell>
          <cell r="AE128">
            <v>-197.06</v>
          </cell>
          <cell r="AF128">
            <v>167</v>
          </cell>
          <cell r="AG128">
            <v>0</v>
          </cell>
          <cell r="AH128">
            <v>0</v>
          </cell>
          <cell r="AI128">
            <v>0</v>
          </cell>
          <cell r="AJ128">
            <v>30.06</v>
          </cell>
          <cell r="AK128">
            <v>1</v>
          </cell>
          <cell r="AL128" t="str">
            <v>NATIONAL</v>
          </cell>
          <cell r="AM128">
            <v>1500</v>
          </cell>
          <cell r="AN128">
            <v>-1173.932</v>
          </cell>
          <cell r="AO128">
            <v>-1173.932</v>
          </cell>
          <cell r="AP128">
            <v>0</v>
          </cell>
          <cell r="AS128">
            <v>0</v>
          </cell>
          <cell r="AT128">
            <v>352.12799999999999</v>
          </cell>
          <cell r="AU128">
            <v>-197.06</v>
          </cell>
          <cell r="AV128">
            <v>-1329</v>
          </cell>
          <cell r="AZ128">
            <v>45915</v>
          </cell>
          <cell r="BA128">
            <v>45915</v>
          </cell>
          <cell r="BB128">
            <v>45915</v>
          </cell>
          <cell r="BF128" t="str">
            <v>NFT-/XUTR/DEUTH02525806657X</v>
          </cell>
          <cell r="BG128" t="str">
            <v>NFT-/XUTR/DEUTH02525806657X</v>
          </cell>
          <cell r="BH128" t="str">
            <v>NFT-/XUTR/DEUTH02525806657X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1186.6099999999999</v>
          </cell>
          <cell r="BP128">
            <v>12</v>
          </cell>
          <cell r="BQ128">
            <v>0</v>
          </cell>
          <cell r="BR128">
            <v>0</v>
          </cell>
          <cell r="BS128">
            <v>0</v>
          </cell>
          <cell r="BT128">
            <v>0.5</v>
          </cell>
          <cell r="BU128">
            <v>0</v>
          </cell>
          <cell r="BV128">
            <v>0</v>
          </cell>
          <cell r="BW128">
            <v>0.1</v>
          </cell>
          <cell r="BX128" t="str">
            <v>Tiny Kingdom</v>
          </cell>
          <cell r="BY128" t="str">
            <v>Girls</v>
          </cell>
          <cell r="BZ128" t="str">
            <v>External</v>
          </cell>
          <cell r="CA128" t="str">
            <v>Clothing Set</v>
          </cell>
          <cell r="CB128" t="str">
            <v>ON_HAND</v>
          </cell>
          <cell r="CC128" t="b">
            <v>0</v>
          </cell>
          <cell r="CD128" t="str">
            <v>**********</v>
          </cell>
          <cell r="CE128">
            <v>494001</v>
          </cell>
          <cell r="CF128" t="str">
            <v>27AXUPC8425A1ZH</v>
          </cell>
          <cell r="CH128" t="str">
            <v>29AAECM9636P1ZJ</v>
          </cell>
          <cell r="CI128" t="str">
            <v>Mumbai</v>
          </cell>
          <cell r="CJ128">
            <v>400013</v>
          </cell>
          <cell r="CK128" t="str">
            <v>maharashtra</v>
          </cell>
          <cell r="CL128" t="str">
            <v>MH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W128">
            <v>0</v>
          </cell>
          <cell r="CX128">
            <v>345.00799999999998</v>
          </cell>
          <cell r="CY128">
            <v>345.00799999999998</v>
          </cell>
          <cell r="CZ128">
            <v>0</v>
          </cell>
          <cell r="DA128">
            <v>0</v>
          </cell>
          <cell r="DB128">
            <v>0</v>
          </cell>
          <cell r="DC128">
            <v>1500</v>
          </cell>
          <cell r="DD128">
            <v>1.1866099999999999</v>
          </cell>
          <cell r="DE128" t="str">
            <v>93c52d73-b43c-4302-9238-f9755788b06c</v>
          </cell>
          <cell r="DF128">
            <v>100075000000</v>
          </cell>
          <cell r="DG128">
            <v>0</v>
          </cell>
          <cell r="DH128">
            <v>5.9329999999999998</v>
          </cell>
          <cell r="DI128">
            <v>0</v>
          </cell>
          <cell r="DJ128">
            <v>1.1870000000000001</v>
          </cell>
          <cell r="DK128" t="str">
            <v>BRONZE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 t="str">
            <v>NA</v>
          </cell>
          <cell r="DU128" t="str">
            <v>NA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-1173.932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 t="str">
            <v>Settled</v>
          </cell>
          <cell r="FH128">
            <v>1500</v>
          </cell>
          <cell r="FI128">
            <v>1173.932</v>
          </cell>
          <cell r="FJ128">
            <v>352.12799999999999</v>
          </cell>
          <cell r="FK128">
            <v>197.06</v>
          </cell>
        </row>
        <row r="129">
          <cell r="A129">
            <v>8644756300</v>
          </cell>
          <cell r="B129">
            <v>10644680721</v>
          </cell>
          <cell r="C129" t="str">
            <v>return_refund</v>
          </cell>
          <cell r="D129">
            <v>45909.563888888886</v>
          </cell>
          <cell r="E129">
            <v>45902.775000000001</v>
          </cell>
          <cell r="F129">
            <v>44543</v>
          </cell>
          <cell r="G129" t="str">
            <v>Myntra Designs Pvt Ltd</v>
          </cell>
          <cell r="H129" t="str">
            <v>BETYDRSS49722979</v>
          </cell>
          <cell r="I129" t="str">
            <v>\I2726TK000002724\""</v>
          </cell>
          <cell r="J129">
            <v>8644756300</v>
          </cell>
          <cell r="K129">
            <v>62042300</v>
          </cell>
          <cell r="L129" t="str">
            <v>Apparel</v>
          </cell>
          <cell r="M129" t="str">
            <v>INR</v>
          </cell>
          <cell r="N129">
            <v>766</v>
          </cell>
          <cell r="O129">
            <v>0</v>
          </cell>
          <cell r="P129">
            <v>766</v>
          </cell>
          <cell r="Q129">
            <v>2150</v>
          </cell>
          <cell r="R129">
            <v>1290</v>
          </cell>
          <cell r="S129" t="str">
            <v>Inter-State</v>
          </cell>
          <cell r="T129">
            <v>5</v>
          </cell>
          <cell r="U129">
            <v>36.479999999999997</v>
          </cell>
          <cell r="V129">
            <v>0</v>
          </cell>
          <cell r="W129">
            <v>0</v>
          </cell>
          <cell r="X129">
            <v>3.6480000000000001</v>
          </cell>
          <cell r="Y129">
            <v>0.73</v>
          </cell>
          <cell r="AA129">
            <v>0</v>
          </cell>
          <cell r="AB129">
            <v>253.08600000000001</v>
          </cell>
          <cell r="AC129">
            <v>253.08600000000001</v>
          </cell>
          <cell r="AD129">
            <v>257.464</v>
          </cell>
          <cell r="AE129">
            <v>-132.16</v>
          </cell>
          <cell r="AF129">
            <v>112</v>
          </cell>
          <cell r="AG129">
            <v>0</v>
          </cell>
          <cell r="AH129">
            <v>0</v>
          </cell>
          <cell r="AI129">
            <v>0</v>
          </cell>
          <cell r="AJ129">
            <v>20.16</v>
          </cell>
          <cell r="AK129">
            <v>1</v>
          </cell>
          <cell r="AL129" t="str">
            <v>ZONAL</v>
          </cell>
          <cell r="AM129">
            <v>860</v>
          </cell>
          <cell r="AN129">
            <v>-640.69600000000003</v>
          </cell>
          <cell r="AO129">
            <v>-640.69600000000003</v>
          </cell>
          <cell r="AP129">
            <v>0</v>
          </cell>
          <cell r="AQ129">
            <v>257.464</v>
          </cell>
          <cell r="AR129">
            <v>-132.16</v>
          </cell>
          <cell r="AS129">
            <v>-766</v>
          </cell>
          <cell r="AV129">
            <v>0</v>
          </cell>
          <cell r="AW129">
            <v>45922</v>
          </cell>
          <cell r="AX129">
            <v>45922</v>
          </cell>
          <cell r="AY129">
            <v>45922</v>
          </cell>
          <cell r="BC129" t="str">
            <v>NFT-/XUTR/DEUTH025265A10GKX</v>
          </cell>
          <cell r="BD129" t="str">
            <v>NFT-/XUTR/DEUTH025265A10GKX</v>
          </cell>
          <cell r="BE129" t="str">
            <v>NFT-/XUTR/DEUTH025265A10GKX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729.52</v>
          </cell>
          <cell r="BP129">
            <v>5</v>
          </cell>
          <cell r="BQ129">
            <v>0</v>
          </cell>
          <cell r="BR129">
            <v>0</v>
          </cell>
          <cell r="BS129">
            <v>0</v>
          </cell>
          <cell r="BT129">
            <v>0.5</v>
          </cell>
          <cell r="BU129">
            <v>0</v>
          </cell>
          <cell r="BV129">
            <v>0</v>
          </cell>
          <cell r="BW129">
            <v>0.1</v>
          </cell>
          <cell r="BX129" t="str">
            <v>BETTY</v>
          </cell>
          <cell r="BY129" t="str">
            <v>Girls</v>
          </cell>
          <cell r="BZ129" t="str">
            <v>External</v>
          </cell>
          <cell r="CA129" t="str">
            <v>Dresses</v>
          </cell>
          <cell r="CB129" t="str">
            <v>ON_HAND</v>
          </cell>
          <cell r="CC129" t="b">
            <v>0</v>
          </cell>
          <cell r="CD129" t="str">
            <v>**********</v>
          </cell>
          <cell r="CE129">
            <v>560049</v>
          </cell>
          <cell r="CF129" t="str">
            <v>27AXUPC8425A1ZH</v>
          </cell>
          <cell r="CH129" t="str">
            <v>29AAECM9636P1ZJ</v>
          </cell>
          <cell r="CI129" t="str">
            <v>Mumbai</v>
          </cell>
          <cell r="CJ129">
            <v>400013</v>
          </cell>
          <cell r="CK129" t="str">
            <v>maharashtra</v>
          </cell>
          <cell r="CL129" t="str">
            <v>MH</v>
          </cell>
          <cell r="CN129">
            <v>0</v>
          </cell>
          <cell r="CO129">
            <v>253.08600000000001</v>
          </cell>
          <cell r="CP129">
            <v>253.08600000000001</v>
          </cell>
          <cell r="CQ129">
            <v>0</v>
          </cell>
          <cell r="CR129">
            <v>0</v>
          </cell>
          <cell r="CS129">
            <v>0</v>
          </cell>
          <cell r="CT129">
            <v>1290</v>
          </cell>
          <cell r="CU129">
            <v>0.72951999999999995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E129" t="str">
            <v>9132ec25-e5ec-4acc-a6b9-169005da482c</v>
          </cell>
          <cell r="DF129">
            <v>100076000000</v>
          </cell>
          <cell r="DG129">
            <v>3.6480000000000001</v>
          </cell>
          <cell r="DH129">
            <v>0</v>
          </cell>
          <cell r="DI129">
            <v>0.73</v>
          </cell>
          <cell r="DJ129">
            <v>0</v>
          </cell>
          <cell r="DK129" t="str">
            <v>BRONZE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 t="str">
            <v>NA</v>
          </cell>
          <cell r="DU129" t="str">
            <v>NA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-640.69600000000003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 t="str">
            <v>Settled</v>
          </cell>
          <cell r="FH129">
            <v>860</v>
          </cell>
          <cell r="FI129">
            <v>640.69600000000003</v>
          </cell>
          <cell r="FJ129">
            <v>257.464</v>
          </cell>
          <cell r="FK129">
            <v>132.16</v>
          </cell>
        </row>
        <row r="130">
          <cell r="A130">
            <v>8639964081</v>
          </cell>
          <cell r="B130">
            <v>10639888573</v>
          </cell>
          <cell r="C130" t="str">
            <v>return_refund</v>
          </cell>
          <cell r="D130">
            <v>45906.47152777778</v>
          </cell>
          <cell r="E130">
            <v>45900.458333333336</v>
          </cell>
          <cell r="G130" t="str">
            <v>Myntra Designs Pvt Ltd</v>
          </cell>
          <cell r="H130" t="str">
            <v>TIKILHNC103365378</v>
          </cell>
          <cell r="I130" t="str">
            <v>\I2726TK000002681\""</v>
          </cell>
          <cell r="J130">
            <v>8639964081</v>
          </cell>
          <cell r="K130">
            <v>62042300</v>
          </cell>
          <cell r="L130" t="str">
            <v>Apparel</v>
          </cell>
          <cell r="M130" t="str">
            <v>INR</v>
          </cell>
          <cell r="N130">
            <v>2294</v>
          </cell>
          <cell r="O130">
            <v>0</v>
          </cell>
          <cell r="P130">
            <v>2294</v>
          </cell>
          <cell r="Q130">
            <v>5000</v>
          </cell>
          <cell r="R130">
            <v>2500</v>
          </cell>
          <cell r="S130" t="str">
            <v>Inter-State</v>
          </cell>
          <cell r="T130">
            <v>12</v>
          </cell>
          <cell r="U130">
            <v>245.79</v>
          </cell>
          <cell r="V130">
            <v>0</v>
          </cell>
          <cell r="W130">
            <v>0</v>
          </cell>
          <cell r="X130">
            <v>10.241</v>
          </cell>
          <cell r="Y130">
            <v>2.048</v>
          </cell>
          <cell r="AA130">
            <v>0</v>
          </cell>
          <cell r="AB130">
            <v>568.45299999999997</v>
          </cell>
          <cell r="AC130">
            <v>568.45299999999997</v>
          </cell>
          <cell r="AD130">
            <v>580.74199999999996</v>
          </cell>
          <cell r="AE130">
            <v>-132.16</v>
          </cell>
          <cell r="AF130">
            <v>112</v>
          </cell>
          <cell r="AG130">
            <v>0</v>
          </cell>
          <cell r="AH130">
            <v>0</v>
          </cell>
          <cell r="AI130">
            <v>0</v>
          </cell>
          <cell r="AJ130">
            <v>20.16</v>
          </cell>
          <cell r="AK130">
            <v>1</v>
          </cell>
          <cell r="AL130" t="str">
            <v>ZONAL</v>
          </cell>
          <cell r="AM130">
            <v>2500</v>
          </cell>
          <cell r="AN130">
            <v>-1845.4179999999999</v>
          </cell>
          <cell r="AO130">
            <v>-1845.4179999999999</v>
          </cell>
          <cell r="AP130">
            <v>0</v>
          </cell>
          <cell r="AQ130">
            <v>580.74199999999996</v>
          </cell>
          <cell r="AR130">
            <v>-132.16</v>
          </cell>
          <cell r="AS130">
            <v>-2294</v>
          </cell>
          <cell r="AV130">
            <v>0</v>
          </cell>
          <cell r="AW130">
            <v>45918</v>
          </cell>
          <cell r="AX130">
            <v>45918</v>
          </cell>
          <cell r="AY130">
            <v>45918</v>
          </cell>
          <cell r="BC130" t="str">
            <v>NFT-/XUTR/DEUTH02526109557X</v>
          </cell>
          <cell r="BD130" t="str">
            <v>NFT-/XUTR/DEUTH02526109557X</v>
          </cell>
          <cell r="BE130" t="str">
            <v>NFT-/XUTR/DEUTH02526109557X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2048.21</v>
          </cell>
          <cell r="BP130">
            <v>12</v>
          </cell>
          <cell r="BQ130">
            <v>0</v>
          </cell>
          <cell r="BR130">
            <v>0</v>
          </cell>
          <cell r="BS130">
            <v>0</v>
          </cell>
          <cell r="BT130">
            <v>0.5</v>
          </cell>
          <cell r="BU130">
            <v>0</v>
          </cell>
          <cell r="BV130">
            <v>0</v>
          </cell>
          <cell r="BW130">
            <v>0.1</v>
          </cell>
          <cell r="BX130" t="str">
            <v>Tiny Kingdom</v>
          </cell>
          <cell r="BY130" t="str">
            <v>Girls</v>
          </cell>
          <cell r="BZ130" t="str">
            <v>External</v>
          </cell>
          <cell r="CA130" t="str">
            <v>Lehenga Choli</v>
          </cell>
          <cell r="CB130" t="str">
            <v>ON_HAND</v>
          </cell>
          <cell r="CC130" t="b">
            <v>0</v>
          </cell>
          <cell r="CD130" t="str">
            <v>**********</v>
          </cell>
          <cell r="CE130">
            <v>562107</v>
          </cell>
          <cell r="CF130" t="str">
            <v>27AXUPC8425A1ZH</v>
          </cell>
          <cell r="CH130" t="str">
            <v>29AAECM9636P1ZJ</v>
          </cell>
          <cell r="CI130" t="str">
            <v>Mumbai</v>
          </cell>
          <cell r="CJ130">
            <v>400013</v>
          </cell>
          <cell r="CK130" t="str">
            <v>maharashtra</v>
          </cell>
          <cell r="CL130" t="str">
            <v>MH</v>
          </cell>
          <cell r="CN130">
            <v>0</v>
          </cell>
          <cell r="CO130">
            <v>568.45299999999997</v>
          </cell>
          <cell r="CP130">
            <v>568.45299999999997</v>
          </cell>
          <cell r="CQ130">
            <v>0</v>
          </cell>
          <cell r="CR130">
            <v>0</v>
          </cell>
          <cell r="CS130">
            <v>0</v>
          </cell>
          <cell r="CT130">
            <v>2500</v>
          </cell>
          <cell r="CU130">
            <v>2.0482100000000001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E130" t="str">
            <v>c3c49f5f-36e3-4a74-b249-edd5901f2b7b</v>
          </cell>
          <cell r="DF130">
            <v>100076000000</v>
          </cell>
          <cell r="DG130">
            <v>10.241</v>
          </cell>
          <cell r="DH130">
            <v>0</v>
          </cell>
          <cell r="DI130">
            <v>2.048</v>
          </cell>
          <cell r="DJ130">
            <v>0</v>
          </cell>
          <cell r="DK130" t="str">
            <v>BRONZE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 t="str">
            <v>NA</v>
          </cell>
          <cell r="DU130" t="str">
            <v>NA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-1845.4179999999999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 t="str">
            <v>Settled</v>
          </cell>
          <cell r="FH130">
            <v>2500</v>
          </cell>
          <cell r="FI130">
            <v>1845.4179999999999</v>
          </cell>
          <cell r="FJ130">
            <v>580.74199999999996</v>
          </cell>
          <cell r="FK130">
            <v>132.16</v>
          </cell>
        </row>
        <row r="131">
          <cell r="A131">
            <v>8611806865</v>
          </cell>
          <cell r="B131">
            <v>10611732479</v>
          </cell>
          <cell r="C131" t="str">
            <v>return_refund</v>
          </cell>
          <cell r="D131">
            <v>45890.597916666666</v>
          </cell>
          <cell r="E131">
            <v>45880.464583333334</v>
          </cell>
          <cell r="G131" t="str">
            <v>Myntra Designs Pvt Ltd</v>
          </cell>
          <cell r="H131" t="str">
            <v>BETYDRSS112339703</v>
          </cell>
          <cell r="I131" t="str">
            <v>\I2726TK000002373\""</v>
          </cell>
          <cell r="J131">
            <v>8611806865</v>
          </cell>
          <cell r="K131">
            <v>62042300</v>
          </cell>
          <cell r="L131" t="str">
            <v>Apparel</v>
          </cell>
          <cell r="M131" t="str">
            <v>INR</v>
          </cell>
          <cell r="N131">
            <v>4594</v>
          </cell>
          <cell r="O131">
            <v>0</v>
          </cell>
          <cell r="P131">
            <v>4593.99</v>
          </cell>
          <cell r="Q131">
            <v>6000</v>
          </cell>
          <cell r="R131">
            <v>1200</v>
          </cell>
          <cell r="S131" t="str">
            <v>Inter-State</v>
          </cell>
          <cell r="T131">
            <v>12</v>
          </cell>
          <cell r="U131">
            <v>492.21</v>
          </cell>
          <cell r="V131">
            <v>0</v>
          </cell>
          <cell r="W131">
            <v>0</v>
          </cell>
          <cell r="X131">
            <v>20.509</v>
          </cell>
          <cell r="Y131">
            <v>4.1020000000000003</v>
          </cell>
          <cell r="AA131">
            <v>0</v>
          </cell>
          <cell r="AB131">
            <v>1301.0260000000001</v>
          </cell>
          <cell r="AC131">
            <v>1301.0260000000001</v>
          </cell>
          <cell r="AD131">
            <v>1325.6369999999999</v>
          </cell>
          <cell r="AE131">
            <v>-197.06</v>
          </cell>
          <cell r="AF131">
            <v>167</v>
          </cell>
          <cell r="AG131">
            <v>0</v>
          </cell>
          <cell r="AH131">
            <v>0</v>
          </cell>
          <cell r="AI131">
            <v>0</v>
          </cell>
          <cell r="AJ131">
            <v>30.06</v>
          </cell>
          <cell r="AK131">
            <v>1</v>
          </cell>
          <cell r="AL131" t="str">
            <v>NATIONAL</v>
          </cell>
          <cell r="AM131">
            <v>4800</v>
          </cell>
          <cell r="AN131">
            <v>-3465.4430000000002</v>
          </cell>
          <cell r="AO131">
            <v>-3465.4430000000002</v>
          </cell>
          <cell r="AP131">
            <v>0</v>
          </cell>
          <cell r="AQ131">
            <v>1325.6369999999999</v>
          </cell>
          <cell r="AR131">
            <v>-197.06</v>
          </cell>
          <cell r="AS131">
            <v>-4594.0200000000004</v>
          </cell>
          <cell r="AV131">
            <v>0</v>
          </cell>
          <cell r="AW131">
            <v>45903</v>
          </cell>
          <cell r="AX131">
            <v>45903</v>
          </cell>
          <cell r="AY131">
            <v>45903</v>
          </cell>
          <cell r="BC131" t="str">
            <v>NFT-/XUTR/DEUTH025246A0T5UX</v>
          </cell>
          <cell r="BD131" t="str">
            <v>NFT-/XUTR/DEUTH025246A0T5UX</v>
          </cell>
          <cell r="BE131" t="str">
            <v>NFT-/XUTR/DEUTH025246A0T5UX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4101.79</v>
          </cell>
          <cell r="BP131">
            <v>12</v>
          </cell>
          <cell r="BQ131">
            <v>0</v>
          </cell>
          <cell r="BR131">
            <v>0</v>
          </cell>
          <cell r="BS131">
            <v>0</v>
          </cell>
          <cell r="BT131">
            <v>0.5</v>
          </cell>
          <cell r="BU131">
            <v>0</v>
          </cell>
          <cell r="BV131">
            <v>0</v>
          </cell>
          <cell r="BW131">
            <v>0.1</v>
          </cell>
          <cell r="BX131" t="str">
            <v>BETTY</v>
          </cell>
          <cell r="BY131" t="str">
            <v>Girls</v>
          </cell>
          <cell r="BZ131" t="str">
            <v>External</v>
          </cell>
          <cell r="CA131" t="str">
            <v>Ethnic Dresses</v>
          </cell>
          <cell r="CB131" t="str">
            <v>ON_HAND</v>
          </cell>
          <cell r="CC131" t="b">
            <v>0</v>
          </cell>
          <cell r="CD131" t="str">
            <v>**********</v>
          </cell>
          <cell r="CE131">
            <v>643202</v>
          </cell>
          <cell r="CF131" t="str">
            <v>27AXUPC8425A1ZH</v>
          </cell>
          <cell r="CH131" t="str">
            <v>29AAECM9636P1ZJ</v>
          </cell>
          <cell r="CI131" t="str">
            <v>Mumbai</v>
          </cell>
          <cell r="CJ131">
            <v>400013</v>
          </cell>
          <cell r="CK131" t="str">
            <v>maharashtra</v>
          </cell>
          <cell r="CL131" t="str">
            <v>MH</v>
          </cell>
          <cell r="CN131">
            <v>0</v>
          </cell>
          <cell r="CO131">
            <v>1301.0260000000001</v>
          </cell>
          <cell r="CP131">
            <v>1301.0260000000001</v>
          </cell>
          <cell r="CQ131">
            <v>0</v>
          </cell>
          <cell r="CR131">
            <v>0</v>
          </cell>
          <cell r="CS131">
            <v>0</v>
          </cell>
          <cell r="CT131">
            <v>1200</v>
          </cell>
          <cell r="CU131">
            <v>4.1017900000000003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E131" t="str">
            <v>7249491c-8b6a-4eb1-8f17-76156a96516b</v>
          </cell>
          <cell r="DF131">
            <v>100071000000</v>
          </cell>
          <cell r="DG131">
            <v>20.509</v>
          </cell>
          <cell r="DH131">
            <v>0</v>
          </cell>
          <cell r="DI131">
            <v>4.1020000000000003</v>
          </cell>
          <cell r="DJ131">
            <v>0</v>
          </cell>
          <cell r="DK131" t="str">
            <v>BRONZE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 t="str">
            <v>NA</v>
          </cell>
          <cell r="DU131" t="str">
            <v>NA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EB131">
            <v>0</v>
          </cell>
          <cell r="EC131">
            <v>0</v>
          </cell>
          <cell r="ED131">
            <v>-3465.4430000000002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 t="str">
            <v>Settled</v>
          </cell>
          <cell r="FH131">
            <v>4800</v>
          </cell>
          <cell r="FI131">
            <v>3465.4430000000002</v>
          </cell>
          <cell r="FJ131">
            <v>1325.6369999999999</v>
          </cell>
          <cell r="FK131">
            <v>197.06</v>
          </cell>
        </row>
        <row r="132">
          <cell r="A132">
            <v>8616941569</v>
          </cell>
          <cell r="B132">
            <v>10616866914</v>
          </cell>
          <cell r="C132" t="str">
            <v>return_refund</v>
          </cell>
          <cell r="D132">
            <v>45892.320138888892</v>
          </cell>
          <cell r="E132">
            <v>45883.799305555556</v>
          </cell>
          <cell r="G132" t="str">
            <v>Myntra Designs Pvt Ltd</v>
          </cell>
          <cell r="H132" t="str">
            <v>BETYDRSS85575340</v>
          </cell>
          <cell r="I132" t="str">
            <v>\I2726TK000002435\""</v>
          </cell>
          <cell r="J132">
            <v>8616941569</v>
          </cell>
          <cell r="K132">
            <v>62042300</v>
          </cell>
          <cell r="L132" t="str">
            <v>Apparel</v>
          </cell>
          <cell r="M132" t="str">
            <v>INR</v>
          </cell>
          <cell r="N132">
            <v>2494</v>
          </cell>
          <cell r="O132">
            <v>0</v>
          </cell>
          <cell r="P132">
            <v>2494</v>
          </cell>
          <cell r="Q132">
            <v>4500</v>
          </cell>
          <cell r="R132">
            <v>1800</v>
          </cell>
          <cell r="S132" t="str">
            <v>Inter-State</v>
          </cell>
          <cell r="T132">
            <v>12</v>
          </cell>
          <cell r="U132">
            <v>267.20999999999998</v>
          </cell>
          <cell r="V132">
            <v>0</v>
          </cell>
          <cell r="W132">
            <v>0</v>
          </cell>
          <cell r="X132">
            <v>11.134</v>
          </cell>
          <cell r="Y132">
            <v>2.2269999999999999</v>
          </cell>
          <cell r="AA132">
            <v>0</v>
          </cell>
          <cell r="AB132">
            <v>794.58799999999997</v>
          </cell>
          <cell r="AC132">
            <v>794.58799999999997</v>
          </cell>
          <cell r="AD132">
            <v>807.94899999999996</v>
          </cell>
          <cell r="AE132">
            <v>-197.06</v>
          </cell>
          <cell r="AF132">
            <v>167</v>
          </cell>
          <cell r="AG132">
            <v>0</v>
          </cell>
          <cell r="AH132">
            <v>0</v>
          </cell>
          <cell r="AI132">
            <v>0</v>
          </cell>
          <cell r="AJ132">
            <v>30.06</v>
          </cell>
          <cell r="AK132">
            <v>1</v>
          </cell>
          <cell r="AL132" t="str">
            <v>NATIONAL</v>
          </cell>
          <cell r="AM132">
            <v>2700</v>
          </cell>
          <cell r="AN132">
            <v>-1883.1110000000001</v>
          </cell>
          <cell r="AO132">
            <v>-1883.1110000000001</v>
          </cell>
          <cell r="AP132">
            <v>0</v>
          </cell>
          <cell r="AQ132">
            <v>807.94899999999996</v>
          </cell>
          <cell r="AR132">
            <v>-197.06</v>
          </cell>
          <cell r="AS132">
            <v>-2494</v>
          </cell>
          <cell r="AV132">
            <v>0</v>
          </cell>
          <cell r="AW132">
            <v>45903</v>
          </cell>
          <cell r="AX132">
            <v>45903</v>
          </cell>
          <cell r="AY132">
            <v>45903</v>
          </cell>
          <cell r="BC132" t="str">
            <v>NFT-/XUTR/DEUTH025246A0T5UX</v>
          </cell>
          <cell r="BD132" t="str">
            <v>NFT-/XUTR/DEUTH025246A0T5UX</v>
          </cell>
          <cell r="BE132" t="str">
            <v>NFT-/XUTR/DEUTH025246A0T5UX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2226.79</v>
          </cell>
          <cell r="BP132">
            <v>12</v>
          </cell>
          <cell r="BQ132">
            <v>0</v>
          </cell>
          <cell r="BR132">
            <v>0</v>
          </cell>
          <cell r="BS132">
            <v>0</v>
          </cell>
          <cell r="BT132">
            <v>0.5</v>
          </cell>
          <cell r="BU132">
            <v>0</v>
          </cell>
          <cell r="BV132">
            <v>0</v>
          </cell>
          <cell r="BW132">
            <v>0.1</v>
          </cell>
          <cell r="BX132" t="str">
            <v>BETTY</v>
          </cell>
          <cell r="BY132" t="str">
            <v>Girls</v>
          </cell>
          <cell r="BZ132" t="str">
            <v>External</v>
          </cell>
          <cell r="CA132" t="str">
            <v>Dresses</v>
          </cell>
          <cell r="CB132" t="str">
            <v>ON_HAND</v>
          </cell>
          <cell r="CC132" t="b">
            <v>0</v>
          </cell>
          <cell r="CD132" t="str">
            <v>**********</v>
          </cell>
          <cell r="CE132">
            <v>764045</v>
          </cell>
          <cell r="CF132" t="str">
            <v>27AXUPC8425A1ZH</v>
          </cell>
          <cell r="CH132" t="str">
            <v>29AAECM9636P1ZJ</v>
          </cell>
          <cell r="CI132" t="str">
            <v>Mumbai</v>
          </cell>
          <cell r="CJ132">
            <v>400013</v>
          </cell>
          <cell r="CK132" t="str">
            <v>maharashtra</v>
          </cell>
          <cell r="CL132" t="str">
            <v>MH</v>
          </cell>
          <cell r="CN132">
            <v>0</v>
          </cell>
          <cell r="CO132">
            <v>794.58799999999997</v>
          </cell>
          <cell r="CP132">
            <v>794.58799999999997</v>
          </cell>
          <cell r="CQ132">
            <v>0</v>
          </cell>
          <cell r="CR132">
            <v>0</v>
          </cell>
          <cell r="CS132">
            <v>0</v>
          </cell>
          <cell r="CT132">
            <v>1800</v>
          </cell>
          <cell r="CU132">
            <v>2.2267899999999998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E132" t="str">
            <v>0bb2ce66-8bfe-4707-9f84-8eba0eba8d71</v>
          </cell>
          <cell r="DF132">
            <v>100072000000</v>
          </cell>
          <cell r="DG132">
            <v>11.134</v>
          </cell>
          <cell r="DH132">
            <v>0</v>
          </cell>
          <cell r="DI132">
            <v>2.2269999999999999</v>
          </cell>
          <cell r="DJ132">
            <v>0</v>
          </cell>
          <cell r="DK132" t="str">
            <v>BRONZE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 t="str">
            <v>NA</v>
          </cell>
          <cell r="DU132" t="str">
            <v>NA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EB132">
            <v>0</v>
          </cell>
          <cell r="EC132">
            <v>0</v>
          </cell>
          <cell r="ED132">
            <v>-1883.1110000000001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 t="str">
            <v>Settled</v>
          </cell>
          <cell r="FH132">
            <v>2700</v>
          </cell>
          <cell r="FI132">
            <v>1883.1110000000001</v>
          </cell>
          <cell r="FJ132">
            <v>807.94899999999996</v>
          </cell>
          <cell r="FK132">
            <v>197.06</v>
          </cell>
        </row>
        <row r="133">
          <cell r="A133">
            <v>8659781850</v>
          </cell>
          <cell r="B133">
            <v>10659705948</v>
          </cell>
          <cell r="C133" t="str">
            <v>return_refund</v>
          </cell>
          <cell r="D133">
            <v>45917.426388888889</v>
          </cell>
          <cell r="E133">
            <v>45911.459027777775</v>
          </cell>
          <cell r="G133" t="str">
            <v>Myntra Designs Pvt Ltd</v>
          </cell>
          <cell r="H133" t="str">
            <v>TIKICLST116208874</v>
          </cell>
          <cell r="I133" t="str">
            <v>\I2726TK000002852\""</v>
          </cell>
          <cell r="J133">
            <v>8659781850</v>
          </cell>
          <cell r="K133">
            <v>62042300</v>
          </cell>
          <cell r="L133" t="str">
            <v>Apparel</v>
          </cell>
          <cell r="M133" t="str">
            <v>INR</v>
          </cell>
          <cell r="N133">
            <v>2794</v>
          </cell>
          <cell r="O133">
            <v>0</v>
          </cell>
          <cell r="P133">
            <v>2794</v>
          </cell>
          <cell r="Q133">
            <v>3750</v>
          </cell>
          <cell r="R133">
            <v>750</v>
          </cell>
          <cell r="S133" t="str">
            <v>Inter-State</v>
          </cell>
          <cell r="T133">
            <v>12</v>
          </cell>
          <cell r="U133">
            <v>299.36</v>
          </cell>
          <cell r="V133">
            <v>0</v>
          </cell>
          <cell r="W133">
            <v>0</v>
          </cell>
          <cell r="X133">
            <v>12.473000000000001</v>
          </cell>
          <cell r="Y133">
            <v>2.4950000000000001</v>
          </cell>
          <cell r="AA133">
            <v>0</v>
          </cell>
          <cell r="AB133">
            <v>692.35299999999995</v>
          </cell>
          <cell r="AC133">
            <v>692.35299999999995</v>
          </cell>
          <cell r="AD133">
            <v>707.32100000000003</v>
          </cell>
          <cell r="AE133">
            <v>-132.16</v>
          </cell>
          <cell r="AF133">
            <v>112</v>
          </cell>
          <cell r="AG133">
            <v>0</v>
          </cell>
          <cell r="AH133">
            <v>0</v>
          </cell>
          <cell r="AI133">
            <v>0</v>
          </cell>
          <cell r="AJ133">
            <v>20.16</v>
          </cell>
          <cell r="AK133">
            <v>1</v>
          </cell>
          <cell r="AL133" t="str">
            <v>ZONAL</v>
          </cell>
          <cell r="AM133">
            <v>3000</v>
          </cell>
          <cell r="AN133">
            <v>-2218.8389999999999</v>
          </cell>
          <cell r="AO133">
            <v>-2218.8389999999999</v>
          </cell>
          <cell r="AP133">
            <v>0</v>
          </cell>
          <cell r="AQ133">
            <v>707.32100000000003</v>
          </cell>
          <cell r="AR133">
            <v>-132.16</v>
          </cell>
          <cell r="AS133">
            <v>-2794</v>
          </cell>
          <cell r="AV133">
            <v>0</v>
          </cell>
          <cell r="AW133">
            <v>45929</v>
          </cell>
          <cell r="AX133">
            <v>45929</v>
          </cell>
          <cell r="AY133">
            <v>45929</v>
          </cell>
          <cell r="BC133" t="str">
            <v>NFT-/XUTR/DEUTH025272A0RO3X</v>
          </cell>
          <cell r="BD133" t="str">
            <v>NFT-/XUTR/DEUTH025272A0RO3X</v>
          </cell>
          <cell r="BE133" t="str">
            <v>NFT-/XUTR/DEUTH025272A0RO3X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2494.64</v>
          </cell>
          <cell r="BP133">
            <v>12</v>
          </cell>
          <cell r="BQ133">
            <v>0</v>
          </cell>
          <cell r="BR133">
            <v>0</v>
          </cell>
          <cell r="BS133">
            <v>0</v>
          </cell>
          <cell r="BT133">
            <v>0.5</v>
          </cell>
          <cell r="BU133">
            <v>0</v>
          </cell>
          <cell r="BV133">
            <v>0</v>
          </cell>
          <cell r="BW133">
            <v>0.1</v>
          </cell>
          <cell r="BX133" t="str">
            <v>Tiny Kingdom</v>
          </cell>
          <cell r="BY133" t="str">
            <v>Girls</v>
          </cell>
          <cell r="BZ133" t="str">
            <v>External</v>
          </cell>
          <cell r="CA133" t="str">
            <v>Clothing Set</v>
          </cell>
          <cell r="CB133" t="str">
            <v>ON_HAND</v>
          </cell>
          <cell r="CC133" t="b">
            <v>0</v>
          </cell>
          <cell r="CD133" t="str">
            <v>**********</v>
          </cell>
          <cell r="CE133">
            <v>388001</v>
          </cell>
          <cell r="CF133" t="str">
            <v>27AXUPC8425A1ZH</v>
          </cell>
          <cell r="CH133" t="str">
            <v>29AAECM9636P1ZJ</v>
          </cell>
          <cell r="CI133" t="str">
            <v>Mumbai</v>
          </cell>
          <cell r="CJ133">
            <v>400013</v>
          </cell>
          <cell r="CK133" t="str">
            <v>maharashtra</v>
          </cell>
          <cell r="CL133" t="str">
            <v>MH</v>
          </cell>
          <cell r="CN133">
            <v>0</v>
          </cell>
          <cell r="CO133">
            <v>692.35299999999995</v>
          </cell>
          <cell r="CP133">
            <v>692.35299999999995</v>
          </cell>
          <cell r="CQ133">
            <v>0</v>
          </cell>
          <cell r="CR133">
            <v>0</v>
          </cell>
          <cell r="CS133">
            <v>0</v>
          </cell>
          <cell r="CT133">
            <v>750</v>
          </cell>
          <cell r="CU133">
            <v>2.49464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E133" t="str">
            <v>7619fad4-78c7-4703-8375-a90ff1bf8280</v>
          </cell>
          <cell r="DF133">
            <v>100079000000</v>
          </cell>
          <cell r="DG133">
            <v>12.473000000000001</v>
          </cell>
          <cell r="DH133">
            <v>0</v>
          </cell>
          <cell r="DI133">
            <v>2.4950000000000001</v>
          </cell>
          <cell r="DJ133">
            <v>0</v>
          </cell>
          <cell r="DK133" t="str">
            <v>BRONZE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 t="str">
            <v>NA</v>
          </cell>
          <cell r="DU133" t="str">
            <v>NA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-2218.8389999999999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 t="str">
            <v>Settled</v>
          </cell>
          <cell r="FH133">
            <v>3000</v>
          </cell>
          <cell r="FI133">
            <v>2218.8389999999999</v>
          </cell>
          <cell r="FJ133">
            <v>707.32100000000003</v>
          </cell>
          <cell r="FK133">
            <v>132.16</v>
          </cell>
        </row>
        <row r="134">
          <cell r="A134">
            <v>8614451899</v>
          </cell>
          <cell r="B134">
            <v>10614377411</v>
          </cell>
          <cell r="C134" t="str">
            <v>return_refund</v>
          </cell>
          <cell r="D134">
            <v>45895.509027777778</v>
          </cell>
          <cell r="E134">
            <v>45882.453472222223</v>
          </cell>
          <cell r="F134">
            <v>44521</v>
          </cell>
          <cell r="G134" t="str">
            <v>Myntra Designs Pvt Ltd</v>
          </cell>
          <cell r="H134" t="str">
            <v>TIKILHNC79594700</v>
          </cell>
          <cell r="I134" t="str">
            <v>\I2726TK000002415\""</v>
          </cell>
          <cell r="J134">
            <v>8614451899</v>
          </cell>
          <cell r="K134">
            <v>62042300</v>
          </cell>
          <cell r="L134" t="str">
            <v>Apparel</v>
          </cell>
          <cell r="M134" t="str">
            <v>INR</v>
          </cell>
          <cell r="N134">
            <v>2044</v>
          </cell>
          <cell r="O134">
            <v>0</v>
          </cell>
          <cell r="P134">
            <v>2044.01</v>
          </cell>
          <cell r="Q134">
            <v>4500</v>
          </cell>
          <cell r="R134">
            <v>2250</v>
          </cell>
          <cell r="S134" t="str">
            <v>Inter-State</v>
          </cell>
          <cell r="T134">
            <v>12</v>
          </cell>
          <cell r="U134">
            <v>219</v>
          </cell>
          <cell r="V134">
            <v>0</v>
          </cell>
          <cell r="W134">
            <v>0</v>
          </cell>
          <cell r="X134">
            <v>9.125</v>
          </cell>
          <cell r="Y134">
            <v>1.825</v>
          </cell>
          <cell r="AA134">
            <v>0</v>
          </cell>
          <cell r="AB134">
            <v>506.50599999999997</v>
          </cell>
          <cell r="AC134">
            <v>506.50599999999997</v>
          </cell>
          <cell r="AD134">
            <v>517.45600000000002</v>
          </cell>
          <cell r="AE134">
            <v>-197.06</v>
          </cell>
          <cell r="AF134">
            <v>167</v>
          </cell>
          <cell r="AG134">
            <v>0</v>
          </cell>
          <cell r="AH134">
            <v>0</v>
          </cell>
          <cell r="AI134">
            <v>0</v>
          </cell>
          <cell r="AJ134">
            <v>30.06</v>
          </cell>
          <cell r="AK134">
            <v>1</v>
          </cell>
          <cell r="AL134" t="str">
            <v>NATIONAL</v>
          </cell>
          <cell r="AM134">
            <v>2250</v>
          </cell>
          <cell r="AN134">
            <v>-1723.614</v>
          </cell>
          <cell r="AO134">
            <v>-1723.614</v>
          </cell>
          <cell r="AP134">
            <v>0</v>
          </cell>
          <cell r="AQ134">
            <v>517.45600000000002</v>
          </cell>
          <cell r="AR134">
            <v>-197.06</v>
          </cell>
          <cell r="AS134">
            <v>-2044.01</v>
          </cell>
          <cell r="AV134">
            <v>0</v>
          </cell>
          <cell r="AW134">
            <v>45901</v>
          </cell>
          <cell r="AX134">
            <v>45901</v>
          </cell>
          <cell r="AY134">
            <v>45901</v>
          </cell>
          <cell r="BC134" t="str">
            <v>NFT-/XUTR/DEUTH025244A0LW1X</v>
          </cell>
          <cell r="BD134" t="str">
            <v>NFT-/XUTR/DEUTH025244A0LW1X</v>
          </cell>
          <cell r="BE134" t="str">
            <v>NFT-/XUTR/DEUTH025244A0LW1X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1825</v>
          </cell>
          <cell r="BP134">
            <v>12</v>
          </cell>
          <cell r="BQ134">
            <v>0</v>
          </cell>
          <cell r="BR134">
            <v>0</v>
          </cell>
          <cell r="BS134">
            <v>0</v>
          </cell>
          <cell r="BT134">
            <v>0.5</v>
          </cell>
          <cell r="BU134">
            <v>0</v>
          </cell>
          <cell r="BV134">
            <v>0</v>
          </cell>
          <cell r="BW134">
            <v>0.1</v>
          </cell>
          <cell r="BX134" t="str">
            <v>Tiny Kingdom</v>
          </cell>
          <cell r="BY134" t="str">
            <v>Girls</v>
          </cell>
          <cell r="BZ134" t="str">
            <v>External</v>
          </cell>
          <cell r="CA134" t="str">
            <v>Lehenga Choli</v>
          </cell>
          <cell r="CB134" t="str">
            <v>ON_HAND</v>
          </cell>
          <cell r="CC134" t="b">
            <v>0</v>
          </cell>
          <cell r="CD134" t="str">
            <v>**********</v>
          </cell>
          <cell r="CE134">
            <v>125055</v>
          </cell>
          <cell r="CF134" t="str">
            <v>27AXUPC8425A1ZH</v>
          </cell>
          <cell r="CH134" t="str">
            <v>29AAECM9636P1ZJ</v>
          </cell>
          <cell r="CI134" t="str">
            <v>Mumbai</v>
          </cell>
          <cell r="CJ134">
            <v>400013</v>
          </cell>
          <cell r="CK134" t="str">
            <v>maharashtra</v>
          </cell>
          <cell r="CL134" t="str">
            <v>MH</v>
          </cell>
          <cell r="CN134">
            <v>0</v>
          </cell>
          <cell r="CO134">
            <v>506.50599999999997</v>
          </cell>
          <cell r="CP134">
            <v>506.50599999999997</v>
          </cell>
          <cell r="CQ134">
            <v>0</v>
          </cell>
          <cell r="CR134">
            <v>0</v>
          </cell>
          <cell r="CS134">
            <v>0</v>
          </cell>
          <cell r="CT134">
            <v>2250</v>
          </cell>
          <cell r="CU134">
            <v>1.825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E134" t="str">
            <v>3108638f-fe84-421e-9284-46c5a80f034f</v>
          </cell>
          <cell r="DF134">
            <v>100072000000</v>
          </cell>
          <cell r="DG134">
            <v>9.125</v>
          </cell>
          <cell r="DH134">
            <v>0</v>
          </cell>
          <cell r="DI134">
            <v>1.825</v>
          </cell>
          <cell r="DJ134">
            <v>0</v>
          </cell>
          <cell r="DK134" t="str">
            <v>BRONZE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 t="str">
            <v>NA</v>
          </cell>
          <cell r="DU134" t="str">
            <v>NA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EB134">
            <v>-1723.614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 t="str">
            <v>Settled</v>
          </cell>
          <cell r="FH134">
            <v>2250</v>
          </cell>
          <cell r="FI134">
            <v>1723.614</v>
          </cell>
          <cell r="FJ134">
            <v>517.45600000000002</v>
          </cell>
          <cell r="FK134">
            <v>197.06</v>
          </cell>
        </row>
        <row r="135">
          <cell r="A135">
            <v>8610108292</v>
          </cell>
          <cell r="B135">
            <v>10610033999</v>
          </cell>
          <cell r="C135" t="str">
            <v>return_refund</v>
          </cell>
          <cell r="D135">
            <v>45891.320138888892</v>
          </cell>
          <cell r="E135">
            <v>45880.458333333336</v>
          </cell>
          <cell r="F135">
            <v>44515</v>
          </cell>
          <cell r="G135" t="str">
            <v>Myntra Designs Pvt Ltd</v>
          </cell>
          <cell r="H135" t="str">
            <v>TIKILHNC101907530</v>
          </cell>
          <cell r="I135" t="str">
            <v>\I2726TK000002360\""</v>
          </cell>
          <cell r="J135">
            <v>8610108292</v>
          </cell>
          <cell r="K135">
            <v>62042300</v>
          </cell>
          <cell r="L135" t="str">
            <v>Apparel</v>
          </cell>
          <cell r="M135" t="str">
            <v>INR</v>
          </cell>
          <cell r="N135">
            <v>1079</v>
          </cell>
          <cell r="O135">
            <v>1005.646</v>
          </cell>
          <cell r="P135">
            <v>73.343999999999994</v>
          </cell>
          <cell r="Q135">
            <v>2500</v>
          </cell>
          <cell r="R135">
            <v>1250</v>
          </cell>
          <cell r="S135" t="str">
            <v>Inter-State</v>
          </cell>
          <cell r="T135">
            <v>12</v>
          </cell>
          <cell r="U135">
            <v>115.61</v>
          </cell>
          <cell r="V135">
            <v>0</v>
          </cell>
          <cell r="W135">
            <v>0</v>
          </cell>
          <cell r="X135">
            <v>4.8159999999999998</v>
          </cell>
          <cell r="Y135">
            <v>0.96299999999999997</v>
          </cell>
          <cell r="AA135">
            <v>0</v>
          </cell>
          <cell r="AB135">
            <v>267.37400000000002</v>
          </cell>
          <cell r="AC135">
            <v>267.37400000000002</v>
          </cell>
          <cell r="AD135">
            <v>273.15300000000002</v>
          </cell>
          <cell r="AE135">
            <v>-197.06</v>
          </cell>
          <cell r="AF135">
            <v>167</v>
          </cell>
          <cell r="AG135">
            <v>0</v>
          </cell>
          <cell r="AH135">
            <v>0</v>
          </cell>
          <cell r="AI135">
            <v>0</v>
          </cell>
          <cell r="AJ135">
            <v>30.06</v>
          </cell>
          <cell r="AK135">
            <v>1</v>
          </cell>
          <cell r="AL135" t="str">
            <v>NATIONAL</v>
          </cell>
          <cell r="AM135">
            <v>1250</v>
          </cell>
          <cell r="AN135">
            <v>-1002.897</v>
          </cell>
          <cell r="AO135">
            <v>-1002.897</v>
          </cell>
          <cell r="AP135">
            <v>0</v>
          </cell>
          <cell r="AQ135">
            <v>18.567</v>
          </cell>
          <cell r="AR135">
            <v>-13.39536</v>
          </cell>
          <cell r="AS135">
            <v>-73.343999999999994</v>
          </cell>
          <cell r="AT135">
            <v>254.58600000000001</v>
          </cell>
          <cell r="AU135">
            <v>-183.66463999999999</v>
          </cell>
          <cell r="AV135">
            <v>-1005.646</v>
          </cell>
          <cell r="AW135">
            <v>45903</v>
          </cell>
          <cell r="AX135">
            <v>45903</v>
          </cell>
          <cell r="AY135">
            <v>45903</v>
          </cell>
          <cell r="AZ135">
            <v>45903</v>
          </cell>
          <cell r="BA135">
            <v>45903</v>
          </cell>
          <cell r="BB135">
            <v>45903</v>
          </cell>
          <cell r="BC135" t="str">
            <v>NFT-/XUTR/DEUTH025246A0T5UX</v>
          </cell>
          <cell r="BD135" t="str">
            <v>NFT-/XUTR/DEUTH025246A0T5UX</v>
          </cell>
          <cell r="BE135" t="str">
            <v>NFT-/XUTR/DEUTH025246A0T5UX</v>
          </cell>
          <cell r="BF135" t="str">
            <v>NFT-/XUTR/DEUTH025246A0P15X</v>
          </cell>
          <cell r="BG135" t="str">
            <v>NFT-/XUTR/DEUTH025246A0P15X</v>
          </cell>
          <cell r="BH135" t="str">
            <v>NFT-/XUTR/DEUTH025246A0P15X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963.39</v>
          </cell>
          <cell r="BP135">
            <v>12</v>
          </cell>
          <cell r="BQ135">
            <v>0</v>
          </cell>
          <cell r="BR135">
            <v>0</v>
          </cell>
          <cell r="BS135">
            <v>0</v>
          </cell>
          <cell r="BT135">
            <v>0.5</v>
          </cell>
          <cell r="BU135">
            <v>0</v>
          </cell>
          <cell r="BV135">
            <v>0</v>
          </cell>
          <cell r="BW135">
            <v>0.1</v>
          </cell>
          <cell r="BX135" t="str">
            <v>Tiny Kingdom</v>
          </cell>
          <cell r="BY135" t="str">
            <v>Girls</v>
          </cell>
          <cell r="BZ135" t="str">
            <v>External</v>
          </cell>
          <cell r="CA135" t="str">
            <v>Lehenga Choli</v>
          </cell>
          <cell r="CB135" t="str">
            <v>ON_HAND</v>
          </cell>
          <cell r="CC135" t="b">
            <v>0</v>
          </cell>
          <cell r="CD135" t="str">
            <v>**********</v>
          </cell>
          <cell r="CE135">
            <v>141007</v>
          </cell>
          <cell r="CF135" t="str">
            <v>27AXUPC8425A1ZH</v>
          </cell>
          <cell r="CH135" t="str">
            <v>29AAECM9636P1ZJ</v>
          </cell>
          <cell r="CI135" t="str">
            <v>Mumbai</v>
          </cell>
          <cell r="CJ135">
            <v>400013</v>
          </cell>
          <cell r="CK135" t="str">
            <v>maharashtra</v>
          </cell>
          <cell r="CL135" t="str">
            <v>MH</v>
          </cell>
          <cell r="CN135">
            <v>0</v>
          </cell>
          <cell r="CO135">
            <v>18.175000000000001</v>
          </cell>
          <cell r="CP135">
            <v>18.175000000000001</v>
          </cell>
          <cell r="CQ135">
            <v>0</v>
          </cell>
          <cell r="CR135">
            <v>0</v>
          </cell>
          <cell r="CS135">
            <v>0</v>
          </cell>
          <cell r="CT135">
            <v>1250</v>
          </cell>
          <cell r="CU135">
            <v>0.96338999999999997</v>
          </cell>
          <cell r="CW135">
            <v>0</v>
          </cell>
          <cell r="CX135">
            <v>249.19900000000001</v>
          </cell>
          <cell r="CY135">
            <v>249.19900000000001</v>
          </cell>
          <cell r="CZ135">
            <v>0</v>
          </cell>
          <cell r="DA135">
            <v>0</v>
          </cell>
          <cell r="DB135">
            <v>0</v>
          </cell>
          <cell r="DC135">
            <v>1250</v>
          </cell>
          <cell r="DD135">
            <v>0.96338999999999997</v>
          </cell>
          <cell r="DE135" t="str">
            <v>c3a9319b-c8ac-4a86-8075-9d47e28e7a89</v>
          </cell>
          <cell r="DF135">
            <v>100072000000</v>
          </cell>
          <cell r="DG135">
            <v>0.32700000000000001</v>
          </cell>
          <cell r="DH135">
            <v>4.4889999999999999</v>
          </cell>
          <cell r="DI135">
            <v>6.5000000000000002E-2</v>
          </cell>
          <cell r="DJ135">
            <v>0.89800000000000002</v>
          </cell>
          <cell r="DK135" t="str">
            <v>BRONZE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 t="str">
            <v>NA</v>
          </cell>
          <cell r="DU135" t="str">
            <v>NA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EB135">
            <v>0</v>
          </cell>
          <cell r="EC135">
            <v>0</v>
          </cell>
          <cell r="ED135">
            <v>-1002.897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 t="str">
            <v>Settled</v>
          </cell>
          <cell r="FH135">
            <v>1250</v>
          </cell>
          <cell r="FI135">
            <v>1002.897</v>
          </cell>
          <cell r="FJ135">
            <v>273.15300000000002</v>
          </cell>
          <cell r="FK135">
            <v>197.06</v>
          </cell>
        </row>
        <row r="136">
          <cell r="A136">
            <v>8644200717</v>
          </cell>
          <cell r="B136">
            <v>10644125139</v>
          </cell>
          <cell r="C136" t="str">
            <v>return_refund</v>
          </cell>
          <cell r="D136">
            <v>45909.518055555556</v>
          </cell>
          <cell r="E136">
            <v>45902.560416666667</v>
          </cell>
          <cell r="G136" t="str">
            <v>Myntra Designs Pvt Ltd</v>
          </cell>
          <cell r="H136" t="str">
            <v>BETYCLST112352489</v>
          </cell>
          <cell r="I136" t="str">
            <v>\I2726TK000002719\""</v>
          </cell>
          <cell r="J136">
            <v>8644200717</v>
          </cell>
          <cell r="K136">
            <v>62042300</v>
          </cell>
          <cell r="L136" t="str">
            <v>Apparel</v>
          </cell>
          <cell r="M136" t="str">
            <v>INR</v>
          </cell>
          <cell r="N136">
            <v>4594</v>
          </cell>
          <cell r="O136">
            <v>0</v>
          </cell>
          <cell r="P136">
            <v>4594</v>
          </cell>
          <cell r="Q136">
            <v>6000</v>
          </cell>
          <cell r="R136">
            <v>1200</v>
          </cell>
          <cell r="S136" t="str">
            <v>Inter-State</v>
          </cell>
          <cell r="T136">
            <v>12</v>
          </cell>
          <cell r="U136">
            <v>492.21</v>
          </cell>
          <cell r="V136">
            <v>0</v>
          </cell>
          <cell r="W136">
            <v>0</v>
          </cell>
          <cell r="X136">
            <v>20.509</v>
          </cell>
          <cell r="Y136">
            <v>4.1020000000000003</v>
          </cell>
          <cell r="AA136">
            <v>0</v>
          </cell>
          <cell r="AB136">
            <v>1409.4390000000001</v>
          </cell>
          <cell r="AC136">
            <v>1409.4390000000001</v>
          </cell>
          <cell r="AD136">
            <v>1434.05</v>
          </cell>
          <cell r="AE136">
            <v>-197.06</v>
          </cell>
          <cell r="AF136">
            <v>167</v>
          </cell>
          <cell r="AG136">
            <v>0</v>
          </cell>
          <cell r="AH136">
            <v>0</v>
          </cell>
          <cell r="AI136">
            <v>0</v>
          </cell>
          <cell r="AJ136">
            <v>30.06</v>
          </cell>
          <cell r="AK136">
            <v>1</v>
          </cell>
          <cell r="AL136" t="str">
            <v>NATIONAL</v>
          </cell>
          <cell r="AM136">
            <v>4800</v>
          </cell>
          <cell r="AN136">
            <v>-3357.01</v>
          </cell>
          <cell r="AO136">
            <v>-3357.01</v>
          </cell>
          <cell r="AP136">
            <v>0</v>
          </cell>
          <cell r="AQ136">
            <v>1434.05</v>
          </cell>
          <cell r="AR136">
            <v>-197.06</v>
          </cell>
          <cell r="AS136">
            <v>-4594</v>
          </cell>
          <cell r="AV136">
            <v>0</v>
          </cell>
          <cell r="AW136">
            <v>45922</v>
          </cell>
          <cell r="AX136">
            <v>45922</v>
          </cell>
          <cell r="AY136">
            <v>45922</v>
          </cell>
          <cell r="BC136" t="str">
            <v>NFT-/XUTR/DEUTH025265A10GKX</v>
          </cell>
          <cell r="BD136" t="str">
            <v>NFT-/XUTR/DEUTH025265A10GKX</v>
          </cell>
          <cell r="BE136" t="str">
            <v>NFT-/XUTR/DEUTH025265A10GKX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4101.79</v>
          </cell>
          <cell r="BP136">
            <v>12</v>
          </cell>
          <cell r="BQ136">
            <v>0</v>
          </cell>
          <cell r="BR136">
            <v>0</v>
          </cell>
          <cell r="BS136">
            <v>0</v>
          </cell>
          <cell r="BT136">
            <v>0.5</v>
          </cell>
          <cell r="BU136">
            <v>0</v>
          </cell>
          <cell r="BV136">
            <v>0</v>
          </cell>
          <cell r="BW136">
            <v>0.1</v>
          </cell>
          <cell r="BX136" t="str">
            <v>BETTY</v>
          </cell>
          <cell r="BY136" t="str">
            <v>Girls</v>
          </cell>
          <cell r="BZ136" t="str">
            <v>External</v>
          </cell>
          <cell r="CA136" t="str">
            <v>Kurta Sets</v>
          </cell>
          <cell r="CB136" t="str">
            <v>ON_HAND</v>
          </cell>
          <cell r="CC136" t="b">
            <v>0</v>
          </cell>
          <cell r="CD136" t="str">
            <v>**********</v>
          </cell>
          <cell r="CE136">
            <v>246725</v>
          </cell>
          <cell r="CF136" t="str">
            <v>27AXUPC8425A1ZH</v>
          </cell>
          <cell r="CH136" t="str">
            <v>29AAECM9636P1ZJ</v>
          </cell>
          <cell r="CI136" t="str">
            <v>Mumbai</v>
          </cell>
          <cell r="CJ136">
            <v>400013</v>
          </cell>
          <cell r="CK136" t="str">
            <v>maharashtra</v>
          </cell>
          <cell r="CL136" t="str">
            <v>MH</v>
          </cell>
          <cell r="CN136">
            <v>0</v>
          </cell>
          <cell r="CO136">
            <v>1409.4390000000001</v>
          </cell>
          <cell r="CP136">
            <v>1409.4390000000001</v>
          </cell>
          <cell r="CQ136">
            <v>0</v>
          </cell>
          <cell r="CR136">
            <v>0</v>
          </cell>
          <cell r="CS136">
            <v>0</v>
          </cell>
          <cell r="CT136">
            <v>1200</v>
          </cell>
          <cell r="CU136">
            <v>4.1017900000000003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E136" t="str">
            <v>dcb91fef-100e-4ed1-bf94-4da982774076</v>
          </cell>
          <cell r="DF136">
            <v>100077000000</v>
          </cell>
          <cell r="DG136">
            <v>20.509</v>
          </cell>
          <cell r="DH136">
            <v>0</v>
          </cell>
          <cell r="DI136">
            <v>4.1020000000000003</v>
          </cell>
          <cell r="DJ136">
            <v>0</v>
          </cell>
          <cell r="DK136" t="str">
            <v>BRONZE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 t="str">
            <v>NA</v>
          </cell>
          <cell r="DU136" t="str">
            <v>NA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-3357.01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 t="str">
            <v>Settled</v>
          </cell>
          <cell r="FH136">
            <v>4800</v>
          </cell>
          <cell r="FI136">
            <v>3357.01</v>
          </cell>
          <cell r="FJ136">
            <v>1434.05</v>
          </cell>
          <cell r="FK136">
            <v>197.06</v>
          </cell>
        </row>
        <row r="137">
          <cell r="A137">
            <v>8648874948</v>
          </cell>
          <cell r="B137">
            <v>10648799248</v>
          </cell>
          <cell r="C137" t="str">
            <v>return_refund</v>
          </cell>
          <cell r="D137">
            <v>45914.442361111112</v>
          </cell>
          <cell r="E137">
            <v>45905.450694444444</v>
          </cell>
          <cell r="G137" t="str">
            <v>Myntra Designs Pvt Ltd</v>
          </cell>
          <cell r="H137" t="str">
            <v>TIKITOPS63026658</v>
          </cell>
          <cell r="I137" t="str">
            <v>\I2726TK000002755\""</v>
          </cell>
          <cell r="J137">
            <v>8648874948</v>
          </cell>
          <cell r="K137">
            <v>62064000</v>
          </cell>
          <cell r="L137" t="str">
            <v>Apparel</v>
          </cell>
          <cell r="M137" t="str">
            <v>INR</v>
          </cell>
          <cell r="N137">
            <v>364</v>
          </cell>
          <cell r="O137">
            <v>0</v>
          </cell>
          <cell r="P137">
            <v>364</v>
          </cell>
          <cell r="Q137">
            <v>850</v>
          </cell>
          <cell r="R137">
            <v>427</v>
          </cell>
          <cell r="S137" t="str">
            <v>Inter-State</v>
          </cell>
          <cell r="T137">
            <v>5</v>
          </cell>
          <cell r="U137">
            <v>17.329999999999998</v>
          </cell>
          <cell r="V137">
            <v>0</v>
          </cell>
          <cell r="W137">
            <v>0</v>
          </cell>
          <cell r="X137">
            <v>1.7330000000000001</v>
          </cell>
          <cell r="Y137">
            <v>0.34699999999999998</v>
          </cell>
          <cell r="AA137">
            <v>0</v>
          </cell>
          <cell r="AB137">
            <v>34.362000000000002</v>
          </cell>
          <cell r="AC137">
            <v>34.362000000000002</v>
          </cell>
          <cell r="AD137">
            <v>36.442</v>
          </cell>
          <cell r="AE137">
            <v>-197.06</v>
          </cell>
          <cell r="AF137">
            <v>167</v>
          </cell>
          <cell r="AG137">
            <v>0</v>
          </cell>
          <cell r="AH137">
            <v>0</v>
          </cell>
          <cell r="AI137">
            <v>0</v>
          </cell>
          <cell r="AJ137">
            <v>30.06</v>
          </cell>
          <cell r="AK137">
            <v>1</v>
          </cell>
          <cell r="AL137" t="str">
            <v>NATIONAL</v>
          </cell>
          <cell r="AM137">
            <v>423</v>
          </cell>
          <cell r="AN137">
            <v>-524.61800000000005</v>
          </cell>
          <cell r="AO137">
            <v>-524.61800000000005</v>
          </cell>
          <cell r="AP137">
            <v>0</v>
          </cell>
          <cell r="AQ137">
            <v>36.442</v>
          </cell>
          <cell r="AR137">
            <v>-197.06</v>
          </cell>
          <cell r="AS137">
            <v>-364</v>
          </cell>
          <cell r="AV137">
            <v>0</v>
          </cell>
          <cell r="AW137">
            <v>45929</v>
          </cell>
          <cell r="AX137">
            <v>45929</v>
          </cell>
          <cell r="AY137">
            <v>45929</v>
          </cell>
          <cell r="BC137" t="str">
            <v>NFT-/XUTR/DEUTH025272A0RO3X</v>
          </cell>
          <cell r="BD137" t="str">
            <v>NFT-/XUTR/DEUTH025272A0RO3X</v>
          </cell>
          <cell r="BE137" t="str">
            <v>NFT-/XUTR/DEUTH025272A0RO3X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346.67</v>
          </cell>
          <cell r="BP137">
            <v>5</v>
          </cell>
          <cell r="BQ137">
            <v>0</v>
          </cell>
          <cell r="BR137">
            <v>0</v>
          </cell>
          <cell r="BS137">
            <v>0</v>
          </cell>
          <cell r="BT137">
            <v>0.5</v>
          </cell>
          <cell r="BU137">
            <v>0</v>
          </cell>
          <cell r="BV137">
            <v>0</v>
          </cell>
          <cell r="BW137">
            <v>0.1</v>
          </cell>
          <cell r="BX137" t="str">
            <v>Tiny Kingdom</v>
          </cell>
          <cell r="BY137" t="str">
            <v>Girls</v>
          </cell>
          <cell r="BZ137" t="str">
            <v>External</v>
          </cell>
          <cell r="CA137" t="str">
            <v>Tops</v>
          </cell>
          <cell r="CB137" t="str">
            <v>ON_HAND</v>
          </cell>
          <cell r="CC137" t="b">
            <v>0</v>
          </cell>
          <cell r="CD137" t="str">
            <v>**********</v>
          </cell>
          <cell r="CE137">
            <v>173205</v>
          </cell>
          <cell r="CF137" t="str">
            <v>27AXUPC8425A1ZH</v>
          </cell>
          <cell r="CH137" t="str">
            <v>29AAECM9636P1ZJ</v>
          </cell>
          <cell r="CI137" t="str">
            <v>Mumbai</v>
          </cell>
          <cell r="CJ137">
            <v>400013</v>
          </cell>
          <cell r="CK137" t="str">
            <v>maharashtra</v>
          </cell>
          <cell r="CL137" t="str">
            <v>MH</v>
          </cell>
          <cell r="CN137">
            <v>0</v>
          </cell>
          <cell r="CO137">
            <v>34.362000000000002</v>
          </cell>
          <cell r="CP137">
            <v>34.362000000000002</v>
          </cell>
          <cell r="CQ137">
            <v>0</v>
          </cell>
          <cell r="CR137">
            <v>0</v>
          </cell>
          <cell r="CS137">
            <v>0</v>
          </cell>
          <cell r="CT137">
            <v>427</v>
          </cell>
          <cell r="CU137">
            <v>0.34666999999999998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E137" t="str">
            <v>53f11ec8-4abb-4ecb-ab8a-c61e72f019f1</v>
          </cell>
          <cell r="DF137">
            <v>100078000000</v>
          </cell>
          <cell r="DG137">
            <v>1.7330000000000001</v>
          </cell>
          <cell r="DH137">
            <v>0</v>
          </cell>
          <cell r="DI137">
            <v>0.34699999999999998</v>
          </cell>
          <cell r="DJ137">
            <v>0</v>
          </cell>
          <cell r="DK137" t="str">
            <v>BRONZE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 t="str">
            <v>NA</v>
          </cell>
          <cell r="DU137" t="str">
            <v>NA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-524.61800000000005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 t="str">
            <v>Settled</v>
          </cell>
          <cell r="FH137">
            <v>423</v>
          </cell>
          <cell r="FI137">
            <v>524.61800000000005</v>
          </cell>
          <cell r="FJ137">
            <v>36.442</v>
          </cell>
          <cell r="FK137">
            <v>197.06</v>
          </cell>
        </row>
        <row r="138">
          <cell r="A138">
            <v>8647895633</v>
          </cell>
          <cell r="B138">
            <v>10647820003</v>
          </cell>
          <cell r="C138" t="str">
            <v>return_refund</v>
          </cell>
          <cell r="D138">
            <v>45917.620833333334</v>
          </cell>
          <cell r="E138">
            <v>45904.486805555556</v>
          </cell>
          <cell r="G138" t="str">
            <v>Myntra Designs Pvt Ltd</v>
          </cell>
          <cell r="H138" t="str">
            <v>TIKIDRSS113553895</v>
          </cell>
          <cell r="I138" t="str">
            <v>\I2726TK000002742\""</v>
          </cell>
          <cell r="J138">
            <v>8647895633</v>
          </cell>
          <cell r="K138">
            <v>62042300</v>
          </cell>
          <cell r="L138" t="str">
            <v>Apparel</v>
          </cell>
          <cell r="M138" t="str">
            <v>INR</v>
          </cell>
          <cell r="N138">
            <v>2769</v>
          </cell>
          <cell r="O138">
            <v>0</v>
          </cell>
          <cell r="P138">
            <v>2768.99</v>
          </cell>
          <cell r="Q138">
            <v>3500</v>
          </cell>
          <cell r="R138">
            <v>525</v>
          </cell>
          <cell r="S138" t="str">
            <v>Inter-State</v>
          </cell>
          <cell r="T138">
            <v>12</v>
          </cell>
          <cell r="U138">
            <v>296.68</v>
          </cell>
          <cell r="V138">
            <v>0</v>
          </cell>
          <cell r="W138">
            <v>0</v>
          </cell>
          <cell r="X138">
            <v>12.362</v>
          </cell>
          <cell r="Y138">
            <v>2.472</v>
          </cell>
          <cell r="AA138">
            <v>0</v>
          </cell>
          <cell r="AB138">
            <v>588.13300000000004</v>
          </cell>
          <cell r="AC138">
            <v>588.13300000000004</v>
          </cell>
          <cell r="AD138">
            <v>602.96699999999998</v>
          </cell>
          <cell r="AE138">
            <v>-132.16</v>
          </cell>
          <cell r="AF138">
            <v>112</v>
          </cell>
          <cell r="AG138">
            <v>0</v>
          </cell>
          <cell r="AH138">
            <v>0</v>
          </cell>
          <cell r="AI138">
            <v>0</v>
          </cell>
          <cell r="AJ138">
            <v>20.16</v>
          </cell>
          <cell r="AK138">
            <v>1</v>
          </cell>
          <cell r="AL138" t="str">
            <v>ZONAL</v>
          </cell>
          <cell r="AM138">
            <v>2975</v>
          </cell>
          <cell r="AN138">
            <v>-2298.183</v>
          </cell>
          <cell r="AO138">
            <v>-2298.183</v>
          </cell>
          <cell r="AP138">
            <v>0</v>
          </cell>
          <cell r="AQ138">
            <v>602.96699999999998</v>
          </cell>
          <cell r="AR138">
            <v>-132.16</v>
          </cell>
          <cell r="AS138">
            <v>-2768.99</v>
          </cell>
          <cell r="AV138">
            <v>0</v>
          </cell>
          <cell r="AW138">
            <v>45922</v>
          </cell>
          <cell r="AX138">
            <v>45922</v>
          </cell>
          <cell r="AY138">
            <v>45922</v>
          </cell>
          <cell r="BC138" t="str">
            <v>NFT-/XUTR/DEUTH025265A10GKX</v>
          </cell>
          <cell r="BD138" t="str">
            <v>NFT-/XUTR/DEUTH025265A10GKX</v>
          </cell>
          <cell r="BE138" t="str">
            <v>NFT-/XUTR/DEUTH025265A10GKX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2472.3200000000002</v>
          </cell>
          <cell r="BP138">
            <v>12</v>
          </cell>
          <cell r="BQ138">
            <v>0</v>
          </cell>
          <cell r="BR138">
            <v>0</v>
          </cell>
          <cell r="BS138">
            <v>0</v>
          </cell>
          <cell r="BT138">
            <v>0.5</v>
          </cell>
          <cell r="BU138">
            <v>0</v>
          </cell>
          <cell r="BV138">
            <v>0</v>
          </cell>
          <cell r="BW138">
            <v>0.1</v>
          </cell>
          <cell r="BX138" t="str">
            <v>Tiny Kingdom</v>
          </cell>
          <cell r="BY138" t="str">
            <v>Girls</v>
          </cell>
          <cell r="BZ138" t="str">
            <v>External</v>
          </cell>
          <cell r="CA138" t="str">
            <v>Dresses</v>
          </cell>
          <cell r="CB138" t="str">
            <v>ON_HAND</v>
          </cell>
          <cell r="CC138" t="b">
            <v>0</v>
          </cell>
          <cell r="CD138" t="str">
            <v>**********</v>
          </cell>
          <cell r="CE138">
            <v>500089</v>
          </cell>
          <cell r="CF138" t="str">
            <v>27AXUPC8425A1ZH</v>
          </cell>
          <cell r="CH138" t="str">
            <v>29AAECM9636P1ZJ</v>
          </cell>
          <cell r="CI138" t="str">
            <v>Mumbai</v>
          </cell>
          <cell r="CJ138">
            <v>400013</v>
          </cell>
          <cell r="CK138" t="str">
            <v>maharashtra</v>
          </cell>
          <cell r="CL138" t="str">
            <v>MH</v>
          </cell>
          <cell r="CN138">
            <v>0</v>
          </cell>
          <cell r="CO138">
            <v>588.13300000000004</v>
          </cell>
          <cell r="CP138">
            <v>588.13300000000004</v>
          </cell>
          <cell r="CQ138">
            <v>0</v>
          </cell>
          <cell r="CR138">
            <v>0</v>
          </cell>
          <cell r="CS138">
            <v>0</v>
          </cell>
          <cell r="CT138">
            <v>525</v>
          </cell>
          <cell r="CU138">
            <v>2.4723199999999999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E138" t="str">
            <v>23a759f6-5bd2-4e39-b389-2b7dc61ec294</v>
          </cell>
          <cell r="DF138">
            <v>100078000000</v>
          </cell>
          <cell r="DG138">
            <v>12.362</v>
          </cell>
          <cell r="DH138">
            <v>0</v>
          </cell>
          <cell r="DI138">
            <v>2.472</v>
          </cell>
          <cell r="DJ138">
            <v>0</v>
          </cell>
          <cell r="DK138" t="str">
            <v>BRONZE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 t="str">
            <v>NA</v>
          </cell>
          <cell r="DU138" t="str">
            <v>NA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-2298.183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 t="str">
            <v>Settled</v>
          </cell>
          <cell r="FH138">
            <v>2975</v>
          </cell>
          <cell r="FI138">
            <v>2298.183</v>
          </cell>
          <cell r="FJ138">
            <v>602.96699999999998</v>
          </cell>
          <cell r="FK138">
            <v>132.16</v>
          </cell>
        </row>
        <row r="139">
          <cell r="A139">
            <v>8623704786</v>
          </cell>
          <cell r="B139">
            <v>10623629757</v>
          </cell>
          <cell r="C139" t="str">
            <v>return_refund</v>
          </cell>
          <cell r="D139">
            <v>45903.573611111111</v>
          </cell>
          <cell r="E139">
            <v>45888.776388888888</v>
          </cell>
          <cell r="F139">
            <v>44527</v>
          </cell>
          <cell r="G139" t="str">
            <v>Myntra Designs Pvt Ltd</v>
          </cell>
          <cell r="H139" t="str">
            <v>TIKILHNC106661971</v>
          </cell>
          <cell r="I139" t="str">
            <v>\I2726TK000002502\""</v>
          </cell>
          <cell r="J139">
            <v>8623704786</v>
          </cell>
          <cell r="K139">
            <v>62042300</v>
          </cell>
          <cell r="L139" t="str">
            <v>Apparel</v>
          </cell>
          <cell r="M139" t="str">
            <v>INR</v>
          </cell>
          <cell r="N139">
            <v>3294</v>
          </cell>
          <cell r="O139">
            <v>3294</v>
          </cell>
          <cell r="P139">
            <v>0</v>
          </cell>
          <cell r="Q139">
            <v>5000</v>
          </cell>
          <cell r="R139">
            <v>1500</v>
          </cell>
          <cell r="S139" t="str">
            <v>Inter-State</v>
          </cell>
          <cell r="T139">
            <v>12</v>
          </cell>
          <cell r="U139">
            <v>352.93</v>
          </cell>
          <cell r="V139">
            <v>0</v>
          </cell>
          <cell r="W139">
            <v>0</v>
          </cell>
          <cell r="X139">
            <v>14.705</v>
          </cell>
          <cell r="Y139">
            <v>2.9409999999999998</v>
          </cell>
          <cell r="AA139">
            <v>0</v>
          </cell>
          <cell r="AB139">
            <v>816.25300000000004</v>
          </cell>
          <cell r="AC139">
            <v>816.25300000000004</v>
          </cell>
          <cell r="AD139">
            <v>833.899</v>
          </cell>
          <cell r="AE139">
            <v>-132.16</v>
          </cell>
          <cell r="AF139">
            <v>112</v>
          </cell>
          <cell r="AG139">
            <v>0</v>
          </cell>
          <cell r="AH139">
            <v>0</v>
          </cell>
          <cell r="AI139">
            <v>0</v>
          </cell>
          <cell r="AJ139">
            <v>20.16</v>
          </cell>
          <cell r="AK139">
            <v>1</v>
          </cell>
          <cell r="AL139" t="str">
            <v>ZONAL</v>
          </cell>
          <cell r="AM139">
            <v>3500</v>
          </cell>
          <cell r="AN139">
            <v>-2592.261</v>
          </cell>
          <cell r="AO139">
            <v>-2592.261</v>
          </cell>
          <cell r="AP139">
            <v>0</v>
          </cell>
          <cell r="AS139">
            <v>0</v>
          </cell>
          <cell r="AT139">
            <v>833.899</v>
          </cell>
          <cell r="AU139">
            <v>-132.16</v>
          </cell>
          <cell r="AV139">
            <v>-3294</v>
          </cell>
          <cell r="AZ139">
            <v>45908</v>
          </cell>
          <cell r="BA139">
            <v>45908</v>
          </cell>
          <cell r="BB139">
            <v>45908</v>
          </cell>
          <cell r="BF139" t="str">
            <v>NFT-/XUTR/DEUTH025251A0HB7X</v>
          </cell>
          <cell r="BG139" t="str">
            <v>NFT-/XUTR/DEUTH025251A0HB7X</v>
          </cell>
          <cell r="BH139" t="str">
            <v>NFT-/XUTR/DEUTH025251A0HB7X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2941.07</v>
          </cell>
          <cell r="BP139">
            <v>12</v>
          </cell>
          <cell r="BQ139">
            <v>0</v>
          </cell>
          <cell r="BR139">
            <v>0</v>
          </cell>
          <cell r="BS139">
            <v>0</v>
          </cell>
          <cell r="BT139">
            <v>0.5</v>
          </cell>
          <cell r="BU139">
            <v>0</v>
          </cell>
          <cell r="BV139">
            <v>0</v>
          </cell>
          <cell r="BW139">
            <v>0.1</v>
          </cell>
          <cell r="BX139" t="str">
            <v>Tiny Kingdom</v>
          </cell>
          <cell r="BY139" t="str">
            <v>Girls</v>
          </cell>
          <cell r="BZ139" t="str">
            <v>External</v>
          </cell>
          <cell r="CA139" t="str">
            <v>Lehenga Choli</v>
          </cell>
          <cell r="CB139" t="str">
            <v>ON_HAND</v>
          </cell>
          <cell r="CC139" t="b">
            <v>0</v>
          </cell>
          <cell r="CD139" t="str">
            <v>**********</v>
          </cell>
          <cell r="CE139">
            <v>562109</v>
          </cell>
          <cell r="CF139" t="str">
            <v>27AXUPC8425A1ZH</v>
          </cell>
          <cell r="CH139" t="str">
            <v>29AAECM9636P1ZJ</v>
          </cell>
          <cell r="CI139" t="str">
            <v>Mumbai</v>
          </cell>
          <cell r="CJ139">
            <v>400013</v>
          </cell>
          <cell r="CK139" t="str">
            <v>maharashtra</v>
          </cell>
          <cell r="CL139" t="str">
            <v>MH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W139">
            <v>0</v>
          </cell>
          <cell r="CX139">
            <v>816.25300000000004</v>
          </cell>
          <cell r="CY139">
            <v>816.25300000000004</v>
          </cell>
          <cell r="CZ139">
            <v>0</v>
          </cell>
          <cell r="DA139">
            <v>0</v>
          </cell>
          <cell r="DB139">
            <v>0</v>
          </cell>
          <cell r="DC139">
            <v>1500</v>
          </cell>
          <cell r="DD139">
            <v>2.9410699999999999</v>
          </cell>
          <cell r="DE139" t="str">
            <v>2fd222aa-f81e-4ead-81b1-8142512ff0c4</v>
          </cell>
          <cell r="DF139">
            <v>100074000000</v>
          </cell>
          <cell r="DG139">
            <v>0</v>
          </cell>
          <cell r="DH139">
            <v>14.705</v>
          </cell>
          <cell r="DI139">
            <v>0</v>
          </cell>
          <cell r="DJ139">
            <v>2.9409999999999998</v>
          </cell>
          <cell r="DK139" t="str">
            <v>BRONZE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 t="str">
            <v>NA</v>
          </cell>
          <cell r="DU139" t="str">
            <v>NA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-2592.261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 t="str">
            <v>Settled</v>
          </cell>
          <cell r="FH139">
            <v>3500</v>
          </cell>
          <cell r="FI139">
            <v>2592.261</v>
          </cell>
          <cell r="FJ139">
            <v>833.899</v>
          </cell>
          <cell r="FK139">
            <v>132.16</v>
          </cell>
        </row>
        <row r="140">
          <cell r="A140">
            <v>8655711145</v>
          </cell>
          <cell r="B140">
            <v>10655635292</v>
          </cell>
          <cell r="C140" t="str">
            <v>return_refund</v>
          </cell>
          <cell r="D140">
            <v>45913.62222222222</v>
          </cell>
          <cell r="E140">
            <v>45908.48333333333</v>
          </cell>
          <cell r="G140" t="str">
            <v>Myntra Designs Pvt Ltd</v>
          </cell>
          <cell r="H140" t="str">
            <v>TIKILHNC115963248</v>
          </cell>
          <cell r="I140" t="str">
            <v>\I2726TK000002795\""</v>
          </cell>
          <cell r="J140">
            <v>8655711145</v>
          </cell>
          <cell r="K140">
            <v>62042300</v>
          </cell>
          <cell r="L140" t="str">
            <v>Apparel</v>
          </cell>
          <cell r="M140" t="str">
            <v>INR</v>
          </cell>
          <cell r="N140">
            <v>2794</v>
          </cell>
          <cell r="O140">
            <v>0</v>
          </cell>
          <cell r="P140">
            <v>2794</v>
          </cell>
          <cell r="Q140">
            <v>3750</v>
          </cell>
          <cell r="R140">
            <v>750</v>
          </cell>
          <cell r="S140" t="str">
            <v>Inter-State</v>
          </cell>
          <cell r="T140">
            <v>12</v>
          </cell>
          <cell r="U140">
            <v>299.36</v>
          </cell>
          <cell r="V140">
            <v>0</v>
          </cell>
          <cell r="W140">
            <v>0</v>
          </cell>
          <cell r="X140">
            <v>12.473000000000001</v>
          </cell>
          <cell r="Y140">
            <v>2.4950000000000001</v>
          </cell>
          <cell r="AA140">
            <v>0</v>
          </cell>
          <cell r="AB140">
            <v>692.35299999999995</v>
          </cell>
          <cell r="AC140">
            <v>692.35299999999995</v>
          </cell>
          <cell r="AD140">
            <v>707.32100000000003</v>
          </cell>
          <cell r="AE140">
            <v>-197.06</v>
          </cell>
          <cell r="AF140">
            <v>167</v>
          </cell>
          <cell r="AG140">
            <v>0</v>
          </cell>
          <cell r="AH140">
            <v>0</v>
          </cell>
          <cell r="AI140">
            <v>0</v>
          </cell>
          <cell r="AJ140">
            <v>30.06</v>
          </cell>
          <cell r="AK140">
            <v>1</v>
          </cell>
          <cell r="AL140" t="str">
            <v>NATIONAL</v>
          </cell>
          <cell r="AM140">
            <v>3000</v>
          </cell>
          <cell r="AN140">
            <v>-2283.739</v>
          </cell>
          <cell r="AO140">
            <v>-2283.739</v>
          </cell>
          <cell r="AP140">
            <v>0</v>
          </cell>
          <cell r="AQ140">
            <v>707.32100000000003</v>
          </cell>
          <cell r="AR140">
            <v>-197.06</v>
          </cell>
          <cell r="AS140">
            <v>-2794</v>
          </cell>
          <cell r="AV140">
            <v>0</v>
          </cell>
          <cell r="AW140">
            <v>45925</v>
          </cell>
          <cell r="AX140">
            <v>45925</v>
          </cell>
          <cell r="AY140">
            <v>45925</v>
          </cell>
          <cell r="BC140" t="str">
            <v>NFT-/XUTR/DEUTH02526823565X</v>
          </cell>
          <cell r="BD140" t="str">
            <v>NFT-/XUTR/DEUTH02526823565X</v>
          </cell>
          <cell r="BE140" t="str">
            <v>NFT-/XUTR/DEUTH02526823565X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2494.64</v>
          </cell>
          <cell r="BP140">
            <v>12</v>
          </cell>
          <cell r="BQ140">
            <v>0</v>
          </cell>
          <cell r="BR140">
            <v>0</v>
          </cell>
          <cell r="BS140">
            <v>0</v>
          </cell>
          <cell r="BT140">
            <v>0.5</v>
          </cell>
          <cell r="BU140">
            <v>0</v>
          </cell>
          <cell r="BV140">
            <v>0</v>
          </cell>
          <cell r="BW140">
            <v>0.1</v>
          </cell>
          <cell r="BX140" t="str">
            <v>Tiny Kingdom</v>
          </cell>
          <cell r="BY140" t="str">
            <v>Girls</v>
          </cell>
          <cell r="BZ140" t="str">
            <v>External</v>
          </cell>
          <cell r="CA140" t="str">
            <v>Lehenga Choli</v>
          </cell>
          <cell r="CB140" t="str">
            <v>ON_HAND</v>
          </cell>
          <cell r="CC140" t="b">
            <v>0</v>
          </cell>
          <cell r="CD140" t="str">
            <v>**********</v>
          </cell>
          <cell r="CE140">
            <v>620001</v>
          </cell>
          <cell r="CF140" t="str">
            <v>27AXUPC8425A1ZH</v>
          </cell>
          <cell r="CH140" t="str">
            <v>29AAECM9636P1ZJ</v>
          </cell>
          <cell r="CI140" t="str">
            <v>Mumbai</v>
          </cell>
          <cell r="CJ140">
            <v>400013</v>
          </cell>
          <cell r="CK140" t="str">
            <v>maharashtra</v>
          </cell>
          <cell r="CL140" t="str">
            <v>MH</v>
          </cell>
          <cell r="CN140">
            <v>0</v>
          </cell>
          <cell r="CO140">
            <v>692.35299999999995</v>
          </cell>
          <cell r="CP140">
            <v>692.35299999999995</v>
          </cell>
          <cell r="CQ140">
            <v>0</v>
          </cell>
          <cell r="CR140">
            <v>0</v>
          </cell>
          <cell r="CS140">
            <v>0</v>
          </cell>
          <cell r="CT140">
            <v>750</v>
          </cell>
          <cell r="CU140">
            <v>2.49464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E140" t="str">
            <v>a15c8cde-b8c7-4ce6-aa6e-a1ed0c447405</v>
          </cell>
          <cell r="DF140">
            <v>100078000000</v>
          </cell>
          <cell r="DG140">
            <v>12.473000000000001</v>
          </cell>
          <cell r="DH140">
            <v>0</v>
          </cell>
          <cell r="DI140">
            <v>2.4950000000000001</v>
          </cell>
          <cell r="DJ140">
            <v>0</v>
          </cell>
          <cell r="DK140" t="str">
            <v>BRONZE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 t="str">
            <v>NA</v>
          </cell>
          <cell r="DU140" t="str">
            <v>NA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-2283.739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 t="str">
            <v>Settled</v>
          </cell>
          <cell r="FH140">
            <v>3000</v>
          </cell>
          <cell r="FI140">
            <v>2283.739</v>
          </cell>
          <cell r="FJ140">
            <v>707.32100000000003</v>
          </cell>
          <cell r="FK140">
            <v>197.06</v>
          </cell>
        </row>
        <row r="141">
          <cell r="A141">
            <v>8657990645</v>
          </cell>
          <cell r="B141">
            <v>10657914764</v>
          </cell>
          <cell r="C141" t="str">
            <v>return_refund</v>
          </cell>
          <cell r="D141">
            <v>45920.51666666667</v>
          </cell>
          <cell r="E141">
            <v>45910.459722222222</v>
          </cell>
          <cell r="F141">
            <v>44548</v>
          </cell>
          <cell r="G141" t="str">
            <v>Myntra Designs Pvt Ltd</v>
          </cell>
          <cell r="H141" t="str">
            <v>TIKICLST113026345</v>
          </cell>
          <cell r="I141" t="str">
            <v>\I2726TK000002833\""</v>
          </cell>
          <cell r="J141">
            <v>8657990645</v>
          </cell>
          <cell r="K141">
            <v>62042300</v>
          </cell>
          <cell r="L141" t="str">
            <v>Apparel</v>
          </cell>
          <cell r="M141" t="str">
            <v>INR</v>
          </cell>
          <cell r="N141">
            <v>2994</v>
          </cell>
          <cell r="O141">
            <v>0</v>
          </cell>
          <cell r="P141">
            <v>2994</v>
          </cell>
          <cell r="Q141">
            <v>4000</v>
          </cell>
          <cell r="R141">
            <v>800</v>
          </cell>
          <cell r="S141" t="str">
            <v>Inter-State</v>
          </cell>
          <cell r="T141">
            <v>12</v>
          </cell>
          <cell r="U141">
            <v>320.79000000000002</v>
          </cell>
          <cell r="V141">
            <v>0</v>
          </cell>
          <cell r="W141">
            <v>0</v>
          </cell>
          <cell r="X141">
            <v>13.366</v>
          </cell>
          <cell r="Y141">
            <v>2.673</v>
          </cell>
          <cell r="AA141">
            <v>0</v>
          </cell>
          <cell r="AB141">
            <v>777.24199999999996</v>
          </cell>
          <cell r="AC141">
            <v>777.24199999999996</v>
          </cell>
          <cell r="AD141">
            <v>793.28099999999995</v>
          </cell>
          <cell r="AE141">
            <v>-197.06</v>
          </cell>
          <cell r="AF141">
            <v>167</v>
          </cell>
          <cell r="AG141">
            <v>0</v>
          </cell>
          <cell r="AH141">
            <v>0</v>
          </cell>
          <cell r="AI141">
            <v>0</v>
          </cell>
          <cell r="AJ141">
            <v>30.06</v>
          </cell>
          <cell r="AK141">
            <v>1</v>
          </cell>
          <cell r="AL141" t="str">
            <v>NATIONAL</v>
          </cell>
          <cell r="AM141">
            <v>3200</v>
          </cell>
          <cell r="AN141">
            <v>-2397.779</v>
          </cell>
          <cell r="AO141">
            <v>-2397.779</v>
          </cell>
          <cell r="AP141">
            <v>0</v>
          </cell>
          <cell r="AQ141">
            <v>793.28099999999995</v>
          </cell>
          <cell r="AR141">
            <v>-197.06</v>
          </cell>
          <cell r="AS141">
            <v>-2994</v>
          </cell>
          <cell r="AV141">
            <v>0</v>
          </cell>
          <cell r="AW141">
            <v>45929</v>
          </cell>
          <cell r="AX141">
            <v>45929</v>
          </cell>
          <cell r="AY141">
            <v>45929</v>
          </cell>
          <cell r="BC141" t="str">
            <v>NFT-/XUTR/DEUTH025272A0RO3X</v>
          </cell>
          <cell r="BD141" t="str">
            <v>NFT-/XUTR/DEUTH025272A0RO3X</v>
          </cell>
          <cell r="BE141" t="str">
            <v>NFT-/XUTR/DEUTH025272A0RO3X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2673.21</v>
          </cell>
          <cell r="BP141">
            <v>12</v>
          </cell>
          <cell r="BQ141">
            <v>0</v>
          </cell>
          <cell r="BR141">
            <v>0</v>
          </cell>
          <cell r="BS141">
            <v>0</v>
          </cell>
          <cell r="BT141">
            <v>0.5</v>
          </cell>
          <cell r="BU141">
            <v>0</v>
          </cell>
          <cell r="BV141">
            <v>0</v>
          </cell>
          <cell r="BW141">
            <v>0.1</v>
          </cell>
          <cell r="BX141" t="str">
            <v>Tiny Kingdom</v>
          </cell>
          <cell r="BY141" t="str">
            <v>Girls</v>
          </cell>
          <cell r="BZ141" t="str">
            <v>External</v>
          </cell>
          <cell r="CA141" t="str">
            <v>Kurta Sets</v>
          </cell>
          <cell r="CB141" t="str">
            <v>ON_HAND</v>
          </cell>
          <cell r="CC141" t="b">
            <v>0</v>
          </cell>
          <cell r="CD141" t="str">
            <v>**********</v>
          </cell>
          <cell r="CE141">
            <v>753008</v>
          </cell>
          <cell r="CF141" t="str">
            <v>27AXUPC8425A1ZH</v>
          </cell>
          <cell r="CH141" t="str">
            <v>29AAECM9636P1ZJ</v>
          </cell>
          <cell r="CI141" t="str">
            <v>Mumbai</v>
          </cell>
          <cell r="CJ141">
            <v>400013</v>
          </cell>
          <cell r="CK141" t="str">
            <v>maharashtra</v>
          </cell>
          <cell r="CL141" t="str">
            <v>MH</v>
          </cell>
          <cell r="CN141">
            <v>0</v>
          </cell>
          <cell r="CO141">
            <v>777.24199999999996</v>
          </cell>
          <cell r="CP141">
            <v>777.24199999999996</v>
          </cell>
          <cell r="CQ141">
            <v>0</v>
          </cell>
          <cell r="CR141">
            <v>0</v>
          </cell>
          <cell r="CS141">
            <v>0</v>
          </cell>
          <cell r="CT141">
            <v>800</v>
          </cell>
          <cell r="CU141">
            <v>2.6732100000000001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E141" t="str">
            <v>1019d930-4763-40ff-b485-b15c01185d21</v>
          </cell>
          <cell r="DF141">
            <v>100080000000</v>
          </cell>
          <cell r="DG141">
            <v>13.366</v>
          </cell>
          <cell r="DH141">
            <v>0</v>
          </cell>
          <cell r="DI141">
            <v>2.673</v>
          </cell>
          <cell r="DJ141">
            <v>0</v>
          </cell>
          <cell r="DK141" t="str">
            <v>BRONZE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 t="str">
            <v>NA</v>
          </cell>
          <cell r="DU141" t="str">
            <v>NA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-2397.779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 t="str">
            <v>Settled</v>
          </cell>
          <cell r="FH141">
            <v>3200</v>
          </cell>
          <cell r="FI141">
            <v>2397.779</v>
          </cell>
          <cell r="FJ141">
            <v>793.28099999999995</v>
          </cell>
          <cell r="FK141">
            <v>197.06</v>
          </cell>
        </row>
        <row r="142">
          <cell r="A142">
            <v>8620565101</v>
          </cell>
          <cell r="B142">
            <v>10620490281</v>
          </cell>
          <cell r="C142" t="str">
            <v>return_refund</v>
          </cell>
          <cell r="D142">
            <v>45895.702777777777</v>
          </cell>
          <cell r="E142">
            <v>45887.452777777777</v>
          </cell>
          <cell r="F142">
            <v>44526</v>
          </cell>
          <cell r="G142" t="str">
            <v>Myntra Designs Pvt Ltd</v>
          </cell>
          <cell r="H142" t="str">
            <v>TIKICLST103607749</v>
          </cell>
          <cell r="I142" t="str">
            <v>\I2726TK000002459\""</v>
          </cell>
          <cell r="J142">
            <v>9756311806</v>
          </cell>
          <cell r="K142">
            <v>62042300</v>
          </cell>
          <cell r="L142" t="str">
            <v>Apparel</v>
          </cell>
          <cell r="M142" t="str">
            <v>INR</v>
          </cell>
          <cell r="N142">
            <v>3169</v>
          </cell>
          <cell r="O142">
            <v>0</v>
          </cell>
          <cell r="P142">
            <v>3169</v>
          </cell>
          <cell r="Q142">
            <v>4500</v>
          </cell>
          <cell r="R142">
            <v>1125</v>
          </cell>
          <cell r="S142" t="str">
            <v>Intra-State</v>
          </cell>
          <cell r="T142">
            <v>12</v>
          </cell>
          <cell r="U142">
            <v>0</v>
          </cell>
          <cell r="V142">
            <v>169.77</v>
          </cell>
          <cell r="W142">
            <v>169.77</v>
          </cell>
          <cell r="X142">
            <v>14.147</v>
          </cell>
          <cell r="Y142">
            <v>2.8290000000000002</v>
          </cell>
          <cell r="AA142">
            <v>0</v>
          </cell>
          <cell r="AB142">
            <v>822.67200000000003</v>
          </cell>
          <cell r="AC142">
            <v>822.67200000000003</v>
          </cell>
          <cell r="AD142">
            <v>839.64800000000002</v>
          </cell>
          <cell r="AE142">
            <v>-107.38</v>
          </cell>
          <cell r="AF142">
            <v>91</v>
          </cell>
          <cell r="AG142">
            <v>0</v>
          </cell>
          <cell r="AH142">
            <v>0</v>
          </cell>
          <cell r="AI142">
            <v>0</v>
          </cell>
          <cell r="AJ142">
            <v>16.38</v>
          </cell>
          <cell r="AK142">
            <v>1</v>
          </cell>
          <cell r="AL142" t="str">
            <v>LOCAL</v>
          </cell>
          <cell r="AM142">
            <v>3375</v>
          </cell>
          <cell r="AN142">
            <v>-2436.732</v>
          </cell>
          <cell r="AO142">
            <v>-2436.732</v>
          </cell>
          <cell r="AP142">
            <v>0</v>
          </cell>
          <cell r="AQ142">
            <v>839.64800000000002</v>
          </cell>
          <cell r="AR142">
            <v>-107.38</v>
          </cell>
          <cell r="AS142">
            <v>-3169</v>
          </cell>
          <cell r="AV142">
            <v>0</v>
          </cell>
          <cell r="AW142">
            <v>45908</v>
          </cell>
          <cell r="AX142">
            <v>45908</v>
          </cell>
          <cell r="AY142">
            <v>45908</v>
          </cell>
          <cell r="BC142" t="str">
            <v>NFT-/XUTR/DEUTH025251A0L0JX</v>
          </cell>
          <cell r="BD142" t="str">
            <v>NFT-/XUTR/DEUTH025251A0L0JX</v>
          </cell>
          <cell r="BE142" t="str">
            <v>NFT-/XUTR/DEUTH025251A0L0JX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2829.46</v>
          </cell>
          <cell r="BP142">
            <v>0</v>
          </cell>
          <cell r="BQ142">
            <v>6</v>
          </cell>
          <cell r="BR142">
            <v>6</v>
          </cell>
          <cell r="BS142">
            <v>0</v>
          </cell>
          <cell r="BT142">
            <v>0</v>
          </cell>
          <cell r="BU142">
            <v>0.25</v>
          </cell>
          <cell r="BV142">
            <v>0.25</v>
          </cell>
          <cell r="BW142">
            <v>0.1</v>
          </cell>
          <cell r="BX142" t="str">
            <v>Tiny Kingdom</v>
          </cell>
          <cell r="BY142" t="str">
            <v>Girls</v>
          </cell>
          <cell r="BZ142" t="str">
            <v>External</v>
          </cell>
          <cell r="CA142" t="str">
            <v>Kurta Sets</v>
          </cell>
          <cell r="CB142" t="str">
            <v>ON_HAND</v>
          </cell>
          <cell r="CC142" t="b">
            <v>0</v>
          </cell>
          <cell r="CD142" t="str">
            <v>**********</v>
          </cell>
          <cell r="CE142">
            <v>400067</v>
          </cell>
          <cell r="CF142" t="str">
            <v>27AXUPC8425A1ZH</v>
          </cell>
          <cell r="CH142" t="str">
            <v>29AAECM9636P1ZJ</v>
          </cell>
          <cell r="CI142" t="str">
            <v>Mumbai</v>
          </cell>
          <cell r="CJ142">
            <v>400013</v>
          </cell>
          <cell r="CK142" t="str">
            <v>maharashtra</v>
          </cell>
          <cell r="CL142" t="str">
            <v>MH</v>
          </cell>
          <cell r="CN142">
            <v>0</v>
          </cell>
          <cell r="CO142">
            <v>822.67200000000003</v>
          </cell>
          <cell r="CP142">
            <v>822.67200000000003</v>
          </cell>
          <cell r="CQ142">
            <v>0</v>
          </cell>
          <cell r="CR142">
            <v>0</v>
          </cell>
          <cell r="CS142">
            <v>0</v>
          </cell>
          <cell r="CT142">
            <v>1125</v>
          </cell>
          <cell r="CU142">
            <v>2.8294600000000001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E142" t="str">
            <v>13617956-7e07-4ab2-aa52-4f4d185023f2</v>
          </cell>
          <cell r="DF142">
            <v>100073000000</v>
          </cell>
          <cell r="DG142">
            <v>14.147</v>
          </cell>
          <cell r="DH142">
            <v>0</v>
          </cell>
          <cell r="DI142">
            <v>2.8290000000000002</v>
          </cell>
          <cell r="DJ142">
            <v>0</v>
          </cell>
          <cell r="DK142" t="str">
            <v>BRONZE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 t="str">
            <v>NA</v>
          </cell>
          <cell r="DU142" t="str">
            <v>NA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-2436.732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 t="str">
            <v>Settled</v>
          </cell>
          <cell r="FH142">
            <v>3375</v>
          </cell>
          <cell r="FI142">
            <v>2436.732</v>
          </cell>
          <cell r="FJ142">
            <v>839.64800000000002</v>
          </cell>
          <cell r="FK142">
            <v>107.38</v>
          </cell>
        </row>
        <row r="143">
          <cell r="A143">
            <v>8646617700</v>
          </cell>
          <cell r="B143">
            <v>10646542082</v>
          </cell>
          <cell r="C143" t="str">
            <v>return_refund</v>
          </cell>
          <cell r="D143">
            <v>45910.636805555558</v>
          </cell>
          <cell r="E143">
            <v>45904.486805555556</v>
          </cell>
          <cell r="F143">
            <v>44539</v>
          </cell>
          <cell r="G143" t="str">
            <v>Myntra Designs Pvt Ltd</v>
          </cell>
          <cell r="H143" t="str">
            <v>TIKIDRSS113491283</v>
          </cell>
          <cell r="I143" t="str">
            <v>\I2726TK000002746\""</v>
          </cell>
          <cell r="J143">
            <v>8646617700</v>
          </cell>
          <cell r="K143">
            <v>62042300</v>
          </cell>
          <cell r="L143" t="str">
            <v>Apparel</v>
          </cell>
          <cell r="M143" t="str">
            <v>INR</v>
          </cell>
          <cell r="N143">
            <v>3056</v>
          </cell>
          <cell r="O143">
            <v>3056</v>
          </cell>
          <cell r="P143">
            <v>0</v>
          </cell>
          <cell r="Q143">
            <v>3750</v>
          </cell>
          <cell r="R143">
            <v>488</v>
          </cell>
          <cell r="S143" t="str">
            <v>Inter-State</v>
          </cell>
          <cell r="T143">
            <v>12</v>
          </cell>
          <cell r="U143">
            <v>327.43</v>
          </cell>
          <cell r="V143">
            <v>0</v>
          </cell>
          <cell r="W143">
            <v>0</v>
          </cell>
          <cell r="X143">
            <v>13.643000000000001</v>
          </cell>
          <cell r="Y143">
            <v>2.7290000000000001</v>
          </cell>
          <cell r="AA143">
            <v>0</v>
          </cell>
          <cell r="AB143">
            <v>649.09400000000005</v>
          </cell>
          <cell r="AC143">
            <v>649.09400000000005</v>
          </cell>
          <cell r="AD143">
            <v>665.46600000000001</v>
          </cell>
          <cell r="AE143">
            <v>-197.06</v>
          </cell>
          <cell r="AF143">
            <v>167</v>
          </cell>
          <cell r="AG143">
            <v>0</v>
          </cell>
          <cell r="AH143">
            <v>0</v>
          </cell>
          <cell r="AI143">
            <v>0</v>
          </cell>
          <cell r="AJ143">
            <v>30.06</v>
          </cell>
          <cell r="AK143">
            <v>1</v>
          </cell>
          <cell r="AL143" t="str">
            <v>NATIONAL</v>
          </cell>
          <cell r="AM143">
            <v>3262</v>
          </cell>
          <cell r="AN143">
            <v>-2587.5940000000001</v>
          </cell>
          <cell r="AO143">
            <v>-2587.5940000000001</v>
          </cell>
          <cell r="AP143">
            <v>0</v>
          </cell>
          <cell r="AS143">
            <v>0</v>
          </cell>
          <cell r="AT143">
            <v>665.46600000000001</v>
          </cell>
          <cell r="AU143">
            <v>-197.06</v>
          </cell>
          <cell r="AV143">
            <v>-3056</v>
          </cell>
          <cell r="AZ143">
            <v>45924</v>
          </cell>
          <cell r="BA143">
            <v>45924</v>
          </cell>
          <cell r="BB143">
            <v>45924</v>
          </cell>
          <cell r="BF143" t="str">
            <v>NFT-/XUTR/DEUTH025267A0V51X</v>
          </cell>
          <cell r="BG143" t="str">
            <v>NFT-/XUTR/DEUTH025267A0V51X</v>
          </cell>
          <cell r="BH143" t="str">
            <v>NFT-/XUTR/DEUTH025267A0V51X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300</v>
          </cell>
          <cell r="BN143">
            <v>0</v>
          </cell>
          <cell r="BO143">
            <v>2728.57</v>
          </cell>
          <cell r="BP143">
            <v>12</v>
          </cell>
          <cell r="BQ143">
            <v>0</v>
          </cell>
          <cell r="BR143">
            <v>0</v>
          </cell>
          <cell r="BS143">
            <v>0</v>
          </cell>
          <cell r="BT143">
            <v>0.5</v>
          </cell>
          <cell r="BU143">
            <v>0</v>
          </cell>
          <cell r="BV143">
            <v>0</v>
          </cell>
          <cell r="BW143">
            <v>0.1</v>
          </cell>
          <cell r="BX143" t="str">
            <v>Tiny Kingdom</v>
          </cell>
          <cell r="BY143" t="str">
            <v>Girls</v>
          </cell>
          <cell r="BZ143" t="str">
            <v>External</v>
          </cell>
          <cell r="CA143" t="str">
            <v>Dresses</v>
          </cell>
          <cell r="CB143" t="str">
            <v>ON_HAND</v>
          </cell>
          <cell r="CC143" t="b">
            <v>0</v>
          </cell>
          <cell r="CD143" t="str">
            <v>**********</v>
          </cell>
          <cell r="CE143">
            <v>110049</v>
          </cell>
          <cell r="CF143" t="str">
            <v>27AXUPC8425A1ZH</v>
          </cell>
          <cell r="CH143" t="str">
            <v>29AAECM9636P1ZJ</v>
          </cell>
          <cell r="CI143" t="str">
            <v>Mumbai</v>
          </cell>
          <cell r="CJ143">
            <v>400013</v>
          </cell>
          <cell r="CK143" t="str">
            <v>maharashtra</v>
          </cell>
          <cell r="CL143" t="str">
            <v>MH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W143">
            <v>0</v>
          </cell>
          <cell r="CX143">
            <v>649.09400000000005</v>
          </cell>
          <cell r="CY143">
            <v>649.09400000000005</v>
          </cell>
          <cell r="CZ143">
            <v>0</v>
          </cell>
          <cell r="DA143">
            <v>0</v>
          </cell>
          <cell r="DB143">
            <v>0</v>
          </cell>
          <cell r="DC143">
            <v>488</v>
          </cell>
          <cell r="DD143">
            <v>2.7285699999999999</v>
          </cell>
          <cell r="DE143" t="str">
            <v>b8e73ec4-a068-4c54-8122-9b689d42b727</v>
          </cell>
          <cell r="DF143">
            <v>100077000000</v>
          </cell>
          <cell r="DG143">
            <v>0</v>
          </cell>
          <cell r="DH143">
            <v>13.643000000000001</v>
          </cell>
          <cell r="DI143">
            <v>0</v>
          </cell>
          <cell r="DJ143">
            <v>2.7290000000000001</v>
          </cell>
          <cell r="DK143" t="str">
            <v>BRONZE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 t="str">
            <v>NA</v>
          </cell>
          <cell r="DU143" t="str">
            <v>NA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-2587.5940000000001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 t="str">
            <v>Settled</v>
          </cell>
          <cell r="FH143">
            <v>3262</v>
          </cell>
          <cell r="FI143">
            <v>2587.5940000000001</v>
          </cell>
          <cell r="FJ143">
            <v>665.46600000000001</v>
          </cell>
          <cell r="FK143">
            <v>197.06</v>
          </cell>
        </row>
        <row r="144">
          <cell r="A144">
            <v>8625454150</v>
          </cell>
          <cell r="B144">
            <v>10625379059</v>
          </cell>
          <cell r="C144" t="str">
            <v>return_refund</v>
          </cell>
          <cell r="D144">
            <v>45903.395138888889</v>
          </cell>
          <cell r="E144">
            <v>45890.458333333336</v>
          </cell>
          <cell r="G144" t="str">
            <v>Myntra Designs Pvt Ltd</v>
          </cell>
          <cell r="H144" t="str">
            <v>BETYDRSS100320365</v>
          </cell>
          <cell r="I144" t="str">
            <v>\I2726TK000002521\""</v>
          </cell>
          <cell r="J144">
            <v>8625454150</v>
          </cell>
          <cell r="K144">
            <v>62042300</v>
          </cell>
          <cell r="L144" t="str">
            <v>Apparel</v>
          </cell>
          <cell r="M144" t="str">
            <v>INR</v>
          </cell>
          <cell r="N144">
            <v>3294</v>
          </cell>
          <cell r="O144">
            <v>0</v>
          </cell>
          <cell r="P144">
            <v>3294</v>
          </cell>
          <cell r="Q144">
            <v>5000</v>
          </cell>
          <cell r="R144">
            <v>1500</v>
          </cell>
          <cell r="S144" t="str">
            <v>Intra-State</v>
          </cell>
          <cell r="T144">
            <v>12</v>
          </cell>
          <cell r="U144">
            <v>0</v>
          </cell>
          <cell r="V144">
            <v>176.46</v>
          </cell>
          <cell r="W144">
            <v>176.46</v>
          </cell>
          <cell r="X144">
            <v>14.705</v>
          </cell>
          <cell r="Y144">
            <v>2.9409999999999998</v>
          </cell>
          <cell r="AA144">
            <v>0</v>
          </cell>
          <cell r="AB144">
            <v>1049.4680000000001</v>
          </cell>
          <cell r="AC144">
            <v>1049.4680000000001</v>
          </cell>
          <cell r="AD144">
            <v>1067.114</v>
          </cell>
          <cell r="AE144">
            <v>-197.06</v>
          </cell>
          <cell r="AF144">
            <v>167</v>
          </cell>
          <cell r="AG144">
            <v>0</v>
          </cell>
          <cell r="AH144">
            <v>0</v>
          </cell>
          <cell r="AI144">
            <v>0</v>
          </cell>
          <cell r="AJ144">
            <v>30.06</v>
          </cell>
          <cell r="AK144">
            <v>1</v>
          </cell>
          <cell r="AL144" t="str">
            <v>NATIONAL</v>
          </cell>
          <cell r="AM144">
            <v>3500</v>
          </cell>
          <cell r="AN144">
            <v>-2423.9459999999999</v>
          </cell>
          <cell r="AO144">
            <v>-2423.9459999999999</v>
          </cell>
          <cell r="AP144">
            <v>0</v>
          </cell>
          <cell r="AQ144">
            <v>1067.114</v>
          </cell>
          <cell r="AR144">
            <v>-197.06</v>
          </cell>
          <cell r="AS144">
            <v>-3294</v>
          </cell>
          <cell r="AV144">
            <v>0</v>
          </cell>
          <cell r="AW144">
            <v>45912</v>
          </cell>
          <cell r="AX144">
            <v>45912</v>
          </cell>
          <cell r="AY144">
            <v>45912</v>
          </cell>
          <cell r="BC144" t="str">
            <v>NFT-/XUTR/DEUTH025255A0GCFX</v>
          </cell>
          <cell r="BD144" t="str">
            <v>NFT-/XUTR/DEUTH025255A0GCFX</v>
          </cell>
          <cell r="BE144" t="str">
            <v>NFT-/XUTR/DEUTH025255A0GCFX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2941.08</v>
          </cell>
          <cell r="BP144">
            <v>0</v>
          </cell>
          <cell r="BQ144">
            <v>6</v>
          </cell>
          <cell r="BR144">
            <v>6</v>
          </cell>
          <cell r="BS144">
            <v>0</v>
          </cell>
          <cell r="BT144">
            <v>0</v>
          </cell>
          <cell r="BU144">
            <v>0.25</v>
          </cell>
          <cell r="BV144">
            <v>0.25</v>
          </cell>
          <cell r="BW144">
            <v>0.1</v>
          </cell>
          <cell r="BX144" t="str">
            <v>BETTY</v>
          </cell>
          <cell r="BY144" t="str">
            <v>Girls</v>
          </cell>
          <cell r="BZ144" t="str">
            <v>External</v>
          </cell>
          <cell r="CA144" t="str">
            <v>Dresses</v>
          </cell>
          <cell r="CB144" t="str">
            <v>ON_HAND</v>
          </cell>
          <cell r="CC144" t="b">
            <v>0</v>
          </cell>
          <cell r="CD144" t="str">
            <v>**********</v>
          </cell>
          <cell r="CE144">
            <v>442001</v>
          </cell>
          <cell r="CF144" t="str">
            <v>27AXUPC8425A1ZH</v>
          </cell>
          <cell r="CH144" t="str">
            <v>29AAECM9636P1ZJ</v>
          </cell>
          <cell r="CI144" t="str">
            <v>Mumbai</v>
          </cell>
          <cell r="CJ144">
            <v>400013</v>
          </cell>
          <cell r="CK144" t="str">
            <v>maharashtra</v>
          </cell>
          <cell r="CL144" t="str">
            <v>MH</v>
          </cell>
          <cell r="CN144">
            <v>0</v>
          </cell>
          <cell r="CO144">
            <v>1049.4680000000001</v>
          </cell>
          <cell r="CP144">
            <v>1049.4680000000001</v>
          </cell>
          <cell r="CQ144">
            <v>0</v>
          </cell>
          <cell r="CR144">
            <v>0</v>
          </cell>
          <cell r="CS144">
            <v>0</v>
          </cell>
          <cell r="CT144">
            <v>1500</v>
          </cell>
          <cell r="CU144">
            <v>2.9410799999999999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E144" t="str">
            <v>33d92a4a-907b-402d-8d62-b8ecee4e5ce5</v>
          </cell>
          <cell r="DF144">
            <v>100074000000</v>
          </cell>
          <cell r="DG144">
            <v>14.705</v>
          </cell>
          <cell r="DH144">
            <v>0</v>
          </cell>
          <cell r="DI144">
            <v>2.9409999999999998</v>
          </cell>
          <cell r="DJ144">
            <v>0</v>
          </cell>
          <cell r="DK144" t="str">
            <v>BRONZE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 t="str">
            <v>NA</v>
          </cell>
          <cell r="DU144" t="str">
            <v>NA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-2423.9459999999999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 t="str">
            <v>Settled</v>
          </cell>
          <cell r="FH144">
            <v>3500</v>
          </cell>
          <cell r="FI144">
            <v>2423.9459999999999</v>
          </cell>
          <cell r="FJ144">
            <v>1067.114</v>
          </cell>
          <cell r="FK144">
            <v>197.06</v>
          </cell>
        </row>
        <row r="145">
          <cell r="A145">
            <v>8626412492</v>
          </cell>
          <cell r="B145">
            <v>10626337379</v>
          </cell>
          <cell r="C145" t="str">
            <v>return_refund</v>
          </cell>
          <cell r="D145">
            <v>45896.410416666666</v>
          </cell>
          <cell r="E145">
            <v>45890.791666666664</v>
          </cell>
          <cell r="F145">
            <v>44531</v>
          </cell>
          <cell r="G145" t="str">
            <v>Myntra Designs Pvt Ltd</v>
          </cell>
          <cell r="H145" t="str">
            <v>TIKIDRSS106641738</v>
          </cell>
          <cell r="I145" t="str">
            <v>\I2726TK000002532\""</v>
          </cell>
          <cell r="J145">
            <v>8626412492</v>
          </cell>
          <cell r="K145">
            <v>62042300</v>
          </cell>
          <cell r="L145" t="str">
            <v>Apparel</v>
          </cell>
          <cell r="M145" t="str">
            <v>INR</v>
          </cell>
          <cell r="N145">
            <v>2419</v>
          </cell>
          <cell r="O145">
            <v>2419</v>
          </cell>
          <cell r="P145">
            <v>0</v>
          </cell>
          <cell r="Q145">
            <v>3750</v>
          </cell>
          <cell r="R145">
            <v>1125</v>
          </cell>
          <cell r="S145" t="str">
            <v>Inter-State</v>
          </cell>
          <cell r="T145">
            <v>12</v>
          </cell>
          <cell r="U145">
            <v>259.18</v>
          </cell>
          <cell r="V145">
            <v>0</v>
          </cell>
          <cell r="W145">
            <v>0</v>
          </cell>
          <cell r="X145">
            <v>10.798999999999999</v>
          </cell>
          <cell r="Y145">
            <v>2.16</v>
          </cell>
          <cell r="AA145">
            <v>0</v>
          </cell>
          <cell r="AB145">
            <v>513.79600000000005</v>
          </cell>
          <cell r="AC145">
            <v>513.79600000000005</v>
          </cell>
          <cell r="AD145">
            <v>526.755</v>
          </cell>
          <cell r="AE145">
            <v>-197.06</v>
          </cell>
          <cell r="AF145">
            <v>167</v>
          </cell>
          <cell r="AG145">
            <v>0</v>
          </cell>
          <cell r="AH145">
            <v>0</v>
          </cell>
          <cell r="AI145">
            <v>0</v>
          </cell>
          <cell r="AJ145">
            <v>30.06</v>
          </cell>
          <cell r="AK145">
            <v>1</v>
          </cell>
          <cell r="AL145" t="str">
            <v>NATIONAL</v>
          </cell>
          <cell r="AM145">
            <v>2625</v>
          </cell>
          <cell r="AN145">
            <v>-2089.3049999999998</v>
          </cell>
          <cell r="AO145">
            <v>-2089.3049999999998</v>
          </cell>
          <cell r="AP145">
            <v>0</v>
          </cell>
          <cell r="AS145">
            <v>0</v>
          </cell>
          <cell r="AT145">
            <v>526.755</v>
          </cell>
          <cell r="AU145">
            <v>-197.06</v>
          </cell>
          <cell r="AV145">
            <v>-2419</v>
          </cell>
          <cell r="AZ145">
            <v>45909</v>
          </cell>
          <cell r="BA145">
            <v>45909</v>
          </cell>
          <cell r="BB145">
            <v>45909</v>
          </cell>
          <cell r="BF145" t="str">
            <v>NFT-/XUTR/DEUTH02525209411X</v>
          </cell>
          <cell r="BG145" t="str">
            <v>NFT-/XUTR/DEUTH02525209411X</v>
          </cell>
          <cell r="BH145" t="str">
            <v>NFT-/XUTR/DEUTH02525209411X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2159.8200000000002</v>
          </cell>
          <cell r="BP145">
            <v>12</v>
          </cell>
          <cell r="BQ145">
            <v>0</v>
          </cell>
          <cell r="BR145">
            <v>0</v>
          </cell>
          <cell r="BS145">
            <v>0</v>
          </cell>
          <cell r="BT145">
            <v>0.5</v>
          </cell>
          <cell r="BU145">
            <v>0</v>
          </cell>
          <cell r="BV145">
            <v>0</v>
          </cell>
          <cell r="BW145">
            <v>0.1</v>
          </cell>
          <cell r="BX145" t="str">
            <v>Tiny Kingdom</v>
          </cell>
          <cell r="BY145" t="str">
            <v>Girls</v>
          </cell>
          <cell r="BZ145" t="str">
            <v>External</v>
          </cell>
          <cell r="CA145" t="str">
            <v>Dresses</v>
          </cell>
          <cell r="CB145" t="str">
            <v>ON_HAND</v>
          </cell>
          <cell r="CC145" t="b">
            <v>0</v>
          </cell>
          <cell r="CD145" t="str">
            <v>**********</v>
          </cell>
          <cell r="CE145">
            <v>495001</v>
          </cell>
          <cell r="CF145" t="str">
            <v>27AXUPC8425A1ZH</v>
          </cell>
          <cell r="CH145" t="str">
            <v>29AAECM9636P1ZJ</v>
          </cell>
          <cell r="CI145" t="str">
            <v>Mumbai</v>
          </cell>
          <cell r="CJ145">
            <v>400013</v>
          </cell>
          <cell r="CK145" t="str">
            <v>maharashtra</v>
          </cell>
          <cell r="CL145" t="str">
            <v>MH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W145">
            <v>0</v>
          </cell>
          <cell r="CX145">
            <v>513.79600000000005</v>
          </cell>
          <cell r="CY145">
            <v>513.79600000000005</v>
          </cell>
          <cell r="CZ145">
            <v>0</v>
          </cell>
          <cell r="DA145">
            <v>0</v>
          </cell>
          <cell r="DB145">
            <v>0</v>
          </cell>
          <cell r="DC145">
            <v>1125</v>
          </cell>
          <cell r="DD145">
            <v>2.1598199999999999</v>
          </cell>
          <cell r="DE145" t="str">
            <v>cda04be4-77b7-427f-a98a-495c9af10f59</v>
          </cell>
          <cell r="DF145">
            <v>100073000000</v>
          </cell>
          <cell r="DG145">
            <v>0</v>
          </cell>
          <cell r="DH145">
            <v>10.798999999999999</v>
          </cell>
          <cell r="DI145">
            <v>0</v>
          </cell>
          <cell r="DJ145">
            <v>2.16</v>
          </cell>
          <cell r="DK145" t="str">
            <v>BRONZE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 t="str">
            <v>NA</v>
          </cell>
          <cell r="DU145" t="str">
            <v>NA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-2089.3049999999998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 t="str">
            <v>Settled</v>
          </cell>
          <cell r="FH145">
            <v>2625</v>
          </cell>
          <cell r="FI145">
            <v>2089.3049999999998</v>
          </cell>
          <cell r="FJ145">
            <v>526.755</v>
          </cell>
          <cell r="FK145">
            <v>197.06</v>
          </cell>
        </row>
        <row r="146">
          <cell r="A146">
            <v>8638752799</v>
          </cell>
          <cell r="B146">
            <v>10638677311</v>
          </cell>
          <cell r="C146" t="str">
            <v>return_refund</v>
          </cell>
          <cell r="D146">
            <v>45906.616666666669</v>
          </cell>
          <cell r="E146">
            <v>45899.54791666667</v>
          </cell>
          <cell r="G146" t="str">
            <v>Myntra Designs Pvt Ltd</v>
          </cell>
          <cell r="H146" t="str">
            <v>TIKIDRSS108364096</v>
          </cell>
          <cell r="I146" t="str">
            <v>\I2726TK000002664\""</v>
          </cell>
          <cell r="J146">
            <v>8638752799</v>
          </cell>
          <cell r="K146">
            <v>62042300</v>
          </cell>
          <cell r="L146" t="str">
            <v>Apparel</v>
          </cell>
          <cell r="M146" t="str">
            <v>INR</v>
          </cell>
          <cell r="N146">
            <v>3274</v>
          </cell>
          <cell r="O146">
            <v>3274</v>
          </cell>
          <cell r="P146">
            <v>0</v>
          </cell>
          <cell r="Q146">
            <v>4000</v>
          </cell>
          <cell r="R146">
            <v>520</v>
          </cell>
          <cell r="S146" t="str">
            <v>Inter-State</v>
          </cell>
          <cell r="T146">
            <v>12</v>
          </cell>
          <cell r="U146">
            <v>350.79</v>
          </cell>
          <cell r="V146">
            <v>0</v>
          </cell>
          <cell r="W146">
            <v>0</v>
          </cell>
          <cell r="X146">
            <v>14.616</v>
          </cell>
          <cell r="Y146">
            <v>2.923</v>
          </cell>
          <cell r="AA146">
            <v>0</v>
          </cell>
          <cell r="AB146">
            <v>695.39800000000002</v>
          </cell>
          <cell r="AC146">
            <v>695.39800000000002</v>
          </cell>
          <cell r="AD146">
            <v>712.93700000000001</v>
          </cell>
          <cell r="AE146">
            <v>-197.06</v>
          </cell>
          <cell r="AF146">
            <v>167</v>
          </cell>
          <cell r="AG146">
            <v>0</v>
          </cell>
          <cell r="AH146">
            <v>0</v>
          </cell>
          <cell r="AI146">
            <v>0</v>
          </cell>
          <cell r="AJ146">
            <v>30.06</v>
          </cell>
          <cell r="AK146">
            <v>1</v>
          </cell>
          <cell r="AL146" t="str">
            <v>NATIONAL</v>
          </cell>
          <cell r="AM146">
            <v>3480</v>
          </cell>
          <cell r="AN146">
            <v>-2758.123</v>
          </cell>
          <cell r="AO146">
            <v>-2758.123</v>
          </cell>
          <cell r="AP146">
            <v>0</v>
          </cell>
          <cell r="AS146">
            <v>0</v>
          </cell>
          <cell r="AT146">
            <v>712.93700000000001</v>
          </cell>
          <cell r="AU146">
            <v>-197.06</v>
          </cell>
          <cell r="AV146">
            <v>-3274</v>
          </cell>
          <cell r="AZ146">
            <v>45917</v>
          </cell>
          <cell r="BA146">
            <v>45917</v>
          </cell>
          <cell r="BB146">
            <v>45917</v>
          </cell>
          <cell r="BF146" t="str">
            <v>NFT-/XUTR/DEUTH025260A0LASX</v>
          </cell>
          <cell r="BG146" t="str">
            <v>NFT-/XUTR/DEUTH025260A0LASX</v>
          </cell>
          <cell r="BH146" t="str">
            <v>NFT-/XUTR/DEUTH025260A0LASX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2923.21</v>
          </cell>
          <cell r="BP146">
            <v>12</v>
          </cell>
          <cell r="BQ146">
            <v>0</v>
          </cell>
          <cell r="BR146">
            <v>0</v>
          </cell>
          <cell r="BS146">
            <v>0</v>
          </cell>
          <cell r="BT146">
            <v>0.5</v>
          </cell>
          <cell r="BU146">
            <v>0</v>
          </cell>
          <cell r="BV146">
            <v>0</v>
          </cell>
          <cell r="BW146">
            <v>0.1</v>
          </cell>
          <cell r="BX146" t="str">
            <v>Tiny Kingdom</v>
          </cell>
          <cell r="BY146" t="str">
            <v>Girls</v>
          </cell>
          <cell r="BZ146" t="str">
            <v>External</v>
          </cell>
          <cell r="CA146" t="str">
            <v>Dresses</v>
          </cell>
          <cell r="CB146" t="str">
            <v>ON_HAND</v>
          </cell>
          <cell r="CC146" t="b">
            <v>0</v>
          </cell>
          <cell r="CD146" t="str">
            <v>**********</v>
          </cell>
          <cell r="CE146">
            <v>642154</v>
          </cell>
          <cell r="CF146" t="str">
            <v>27AXUPC8425A1ZH</v>
          </cell>
          <cell r="CH146" t="str">
            <v>29AAECM9636P1ZJ</v>
          </cell>
          <cell r="CI146" t="str">
            <v>Mumbai</v>
          </cell>
          <cell r="CJ146">
            <v>400013</v>
          </cell>
          <cell r="CK146" t="str">
            <v>maharashtra</v>
          </cell>
          <cell r="CL146" t="str">
            <v>MH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W146">
            <v>0</v>
          </cell>
          <cell r="CX146">
            <v>695.39800000000002</v>
          </cell>
          <cell r="CY146">
            <v>695.39800000000002</v>
          </cell>
          <cell r="CZ146">
            <v>0</v>
          </cell>
          <cell r="DA146">
            <v>0</v>
          </cell>
          <cell r="DB146">
            <v>0</v>
          </cell>
          <cell r="DC146">
            <v>520</v>
          </cell>
          <cell r="DD146">
            <v>2.9232100000000001</v>
          </cell>
          <cell r="DE146" t="str">
            <v>a9dcbb4f-3243-41df-890a-40335bde1796</v>
          </cell>
          <cell r="DF146">
            <v>100076000000</v>
          </cell>
          <cell r="DG146">
            <v>0</v>
          </cell>
          <cell r="DH146">
            <v>14.616</v>
          </cell>
          <cell r="DI146">
            <v>0</v>
          </cell>
          <cell r="DJ146">
            <v>2.923</v>
          </cell>
          <cell r="DK146" t="str">
            <v>BRONZE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 t="str">
            <v>NA</v>
          </cell>
          <cell r="DU146" t="str">
            <v>NA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-2758.123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 t="str">
            <v>Settled</v>
          </cell>
          <cell r="FH146">
            <v>3480</v>
          </cell>
          <cell r="FI146">
            <v>2758.123</v>
          </cell>
          <cell r="FJ146">
            <v>712.93700000000001</v>
          </cell>
          <cell r="FK146">
            <v>197.06</v>
          </cell>
        </row>
        <row r="147">
          <cell r="A147">
            <v>8612316630</v>
          </cell>
          <cell r="B147">
            <v>10612242239</v>
          </cell>
          <cell r="C147" t="str">
            <v>return_refund</v>
          </cell>
          <cell r="D147">
            <v>45889.790277777778</v>
          </cell>
          <cell r="E147">
            <v>45880.772916666669</v>
          </cell>
          <cell r="G147" t="str">
            <v>Myntra Designs Pvt Ltd</v>
          </cell>
          <cell r="H147" t="str">
            <v>BETYDRSS103593655</v>
          </cell>
          <cell r="I147" t="str">
            <v>\I2726TK000002381\""</v>
          </cell>
          <cell r="J147">
            <v>9753440815</v>
          </cell>
          <cell r="K147">
            <v>62042300</v>
          </cell>
          <cell r="L147" t="str">
            <v>Apparel</v>
          </cell>
          <cell r="M147" t="str">
            <v>INR</v>
          </cell>
          <cell r="N147">
            <v>3994</v>
          </cell>
          <cell r="O147">
            <v>0</v>
          </cell>
          <cell r="P147">
            <v>3994</v>
          </cell>
          <cell r="Q147">
            <v>6000</v>
          </cell>
          <cell r="R147">
            <v>1800</v>
          </cell>
          <cell r="S147" t="str">
            <v>Inter-State</v>
          </cell>
          <cell r="T147">
            <v>12</v>
          </cell>
          <cell r="U147">
            <v>427.93</v>
          </cell>
          <cell r="V147">
            <v>0</v>
          </cell>
          <cell r="W147">
            <v>0</v>
          </cell>
          <cell r="X147">
            <v>17.829999999999998</v>
          </cell>
          <cell r="Y147">
            <v>3.5659999999999998</v>
          </cell>
          <cell r="AA147">
            <v>0</v>
          </cell>
          <cell r="AB147">
            <v>1272.4880000000001</v>
          </cell>
          <cell r="AC147">
            <v>1272.4880000000001</v>
          </cell>
          <cell r="AD147">
            <v>1293.884</v>
          </cell>
          <cell r="AE147">
            <v>-197.06</v>
          </cell>
          <cell r="AF147">
            <v>167</v>
          </cell>
          <cell r="AG147">
            <v>0</v>
          </cell>
          <cell r="AH147">
            <v>0</v>
          </cell>
          <cell r="AI147">
            <v>0</v>
          </cell>
          <cell r="AJ147">
            <v>30.06</v>
          </cell>
          <cell r="AK147">
            <v>1</v>
          </cell>
          <cell r="AL147" t="str">
            <v>NATIONAL</v>
          </cell>
          <cell r="AM147">
            <v>4200</v>
          </cell>
          <cell r="AN147">
            <v>-2897.1759999999999</v>
          </cell>
          <cell r="AO147">
            <v>-2897.1759999999999</v>
          </cell>
          <cell r="AP147">
            <v>0</v>
          </cell>
          <cell r="AQ147">
            <v>1293.884</v>
          </cell>
          <cell r="AR147">
            <v>-197.06</v>
          </cell>
          <cell r="AS147">
            <v>-3994</v>
          </cell>
          <cell r="AV147">
            <v>0</v>
          </cell>
          <cell r="AW147">
            <v>45903</v>
          </cell>
          <cell r="AX147">
            <v>45903</v>
          </cell>
          <cell r="AY147">
            <v>45903</v>
          </cell>
          <cell r="BC147" t="str">
            <v>NFT-/XUTR/DEUTH025246A0T5UX</v>
          </cell>
          <cell r="BD147" t="str">
            <v>NFT-/XUTR/DEUTH025246A0T5UX</v>
          </cell>
          <cell r="BE147" t="str">
            <v>NFT-/XUTR/DEUTH025246A0T5UX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3566.07</v>
          </cell>
          <cell r="BP147">
            <v>12</v>
          </cell>
          <cell r="BQ147">
            <v>0</v>
          </cell>
          <cell r="BR147">
            <v>0</v>
          </cell>
          <cell r="BS147">
            <v>0</v>
          </cell>
          <cell r="BT147">
            <v>0.5</v>
          </cell>
          <cell r="BU147">
            <v>0</v>
          </cell>
          <cell r="BV147">
            <v>0</v>
          </cell>
          <cell r="BW147">
            <v>0.1</v>
          </cell>
          <cell r="BX147" t="str">
            <v>BETTY</v>
          </cell>
          <cell r="BY147" t="str">
            <v>Girls</v>
          </cell>
          <cell r="BZ147" t="str">
            <v>External</v>
          </cell>
          <cell r="CA147" t="str">
            <v>Dresses</v>
          </cell>
          <cell r="CB147" t="str">
            <v>ON_HAND</v>
          </cell>
          <cell r="CC147" t="b">
            <v>0</v>
          </cell>
          <cell r="CD147" t="str">
            <v>**********</v>
          </cell>
          <cell r="CE147">
            <v>144001</v>
          </cell>
          <cell r="CF147" t="str">
            <v>27AXUPC8425A1ZH</v>
          </cell>
          <cell r="CH147" t="str">
            <v>29AAECM9636P1ZJ</v>
          </cell>
          <cell r="CI147" t="str">
            <v>Mumbai</v>
          </cell>
          <cell r="CJ147">
            <v>400013</v>
          </cell>
          <cell r="CK147" t="str">
            <v>maharashtra</v>
          </cell>
          <cell r="CL147" t="str">
            <v>MH</v>
          </cell>
          <cell r="CN147">
            <v>0</v>
          </cell>
          <cell r="CO147">
            <v>1272.4880000000001</v>
          </cell>
          <cell r="CP147">
            <v>1272.4880000000001</v>
          </cell>
          <cell r="CQ147">
            <v>0</v>
          </cell>
          <cell r="CR147">
            <v>0</v>
          </cell>
          <cell r="CS147">
            <v>0</v>
          </cell>
          <cell r="CT147">
            <v>1800</v>
          </cell>
          <cell r="CU147">
            <v>3.5660699999999999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E147" t="str">
            <v>77d86d64-9c60-40dd-ad21-79ebfbfbb418</v>
          </cell>
          <cell r="DF147">
            <v>100071000000</v>
          </cell>
          <cell r="DG147">
            <v>17.829999999999998</v>
          </cell>
          <cell r="DH147">
            <v>0</v>
          </cell>
          <cell r="DI147">
            <v>3.5659999999999998</v>
          </cell>
          <cell r="DJ147">
            <v>0</v>
          </cell>
          <cell r="DK147" t="str">
            <v>BRONZE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 t="str">
            <v>NA</v>
          </cell>
          <cell r="DU147" t="str">
            <v>NA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EB147">
            <v>0</v>
          </cell>
          <cell r="EC147">
            <v>0</v>
          </cell>
          <cell r="ED147">
            <v>-2897.1759999999999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 t="str">
            <v>Settled</v>
          </cell>
          <cell r="FH147">
            <v>4200</v>
          </cell>
          <cell r="FI147">
            <v>2897.1759999999999</v>
          </cell>
          <cell r="FJ147">
            <v>1293.884</v>
          </cell>
          <cell r="FK147">
            <v>197.06</v>
          </cell>
        </row>
        <row r="148">
          <cell r="A148">
            <v>8616454045</v>
          </cell>
          <cell r="B148">
            <v>10616379425</v>
          </cell>
          <cell r="C148" t="str">
            <v>return_refund</v>
          </cell>
          <cell r="D148">
            <v>45895.524305555555</v>
          </cell>
          <cell r="E148">
            <v>45883.52847222222</v>
          </cell>
          <cell r="F148">
            <v>44523</v>
          </cell>
          <cell r="G148" t="str">
            <v>Myntra Designs Pvt Ltd</v>
          </cell>
          <cell r="H148" t="str">
            <v>TIKILHNC103613424</v>
          </cell>
          <cell r="I148" t="str">
            <v>\I2726TK000002430\""</v>
          </cell>
          <cell r="J148">
            <v>8616454045</v>
          </cell>
          <cell r="K148">
            <v>62042300</v>
          </cell>
          <cell r="L148" t="str">
            <v>Apparel</v>
          </cell>
          <cell r="M148" t="str">
            <v>INR</v>
          </cell>
          <cell r="N148">
            <v>3294</v>
          </cell>
          <cell r="O148">
            <v>3294</v>
          </cell>
          <cell r="P148">
            <v>0</v>
          </cell>
          <cell r="Q148">
            <v>5000</v>
          </cell>
          <cell r="R148">
            <v>1500</v>
          </cell>
          <cell r="S148" t="str">
            <v>Inter-State</v>
          </cell>
          <cell r="T148">
            <v>12</v>
          </cell>
          <cell r="U148">
            <v>352.93</v>
          </cell>
          <cell r="V148">
            <v>0</v>
          </cell>
          <cell r="W148">
            <v>0</v>
          </cell>
          <cell r="X148">
            <v>14.705</v>
          </cell>
          <cell r="Y148">
            <v>2.9409999999999998</v>
          </cell>
          <cell r="AA148">
            <v>0</v>
          </cell>
          <cell r="AB148">
            <v>816.25300000000004</v>
          </cell>
          <cell r="AC148">
            <v>816.25300000000004</v>
          </cell>
          <cell r="AD148">
            <v>833.899</v>
          </cell>
          <cell r="AE148">
            <v>-197.06</v>
          </cell>
          <cell r="AF148">
            <v>167</v>
          </cell>
          <cell r="AG148">
            <v>0</v>
          </cell>
          <cell r="AH148">
            <v>0</v>
          </cell>
          <cell r="AI148">
            <v>0</v>
          </cell>
          <cell r="AJ148">
            <v>30.06</v>
          </cell>
          <cell r="AK148">
            <v>1</v>
          </cell>
          <cell r="AL148" t="str">
            <v>NATIONAL</v>
          </cell>
          <cell r="AM148">
            <v>3500</v>
          </cell>
          <cell r="AN148">
            <v>-2657.1610000000001</v>
          </cell>
          <cell r="AO148">
            <v>-2657.1610000000001</v>
          </cell>
          <cell r="AP148">
            <v>0</v>
          </cell>
          <cell r="AS148">
            <v>0</v>
          </cell>
          <cell r="AT148">
            <v>833.899</v>
          </cell>
          <cell r="AU148">
            <v>-197.06</v>
          </cell>
          <cell r="AV148">
            <v>-3294</v>
          </cell>
          <cell r="AZ148">
            <v>45903</v>
          </cell>
          <cell r="BA148">
            <v>45903</v>
          </cell>
          <cell r="BB148">
            <v>45903</v>
          </cell>
          <cell r="BF148" t="str">
            <v>NFT-/XUTR/DEUTH025246A0P15X</v>
          </cell>
          <cell r="BG148" t="str">
            <v>NFT-/XUTR/DEUTH025246A0P15X</v>
          </cell>
          <cell r="BH148" t="str">
            <v>NFT-/XUTR/DEUTH025246A0P15X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2941.07</v>
          </cell>
          <cell r="BP148">
            <v>12</v>
          </cell>
          <cell r="BQ148">
            <v>0</v>
          </cell>
          <cell r="BR148">
            <v>0</v>
          </cell>
          <cell r="BS148">
            <v>0</v>
          </cell>
          <cell r="BT148">
            <v>0.5</v>
          </cell>
          <cell r="BU148">
            <v>0</v>
          </cell>
          <cell r="BV148">
            <v>0</v>
          </cell>
          <cell r="BW148">
            <v>0.1</v>
          </cell>
          <cell r="BX148" t="str">
            <v>Tiny Kingdom</v>
          </cell>
          <cell r="BY148" t="str">
            <v>Girls</v>
          </cell>
          <cell r="BZ148" t="str">
            <v>External</v>
          </cell>
          <cell r="CA148" t="str">
            <v>Lehenga Choli</v>
          </cell>
          <cell r="CB148" t="str">
            <v>ON_HAND</v>
          </cell>
          <cell r="CC148" t="b">
            <v>0</v>
          </cell>
          <cell r="CD148" t="str">
            <v>**********</v>
          </cell>
          <cell r="CE148">
            <v>335040</v>
          </cell>
          <cell r="CF148" t="str">
            <v>27AXUPC8425A1ZH</v>
          </cell>
          <cell r="CH148" t="str">
            <v>29AAECM9636P1ZJ</v>
          </cell>
          <cell r="CI148" t="str">
            <v>Mumbai</v>
          </cell>
          <cell r="CJ148">
            <v>400013</v>
          </cell>
          <cell r="CK148" t="str">
            <v>maharashtra</v>
          </cell>
          <cell r="CL148" t="str">
            <v>MH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W148">
            <v>0</v>
          </cell>
          <cell r="CX148">
            <v>816.25300000000004</v>
          </cell>
          <cell r="CY148">
            <v>816.25300000000004</v>
          </cell>
          <cell r="CZ148">
            <v>0</v>
          </cell>
          <cell r="DA148">
            <v>0</v>
          </cell>
          <cell r="DB148">
            <v>0</v>
          </cell>
          <cell r="DC148">
            <v>1500</v>
          </cell>
          <cell r="DD148">
            <v>2.9410699999999999</v>
          </cell>
          <cell r="DE148" t="str">
            <v>94f8f5f1-ad95-4ec9-962d-d879f9c08398</v>
          </cell>
          <cell r="DF148">
            <v>100073000000</v>
          </cell>
          <cell r="DG148">
            <v>0</v>
          </cell>
          <cell r="DH148">
            <v>14.705</v>
          </cell>
          <cell r="DI148">
            <v>0</v>
          </cell>
          <cell r="DJ148">
            <v>2.9409999999999998</v>
          </cell>
          <cell r="DK148" t="str">
            <v>BRONZE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 t="str">
            <v>NA</v>
          </cell>
          <cell r="DU148" t="str">
            <v>NA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EB148">
            <v>0</v>
          </cell>
          <cell r="EC148">
            <v>0</v>
          </cell>
          <cell r="ED148">
            <v>-2657.1610000000001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 t="str">
            <v>Settled</v>
          </cell>
          <cell r="FH148">
            <v>3500</v>
          </cell>
          <cell r="FI148">
            <v>2657.1610000000001</v>
          </cell>
          <cell r="FJ148">
            <v>833.899</v>
          </cell>
          <cell r="FK148">
            <v>197.06</v>
          </cell>
        </row>
        <row r="149">
          <cell r="A149">
            <v>8615659103</v>
          </cell>
          <cell r="B149">
            <v>10615584548</v>
          </cell>
          <cell r="C149" t="str">
            <v>return_refund</v>
          </cell>
          <cell r="D149">
            <v>45892.53125</v>
          </cell>
          <cell r="E149">
            <v>45883.446527777778</v>
          </cell>
          <cell r="G149" t="str">
            <v>Myntra Designs Pvt Ltd</v>
          </cell>
          <cell r="H149" t="str">
            <v>TNBYCLST101412244</v>
          </cell>
          <cell r="I149" t="str">
            <v>\I2726TK000002428\""</v>
          </cell>
          <cell r="J149">
            <v>9754671642</v>
          </cell>
          <cell r="K149">
            <v>62042300</v>
          </cell>
          <cell r="L149" t="str">
            <v>Apparel</v>
          </cell>
          <cell r="M149" t="str">
            <v>INR</v>
          </cell>
          <cell r="N149">
            <v>2556</v>
          </cell>
          <cell r="O149">
            <v>0</v>
          </cell>
          <cell r="P149">
            <v>2556</v>
          </cell>
          <cell r="Q149">
            <v>3250</v>
          </cell>
          <cell r="R149">
            <v>488</v>
          </cell>
          <cell r="S149" t="str">
            <v>Inter-State</v>
          </cell>
          <cell r="T149">
            <v>12</v>
          </cell>
          <cell r="U149">
            <v>273.86</v>
          </cell>
          <cell r="V149">
            <v>0</v>
          </cell>
          <cell r="W149">
            <v>0</v>
          </cell>
          <cell r="X149">
            <v>11.411</v>
          </cell>
          <cell r="Y149">
            <v>2.282</v>
          </cell>
          <cell r="AA149">
            <v>0</v>
          </cell>
          <cell r="AB149">
            <v>663.53800000000001</v>
          </cell>
          <cell r="AC149">
            <v>663.53800000000001</v>
          </cell>
          <cell r="AD149">
            <v>677.23099999999999</v>
          </cell>
          <cell r="AE149">
            <v>-197.06</v>
          </cell>
          <cell r="AF149">
            <v>167</v>
          </cell>
          <cell r="AG149">
            <v>0</v>
          </cell>
          <cell r="AH149">
            <v>0</v>
          </cell>
          <cell r="AI149">
            <v>0</v>
          </cell>
          <cell r="AJ149">
            <v>30.06</v>
          </cell>
          <cell r="AK149">
            <v>1</v>
          </cell>
          <cell r="AL149" t="str">
            <v>NATIONAL</v>
          </cell>
          <cell r="AM149">
            <v>2762</v>
          </cell>
          <cell r="AN149">
            <v>-2075.8290000000002</v>
          </cell>
          <cell r="AO149">
            <v>-2075.8290000000002</v>
          </cell>
          <cell r="AP149">
            <v>0</v>
          </cell>
          <cell r="AQ149">
            <v>677.23099999999999</v>
          </cell>
          <cell r="AR149">
            <v>-197.06</v>
          </cell>
          <cell r="AS149">
            <v>-2556</v>
          </cell>
          <cell r="AV149">
            <v>0</v>
          </cell>
          <cell r="AW149">
            <v>45903</v>
          </cell>
          <cell r="AX149">
            <v>45903</v>
          </cell>
          <cell r="AY149">
            <v>45903</v>
          </cell>
          <cell r="BC149" t="str">
            <v>NFT-/XUTR/DEUTH025246A0T5UX</v>
          </cell>
          <cell r="BD149" t="str">
            <v>NFT-/XUTR/DEUTH025246A0T5UX</v>
          </cell>
          <cell r="BE149" t="str">
            <v>NFT-/XUTR/DEUTH025246A0T5UX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2282.14</v>
          </cell>
          <cell r="BP149">
            <v>12</v>
          </cell>
          <cell r="BQ149">
            <v>0</v>
          </cell>
          <cell r="BR149">
            <v>0</v>
          </cell>
          <cell r="BS149">
            <v>0</v>
          </cell>
          <cell r="BT149">
            <v>0.5</v>
          </cell>
          <cell r="BU149">
            <v>0</v>
          </cell>
          <cell r="BV149">
            <v>0</v>
          </cell>
          <cell r="BW149">
            <v>0.1</v>
          </cell>
          <cell r="BX149" t="str">
            <v>Tiny Baby</v>
          </cell>
          <cell r="BY149" t="str">
            <v>Girls</v>
          </cell>
          <cell r="BZ149" t="str">
            <v>External</v>
          </cell>
          <cell r="CA149" t="str">
            <v>Clothing Set</v>
          </cell>
          <cell r="CB149" t="str">
            <v>ON_HAND</v>
          </cell>
          <cell r="CC149" t="b">
            <v>0</v>
          </cell>
          <cell r="CD149" t="str">
            <v>**********</v>
          </cell>
          <cell r="CE149">
            <v>201010</v>
          </cell>
          <cell r="CF149" t="str">
            <v>27AXUPC8425A1ZH</v>
          </cell>
          <cell r="CH149" t="str">
            <v>29AAECM9636P1ZJ</v>
          </cell>
          <cell r="CI149" t="str">
            <v>Mumbai</v>
          </cell>
          <cell r="CJ149">
            <v>400013</v>
          </cell>
          <cell r="CK149" t="str">
            <v>maharashtra</v>
          </cell>
          <cell r="CL149" t="str">
            <v>MH</v>
          </cell>
          <cell r="CN149">
            <v>0</v>
          </cell>
          <cell r="CO149">
            <v>663.53800000000001</v>
          </cell>
          <cell r="CP149">
            <v>663.53800000000001</v>
          </cell>
          <cell r="CQ149">
            <v>0</v>
          </cell>
          <cell r="CR149">
            <v>0</v>
          </cell>
          <cell r="CS149">
            <v>0</v>
          </cell>
          <cell r="CT149">
            <v>488</v>
          </cell>
          <cell r="CU149">
            <v>2.2821400000000001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E149" t="str">
            <v>7de7aeb6-e467-43c5-8ac0-9c17c009bf14</v>
          </cell>
          <cell r="DF149">
            <v>100072000000</v>
          </cell>
          <cell r="DG149">
            <v>11.411</v>
          </cell>
          <cell r="DH149">
            <v>0</v>
          </cell>
          <cell r="DI149">
            <v>2.282</v>
          </cell>
          <cell r="DJ149">
            <v>0</v>
          </cell>
          <cell r="DK149" t="str">
            <v>BRONZE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 t="str">
            <v>NA</v>
          </cell>
          <cell r="DU149" t="str">
            <v>NA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EB149">
            <v>0</v>
          </cell>
          <cell r="EC149">
            <v>0</v>
          </cell>
          <cell r="ED149">
            <v>-2075.8290000000002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 t="str">
            <v>Settled</v>
          </cell>
          <cell r="FH149">
            <v>2762</v>
          </cell>
          <cell r="FI149">
            <v>2075.8290000000002</v>
          </cell>
          <cell r="FJ149">
            <v>677.23099999999999</v>
          </cell>
          <cell r="FK149">
            <v>197.06</v>
          </cell>
        </row>
        <row r="150">
          <cell r="A150">
            <v>8611755278</v>
          </cell>
          <cell r="B150">
            <v>10611680898</v>
          </cell>
          <cell r="C150" t="str">
            <v>return_refund</v>
          </cell>
          <cell r="D150">
            <v>45887.679166666669</v>
          </cell>
          <cell r="E150">
            <v>45880.458333333336</v>
          </cell>
          <cell r="G150" t="str">
            <v>Myntra Designs Pvt Ltd</v>
          </cell>
          <cell r="H150" t="str">
            <v>BETYCLST66795366</v>
          </cell>
          <cell r="I150" t="str">
            <v>\I2726TK000002366\""</v>
          </cell>
          <cell r="J150">
            <v>8611755278</v>
          </cell>
          <cell r="K150">
            <v>62042300</v>
          </cell>
          <cell r="L150" t="str">
            <v>Apparel</v>
          </cell>
          <cell r="M150" t="str">
            <v>INR</v>
          </cell>
          <cell r="N150">
            <v>2294</v>
          </cell>
          <cell r="O150">
            <v>0</v>
          </cell>
          <cell r="P150">
            <v>2294</v>
          </cell>
          <cell r="Q150">
            <v>5000</v>
          </cell>
          <cell r="R150">
            <v>2500</v>
          </cell>
          <cell r="S150" t="str">
            <v>Inter-State</v>
          </cell>
          <cell r="T150">
            <v>12</v>
          </cell>
          <cell r="U150">
            <v>245.79</v>
          </cell>
          <cell r="V150">
            <v>0</v>
          </cell>
          <cell r="W150">
            <v>0</v>
          </cell>
          <cell r="X150">
            <v>10.241</v>
          </cell>
          <cell r="Y150">
            <v>2.048</v>
          </cell>
          <cell r="AA150">
            <v>0</v>
          </cell>
          <cell r="AB150">
            <v>703.79899999999998</v>
          </cell>
          <cell r="AC150">
            <v>703.79899999999998</v>
          </cell>
          <cell r="AD150">
            <v>716.08799999999997</v>
          </cell>
          <cell r="AE150">
            <v>-132.16</v>
          </cell>
          <cell r="AF150">
            <v>112</v>
          </cell>
          <cell r="AG150">
            <v>0</v>
          </cell>
          <cell r="AH150">
            <v>0</v>
          </cell>
          <cell r="AI150">
            <v>0</v>
          </cell>
          <cell r="AJ150">
            <v>20.16</v>
          </cell>
          <cell r="AK150">
            <v>1</v>
          </cell>
          <cell r="AL150" t="str">
            <v>ZONAL</v>
          </cell>
          <cell r="AM150">
            <v>2500</v>
          </cell>
          <cell r="AN150">
            <v>-1710.0719999999999</v>
          </cell>
          <cell r="AO150">
            <v>-1710.0719999999999</v>
          </cell>
          <cell r="AP150">
            <v>0</v>
          </cell>
          <cell r="AQ150">
            <v>716.08799999999997</v>
          </cell>
          <cell r="AR150">
            <v>-132.16</v>
          </cell>
          <cell r="AS150">
            <v>-2294</v>
          </cell>
          <cell r="AV150">
            <v>0</v>
          </cell>
          <cell r="AW150">
            <v>45901</v>
          </cell>
          <cell r="AX150">
            <v>45901</v>
          </cell>
          <cell r="AY150">
            <v>45901</v>
          </cell>
          <cell r="BC150" t="str">
            <v>NFT-/XUTR/DEUTH025244A0LW1X</v>
          </cell>
          <cell r="BD150" t="str">
            <v>NFT-/XUTR/DEUTH025244A0LW1X</v>
          </cell>
          <cell r="BE150" t="str">
            <v>NFT-/XUTR/DEUTH025244A0LW1X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2048.21</v>
          </cell>
          <cell r="BP150">
            <v>12</v>
          </cell>
          <cell r="BQ150">
            <v>0</v>
          </cell>
          <cell r="BR150">
            <v>0</v>
          </cell>
          <cell r="BS150">
            <v>0</v>
          </cell>
          <cell r="BT150">
            <v>0.5</v>
          </cell>
          <cell r="BU150">
            <v>0</v>
          </cell>
          <cell r="BV150">
            <v>0</v>
          </cell>
          <cell r="BW150">
            <v>0.1</v>
          </cell>
          <cell r="BX150" t="str">
            <v>BETTY</v>
          </cell>
          <cell r="BY150" t="str">
            <v>Girls</v>
          </cell>
          <cell r="BZ150" t="str">
            <v>External</v>
          </cell>
          <cell r="CA150" t="str">
            <v>Clothing Set</v>
          </cell>
          <cell r="CB150" t="str">
            <v>ON_HAND</v>
          </cell>
          <cell r="CC150" t="b">
            <v>0</v>
          </cell>
          <cell r="CD150" t="str">
            <v>**********</v>
          </cell>
          <cell r="CE150">
            <v>382481</v>
          </cell>
          <cell r="CF150" t="str">
            <v>27AXUPC8425A1ZH</v>
          </cell>
          <cell r="CH150" t="str">
            <v>29AAECM9636P1ZJ</v>
          </cell>
          <cell r="CI150" t="str">
            <v>Mumbai</v>
          </cell>
          <cell r="CJ150">
            <v>400013</v>
          </cell>
          <cell r="CK150" t="str">
            <v>maharashtra</v>
          </cell>
          <cell r="CL150" t="str">
            <v>MH</v>
          </cell>
          <cell r="CN150">
            <v>0</v>
          </cell>
          <cell r="CO150">
            <v>703.79899999999998</v>
          </cell>
          <cell r="CP150">
            <v>703.79899999999998</v>
          </cell>
          <cell r="CQ150">
            <v>0</v>
          </cell>
          <cell r="CR150">
            <v>0</v>
          </cell>
          <cell r="CS150">
            <v>0</v>
          </cell>
          <cell r="CT150">
            <v>2500</v>
          </cell>
          <cell r="CU150">
            <v>2.0482100000000001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E150" t="str">
            <v>9dd5b50b-d613-49e4-88c3-a4842c5e92b1</v>
          </cell>
          <cell r="DF150">
            <v>100071000000</v>
          </cell>
          <cell r="DG150">
            <v>10.241</v>
          </cell>
          <cell r="DH150">
            <v>0</v>
          </cell>
          <cell r="DI150">
            <v>2.048</v>
          </cell>
          <cell r="DJ150">
            <v>0</v>
          </cell>
          <cell r="DK150" t="str">
            <v>BRONZE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 t="str">
            <v>NA</v>
          </cell>
          <cell r="DU150" t="str">
            <v>NA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EB150">
            <v>-1710.0719999999999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 t="str">
            <v>Settled</v>
          </cell>
          <cell r="FH150">
            <v>2500</v>
          </cell>
          <cell r="FI150">
            <v>1710.0719999999999</v>
          </cell>
          <cell r="FJ150">
            <v>716.08799999999997</v>
          </cell>
          <cell r="FK150">
            <v>132.16</v>
          </cell>
        </row>
        <row r="151">
          <cell r="A151">
            <v>8632082388</v>
          </cell>
          <cell r="B151">
            <v>10632007051</v>
          </cell>
          <cell r="C151" t="str">
            <v>return_refund</v>
          </cell>
          <cell r="D151">
            <v>45900.51458333333</v>
          </cell>
          <cell r="E151">
            <v>45894.452777777777</v>
          </cell>
          <cell r="G151" t="str">
            <v>Myntra Designs Pvt Ltd</v>
          </cell>
          <cell r="H151" t="str">
            <v>BETYDRSS112339707</v>
          </cell>
          <cell r="I151" t="str">
            <v>\I2726TK000002588\""</v>
          </cell>
          <cell r="J151">
            <v>8632082388</v>
          </cell>
          <cell r="K151">
            <v>62042300</v>
          </cell>
          <cell r="L151" t="str">
            <v>Apparel</v>
          </cell>
          <cell r="M151" t="str">
            <v>INR</v>
          </cell>
          <cell r="N151">
            <v>4594</v>
          </cell>
          <cell r="O151">
            <v>0</v>
          </cell>
          <cell r="P151">
            <v>4594</v>
          </cell>
          <cell r="Q151">
            <v>6000</v>
          </cell>
          <cell r="R151">
            <v>1200</v>
          </cell>
          <cell r="S151" t="str">
            <v>Inter-State</v>
          </cell>
          <cell r="T151">
            <v>12</v>
          </cell>
          <cell r="U151">
            <v>492.21</v>
          </cell>
          <cell r="V151">
            <v>0</v>
          </cell>
          <cell r="W151">
            <v>0</v>
          </cell>
          <cell r="X151">
            <v>20.509</v>
          </cell>
          <cell r="Y151">
            <v>4.1020000000000003</v>
          </cell>
          <cell r="AA151">
            <v>0</v>
          </cell>
          <cell r="AB151">
            <v>1301.021</v>
          </cell>
          <cell r="AC151">
            <v>1301.021</v>
          </cell>
          <cell r="AD151">
            <v>1325.6320000000001</v>
          </cell>
          <cell r="AE151">
            <v>-197.06</v>
          </cell>
          <cell r="AF151">
            <v>167</v>
          </cell>
          <cell r="AG151">
            <v>0</v>
          </cell>
          <cell r="AH151">
            <v>0</v>
          </cell>
          <cell r="AI151">
            <v>0</v>
          </cell>
          <cell r="AJ151">
            <v>30.06</v>
          </cell>
          <cell r="AK151">
            <v>1</v>
          </cell>
          <cell r="AL151" t="str">
            <v>NATIONAL</v>
          </cell>
          <cell r="AM151">
            <v>4800</v>
          </cell>
          <cell r="AN151">
            <v>-3465.4279999999999</v>
          </cell>
          <cell r="AO151">
            <v>-3465.4279999999999</v>
          </cell>
          <cell r="AP151">
            <v>0</v>
          </cell>
          <cell r="AQ151">
            <v>1325.6320000000001</v>
          </cell>
          <cell r="AR151">
            <v>-197.06</v>
          </cell>
          <cell r="AS151">
            <v>-4594</v>
          </cell>
          <cell r="AV151">
            <v>0</v>
          </cell>
          <cell r="AW151">
            <v>45912</v>
          </cell>
          <cell r="AX151">
            <v>45912</v>
          </cell>
          <cell r="AY151">
            <v>45912</v>
          </cell>
          <cell r="BC151" t="str">
            <v>NFT-/XUTR/DEUTH025255A0GCFX</v>
          </cell>
          <cell r="BD151" t="str">
            <v>NFT-/XUTR/DEUTH025255A0GCFX</v>
          </cell>
          <cell r="BE151" t="str">
            <v>NFT-/XUTR/DEUTH025255A0GCFX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4101.79</v>
          </cell>
          <cell r="BP151">
            <v>12</v>
          </cell>
          <cell r="BQ151">
            <v>0</v>
          </cell>
          <cell r="BR151">
            <v>0</v>
          </cell>
          <cell r="BS151">
            <v>0</v>
          </cell>
          <cell r="BT151">
            <v>0.5</v>
          </cell>
          <cell r="BU151">
            <v>0</v>
          </cell>
          <cell r="BV151">
            <v>0</v>
          </cell>
          <cell r="BW151">
            <v>0.1</v>
          </cell>
          <cell r="BX151" t="str">
            <v>BETTY</v>
          </cell>
          <cell r="BY151" t="str">
            <v>Girls</v>
          </cell>
          <cell r="BZ151" t="str">
            <v>External</v>
          </cell>
          <cell r="CA151" t="str">
            <v>Ethnic Dresses</v>
          </cell>
          <cell r="CB151" t="str">
            <v>ON_HAND</v>
          </cell>
          <cell r="CC151" t="b">
            <v>0</v>
          </cell>
          <cell r="CD151" t="str">
            <v>**********</v>
          </cell>
          <cell r="CE151">
            <v>695541</v>
          </cell>
          <cell r="CF151" t="str">
            <v>27AXUPC8425A1ZH</v>
          </cell>
          <cell r="CH151" t="str">
            <v>29AAECM9636P1ZJ</v>
          </cell>
          <cell r="CI151" t="str">
            <v>Mumbai</v>
          </cell>
          <cell r="CJ151">
            <v>400013</v>
          </cell>
          <cell r="CK151" t="str">
            <v>maharashtra</v>
          </cell>
          <cell r="CL151" t="str">
            <v>MH</v>
          </cell>
          <cell r="CN151">
            <v>0</v>
          </cell>
          <cell r="CO151">
            <v>1301.021</v>
          </cell>
          <cell r="CP151">
            <v>1301.021</v>
          </cell>
          <cell r="CQ151">
            <v>0</v>
          </cell>
          <cell r="CR151">
            <v>0</v>
          </cell>
          <cell r="CS151">
            <v>0</v>
          </cell>
          <cell r="CT151">
            <v>1200</v>
          </cell>
          <cell r="CU151">
            <v>4.1017900000000003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E151" t="str">
            <v>a23996f1-a4d8-4c54-bc50-2f73ba701f40</v>
          </cell>
          <cell r="DF151">
            <v>100074000000</v>
          </cell>
          <cell r="DG151">
            <v>20.509</v>
          </cell>
          <cell r="DH151">
            <v>0</v>
          </cell>
          <cell r="DI151">
            <v>4.1020000000000003</v>
          </cell>
          <cell r="DJ151">
            <v>0</v>
          </cell>
          <cell r="DK151" t="str">
            <v>BRONZE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 t="str">
            <v>NA</v>
          </cell>
          <cell r="DU151" t="str">
            <v>NA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-3465.4279999999999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 t="str">
            <v>Settled</v>
          </cell>
          <cell r="FH151">
            <v>4800</v>
          </cell>
          <cell r="FI151">
            <v>3465.4279999999999</v>
          </cell>
          <cell r="FJ151">
            <v>1325.6320000000001</v>
          </cell>
          <cell r="FK151">
            <v>197.06</v>
          </cell>
        </row>
        <row r="152">
          <cell r="A152">
            <v>8636977287</v>
          </cell>
          <cell r="B152">
            <v>10636901853</v>
          </cell>
          <cell r="C152" t="str">
            <v>return_refund</v>
          </cell>
          <cell r="D152">
            <v>45903.543749999997</v>
          </cell>
          <cell r="E152">
            <v>45898.445138888892</v>
          </cell>
          <cell r="G152" t="str">
            <v>Myntra Designs Pvt Ltd</v>
          </cell>
          <cell r="H152" t="str">
            <v>TIKIDRSS101406987</v>
          </cell>
          <cell r="I152" t="str">
            <v>\I2726TK000002649\""</v>
          </cell>
          <cell r="J152">
            <v>8636977287</v>
          </cell>
          <cell r="K152">
            <v>62042300</v>
          </cell>
          <cell r="L152" t="str">
            <v>Apparel</v>
          </cell>
          <cell r="M152" t="str">
            <v>INR</v>
          </cell>
          <cell r="N152">
            <v>3274</v>
          </cell>
          <cell r="O152">
            <v>0</v>
          </cell>
          <cell r="P152">
            <v>3274</v>
          </cell>
          <cell r="Q152">
            <v>4000</v>
          </cell>
          <cell r="R152">
            <v>520</v>
          </cell>
          <cell r="S152" t="str">
            <v>Inter-State</v>
          </cell>
          <cell r="T152">
            <v>12</v>
          </cell>
          <cell r="U152">
            <v>350.79</v>
          </cell>
          <cell r="V152">
            <v>0</v>
          </cell>
          <cell r="W152">
            <v>0</v>
          </cell>
          <cell r="X152">
            <v>14.616</v>
          </cell>
          <cell r="Y152">
            <v>2.923</v>
          </cell>
          <cell r="AA152">
            <v>0</v>
          </cell>
          <cell r="AB152">
            <v>695.39800000000002</v>
          </cell>
          <cell r="AC152">
            <v>695.39800000000002</v>
          </cell>
          <cell r="AD152">
            <v>712.93700000000001</v>
          </cell>
          <cell r="AE152">
            <v>-132.16</v>
          </cell>
          <cell r="AF152">
            <v>112</v>
          </cell>
          <cell r="AG152">
            <v>0</v>
          </cell>
          <cell r="AH152">
            <v>0</v>
          </cell>
          <cell r="AI152">
            <v>0</v>
          </cell>
          <cell r="AJ152">
            <v>20.16</v>
          </cell>
          <cell r="AK152">
            <v>1</v>
          </cell>
          <cell r="AL152" t="str">
            <v>ZONAL</v>
          </cell>
          <cell r="AM152">
            <v>3480</v>
          </cell>
          <cell r="AN152">
            <v>-2693.223</v>
          </cell>
          <cell r="AO152">
            <v>-2693.223</v>
          </cell>
          <cell r="AP152">
            <v>0</v>
          </cell>
          <cell r="AQ152">
            <v>712.93700000000001</v>
          </cell>
          <cell r="AR152">
            <v>-132.16</v>
          </cell>
          <cell r="AS152">
            <v>-3274</v>
          </cell>
          <cell r="AV152">
            <v>0</v>
          </cell>
          <cell r="AW152">
            <v>45916</v>
          </cell>
          <cell r="AX152">
            <v>45916</v>
          </cell>
          <cell r="AY152">
            <v>45916</v>
          </cell>
          <cell r="BC152" t="str">
            <v>NFT-/XUTR/DEUTH02525924409X</v>
          </cell>
          <cell r="BD152" t="str">
            <v>NFT-/XUTR/DEUTH02525924409X</v>
          </cell>
          <cell r="BE152" t="str">
            <v>NFT-/XUTR/DEUTH02525924409X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2923.21</v>
          </cell>
          <cell r="BP152">
            <v>12</v>
          </cell>
          <cell r="BQ152">
            <v>0</v>
          </cell>
          <cell r="BR152">
            <v>0</v>
          </cell>
          <cell r="BS152">
            <v>0</v>
          </cell>
          <cell r="BT152">
            <v>0.5</v>
          </cell>
          <cell r="BU152">
            <v>0</v>
          </cell>
          <cell r="BV152">
            <v>0</v>
          </cell>
          <cell r="BW152">
            <v>0.1</v>
          </cell>
          <cell r="BX152" t="str">
            <v>Tiny Kingdom</v>
          </cell>
          <cell r="BY152" t="str">
            <v>Girls</v>
          </cell>
          <cell r="BZ152" t="str">
            <v>External</v>
          </cell>
          <cell r="CA152" t="str">
            <v>Dresses</v>
          </cell>
          <cell r="CB152" t="str">
            <v>ON_HAND</v>
          </cell>
          <cell r="CC152" t="b">
            <v>0</v>
          </cell>
          <cell r="CD152" t="str">
            <v>**********</v>
          </cell>
          <cell r="CE152">
            <v>500049</v>
          </cell>
          <cell r="CF152" t="str">
            <v>27AXUPC8425A1ZH</v>
          </cell>
          <cell r="CH152" t="str">
            <v>29AAECM9636P1ZJ</v>
          </cell>
          <cell r="CI152" t="str">
            <v>Mumbai</v>
          </cell>
          <cell r="CJ152">
            <v>400013</v>
          </cell>
          <cell r="CK152" t="str">
            <v>maharashtra</v>
          </cell>
          <cell r="CL152" t="str">
            <v>MH</v>
          </cell>
          <cell r="CN152">
            <v>0</v>
          </cell>
          <cell r="CO152">
            <v>695.39800000000002</v>
          </cell>
          <cell r="CP152">
            <v>695.39800000000002</v>
          </cell>
          <cell r="CQ152">
            <v>0</v>
          </cell>
          <cell r="CR152">
            <v>0</v>
          </cell>
          <cell r="CS152">
            <v>0</v>
          </cell>
          <cell r="CT152">
            <v>520</v>
          </cell>
          <cell r="CU152">
            <v>2.9232100000000001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E152" t="str">
            <v>0c8e2c9b-9b77-4e55-81d0-988a9a2904fe</v>
          </cell>
          <cell r="DF152">
            <v>100075000000</v>
          </cell>
          <cell r="DG152">
            <v>14.616</v>
          </cell>
          <cell r="DH152">
            <v>0</v>
          </cell>
          <cell r="DI152">
            <v>2.923</v>
          </cell>
          <cell r="DJ152">
            <v>0</v>
          </cell>
          <cell r="DK152" t="str">
            <v>BRONZE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 t="str">
            <v>NA</v>
          </cell>
          <cell r="DU152" t="str">
            <v>NA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-2693.223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 t="str">
            <v>Settled</v>
          </cell>
          <cell r="FH152">
            <v>3480</v>
          </cell>
          <cell r="FI152">
            <v>2693.223</v>
          </cell>
          <cell r="FJ152">
            <v>712.93700000000001</v>
          </cell>
          <cell r="FK152">
            <v>132.16</v>
          </cell>
        </row>
        <row r="153">
          <cell r="A153">
            <v>8638232224</v>
          </cell>
          <cell r="B153">
            <v>10638156740</v>
          </cell>
          <cell r="C153" t="str">
            <v>return_refund</v>
          </cell>
          <cell r="D153">
            <v>45904.613888888889</v>
          </cell>
          <cell r="E153">
            <v>45899.442361111112</v>
          </cell>
          <cell r="G153" t="str">
            <v>Myntra Designs Pvt Ltd</v>
          </cell>
          <cell r="H153" t="str">
            <v>TIKIDRSS103606074</v>
          </cell>
          <cell r="I153" t="str">
            <v>\I2726TK000002663\""</v>
          </cell>
          <cell r="J153">
            <v>8638232224</v>
          </cell>
          <cell r="K153">
            <v>62042300</v>
          </cell>
          <cell r="L153" t="str">
            <v>Apparel</v>
          </cell>
          <cell r="M153" t="str">
            <v>INR</v>
          </cell>
          <cell r="N153">
            <v>2419</v>
          </cell>
          <cell r="O153">
            <v>2419</v>
          </cell>
          <cell r="P153">
            <v>0</v>
          </cell>
          <cell r="Q153">
            <v>3750</v>
          </cell>
          <cell r="R153">
            <v>1125</v>
          </cell>
          <cell r="S153" t="str">
            <v>Intra-State</v>
          </cell>
          <cell r="T153">
            <v>12</v>
          </cell>
          <cell r="U153">
            <v>0</v>
          </cell>
          <cell r="V153">
            <v>129.59</v>
          </cell>
          <cell r="W153">
            <v>129.59</v>
          </cell>
          <cell r="X153">
            <v>10.798999999999999</v>
          </cell>
          <cell r="Y153">
            <v>2.16</v>
          </cell>
          <cell r="AA153">
            <v>0</v>
          </cell>
          <cell r="AB153">
            <v>599.428</v>
          </cell>
          <cell r="AC153">
            <v>599.428</v>
          </cell>
          <cell r="AD153">
            <v>612.38699999999994</v>
          </cell>
          <cell r="AE153">
            <v>-132.16</v>
          </cell>
          <cell r="AF153">
            <v>112</v>
          </cell>
          <cell r="AG153">
            <v>0</v>
          </cell>
          <cell r="AH153">
            <v>0</v>
          </cell>
          <cell r="AI153">
            <v>0</v>
          </cell>
          <cell r="AJ153">
            <v>20.16</v>
          </cell>
          <cell r="AK153">
            <v>1</v>
          </cell>
          <cell r="AL153" t="str">
            <v>ZONAL</v>
          </cell>
          <cell r="AM153">
            <v>2625</v>
          </cell>
          <cell r="AN153">
            <v>-1938.7729999999999</v>
          </cell>
          <cell r="AO153">
            <v>-1938.7729999999999</v>
          </cell>
          <cell r="AP153">
            <v>0</v>
          </cell>
          <cell r="AS153">
            <v>0</v>
          </cell>
          <cell r="AT153">
            <v>612.38699999999994</v>
          </cell>
          <cell r="AU153">
            <v>-132.16</v>
          </cell>
          <cell r="AV153">
            <v>-2419</v>
          </cell>
          <cell r="AZ153">
            <v>45916</v>
          </cell>
          <cell r="BA153">
            <v>45916</v>
          </cell>
          <cell r="BB153">
            <v>45916</v>
          </cell>
          <cell r="BF153" t="str">
            <v>NFT-/XUTR/DEUTH02525909403X</v>
          </cell>
          <cell r="BG153" t="str">
            <v>NFT-/XUTR/DEUTH02525909403X</v>
          </cell>
          <cell r="BH153" t="str">
            <v>NFT-/XUTR/DEUTH02525909403X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2159.8200000000002</v>
          </cell>
          <cell r="BP153">
            <v>0</v>
          </cell>
          <cell r="BQ153">
            <v>6</v>
          </cell>
          <cell r="BR153">
            <v>6</v>
          </cell>
          <cell r="BS153">
            <v>0</v>
          </cell>
          <cell r="BT153">
            <v>0</v>
          </cell>
          <cell r="BU153">
            <v>0.25</v>
          </cell>
          <cell r="BV153">
            <v>0.25</v>
          </cell>
          <cell r="BW153">
            <v>0.1</v>
          </cell>
          <cell r="BX153" t="str">
            <v>Tiny Kingdom</v>
          </cell>
          <cell r="BY153" t="str">
            <v>Girls</v>
          </cell>
          <cell r="BZ153" t="str">
            <v>External</v>
          </cell>
          <cell r="CA153" t="str">
            <v>Ethnic Dresses</v>
          </cell>
          <cell r="CB153" t="str">
            <v>ON_HAND</v>
          </cell>
          <cell r="CC153" t="b">
            <v>0</v>
          </cell>
          <cell r="CD153" t="str">
            <v>**********</v>
          </cell>
          <cell r="CE153">
            <v>416013</v>
          </cell>
          <cell r="CF153" t="str">
            <v>27AXUPC8425A1ZH</v>
          </cell>
          <cell r="CH153" t="str">
            <v>29AAECM9636P1ZJ</v>
          </cell>
          <cell r="CI153" t="str">
            <v>Mumbai</v>
          </cell>
          <cell r="CJ153">
            <v>400013</v>
          </cell>
          <cell r="CK153" t="str">
            <v>maharashtra</v>
          </cell>
          <cell r="CL153" t="str">
            <v>MH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W153">
            <v>0</v>
          </cell>
          <cell r="CX153">
            <v>599.428</v>
          </cell>
          <cell r="CY153">
            <v>599.428</v>
          </cell>
          <cell r="CZ153">
            <v>0</v>
          </cell>
          <cell r="DA153">
            <v>0</v>
          </cell>
          <cell r="DB153">
            <v>0</v>
          </cell>
          <cell r="DC153">
            <v>1125</v>
          </cell>
          <cell r="DD153">
            <v>2.1598199999999999</v>
          </cell>
          <cell r="DE153" t="str">
            <v>8ba87360-429b-4cf8-ab31-879aed64e05f</v>
          </cell>
          <cell r="DF153">
            <v>100075000000</v>
          </cell>
          <cell r="DG153">
            <v>0</v>
          </cell>
          <cell r="DH153">
            <v>10.798999999999999</v>
          </cell>
          <cell r="DI153">
            <v>0</v>
          </cell>
          <cell r="DJ153">
            <v>2.16</v>
          </cell>
          <cell r="DK153" t="str">
            <v>BRONZE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 t="str">
            <v>NA</v>
          </cell>
          <cell r="DU153" t="str">
            <v>NA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-1938.7729999999999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 t="str">
            <v>Settled</v>
          </cell>
          <cell r="FH153">
            <v>2625</v>
          </cell>
          <cell r="FI153">
            <v>1938.7729999999999</v>
          </cell>
          <cell r="FJ153">
            <v>612.38699999999994</v>
          </cell>
          <cell r="FK153">
            <v>132.16</v>
          </cell>
        </row>
        <row r="154">
          <cell r="A154">
            <v>8660538231</v>
          </cell>
          <cell r="B154">
            <v>10660462300</v>
          </cell>
          <cell r="C154" t="str">
            <v>return_refund</v>
          </cell>
          <cell r="D154">
            <v>45916.453472222223</v>
          </cell>
          <cell r="E154">
            <v>45911.459027777775</v>
          </cell>
          <cell r="G154" t="str">
            <v>Myntra Designs Pvt Ltd</v>
          </cell>
          <cell r="H154" t="str">
            <v>TNBYDRSS96885041</v>
          </cell>
          <cell r="I154" t="str">
            <v>\I2726TK000002848\""</v>
          </cell>
          <cell r="J154">
            <v>8660538231</v>
          </cell>
          <cell r="K154">
            <v>62042300</v>
          </cell>
          <cell r="L154" t="str">
            <v>Apparel</v>
          </cell>
          <cell r="M154" t="str">
            <v>INR</v>
          </cell>
          <cell r="N154">
            <v>1794</v>
          </cell>
          <cell r="O154">
            <v>0</v>
          </cell>
          <cell r="P154">
            <v>1794</v>
          </cell>
          <cell r="Q154">
            <v>2500</v>
          </cell>
          <cell r="R154">
            <v>500</v>
          </cell>
          <cell r="S154" t="str">
            <v>Intra-State</v>
          </cell>
          <cell r="T154">
            <v>12</v>
          </cell>
          <cell r="U154">
            <v>0</v>
          </cell>
          <cell r="V154">
            <v>96.11</v>
          </cell>
          <cell r="W154">
            <v>96.11</v>
          </cell>
          <cell r="X154">
            <v>8.0090000000000003</v>
          </cell>
          <cell r="Y154">
            <v>1.6020000000000001</v>
          </cell>
          <cell r="AA154">
            <v>0</v>
          </cell>
          <cell r="AB154">
            <v>486.892</v>
          </cell>
          <cell r="AC154">
            <v>486.892</v>
          </cell>
          <cell r="AD154">
            <v>496.50299999999999</v>
          </cell>
          <cell r="AE154">
            <v>-107.38</v>
          </cell>
          <cell r="AF154">
            <v>91</v>
          </cell>
          <cell r="AG154">
            <v>0</v>
          </cell>
          <cell r="AH154">
            <v>0</v>
          </cell>
          <cell r="AI154">
            <v>0</v>
          </cell>
          <cell r="AJ154">
            <v>16.38</v>
          </cell>
          <cell r="AK154">
            <v>1</v>
          </cell>
          <cell r="AL154" t="str">
            <v>LOCAL</v>
          </cell>
          <cell r="AM154">
            <v>2000</v>
          </cell>
          <cell r="AN154">
            <v>-1404.877</v>
          </cell>
          <cell r="AO154">
            <v>-1404.877</v>
          </cell>
          <cell r="AP154">
            <v>0</v>
          </cell>
          <cell r="AQ154">
            <v>496.50299999999999</v>
          </cell>
          <cell r="AR154">
            <v>-107.38</v>
          </cell>
          <cell r="AS154">
            <v>-1794</v>
          </cell>
          <cell r="AV154">
            <v>0</v>
          </cell>
          <cell r="AW154">
            <v>45929</v>
          </cell>
          <cell r="AX154">
            <v>45929</v>
          </cell>
          <cell r="AY154">
            <v>45929</v>
          </cell>
          <cell r="BC154" t="str">
            <v>NFT-/XUTR/DEUTH025272A0RO3X</v>
          </cell>
          <cell r="BD154" t="str">
            <v>NFT-/XUTR/DEUTH025272A0RO3X</v>
          </cell>
          <cell r="BE154" t="str">
            <v>NFT-/XUTR/DEUTH025272A0RO3X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1601.78</v>
          </cell>
          <cell r="BP154">
            <v>0</v>
          </cell>
          <cell r="BQ154">
            <v>6</v>
          </cell>
          <cell r="BR154">
            <v>6</v>
          </cell>
          <cell r="BS154">
            <v>0</v>
          </cell>
          <cell r="BT154">
            <v>0</v>
          </cell>
          <cell r="BU154">
            <v>0.25</v>
          </cell>
          <cell r="BV154">
            <v>0.25</v>
          </cell>
          <cell r="BW154">
            <v>0.1</v>
          </cell>
          <cell r="BX154" t="str">
            <v>Tiny Baby</v>
          </cell>
          <cell r="BY154" t="str">
            <v>Girls</v>
          </cell>
          <cell r="BZ154" t="str">
            <v>External</v>
          </cell>
          <cell r="CA154" t="str">
            <v>Dresses</v>
          </cell>
          <cell r="CB154" t="str">
            <v>ON_HAND</v>
          </cell>
          <cell r="CC154" t="b">
            <v>0</v>
          </cell>
          <cell r="CD154" t="str">
            <v>**********</v>
          </cell>
          <cell r="CE154">
            <v>401107</v>
          </cell>
          <cell r="CF154" t="str">
            <v>27AXUPC8425A1ZH</v>
          </cell>
          <cell r="CH154" t="str">
            <v>29AAECM9636P1ZJ</v>
          </cell>
          <cell r="CI154" t="str">
            <v>Mumbai</v>
          </cell>
          <cell r="CJ154">
            <v>400013</v>
          </cell>
          <cell r="CK154" t="str">
            <v>maharashtra</v>
          </cell>
          <cell r="CL154" t="str">
            <v>MH</v>
          </cell>
          <cell r="CN154">
            <v>0</v>
          </cell>
          <cell r="CO154">
            <v>486.892</v>
          </cell>
          <cell r="CP154">
            <v>486.892</v>
          </cell>
          <cell r="CQ154">
            <v>0</v>
          </cell>
          <cell r="CR154">
            <v>0</v>
          </cell>
          <cell r="CS154">
            <v>0</v>
          </cell>
          <cell r="CT154">
            <v>500</v>
          </cell>
          <cell r="CU154">
            <v>1.60178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E154" t="str">
            <v>f67b6cd9-5dbc-4160-a46c-5b4e421f5d77</v>
          </cell>
          <cell r="DF154">
            <v>100078000000</v>
          </cell>
          <cell r="DG154">
            <v>8.0090000000000003</v>
          </cell>
          <cell r="DH154">
            <v>0</v>
          </cell>
          <cell r="DI154">
            <v>1.6020000000000001</v>
          </cell>
          <cell r="DJ154">
            <v>0</v>
          </cell>
          <cell r="DK154" t="str">
            <v>BRONZE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 t="str">
            <v>NA</v>
          </cell>
          <cell r="DU154" t="str">
            <v>NA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-1404.877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 t="str">
            <v>Settled</v>
          </cell>
          <cell r="FH154">
            <v>2000</v>
          </cell>
          <cell r="FI154">
            <v>1404.877</v>
          </cell>
          <cell r="FJ154">
            <v>496.50299999999999</v>
          </cell>
          <cell r="FK154">
            <v>107.38</v>
          </cell>
        </row>
        <row r="155">
          <cell r="A155">
            <v>8642596173</v>
          </cell>
          <cell r="B155">
            <v>10642520608</v>
          </cell>
          <cell r="C155" t="str">
            <v>return_refund</v>
          </cell>
          <cell r="D155">
            <v>45908.395833333336</v>
          </cell>
          <cell r="E155">
            <v>45901.785416666666</v>
          </cell>
          <cell r="F155">
            <v>44538</v>
          </cell>
          <cell r="G155" t="str">
            <v>Myntra Designs Pvt Ltd</v>
          </cell>
          <cell r="H155" t="str">
            <v>BETYCLST95180958</v>
          </cell>
          <cell r="I155" t="str">
            <v>\I2726TK000002705\""</v>
          </cell>
          <cell r="J155">
            <v>8642596173</v>
          </cell>
          <cell r="K155">
            <v>62042300</v>
          </cell>
          <cell r="L155" t="str">
            <v>Apparel</v>
          </cell>
          <cell r="M155" t="str">
            <v>INR</v>
          </cell>
          <cell r="N155">
            <v>3644</v>
          </cell>
          <cell r="O155">
            <v>3644</v>
          </cell>
          <cell r="P155">
            <v>0</v>
          </cell>
          <cell r="Q155">
            <v>5500</v>
          </cell>
          <cell r="R155">
            <v>1650</v>
          </cell>
          <cell r="S155" t="str">
            <v>Intra-State</v>
          </cell>
          <cell r="T155">
            <v>12</v>
          </cell>
          <cell r="U155">
            <v>0</v>
          </cell>
          <cell r="V155">
            <v>195.21</v>
          </cell>
          <cell r="W155">
            <v>195.21</v>
          </cell>
          <cell r="X155">
            <v>16.268000000000001</v>
          </cell>
          <cell r="Y155">
            <v>3.254</v>
          </cell>
          <cell r="AA155">
            <v>0</v>
          </cell>
          <cell r="AB155">
            <v>1117.979</v>
          </cell>
          <cell r="AC155">
            <v>1117.979</v>
          </cell>
          <cell r="AD155">
            <v>1137.501</v>
          </cell>
          <cell r="AE155">
            <v>-107.38</v>
          </cell>
          <cell r="AF155">
            <v>91</v>
          </cell>
          <cell r="AG155">
            <v>0</v>
          </cell>
          <cell r="AH155">
            <v>0</v>
          </cell>
          <cell r="AI155">
            <v>0</v>
          </cell>
          <cell r="AJ155">
            <v>16.38</v>
          </cell>
          <cell r="AK155">
            <v>1</v>
          </cell>
          <cell r="AL155" t="str">
            <v>LOCAL</v>
          </cell>
          <cell r="AM155">
            <v>3850</v>
          </cell>
          <cell r="AN155">
            <v>-2613.8789999999999</v>
          </cell>
          <cell r="AO155">
            <v>-2613.8789999999999</v>
          </cell>
          <cell r="AP155">
            <v>0</v>
          </cell>
          <cell r="AS155">
            <v>0</v>
          </cell>
          <cell r="AT155">
            <v>1137.501</v>
          </cell>
          <cell r="AU155">
            <v>-107.38</v>
          </cell>
          <cell r="AV155">
            <v>-3644</v>
          </cell>
          <cell r="AZ155">
            <v>45918</v>
          </cell>
          <cell r="BA155">
            <v>45918</v>
          </cell>
          <cell r="BB155">
            <v>45918</v>
          </cell>
          <cell r="BF155" t="str">
            <v>NFT-/XUTR/DEUTH02526119796X</v>
          </cell>
          <cell r="BG155" t="str">
            <v>NFT-/XUTR/DEUTH02526119796X</v>
          </cell>
          <cell r="BH155" t="str">
            <v>NFT-/XUTR/DEUTH02526119796X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3253.58</v>
          </cell>
          <cell r="BP155">
            <v>0</v>
          </cell>
          <cell r="BQ155">
            <v>6</v>
          </cell>
          <cell r="BR155">
            <v>6</v>
          </cell>
          <cell r="BS155">
            <v>0</v>
          </cell>
          <cell r="BT155">
            <v>0</v>
          </cell>
          <cell r="BU155">
            <v>0.25</v>
          </cell>
          <cell r="BV155">
            <v>0.25</v>
          </cell>
          <cell r="BW155">
            <v>0.1</v>
          </cell>
          <cell r="BX155" t="str">
            <v>BETTY</v>
          </cell>
          <cell r="BY155" t="str">
            <v>Girls</v>
          </cell>
          <cell r="BZ155" t="str">
            <v>External</v>
          </cell>
          <cell r="CA155" t="str">
            <v>Kurta Sets</v>
          </cell>
          <cell r="CB155" t="str">
            <v>ON_HAND</v>
          </cell>
          <cell r="CC155" t="b">
            <v>0</v>
          </cell>
          <cell r="CD155" t="str">
            <v>**********</v>
          </cell>
          <cell r="CE155">
            <v>400068</v>
          </cell>
          <cell r="CF155" t="str">
            <v>27AXUPC8425A1ZH</v>
          </cell>
          <cell r="CH155" t="str">
            <v>29AAECM9636P1ZJ</v>
          </cell>
          <cell r="CI155" t="str">
            <v>Mumbai</v>
          </cell>
          <cell r="CJ155">
            <v>400013</v>
          </cell>
          <cell r="CK155" t="str">
            <v>maharashtra</v>
          </cell>
          <cell r="CL155" t="str">
            <v>MH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W155">
            <v>0</v>
          </cell>
          <cell r="CX155">
            <v>1117.979</v>
          </cell>
          <cell r="CY155">
            <v>1117.979</v>
          </cell>
          <cell r="CZ155">
            <v>0</v>
          </cell>
          <cell r="DA155">
            <v>0</v>
          </cell>
          <cell r="DB155">
            <v>0</v>
          </cell>
          <cell r="DC155">
            <v>1650</v>
          </cell>
          <cell r="DD155">
            <v>3.2535799999999999</v>
          </cell>
          <cell r="DE155" t="str">
            <v>3bcd7be9-5341-490c-a68a-9a020eb45725</v>
          </cell>
          <cell r="DF155">
            <v>100076000000</v>
          </cell>
          <cell r="DG155">
            <v>0</v>
          </cell>
          <cell r="DH155">
            <v>16.268000000000001</v>
          </cell>
          <cell r="DI155">
            <v>0</v>
          </cell>
          <cell r="DJ155">
            <v>3.254</v>
          </cell>
          <cell r="DK155" t="str">
            <v>BRONZE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 t="str">
            <v>NA</v>
          </cell>
          <cell r="DU155" t="str">
            <v>NA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-2613.8789999999999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 t="str">
            <v>Settled</v>
          </cell>
          <cell r="FH155">
            <v>3850</v>
          </cell>
          <cell r="FI155">
            <v>2613.8789999999999</v>
          </cell>
          <cell r="FJ155">
            <v>1137.501</v>
          </cell>
          <cell r="FK155">
            <v>107.38</v>
          </cell>
        </row>
        <row r="156">
          <cell r="A156">
            <v>8616771946</v>
          </cell>
          <cell r="B156">
            <v>10616697293</v>
          </cell>
          <cell r="C156" t="str">
            <v>return_refund</v>
          </cell>
          <cell r="D156">
            <v>45904.260416666664</v>
          </cell>
          <cell r="E156">
            <v>45883.796527777777</v>
          </cell>
          <cell r="F156">
            <v>44521</v>
          </cell>
          <cell r="G156" t="str">
            <v>Myntra Designs Pvt Ltd</v>
          </cell>
          <cell r="H156" t="str">
            <v>BETYLHNC106823507</v>
          </cell>
          <cell r="I156" t="str">
            <v>\I2726TK000002434\""</v>
          </cell>
          <cell r="J156">
            <v>9754881128</v>
          </cell>
          <cell r="K156">
            <v>62042300</v>
          </cell>
          <cell r="L156" t="str">
            <v>Apparel</v>
          </cell>
          <cell r="M156" t="str">
            <v>INR</v>
          </cell>
          <cell r="N156">
            <v>4294</v>
          </cell>
          <cell r="O156">
            <v>4286.9620000000004</v>
          </cell>
          <cell r="P156">
            <v>7.0279999999999996</v>
          </cell>
          <cell r="Q156">
            <v>6000</v>
          </cell>
          <cell r="R156">
            <v>1500</v>
          </cell>
          <cell r="S156" t="str">
            <v>Inter-State</v>
          </cell>
          <cell r="T156">
            <v>12</v>
          </cell>
          <cell r="U156">
            <v>460.07</v>
          </cell>
          <cell r="V156">
            <v>0</v>
          </cell>
          <cell r="W156">
            <v>0</v>
          </cell>
          <cell r="X156">
            <v>19.169</v>
          </cell>
          <cell r="Y156">
            <v>3.8340000000000001</v>
          </cell>
          <cell r="AA156">
            <v>0</v>
          </cell>
          <cell r="AB156">
            <v>1317.393</v>
          </cell>
          <cell r="AC156">
            <v>1317.393</v>
          </cell>
          <cell r="AD156">
            <v>1340.396</v>
          </cell>
          <cell r="AE156">
            <v>-197.06</v>
          </cell>
          <cell r="AF156">
            <v>167</v>
          </cell>
          <cell r="AG156">
            <v>0</v>
          </cell>
          <cell r="AH156">
            <v>0</v>
          </cell>
          <cell r="AI156">
            <v>0</v>
          </cell>
          <cell r="AJ156">
            <v>30.06</v>
          </cell>
          <cell r="AK156">
            <v>1</v>
          </cell>
          <cell r="AL156" t="str">
            <v>NATIONAL</v>
          </cell>
          <cell r="AM156">
            <v>4500</v>
          </cell>
          <cell r="AN156">
            <v>-3150.6439999999998</v>
          </cell>
          <cell r="AO156">
            <v>-3150.6439999999998</v>
          </cell>
          <cell r="AP156">
            <v>0</v>
          </cell>
          <cell r="AQ156">
            <v>2.1930000000000001</v>
          </cell>
          <cell r="AR156">
            <v>-0.32213999999999998</v>
          </cell>
          <cell r="AS156">
            <v>-7.0279999999999996</v>
          </cell>
          <cell r="AT156">
            <v>1338.203</v>
          </cell>
          <cell r="AU156">
            <v>-196.73786000000001</v>
          </cell>
          <cell r="AV156">
            <v>-4286.9520000000002</v>
          </cell>
          <cell r="AW156">
            <v>45908</v>
          </cell>
          <cell r="AX156">
            <v>45908</v>
          </cell>
          <cell r="AY156">
            <v>45908</v>
          </cell>
          <cell r="AZ156">
            <v>45908</v>
          </cell>
          <cell r="BA156">
            <v>45908</v>
          </cell>
          <cell r="BB156">
            <v>45908</v>
          </cell>
          <cell r="BC156" t="str">
            <v>NFT-/XUTR/DEUTH025251A0L0JX</v>
          </cell>
          <cell r="BD156" t="str">
            <v>NFT-/XUTR/DEUTH025251A0L0JX</v>
          </cell>
          <cell r="BE156" t="str">
            <v>NFT-/XUTR/DEUTH025251A0L0JX</v>
          </cell>
          <cell r="BF156" t="str">
            <v>NFT-/XUTR/DEUTH025251A0HB7X</v>
          </cell>
          <cell r="BG156" t="str">
            <v>NFT-/XUTR/DEUTH025251A0HB7X</v>
          </cell>
          <cell r="BH156" t="str">
            <v>NFT-/XUTR/DEUTH025251A0HB7X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3833.93</v>
          </cell>
          <cell r="BP156">
            <v>12</v>
          </cell>
          <cell r="BQ156">
            <v>0</v>
          </cell>
          <cell r="BR156">
            <v>0</v>
          </cell>
          <cell r="BS156">
            <v>0</v>
          </cell>
          <cell r="BT156">
            <v>0.5</v>
          </cell>
          <cell r="BU156">
            <v>0</v>
          </cell>
          <cell r="BV156">
            <v>0</v>
          </cell>
          <cell r="BW156">
            <v>0.1</v>
          </cell>
          <cell r="BX156" t="str">
            <v>BETTY</v>
          </cell>
          <cell r="BY156" t="str">
            <v>Girls</v>
          </cell>
          <cell r="BZ156" t="str">
            <v>External</v>
          </cell>
          <cell r="CA156" t="str">
            <v>Lehenga Choli</v>
          </cell>
          <cell r="CB156" t="str">
            <v>ON_HAND</v>
          </cell>
          <cell r="CC156" t="b">
            <v>0</v>
          </cell>
          <cell r="CD156" t="str">
            <v>**********</v>
          </cell>
          <cell r="CE156">
            <v>110003</v>
          </cell>
          <cell r="CF156" t="str">
            <v>27AXUPC8425A1ZH</v>
          </cell>
          <cell r="CH156" t="str">
            <v>29AAECM9636P1ZJ</v>
          </cell>
          <cell r="CI156" t="str">
            <v>Mumbai</v>
          </cell>
          <cell r="CJ156">
            <v>400013</v>
          </cell>
          <cell r="CK156" t="str">
            <v>maharashtra</v>
          </cell>
          <cell r="CL156" t="str">
            <v>MH</v>
          </cell>
          <cell r="CN156">
            <v>0</v>
          </cell>
          <cell r="CO156">
            <v>2.1560000000000001</v>
          </cell>
          <cell r="CP156">
            <v>2.1560000000000001</v>
          </cell>
          <cell r="CQ156">
            <v>0</v>
          </cell>
          <cell r="CR156">
            <v>0</v>
          </cell>
          <cell r="CS156">
            <v>0</v>
          </cell>
          <cell r="CT156">
            <v>1500</v>
          </cell>
          <cell r="CU156">
            <v>3.8339300000000001</v>
          </cell>
          <cell r="CW156">
            <v>0</v>
          </cell>
          <cell r="CX156">
            <v>1315.2370000000001</v>
          </cell>
          <cell r="CY156">
            <v>1315.2370000000001</v>
          </cell>
          <cell r="CZ156">
            <v>0</v>
          </cell>
          <cell r="DA156">
            <v>0</v>
          </cell>
          <cell r="DB156">
            <v>0</v>
          </cell>
          <cell r="DC156">
            <v>1500</v>
          </cell>
          <cell r="DD156">
            <v>3.8339300000000001</v>
          </cell>
          <cell r="DE156" t="str">
            <v>9f44df44-a84a-41ab-a8ca-374547c8ac3b</v>
          </cell>
          <cell r="DF156">
            <v>100072000000</v>
          </cell>
          <cell r="DG156">
            <v>3.1E-2</v>
          </cell>
          <cell r="DH156">
            <v>19.138000000000002</v>
          </cell>
          <cell r="DI156">
            <v>6.0000000000000001E-3</v>
          </cell>
          <cell r="DJ156">
            <v>3.8279999999999998</v>
          </cell>
          <cell r="DK156" t="str">
            <v>BRONZE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 t="str">
            <v>NA</v>
          </cell>
          <cell r="DU156" t="str">
            <v>NA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-3150.6439999999998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0</v>
          </cell>
          <cell r="EQ156">
            <v>0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 t="str">
            <v>Settled</v>
          </cell>
          <cell r="FH156">
            <v>4500</v>
          </cell>
          <cell r="FI156">
            <v>3150.6439999999998</v>
          </cell>
          <cell r="FJ156">
            <v>1340.396</v>
          </cell>
          <cell r="FK156">
            <v>197.06</v>
          </cell>
        </row>
        <row r="157">
          <cell r="A157">
            <v>8656088933</v>
          </cell>
          <cell r="B157">
            <v>10656013073</v>
          </cell>
          <cell r="C157" t="str">
            <v>return_refund</v>
          </cell>
          <cell r="D157">
            <v>45916.631249999999</v>
          </cell>
          <cell r="E157">
            <v>45908.788194444445</v>
          </cell>
          <cell r="G157" t="str">
            <v>Myntra Designs Pvt Ltd</v>
          </cell>
          <cell r="H157" t="str">
            <v>TIKICLST103607751</v>
          </cell>
          <cell r="I157" t="str">
            <v>\I2726TK000002815\""</v>
          </cell>
          <cell r="J157">
            <v>8656088933</v>
          </cell>
          <cell r="K157">
            <v>62042300</v>
          </cell>
          <cell r="L157" t="str">
            <v>Apparel</v>
          </cell>
          <cell r="M157" t="str">
            <v>INR</v>
          </cell>
          <cell r="N157">
            <v>3169</v>
          </cell>
          <cell r="O157">
            <v>0</v>
          </cell>
          <cell r="P157">
            <v>3169</v>
          </cell>
          <cell r="Q157">
            <v>4500</v>
          </cell>
          <cell r="R157">
            <v>1125</v>
          </cell>
          <cell r="S157" t="str">
            <v>Inter-State</v>
          </cell>
          <cell r="T157">
            <v>12</v>
          </cell>
          <cell r="U157">
            <v>339.54</v>
          </cell>
          <cell r="V157">
            <v>0</v>
          </cell>
          <cell r="W157">
            <v>0</v>
          </cell>
          <cell r="X157">
            <v>14.147</v>
          </cell>
          <cell r="Y157">
            <v>2.8290000000000002</v>
          </cell>
          <cell r="AA157">
            <v>0</v>
          </cell>
          <cell r="AB157">
            <v>822.67200000000003</v>
          </cell>
          <cell r="AC157">
            <v>822.67200000000003</v>
          </cell>
          <cell r="AD157">
            <v>839.64800000000002</v>
          </cell>
          <cell r="AE157">
            <v>-197.06</v>
          </cell>
          <cell r="AF157">
            <v>167</v>
          </cell>
          <cell r="AG157">
            <v>0</v>
          </cell>
          <cell r="AH157">
            <v>0</v>
          </cell>
          <cell r="AI157">
            <v>0</v>
          </cell>
          <cell r="AJ157">
            <v>30.06</v>
          </cell>
          <cell r="AK157">
            <v>1</v>
          </cell>
          <cell r="AL157" t="str">
            <v>NATIONAL</v>
          </cell>
          <cell r="AM157">
            <v>3375</v>
          </cell>
          <cell r="AN157">
            <v>-2526.4119999999998</v>
          </cell>
          <cell r="AO157">
            <v>-2526.4119999999998</v>
          </cell>
          <cell r="AP157">
            <v>0</v>
          </cell>
          <cell r="AQ157">
            <v>839.64800000000002</v>
          </cell>
          <cell r="AR157">
            <v>-197.06</v>
          </cell>
          <cell r="AS157">
            <v>-3169</v>
          </cell>
          <cell r="AV157">
            <v>0</v>
          </cell>
          <cell r="AW157">
            <v>45929</v>
          </cell>
          <cell r="AX157">
            <v>45929</v>
          </cell>
          <cell r="AY157">
            <v>45929</v>
          </cell>
          <cell r="BC157" t="str">
            <v>NFT-/XUTR/DEUTH025272A0RO3X</v>
          </cell>
          <cell r="BD157" t="str">
            <v>NFT-/XUTR/DEUTH025272A0RO3X</v>
          </cell>
          <cell r="BE157" t="str">
            <v>NFT-/XUTR/DEUTH025272A0RO3X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2829.46</v>
          </cell>
          <cell r="BP157">
            <v>12</v>
          </cell>
          <cell r="BQ157">
            <v>0</v>
          </cell>
          <cell r="BR157">
            <v>0</v>
          </cell>
          <cell r="BS157">
            <v>0</v>
          </cell>
          <cell r="BT157">
            <v>0.5</v>
          </cell>
          <cell r="BU157">
            <v>0</v>
          </cell>
          <cell r="BV157">
            <v>0</v>
          </cell>
          <cell r="BW157">
            <v>0.1</v>
          </cell>
          <cell r="BX157" t="str">
            <v>Tiny Kingdom</v>
          </cell>
          <cell r="BY157" t="str">
            <v>Girls</v>
          </cell>
          <cell r="BZ157" t="str">
            <v>External</v>
          </cell>
          <cell r="CA157" t="str">
            <v>Kurta Sets</v>
          </cell>
          <cell r="CB157" t="str">
            <v>ON_HAND</v>
          </cell>
          <cell r="CC157" t="b">
            <v>0</v>
          </cell>
          <cell r="CD157" t="str">
            <v>**********</v>
          </cell>
          <cell r="CE157">
            <v>831005</v>
          </cell>
          <cell r="CF157" t="str">
            <v>27AXUPC8425A1ZH</v>
          </cell>
          <cell r="CH157" t="str">
            <v>29AAECM9636P1ZJ</v>
          </cell>
          <cell r="CI157" t="str">
            <v>Mumbai</v>
          </cell>
          <cell r="CJ157">
            <v>400013</v>
          </cell>
          <cell r="CK157" t="str">
            <v>maharashtra</v>
          </cell>
          <cell r="CL157" t="str">
            <v>MH</v>
          </cell>
          <cell r="CN157">
            <v>0</v>
          </cell>
          <cell r="CO157">
            <v>822.67200000000003</v>
          </cell>
          <cell r="CP157">
            <v>822.67200000000003</v>
          </cell>
          <cell r="CQ157">
            <v>0</v>
          </cell>
          <cell r="CR157">
            <v>0</v>
          </cell>
          <cell r="CS157">
            <v>0</v>
          </cell>
          <cell r="CT157">
            <v>1125</v>
          </cell>
          <cell r="CU157">
            <v>2.8294600000000001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E157" t="str">
            <v>c815c2d6-5257-472f-9be3-7ddae3771415</v>
          </cell>
          <cell r="DF157">
            <v>100078000000</v>
          </cell>
          <cell r="DG157">
            <v>14.147</v>
          </cell>
          <cell r="DH157">
            <v>0</v>
          </cell>
          <cell r="DI157">
            <v>2.8290000000000002</v>
          </cell>
          <cell r="DJ157">
            <v>0</v>
          </cell>
          <cell r="DK157" t="str">
            <v>BRONZE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 t="str">
            <v>NA</v>
          </cell>
          <cell r="DU157" t="str">
            <v>NA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EB157">
            <v>0</v>
          </cell>
          <cell r="EC157">
            <v>0</v>
          </cell>
          <cell r="ED157">
            <v>0</v>
          </cell>
          <cell r="EE157">
            <v>0</v>
          </cell>
          <cell r="EF157">
            <v>0</v>
          </cell>
          <cell r="EG157">
            <v>0</v>
          </cell>
          <cell r="EH157">
            <v>0</v>
          </cell>
          <cell r="EI157">
            <v>0</v>
          </cell>
          <cell r="EJ157">
            <v>0</v>
          </cell>
          <cell r="EK157">
            <v>0</v>
          </cell>
          <cell r="EL157">
            <v>0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-2526.4119999999998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 t="str">
            <v>Settled</v>
          </cell>
          <cell r="FH157">
            <v>3375</v>
          </cell>
          <cell r="FI157">
            <v>2526.4119999999998</v>
          </cell>
          <cell r="FJ157">
            <v>839.64800000000002</v>
          </cell>
          <cell r="FK157">
            <v>197.06</v>
          </cell>
        </row>
        <row r="158">
          <cell r="A158">
            <v>8603426729</v>
          </cell>
          <cell r="B158">
            <v>10603352673</v>
          </cell>
          <cell r="C158" t="str">
            <v>return_refund</v>
          </cell>
          <cell r="D158">
            <v>45890.463194444441</v>
          </cell>
          <cell r="E158">
            <v>45875.537499999999</v>
          </cell>
          <cell r="G158" t="str">
            <v>Myntra Designs Pvt Ltd</v>
          </cell>
          <cell r="H158" t="str">
            <v>TIKICLST98837570</v>
          </cell>
          <cell r="I158" t="str">
            <v>\I2726TK000002291\""</v>
          </cell>
          <cell r="J158">
            <v>8603426729</v>
          </cell>
          <cell r="K158">
            <v>62042300</v>
          </cell>
          <cell r="L158" t="str">
            <v>Apparel</v>
          </cell>
          <cell r="M158" t="str">
            <v>INR</v>
          </cell>
          <cell r="N158">
            <v>1204</v>
          </cell>
          <cell r="O158">
            <v>314.05700000000002</v>
          </cell>
          <cell r="P158">
            <v>889.94299999999998</v>
          </cell>
          <cell r="Q158">
            <v>2750</v>
          </cell>
          <cell r="R158">
            <v>1375</v>
          </cell>
          <cell r="S158" t="str">
            <v>Inter-State</v>
          </cell>
          <cell r="T158">
            <v>12</v>
          </cell>
          <cell r="U158">
            <v>129</v>
          </cell>
          <cell r="V158">
            <v>0</v>
          </cell>
          <cell r="W158">
            <v>0</v>
          </cell>
          <cell r="X158">
            <v>5.375</v>
          </cell>
          <cell r="Y158">
            <v>1.075</v>
          </cell>
          <cell r="AA158">
            <v>0</v>
          </cell>
          <cell r="AB158">
            <v>312.55799999999999</v>
          </cell>
          <cell r="AC158">
            <v>312.55799999999999</v>
          </cell>
          <cell r="AD158">
            <v>319.00799999999998</v>
          </cell>
          <cell r="AE158">
            <v>-197.06</v>
          </cell>
          <cell r="AF158">
            <v>167</v>
          </cell>
          <cell r="AG158">
            <v>0</v>
          </cell>
          <cell r="AH158">
            <v>0</v>
          </cell>
          <cell r="AI158">
            <v>0</v>
          </cell>
          <cell r="AJ158">
            <v>30.06</v>
          </cell>
          <cell r="AK158">
            <v>1</v>
          </cell>
          <cell r="AL158" t="str">
            <v>NATIONAL</v>
          </cell>
          <cell r="AM158">
            <v>1375</v>
          </cell>
          <cell r="AN158">
            <v>-1082.0519999999999</v>
          </cell>
          <cell r="AO158">
            <v>-1082.0519999999999</v>
          </cell>
          <cell r="AP158">
            <v>0</v>
          </cell>
          <cell r="AQ158">
            <v>235.797</v>
          </cell>
          <cell r="AR158">
            <v>-145.65801999999999</v>
          </cell>
          <cell r="AS158">
            <v>-889.94299999999998</v>
          </cell>
          <cell r="AT158">
            <v>83.210999999999999</v>
          </cell>
          <cell r="AU158">
            <v>-51.401980000000002</v>
          </cell>
          <cell r="AV158">
            <v>-314.05700000000002</v>
          </cell>
          <cell r="AW158">
            <v>45901</v>
          </cell>
          <cell r="AX158">
            <v>45901</v>
          </cell>
          <cell r="AY158">
            <v>45901</v>
          </cell>
          <cell r="AZ158">
            <v>45901</v>
          </cell>
          <cell r="BA158">
            <v>45901</v>
          </cell>
          <cell r="BB158">
            <v>45901</v>
          </cell>
          <cell r="BC158" t="str">
            <v>NFT-/XUTR/DEUTH025244A0LW1X</v>
          </cell>
          <cell r="BD158" t="str">
            <v>NFT-/XUTR/DEUTH025244A0LW1X</v>
          </cell>
          <cell r="BE158" t="str">
            <v>NFT-/XUTR/DEUTH025244A0LW1X</v>
          </cell>
          <cell r="BF158" t="str">
            <v>NFT-/XUTR/DEUTH025244A0H8LX</v>
          </cell>
          <cell r="BG158" t="str">
            <v>NFT-/XUTR/DEUTH025244A0H8LX</v>
          </cell>
          <cell r="BH158" t="str">
            <v>NFT-/XUTR/DEUTH025244A0H8LX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275</v>
          </cell>
          <cell r="BN158">
            <v>0</v>
          </cell>
          <cell r="BO158">
            <v>1075</v>
          </cell>
          <cell r="BP158">
            <v>12</v>
          </cell>
          <cell r="BQ158">
            <v>0</v>
          </cell>
          <cell r="BR158">
            <v>0</v>
          </cell>
          <cell r="BS158">
            <v>0</v>
          </cell>
          <cell r="BT158">
            <v>0.5</v>
          </cell>
          <cell r="BU158">
            <v>0</v>
          </cell>
          <cell r="BV158">
            <v>0</v>
          </cell>
          <cell r="BW158">
            <v>0.1</v>
          </cell>
          <cell r="BX158" t="str">
            <v>Tiny Kingdom</v>
          </cell>
          <cell r="BY158" t="str">
            <v>Girls</v>
          </cell>
          <cell r="BZ158" t="str">
            <v>External</v>
          </cell>
          <cell r="CA158" t="str">
            <v>Clothing Set</v>
          </cell>
          <cell r="CB158" t="str">
            <v>ON_HAND</v>
          </cell>
          <cell r="CC158" t="b">
            <v>0</v>
          </cell>
          <cell r="CD158" t="str">
            <v>**********</v>
          </cell>
          <cell r="CE158">
            <v>122001</v>
          </cell>
          <cell r="CF158" t="str">
            <v>27AXUPC8425A1ZH</v>
          </cell>
          <cell r="CH158" t="str">
            <v>29AAECM9636P1ZJ</v>
          </cell>
          <cell r="CI158" t="str">
            <v>Mumbai</v>
          </cell>
          <cell r="CJ158">
            <v>400013</v>
          </cell>
          <cell r="CK158" t="str">
            <v>maharashtra</v>
          </cell>
          <cell r="CL158" t="str">
            <v>MH</v>
          </cell>
          <cell r="CN158">
            <v>0</v>
          </cell>
          <cell r="CO158">
            <v>231.029</v>
          </cell>
          <cell r="CP158">
            <v>231.029</v>
          </cell>
          <cell r="CQ158">
            <v>0</v>
          </cell>
          <cell r="CR158">
            <v>0</v>
          </cell>
          <cell r="CS158">
            <v>0</v>
          </cell>
          <cell r="CT158">
            <v>1375</v>
          </cell>
          <cell r="CU158">
            <v>1.075</v>
          </cell>
          <cell r="CW158">
            <v>0</v>
          </cell>
          <cell r="CX158">
            <v>81.528999999999996</v>
          </cell>
          <cell r="CY158">
            <v>81.528999999999996</v>
          </cell>
          <cell r="CZ158">
            <v>0</v>
          </cell>
          <cell r="DA158">
            <v>0</v>
          </cell>
          <cell r="DB158">
            <v>0</v>
          </cell>
          <cell r="DC158">
            <v>1375</v>
          </cell>
          <cell r="DD158">
            <v>1.075</v>
          </cell>
          <cell r="DE158" t="str">
            <v>66803b7d-4e8c-4967-a12b-0c1306c46d02</v>
          </cell>
          <cell r="DF158">
            <v>100071000000</v>
          </cell>
          <cell r="DG158">
            <v>3.9729999999999999</v>
          </cell>
          <cell r="DH158">
            <v>1.4019999999999999</v>
          </cell>
          <cell r="DI158">
            <v>0.79500000000000004</v>
          </cell>
          <cell r="DJ158">
            <v>0.28000000000000003</v>
          </cell>
          <cell r="DK158" t="str">
            <v>BRONZE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 t="str">
            <v>NA</v>
          </cell>
          <cell r="DU158" t="str">
            <v>NA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EB158">
            <v>-1082.0519999999999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 t="str">
            <v>Settled</v>
          </cell>
          <cell r="FH158">
            <v>1375</v>
          </cell>
          <cell r="FI158">
            <v>1082.0519999999999</v>
          </cell>
          <cell r="FJ158">
            <v>319.00799999999998</v>
          </cell>
          <cell r="FK158">
            <v>197.06</v>
          </cell>
        </row>
        <row r="159">
          <cell r="A159">
            <v>8612739940</v>
          </cell>
          <cell r="B159">
            <v>10612665549</v>
          </cell>
          <cell r="C159" t="str">
            <v>return_refund</v>
          </cell>
          <cell r="D159">
            <v>45887.493055555555</v>
          </cell>
          <cell r="E159">
            <v>45881.472222222219</v>
          </cell>
          <cell r="G159" t="str">
            <v>Myntra Designs Pvt Ltd</v>
          </cell>
          <cell r="H159" t="str">
            <v>TIKILHNC115963229</v>
          </cell>
          <cell r="I159" t="str">
            <v>\I2726TK000002394\""</v>
          </cell>
          <cell r="J159">
            <v>8612739940</v>
          </cell>
          <cell r="K159">
            <v>62042300</v>
          </cell>
          <cell r="L159" t="str">
            <v>Apparel</v>
          </cell>
          <cell r="M159" t="str">
            <v>INR</v>
          </cell>
          <cell r="N159">
            <v>4544</v>
          </cell>
          <cell r="O159">
            <v>0</v>
          </cell>
          <cell r="P159">
            <v>4544</v>
          </cell>
          <cell r="Q159">
            <v>4750</v>
          </cell>
          <cell r="R159">
            <v>0</v>
          </cell>
          <cell r="S159" t="str">
            <v>Inter-State</v>
          </cell>
          <cell r="T159">
            <v>12</v>
          </cell>
          <cell r="U159">
            <v>486.86</v>
          </cell>
          <cell r="V159">
            <v>0</v>
          </cell>
          <cell r="W159">
            <v>0</v>
          </cell>
          <cell r="X159">
            <v>20.286000000000001</v>
          </cell>
          <cell r="Y159">
            <v>4.0570000000000004</v>
          </cell>
          <cell r="AA159">
            <v>0</v>
          </cell>
          <cell r="AB159">
            <v>1126.0029999999999</v>
          </cell>
          <cell r="AC159">
            <v>1126.0029999999999</v>
          </cell>
          <cell r="AD159">
            <v>1150.346</v>
          </cell>
          <cell r="AE159">
            <v>-197.06</v>
          </cell>
          <cell r="AF159">
            <v>167</v>
          </cell>
          <cell r="AG159">
            <v>0</v>
          </cell>
          <cell r="AH159">
            <v>0</v>
          </cell>
          <cell r="AI159">
            <v>0</v>
          </cell>
          <cell r="AJ159">
            <v>30.06</v>
          </cell>
          <cell r="AK159">
            <v>1</v>
          </cell>
          <cell r="AL159" t="str">
            <v>NATIONAL</v>
          </cell>
          <cell r="AM159">
            <v>4750</v>
          </cell>
          <cell r="AN159">
            <v>-3590.7139999999999</v>
          </cell>
          <cell r="AO159">
            <v>-3590.7139999999999</v>
          </cell>
          <cell r="AP159">
            <v>0</v>
          </cell>
          <cell r="AQ159">
            <v>1150.346</v>
          </cell>
          <cell r="AR159">
            <v>-197.06</v>
          </cell>
          <cell r="AS159">
            <v>-4544</v>
          </cell>
          <cell r="AV159">
            <v>0</v>
          </cell>
          <cell r="AW159">
            <v>45901</v>
          </cell>
          <cell r="AX159">
            <v>45901</v>
          </cell>
          <cell r="AY159">
            <v>45901</v>
          </cell>
          <cell r="BC159" t="str">
            <v>NFT-/XUTR/DEUTH025244A0LW1X</v>
          </cell>
          <cell r="BD159" t="str">
            <v>NFT-/XUTR/DEUTH025244A0LW1X</v>
          </cell>
          <cell r="BE159" t="str">
            <v>NFT-/XUTR/DEUTH025244A0LW1X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4057.14</v>
          </cell>
          <cell r="BP159">
            <v>12</v>
          </cell>
          <cell r="BQ159">
            <v>0</v>
          </cell>
          <cell r="BR159">
            <v>0</v>
          </cell>
          <cell r="BS159">
            <v>0</v>
          </cell>
          <cell r="BT159">
            <v>0.5</v>
          </cell>
          <cell r="BU159">
            <v>0</v>
          </cell>
          <cell r="BV159">
            <v>0</v>
          </cell>
          <cell r="BW159">
            <v>0.1</v>
          </cell>
          <cell r="BX159" t="str">
            <v>Tiny Kingdom</v>
          </cell>
          <cell r="BY159" t="str">
            <v>Girls</v>
          </cell>
          <cell r="BZ159" t="str">
            <v>External</v>
          </cell>
          <cell r="CA159" t="str">
            <v>Lehenga Choli</v>
          </cell>
          <cell r="CB159" t="str">
            <v>ON_HAND</v>
          </cell>
          <cell r="CC159" t="b">
            <v>0</v>
          </cell>
          <cell r="CD159" t="str">
            <v>**********</v>
          </cell>
          <cell r="CE159">
            <v>695011</v>
          </cell>
          <cell r="CF159" t="str">
            <v>27AXUPC8425A1ZH</v>
          </cell>
          <cell r="CH159" t="str">
            <v>29AAECM9636P1ZJ</v>
          </cell>
          <cell r="CI159" t="str">
            <v>Mumbai</v>
          </cell>
          <cell r="CJ159">
            <v>400013</v>
          </cell>
          <cell r="CK159" t="str">
            <v>maharashtra</v>
          </cell>
          <cell r="CL159" t="str">
            <v>MH</v>
          </cell>
          <cell r="CN159">
            <v>0</v>
          </cell>
          <cell r="CO159">
            <v>1126.0029999999999</v>
          </cell>
          <cell r="CP159">
            <v>1126.0029999999999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4.0571400000000004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E159" t="str">
            <v>125672be-eb74-4ce7-a3b4-2652d5f3a45b</v>
          </cell>
          <cell r="DF159">
            <v>100071000000</v>
          </cell>
          <cell r="DG159">
            <v>20.286000000000001</v>
          </cell>
          <cell r="DH159">
            <v>0</v>
          </cell>
          <cell r="DI159">
            <v>4.0570000000000004</v>
          </cell>
          <cell r="DJ159">
            <v>0</v>
          </cell>
          <cell r="DK159" t="str">
            <v>BRONZE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 t="str">
            <v>NA</v>
          </cell>
          <cell r="DU159" t="str">
            <v>NA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EB159">
            <v>-3590.7139999999999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 t="str">
            <v>Settled</v>
          </cell>
          <cell r="FH159">
            <v>4750</v>
          </cell>
          <cell r="FI159">
            <v>3590.7139999999999</v>
          </cell>
          <cell r="FJ159">
            <v>1150.346</v>
          </cell>
          <cell r="FK159">
            <v>197.06</v>
          </cell>
        </row>
        <row r="160">
          <cell r="A160">
            <v>8615626226</v>
          </cell>
          <cell r="B160">
            <v>10615551677</v>
          </cell>
          <cell r="C160" t="str">
            <v>return_refund</v>
          </cell>
          <cell r="D160">
            <v>45899.65625</v>
          </cell>
          <cell r="E160">
            <v>45883.446527777778</v>
          </cell>
          <cell r="F160">
            <v>44517</v>
          </cell>
          <cell r="G160" t="str">
            <v>Myntra Designs Pvt Ltd</v>
          </cell>
          <cell r="H160" t="str">
            <v>BETYDRSS60770622</v>
          </cell>
          <cell r="I160" t="str">
            <v>\I2726TK000002424\""</v>
          </cell>
          <cell r="J160">
            <v>8615626226</v>
          </cell>
          <cell r="K160">
            <v>62042300</v>
          </cell>
          <cell r="L160" t="str">
            <v>Apparel</v>
          </cell>
          <cell r="M160" t="str">
            <v>INR</v>
          </cell>
          <cell r="N160">
            <v>1374</v>
          </cell>
          <cell r="O160">
            <v>449.78199999999998</v>
          </cell>
          <cell r="P160">
            <v>924.21799999999996</v>
          </cell>
          <cell r="Q160">
            <v>5150</v>
          </cell>
          <cell r="R160">
            <v>3605</v>
          </cell>
          <cell r="S160" t="str">
            <v>Intra-State</v>
          </cell>
          <cell r="T160">
            <v>12</v>
          </cell>
          <cell r="U160">
            <v>0</v>
          </cell>
          <cell r="V160">
            <v>73.61</v>
          </cell>
          <cell r="W160">
            <v>73.61</v>
          </cell>
          <cell r="X160">
            <v>6.1340000000000003</v>
          </cell>
          <cell r="Y160">
            <v>1.2270000000000001</v>
          </cell>
          <cell r="AA160">
            <v>0</v>
          </cell>
          <cell r="AB160">
            <v>453.97</v>
          </cell>
          <cell r="AC160">
            <v>453.97</v>
          </cell>
          <cell r="AD160">
            <v>461.33100000000002</v>
          </cell>
          <cell r="AE160">
            <v>-107.38</v>
          </cell>
          <cell r="AF160">
            <v>91</v>
          </cell>
          <cell r="AG160">
            <v>0</v>
          </cell>
          <cell r="AH160">
            <v>0</v>
          </cell>
          <cell r="AI160">
            <v>0</v>
          </cell>
          <cell r="AJ160">
            <v>16.38</v>
          </cell>
          <cell r="AK160">
            <v>1</v>
          </cell>
          <cell r="AL160" t="str">
            <v>LOCAL</v>
          </cell>
          <cell r="AM160">
            <v>1545</v>
          </cell>
          <cell r="AN160">
            <v>-1020.049</v>
          </cell>
          <cell r="AO160">
            <v>-1020.049</v>
          </cell>
          <cell r="AP160">
            <v>0</v>
          </cell>
          <cell r="AQ160">
            <v>310.31299999999999</v>
          </cell>
          <cell r="AR160">
            <v>-72.228980000000007</v>
          </cell>
          <cell r="AS160">
            <v>-924.21799999999996</v>
          </cell>
          <cell r="AT160">
            <v>151.018</v>
          </cell>
          <cell r="AU160">
            <v>-35.151020000000003</v>
          </cell>
          <cell r="AV160">
            <v>-449.78199999999998</v>
          </cell>
          <cell r="AW160">
            <v>45901</v>
          </cell>
          <cell r="AX160">
            <v>45901</v>
          </cell>
          <cell r="AY160">
            <v>45901</v>
          </cell>
          <cell r="AZ160">
            <v>45901</v>
          </cell>
          <cell r="BA160">
            <v>45901</v>
          </cell>
          <cell r="BB160">
            <v>45901</v>
          </cell>
          <cell r="BC160" t="str">
            <v>NFT-/XUTR/DEUTH025244A0LW1X</v>
          </cell>
          <cell r="BD160" t="str">
            <v>NFT-/XUTR/DEUTH025244A0LW1X</v>
          </cell>
          <cell r="BE160" t="str">
            <v>NFT-/XUTR/DEUTH025244A0LW1X</v>
          </cell>
          <cell r="BF160" t="str">
            <v>NFT-/XUTR/DEUTH025244A0H8LX</v>
          </cell>
          <cell r="BG160" t="str">
            <v>NFT-/XUTR/DEUTH025244A0H8LX</v>
          </cell>
          <cell r="BH160" t="str">
            <v>NFT-/XUTR/DEUTH025244A0H8LX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400</v>
          </cell>
          <cell r="BN160">
            <v>0</v>
          </cell>
          <cell r="BO160">
            <v>1226.78</v>
          </cell>
          <cell r="BP160">
            <v>0</v>
          </cell>
          <cell r="BQ160">
            <v>6</v>
          </cell>
          <cell r="BR160">
            <v>6</v>
          </cell>
          <cell r="BS160">
            <v>0</v>
          </cell>
          <cell r="BT160">
            <v>0</v>
          </cell>
          <cell r="BU160">
            <v>0.25</v>
          </cell>
          <cell r="BV160">
            <v>0.25</v>
          </cell>
          <cell r="BW160">
            <v>0.1</v>
          </cell>
          <cell r="BX160" t="str">
            <v>BETTY</v>
          </cell>
          <cell r="BY160" t="str">
            <v>Girls</v>
          </cell>
          <cell r="BZ160" t="str">
            <v>External</v>
          </cell>
          <cell r="CA160" t="str">
            <v>Dresses</v>
          </cell>
          <cell r="CB160" t="str">
            <v>ON_HAND</v>
          </cell>
          <cell r="CC160" t="b">
            <v>0</v>
          </cell>
          <cell r="CD160" t="str">
            <v>**********</v>
          </cell>
          <cell r="CE160">
            <v>421302</v>
          </cell>
          <cell r="CF160" t="str">
            <v>27AXUPC8425A1ZH</v>
          </cell>
          <cell r="CH160" t="str">
            <v>29AAECM9636P1ZJ</v>
          </cell>
          <cell r="CI160" t="str">
            <v>Mumbai</v>
          </cell>
          <cell r="CJ160">
            <v>400013</v>
          </cell>
          <cell r="CK160" t="str">
            <v>maharashtra</v>
          </cell>
          <cell r="CL160" t="str">
            <v>MH</v>
          </cell>
          <cell r="CN160">
            <v>0</v>
          </cell>
          <cell r="CO160">
            <v>305.36200000000002</v>
          </cell>
          <cell r="CP160">
            <v>305.36200000000002</v>
          </cell>
          <cell r="CQ160">
            <v>0</v>
          </cell>
          <cell r="CR160">
            <v>0</v>
          </cell>
          <cell r="CS160">
            <v>0</v>
          </cell>
          <cell r="CT160">
            <v>3605</v>
          </cell>
          <cell r="CU160">
            <v>1.22678</v>
          </cell>
          <cell r="CW160">
            <v>0</v>
          </cell>
          <cell r="CX160">
            <v>148.608</v>
          </cell>
          <cell r="CY160">
            <v>148.608</v>
          </cell>
          <cell r="CZ160">
            <v>0</v>
          </cell>
          <cell r="DA160">
            <v>0</v>
          </cell>
          <cell r="DB160">
            <v>0</v>
          </cell>
          <cell r="DC160">
            <v>3605</v>
          </cell>
          <cell r="DD160">
            <v>1.22678</v>
          </cell>
          <cell r="DE160" t="str">
            <v>26c912f8-1688-4e97-9232-c890e36766f6</v>
          </cell>
          <cell r="DF160">
            <v>100071000000</v>
          </cell>
          <cell r="DG160">
            <v>4.1260000000000003</v>
          </cell>
          <cell r="DH160">
            <v>2.008</v>
          </cell>
          <cell r="DI160">
            <v>0.82499999999999996</v>
          </cell>
          <cell r="DJ160">
            <v>0.40200000000000002</v>
          </cell>
          <cell r="DK160" t="str">
            <v>BRONZE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 t="str">
            <v>NA</v>
          </cell>
          <cell r="DU160" t="str">
            <v>NA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EB160">
            <v>-1020.049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 t="str">
            <v>Settled</v>
          </cell>
          <cell r="FH160">
            <v>1545</v>
          </cell>
          <cell r="FI160">
            <v>1020.049</v>
          </cell>
          <cell r="FJ160">
            <v>461.33100000000002</v>
          </cell>
          <cell r="FK160">
            <v>107.38000000000001</v>
          </cell>
        </row>
        <row r="161">
          <cell r="A161">
            <v>8612316631</v>
          </cell>
          <cell r="B161">
            <v>10612242240</v>
          </cell>
          <cell r="C161" t="str">
            <v>return_refund</v>
          </cell>
          <cell r="D161">
            <v>45895.581250000003</v>
          </cell>
          <cell r="E161">
            <v>45880.772916666669</v>
          </cell>
          <cell r="F161">
            <v>44514</v>
          </cell>
          <cell r="G161" t="str">
            <v>Myntra Designs Pvt Ltd</v>
          </cell>
          <cell r="H161" t="str">
            <v>BETYDRSS100320436</v>
          </cell>
          <cell r="I161" t="str">
            <v>\I2726TK000002381\""</v>
          </cell>
          <cell r="J161">
            <v>9753440815</v>
          </cell>
          <cell r="K161">
            <v>62042300</v>
          </cell>
          <cell r="L161" t="str">
            <v>Apparel</v>
          </cell>
          <cell r="M161" t="str">
            <v>INR</v>
          </cell>
          <cell r="N161">
            <v>2069</v>
          </cell>
          <cell r="O161">
            <v>0</v>
          </cell>
          <cell r="P161">
            <v>2069</v>
          </cell>
          <cell r="Q161">
            <v>3500</v>
          </cell>
          <cell r="R161">
            <v>1225</v>
          </cell>
          <cell r="S161" t="str">
            <v>Inter-State</v>
          </cell>
          <cell r="T161">
            <v>12</v>
          </cell>
          <cell r="U161">
            <v>221.68</v>
          </cell>
          <cell r="V161">
            <v>0</v>
          </cell>
          <cell r="W161">
            <v>0</v>
          </cell>
          <cell r="X161">
            <v>9.2370000000000001</v>
          </cell>
          <cell r="Y161">
            <v>1.847</v>
          </cell>
          <cell r="AA161">
            <v>0</v>
          </cell>
          <cell r="AB161">
            <v>659.18299999999999</v>
          </cell>
          <cell r="AC161">
            <v>659.18299999999999</v>
          </cell>
          <cell r="AD161">
            <v>670.26700000000005</v>
          </cell>
          <cell r="AE161">
            <v>-197.06</v>
          </cell>
          <cell r="AF161">
            <v>167</v>
          </cell>
          <cell r="AG161">
            <v>0</v>
          </cell>
          <cell r="AH161">
            <v>0</v>
          </cell>
          <cell r="AI161">
            <v>0</v>
          </cell>
          <cell r="AJ161">
            <v>30.06</v>
          </cell>
          <cell r="AK161">
            <v>1</v>
          </cell>
          <cell r="AL161" t="str">
            <v>NATIONAL</v>
          </cell>
          <cell r="AM161">
            <v>2275</v>
          </cell>
          <cell r="AN161">
            <v>-1595.7929999999999</v>
          </cell>
          <cell r="AO161">
            <v>-1595.7929999999999</v>
          </cell>
          <cell r="AP161">
            <v>0</v>
          </cell>
          <cell r="AQ161">
            <v>670.26700000000005</v>
          </cell>
          <cell r="AR161">
            <v>-197.06</v>
          </cell>
          <cell r="AS161">
            <v>-2069</v>
          </cell>
          <cell r="AV161">
            <v>0</v>
          </cell>
          <cell r="AW161">
            <v>45903</v>
          </cell>
          <cell r="AX161">
            <v>45903</v>
          </cell>
          <cell r="AY161">
            <v>45903</v>
          </cell>
          <cell r="BC161" t="str">
            <v>NFT-/XUTR/DEUTH025246A0T5UX</v>
          </cell>
          <cell r="BD161" t="str">
            <v>NFT-/XUTR/DEUTH025246A0T5UX</v>
          </cell>
          <cell r="BE161" t="str">
            <v>NFT-/XUTR/DEUTH025246A0T5UX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1847.32</v>
          </cell>
          <cell r="BP161">
            <v>12</v>
          </cell>
          <cell r="BQ161">
            <v>0</v>
          </cell>
          <cell r="BR161">
            <v>0</v>
          </cell>
          <cell r="BS161">
            <v>0</v>
          </cell>
          <cell r="BT161">
            <v>0.5</v>
          </cell>
          <cell r="BU161">
            <v>0</v>
          </cell>
          <cell r="BV161">
            <v>0</v>
          </cell>
          <cell r="BW161">
            <v>0.1</v>
          </cell>
          <cell r="BX161" t="str">
            <v>BETTY</v>
          </cell>
          <cell r="BY161" t="str">
            <v>Girls</v>
          </cell>
          <cell r="BZ161" t="str">
            <v>External</v>
          </cell>
          <cell r="CA161" t="str">
            <v>Dresses</v>
          </cell>
          <cell r="CB161" t="str">
            <v>ON_HAND</v>
          </cell>
          <cell r="CC161" t="b">
            <v>0</v>
          </cell>
          <cell r="CD161" t="str">
            <v>**********</v>
          </cell>
          <cell r="CE161">
            <v>144001</v>
          </cell>
          <cell r="CF161" t="str">
            <v>27AXUPC8425A1ZH</v>
          </cell>
          <cell r="CH161" t="str">
            <v>29AAECM9636P1ZJ</v>
          </cell>
          <cell r="CI161" t="str">
            <v>Mumbai</v>
          </cell>
          <cell r="CJ161">
            <v>400013</v>
          </cell>
          <cell r="CK161" t="str">
            <v>maharashtra</v>
          </cell>
          <cell r="CL161" t="str">
            <v>MH</v>
          </cell>
          <cell r="CN161">
            <v>0</v>
          </cell>
          <cell r="CO161">
            <v>659.18299999999999</v>
          </cell>
          <cell r="CP161">
            <v>659.18299999999999</v>
          </cell>
          <cell r="CQ161">
            <v>0</v>
          </cell>
          <cell r="CR161">
            <v>0</v>
          </cell>
          <cell r="CS161">
            <v>0</v>
          </cell>
          <cell r="CT161">
            <v>1225</v>
          </cell>
          <cell r="CU161">
            <v>1.8473200000000001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E161" t="str">
            <v>77d86d64-9c60-40dd-ad21-79ebfbfbb418</v>
          </cell>
          <cell r="DF161">
            <v>100073000000</v>
          </cell>
          <cell r="DG161">
            <v>9.2370000000000001</v>
          </cell>
          <cell r="DH161">
            <v>0</v>
          </cell>
          <cell r="DI161">
            <v>1.847</v>
          </cell>
          <cell r="DJ161">
            <v>0</v>
          </cell>
          <cell r="DK161" t="str">
            <v>BRONZE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 t="str">
            <v>NA</v>
          </cell>
          <cell r="DU161" t="str">
            <v>NA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EB161">
            <v>0</v>
          </cell>
          <cell r="EC161">
            <v>0</v>
          </cell>
          <cell r="ED161">
            <v>-1595.7929999999999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 t="str">
            <v>Settled</v>
          </cell>
          <cell r="FH161">
            <v>2275</v>
          </cell>
          <cell r="FI161">
            <v>1595.7929999999999</v>
          </cell>
          <cell r="FJ161">
            <v>670.26700000000005</v>
          </cell>
          <cell r="FK161">
            <v>197.06</v>
          </cell>
        </row>
        <row r="162">
          <cell r="A162">
            <v>8612529781</v>
          </cell>
          <cell r="B162">
            <v>10612455388</v>
          </cell>
          <cell r="C162" t="str">
            <v>return_refund</v>
          </cell>
          <cell r="D162">
            <v>45889.335416666669</v>
          </cell>
          <cell r="E162">
            <v>45881.472222222219</v>
          </cell>
          <cell r="F162">
            <v>44515</v>
          </cell>
          <cell r="G162" t="str">
            <v>Myntra Designs Pvt Ltd</v>
          </cell>
          <cell r="H162" t="str">
            <v>TIKILHNC99925398</v>
          </cell>
          <cell r="I162" t="str">
            <v>\I2726TK000002387\""</v>
          </cell>
          <cell r="J162">
            <v>8612529781</v>
          </cell>
          <cell r="K162">
            <v>62042300</v>
          </cell>
          <cell r="L162" t="str">
            <v>Apparel</v>
          </cell>
          <cell r="M162" t="str">
            <v>INR</v>
          </cell>
          <cell r="N162">
            <v>2044</v>
          </cell>
          <cell r="O162">
            <v>0</v>
          </cell>
          <cell r="P162">
            <v>2044</v>
          </cell>
          <cell r="Q162">
            <v>4500</v>
          </cell>
          <cell r="R162">
            <v>2250</v>
          </cell>
          <cell r="S162" t="str">
            <v>Inter-State</v>
          </cell>
          <cell r="T162">
            <v>12</v>
          </cell>
          <cell r="U162">
            <v>219</v>
          </cell>
          <cell r="V162">
            <v>0</v>
          </cell>
          <cell r="W162">
            <v>0</v>
          </cell>
          <cell r="X162">
            <v>9.125</v>
          </cell>
          <cell r="Y162">
            <v>1.825</v>
          </cell>
          <cell r="AA162">
            <v>0</v>
          </cell>
          <cell r="AB162">
            <v>506.50299999999999</v>
          </cell>
          <cell r="AC162">
            <v>506.50299999999999</v>
          </cell>
          <cell r="AD162">
            <v>517.45299999999997</v>
          </cell>
          <cell r="AE162">
            <v>-197.06</v>
          </cell>
          <cell r="AF162">
            <v>167</v>
          </cell>
          <cell r="AG162">
            <v>0</v>
          </cell>
          <cell r="AH162">
            <v>0</v>
          </cell>
          <cell r="AI162">
            <v>0</v>
          </cell>
          <cell r="AJ162">
            <v>30.06</v>
          </cell>
          <cell r="AK162">
            <v>1</v>
          </cell>
          <cell r="AL162" t="str">
            <v>NATIONAL</v>
          </cell>
          <cell r="AM162">
            <v>2250</v>
          </cell>
          <cell r="AN162">
            <v>-1723.607</v>
          </cell>
          <cell r="AO162">
            <v>-1723.607</v>
          </cell>
          <cell r="AP162">
            <v>0</v>
          </cell>
          <cell r="AQ162">
            <v>517.45299999999997</v>
          </cell>
          <cell r="AR162">
            <v>-197.06</v>
          </cell>
          <cell r="AS162">
            <v>-2044</v>
          </cell>
          <cell r="AV162">
            <v>0</v>
          </cell>
          <cell r="AW162">
            <v>45901</v>
          </cell>
          <cell r="AX162">
            <v>45901</v>
          </cell>
          <cell r="AY162">
            <v>45901</v>
          </cell>
          <cell r="BC162" t="str">
            <v>NFT-/XUTR/DEUTH025244A0LW1X</v>
          </cell>
          <cell r="BD162" t="str">
            <v>NFT-/XUTR/DEUTH025244A0LW1X</v>
          </cell>
          <cell r="BE162" t="str">
            <v>NFT-/XUTR/DEUTH025244A0LW1X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1825</v>
          </cell>
          <cell r="BP162">
            <v>12</v>
          </cell>
          <cell r="BQ162">
            <v>0</v>
          </cell>
          <cell r="BR162">
            <v>0</v>
          </cell>
          <cell r="BS162">
            <v>0</v>
          </cell>
          <cell r="BT162">
            <v>0.5</v>
          </cell>
          <cell r="BU162">
            <v>0</v>
          </cell>
          <cell r="BV162">
            <v>0</v>
          </cell>
          <cell r="BW162">
            <v>0.1</v>
          </cell>
          <cell r="BX162" t="str">
            <v>Tiny Kingdom</v>
          </cell>
          <cell r="BY162" t="str">
            <v>Girls</v>
          </cell>
          <cell r="BZ162" t="str">
            <v>External</v>
          </cell>
          <cell r="CA162" t="str">
            <v>Lehenga Choli</v>
          </cell>
          <cell r="CB162" t="str">
            <v>ON_HAND</v>
          </cell>
          <cell r="CC162" t="b">
            <v>0</v>
          </cell>
          <cell r="CD162" t="str">
            <v>**********</v>
          </cell>
          <cell r="CE162">
            <v>125005</v>
          </cell>
          <cell r="CF162" t="str">
            <v>27AXUPC8425A1ZH</v>
          </cell>
          <cell r="CH162" t="str">
            <v>29AAECM9636P1ZJ</v>
          </cell>
          <cell r="CI162" t="str">
            <v>Mumbai</v>
          </cell>
          <cell r="CJ162">
            <v>400013</v>
          </cell>
          <cell r="CK162" t="str">
            <v>maharashtra</v>
          </cell>
          <cell r="CL162" t="str">
            <v>MH</v>
          </cell>
          <cell r="CN162">
            <v>0</v>
          </cell>
          <cell r="CO162">
            <v>506.50299999999999</v>
          </cell>
          <cell r="CP162">
            <v>506.50299999999999</v>
          </cell>
          <cell r="CQ162">
            <v>0</v>
          </cell>
          <cell r="CR162">
            <v>0</v>
          </cell>
          <cell r="CS162">
            <v>0</v>
          </cell>
          <cell r="CT162">
            <v>2250</v>
          </cell>
          <cell r="CU162">
            <v>1.825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E162" t="str">
            <v>f9a31b56-96e5-4943-8ee3-17125ed4a7bb</v>
          </cell>
          <cell r="DF162">
            <v>100071000000</v>
          </cell>
          <cell r="DG162">
            <v>9.125</v>
          </cell>
          <cell r="DH162">
            <v>0</v>
          </cell>
          <cell r="DI162">
            <v>1.825</v>
          </cell>
          <cell r="DJ162">
            <v>0</v>
          </cell>
          <cell r="DK162" t="str">
            <v>BRONZE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 t="str">
            <v>NA</v>
          </cell>
          <cell r="DU162" t="str">
            <v>NA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EB162">
            <v>-1723.607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 t="str">
            <v>Settled</v>
          </cell>
          <cell r="FH162">
            <v>2250</v>
          </cell>
          <cell r="FI162">
            <v>1723.607</v>
          </cell>
          <cell r="FJ162">
            <v>517.45299999999997</v>
          </cell>
          <cell r="FK162">
            <v>197.06</v>
          </cell>
        </row>
        <row r="163">
          <cell r="A163">
            <v>8622529723</v>
          </cell>
          <cell r="B163">
            <v>10622454782</v>
          </cell>
          <cell r="C163" t="str">
            <v>return_refund</v>
          </cell>
          <cell r="D163">
            <v>45893.523611111108</v>
          </cell>
          <cell r="E163">
            <v>45888.475694444445</v>
          </cell>
          <cell r="G163" t="str">
            <v>Myntra Designs Pvt Ltd</v>
          </cell>
          <cell r="H163" t="str">
            <v>TIKILHNC106661969</v>
          </cell>
          <cell r="I163" t="str">
            <v>\I2726TK000002495\""</v>
          </cell>
          <cell r="J163">
            <v>8622529723</v>
          </cell>
          <cell r="K163">
            <v>62042300</v>
          </cell>
          <cell r="L163" t="str">
            <v>Apparel</v>
          </cell>
          <cell r="M163" t="str">
            <v>INR</v>
          </cell>
          <cell r="N163">
            <v>3294</v>
          </cell>
          <cell r="O163">
            <v>0</v>
          </cell>
          <cell r="P163">
            <v>3294</v>
          </cell>
          <cell r="Q163">
            <v>5000</v>
          </cell>
          <cell r="R163">
            <v>1500</v>
          </cell>
          <cell r="S163" t="str">
            <v>Inter-State</v>
          </cell>
          <cell r="T163">
            <v>12</v>
          </cell>
          <cell r="U163">
            <v>352.93</v>
          </cell>
          <cell r="V163">
            <v>0</v>
          </cell>
          <cell r="W163">
            <v>0</v>
          </cell>
          <cell r="X163">
            <v>14.705</v>
          </cell>
          <cell r="Y163">
            <v>2.9409999999999998</v>
          </cell>
          <cell r="AA163">
            <v>0</v>
          </cell>
          <cell r="AB163">
            <v>816.25300000000004</v>
          </cell>
          <cell r="AC163">
            <v>816.25300000000004</v>
          </cell>
          <cell r="AD163">
            <v>833.899</v>
          </cell>
          <cell r="AE163">
            <v>-132.16</v>
          </cell>
          <cell r="AF163">
            <v>112</v>
          </cell>
          <cell r="AG163">
            <v>0</v>
          </cell>
          <cell r="AH163">
            <v>0</v>
          </cell>
          <cell r="AI163">
            <v>0</v>
          </cell>
          <cell r="AJ163">
            <v>20.16</v>
          </cell>
          <cell r="AK163">
            <v>1</v>
          </cell>
          <cell r="AL163" t="str">
            <v>ZONAL</v>
          </cell>
          <cell r="AM163">
            <v>3500</v>
          </cell>
          <cell r="AN163">
            <v>-2592.261</v>
          </cell>
          <cell r="AO163">
            <v>-2592.261</v>
          </cell>
          <cell r="AP163">
            <v>0</v>
          </cell>
          <cell r="AQ163">
            <v>833.899</v>
          </cell>
          <cell r="AR163">
            <v>-132.16</v>
          </cell>
          <cell r="AS163">
            <v>-3294</v>
          </cell>
          <cell r="AV163">
            <v>0</v>
          </cell>
          <cell r="AW163">
            <v>45908</v>
          </cell>
          <cell r="AX163">
            <v>45908</v>
          </cell>
          <cell r="AY163">
            <v>45908</v>
          </cell>
          <cell r="BC163" t="str">
            <v>NFT-/XUTR/DEUTH025251A0L0JX</v>
          </cell>
          <cell r="BD163" t="str">
            <v>NFT-/XUTR/DEUTH025251A0L0JX</v>
          </cell>
          <cell r="BE163" t="str">
            <v>NFT-/XUTR/DEUTH025251A0L0JX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2941.07</v>
          </cell>
          <cell r="BP163">
            <v>12</v>
          </cell>
          <cell r="BQ163">
            <v>0</v>
          </cell>
          <cell r="BR163">
            <v>0</v>
          </cell>
          <cell r="BS163">
            <v>0</v>
          </cell>
          <cell r="BT163">
            <v>0.5</v>
          </cell>
          <cell r="BU163">
            <v>0</v>
          </cell>
          <cell r="BV163">
            <v>0</v>
          </cell>
          <cell r="BW163">
            <v>0.1</v>
          </cell>
          <cell r="BX163" t="str">
            <v>Tiny Kingdom</v>
          </cell>
          <cell r="BY163" t="str">
            <v>Girls</v>
          </cell>
          <cell r="BZ163" t="str">
            <v>External</v>
          </cell>
          <cell r="CA163" t="str">
            <v>Lehenga Choli</v>
          </cell>
          <cell r="CB163" t="str">
            <v>ON_HAND</v>
          </cell>
          <cell r="CC163" t="b">
            <v>0</v>
          </cell>
          <cell r="CD163" t="str">
            <v>**********</v>
          </cell>
          <cell r="CE163">
            <v>560102</v>
          </cell>
          <cell r="CF163" t="str">
            <v>27AXUPC8425A1ZH</v>
          </cell>
          <cell r="CH163" t="str">
            <v>29AAECM9636P1ZJ</v>
          </cell>
          <cell r="CI163" t="str">
            <v>Mumbai</v>
          </cell>
          <cell r="CJ163">
            <v>400013</v>
          </cell>
          <cell r="CK163" t="str">
            <v>maharashtra</v>
          </cell>
          <cell r="CL163" t="str">
            <v>MH</v>
          </cell>
          <cell r="CN163">
            <v>0</v>
          </cell>
          <cell r="CO163">
            <v>816.25300000000004</v>
          </cell>
          <cell r="CP163">
            <v>816.25300000000004</v>
          </cell>
          <cell r="CQ163">
            <v>0</v>
          </cell>
          <cell r="CR163">
            <v>0</v>
          </cell>
          <cell r="CS163">
            <v>0</v>
          </cell>
          <cell r="CT163">
            <v>1500</v>
          </cell>
          <cell r="CU163">
            <v>2.9410699999999999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E163" t="str">
            <v>6e5f4406-b5b3-4141-bca9-549f69ae1f47</v>
          </cell>
          <cell r="DF163">
            <v>100073000000</v>
          </cell>
          <cell r="DG163">
            <v>14.705</v>
          </cell>
          <cell r="DH163">
            <v>0</v>
          </cell>
          <cell r="DI163">
            <v>2.9409999999999998</v>
          </cell>
          <cell r="DJ163">
            <v>0</v>
          </cell>
          <cell r="DK163" t="str">
            <v>BRONZE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 t="str">
            <v>NA</v>
          </cell>
          <cell r="DU163" t="str">
            <v>NA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-2592.261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 t="str">
            <v>Settled</v>
          </cell>
          <cell r="FH163">
            <v>3500</v>
          </cell>
          <cell r="FI163">
            <v>2592.261</v>
          </cell>
          <cell r="FJ163">
            <v>833.899</v>
          </cell>
          <cell r="FK163">
            <v>132.16</v>
          </cell>
        </row>
        <row r="164">
          <cell r="A164">
            <v>8634912774</v>
          </cell>
          <cell r="B164">
            <v>10634837386</v>
          </cell>
          <cell r="C164" t="str">
            <v>return_refund</v>
          </cell>
          <cell r="D164">
            <v>45907.5</v>
          </cell>
          <cell r="E164">
            <v>45897.440972222219</v>
          </cell>
          <cell r="G164" t="str">
            <v>Myntra Designs Pvt Ltd</v>
          </cell>
          <cell r="H164" t="str">
            <v>BETYDRSS93852548</v>
          </cell>
          <cell r="I164" t="str">
            <v>\I2726TK000002633\""</v>
          </cell>
          <cell r="J164">
            <v>8634912774</v>
          </cell>
          <cell r="K164">
            <v>62042300</v>
          </cell>
          <cell r="L164" t="str">
            <v>Apparel</v>
          </cell>
          <cell r="M164" t="str">
            <v>INR</v>
          </cell>
          <cell r="N164">
            <v>3294</v>
          </cell>
          <cell r="O164">
            <v>0</v>
          </cell>
          <cell r="P164">
            <v>3294</v>
          </cell>
          <cell r="Q164">
            <v>5000</v>
          </cell>
          <cell r="R164">
            <v>1500</v>
          </cell>
          <cell r="S164" t="str">
            <v>Inter-State</v>
          </cell>
          <cell r="T164">
            <v>12</v>
          </cell>
          <cell r="U164">
            <v>352.93</v>
          </cell>
          <cell r="V164">
            <v>0</v>
          </cell>
          <cell r="W164">
            <v>0</v>
          </cell>
          <cell r="X164">
            <v>14.705</v>
          </cell>
          <cell r="Y164">
            <v>2.9409999999999998</v>
          </cell>
          <cell r="AA164">
            <v>0</v>
          </cell>
          <cell r="AB164">
            <v>1049.4680000000001</v>
          </cell>
          <cell r="AC164">
            <v>1049.4680000000001</v>
          </cell>
          <cell r="AD164">
            <v>1067.114</v>
          </cell>
          <cell r="AE164">
            <v>-197.06</v>
          </cell>
          <cell r="AF164">
            <v>167</v>
          </cell>
          <cell r="AG164">
            <v>0</v>
          </cell>
          <cell r="AH164">
            <v>0</v>
          </cell>
          <cell r="AI164">
            <v>0</v>
          </cell>
          <cell r="AJ164">
            <v>30.06</v>
          </cell>
          <cell r="AK164">
            <v>1</v>
          </cell>
          <cell r="AL164" t="str">
            <v>NATIONAL</v>
          </cell>
          <cell r="AM164">
            <v>3500</v>
          </cell>
          <cell r="AN164">
            <v>-2423.9459999999999</v>
          </cell>
          <cell r="AO164">
            <v>-2423.9459999999999</v>
          </cell>
          <cell r="AP164">
            <v>0</v>
          </cell>
          <cell r="AQ164">
            <v>1067.114</v>
          </cell>
          <cell r="AR164">
            <v>-197.06</v>
          </cell>
          <cell r="AS164">
            <v>-3294</v>
          </cell>
          <cell r="AV164">
            <v>0</v>
          </cell>
          <cell r="AW164">
            <v>45916</v>
          </cell>
          <cell r="AX164">
            <v>45916</v>
          </cell>
          <cell r="AY164">
            <v>45916</v>
          </cell>
          <cell r="BC164" t="str">
            <v>NFT-/XUTR/DEUTH02525924409X</v>
          </cell>
          <cell r="BD164" t="str">
            <v>NFT-/XUTR/DEUTH02525924409X</v>
          </cell>
          <cell r="BE164" t="str">
            <v>NFT-/XUTR/DEUTH02525924409X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2941.07</v>
          </cell>
          <cell r="BP164">
            <v>12</v>
          </cell>
          <cell r="BQ164">
            <v>0</v>
          </cell>
          <cell r="BR164">
            <v>0</v>
          </cell>
          <cell r="BS164">
            <v>0</v>
          </cell>
          <cell r="BT164">
            <v>0.5</v>
          </cell>
          <cell r="BU164">
            <v>0</v>
          </cell>
          <cell r="BV164">
            <v>0</v>
          </cell>
          <cell r="BW164">
            <v>0.1</v>
          </cell>
          <cell r="BX164" t="str">
            <v>BETTY</v>
          </cell>
          <cell r="BY164" t="str">
            <v>Girls</v>
          </cell>
          <cell r="BZ164" t="str">
            <v>External</v>
          </cell>
          <cell r="CA164" t="str">
            <v>Dresses</v>
          </cell>
          <cell r="CB164" t="str">
            <v>ON_HAND</v>
          </cell>
          <cell r="CC164" t="b">
            <v>0</v>
          </cell>
          <cell r="CD164" t="str">
            <v>**********</v>
          </cell>
          <cell r="CE164">
            <v>721132</v>
          </cell>
          <cell r="CF164" t="str">
            <v>27AXUPC8425A1ZH</v>
          </cell>
          <cell r="CH164" t="str">
            <v>29AAECM9636P1ZJ</v>
          </cell>
          <cell r="CI164" t="str">
            <v>Mumbai</v>
          </cell>
          <cell r="CJ164">
            <v>400013</v>
          </cell>
          <cell r="CK164" t="str">
            <v>maharashtra</v>
          </cell>
          <cell r="CL164" t="str">
            <v>MH</v>
          </cell>
          <cell r="CN164">
            <v>0</v>
          </cell>
          <cell r="CO164">
            <v>1049.4680000000001</v>
          </cell>
          <cell r="CP164">
            <v>1049.4680000000001</v>
          </cell>
          <cell r="CQ164">
            <v>0</v>
          </cell>
          <cell r="CR164">
            <v>0</v>
          </cell>
          <cell r="CS164">
            <v>0</v>
          </cell>
          <cell r="CT164">
            <v>1500</v>
          </cell>
          <cell r="CU164">
            <v>2.9410699999999999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E164" t="str">
            <v>9eb2f386-b3f9-419d-a7ef-25dea52e9542</v>
          </cell>
          <cell r="DF164">
            <v>100076000000</v>
          </cell>
          <cell r="DG164">
            <v>14.705</v>
          </cell>
          <cell r="DH164">
            <v>0</v>
          </cell>
          <cell r="DI164">
            <v>2.9409999999999998</v>
          </cell>
          <cell r="DJ164">
            <v>0</v>
          </cell>
          <cell r="DK164" t="str">
            <v>BRONZE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 t="str">
            <v>NA</v>
          </cell>
          <cell r="DU164" t="str">
            <v>NA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-2423.9459999999999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 t="str">
            <v>Settled</v>
          </cell>
          <cell r="FH164">
            <v>3500</v>
          </cell>
          <cell r="FI164">
            <v>2423.9459999999999</v>
          </cell>
          <cell r="FJ164">
            <v>1067.114</v>
          </cell>
          <cell r="FK164">
            <v>197.06</v>
          </cell>
        </row>
        <row r="165">
          <cell r="A165">
            <v>8634879839</v>
          </cell>
          <cell r="B165">
            <v>10634804455</v>
          </cell>
          <cell r="C165" t="str">
            <v>return_refund</v>
          </cell>
          <cell r="D165">
            <v>45904.549305555556</v>
          </cell>
          <cell r="E165">
            <v>45897.440972222219</v>
          </cell>
          <cell r="G165" t="str">
            <v>Myntra Designs Pvt Ltd</v>
          </cell>
          <cell r="H165" t="str">
            <v>TIKILHNC96961100</v>
          </cell>
          <cell r="I165" t="str">
            <v>\I2726TK000002615\""</v>
          </cell>
          <cell r="J165">
            <v>8634879839</v>
          </cell>
          <cell r="K165">
            <v>62042300</v>
          </cell>
          <cell r="L165" t="str">
            <v>Apparel</v>
          </cell>
          <cell r="M165" t="str">
            <v>INR</v>
          </cell>
          <cell r="N165">
            <v>2719</v>
          </cell>
          <cell r="O165">
            <v>0</v>
          </cell>
          <cell r="P165">
            <v>2719</v>
          </cell>
          <cell r="Q165">
            <v>4500</v>
          </cell>
          <cell r="R165">
            <v>1575</v>
          </cell>
          <cell r="S165" t="str">
            <v>Inter-State</v>
          </cell>
          <cell r="T165">
            <v>12</v>
          </cell>
          <cell r="U165">
            <v>291.32</v>
          </cell>
          <cell r="V165">
            <v>0</v>
          </cell>
          <cell r="W165">
            <v>0</v>
          </cell>
          <cell r="X165">
            <v>12.138</v>
          </cell>
          <cell r="Y165">
            <v>2.4279999999999999</v>
          </cell>
          <cell r="AA165">
            <v>0</v>
          </cell>
          <cell r="AB165">
            <v>673.76800000000003</v>
          </cell>
          <cell r="AC165">
            <v>673.76800000000003</v>
          </cell>
          <cell r="AD165">
            <v>688.33399999999995</v>
          </cell>
          <cell r="AE165">
            <v>-197.06</v>
          </cell>
          <cell r="AF165">
            <v>167</v>
          </cell>
          <cell r="AG165">
            <v>0</v>
          </cell>
          <cell r="AH165">
            <v>0</v>
          </cell>
          <cell r="AI165">
            <v>0</v>
          </cell>
          <cell r="AJ165">
            <v>30.06</v>
          </cell>
          <cell r="AK165">
            <v>1</v>
          </cell>
          <cell r="AL165" t="str">
            <v>NATIONAL</v>
          </cell>
          <cell r="AM165">
            <v>2925</v>
          </cell>
          <cell r="AN165">
            <v>-2227.7260000000001</v>
          </cell>
          <cell r="AO165">
            <v>-2227.7260000000001</v>
          </cell>
          <cell r="AP165">
            <v>0</v>
          </cell>
          <cell r="AQ165">
            <v>688.33399999999995</v>
          </cell>
          <cell r="AR165">
            <v>-197.06</v>
          </cell>
          <cell r="AS165">
            <v>-2719</v>
          </cell>
          <cell r="AV165">
            <v>0</v>
          </cell>
          <cell r="AW165">
            <v>45915</v>
          </cell>
          <cell r="AX165">
            <v>45915</v>
          </cell>
          <cell r="AY165">
            <v>45915</v>
          </cell>
          <cell r="BC165" t="str">
            <v>NFT-/XUTR/DEUTH025258A0IM4X</v>
          </cell>
          <cell r="BD165" t="str">
            <v>NFT-/XUTR/DEUTH025258A0IM4X</v>
          </cell>
          <cell r="BE165" t="str">
            <v>NFT-/XUTR/DEUTH025258A0IM4X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2427.6799999999998</v>
          </cell>
          <cell r="BP165">
            <v>12</v>
          </cell>
          <cell r="BQ165">
            <v>0</v>
          </cell>
          <cell r="BR165">
            <v>0</v>
          </cell>
          <cell r="BS165">
            <v>0</v>
          </cell>
          <cell r="BT165">
            <v>0.5</v>
          </cell>
          <cell r="BU165">
            <v>0</v>
          </cell>
          <cell r="BV165">
            <v>0</v>
          </cell>
          <cell r="BW165">
            <v>0.1</v>
          </cell>
          <cell r="BX165" t="str">
            <v>Tiny Kingdom</v>
          </cell>
          <cell r="BY165" t="str">
            <v>Girls</v>
          </cell>
          <cell r="BZ165" t="str">
            <v>External</v>
          </cell>
          <cell r="CA165" t="str">
            <v>Lehenga Choli</v>
          </cell>
          <cell r="CB165" t="str">
            <v>ON_HAND</v>
          </cell>
          <cell r="CC165" t="b">
            <v>0</v>
          </cell>
          <cell r="CD165" t="str">
            <v>**********</v>
          </cell>
          <cell r="CE165">
            <v>122001</v>
          </cell>
          <cell r="CF165" t="str">
            <v>27AXUPC8425A1ZH</v>
          </cell>
          <cell r="CH165" t="str">
            <v>29AAECM9636P1ZJ</v>
          </cell>
          <cell r="CI165" t="str">
            <v>Mumbai</v>
          </cell>
          <cell r="CJ165">
            <v>400013</v>
          </cell>
          <cell r="CK165" t="str">
            <v>maharashtra</v>
          </cell>
          <cell r="CL165" t="str">
            <v>MH</v>
          </cell>
          <cell r="CN165">
            <v>0</v>
          </cell>
          <cell r="CO165">
            <v>673.76800000000003</v>
          </cell>
          <cell r="CP165">
            <v>673.76800000000003</v>
          </cell>
          <cell r="CQ165">
            <v>0</v>
          </cell>
          <cell r="CR165">
            <v>0</v>
          </cell>
          <cell r="CS165">
            <v>0</v>
          </cell>
          <cell r="CT165">
            <v>1575</v>
          </cell>
          <cell r="CU165">
            <v>2.4276800000000001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E165" t="str">
            <v>b7386d99-9244-4d9c-818d-6cfbc75137f6</v>
          </cell>
          <cell r="DF165">
            <v>100075000000</v>
          </cell>
          <cell r="DG165">
            <v>12.138</v>
          </cell>
          <cell r="DH165">
            <v>0</v>
          </cell>
          <cell r="DI165">
            <v>2.4279999999999999</v>
          </cell>
          <cell r="DJ165">
            <v>0</v>
          </cell>
          <cell r="DK165" t="str">
            <v>BRONZE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 t="str">
            <v>NA</v>
          </cell>
          <cell r="DU165" t="str">
            <v>NA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-2227.7260000000001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 t="str">
            <v>Settled</v>
          </cell>
          <cell r="FH165">
            <v>2925</v>
          </cell>
          <cell r="FI165">
            <v>2227.7260000000001</v>
          </cell>
          <cell r="FJ165">
            <v>688.33399999999995</v>
          </cell>
          <cell r="FK165">
            <v>197.06</v>
          </cell>
        </row>
        <row r="166">
          <cell r="A166">
            <v>8614328413</v>
          </cell>
          <cell r="B166">
            <v>10614253943</v>
          </cell>
          <cell r="C166" t="str">
            <v>return_refund</v>
          </cell>
          <cell r="D166">
            <v>45895.6875</v>
          </cell>
          <cell r="E166">
            <v>45882.453472222223</v>
          </cell>
          <cell r="G166" t="str">
            <v>Myntra Designs Pvt Ltd</v>
          </cell>
          <cell r="H166" t="str">
            <v>TIKIDRSS97455131</v>
          </cell>
          <cell r="I166" t="str">
            <v>\I2726TK000002410\""</v>
          </cell>
          <cell r="J166">
            <v>8614328413</v>
          </cell>
          <cell r="K166">
            <v>62042300</v>
          </cell>
          <cell r="L166" t="str">
            <v>Apparel</v>
          </cell>
          <cell r="M166" t="str">
            <v>INR</v>
          </cell>
          <cell r="N166">
            <v>1454</v>
          </cell>
          <cell r="O166">
            <v>1454</v>
          </cell>
          <cell r="P166">
            <v>0</v>
          </cell>
          <cell r="Q166">
            <v>3250</v>
          </cell>
          <cell r="R166">
            <v>1625</v>
          </cell>
          <cell r="S166" t="str">
            <v>Inter-State</v>
          </cell>
          <cell r="T166">
            <v>12</v>
          </cell>
          <cell r="U166">
            <v>155.79</v>
          </cell>
          <cell r="V166">
            <v>0</v>
          </cell>
          <cell r="W166">
            <v>0</v>
          </cell>
          <cell r="X166">
            <v>6.4909999999999997</v>
          </cell>
          <cell r="Y166">
            <v>1.298</v>
          </cell>
          <cell r="AA166">
            <v>0</v>
          </cell>
          <cell r="AB166">
            <v>325.98700000000002</v>
          </cell>
          <cell r="AC166">
            <v>325.98700000000002</v>
          </cell>
          <cell r="AD166">
            <v>333.77600000000001</v>
          </cell>
          <cell r="AE166">
            <v>-132.16</v>
          </cell>
          <cell r="AF166">
            <v>112</v>
          </cell>
          <cell r="AG166">
            <v>0</v>
          </cell>
          <cell r="AH166">
            <v>0</v>
          </cell>
          <cell r="AI166">
            <v>0</v>
          </cell>
          <cell r="AJ166">
            <v>20.16</v>
          </cell>
          <cell r="AK166">
            <v>1</v>
          </cell>
          <cell r="AL166" t="str">
            <v>ZONAL</v>
          </cell>
          <cell r="AM166">
            <v>1625</v>
          </cell>
          <cell r="AN166">
            <v>-1252.384</v>
          </cell>
          <cell r="AO166">
            <v>-1252.384</v>
          </cell>
          <cell r="AP166">
            <v>0</v>
          </cell>
          <cell r="AS166">
            <v>0</v>
          </cell>
          <cell r="AT166">
            <v>333.77600000000001</v>
          </cell>
          <cell r="AU166">
            <v>-132.16</v>
          </cell>
          <cell r="AV166">
            <v>-1454</v>
          </cell>
          <cell r="AZ166">
            <v>45901</v>
          </cell>
          <cell r="BA166">
            <v>45901</v>
          </cell>
          <cell r="BB166">
            <v>45901</v>
          </cell>
          <cell r="BF166" t="str">
            <v>NFT-/XUTR/DEUTH025244A0H8LX</v>
          </cell>
          <cell r="BG166" t="str">
            <v>NFT-/XUTR/DEUTH025244A0H8LX</v>
          </cell>
          <cell r="BH166" t="str">
            <v>NFT-/XUTR/DEUTH025244A0H8LX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1298.21</v>
          </cell>
          <cell r="BP166">
            <v>12</v>
          </cell>
          <cell r="BQ166">
            <v>0</v>
          </cell>
          <cell r="BR166">
            <v>0</v>
          </cell>
          <cell r="BS166">
            <v>0</v>
          </cell>
          <cell r="BT166">
            <v>0.5</v>
          </cell>
          <cell r="BU166">
            <v>0</v>
          </cell>
          <cell r="BV166">
            <v>0</v>
          </cell>
          <cell r="BW166">
            <v>0.1</v>
          </cell>
          <cell r="BX166" t="str">
            <v>Tiny Kingdom</v>
          </cell>
          <cell r="BY166" t="str">
            <v>Girls</v>
          </cell>
          <cell r="BZ166" t="str">
            <v>External</v>
          </cell>
          <cell r="CA166" t="str">
            <v>Dresses</v>
          </cell>
          <cell r="CB166" t="str">
            <v>ON_HAND</v>
          </cell>
          <cell r="CC166" t="b">
            <v>0</v>
          </cell>
          <cell r="CD166" t="str">
            <v>**********</v>
          </cell>
          <cell r="CE166">
            <v>560060</v>
          </cell>
          <cell r="CF166" t="str">
            <v>27AXUPC8425A1ZH</v>
          </cell>
          <cell r="CH166" t="str">
            <v>29AAECM9636P1ZJ</v>
          </cell>
          <cell r="CI166" t="str">
            <v>Mumbai</v>
          </cell>
          <cell r="CJ166">
            <v>400013</v>
          </cell>
          <cell r="CK166" t="str">
            <v>maharashtra</v>
          </cell>
          <cell r="CL166" t="str">
            <v>MH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W166">
            <v>0</v>
          </cell>
          <cell r="CX166">
            <v>325.98700000000002</v>
          </cell>
          <cell r="CY166">
            <v>325.98700000000002</v>
          </cell>
          <cell r="CZ166">
            <v>0</v>
          </cell>
          <cell r="DA166">
            <v>0</v>
          </cell>
          <cell r="DB166">
            <v>0</v>
          </cell>
          <cell r="DC166">
            <v>1625</v>
          </cell>
          <cell r="DD166">
            <v>1.2982100000000001</v>
          </cell>
          <cell r="DE166" t="str">
            <v>d1292519-113f-4160-b0ba-4c2728377c51</v>
          </cell>
          <cell r="DF166">
            <v>100071000000</v>
          </cell>
          <cell r="DG166">
            <v>0</v>
          </cell>
          <cell r="DH166">
            <v>6.4909999999999997</v>
          </cell>
          <cell r="DI166">
            <v>0</v>
          </cell>
          <cell r="DJ166">
            <v>1.298</v>
          </cell>
          <cell r="DK166" t="str">
            <v>BRONZE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 t="str">
            <v>NA</v>
          </cell>
          <cell r="DU166" t="str">
            <v>NA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EB166">
            <v>-1252.384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 t="str">
            <v>Settled</v>
          </cell>
          <cell r="FH166">
            <v>1625</v>
          </cell>
          <cell r="FI166">
            <v>1252.384</v>
          </cell>
          <cell r="FJ166">
            <v>333.77600000000001</v>
          </cell>
          <cell r="FK166">
            <v>132.16</v>
          </cell>
        </row>
        <row r="167">
          <cell r="A167">
            <v>8637124975</v>
          </cell>
          <cell r="B167">
            <v>10637049535</v>
          </cell>
          <cell r="C167" t="str">
            <v>return_refund</v>
          </cell>
          <cell r="D167">
            <v>45907.72152777778</v>
          </cell>
          <cell r="E167">
            <v>45898.445138888892</v>
          </cell>
          <cell r="G167" t="str">
            <v>Myntra Designs Pvt Ltd</v>
          </cell>
          <cell r="H167" t="str">
            <v>TIKILHNC113581775</v>
          </cell>
          <cell r="I167" t="str">
            <v>\I2726TK000002646\""</v>
          </cell>
          <cell r="J167">
            <v>8637124975</v>
          </cell>
          <cell r="K167">
            <v>62042300</v>
          </cell>
          <cell r="L167" t="str">
            <v>Apparel</v>
          </cell>
          <cell r="M167" t="str">
            <v>INR</v>
          </cell>
          <cell r="N167">
            <v>3194</v>
          </cell>
          <cell r="O167">
            <v>3194</v>
          </cell>
          <cell r="P167">
            <v>0</v>
          </cell>
          <cell r="Q167">
            <v>4000</v>
          </cell>
          <cell r="R167">
            <v>600</v>
          </cell>
          <cell r="S167" t="str">
            <v>Inter-State</v>
          </cell>
          <cell r="T167">
            <v>12</v>
          </cell>
          <cell r="U167">
            <v>342.21</v>
          </cell>
          <cell r="V167">
            <v>0</v>
          </cell>
          <cell r="W167">
            <v>0</v>
          </cell>
          <cell r="X167">
            <v>14.259</v>
          </cell>
          <cell r="Y167">
            <v>2.8519999999999999</v>
          </cell>
          <cell r="AA167">
            <v>0</v>
          </cell>
          <cell r="AB167">
            <v>791.47299999999996</v>
          </cell>
          <cell r="AC167">
            <v>791.47299999999996</v>
          </cell>
          <cell r="AD167">
            <v>808.58399999999995</v>
          </cell>
          <cell r="AE167">
            <v>-197.06</v>
          </cell>
          <cell r="AF167">
            <v>167</v>
          </cell>
          <cell r="AG167">
            <v>0</v>
          </cell>
          <cell r="AH167">
            <v>0</v>
          </cell>
          <cell r="AI167">
            <v>0</v>
          </cell>
          <cell r="AJ167">
            <v>30.06</v>
          </cell>
          <cell r="AK167">
            <v>1</v>
          </cell>
          <cell r="AL167" t="str">
            <v>NATIONAL</v>
          </cell>
          <cell r="AM167">
            <v>3400</v>
          </cell>
          <cell r="AN167">
            <v>-2582.4760000000001</v>
          </cell>
          <cell r="AO167">
            <v>-2582.4760000000001</v>
          </cell>
          <cell r="AP167">
            <v>0</v>
          </cell>
          <cell r="AS167">
            <v>0</v>
          </cell>
          <cell r="AT167">
            <v>808.58399999999995</v>
          </cell>
          <cell r="AU167">
            <v>-197.06</v>
          </cell>
          <cell r="AV167">
            <v>-3194</v>
          </cell>
          <cell r="AZ167">
            <v>45916</v>
          </cell>
          <cell r="BA167">
            <v>45916</v>
          </cell>
          <cell r="BB167">
            <v>45916</v>
          </cell>
          <cell r="BF167" t="str">
            <v>NFT-/XUTR/DEUTH02525909403X</v>
          </cell>
          <cell r="BG167" t="str">
            <v>NFT-/XUTR/DEUTH02525909403X</v>
          </cell>
          <cell r="BH167" t="str">
            <v>NFT-/XUTR/DEUTH02525909403X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2851.79</v>
          </cell>
          <cell r="BP167">
            <v>12</v>
          </cell>
          <cell r="BQ167">
            <v>0</v>
          </cell>
          <cell r="BR167">
            <v>0</v>
          </cell>
          <cell r="BS167">
            <v>0</v>
          </cell>
          <cell r="BT167">
            <v>0.5</v>
          </cell>
          <cell r="BU167">
            <v>0</v>
          </cell>
          <cell r="BV167">
            <v>0</v>
          </cell>
          <cell r="BW167">
            <v>0.1</v>
          </cell>
          <cell r="BX167" t="str">
            <v>Tiny Kingdom</v>
          </cell>
          <cell r="BY167" t="str">
            <v>Girls</v>
          </cell>
          <cell r="BZ167" t="str">
            <v>External</v>
          </cell>
          <cell r="CA167" t="str">
            <v>Lehenga Choli</v>
          </cell>
          <cell r="CB167" t="str">
            <v>ON_HAND</v>
          </cell>
          <cell r="CC167" t="b">
            <v>0</v>
          </cell>
          <cell r="CD167" t="str">
            <v>**********</v>
          </cell>
          <cell r="CE167">
            <v>522265</v>
          </cell>
          <cell r="CF167" t="str">
            <v>27AXUPC8425A1ZH</v>
          </cell>
          <cell r="CH167" t="str">
            <v>29AAECM9636P1ZJ</v>
          </cell>
          <cell r="CI167" t="str">
            <v>Mumbai</v>
          </cell>
          <cell r="CJ167">
            <v>400013</v>
          </cell>
          <cell r="CK167" t="str">
            <v>maharashtra</v>
          </cell>
          <cell r="CL167" t="str">
            <v>MH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W167">
            <v>0</v>
          </cell>
          <cell r="CX167">
            <v>791.47299999999996</v>
          </cell>
          <cell r="CY167">
            <v>791.47299999999996</v>
          </cell>
          <cell r="CZ167">
            <v>0</v>
          </cell>
          <cell r="DA167">
            <v>0</v>
          </cell>
          <cell r="DB167">
            <v>0</v>
          </cell>
          <cell r="DC167">
            <v>600</v>
          </cell>
          <cell r="DD167">
            <v>2.8517899999999998</v>
          </cell>
          <cell r="DE167" t="str">
            <v>1d2fd3ee-390d-4047-be46-792e210acf65</v>
          </cell>
          <cell r="DF167">
            <v>100076000000</v>
          </cell>
          <cell r="DG167">
            <v>0</v>
          </cell>
          <cell r="DH167">
            <v>14.259</v>
          </cell>
          <cell r="DI167">
            <v>0</v>
          </cell>
          <cell r="DJ167">
            <v>2.8519999999999999</v>
          </cell>
          <cell r="DK167" t="str">
            <v>BRONZE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 t="str">
            <v>NA</v>
          </cell>
          <cell r="DU167" t="str">
            <v>NA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-2582.4760000000001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 t="str">
            <v>Settled</v>
          </cell>
          <cell r="FH167">
            <v>3400</v>
          </cell>
          <cell r="FI167">
            <v>2582.4760000000001</v>
          </cell>
          <cell r="FJ167">
            <v>808.58399999999995</v>
          </cell>
          <cell r="FK167">
            <v>197.06</v>
          </cell>
        </row>
        <row r="168">
          <cell r="A168">
            <v>8659204086</v>
          </cell>
          <cell r="B168">
            <v>10659128180</v>
          </cell>
          <cell r="C168" t="str">
            <v>return_refund</v>
          </cell>
          <cell r="D168">
            <v>45916.456250000003</v>
          </cell>
          <cell r="E168">
            <v>45910.774305555555</v>
          </cell>
          <cell r="G168" t="str">
            <v>Myntra Designs Pvt Ltd</v>
          </cell>
          <cell r="H168" t="str">
            <v>TIKICLST100048548</v>
          </cell>
          <cell r="I168" t="str">
            <v>\I2726TK000002844\""</v>
          </cell>
          <cell r="J168">
            <v>8659204086</v>
          </cell>
          <cell r="K168">
            <v>62042300</v>
          </cell>
          <cell r="L168" t="str">
            <v>Apparel</v>
          </cell>
          <cell r="M168" t="str">
            <v>INR</v>
          </cell>
          <cell r="N168">
            <v>1079</v>
          </cell>
          <cell r="O168">
            <v>0</v>
          </cell>
          <cell r="P168">
            <v>1079</v>
          </cell>
          <cell r="Q168">
            <v>2500</v>
          </cell>
          <cell r="R168">
            <v>1250</v>
          </cell>
          <cell r="S168" t="str">
            <v>Inter-State</v>
          </cell>
          <cell r="T168">
            <v>12</v>
          </cell>
          <cell r="U168">
            <v>115.61</v>
          </cell>
          <cell r="V168">
            <v>0</v>
          </cell>
          <cell r="W168">
            <v>0</v>
          </cell>
          <cell r="X168">
            <v>4.8170000000000002</v>
          </cell>
          <cell r="Y168">
            <v>0.96299999999999997</v>
          </cell>
          <cell r="AA168">
            <v>0</v>
          </cell>
          <cell r="AB168">
            <v>280.108</v>
          </cell>
          <cell r="AC168">
            <v>280.108</v>
          </cell>
          <cell r="AD168">
            <v>285.88799999999998</v>
          </cell>
          <cell r="AE168">
            <v>-197.06</v>
          </cell>
          <cell r="AF168">
            <v>167</v>
          </cell>
          <cell r="AG168">
            <v>0</v>
          </cell>
          <cell r="AH168">
            <v>0</v>
          </cell>
          <cell r="AI168">
            <v>0</v>
          </cell>
          <cell r="AJ168">
            <v>30.06</v>
          </cell>
          <cell r="AK168">
            <v>1</v>
          </cell>
          <cell r="AL168" t="str">
            <v>NATIONAL</v>
          </cell>
          <cell r="AM168">
            <v>1250</v>
          </cell>
          <cell r="AN168">
            <v>-990.17200000000003</v>
          </cell>
          <cell r="AO168">
            <v>-990.17200000000003</v>
          </cell>
          <cell r="AP168">
            <v>0</v>
          </cell>
          <cell r="AQ168">
            <v>285.88799999999998</v>
          </cell>
          <cell r="AR168">
            <v>-197.06</v>
          </cell>
          <cell r="AS168">
            <v>-1079</v>
          </cell>
          <cell r="AV168">
            <v>0</v>
          </cell>
          <cell r="AW168">
            <v>45929</v>
          </cell>
          <cell r="AX168">
            <v>45929</v>
          </cell>
          <cell r="AY168">
            <v>45929</v>
          </cell>
          <cell r="BC168" t="str">
            <v>NFT-/XUTR/DEUTH025272A0RO3X</v>
          </cell>
          <cell r="BD168" t="str">
            <v>NFT-/XUTR/DEUTH025272A0RO3X</v>
          </cell>
          <cell r="BE168" t="str">
            <v>NFT-/XUTR/DEUTH025272A0RO3X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963.39</v>
          </cell>
          <cell r="BP168">
            <v>12</v>
          </cell>
          <cell r="BQ168">
            <v>0</v>
          </cell>
          <cell r="BR168">
            <v>0</v>
          </cell>
          <cell r="BS168">
            <v>0</v>
          </cell>
          <cell r="BT168">
            <v>0.5</v>
          </cell>
          <cell r="BU168">
            <v>0</v>
          </cell>
          <cell r="BV168">
            <v>0</v>
          </cell>
          <cell r="BW168">
            <v>0.1</v>
          </cell>
          <cell r="BX168" t="str">
            <v>Tiny Kingdom</v>
          </cell>
          <cell r="BY168" t="str">
            <v>Girls</v>
          </cell>
          <cell r="BZ168" t="str">
            <v>External</v>
          </cell>
          <cell r="CA168" t="str">
            <v>Kurta Sets</v>
          </cell>
          <cell r="CB168" t="str">
            <v>ON_HAND</v>
          </cell>
          <cell r="CC168" t="b">
            <v>0</v>
          </cell>
          <cell r="CD168" t="str">
            <v>**********</v>
          </cell>
          <cell r="CE168">
            <v>122001</v>
          </cell>
          <cell r="CF168" t="str">
            <v>27AXUPC8425A1ZH</v>
          </cell>
          <cell r="CH168" t="str">
            <v>29AAECM9636P1ZJ</v>
          </cell>
          <cell r="CI168" t="str">
            <v>Mumbai</v>
          </cell>
          <cell r="CJ168">
            <v>400013</v>
          </cell>
          <cell r="CK168" t="str">
            <v>maharashtra</v>
          </cell>
          <cell r="CL168" t="str">
            <v>MH</v>
          </cell>
          <cell r="CN168">
            <v>0</v>
          </cell>
          <cell r="CO168">
            <v>280.108</v>
          </cell>
          <cell r="CP168">
            <v>280.108</v>
          </cell>
          <cell r="CQ168">
            <v>0</v>
          </cell>
          <cell r="CR168">
            <v>0</v>
          </cell>
          <cell r="CS168">
            <v>0</v>
          </cell>
          <cell r="CT168">
            <v>1250</v>
          </cell>
          <cell r="CU168">
            <v>0.96338999999999997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E168" t="str">
            <v>0e594c53-b440-4dda-8fed-60a50c923389</v>
          </cell>
          <cell r="DF168">
            <v>100079000000</v>
          </cell>
          <cell r="DG168">
            <v>4.8170000000000002</v>
          </cell>
          <cell r="DH168">
            <v>0</v>
          </cell>
          <cell r="DI168">
            <v>0.96299999999999997</v>
          </cell>
          <cell r="DJ168">
            <v>0</v>
          </cell>
          <cell r="DK168" t="str">
            <v>BRONZE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 t="str">
            <v>NA</v>
          </cell>
          <cell r="DU168" t="str">
            <v>NA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-990.17200000000003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 t="str">
            <v>Settled</v>
          </cell>
          <cell r="FH168">
            <v>1250</v>
          </cell>
          <cell r="FI168">
            <v>990.17200000000003</v>
          </cell>
          <cell r="FJ168">
            <v>285.88799999999998</v>
          </cell>
          <cell r="FK168">
            <v>197.06</v>
          </cell>
        </row>
        <row r="169">
          <cell r="A169">
            <v>8636986750</v>
          </cell>
          <cell r="B169">
            <v>10636911316</v>
          </cell>
          <cell r="C169" t="str">
            <v>return_refund</v>
          </cell>
          <cell r="D169">
            <v>45912.505555555559</v>
          </cell>
          <cell r="E169">
            <v>45898.445138888892</v>
          </cell>
          <cell r="G169" t="str">
            <v>Myntra Designs Pvt Ltd</v>
          </cell>
          <cell r="H169" t="str">
            <v>TIKIDRSS116453904</v>
          </cell>
          <cell r="I169" t="str">
            <v>\I2726TK000002644\""</v>
          </cell>
          <cell r="J169">
            <v>8636986750</v>
          </cell>
          <cell r="K169">
            <v>62042300</v>
          </cell>
          <cell r="L169" t="str">
            <v>Apparel</v>
          </cell>
          <cell r="M169" t="str">
            <v>INR</v>
          </cell>
          <cell r="N169">
            <v>2769</v>
          </cell>
          <cell r="O169">
            <v>2769</v>
          </cell>
          <cell r="P169">
            <v>0</v>
          </cell>
          <cell r="Q169">
            <v>3500</v>
          </cell>
          <cell r="R169">
            <v>525</v>
          </cell>
          <cell r="S169" t="str">
            <v>Inter-State</v>
          </cell>
          <cell r="T169">
            <v>12</v>
          </cell>
          <cell r="U169">
            <v>296.68</v>
          </cell>
          <cell r="V169">
            <v>0</v>
          </cell>
          <cell r="W169">
            <v>0</v>
          </cell>
          <cell r="X169">
            <v>12.362</v>
          </cell>
          <cell r="Y169">
            <v>2.472</v>
          </cell>
          <cell r="AA169">
            <v>0</v>
          </cell>
          <cell r="AB169">
            <v>588.13599999999997</v>
          </cell>
          <cell r="AC169">
            <v>588.13599999999997</v>
          </cell>
          <cell r="AD169">
            <v>602.97</v>
          </cell>
          <cell r="AE169">
            <v>-197.06</v>
          </cell>
          <cell r="AF169">
            <v>167</v>
          </cell>
          <cell r="AG169">
            <v>0</v>
          </cell>
          <cell r="AH169">
            <v>0</v>
          </cell>
          <cell r="AI169">
            <v>0</v>
          </cell>
          <cell r="AJ169">
            <v>30.06</v>
          </cell>
          <cell r="AK169">
            <v>1</v>
          </cell>
          <cell r="AL169" t="str">
            <v>NATIONAL</v>
          </cell>
          <cell r="AM169">
            <v>2975</v>
          </cell>
          <cell r="AN169">
            <v>-2363.09</v>
          </cell>
          <cell r="AO169">
            <v>-2363.09</v>
          </cell>
          <cell r="AP169">
            <v>0</v>
          </cell>
          <cell r="AS169">
            <v>0</v>
          </cell>
          <cell r="AT169">
            <v>602.97</v>
          </cell>
          <cell r="AU169">
            <v>-197.06</v>
          </cell>
          <cell r="AV169">
            <v>-2769</v>
          </cell>
          <cell r="AZ169">
            <v>45916</v>
          </cell>
          <cell r="BA169">
            <v>45916</v>
          </cell>
          <cell r="BB169">
            <v>45916</v>
          </cell>
          <cell r="BF169" t="str">
            <v>NFT-/XUTR/DEUTH02525909403X</v>
          </cell>
          <cell r="BG169" t="str">
            <v>NFT-/XUTR/DEUTH02525909403X</v>
          </cell>
          <cell r="BH169" t="str">
            <v>NFT-/XUTR/DEUTH02525909403X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2472.3200000000002</v>
          </cell>
          <cell r="BP169">
            <v>12</v>
          </cell>
          <cell r="BQ169">
            <v>0</v>
          </cell>
          <cell r="BR169">
            <v>0</v>
          </cell>
          <cell r="BS169">
            <v>0</v>
          </cell>
          <cell r="BT169">
            <v>0.5</v>
          </cell>
          <cell r="BU169">
            <v>0</v>
          </cell>
          <cell r="BV169">
            <v>0</v>
          </cell>
          <cell r="BW169">
            <v>0.1</v>
          </cell>
          <cell r="BX169" t="str">
            <v>Tiny Kingdom</v>
          </cell>
          <cell r="BY169" t="str">
            <v>Girls</v>
          </cell>
          <cell r="BZ169" t="str">
            <v>External</v>
          </cell>
          <cell r="CA169" t="str">
            <v>Dresses</v>
          </cell>
          <cell r="CB169" t="str">
            <v>ON_HAND</v>
          </cell>
          <cell r="CC169" t="b">
            <v>0</v>
          </cell>
          <cell r="CD169" t="str">
            <v>**********</v>
          </cell>
          <cell r="CE169">
            <v>201304</v>
          </cell>
          <cell r="CF169" t="str">
            <v>27AXUPC8425A1ZH</v>
          </cell>
          <cell r="CH169" t="str">
            <v>29AAECM9636P1ZJ</v>
          </cell>
          <cell r="CI169" t="str">
            <v>Mumbai</v>
          </cell>
          <cell r="CJ169">
            <v>400013</v>
          </cell>
          <cell r="CK169" t="str">
            <v>maharashtra</v>
          </cell>
          <cell r="CL169" t="str">
            <v>MH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W169">
            <v>0</v>
          </cell>
          <cell r="CX169">
            <v>588.13599999999997</v>
          </cell>
          <cell r="CY169">
            <v>588.13599999999997</v>
          </cell>
          <cell r="CZ169">
            <v>0</v>
          </cell>
          <cell r="DA169">
            <v>0</v>
          </cell>
          <cell r="DB169">
            <v>0</v>
          </cell>
          <cell r="DC169">
            <v>525</v>
          </cell>
          <cell r="DD169">
            <v>2.4723199999999999</v>
          </cell>
          <cell r="DE169" t="str">
            <v>e966aabb-a158-4344-8b24-c840f26b225b</v>
          </cell>
          <cell r="DF169">
            <v>100077000000</v>
          </cell>
          <cell r="DG169">
            <v>0</v>
          </cell>
          <cell r="DH169">
            <v>12.362</v>
          </cell>
          <cell r="DI169">
            <v>0</v>
          </cell>
          <cell r="DJ169">
            <v>2.472</v>
          </cell>
          <cell r="DK169" t="str">
            <v>BRONZE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 t="str">
            <v>NA</v>
          </cell>
          <cell r="DU169" t="str">
            <v>NA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-2363.09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 t="str">
            <v>Settled</v>
          </cell>
          <cell r="FH169">
            <v>2975</v>
          </cell>
          <cell r="FI169">
            <v>2363.09</v>
          </cell>
          <cell r="FJ169">
            <v>602.97</v>
          </cell>
          <cell r="FK169">
            <v>197.06</v>
          </cell>
        </row>
        <row r="170">
          <cell r="A170">
            <v>8657935085</v>
          </cell>
          <cell r="B170">
            <v>10657859204</v>
          </cell>
          <cell r="C170" t="str">
            <v>return_refund</v>
          </cell>
          <cell r="D170">
            <v>45915.627083333333</v>
          </cell>
          <cell r="E170">
            <v>45910.459722222222</v>
          </cell>
          <cell r="G170" t="str">
            <v>Myntra Designs Pvt Ltd</v>
          </cell>
          <cell r="H170" t="str">
            <v>TIKILHNC103613420</v>
          </cell>
          <cell r="I170" t="str">
            <v>\I2726TK000002842\""</v>
          </cell>
          <cell r="J170">
            <v>8657935085</v>
          </cell>
          <cell r="K170">
            <v>62042300</v>
          </cell>
          <cell r="L170" t="str">
            <v>Apparel</v>
          </cell>
          <cell r="M170" t="str">
            <v>INR</v>
          </cell>
          <cell r="N170">
            <v>2944</v>
          </cell>
          <cell r="O170">
            <v>1952.1</v>
          </cell>
          <cell r="P170">
            <v>991.89</v>
          </cell>
          <cell r="Q170">
            <v>4500</v>
          </cell>
          <cell r="R170">
            <v>1350</v>
          </cell>
          <cell r="S170" t="str">
            <v>Inter-State</v>
          </cell>
          <cell r="T170">
            <v>12</v>
          </cell>
          <cell r="U170">
            <v>315.43</v>
          </cell>
          <cell r="V170">
            <v>0</v>
          </cell>
          <cell r="W170">
            <v>0</v>
          </cell>
          <cell r="X170">
            <v>13.143000000000001</v>
          </cell>
          <cell r="Y170">
            <v>2.629</v>
          </cell>
          <cell r="AA170">
            <v>0</v>
          </cell>
          <cell r="AB170">
            <v>729.52</v>
          </cell>
          <cell r="AC170">
            <v>729.52</v>
          </cell>
          <cell r="AD170">
            <v>745.29200000000003</v>
          </cell>
          <cell r="AE170">
            <v>-132.16</v>
          </cell>
          <cell r="AF170">
            <v>112</v>
          </cell>
          <cell r="AG170">
            <v>0</v>
          </cell>
          <cell r="AH170">
            <v>0</v>
          </cell>
          <cell r="AI170">
            <v>0</v>
          </cell>
          <cell r="AJ170">
            <v>20.16</v>
          </cell>
          <cell r="AK170">
            <v>1</v>
          </cell>
          <cell r="AL170" t="str">
            <v>ZONAL</v>
          </cell>
          <cell r="AM170">
            <v>3150</v>
          </cell>
          <cell r="AN170">
            <v>-2330.8580000000002</v>
          </cell>
          <cell r="AO170">
            <v>-2330.8580000000002</v>
          </cell>
          <cell r="AP170">
            <v>0</v>
          </cell>
          <cell r="AQ170">
            <v>251.10400000000001</v>
          </cell>
          <cell r="AR170">
            <v>-44.527299999999997</v>
          </cell>
          <cell r="AS170">
            <v>-991.89</v>
          </cell>
          <cell r="AT170">
            <v>494.18799999999999</v>
          </cell>
          <cell r="AU170">
            <v>-87.6327</v>
          </cell>
          <cell r="AV170">
            <v>-1952.1</v>
          </cell>
          <cell r="AW170">
            <v>45929</v>
          </cell>
          <cell r="AX170">
            <v>45929</v>
          </cell>
          <cell r="AY170">
            <v>45929</v>
          </cell>
          <cell r="AZ170">
            <v>45929</v>
          </cell>
          <cell r="BA170">
            <v>45929</v>
          </cell>
          <cell r="BB170">
            <v>45929</v>
          </cell>
          <cell r="BC170" t="str">
            <v>NFT-/XUTR/DEUTH025272A0RO3X</v>
          </cell>
          <cell r="BD170" t="str">
            <v>NFT-/XUTR/DEUTH025272A0RO3X</v>
          </cell>
          <cell r="BE170" t="str">
            <v>NFT-/XUTR/DEUTH025272A0RO3X</v>
          </cell>
          <cell r="BF170" t="str">
            <v>NFT-/XUTR/DEUTH025272A0QW5X</v>
          </cell>
          <cell r="BG170" t="str">
            <v>NFT-/XUTR/DEUTH025272A0QW5X</v>
          </cell>
          <cell r="BH170" t="str">
            <v>NFT-/XUTR/DEUTH025272A0QW5X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2628.57</v>
          </cell>
          <cell r="BP170">
            <v>12</v>
          </cell>
          <cell r="BQ170">
            <v>0</v>
          </cell>
          <cell r="BR170">
            <v>0</v>
          </cell>
          <cell r="BS170">
            <v>0</v>
          </cell>
          <cell r="BT170">
            <v>0.5</v>
          </cell>
          <cell r="BU170">
            <v>0</v>
          </cell>
          <cell r="BV170">
            <v>0</v>
          </cell>
          <cell r="BW170">
            <v>0.1</v>
          </cell>
          <cell r="BX170" t="str">
            <v>Tiny Kingdom</v>
          </cell>
          <cell r="BY170" t="str">
            <v>Girls</v>
          </cell>
          <cell r="BZ170" t="str">
            <v>External</v>
          </cell>
          <cell r="CA170" t="str">
            <v>Lehenga Choli</v>
          </cell>
          <cell r="CB170" t="str">
            <v>ON_HAND</v>
          </cell>
          <cell r="CC170" t="b">
            <v>0</v>
          </cell>
          <cell r="CD170" t="str">
            <v>**********</v>
          </cell>
          <cell r="CE170">
            <v>396210</v>
          </cell>
          <cell r="CF170" t="str">
            <v>27AXUPC8425A1ZH</v>
          </cell>
          <cell r="CH170" t="str">
            <v>29AAECM9636P1ZJ</v>
          </cell>
          <cell r="CI170" t="str">
            <v>Mumbai</v>
          </cell>
          <cell r="CJ170">
            <v>400013</v>
          </cell>
          <cell r="CK170" t="str">
            <v>maharashtra</v>
          </cell>
          <cell r="CL170" t="str">
            <v>MH</v>
          </cell>
          <cell r="CN170">
            <v>0</v>
          </cell>
          <cell r="CO170">
            <v>245.79</v>
          </cell>
          <cell r="CP170">
            <v>245.79</v>
          </cell>
          <cell r="CQ170">
            <v>0</v>
          </cell>
          <cell r="CR170">
            <v>0</v>
          </cell>
          <cell r="CS170">
            <v>0</v>
          </cell>
          <cell r="CT170">
            <v>1350</v>
          </cell>
          <cell r="CU170">
            <v>2.6285699999999999</v>
          </cell>
          <cell r="CW170">
            <v>0</v>
          </cell>
          <cell r="CX170">
            <v>483.73</v>
          </cell>
          <cell r="CY170">
            <v>483.73</v>
          </cell>
          <cell r="CZ170">
            <v>0</v>
          </cell>
          <cell r="DA170">
            <v>0</v>
          </cell>
          <cell r="DB170">
            <v>0</v>
          </cell>
          <cell r="DC170">
            <v>1350</v>
          </cell>
          <cell r="DD170">
            <v>2.6285699999999999</v>
          </cell>
          <cell r="DE170" t="str">
            <v>adc6ed14-33bd-4149-a9ba-9d7a5253f075</v>
          </cell>
          <cell r="DF170">
            <v>100078000000</v>
          </cell>
          <cell r="DG170">
            <v>4.4279999999999999</v>
          </cell>
          <cell r="DH170">
            <v>8.7149999999999999</v>
          </cell>
          <cell r="DI170">
            <v>0.88600000000000001</v>
          </cell>
          <cell r="DJ170">
            <v>1.7430000000000001</v>
          </cell>
          <cell r="DK170" t="str">
            <v>BRONZE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 t="str">
            <v>NA</v>
          </cell>
          <cell r="DU170" t="str">
            <v>NA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-2330.8580000000002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 t="str">
            <v>Settled</v>
          </cell>
          <cell r="FH170">
            <v>3150</v>
          </cell>
          <cell r="FI170">
            <v>2330.8580000000002</v>
          </cell>
          <cell r="FJ170">
            <v>745.29200000000003</v>
          </cell>
          <cell r="FK170">
            <v>132.16</v>
          </cell>
        </row>
        <row r="171">
          <cell r="A171">
            <v>8615996506</v>
          </cell>
          <cell r="B171">
            <v>10615921925</v>
          </cell>
          <cell r="C171" t="str">
            <v>return_refund</v>
          </cell>
          <cell r="D171">
            <v>45891.665972222225</v>
          </cell>
          <cell r="E171">
            <v>45883.446527777778</v>
          </cell>
          <cell r="F171">
            <v>44524</v>
          </cell>
          <cell r="G171" t="str">
            <v>Myntra Designs Pvt Ltd</v>
          </cell>
          <cell r="H171" t="str">
            <v>TIKILHNC101907529</v>
          </cell>
          <cell r="I171" t="str">
            <v>\I2726TK000002427\""</v>
          </cell>
          <cell r="J171">
            <v>9754671641</v>
          </cell>
          <cell r="K171">
            <v>62042300</v>
          </cell>
          <cell r="L171" t="str">
            <v>Apparel</v>
          </cell>
          <cell r="M171" t="str">
            <v>INR</v>
          </cell>
          <cell r="N171">
            <v>1079</v>
          </cell>
          <cell r="O171">
            <v>1079</v>
          </cell>
          <cell r="P171">
            <v>0</v>
          </cell>
          <cell r="Q171">
            <v>2500</v>
          </cell>
          <cell r="R171">
            <v>1250</v>
          </cell>
          <cell r="S171" t="str">
            <v>Inter-State</v>
          </cell>
          <cell r="T171">
            <v>12</v>
          </cell>
          <cell r="U171">
            <v>115.61</v>
          </cell>
          <cell r="V171">
            <v>0</v>
          </cell>
          <cell r="W171">
            <v>0</v>
          </cell>
          <cell r="X171">
            <v>4.8170000000000002</v>
          </cell>
          <cell r="Y171">
            <v>0.96299999999999997</v>
          </cell>
          <cell r="AB171">
            <v>0</v>
          </cell>
          <cell r="AC171">
            <v>0</v>
          </cell>
          <cell r="AD171">
            <v>273.15600000000001</v>
          </cell>
          <cell r="AE171">
            <v>-197.06</v>
          </cell>
          <cell r="AF171">
            <v>167</v>
          </cell>
          <cell r="AG171">
            <v>0</v>
          </cell>
          <cell r="AH171">
            <v>0</v>
          </cell>
          <cell r="AI171">
            <v>0</v>
          </cell>
          <cell r="AJ171">
            <v>30.06</v>
          </cell>
          <cell r="AK171">
            <v>1</v>
          </cell>
          <cell r="AL171" t="str">
            <v>NATIONAL</v>
          </cell>
          <cell r="AM171">
            <v>1250</v>
          </cell>
          <cell r="AN171">
            <v>-1002.904</v>
          </cell>
          <cell r="AO171">
            <v>-1002.904</v>
          </cell>
          <cell r="AP171">
            <v>0</v>
          </cell>
          <cell r="AS171">
            <v>0</v>
          </cell>
          <cell r="AT171">
            <v>273.15600000000001</v>
          </cell>
          <cell r="AU171">
            <v>-197.06</v>
          </cell>
          <cell r="AV171">
            <v>-1079</v>
          </cell>
          <cell r="AZ171">
            <v>45904</v>
          </cell>
          <cell r="BA171">
            <v>45904</v>
          </cell>
          <cell r="BB171">
            <v>45904</v>
          </cell>
          <cell r="BF171" t="str">
            <v>NFT-/XUTR/DEUTH02524710194X</v>
          </cell>
          <cell r="BG171" t="str">
            <v>NFT-/XUTR/DEUTH02524710194X</v>
          </cell>
          <cell r="BH171" t="str">
            <v>NFT-/XUTR/DEUTH02524710194X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963.39</v>
          </cell>
          <cell r="BP171">
            <v>12</v>
          </cell>
          <cell r="BQ171">
            <v>0</v>
          </cell>
          <cell r="BR171">
            <v>0</v>
          </cell>
          <cell r="BS171">
            <v>0</v>
          </cell>
          <cell r="BT171">
            <v>0.5</v>
          </cell>
          <cell r="BU171">
            <v>0</v>
          </cell>
          <cell r="BV171">
            <v>0</v>
          </cell>
          <cell r="BW171">
            <v>0.1</v>
          </cell>
          <cell r="BX171" t="str">
            <v>Tiny Kingdom</v>
          </cell>
          <cell r="BY171" t="str">
            <v>Girls</v>
          </cell>
          <cell r="BZ171" t="str">
            <v>External</v>
          </cell>
          <cell r="CA171" t="str">
            <v>Lehenga Choli</v>
          </cell>
          <cell r="CB171" t="str">
            <v>ON_HAND</v>
          </cell>
          <cell r="CC171" t="b">
            <v>0</v>
          </cell>
          <cell r="CD171" t="str">
            <v>**********</v>
          </cell>
          <cell r="CE171">
            <v>781028</v>
          </cell>
          <cell r="CF171" t="str">
            <v>27AXUPC8425A1ZH</v>
          </cell>
          <cell r="CH171" t="str">
            <v>29AAECM9636P1ZJ</v>
          </cell>
          <cell r="CI171" t="str">
            <v>Mumbai</v>
          </cell>
          <cell r="CJ171">
            <v>400013</v>
          </cell>
          <cell r="CK171" t="str">
            <v>maharashtra</v>
          </cell>
          <cell r="CL171" t="str">
            <v>MH</v>
          </cell>
          <cell r="DE171" t="str">
            <v>e15ba8ac-97cc-4795-a838-2156cb15dcd5</v>
          </cell>
          <cell r="DF171">
            <v>100072000000</v>
          </cell>
          <cell r="DG171">
            <v>0</v>
          </cell>
          <cell r="DH171">
            <v>4.8170000000000002</v>
          </cell>
          <cell r="DI171">
            <v>0</v>
          </cell>
          <cell r="DJ171">
            <v>0.96299999999999997</v>
          </cell>
          <cell r="DK171" t="str">
            <v>BRONZE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 t="str">
            <v>NA</v>
          </cell>
          <cell r="DU171" t="str">
            <v>NA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-1002.904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 t="str">
            <v>Settled</v>
          </cell>
          <cell r="FH171">
            <v>1250</v>
          </cell>
          <cell r="FI171">
            <v>1002.904</v>
          </cell>
          <cell r="FJ171">
            <v>273.15600000000001</v>
          </cell>
          <cell r="FK171">
            <v>197.06</v>
          </cell>
        </row>
        <row r="172">
          <cell r="A172">
            <v>8654080323</v>
          </cell>
          <cell r="B172">
            <v>10654004548</v>
          </cell>
          <cell r="C172" t="str">
            <v>return_refund</v>
          </cell>
          <cell r="D172">
            <v>45912.663888888892</v>
          </cell>
          <cell r="E172">
            <v>45908.48333333333</v>
          </cell>
          <cell r="G172" t="str">
            <v>Myntra Designs Pvt Ltd</v>
          </cell>
          <cell r="H172" t="str">
            <v>TIKICLST112314236</v>
          </cell>
          <cell r="I172" t="str">
            <v>\I2726TK000002796\""</v>
          </cell>
          <cell r="J172">
            <v>8654080323</v>
          </cell>
          <cell r="K172">
            <v>62042300</v>
          </cell>
          <cell r="L172" t="str">
            <v>Apparel</v>
          </cell>
          <cell r="M172" t="str">
            <v>INR</v>
          </cell>
          <cell r="N172">
            <v>2994</v>
          </cell>
          <cell r="O172">
            <v>0</v>
          </cell>
          <cell r="P172">
            <v>2994</v>
          </cell>
          <cell r="Q172">
            <v>4000</v>
          </cell>
          <cell r="R172">
            <v>800</v>
          </cell>
          <cell r="S172" t="str">
            <v>Inter-State</v>
          </cell>
          <cell r="T172">
            <v>12</v>
          </cell>
          <cell r="U172">
            <v>320.79000000000002</v>
          </cell>
          <cell r="V172">
            <v>0</v>
          </cell>
          <cell r="W172">
            <v>0</v>
          </cell>
          <cell r="X172">
            <v>13.366</v>
          </cell>
          <cell r="Y172">
            <v>2.673</v>
          </cell>
          <cell r="AA172">
            <v>0</v>
          </cell>
          <cell r="AB172">
            <v>741.91300000000001</v>
          </cell>
          <cell r="AC172">
            <v>741.91300000000001</v>
          </cell>
          <cell r="AD172">
            <v>757.952</v>
          </cell>
          <cell r="AE172">
            <v>-132.16</v>
          </cell>
          <cell r="AF172">
            <v>112</v>
          </cell>
          <cell r="AG172">
            <v>0</v>
          </cell>
          <cell r="AH172">
            <v>0</v>
          </cell>
          <cell r="AI172">
            <v>0</v>
          </cell>
          <cell r="AJ172">
            <v>20.16</v>
          </cell>
          <cell r="AK172">
            <v>1</v>
          </cell>
          <cell r="AL172" t="str">
            <v>ZONAL</v>
          </cell>
          <cell r="AM172">
            <v>3200</v>
          </cell>
          <cell r="AN172">
            <v>-2368.2080000000001</v>
          </cell>
          <cell r="AO172">
            <v>-2368.2080000000001</v>
          </cell>
          <cell r="AP172">
            <v>0</v>
          </cell>
          <cell r="AQ172">
            <v>757.952</v>
          </cell>
          <cell r="AR172">
            <v>-132.16</v>
          </cell>
          <cell r="AS172">
            <v>-2994</v>
          </cell>
          <cell r="AV172">
            <v>0</v>
          </cell>
          <cell r="AW172">
            <v>45925</v>
          </cell>
          <cell r="AX172">
            <v>45925</v>
          </cell>
          <cell r="AY172">
            <v>45925</v>
          </cell>
          <cell r="BC172" t="str">
            <v>NFT-/XUTR/DEUTH02526823565X</v>
          </cell>
          <cell r="BD172" t="str">
            <v>NFT-/XUTR/DEUTH02526823565X</v>
          </cell>
          <cell r="BE172" t="str">
            <v>NFT-/XUTR/DEUTH02526823565X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2673.21</v>
          </cell>
          <cell r="BP172">
            <v>12</v>
          </cell>
          <cell r="BQ172">
            <v>0</v>
          </cell>
          <cell r="BR172">
            <v>0</v>
          </cell>
          <cell r="BS172">
            <v>0</v>
          </cell>
          <cell r="BT172">
            <v>0.5</v>
          </cell>
          <cell r="BU172">
            <v>0</v>
          </cell>
          <cell r="BV172">
            <v>0</v>
          </cell>
          <cell r="BW172">
            <v>0.1</v>
          </cell>
          <cell r="BX172" t="str">
            <v>Tiny Kingdom</v>
          </cell>
          <cell r="BY172" t="str">
            <v>Girls</v>
          </cell>
          <cell r="BZ172" t="str">
            <v>External</v>
          </cell>
          <cell r="CA172" t="str">
            <v>Clothing Set</v>
          </cell>
          <cell r="CB172" t="str">
            <v>ON_HAND</v>
          </cell>
          <cell r="CC172" t="b">
            <v>0</v>
          </cell>
          <cell r="CD172" t="str">
            <v>**********</v>
          </cell>
          <cell r="CE172">
            <v>560102</v>
          </cell>
          <cell r="CF172" t="str">
            <v>27AXUPC8425A1ZH</v>
          </cell>
          <cell r="CH172" t="str">
            <v>29AAECM9636P1ZJ</v>
          </cell>
          <cell r="CI172" t="str">
            <v>Mumbai</v>
          </cell>
          <cell r="CJ172">
            <v>400013</v>
          </cell>
          <cell r="CK172" t="str">
            <v>maharashtra</v>
          </cell>
          <cell r="CL172" t="str">
            <v>MH</v>
          </cell>
          <cell r="CN172">
            <v>0</v>
          </cell>
          <cell r="CO172">
            <v>741.91300000000001</v>
          </cell>
          <cell r="CP172">
            <v>741.91300000000001</v>
          </cell>
          <cell r="CQ172">
            <v>0</v>
          </cell>
          <cell r="CR172">
            <v>0</v>
          </cell>
          <cell r="CS172">
            <v>0</v>
          </cell>
          <cell r="CT172">
            <v>800</v>
          </cell>
          <cell r="CU172">
            <v>2.6732100000000001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E172" t="str">
            <v>88325928-dacd-4dde-9025-55265b9ec09b</v>
          </cell>
          <cell r="DF172">
            <v>100077000000</v>
          </cell>
          <cell r="DG172">
            <v>13.366</v>
          </cell>
          <cell r="DH172">
            <v>0</v>
          </cell>
          <cell r="DI172">
            <v>2.673</v>
          </cell>
          <cell r="DJ172">
            <v>0</v>
          </cell>
          <cell r="DK172" t="str">
            <v>BRONZE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 t="str">
            <v>NA</v>
          </cell>
          <cell r="DU172" t="str">
            <v>NA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-2368.2080000000001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 t="str">
            <v>Settled</v>
          </cell>
          <cell r="FH172">
            <v>3200</v>
          </cell>
          <cell r="FI172">
            <v>2368.2080000000001</v>
          </cell>
          <cell r="FJ172">
            <v>757.952</v>
          </cell>
          <cell r="FK172">
            <v>132.16</v>
          </cell>
        </row>
        <row r="173">
          <cell r="A173">
            <v>8635414105</v>
          </cell>
          <cell r="B173">
            <v>10635338721</v>
          </cell>
          <cell r="C173" t="str">
            <v>return_refund</v>
          </cell>
          <cell r="D173">
            <v>45910.572222222225</v>
          </cell>
          <cell r="E173">
            <v>45897.440972222219</v>
          </cell>
          <cell r="G173" t="str">
            <v>Myntra Designs Pvt Ltd</v>
          </cell>
          <cell r="H173" t="str">
            <v>TIKIDRSS101406984</v>
          </cell>
          <cell r="I173" t="str">
            <v>\I2726TK000002624\""</v>
          </cell>
          <cell r="J173">
            <v>8635414105</v>
          </cell>
          <cell r="K173">
            <v>62042300</v>
          </cell>
          <cell r="L173" t="str">
            <v>Apparel</v>
          </cell>
          <cell r="M173" t="str">
            <v>INR</v>
          </cell>
          <cell r="N173">
            <v>3274</v>
          </cell>
          <cell r="O173">
            <v>0</v>
          </cell>
          <cell r="P173">
            <v>3274</v>
          </cell>
          <cell r="Q173">
            <v>4000</v>
          </cell>
          <cell r="R173">
            <v>520</v>
          </cell>
          <cell r="S173" t="str">
            <v>Intra-State</v>
          </cell>
          <cell r="T173">
            <v>12</v>
          </cell>
          <cell r="U173">
            <v>0</v>
          </cell>
          <cell r="V173">
            <v>175.39</v>
          </cell>
          <cell r="W173">
            <v>175.39</v>
          </cell>
          <cell r="X173">
            <v>14.616</v>
          </cell>
          <cell r="Y173">
            <v>2.923</v>
          </cell>
          <cell r="AA173">
            <v>0</v>
          </cell>
          <cell r="AB173">
            <v>695.39800000000002</v>
          </cell>
          <cell r="AC173">
            <v>695.39800000000002</v>
          </cell>
          <cell r="AD173">
            <v>712.93700000000001</v>
          </cell>
          <cell r="AE173">
            <v>-107.38</v>
          </cell>
          <cell r="AF173">
            <v>91</v>
          </cell>
          <cell r="AG173">
            <v>0</v>
          </cell>
          <cell r="AH173">
            <v>0</v>
          </cell>
          <cell r="AI173">
            <v>0</v>
          </cell>
          <cell r="AJ173">
            <v>16.38</v>
          </cell>
          <cell r="AK173">
            <v>1</v>
          </cell>
          <cell r="AL173" t="str">
            <v>LOCAL</v>
          </cell>
          <cell r="AM173">
            <v>3480</v>
          </cell>
          <cell r="AN173">
            <v>-2668.4430000000002</v>
          </cell>
          <cell r="AO173">
            <v>-2668.4430000000002</v>
          </cell>
          <cell r="AP173">
            <v>0</v>
          </cell>
          <cell r="AQ173">
            <v>712.93700000000001</v>
          </cell>
          <cell r="AR173">
            <v>-107.38</v>
          </cell>
          <cell r="AS173">
            <v>-3274</v>
          </cell>
          <cell r="AV173">
            <v>0</v>
          </cell>
          <cell r="AW173">
            <v>45922</v>
          </cell>
          <cell r="AX173">
            <v>45922</v>
          </cell>
          <cell r="AY173">
            <v>45922</v>
          </cell>
          <cell r="BC173" t="str">
            <v>NFT-/XUTR/DEUTH025265A10GKX</v>
          </cell>
          <cell r="BD173" t="str">
            <v>NFT-/XUTR/DEUTH025265A10GKX</v>
          </cell>
          <cell r="BE173" t="str">
            <v>NFT-/XUTR/DEUTH025265A10GKX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2923.22</v>
          </cell>
          <cell r="BP173">
            <v>0</v>
          </cell>
          <cell r="BQ173">
            <v>6</v>
          </cell>
          <cell r="BR173">
            <v>6</v>
          </cell>
          <cell r="BS173">
            <v>0</v>
          </cell>
          <cell r="BT173">
            <v>0</v>
          </cell>
          <cell r="BU173">
            <v>0.25</v>
          </cell>
          <cell r="BV173">
            <v>0.25</v>
          </cell>
          <cell r="BW173">
            <v>0.1</v>
          </cell>
          <cell r="BX173" t="str">
            <v>Tiny Kingdom</v>
          </cell>
          <cell r="BY173" t="str">
            <v>Girls</v>
          </cell>
          <cell r="BZ173" t="str">
            <v>External</v>
          </cell>
          <cell r="CA173" t="str">
            <v>Dresses</v>
          </cell>
          <cell r="CB173" t="str">
            <v>ON_HAND</v>
          </cell>
          <cell r="CC173" t="b">
            <v>0</v>
          </cell>
          <cell r="CD173" t="str">
            <v>**********</v>
          </cell>
          <cell r="CE173">
            <v>400097</v>
          </cell>
          <cell r="CF173" t="str">
            <v>27AXUPC8425A1ZH</v>
          </cell>
          <cell r="CH173" t="str">
            <v>29AAECM9636P1ZJ</v>
          </cell>
          <cell r="CI173" t="str">
            <v>Mumbai</v>
          </cell>
          <cell r="CJ173">
            <v>400013</v>
          </cell>
          <cell r="CK173" t="str">
            <v>maharashtra</v>
          </cell>
          <cell r="CL173" t="str">
            <v>MH</v>
          </cell>
          <cell r="CN173">
            <v>0</v>
          </cell>
          <cell r="CO173">
            <v>695.39800000000002</v>
          </cell>
          <cell r="CP173">
            <v>695.39800000000002</v>
          </cell>
          <cell r="CQ173">
            <v>0</v>
          </cell>
          <cell r="CR173">
            <v>0</v>
          </cell>
          <cell r="CS173">
            <v>0</v>
          </cell>
          <cell r="CT173">
            <v>520</v>
          </cell>
          <cell r="CU173">
            <v>2.9232200000000002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E173" t="str">
            <v>ac692748-3a90-4912-b73e-8094b08ec3b5</v>
          </cell>
          <cell r="DF173">
            <v>100076000000</v>
          </cell>
          <cell r="DG173">
            <v>14.616</v>
          </cell>
          <cell r="DH173">
            <v>0</v>
          </cell>
          <cell r="DI173">
            <v>2.923</v>
          </cell>
          <cell r="DJ173">
            <v>0</v>
          </cell>
          <cell r="DK173" t="str">
            <v>BRONZE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 t="str">
            <v>NA</v>
          </cell>
          <cell r="DU173" t="str">
            <v>NA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-2668.4430000000002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 t="str">
            <v>Settled</v>
          </cell>
          <cell r="FH173">
            <v>3480</v>
          </cell>
          <cell r="FI173">
            <v>2668.4430000000002</v>
          </cell>
          <cell r="FJ173">
            <v>712.93700000000001</v>
          </cell>
          <cell r="FK173">
            <v>107.38</v>
          </cell>
        </row>
        <row r="174">
          <cell r="A174">
            <v>8654767449</v>
          </cell>
          <cell r="B174">
            <v>10654691661</v>
          </cell>
          <cell r="C174" t="str">
            <v>return_refund</v>
          </cell>
          <cell r="D174">
            <v>45914.518055555556</v>
          </cell>
          <cell r="E174">
            <v>45908.48333333333</v>
          </cell>
          <cell r="F174">
            <v>44543</v>
          </cell>
          <cell r="G174" t="str">
            <v>Myntra Designs Pvt Ltd</v>
          </cell>
          <cell r="H174" t="str">
            <v>TIKILHNC96961084</v>
          </cell>
          <cell r="I174" t="str">
            <v>\I2726TK000002800\""</v>
          </cell>
          <cell r="J174">
            <v>8654767449</v>
          </cell>
          <cell r="K174">
            <v>62042300</v>
          </cell>
          <cell r="L174" t="str">
            <v>Apparel</v>
          </cell>
          <cell r="M174" t="str">
            <v>INR</v>
          </cell>
          <cell r="N174">
            <v>2344</v>
          </cell>
          <cell r="O174">
            <v>2344</v>
          </cell>
          <cell r="P174">
            <v>0</v>
          </cell>
          <cell r="Q174">
            <v>4250</v>
          </cell>
          <cell r="R174">
            <v>1700</v>
          </cell>
          <cell r="S174" t="str">
            <v>Inter-State</v>
          </cell>
          <cell r="T174">
            <v>12</v>
          </cell>
          <cell r="U174">
            <v>251.14</v>
          </cell>
          <cell r="V174">
            <v>0</v>
          </cell>
          <cell r="W174">
            <v>0</v>
          </cell>
          <cell r="X174">
            <v>10.464</v>
          </cell>
          <cell r="Y174">
            <v>2.093</v>
          </cell>
          <cell r="AA174">
            <v>0</v>
          </cell>
          <cell r="AB174">
            <v>580.84299999999996</v>
          </cell>
          <cell r="AC174">
            <v>580.84299999999996</v>
          </cell>
          <cell r="AD174">
            <v>593.4</v>
          </cell>
          <cell r="AE174">
            <v>-197.06</v>
          </cell>
          <cell r="AF174">
            <v>167</v>
          </cell>
          <cell r="AG174">
            <v>0</v>
          </cell>
          <cell r="AH174">
            <v>0</v>
          </cell>
          <cell r="AI174">
            <v>0</v>
          </cell>
          <cell r="AJ174">
            <v>30.06</v>
          </cell>
          <cell r="AK174">
            <v>1</v>
          </cell>
          <cell r="AL174" t="str">
            <v>NATIONAL</v>
          </cell>
          <cell r="AM174">
            <v>2550</v>
          </cell>
          <cell r="AN174">
            <v>-1947.66</v>
          </cell>
          <cell r="AO174">
            <v>-1947.66</v>
          </cell>
          <cell r="AP174">
            <v>0</v>
          </cell>
          <cell r="AS174">
            <v>0</v>
          </cell>
          <cell r="AT174">
            <v>593.4</v>
          </cell>
          <cell r="AU174">
            <v>-197.06</v>
          </cell>
          <cell r="AV174">
            <v>-2344</v>
          </cell>
          <cell r="AZ174">
            <v>45926</v>
          </cell>
          <cell r="BA174">
            <v>45926</v>
          </cell>
          <cell r="BB174">
            <v>45926</v>
          </cell>
          <cell r="BF174" t="str">
            <v>NFT-/XUTR/DEUTH02526965743X</v>
          </cell>
          <cell r="BG174" t="str">
            <v>NFT-/XUTR/DEUTH02526965743X</v>
          </cell>
          <cell r="BH174" t="str">
            <v>NFT-/XUTR/DEUTH02526965743X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2092.86</v>
          </cell>
          <cell r="BP174">
            <v>12</v>
          </cell>
          <cell r="BQ174">
            <v>0</v>
          </cell>
          <cell r="BR174">
            <v>0</v>
          </cell>
          <cell r="BS174">
            <v>0</v>
          </cell>
          <cell r="BT174">
            <v>0.5</v>
          </cell>
          <cell r="BU174">
            <v>0</v>
          </cell>
          <cell r="BV174">
            <v>0</v>
          </cell>
          <cell r="BW174">
            <v>0.1</v>
          </cell>
          <cell r="BX174" t="str">
            <v>Tiny Kingdom</v>
          </cell>
          <cell r="BY174" t="str">
            <v>Girls</v>
          </cell>
          <cell r="BZ174" t="str">
            <v>External</v>
          </cell>
          <cell r="CA174" t="str">
            <v>Lehenga Choli</v>
          </cell>
          <cell r="CB174" t="str">
            <v>ON_HAND</v>
          </cell>
          <cell r="CC174" t="b">
            <v>0</v>
          </cell>
          <cell r="CD174" t="str">
            <v>**********</v>
          </cell>
          <cell r="CE174">
            <v>751017</v>
          </cell>
          <cell r="CF174" t="str">
            <v>27AXUPC8425A1ZH</v>
          </cell>
          <cell r="CH174" t="str">
            <v>29AAECM9636P1ZJ</v>
          </cell>
          <cell r="CI174" t="str">
            <v>Mumbai</v>
          </cell>
          <cell r="CJ174">
            <v>400013</v>
          </cell>
          <cell r="CK174" t="str">
            <v>maharashtra</v>
          </cell>
          <cell r="CL174" t="str">
            <v>MH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W174">
            <v>0</v>
          </cell>
          <cell r="CX174">
            <v>580.84299999999996</v>
          </cell>
          <cell r="CY174">
            <v>580.84299999999996</v>
          </cell>
          <cell r="CZ174">
            <v>0</v>
          </cell>
          <cell r="DA174">
            <v>0</v>
          </cell>
          <cell r="DB174">
            <v>0</v>
          </cell>
          <cell r="DC174">
            <v>1700</v>
          </cell>
          <cell r="DD174">
            <v>2.0928599999999999</v>
          </cell>
          <cell r="DE174" t="str">
            <v>32ecccbd-acb9-441c-8f3d-bb930aea5b54</v>
          </cell>
          <cell r="DF174">
            <v>100078000000</v>
          </cell>
          <cell r="DG174">
            <v>0</v>
          </cell>
          <cell r="DH174">
            <v>10.464</v>
          </cell>
          <cell r="DI174">
            <v>0</v>
          </cell>
          <cell r="DJ174">
            <v>2.093</v>
          </cell>
          <cell r="DK174" t="str">
            <v>BRONZE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 t="str">
            <v>NA</v>
          </cell>
          <cell r="DU174" t="str">
            <v>NA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-1947.66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 t="str">
            <v>Settled</v>
          </cell>
          <cell r="FH174">
            <v>2550</v>
          </cell>
          <cell r="FI174">
            <v>1947.66</v>
          </cell>
          <cell r="FJ174">
            <v>593.4</v>
          </cell>
          <cell r="FK174">
            <v>197.06</v>
          </cell>
        </row>
        <row r="175">
          <cell r="A175">
            <v>8597247283</v>
          </cell>
          <cell r="B175">
            <v>10597173655</v>
          </cell>
          <cell r="C175" t="str">
            <v>return_refund</v>
          </cell>
          <cell r="D175">
            <v>45904.49722222222</v>
          </cell>
          <cell r="E175">
            <v>45873.455555555556</v>
          </cell>
          <cell r="F175">
            <v>44503</v>
          </cell>
          <cell r="G175" t="str">
            <v>Myntra Designs Pvt Ltd</v>
          </cell>
          <cell r="H175" t="str">
            <v>TIKICLST103607743</v>
          </cell>
          <cell r="I175" t="str">
            <v>\I2726TK000002217\""</v>
          </cell>
          <cell r="J175">
            <v>8597247283</v>
          </cell>
          <cell r="K175">
            <v>62042300</v>
          </cell>
          <cell r="L175" t="str">
            <v>Apparel</v>
          </cell>
          <cell r="M175" t="str">
            <v>INR</v>
          </cell>
          <cell r="N175">
            <v>3544</v>
          </cell>
          <cell r="O175">
            <v>0</v>
          </cell>
          <cell r="P175">
            <v>3544</v>
          </cell>
          <cell r="Q175">
            <v>5000</v>
          </cell>
          <cell r="R175">
            <v>1250</v>
          </cell>
          <cell r="S175" t="str">
            <v>Inter-State</v>
          </cell>
          <cell r="T175">
            <v>12</v>
          </cell>
          <cell r="U175">
            <v>379.71</v>
          </cell>
          <cell r="V175">
            <v>0</v>
          </cell>
          <cell r="W175">
            <v>0</v>
          </cell>
          <cell r="X175">
            <v>15.821</v>
          </cell>
          <cell r="Y175">
            <v>3.1640000000000001</v>
          </cell>
          <cell r="AA175">
            <v>0</v>
          </cell>
          <cell r="AB175">
            <v>920.02200000000005</v>
          </cell>
          <cell r="AC175">
            <v>920.02200000000005</v>
          </cell>
          <cell r="AD175">
            <v>939.00699999999995</v>
          </cell>
          <cell r="AE175">
            <v>-197.06</v>
          </cell>
          <cell r="AF175">
            <v>167</v>
          </cell>
          <cell r="AG175">
            <v>0</v>
          </cell>
          <cell r="AH175">
            <v>0</v>
          </cell>
          <cell r="AI175">
            <v>0</v>
          </cell>
          <cell r="AJ175">
            <v>30.06</v>
          </cell>
          <cell r="AK175">
            <v>1</v>
          </cell>
          <cell r="AL175" t="str">
            <v>NATIONAL</v>
          </cell>
          <cell r="AM175">
            <v>3750</v>
          </cell>
          <cell r="AN175">
            <v>-2802.0529999999999</v>
          </cell>
          <cell r="AO175">
            <v>-2802.0529999999999</v>
          </cell>
          <cell r="AP175">
            <v>0</v>
          </cell>
          <cell r="AQ175">
            <v>939.00699999999995</v>
          </cell>
          <cell r="AR175">
            <v>-197.06</v>
          </cell>
          <cell r="AS175">
            <v>-3544</v>
          </cell>
          <cell r="AV175">
            <v>0</v>
          </cell>
          <cell r="AW175">
            <v>45908</v>
          </cell>
          <cell r="AX175">
            <v>45908</v>
          </cell>
          <cell r="AY175">
            <v>45908</v>
          </cell>
          <cell r="BC175" t="str">
            <v>NFT-/XUTR/DEUTH025251A0L0JX</v>
          </cell>
          <cell r="BD175" t="str">
            <v>NFT-/XUTR/DEUTH025251A0L0JX</v>
          </cell>
          <cell r="BE175" t="str">
            <v>NFT-/XUTR/DEUTH025251A0L0JX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3164.29</v>
          </cell>
          <cell r="BP175">
            <v>12</v>
          </cell>
          <cell r="BQ175">
            <v>0</v>
          </cell>
          <cell r="BR175">
            <v>0</v>
          </cell>
          <cell r="BS175">
            <v>0</v>
          </cell>
          <cell r="BT175">
            <v>0.5</v>
          </cell>
          <cell r="BU175">
            <v>0</v>
          </cell>
          <cell r="BV175">
            <v>0</v>
          </cell>
          <cell r="BW175">
            <v>0.1</v>
          </cell>
          <cell r="BX175" t="str">
            <v>Tiny Kingdom</v>
          </cell>
          <cell r="BY175" t="str">
            <v>Girls</v>
          </cell>
          <cell r="BZ175" t="str">
            <v>External</v>
          </cell>
          <cell r="CA175" t="str">
            <v>Kurta Sets</v>
          </cell>
          <cell r="CB175" t="str">
            <v>ON_HAND</v>
          </cell>
          <cell r="CC175" t="b">
            <v>0</v>
          </cell>
          <cell r="CD175" t="str">
            <v>**********</v>
          </cell>
          <cell r="CE175">
            <v>122001</v>
          </cell>
          <cell r="CF175" t="str">
            <v>27AXUPC8425A1ZH</v>
          </cell>
          <cell r="CH175" t="str">
            <v>29AAECM9636P1ZJ</v>
          </cell>
          <cell r="CI175" t="str">
            <v>Mumbai</v>
          </cell>
          <cell r="CJ175">
            <v>400013</v>
          </cell>
          <cell r="CK175" t="str">
            <v>maharashtra</v>
          </cell>
          <cell r="CL175" t="str">
            <v>MH</v>
          </cell>
          <cell r="CN175">
            <v>0</v>
          </cell>
          <cell r="CO175">
            <v>920.02200000000005</v>
          </cell>
          <cell r="CP175">
            <v>920.02200000000005</v>
          </cell>
          <cell r="CQ175">
            <v>0</v>
          </cell>
          <cell r="CR175">
            <v>0</v>
          </cell>
          <cell r="CS175">
            <v>0</v>
          </cell>
          <cell r="CT175">
            <v>1250</v>
          </cell>
          <cell r="CU175">
            <v>3.1642899999999998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E175" t="str">
            <v>1be650db-f15a-4ce5-b771-1266982e97ff</v>
          </cell>
          <cell r="DF175">
            <v>100069000000</v>
          </cell>
          <cell r="DG175">
            <v>15.821</v>
          </cell>
          <cell r="DH175">
            <v>0</v>
          </cell>
          <cell r="DI175">
            <v>3.1640000000000001</v>
          </cell>
          <cell r="DJ175">
            <v>0</v>
          </cell>
          <cell r="DK175" t="str">
            <v>BRONZE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 t="str">
            <v>NA</v>
          </cell>
          <cell r="DU175" t="str">
            <v>NA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-2802.0529999999999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 t="str">
            <v>Settled</v>
          </cell>
          <cell r="FH175">
            <v>3750</v>
          </cell>
          <cell r="FI175">
            <v>2802.0529999999999</v>
          </cell>
          <cell r="FJ175">
            <v>939.00699999999995</v>
          </cell>
          <cell r="FK175">
            <v>197.06</v>
          </cell>
        </row>
        <row r="176">
          <cell r="A176">
            <v>8599935220</v>
          </cell>
          <cell r="B176">
            <v>10599861376</v>
          </cell>
          <cell r="C176" t="str">
            <v>return_refund</v>
          </cell>
          <cell r="D176">
            <v>45897.630555555559</v>
          </cell>
          <cell r="E176">
            <v>45873.626388888886</v>
          </cell>
          <cell r="G176" t="str">
            <v>Myntra Designs Pvt Ltd</v>
          </cell>
          <cell r="H176" t="str">
            <v>TIKILHNC113044969</v>
          </cell>
          <cell r="I176" t="str">
            <v>\I2726TK000002252\""</v>
          </cell>
          <cell r="J176">
            <v>9749582294</v>
          </cell>
          <cell r="K176">
            <v>62042300</v>
          </cell>
          <cell r="L176" t="str">
            <v>Apparel</v>
          </cell>
          <cell r="M176" t="str">
            <v>INR</v>
          </cell>
          <cell r="N176">
            <v>3394</v>
          </cell>
          <cell r="O176">
            <v>3394</v>
          </cell>
          <cell r="P176">
            <v>0</v>
          </cell>
          <cell r="Q176">
            <v>4000</v>
          </cell>
          <cell r="R176">
            <v>400</v>
          </cell>
          <cell r="S176" t="str">
            <v>Inter-State</v>
          </cell>
          <cell r="T176">
            <v>12</v>
          </cell>
          <cell r="U176">
            <v>363.64</v>
          </cell>
          <cell r="V176">
            <v>0</v>
          </cell>
          <cell r="W176">
            <v>0</v>
          </cell>
          <cell r="X176">
            <v>15.151999999999999</v>
          </cell>
          <cell r="Y176">
            <v>3.03</v>
          </cell>
          <cell r="AA176">
            <v>0</v>
          </cell>
          <cell r="AB176">
            <v>841.03300000000002</v>
          </cell>
          <cell r="AC176">
            <v>841.03300000000002</v>
          </cell>
          <cell r="AD176">
            <v>859.21500000000003</v>
          </cell>
          <cell r="AE176">
            <v>-197.06</v>
          </cell>
          <cell r="AF176">
            <v>167</v>
          </cell>
          <cell r="AG176">
            <v>0</v>
          </cell>
          <cell r="AH176">
            <v>0</v>
          </cell>
          <cell r="AI176">
            <v>0</v>
          </cell>
          <cell r="AJ176">
            <v>30.06</v>
          </cell>
          <cell r="AK176">
            <v>1</v>
          </cell>
          <cell r="AL176" t="str">
            <v>NATIONAL</v>
          </cell>
          <cell r="AM176">
            <v>3600</v>
          </cell>
          <cell r="AN176">
            <v>-2731.8449999999998</v>
          </cell>
          <cell r="AO176">
            <v>-2731.8449999999998</v>
          </cell>
          <cell r="AP176">
            <v>0</v>
          </cell>
          <cell r="AS176">
            <v>0</v>
          </cell>
          <cell r="AT176">
            <v>859.21500000000003</v>
          </cell>
          <cell r="AU176">
            <v>-197.06</v>
          </cell>
          <cell r="AV176">
            <v>-3394</v>
          </cell>
          <cell r="AZ176">
            <v>45901</v>
          </cell>
          <cell r="BA176">
            <v>45901</v>
          </cell>
          <cell r="BB176">
            <v>45901</v>
          </cell>
          <cell r="BF176" t="str">
            <v>NFT-/XUTR/DEUTH025244A0H8LX</v>
          </cell>
          <cell r="BG176" t="str">
            <v>NFT-/XUTR/DEUTH025244A0H8LX</v>
          </cell>
          <cell r="BH176" t="str">
            <v>NFT-/XUTR/DEUTH025244A0H8LX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3030.36</v>
          </cell>
          <cell r="BP176">
            <v>12</v>
          </cell>
          <cell r="BQ176">
            <v>0</v>
          </cell>
          <cell r="BR176">
            <v>0</v>
          </cell>
          <cell r="BS176">
            <v>0</v>
          </cell>
          <cell r="BT176">
            <v>0.5</v>
          </cell>
          <cell r="BU176">
            <v>0</v>
          </cell>
          <cell r="BV176">
            <v>0</v>
          </cell>
          <cell r="BW176">
            <v>0.1</v>
          </cell>
          <cell r="BX176" t="str">
            <v>Tiny Kingdom</v>
          </cell>
          <cell r="BY176" t="str">
            <v>Girls</v>
          </cell>
          <cell r="BZ176" t="str">
            <v>External</v>
          </cell>
          <cell r="CA176" t="str">
            <v>Lehenga Choli</v>
          </cell>
          <cell r="CB176" t="str">
            <v>ON_HAND</v>
          </cell>
          <cell r="CC176" t="b">
            <v>0</v>
          </cell>
          <cell r="CD176" t="str">
            <v>**********</v>
          </cell>
          <cell r="CE176">
            <v>110010</v>
          </cell>
          <cell r="CF176" t="str">
            <v>27AXUPC8425A1ZH</v>
          </cell>
          <cell r="CH176" t="str">
            <v>29AAECM9636P1ZJ</v>
          </cell>
          <cell r="CI176" t="str">
            <v>Mumbai</v>
          </cell>
          <cell r="CJ176">
            <v>400013</v>
          </cell>
          <cell r="CK176" t="str">
            <v>maharashtra</v>
          </cell>
          <cell r="CL176" t="str">
            <v>MH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W176">
            <v>0</v>
          </cell>
          <cell r="CX176">
            <v>841.03300000000002</v>
          </cell>
          <cell r="CY176">
            <v>841.03300000000002</v>
          </cell>
          <cell r="CZ176">
            <v>0</v>
          </cell>
          <cell r="DA176">
            <v>0</v>
          </cell>
          <cell r="DB176">
            <v>0</v>
          </cell>
          <cell r="DC176">
            <v>400</v>
          </cell>
          <cell r="DD176">
            <v>3.0303599999999999</v>
          </cell>
          <cell r="DE176" t="str">
            <v>a486511f-7884-4291-8271-503c2f1db3be</v>
          </cell>
          <cell r="DF176">
            <v>100070000000</v>
          </cell>
          <cell r="DG176">
            <v>0</v>
          </cell>
          <cell r="DH176">
            <v>15.151999999999999</v>
          </cell>
          <cell r="DI176">
            <v>0</v>
          </cell>
          <cell r="DJ176">
            <v>3.03</v>
          </cell>
          <cell r="DK176" t="str">
            <v>BRONZE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 t="str">
            <v>NA</v>
          </cell>
          <cell r="DU176" t="str">
            <v>NA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EB176">
            <v>-2731.8449999999998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 t="str">
            <v>Settled</v>
          </cell>
          <cell r="FH176">
            <v>3600</v>
          </cell>
          <cell r="FI176">
            <v>2731.8449999999998</v>
          </cell>
          <cell r="FJ176">
            <v>859.21500000000003</v>
          </cell>
          <cell r="FK176">
            <v>197.06</v>
          </cell>
        </row>
        <row r="177">
          <cell r="A177">
            <v>8617154389</v>
          </cell>
          <cell r="B177">
            <v>10617079729</v>
          </cell>
          <cell r="C177" t="str">
            <v>return_refund</v>
          </cell>
          <cell r="D177">
            <v>45900.589583333334</v>
          </cell>
          <cell r="E177">
            <v>45885.463194444441</v>
          </cell>
          <cell r="F177">
            <v>44523</v>
          </cell>
          <cell r="G177" t="str">
            <v>Myntra Designs Pvt Ltd</v>
          </cell>
          <cell r="H177" t="str">
            <v>TIKICLST103607747</v>
          </cell>
          <cell r="I177" t="str">
            <v>\I2726TK000002444\""</v>
          </cell>
          <cell r="J177">
            <v>8617154389</v>
          </cell>
          <cell r="K177">
            <v>62042300</v>
          </cell>
          <cell r="L177" t="str">
            <v>Apparel</v>
          </cell>
          <cell r="M177" t="str">
            <v>INR</v>
          </cell>
          <cell r="N177">
            <v>2831</v>
          </cell>
          <cell r="O177">
            <v>2831</v>
          </cell>
          <cell r="P177">
            <v>0</v>
          </cell>
          <cell r="Q177">
            <v>4500</v>
          </cell>
          <cell r="R177">
            <v>1125</v>
          </cell>
          <cell r="S177" t="str">
            <v>Inter-State</v>
          </cell>
          <cell r="T177">
            <v>12</v>
          </cell>
          <cell r="U177">
            <v>303.32</v>
          </cell>
          <cell r="V177">
            <v>0</v>
          </cell>
          <cell r="W177">
            <v>0</v>
          </cell>
          <cell r="X177">
            <v>12.638</v>
          </cell>
          <cell r="Y177">
            <v>2.528</v>
          </cell>
          <cell r="AA177">
            <v>0</v>
          </cell>
          <cell r="AB177">
            <v>734.928</v>
          </cell>
          <cell r="AC177">
            <v>734.928</v>
          </cell>
          <cell r="AD177">
            <v>750.09400000000005</v>
          </cell>
          <cell r="AE177">
            <v>-197.06</v>
          </cell>
          <cell r="AF177">
            <v>167</v>
          </cell>
          <cell r="AG177">
            <v>0</v>
          </cell>
          <cell r="AH177">
            <v>0</v>
          </cell>
          <cell r="AI177">
            <v>0</v>
          </cell>
          <cell r="AJ177">
            <v>30.06</v>
          </cell>
          <cell r="AK177">
            <v>1</v>
          </cell>
          <cell r="AL177" t="str">
            <v>NATIONAL</v>
          </cell>
          <cell r="AM177">
            <v>3037</v>
          </cell>
          <cell r="AN177">
            <v>-2277.9659999999999</v>
          </cell>
          <cell r="AO177">
            <v>-2277.9659999999999</v>
          </cell>
          <cell r="AP177">
            <v>0</v>
          </cell>
          <cell r="AS177">
            <v>0</v>
          </cell>
          <cell r="AT177">
            <v>750.09400000000005</v>
          </cell>
          <cell r="AU177">
            <v>-197.06</v>
          </cell>
          <cell r="AV177">
            <v>-2831</v>
          </cell>
          <cell r="AZ177">
            <v>45908</v>
          </cell>
          <cell r="BA177">
            <v>45908</v>
          </cell>
          <cell r="BB177">
            <v>45908</v>
          </cell>
          <cell r="BF177" t="str">
            <v>NFT-/XUTR/DEUTH025251A0HB7X</v>
          </cell>
          <cell r="BG177" t="str">
            <v>NFT-/XUTR/DEUTH025251A0HB7X</v>
          </cell>
          <cell r="BH177" t="str">
            <v>NFT-/XUTR/DEUTH025251A0HB7X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2527.6799999999998</v>
          </cell>
          <cell r="BP177">
            <v>12</v>
          </cell>
          <cell r="BQ177">
            <v>0</v>
          </cell>
          <cell r="BR177">
            <v>0</v>
          </cell>
          <cell r="BS177">
            <v>0</v>
          </cell>
          <cell r="BT177">
            <v>0.5</v>
          </cell>
          <cell r="BU177">
            <v>0</v>
          </cell>
          <cell r="BV177">
            <v>0</v>
          </cell>
          <cell r="BW177">
            <v>0.1</v>
          </cell>
          <cell r="BX177" t="str">
            <v>Tiny Kingdom</v>
          </cell>
          <cell r="BY177" t="str">
            <v>Girls</v>
          </cell>
          <cell r="BZ177" t="str">
            <v>External</v>
          </cell>
          <cell r="CA177" t="str">
            <v>Kurta Sets</v>
          </cell>
          <cell r="CB177" t="str">
            <v>ON_HAND</v>
          </cell>
          <cell r="CC177" t="b">
            <v>0</v>
          </cell>
          <cell r="CD177" t="str">
            <v>**********</v>
          </cell>
          <cell r="CE177">
            <v>333031</v>
          </cell>
          <cell r="CF177" t="str">
            <v>27AXUPC8425A1ZH</v>
          </cell>
          <cell r="CH177" t="str">
            <v>29AAECM9636P1ZJ</v>
          </cell>
          <cell r="CI177" t="str">
            <v>Mumbai</v>
          </cell>
          <cell r="CJ177">
            <v>400013</v>
          </cell>
          <cell r="CK177" t="str">
            <v>maharashtra</v>
          </cell>
          <cell r="CL177" t="str">
            <v>MH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W177">
            <v>0</v>
          </cell>
          <cell r="CX177">
            <v>734.928</v>
          </cell>
          <cell r="CY177">
            <v>734.928</v>
          </cell>
          <cell r="CZ177">
            <v>0</v>
          </cell>
          <cell r="DA177">
            <v>0</v>
          </cell>
          <cell r="DB177">
            <v>0</v>
          </cell>
          <cell r="DC177">
            <v>1125</v>
          </cell>
          <cell r="DD177">
            <v>2.5276800000000001</v>
          </cell>
          <cell r="DE177" t="str">
            <v>a19d8187-51c0-40d6-9b54-23b6a58e0974</v>
          </cell>
          <cell r="DF177">
            <v>100073000000</v>
          </cell>
          <cell r="DG177">
            <v>0</v>
          </cell>
          <cell r="DH177">
            <v>12.638</v>
          </cell>
          <cell r="DI177">
            <v>0</v>
          </cell>
          <cell r="DJ177">
            <v>2.528</v>
          </cell>
          <cell r="DK177" t="str">
            <v>BRONZE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 t="str">
            <v>NA</v>
          </cell>
          <cell r="DU177" t="str">
            <v>NA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-2277.9659999999999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 t="str">
            <v>Settled</v>
          </cell>
          <cell r="FH177">
            <v>3037</v>
          </cell>
          <cell r="FI177">
            <v>2277.9659999999999</v>
          </cell>
          <cell r="FJ177">
            <v>750.09400000000005</v>
          </cell>
          <cell r="FK177">
            <v>197.06</v>
          </cell>
        </row>
        <row r="178">
          <cell r="A178">
            <v>8612040958</v>
          </cell>
          <cell r="B178">
            <v>10611966572</v>
          </cell>
          <cell r="C178" t="str">
            <v>return_refund</v>
          </cell>
          <cell r="D178">
            <v>45886.51458333333</v>
          </cell>
          <cell r="E178">
            <v>45880.772916666669</v>
          </cell>
          <cell r="F178">
            <v>44515</v>
          </cell>
          <cell r="G178" t="str">
            <v>Myntra Designs Pvt Ltd</v>
          </cell>
          <cell r="H178" t="str">
            <v>TIKICLST103607741</v>
          </cell>
          <cell r="I178" t="str">
            <v>\I2726TK000002380\""</v>
          </cell>
          <cell r="J178">
            <v>8612040958</v>
          </cell>
          <cell r="K178">
            <v>62042300</v>
          </cell>
          <cell r="L178" t="str">
            <v>Apparel</v>
          </cell>
          <cell r="M178" t="str">
            <v>INR</v>
          </cell>
          <cell r="N178">
            <v>3544</v>
          </cell>
          <cell r="O178">
            <v>0</v>
          </cell>
          <cell r="P178">
            <v>3544</v>
          </cell>
          <cell r="Q178">
            <v>5000</v>
          </cell>
          <cell r="R178">
            <v>1250</v>
          </cell>
          <cell r="S178" t="str">
            <v>Inter-State</v>
          </cell>
          <cell r="T178">
            <v>12</v>
          </cell>
          <cell r="U178">
            <v>379.71</v>
          </cell>
          <cell r="V178">
            <v>0</v>
          </cell>
          <cell r="W178">
            <v>0</v>
          </cell>
          <cell r="X178">
            <v>15.821</v>
          </cell>
          <cell r="Y178">
            <v>3.1640000000000001</v>
          </cell>
          <cell r="AA178">
            <v>0</v>
          </cell>
          <cell r="AB178">
            <v>920.02200000000005</v>
          </cell>
          <cell r="AC178">
            <v>920.02200000000005</v>
          </cell>
          <cell r="AD178">
            <v>939.00699999999995</v>
          </cell>
          <cell r="AE178">
            <v>-197.06</v>
          </cell>
          <cell r="AF178">
            <v>167</v>
          </cell>
          <cell r="AG178">
            <v>0</v>
          </cell>
          <cell r="AH178">
            <v>0</v>
          </cell>
          <cell r="AI178">
            <v>0</v>
          </cell>
          <cell r="AJ178">
            <v>30.06</v>
          </cell>
          <cell r="AK178">
            <v>1</v>
          </cell>
          <cell r="AL178" t="str">
            <v>NATIONAL</v>
          </cell>
          <cell r="AM178">
            <v>3750</v>
          </cell>
          <cell r="AN178">
            <v>-2802.0529999999999</v>
          </cell>
          <cell r="AO178">
            <v>-2802.0529999999999</v>
          </cell>
          <cell r="AP178">
            <v>0</v>
          </cell>
          <cell r="AQ178">
            <v>939.00699999999995</v>
          </cell>
          <cell r="AR178">
            <v>-197.06</v>
          </cell>
          <cell r="AS178">
            <v>-3544</v>
          </cell>
          <cell r="AV178">
            <v>0</v>
          </cell>
          <cell r="AW178">
            <v>45901</v>
          </cell>
          <cell r="AX178">
            <v>45901</v>
          </cell>
          <cell r="AY178">
            <v>45901</v>
          </cell>
          <cell r="BC178" t="str">
            <v>NFT-/XUTR/DEUTH025244A0LW1X</v>
          </cell>
          <cell r="BD178" t="str">
            <v>NFT-/XUTR/DEUTH025244A0LW1X</v>
          </cell>
          <cell r="BE178" t="str">
            <v>NFT-/XUTR/DEUTH025244A0LW1X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3164.29</v>
          </cell>
          <cell r="BP178">
            <v>12</v>
          </cell>
          <cell r="BQ178">
            <v>0</v>
          </cell>
          <cell r="BR178">
            <v>0</v>
          </cell>
          <cell r="BS178">
            <v>0</v>
          </cell>
          <cell r="BT178">
            <v>0.5</v>
          </cell>
          <cell r="BU178">
            <v>0</v>
          </cell>
          <cell r="BV178">
            <v>0</v>
          </cell>
          <cell r="BW178">
            <v>0.1</v>
          </cell>
          <cell r="BX178" t="str">
            <v>Tiny Kingdom</v>
          </cell>
          <cell r="BY178" t="str">
            <v>Girls</v>
          </cell>
          <cell r="BZ178" t="str">
            <v>External</v>
          </cell>
          <cell r="CA178" t="str">
            <v>Kurta Sets</v>
          </cell>
          <cell r="CB178" t="str">
            <v>ON_HAND</v>
          </cell>
          <cell r="CC178" t="b">
            <v>0</v>
          </cell>
          <cell r="CD178" t="str">
            <v>**********</v>
          </cell>
          <cell r="CE178">
            <v>122017</v>
          </cell>
          <cell r="CF178" t="str">
            <v>27AXUPC8425A1ZH</v>
          </cell>
          <cell r="CH178" t="str">
            <v>29AAECM9636P1ZJ</v>
          </cell>
          <cell r="CI178" t="str">
            <v>Mumbai</v>
          </cell>
          <cell r="CJ178">
            <v>400013</v>
          </cell>
          <cell r="CK178" t="str">
            <v>maharashtra</v>
          </cell>
          <cell r="CL178" t="str">
            <v>MH</v>
          </cell>
          <cell r="CN178">
            <v>0</v>
          </cell>
          <cell r="CO178">
            <v>920.02200000000005</v>
          </cell>
          <cell r="CP178">
            <v>920.02200000000005</v>
          </cell>
          <cell r="CQ178">
            <v>0</v>
          </cell>
          <cell r="CR178">
            <v>0</v>
          </cell>
          <cell r="CS178">
            <v>0</v>
          </cell>
          <cell r="CT178">
            <v>1250</v>
          </cell>
          <cell r="CU178">
            <v>3.1642899999999998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E178" t="str">
            <v>e9c0ba5d-5f36-45db-8d6d-1cbe95f161ac</v>
          </cell>
          <cell r="DF178">
            <v>100070000000</v>
          </cell>
          <cell r="DG178">
            <v>15.821</v>
          </cell>
          <cell r="DH178">
            <v>0</v>
          </cell>
          <cell r="DI178">
            <v>3.1640000000000001</v>
          </cell>
          <cell r="DJ178">
            <v>0</v>
          </cell>
          <cell r="DK178" t="str">
            <v>BRONZE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 t="str">
            <v>NA</v>
          </cell>
          <cell r="DU178" t="str">
            <v>NA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EB178">
            <v>-2802.0529999999999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 t="str">
            <v>Settled</v>
          </cell>
          <cell r="FH178">
            <v>3750</v>
          </cell>
          <cell r="FI178">
            <v>2802.0529999999999</v>
          </cell>
          <cell r="FJ178">
            <v>939.00699999999995</v>
          </cell>
          <cell r="FK178">
            <v>197.06</v>
          </cell>
        </row>
        <row r="179">
          <cell r="A179">
            <v>8650798775</v>
          </cell>
          <cell r="B179">
            <v>10650723022</v>
          </cell>
          <cell r="C179" t="str">
            <v>return_refund</v>
          </cell>
          <cell r="D179">
            <v>45919.601388888892</v>
          </cell>
          <cell r="E179">
            <v>45906.475694444445</v>
          </cell>
          <cell r="G179" t="str">
            <v>Myntra Designs Pvt Ltd</v>
          </cell>
          <cell r="H179" t="str">
            <v>TNBYDRSS113070581</v>
          </cell>
          <cell r="I179" t="str">
            <v>\I2726TK000002770\""</v>
          </cell>
          <cell r="J179">
            <v>8650798775</v>
          </cell>
          <cell r="K179">
            <v>62042300</v>
          </cell>
          <cell r="L179" t="str">
            <v>Apparel</v>
          </cell>
          <cell r="M179" t="str">
            <v>INR</v>
          </cell>
          <cell r="N179">
            <v>2719</v>
          </cell>
          <cell r="O179">
            <v>80.682000000000002</v>
          </cell>
          <cell r="P179">
            <v>2638.3180000000002</v>
          </cell>
          <cell r="Q179">
            <v>3250</v>
          </cell>
          <cell r="R179">
            <v>325</v>
          </cell>
          <cell r="S179" t="str">
            <v>Inter-State</v>
          </cell>
          <cell r="T179">
            <v>12</v>
          </cell>
          <cell r="U179">
            <v>291.32</v>
          </cell>
          <cell r="V179">
            <v>0</v>
          </cell>
          <cell r="W179">
            <v>0</v>
          </cell>
          <cell r="X179">
            <v>12.138</v>
          </cell>
          <cell r="Y179">
            <v>2.4279999999999999</v>
          </cell>
          <cell r="AA179">
            <v>0</v>
          </cell>
          <cell r="AB179">
            <v>705.85199999999998</v>
          </cell>
          <cell r="AC179">
            <v>705.85199999999998</v>
          </cell>
          <cell r="AD179">
            <v>720.41800000000001</v>
          </cell>
          <cell r="AE179">
            <v>-197.06</v>
          </cell>
          <cell r="AF179">
            <v>167</v>
          </cell>
          <cell r="AG179">
            <v>0</v>
          </cell>
          <cell r="AH179">
            <v>0</v>
          </cell>
          <cell r="AI179">
            <v>0</v>
          </cell>
          <cell r="AJ179">
            <v>30.06</v>
          </cell>
          <cell r="AK179">
            <v>1</v>
          </cell>
          <cell r="AL179" t="str">
            <v>NATIONAL</v>
          </cell>
          <cell r="AM179">
            <v>2925</v>
          </cell>
          <cell r="AN179">
            <v>-2195.6419999999998</v>
          </cell>
          <cell r="AO179">
            <v>-2195.6419999999998</v>
          </cell>
          <cell r="AP179">
            <v>0</v>
          </cell>
          <cell r="AQ179">
            <v>699.04100000000005</v>
          </cell>
          <cell r="AR179">
            <v>-191.2131</v>
          </cell>
          <cell r="AS179">
            <v>-2638.3180000000002</v>
          </cell>
          <cell r="AT179">
            <v>21.376999999999999</v>
          </cell>
          <cell r="AU179">
            <v>-5.8468999999999998</v>
          </cell>
          <cell r="AV179">
            <v>-80.682000000000002</v>
          </cell>
          <cell r="AW179">
            <v>45926</v>
          </cell>
          <cell r="AX179">
            <v>45926</v>
          </cell>
          <cell r="AY179">
            <v>45926</v>
          </cell>
          <cell r="AZ179">
            <v>45926</v>
          </cell>
          <cell r="BA179">
            <v>45926</v>
          </cell>
          <cell r="BB179">
            <v>45926</v>
          </cell>
          <cell r="BC179" t="str">
            <v>NFT-/XUTR/DEUTH02526963643X</v>
          </cell>
          <cell r="BD179" t="str">
            <v>NFT-/XUTR/DEUTH02526963643X</v>
          </cell>
          <cell r="BE179" t="str">
            <v>NFT-/XUTR/DEUTH02526963643X</v>
          </cell>
          <cell r="BF179" t="str">
            <v>NFT-/XUTR/DEUTH02526965743X</v>
          </cell>
          <cell r="BG179" t="str">
            <v>NFT-/XUTR/DEUTH02526965743X</v>
          </cell>
          <cell r="BH179" t="str">
            <v>NFT-/XUTR/DEUTH02526965743X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75</v>
          </cell>
          <cell r="BN179">
            <v>0</v>
          </cell>
          <cell r="BO179">
            <v>2427.6799999999998</v>
          </cell>
          <cell r="BP179">
            <v>12</v>
          </cell>
          <cell r="BQ179">
            <v>0</v>
          </cell>
          <cell r="BR179">
            <v>0</v>
          </cell>
          <cell r="BS179">
            <v>0</v>
          </cell>
          <cell r="BT179">
            <v>0.5</v>
          </cell>
          <cell r="BU179">
            <v>0</v>
          </cell>
          <cell r="BV179">
            <v>0</v>
          </cell>
          <cell r="BW179">
            <v>0.1</v>
          </cell>
          <cell r="BX179" t="str">
            <v>Tiny Baby</v>
          </cell>
          <cell r="BY179" t="str">
            <v>Girls</v>
          </cell>
          <cell r="BZ179" t="str">
            <v>External</v>
          </cell>
          <cell r="CA179" t="str">
            <v>Dresses</v>
          </cell>
          <cell r="CB179" t="str">
            <v>ON_HAND</v>
          </cell>
          <cell r="CC179" t="b">
            <v>0</v>
          </cell>
          <cell r="CD179" t="str">
            <v>**********</v>
          </cell>
          <cell r="CE179">
            <v>835103</v>
          </cell>
          <cell r="CF179" t="str">
            <v>27AXUPC8425A1ZH</v>
          </cell>
          <cell r="CH179" t="str">
            <v>29AAECM9636P1ZJ</v>
          </cell>
          <cell r="CI179" t="str">
            <v>Mumbai</v>
          </cell>
          <cell r="CJ179">
            <v>400013</v>
          </cell>
          <cell r="CK179" t="str">
            <v>maharashtra</v>
          </cell>
          <cell r="CL179" t="str">
            <v>MH</v>
          </cell>
          <cell r="CN179">
            <v>0</v>
          </cell>
          <cell r="CO179">
            <v>684.90700000000004</v>
          </cell>
          <cell r="CP179">
            <v>684.90700000000004</v>
          </cell>
          <cell r="CQ179">
            <v>0</v>
          </cell>
          <cell r="CR179">
            <v>0</v>
          </cell>
          <cell r="CS179">
            <v>0</v>
          </cell>
          <cell r="CT179">
            <v>325</v>
          </cell>
          <cell r="CU179">
            <v>2.4276800000000001</v>
          </cell>
          <cell r="CW179">
            <v>0</v>
          </cell>
          <cell r="CX179">
            <v>20.945</v>
          </cell>
          <cell r="CY179">
            <v>20.945</v>
          </cell>
          <cell r="CZ179">
            <v>0</v>
          </cell>
          <cell r="DA179">
            <v>0</v>
          </cell>
          <cell r="DB179">
            <v>0</v>
          </cell>
          <cell r="DC179">
            <v>325</v>
          </cell>
          <cell r="DD179">
            <v>2.4276800000000001</v>
          </cell>
          <cell r="DE179" t="str">
            <v>534de368-355e-4e89-8011-76f784dcbe7b</v>
          </cell>
          <cell r="DF179">
            <v>100079000000</v>
          </cell>
          <cell r="DG179">
            <v>11.778</v>
          </cell>
          <cell r="DH179">
            <v>0.36</v>
          </cell>
          <cell r="DI179">
            <v>2.3559999999999999</v>
          </cell>
          <cell r="DJ179">
            <v>7.1999999999999995E-2</v>
          </cell>
          <cell r="DK179" t="str">
            <v>BRONZE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 t="str">
            <v>NA</v>
          </cell>
          <cell r="DU179" t="str">
            <v>NA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-2195.6419999999998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 t="str">
            <v>Settled</v>
          </cell>
          <cell r="FH179">
            <v>2925</v>
          </cell>
          <cell r="FI179">
            <v>2195.6419999999998</v>
          </cell>
          <cell r="FJ179">
            <v>720.41800000000001</v>
          </cell>
          <cell r="FK179">
            <v>197.06</v>
          </cell>
        </row>
        <row r="180">
          <cell r="A180">
            <v>8622049270</v>
          </cell>
          <cell r="B180">
            <v>10621974344</v>
          </cell>
          <cell r="C180" t="str">
            <v>return_refund</v>
          </cell>
          <cell r="D180">
            <v>45892.386111111111</v>
          </cell>
          <cell r="E180">
            <v>45887.563194444447</v>
          </cell>
          <cell r="F180">
            <v>44524</v>
          </cell>
          <cell r="G180" t="str">
            <v>Myntra Designs Pvt Ltd</v>
          </cell>
          <cell r="H180" t="str">
            <v>TIKITOPS75167268</v>
          </cell>
          <cell r="I180" t="str">
            <v>\I2726TK000002463\""</v>
          </cell>
          <cell r="J180">
            <v>8622049270</v>
          </cell>
          <cell r="K180">
            <v>62042300</v>
          </cell>
          <cell r="L180" t="str">
            <v>Apparel</v>
          </cell>
          <cell r="M180" t="str">
            <v>INR</v>
          </cell>
          <cell r="N180">
            <v>446</v>
          </cell>
          <cell r="O180">
            <v>0</v>
          </cell>
          <cell r="P180">
            <v>446</v>
          </cell>
          <cell r="Q180">
            <v>1200</v>
          </cell>
          <cell r="R180">
            <v>660</v>
          </cell>
          <cell r="S180" t="str">
            <v>Inter-State</v>
          </cell>
          <cell r="T180">
            <v>5</v>
          </cell>
          <cell r="U180">
            <v>21.24</v>
          </cell>
          <cell r="V180">
            <v>0</v>
          </cell>
          <cell r="W180">
            <v>0</v>
          </cell>
          <cell r="X180">
            <v>2.1240000000000001</v>
          </cell>
          <cell r="Y180">
            <v>0.42499999999999999</v>
          </cell>
          <cell r="AA180">
            <v>0</v>
          </cell>
          <cell r="AB180">
            <v>42.101999999999997</v>
          </cell>
          <cell r="AC180">
            <v>42.101999999999997</v>
          </cell>
          <cell r="AD180">
            <v>44.651000000000003</v>
          </cell>
          <cell r="AE180">
            <v>-132.16</v>
          </cell>
          <cell r="AF180">
            <v>112</v>
          </cell>
          <cell r="AG180">
            <v>0</v>
          </cell>
          <cell r="AH180">
            <v>0</v>
          </cell>
          <cell r="AI180">
            <v>0</v>
          </cell>
          <cell r="AJ180">
            <v>20.16</v>
          </cell>
          <cell r="AK180">
            <v>1</v>
          </cell>
          <cell r="AL180" t="str">
            <v>ZONAL</v>
          </cell>
          <cell r="AM180">
            <v>540</v>
          </cell>
          <cell r="AN180">
            <v>-533.50900000000001</v>
          </cell>
          <cell r="AO180">
            <v>-533.50900000000001</v>
          </cell>
          <cell r="AP180">
            <v>0</v>
          </cell>
          <cell r="AQ180">
            <v>44.651000000000003</v>
          </cell>
          <cell r="AR180">
            <v>-132.16</v>
          </cell>
          <cell r="AS180">
            <v>-446</v>
          </cell>
          <cell r="AV180">
            <v>0</v>
          </cell>
          <cell r="AW180">
            <v>45908</v>
          </cell>
          <cell r="AX180">
            <v>45908</v>
          </cell>
          <cell r="AY180">
            <v>45908</v>
          </cell>
          <cell r="BC180" t="str">
            <v>NFT-/XUTR/DEUTH025251A0L0JX</v>
          </cell>
          <cell r="BD180" t="str">
            <v>NFT-/XUTR/DEUTH025251A0L0JX</v>
          </cell>
          <cell r="BE180" t="str">
            <v>NFT-/XUTR/DEUTH025251A0L0JX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424.76</v>
          </cell>
          <cell r="BP180">
            <v>5</v>
          </cell>
          <cell r="BQ180">
            <v>0</v>
          </cell>
          <cell r="BR180">
            <v>0</v>
          </cell>
          <cell r="BS180">
            <v>0</v>
          </cell>
          <cell r="BT180">
            <v>0.5</v>
          </cell>
          <cell r="BU180">
            <v>0</v>
          </cell>
          <cell r="BV180">
            <v>0</v>
          </cell>
          <cell r="BW180">
            <v>0.1</v>
          </cell>
          <cell r="BX180" t="str">
            <v>Tiny Kingdom</v>
          </cell>
          <cell r="BY180" t="str">
            <v>Girls</v>
          </cell>
          <cell r="BZ180" t="str">
            <v>External</v>
          </cell>
          <cell r="CA180" t="str">
            <v>Tops</v>
          </cell>
          <cell r="CB180" t="str">
            <v>ON_HAND</v>
          </cell>
          <cell r="CC180" t="b">
            <v>0</v>
          </cell>
          <cell r="CD180" t="str">
            <v>**********</v>
          </cell>
          <cell r="CE180">
            <v>382421</v>
          </cell>
          <cell r="CF180" t="str">
            <v>27AXUPC8425A1ZH</v>
          </cell>
          <cell r="CH180" t="str">
            <v>29AAECM9636P1ZJ</v>
          </cell>
          <cell r="CI180" t="str">
            <v>Mumbai</v>
          </cell>
          <cell r="CJ180">
            <v>400013</v>
          </cell>
          <cell r="CK180" t="str">
            <v>maharashtra</v>
          </cell>
          <cell r="CL180" t="str">
            <v>MH</v>
          </cell>
          <cell r="CN180">
            <v>0</v>
          </cell>
          <cell r="CO180">
            <v>42.101999999999997</v>
          </cell>
          <cell r="CP180">
            <v>42.101999999999997</v>
          </cell>
          <cell r="CQ180">
            <v>0</v>
          </cell>
          <cell r="CR180">
            <v>0</v>
          </cell>
          <cell r="CS180">
            <v>0</v>
          </cell>
          <cell r="CT180">
            <v>660</v>
          </cell>
          <cell r="CU180">
            <v>0.42476000000000003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E180" t="str">
            <v>cb868657-5ffa-46d2-8ae1-0334441519b5</v>
          </cell>
          <cell r="DF180">
            <v>100072000000</v>
          </cell>
          <cell r="DG180">
            <v>2.1240000000000001</v>
          </cell>
          <cell r="DH180">
            <v>0</v>
          </cell>
          <cell r="DI180">
            <v>0.42499999999999999</v>
          </cell>
          <cell r="DJ180">
            <v>0</v>
          </cell>
          <cell r="DK180" t="str">
            <v>BRONZE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 t="str">
            <v>NA</v>
          </cell>
          <cell r="DU180" t="str">
            <v>NA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-533.50900000000001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 t="str">
            <v>Settled</v>
          </cell>
          <cell r="FH180">
            <v>540</v>
          </cell>
          <cell r="FI180">
            <v>533.50900000000001</v>
          </cell>
          <cell r="FJ180">
            <v>44.651000000000003</v>
          </cell>
          <cell r="FK180">
            <v>132.16</v>
          </cell>
        </row>
        <row r="181">
          <cell r="A181">
            <v>8627097597</v>
          </cell>
          <cell r="B181">
            <v>10627022444</v>
          </cell>
          <cell r="C181" t="str">
            <v>return_refund</v>
          </cell>
          <cell r="D181">
            <v>45897.638888888891</v>
          </cell>
          <cell r="E181">
            <v>45891.470833333333</v>
          </cell>
          <cell r="F181">
            <v>44531</v>
          </cell>
          <cell r="G181" t="str">
            <v>Myntra Designs Pvt Ltd</v>
          </cell>
          <cell r="H181" t="str">
            <v>BETYCLST89530390</v>
          </cell>
          <cell r="I181" t="str">
            <v>\I2726TK000002535\""</v>
          </cell>
          <cell r="J181">
            <v>8627097597</v>
          </cell>
          <cell r="K181">
            <v>62042300</v>
          </cell>
          <cell r="L181" t="str">
            <v>Apparel</v>
          </cell>
          <cell r="M181" t="str">
            <v>INR</v>
          </cell>
          <cell r="N181">
            <v>3594</v>
          </cell>
          <cell r="O181">
            <v>0</v>
          </cell>
          <cell r="P181">
            <v>3594</v>
          </cell>
          <cell r="Q181">
            <v>4750</v>
          </cell>
          <cell r="R181">
            <v>950</v>
          </cell>
          <cell r="S181" t="str">
            <v>Inter-State</v>
          </cell>
          <cell r="T181">
            <v>12</v>
          </cell>
          <cell r="U181">
            <v>385.07</v>
          </cell>
          <cell r="V181">
            <v>0</v>
          </cell>
          <cell r="W181">
            <v>0</v>
          </cell>
          <cell r="X181">
            <v>16.045000000000002</v>
          </cell>
          <cell r="Y181">
            <v>3.2090000000000001</v>
          </cell>
          <cell r="AA181">
            <v>0</v>
          </cell>
          <cell r="AB181">
            <v>1102.6389999999999</v>
          </cell>
          <cell r="AC181">
            <v>1102.6389999999999</v>
          </cell>
          <cell r="AD181">
            <v>1121.893</v>
          </cell>
          <cell r="AE181">
            <v>-197.06</v>
          </cell>
          <cell r="AF181">
            <v>167</v>
          </cell>
          <cell r="AG181">
            <v>0</v>
          </cell>
          <cell r="AH181">
            <v>0</v>
          </cell>
          <cell r="AI181">
            <v>0</v>
          </cell>
          <cell r="AJ181">
            <v>30.06</v>
          </cell>
          <cell r="AK181">
            <v>1</v>
          </cell>
          <cell r="AL181" t="str">
            <v>NATIONAL</v>
          </cell>
          <cell r="AM181">
            <v>3800</v>
          </cell>
          <cell r="AN181">
            <v>-2669.1669999999999</v>
          </cell>
          <cell r="AO181">
            <v>-2669.1669999999999</v>
          </cell>
          <cell r="AP181">
            <v>0</v>
          </cell>
          <cell r="AQ181">
            <v>1121.893</v>
          </cell>
          <cell r="AR181">
            <v>-197.06</v>
          </cell>
          <cell r="AS181">
            <v>-3594</v>
          </cell>
          <cell r="AV181">
            <v>0</v>
          </cell>
          <cell r="AW181">
            <v>45910</v>
          </cell>
          <cell r="AX181">
            <v>45910</v>
          </cell>
          <cell r="AY181">
            <v>45910</v>
          </cell>
          <cell r="BC181" t="str">
            <v>NFT-/XUTR/DEUTH025253A0XH3X</v>
          </cell>
          <cell r="BD181" t="str">
            <v>NFT-/XUTR/DEUTH025253A0XH3X</v>
          </cell>
          <cell r="BE181" t="str">
            <v>NFT-/XUTR/DEUTH025253A0XH3X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3208.93</v>
          </cell>
          <cell r="BP181">
            <v>12</v>
          </cell>
          <cell r="BQ181">
            <v>0</v>
          </cell>
          <cell r="BR181">
            <v>0</v>
          </cell>
          <cell r="BS181">
            <v>0</v>
          </cell>
          <cell r="BT181">
            <v>0.5</v>
          </cell>
          <cell r="BU181">
            <v>0</v>
          </cell>
          <cell r="BV181">
            <v>0</v>
          </cell>
          <cell r="BW181">
            <v>0.1</v>
          </cell>
          <cell r="BX181" t="str">
            <v>BETTY</v>
          </cell>
          <cell r="BY181" t="str">
            <v>Girls</v>
          </cell>
          <cell r="BZ181" t="str">
            <v>External</v>
          </cell>
          <cell r="CA181" t="str">
            <v>Kurta Sets</v>
          </cell>
          <cell r="CB181" t="str">
            <v>ON_HAND</v>
          </cell>
          <cell r="CC181" t="b">
            <v>0</v>
          </cell>
          <cell r="CD181" t="str">
            <v>**********</v>
          </cell>
          <cell r="CE181">
            <v>520010</v>
          </cell>
          <cell r="CF181" t="str">
            <v>27AXUPC8425A1ZH</v>
          </cell>
          <cell r="CH181" t="str">
            <v>29AAECM9636P1ZJ</v>
          </cell>
          <cell r="CI181" t="str">
            <v>Mumbai</v>
          </cell>
          <cell r="CJ181">
            <v>400013</v>
          </cell>
          <cell r="CK181" t="str">
            <v>maharashtra</v>
          </cell>
          <cell r="CL181" t="str">
            <v>MH</v>
          </cell>
          <cell r="CN181">
            <v>0</v>
          </cell>
          <cell r="CO181">
            <v>1102.6389999999999</v>
          </cell>
          <cell r="CP181">
            <v>1102.6389999999999</v>
          </cell>
          <cell r="CQ181">
            <v>0</v>
          </cell>
          <cell r="CR181">
            <v>0</v>
          </cell>
          <cell r="CS181">
            <v>0</v>
          </cell>
          <cell r="CT181">
            <v>950</v>
          </cell>
          <cell r="CU181">
            <v>3.2089300000000001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E181" t="str">
            <v>b38d39a1-d37d-4ec4-9329-1195af9ea9ec</v>
          </cell>
          <cell r="DF181">
            <v>100073000000</v>
          </cell>
          <cell r="DG181">
            <v>16.045000000000002</v>
          </cell>
          <cell r="DH181">
            <v>0</v>
          </cell>
          <cell r="DI181">
            <v>3.2090000000000001</v>
          </cell>
          <cell r="DJ181">
            <v>0</v>
          </cell>
          <cell r="DK181" t="str">
            <v>BRONZE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 t="str">
            <v>NA</v>
          </cell>
          <cell r="DU181" t="str">
            <v>NA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-2669.1669999999999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 t="str">
            <v>Settled</v>
          </cell>
          <cell r="FH181">
            <v>3800</v>
          </cell>
          <cell r="FI181">
            <v>2669.1669999999999</v>
          </cell>
          <cell r="FJ181">
            <v>1121.893</v>
          </cell>
          <cell r="FK181">
            <v>197.06</v>
          </cell>
        </row>
        <row r="182">
          <cell r="A182">
            <v>8650825318</v>
          </cell>
          <cell r="B182">
            <v>10650749565</v>
          </cell>
          <cell r="C182" t="str">
            <v>return_refund</v>
          </cell>
          <cell r="D182">
            <v>45913.604166666664</v>
          </cell>
          <cell r="E182">
            <v>45906.475694444445</v>
          </cell>
          <cell r="F182">
            <v>44544</v>
          </cell>
          <cell r="G182" t="str">
            <v>Myntra Designs Pvt Ltd</v>
          </cell>
          <cell r="H182" t="str">
            <v>TIKICLST113026331</v>
          </cell>
          <cell r="I182" t="str">
            <v>\I2726TK000002776\""</v>
          </cell>
          <cell r="J182">
            <v>8650825318</v>
          </cell>
          <cell r="K182">
            <v>62042300</v>
          </cell>
          <cell r="L182" t="str">
            <v>Apparel</v>
          </cell>
          <cell r="M182" t="str">
            <v>INR</v>
          </cell>
          <cell r="N182">
            <v>2594</v>
          </cell>
          <cell r="O182">
            <v>2594</v>
          </cell>
          <cell r="P182">
            <v>0</v>
          </cell>
          <cell r="Q182">
            <v>3500</v>
          </cell>
          <cell r="R182">
            <v>700</v>
          </cell>
          <cell r="S182" t="str">
            <v>Inter-State</v>
          </cell>
          <cell r="T182">
            <v>12</v>
          </cell>
          <cell r="U182">
            <v>277.93</v>
          </cell>
          <cell r="V182">
            <v>0</v>
          </cell>
          <cell r="W182">
            <v>0</v>
          </cell>
          <cell r="X182">
            <v>11.58</v>
          </cell>
          <cell r="Y182">
            <v>2.3159999999999998</v>
          </cell>
          <cell r="AA182">
            <v>0</v>
          </cell>
          <cell r="AB182">
            <v>642.79300000000001</v>
          </cell>
          <cell r="AC182">
            <v>642.79300000000001</v>
          </cell>
          <cell r="AD182">
            <v>656.68899999999996</v>
          </cell>
          <cell r="AE182">
            <v>-197.06</v>
          </cell>
          <cell r="AF182">
            <v>167</v>
          </cell>
          <cell r="AG182">
            <v>0</v>
          </cell>
          <cell r="AH182">
            <v>0</v>
          </cell>
          <cell r="AI182">
            <v>0</v>
          </cell>
          <cell r="AJ182">
            <v>30.06</v>
          </cell>
          <cell r="AK182">
            <v>1</v>
          </cell>
          <cell r="AL182" t="str">
            <v>NATIONAL</v>
          </cell>
          <cell r="AM182">
            <v>2800</v>
          </cell>
          <cell r="AN182">
            <v>-2134.3710000000001</v>
          </cell>
          <cell r="AO182">
            <v>-2134.3710000000001</v>
          </cell>
          <cell r="AP182">
            <v>0</v>
          </cell>
          <cell r="AS182">
            <v>0</v>
          </cell>
          <cell r="AT182">
            <v>656.68899999999996</v>
          </cell>
          <cell r="AU182">
            <v>-197.06</v>
          </cell>
          <cell r="AV182">
            <v>-2594</v>
          </cell>
          <cell r="AZ182">
            <v>45926</v>
          </cell>
          <cell r="BA182">
            <v>45926</v>
          </cell>
          <cell r="BB182">
            <v>45926</v>
          </cell>
          <cell r="BF182" t="str">
            <v>NFT-/XUTR/DEUTH02526965743X</v>
          </cell>
          <cell r="BG182" t="str">
            <v>NFT-/XUTR/DEUTH02526965743X</v>
          </cell>
          <cell r="BH182" t="str">
            <v>NFT-/XUTR/DEUTH02526965743X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2316.0700000000002</v>
          </cell>
          <cell r="BP182">
            <v>12</v>
          </cell>
          <cell r="BQ182">
            <v>0</v>
          </cell>
          <cell r="BR182">
            <v>0</v>
          </cell>
          <cell r="BS182">
            <v>0</v>
          </cell>
          <cell r="BT182">
            <v>0.5</v>
          </cell>
          <cell r="BU182">
            <v>0</v>
          </cell>
          <cell r="BV182">
            <v>0</v>
          </cell>
          <cell r="BW182">
            <v>0.1</v>
          </cell>
          <cell r="BX182" t="str">
            <v>Tiny Kingdom</v>
          </cell>
          <cell r="BY182" t="str">
            <v>Girls</v>
          </cell>
          <cell r="BZ182" t="str">
            <v>External</v>
          </cell>
          <cell r="CA182" t="str">
            <v>Clothing Set</v>
          </cell>
          <cell r="CB182" t="str">
            <v>ON_HAND</v>
          </cell>
          <cell r="CC182" t="b">
            <v>0</v>
          </cell>
          <cell r="CD182" t="str">
            <v>**********</v>
          </cell>
          <cell r="CE182">
            <v>122016</v>
          </cell>
          <cell r="CF182" t="str">
            <v>27AXUPC8425A1ZH</v>
          </cell>
          <cell r="CH182" t="str">
            <v>29AAECM9636P1ZJ</v>
          </cell>
          <cell r="CI182" t="str">
            <v>Mumbai</v>
          </cell>
          <cell r="CJ182">
            <v>400013</v>
          </cell>
          <cell r="CK182" t="str">
            <v>maharashtra</v>
          </cell>
          <cell r="CL182" t="str">
            <v>MH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W182">
            <v>0</v>
          </cell>
          <cell r="CX182">
            <v>642.79300000000001</v>
          </cell>
          <cell r="CY182">
            <v>642.79300000000001</v>
          </cell>
          <cell r="CZ182">
            <v>0</v>
          </cell>
          <cell r="DA182">
            <v>0</v>
          </cell>
          <cell r="DB182">
            <v>0</v>
          </cell>
          <cell r="DC182">
            <v>700</v>
          </cell>
          <cell r="DD182">
            <v>2.3160699999999999</v>
          </cell>
          <cell r="DE182" t="str">
            <v>f3119153-31fe-41c2-9721-2440edfa4268</v>
          </cell>
          <cell r="DF182">
            <v>100078000000</v>
          </cell>
          <cell r="DG182">
            <v>0</v>
          </cell>
          <cell r="DH182">
            <v>11.58</v>
          </cell>
          <cell r="DI182">
            <v>0</v>
          </cell>
          <cell r="DJ182">
            <v>2.3159999999999998</v>
          </cell>
          <cell r="DK182" t="str">
            <v>BRONZE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 t="str">
            <v>NA</v>
          </cell>
          <cell r="DU182" t="str">
            <v>NA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-2134.3710000000001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 t="str">
            <v>Settled</v>
          </cell>
          <cell r="FH182">
            <v>2800</v>
          </cell>
          <cell r="FI182">
            <v>2134.3710000000001</v>
          </cell>
          <cell r="FJ182">
            <v>656.68899999999996</v>
          </cell>
          <cell r="FK182">
            <v>197.06</v>
          </cell>
        </row>
        <row r="183">
          <cell r="A183">
            <v>8634561172</v>
          </cell>
          <cell r="B183">
            <v>10634485779</v>
          </cell>
          <cell r="C183" t="str">
            <v>return_refund</v>
          </cell>
          <cell r="D183">
            <v>45905.513888888891</v>
          </cell>
          <cell r="E183">
            <v>45897.440972222219</v>
          </cell>
          <cell r="G183" t="str">
            <v>Myntra Designs Pvt Ltd</v>
          </cell>
          <cell r="H183" t="str">
            <v>TIKIDRSS103325150</v>
          </cell>
          <cell r="I183" t="str">
            <v>\I2726TK000002630\""</v>
          </cell>
          <cell r="J183">
            <v>8634561172</v>
          </cell>
          <cell r="K183">
            <v>62042300</v>
          </cell>
          <cell r="L183" t="str">
            <v>Apparel</v>
          </cell>
          <cell r="M183" t="str">
            <v>INR</v>
          </cell>
          <cell r="N183">
            <v>1999</v>
          </cell>
          <cell r="O183">
            <v>0</v>
          </cell>
          <cell r="P183">
            <v>1999</v>
          </cell>
          <cell r="Q183">
            <v>3500</v>
          </cell>
          <cell r="R183">
            <v>1050</v>
          </cell>
          <cell r="S183" t="str">
            <v>Inter-State</v>
          </cell>
          <cell r="T183">
            <v>12</v>
          </cell>
          <cell r="U183">
            <v>214.18</v>
          </cell>
          <cell r="V183">
            <v>0</v>
          </cell>
          <cell r="W183">
            <v>0</v>
          </cell>
          <cell r="X183">
            <v>8.9239999999999995</v>
          </cell>
          <cell r="Y183">
            <v>1.7849999999999999</v>
          </cell>
          <cell r="AA183">
            <v>0</v>
          </cell>
          <cell r="AB183">
            <v>448.17599999999999</v>
          </cell>
          <cell r="AC183">
            <v>448.17599999999999</v>
          </cell>
          <cell r="AD183">
            <v>458.88499999999999</v>
          </cell>
          <cell r="AE183">
            <v>-197.06</v>
          </cell>
          <cell r="AF183">
            <v>167</v>
          </cell>
          <cell r="AG183">
            <v>0</v>
          </cell>
          <cell r="AH183">
            <v>0</v>
          </cell>
          <cell r="AI183">
            <v>0</v>
          </cell>
          <cell r="AJ183">
            <v>30.06</v>
          </cell>
          <cell r="AK183">
            <v>1</v>
          </cell>
          <cell r="AL183" t="str">
            <v>NATIONAL</v>
          </cell>
          <cell r="AM183">
            <v>2205</v>
          </cell>
          <cell r="AN183">
            <v>-1737.175</v>
          </cell>
          <cell r="AO183">
            <v>-1737.175</v>
          </cell>
          <cell r="AP183">
            <v>0</v>
          </cell>
          <cell r="AQ183">
            <v>458.88499999999999</v>
          </cell>
          <cell r="AR183">
            <v>-197.06</v>
          </cell>
          <cell r="AS183">
            <v>-1999</v>
          </cell>
          <cell r="AV183">
            <v>0</v>
          </cell>
          <cell r="AW183">
            <v>45916</v>
          </cell>
          <cell r="AX183">
            <v>45916</v>
          </cell>
          <cell r="AY183">
            <v>45916</v>
          </cell>
          <cell r="BC183" t="str">
            <v>NFT-/XUTR/DEUTH02525924409X</v>
          </cell>
          <cell r="BD183" t="str">
            <v>NFT-/XUTR/DEUTH02525924409X</v>
          </cell>
          <cell r="BE183" t="str">
            <v>NFT-/XUTR/DEUTH02525924409X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1784.82</v>
          </cell>
          <cell r="BP183">
            <v>12</v>
          </cell>
          <cell r="BQ183">
            <v>0</v>
          </cell>
          <cell r="BR183">
            <v>0</v>
          </cell>
          <cell r="BS183">
            <v>0</v>
          </cell>
          <cell r="BT183">
            <v>0.5</v>
          </cell>
          <cell r="BU183">
            <v>0</v>
          </cell>
          <cell r="BV183">
            <v>0</v>
          </cell>
          <cell r="BW183">
            <v>0.1</v>
          </cell>
          <cell r="BX183" t="str">
            <v>Tiny Kingdom</v>
          </cell>
          <cell r="BY183" t="str">
            <v>Girls</v>
          </cell>
          <cell r="BZ183" t="str">
            <v>External</v>
          </cell>
          <cell r="CA183" t="str">
            <v>Dresses</v>
          </cell>
          <cell r="CB183" t="str">
            <v>ON_HAND</v>
          </cell>
          <cell r="CC183" t="b">
            <v>0</v>
          </cell>
          <cell r="CD183" t="str">
            <v>**********</v>
          </cell>
          <cell r="CE183">
            <v>124141</v>
          </cell>
          <cell r="CF183" t="str">
            <v>27AXUPC8425A1ZH</v>
          </cell>
          <cell r="CH183" t="str">
            <v>29AAECM9636P1ZJ</v>
          </cell>
          <cell r="CI183" t="str">
            <v>Mumbai</v>
          </cell>
          <cell r="CJ183">
            <v>400013</v>
          </cell>
          <cell r="CK183" t="str">
            <v>maharashtra</v>
          </cell>
          <cell r="CL183" t="str">
            <v>MH</v>
          </cell>
          <cell r="CN183">
            <v>0</v>
          </cell>
          <cell r="CO183">
            <v>448.17599999999999</v>
          </cell>
          <cell r="CP183">
            <v>448.17599999999999</v>
          </cell>
          <cell r="CQ183">
            <v>0</v>
          </cell>
          <cell r="CR183">
            <v>0</v>
          </cell>
          <cell r="CS183">
            <v>0</v>
          </cell>
          <cell r="CT183">
            <v>1050</v>
          </cell>
          <cell r="CU183">
            <v>1.7848200000000001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E183" t="str">
            <v>0073bdfd-5fb3-45d3-bba6-141b358b6e28</v>
          </cell>
          <cell r="DF183">
            <v>100075000000</v>
          </cell>
          <cell r="DG183">
            <v>8.9239999999999995</v>
          </cell>
          <cell r="DH183">
            <v>0</v>
          </cell>
          <cell r="DI183">
            <v>1.7849999999999999</v>
          </cell>
          <cell r="DJ183">
            <v>0</v>
          </cell>
          <cell r="DK183" t="str">
            <v>BRONZE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 t="str">
            <v>NA</v>
          </cell>
          <cell r="DU183" t="str">
            <v>NA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-1737.175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 t="str">
            <v>Settled</v>
          </cell>
          <cell r="FH183">
            <v>2205</v>
          </cell>
          <cell r="FI183">
            <v>1737.175</v>
          </cell>
          <cell r="FJ183">
            <v>458.88499999999999</v>
          </cell>
          <cell r="FK183">
            <v>197.06</v>
          </cell>
        </row>
        <row r="184">
          <cell r="A184">
            <v>8629194974</v>
          </cell>
          <cell r="B184">
            <v>10629119802</v>
          </cell>
          <cell r="C184" t="str">
            <v>return_refund</v>
          </cell>
          <cell r="D184">
            <v>45902.49722222222</v>
          </cell>
          <cell r="E184">
            <v>45892.432638888888</v>
          </cell>
          <cell r="G184" t="str">
            <v>Myntra Designs Pvt Ltd</v>
          </cell>
          <cell r="H184" t="str">
            <v>BETYLHNC66666968</v>
          </cell>
          <cell r="I184" t="str">
            <v>\I2726TK000002552\""</v>
          </cell>
          <cell r="J184">
            <v>8629194974</v>
          </cell>
          <cell r="K184">
            <v>62042300</v>
          </cell>
          <cell r="L184" t="str">
            <v>Apparel</v>
          </cell>
          <cell r="M184" t="str">
            <v>INR</v>
          </cell>
          <cell r="N184">
            <v>1429</v>
          </cell>
          <cell r="O184">
            <v>0</v>
          </cell>
          <cell r="P184">
            <v>1429</v>
          </cell>
          <cell r="Q184">
            <v>4000</v>
          </cell>
          <cell r="R184">
            <v>2400</v>
          </cell>
          <cell r="S184" t="str">
            <v>Inter-State</v>
          </cell>
          <cell r="T184">
            <v>12</v>
          </cell>
          <cell r="U184">
            <v>153.11000000000001</v>
          </cell>
          <cell r="V184">
            <v>0</v>
          </cell>
          <cell r="W184">
            <v>0</v>
          </cell>
          <cell r="X184">
            <v>6.3789999999999996</v>
          </cell>
          <cell r="Y184">
            <v>1.276</v>
          </cell>
          <cell r="AA184">
            <v>0</v>
          </cell>
          <cell r="AB184">
            <v>421.55500000000001</v>
          </cell>
          <cell r="AC184">
            <v>421.55500000000001</v>
          </cell>
          <cell r="AD184">
            <v>429.21</v>
          </cell>
          <cell r="AE184">
            <v>-197.06</v>
          </cell>
          <cell r="AF184">
            <v>167</v>
          </cell>
          <cell r="AG184">
            <v>0</v>
          </cell>
          <cell r="AH184">
            <v>0</v>
          </cell>
          <cell r="AI184">
            <v>0</v>
          </cell>
          <cell r="AJ184">
            <v>30.06</v>
          </cell>
          <cell r="AK184">
            <v>1</v>
          </cell>
          <cell r="AL184" t="str">
            <v>NATIONAL</v>
          </cell>
          <cell r="AM184">
            <v>1600</v>
          </cell>
          <cell r="AN184">
            <v>-1196.8499999999999</v>
          </cell>
          <cell r="AO184">
            <v>-1196.8499999999999</v>
          </cell>
          <cell r="AP184">
            <v>0</v>
          </cell>
          <cell r="AQ184">
            <v>429.21</v>
          </cell>
          <cell r="AR184">
            <v>-197.06</v>
          </cell>
          <cell r="AS184">
            <v>-1429</v>
          </cell>
          <cell r="AV184">
            <v>0</v>
          </cell>
          <cell r="AW184">
            <v>45912</v>
          </cell>
          <cell r="AX184">
            <v>45912</v>
          </cell>
          <cell r="AY184">
            <v>45912</v>
          </cell>
          <cell r="BC184" t="str">
            <v>NFT-/XUTR/DEUTH025255A0GCFX</v>
          </cell>
          <cell r="BD184" t="str">
            <v>NFT-/XUTR/DEUTH025255A0GCFX</v>
          </cell>
          <cell r="BE184" t="str">
            <v>NFT-/XUTR/DEUTH025255A0GCFX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1275.8900000000001</v>
          </cell>
          <cell r="BP184">
            <v>12</v>
          </cell>
          <cell r="BQ184">
            <v>0</v>
          </cell>
          <cell r="BR184">
            <v>0</v>
          </cell>
          <cell r="BS184">
            <v>0</v>
          </cell>
          <cell r="BT184">
            <v>0.5</v>
          </cell>
          <cell r="BU184">
            <v>0</v>
          </cell>
          <cell r="BV184">
            <v>0</v>
          </cell>
          <cell r="BW184">
            <v>0.1</v>
          </cell>
          <cell r="BX184" t="str">
            <v>BETTY</v>
          </cell>
          <cell r="BY184" t="str">
            <v>Girls</v>
          </cell>
          <cell r="BZ184" t="str">
            <v>External</v>
          </cell>
          <cell r="CA184" t="str">
            <v>Lehenga Choli</v>
          </cell>
          <cell r="CB184" t="str">
            <v>ON_HAND</v>
          </cell>
          <cell r="CC184" t="b">
            <v>0</v>
          </cell>
          <cell r="CD184" t="str">
            <v>**********</v>
          </cell>
          <cell r="CE184">
            <v>781028</v>
          </cell>
          <cell r="CF184" t="str">
            <v>27AXUPC8425A1ZH</v>
          </cell>
          <cell r="CH184" t="str">
            <v>29AAECM9636P1ZJ</v>
          </cell>
          <cell r="CI184" t="str">
            <v>Mumbai</v>
          </cell>
          <cell r="CJ184">
            <v>400013</v>
          </cell>
          <cell r="CK184" t="str">
            <v>maharashtra</v>
          </cell>
          <cell r="CL184" t="str">
            <v>MH</v>
          </cell>
          <cell r="CN184">
            <v>0</v>
          </cell>
          <cell r="CO184">
            <v>421.55500000000001</v>
          </cell>
          <cell r="CP184">
            <v>421.55500000000001</v>
          </cell>
          <cell r="CQ184">
            <v>0</v>
          </cell>
          <cell r="CR184">
            <v>0</v>
          </cell>
          <cell r="CS184">
            <v>0</v>
          </cell>
          <cell r="CT184">
            <v>2400</v>
          </cell>
          <cell r="CU184">
            <v>1.27589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E184" t="str">
            <v>6a268509-d55b-4a5f-955f-8d0b3cd28582</v>
          </cell>
          <cell r="DF184">
            <v>100075000000</v>
          </cell>
          <cell r="DG184">
            <v>6.3789999999999996</v>
          </cell>
          <cell r="DH184">
            <v>0</v>
          </cell>
          <cell r="DI184">
            <v>1.276</v>
          </cell>
          <cell r="DJ184">
            <v>0</v>
          </cell>
          <cell r="DK184" t="str">
            <v>BRONZE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 t="str">
            <v>NA</v>
          </cell>
          <cell r="DU184" t="str">
            <v>NA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-1196.8499999999999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 t="str">
            <v>Settled</v>
          </cell>
          <cell r="FH184">
            <v>1600</v>
          </cell>
          <cell r="FI184">
            <v>1196.8499999999999</v>
          </cell>
          <cell r="FJ184">
            <v>429.21</v>
          </cell>
          <cell r="FK184">
            <v>197.06</v>
          </cell>
        </row>
        <row r="185">
          <cell r="A185">
            <v>8661193481</v>
          </cell>
          <cell r="B185">
            <v>10661117560</v>
          </cell>
          <cell r="C185" t="str">
            <v>return_refund</v>
          </cell>
          <cell r="D185">
            <v>45916.713888888888</v>
          </cell>
          <cell r="E185">
            <v>45911.783333333333</v>
          </cell>
          <cell r="G185" t="str">
            <v>Myntra Designs Pvt Ltd</v>
          </cell>
          <cell r="H185" t="str">
            <v>TIKILHNC101907528</v>
          </cell>
          <cell r="I185" t="str">
            <v>\I2726TK000002857\""</v>
          </cell>
          <cell r="J185">
            <v>8661193481</v>
          </cell>
          <cell r="K185">
            <v>62042300</v>
          </cell>
          <cell r="L185" t="str">
            <v>Apparel</v>
          </cell>
          <cell r="M185" t="str">
            <v>INR</v>
          </cell>
          <cell r="N185">
            <v>1079</v>
          </cell>
          <cell r="O185">
            <v>0</v>
          </cell>
          <cell r="P185">
            <v>1079</v>
          </cell>
          <cell r="Q185">
            <v>2500</v>
          </cell>
          <cell r="R185">
            <v>1250</v>
          </cell>
          <cell r="S185" t="str">
            <v>Intra-State</v>
          </cell>
          <cell r="T185">
            <v>12</v>
          </cell>
          <cell r="U185">
            <v>0</v>
          </cell>
          <cell r="V185">
            <v>57.8</v>
          </cell>
          <cell r="W185">
            <v>57.8</v>
          </cell>
          <cell r="X185">
            <v>4.8170000000000002</v>
          </cell>
          <cell r="Y185">
            <v>0.96299999999999997</v>
          </cell>
          <cell r="AA185">
            <v>0</v>
          </cell>
          <cell r="AB185">
            <v>267.37599999999998</v>
          </cell>
          <cell r="AC185">
            <v>267.37599999999998</v>
          </cell>
          <cell r="AD185">
            <v>273.15600000000001</v>
          </cell>
          <cell r="AE185">
            <v>-107.38</v>
          </cell>
          <cell r="AF185">
            <v>91</v>
          </cell>
          <cell r="AG185">
            <v>0</v>
          </cell>
          <cell r="AH185">
            <v>0</v>
          </cell>
          <cell r="AI185">
            <v>0</v>
          </cell>
          <cell r="AJ185">
            <v>16.38</v>
          </cell>
          <cell r="AK185">
            <v>1</v>
          </cell>
          <cell r="AL185" t="str">
            <v>LOCAL</v>
          </cell>
          <cell r="AM185">
            <v>1250</v>
          </cell>
          <cell r="AN185">
            <v>-913.22400000000005</v>
          </cell>
          <cell r="AO185">
            <v>-913.22400000000005</v>
          </cell>
          <cell r="AP185">
            <v>0</v>
          </cell>
          <cell r="AQ185">
            <v>273.15600000000001</v>
          </cell>
          <cell r="AR185">
            <v>-107.38</v>
          </cell>
          <cell r="AS185">
            <v>-1079</v>
          </cell>
          <cell r="AV185">
            <v>0</v>
          </cell>
          <cell r="AW185">
            <v>45929</v>
          </cell>
          <cell r="AX185">
            <v>45929</v>
          </cell>
          <cell r="AY185">
            <v>45929</v>
          </cell>
          <cell r="BC185" t="str">
            <v>NFT-/XUTR/DEUTH025272A0RO3X</v>
          </cell>
          <cell r="BD185" t="str">
            <v>NFT-/XUTR/DEUTH025272A0RO3X</v>
          </cell>
          <cell r="BE185" t="str">
            <v>NFT-/XUTR/DEUTH025272A0RO3X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963.4</v>
          </cell>
          <cell r="BP185">
            <v>0</v>
          </cell>
          <cell r="BQ185">
            <v>6</v>
          </cell>
          <cell r="BR185">
            <v>6</v>
          </cell>
          <cell r="BS185">
            <v>0</v>
          </cell>
          <cell r="BT185">
            <v>0</v>
          </cell>
          <cell r="BU185">
            <v>0.25</v>
          </cell>
          <cell r="BV185">
            <v>0.25</v>
          </cell>
          <cell r="BW185">
            <v>0.1</v>
          </cell>
          <cell r="BX185" t="str">
            <v>Tiny Kingdom</v>
          </cell>
          <cell r="BY185" t="str">
            <v>Girls</v>
          </cell>
          <cell r="BZ185" t="str">
            <v>External</v>
          </cell>
          <cell r="CA185" t="str">
            <v>Lehenga Choli</v>
          </cell>
          <cell r="CB185" t="str">
            <v>ON_HAND</v>
          </cell>
          <cell r="CC185" t="b">
            <v>0</v>
          </cell>
          <cell r="CD185" t="str">
            <v>**********</v>
          </cell>
          <cell r="CE185">
            <v>411018</v>
          </cell>
          <cell r="CF185" t="str">
            <v>27AXUPC8425A1ZH</v>
          </cell>
          <cell r="CH185" t="str">
            <v>29AAECM9636P1ZJ</v>
          </cell>
          <cell r="CI185" t="str">
            <v>Mumbai</v>
          </cell>
          <cell r="CJ185">
            <v>400013</v>
          </cell>
          <cell r="CK185" t="str">
            <v>maharashtra</v>
          </cell>
          <cell r="CL185" t="str">
            <v>MH</v>
          </cell>
          <cell r="CN185">
            <v>0</v>
          </cell>
          <cell r="CO185">
            <v>267.37599999999998</v>
          </cell>
          <cell r="CP185">
            <v>267.37599999999998</v>
          </cell>
          <cell r="CQ185">
            <v>0</v>
          </cell>
          <cell r="CR185">
            <v>0</v>
          </cell>
          <cell r="CS185">
            <v>0</v>
          </cell>
          <cell r="CT185">
            <v>1250</v>
          </cell>
          <cell r="CU185">
            <v>0.96340000000000003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E185" t="str">
            <v>1765df5b-2142-4bd0-a8e5-38c4a9548feb</v>
          </cell>
          <cell r="DF185">
            <v>100079000000</v>
          </cell>
          <cell r="DG185">
            <v>4.8170000000000002</v>
          </cell>
          <cell r="DH185">
            <v>0</v>
          </cell>
          <cell r="DI185">
            <v>0.96299999999999997</v>
          </cell>
          <cell r="DJ185">
            <v>0</v>
          </cell>
          <cell r="DK185" t="str">
            <v>BRONZE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 t="str">
            <v>NA</v>
          </cell>
          <cell r="DU185" t="str">
            <v>NA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-913.22400000000005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 t="str">
            <v>Settled</v>
          </cell>
          <cell r="FH185">
            <v>1250</v>
          </cell>
          <cell r="FI185">
            <v>913.22400000000005</v>
          </cell>
          <cell r="FJ185">
            <v>273.15600000000001</v>
          </cell>
          <cell r="FK185">
            <v>107.38</v>
          </cell>
        </row>
        <row r="186">
          <cell r="A186">
            <v>8621454433</v>
          </cell>
          <cell r="B186">
            <v>10621379575</v>
          </cell>
          <cell r="C186" t="str">
            <v>return_refund</v>
          </cell>
          <cell r="D186">
            <v>45895.432638888888</v>
          </cell>
          <cell r="E186">
            <v>45888.475694444445</v>
          </cell>
          <cell r="F186">
            <v>44527</v>
          </cell>
          <cell r="G186" t="str">
            <v>Myntra Designs Pvt Ltd</v>
          </cell>
          <cell r="H186" t="str">
            <v>TIKILHNC106661944</v>
          </cell>
          <cell r="I186" t="str">
            <v>\I2726TK000002487\""</v>
          </cell>
          <cell r="J186">
            <v>8621454433</v>
          </cell>
          <cell r="K186">
            <v>62042300</v>
          </cell>
          <cell r="L186" t="str">
            <v>Apparel</v>
          </cell>
          <cell r="M186" t="str">
            <v>INR</v>
          </cell>
          <cell r="N186">
            <v>2944</v>
          </cell>
          <cell r="O186">
            <v>0</v>
          </cell>
          <cell r="P186">
            <v>2944</v>
          </cell>
          <cell r="Q186">
            <v>4500</v>
          </cell>
          <cell r="R186">
            <v>1350</v>
          </cell>
          <cell r="S186" t="str">
            <v>Inter-State</v>
          </cell>
          <cell r="T186">
            <v>12</v>
          </cell>
          <cell r="U186">
            <v>315.43</v>
          </cell>
          <cell r="V186">
            <v>0</v>
          </cell>
          <cell r="W186">
            <v>0</v>
          </cell>
          <cell r="X186">
            <v>13.143000000000001</v>
          </cell>
          <cell r="Y186">
            <v>2.629</v>
          </cell>
          <cell r="AA186">
            <v>0</v>
          </cell>
          <cell r="AB186">
            <v>729.52300000000002</v>
          </cell>
          <cell r="AC186">
            <v>729.52300000000002</v>
          </cell>
          <cell r="AD186">
            <v>745.29499999999996</v>
          </cell>
          <cell r="AE186">
            <v>-197.06</v>
          </cell>
          <cell r="AF186">
            <v>167</v>
          </cell>
          <cell r="AG186">
            <v>0</v>
          </cell>
          <cell r="AH186">
            <v>0</v>
          </cell>
          <cell r="AI186">
            <v>0</v>
          </cell>
          <cell r="AJ186">
            <v>30.06</v>
          </cell>
          <cell r="AK186">
            <v>1</v>
          </cell>
          <cell r="AL186" t="str">
            <v>NATIONAL</v>
          </cell>
          <cell r="AM186">
            <v>3150</v>
          </cell>
          <cell r="AN186">
            <v>-2395.7649999999999</v>
          </cell>
          <cell r="AO186">
            <v>-2395.7649999999999</v>
          </cell>
          <cell r="AP186">
            <v>0</v>
          </cell>
          <cell r="AQ186">
            <v>745.29499999999996</v>
          </cell>
          <cell r="AR186">
            <v>-197.06</v>
          </cell>
          <cell r="AS186">
            <v>-2944</v>
          </cell>
          <cell r="AV186">
            <v>0</v>
          </cell>
          <cell r="AW186">
            <v>45908</v>
          </cell>
          <cell r="AX186">
            <v>45908</v>
          </cell>
          <cell r="AY186">
            <v>45908</v>
          </cell>
          <cell r="BC186" t="str">
            <v>NFT-/XUTR/DEUTH025251A0L0JX</v>
          </cell>
          <cell r="BD186" t="str">
            <v>NFT-/XUTR/DEUTH025251A0L0JX</v>
          </cell>
          <cell r="BE186" t="str">
            <v>NFT-/XUTR/DEUTH025251A0L0JX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2628.57</v>
          </cell>
          <cell r="BP186">
            <v>12</v>
          </cell>
          <cell r="BQ186">
            <v>0</v>
          </cell>
          <cell r="BR186">
            <v>0</v>
          </cell>
          <cell r="BS186">
            <v>0</v>
          </cell>
          <cell r="BT186">
            <v>0.5</v>
          </cell>
          <cell r="BU186">
            <v>0</v>
          </cell>
          <cell r="BV186">
            <v>0</v>
          </cell>
          <cell r="BW186">
            <v>0.1</v>
          </cell>
          <cell r="BX186" t="str">
            <v>Tiny Kingdom</v>
          </cell>
          <cell r="BY186" t="str">
            <v>Girls</v>
          </cell>
          <cell r="BZ186" t="str">
            <v>External</v>
          </cell>
          <cell r="CA186" t="str">
            <v>Lehenga Choli</v>
          </cell>
          <cell r="CB186" t="str">
            <v>ON_HAND</v>
          </cell>
          <cell r="CC186" t="b">
            <v>0</v>
          </cell>
          <cell r="CD186" t="str">
            <v>**********</v>
          </cell>
          <cell r="CE186">
            <v>134112</v>
          </cell>
          <cell r="CF186" t="str">
            <v>27AXUPC8425A1ZH</v>
          </cell>
          <cell r="CH186" t="str">
            <v>29AAECM9636P1ZJ</v>
          </cell>
          <cell r="CI186" t="str">
            <v>Mumbai</v>
          </cell>
          <cell r="CJ186">
            <v>400013</v>
          </cell>
          <cell r="CK186" t="str">
            <v>maharashtra</v>
          </cell>
          <cell r="CL186" t="str">
            <v>MH</v>
          </cell>
          <cell r="CN186">
            <v>0</v>
          </cell>
          <cell r="CO186">
            <v>729.52300000000002</v>
          </cell>
          <cell r="CP186">
            <v>729.52300000000002</v>
          </cell>
          <cell r="CQ186">
            <v>0</v>
          </cell>
          <cell r="CR186">
            <v>0</v>
          </cell>
          <cell r="CS186">
            <v>0</v>
          </cell>
          <cell r="CT186">
            <v>1350</v>
          </cell>
          <cell r="CU186">
            <v>2.6285699999999999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E186" t="str">
            <v>212f67fe-ec38-4388-9d9e-92dfaa2f14b4</v>
          </cell>
          <cell r="DF186">
            <v>100073000000</v>
          </cell>
          <cell r="DG186">
            <v>13.143000000000001</v>
          </cell>
          <cell r="DH186">
            <v>0</v>
          </cell>
          <cell r="DI186">
            <v>2.629</v>
          </cell>
          <cell r="DJ186">
            <v>0</v>
          </cell>
          <cell r="DK186" t="str">
            <v>BRONZE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 t="str">
            <v>NA</v>
          </cell>
          <cell r="DU186" t="str">
            <v>NA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-2395.7649999999999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 t="str">
            <v>Settled</v>
          </cell>
          <cell r="FH186">
            <v>3150</v>
          </cell>
          <cell r="FI186">
            <v>2395.7649999999999</v>
          </cell>
          <cell r="FJ186">
            <v>745.29499999999996</v>
          </cell>
          <cell r="FK186">
            <v>197.06</v>
          </cell>
        </row>
        <row r="187">
          <cell r="A187">
            <v>8655513263</v>
          </cell>
          <cell r="B187">
            <v>10655437426</v>
          </cell>
          <cell r="C187" t="str">
            <v>return_refund</v>
          </cell>
          <cell r="D187">
            <v>45919.484027777777</v>
          </cell>
          <cell r="E187">
            <v>45908.48333333333</v>
          </cell>
          <cell r="G187" t="str">
            <v>Myntra Designs Pvt Ltd</v>
          </cell>
          <cell r="H187" t="str">
            <v>BETYDRSS100320367</v>
          </cell>
          <cell r="I187" t="str">
            <v>\I2726TK000002789\""</v>
          </cell>
          <cell r="J187">
            <v>8655513263</v>
          </cell>
          <cell r="K187">
            <v>62042300</v>
          </cell>
          <cell r="L187" t="str">
            <v>Apparel</v>
          </cell>
          <cell r="M187" t="str">
            <v>INR</v>
          </cell>
          <cell r="N187">
            <v>3294</v>
          </cell>
          <cell r="O187">
            <v>3234.2750000000001</v>
          </cell>
          <cell r="P187">
            <v>59.725000000000001</v>
          </cell>
          <cell r="Q187">
            <v>5000</v>
          </cell>
          <cell r="R187">
            <v>1500</v>
          </cell>
          <cell r="S187" t="str">
            <v>Inter-State</v>
          </cell>
          <cell r="T187">
            <v>12</v>
          </cell>
          <cell r="U187">
            <v>352.93</v>
          </cell>
          <cell r="V187">
            <v>0</v>
          </cell>
          <cell r="W187">
            <v>0</v>
          </cell>
          <cell r="X187">
            <v>14.706</v>
          </cell>
          <cell r="Y187">
            <v>2.9409999999999998</v>
          </cell>
          <cell r="AA187">
            <v>0</v>
          </cell>
          <cell r="AB187">
            <v>1049.4680000000001</v>
          </cell>
          <cell r="AC187">
            <v>1049.4680000000001</v>
          </cell>
          <cell r="AD187">
            <v>1067.115</v>
          </cell>
          <cell r="AE187">
            <v>-197.06</v>
          </cell>
          <cell r="AF187">
            <v>167</v>
          </cell>
          <cell r="AG187">
            <v>0</v>
          </cell>
          <cell r="AH187">
            <v>0</v>
          </cell>
          <cell r="AI187">
            <v>0</v>
          </cell>
          <cell r="AJ187">
            <v>30.06</v>
          </cell>
          <cell r="AK187">
            <v>1</v>
          </cell>
          <cell r="AL187" t="str">
            <v>NATIONAL</v>
          </cell>
          <cell r="AM187">
            <v>3500</v>
          </cell>
          <cell r="AN187">
            <v>-2423.9450000000002</v>
          </cell>
          <cell r="AO187">
            <v>-2423.9450000000002</v>
          </cell>
          <cell r="AP187">
            <v>0</v>
          </cell>
          <cell r="AQ187">
            <v>19.347999999999999</v>
          </cell>
          <cell r="AR187">
            <v>-3.5730400000000002</v>
          </cell>
          <cell r="AS187">
            <v>-59.725000000000001</v>
          </cell>
          <cell r="AT187">
            <v>1047.7670000000001</v>
          </cell>
          <cell r="AU187">
            <v>-193.48696000000001</v>
          </cell>
          <cell r="AV187">
            <v>-3234.2750000000001</v>
          </cell>
          <cell r="AW187">
            <v>45926</v>
          </cell>
          <cell r="AX187">
            <v>45926</v>
          </cell>
          <cell r="AY187">
            <v>45926</v>
          </cell>
          <cell r="AZ187">
            <v>45926</v>
          </cell>
          <cell r="BA187">
            <v>45926</v>
          </cell>
          <cell r="BB187">
            <v>45926</v>
          </cell>
          <cell r="BC187" t="str">
            <v>NFT-/XUTR/DEUTH02526963643X</v>
          </cell>
          <cell r="BD187" t="str">
            <v>NFT-/XUTR/DEUTH02526963643X</v>
          </cell>
          <cell r="BE187" t="str">
            <v>NFT-/XUTR/DEUTH02526963643X</v>
          </cell>
          <cell r="BF187" t="str">
            <v>NFT-/XUTR/DEUTH02526965743X</v>
          </cell>
          <cell r="BG187" t="str">
            <v>NFT-/XUTR/DEUTH02526965743X</v>
          </cell>
          <cell r="BH187" t="str">
            <v>NFT-/XUTR/DEUTH02526965743X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2941.07</v>
          </cell>
          <cell r="BP187">
            <v>12</v>
          </cell>
          <cell r="BQ187">
            <v>0</v>
          </cell>
          <cell r="BR187">
            <v>0</v>
          </cell>
          <cell r="BS187">
            <v>0</v>
          </cell>
          <cell r="BT187">
            <v>0.5</v>
          </cell>
          <cell r="BU187">
            <v>0</v>
          </cell>
          <cell r="BV187">
            <v>0</v>
          </cell>
          <cell r="BW187">
            <v>0.1</v>
          </cell>
          <cell r="BX187" t="str">
            <v>BETTY</v>
          </cell>
          <cell r="BY187" t="str">
            <v>Girls</v>
          </cell>
          <cell r="BZ187" t="str">
            <v>External</v>
          </cell>
          <cell r="CA187" t="str">
            <v>Dresses</v>
          </cell>
          <cell r="CB187" t="str">
            <v>ON_HAND</v>
          </cell>
          <cell r="CC187" t="b">
            <v>0</v>
          </cell>
          <cell r="CD187" t="str">
            <v>**********</v>
          </cell>
          <cell r="CE187">
            <v>843301</v>
          </cell>
          <cell r="CF187" t="str">
            <v>27AXUPC8425A1ZH</v>
          </cell>
          <cell r="CH187" t="str">
            <v>29AAECM9636P1ZJ</v>
          </cell>
          <cell r="CI187" t="str">
            <v>Mumbai</v>
          </cell>
          <cell r="CJ187">
            <v>400013</v>
          </cell>
          <cell r="CK187" t="str">
            <v>maharashtra</v>
          </cell>
          <cell r="CL187" t="str">
            <v>MH</v>
          </cell>
          <cell r="CN187">
            <v>0</v>
          </cell>
          <cell r="CO187">
            <v>19.027999999999999</v>
          </cell>
          <cell r="CP187">
            <v>19.027999999999999</v>
          </cell>
          <cell r="CQ187">
            <v>0</v>
          </cell>
          <cell r="CR187">
            <v>0</v>
          </cell>
          <cell r="CS187">
            <v>0</v>
          </cell>
          <cell r="CT187">
            <v>1500</v>
          </cell>
          <cell r="CU187">
            <v>2.9410699999999999</v>
          </cell>
          <cell r="CW187">
            <v>0</v>
          </cell>
          <cell r="CX187">
            <v>1030.44</v>
          </cell>
          <cell r="CY187">
            <v>1030.44</v>
          </cell>
          <cell r="CZ187">
            <v>0</v>
          </cell>
          <cell r="DA187">
            <v>0</v>
          </cell>
          <cell r="DB187">
            <v>0</v>
          </cell>
          <cell r="DC187">
            <v>1500</v>
          </cell>
          <cell r="DD187">
            <v>2.9410699999999999</v>
          </cell>
          <cell r="DE187" t="str">
            <v>7860461d-8d10-4eb4-855c-6fff360c97b1</v>
          </cell>
          <cell r="DF187">
            <v>100078000000</v>
          </cell>
          <cell r="DG187">
            <v>0.26700000000000002</v>
          </cell>
          <cell r="DH187">
            <v>14.439</v>
          </cell>
          <cell r="DI187">
            <v>5.2999999999999999E-2</v>
          </cell>
          <cell r="DJ187">
            <v>2.8879999999999999</v>
          </cell>
          <cell r="DK187" t="str">
            <v>BRONZE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 t="str">
            <v>NA</v>
          </cell>
          <cell r="DU187" t="str">
            <v>NA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-2423.9450000000002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 t="str">
            <v>Settled</v>
          </cell>
          <cell r="FH187">
            <v>3500</v>
          </cell>
          <cell r="FI187">
            <v>2423.9450000000002</v>
          </cell>
          <cell r="FJ187">
            <v>1067.115</v>
          </cell>
          <cell r="FK187">
            <v>197.06</v>
          </cell>
        </row>
        <row r="188">
          <cell r="A188">
            <v>8635171830</v>
          </cell>
          <cell r="B188">
            <v>10635096444</v>
          </cell>
          <cell r="C188" t="str">
            <v>return_refund</v>
          </cell>
          <cell r="D188">
            <v>45909.614583333336</v>
          </cell>
          <cell r="E188">
            <v>45897.440972222219</v>
          </cell>
          <cell r="G188" t="str">
            <v>Myntra Designs Pvt Ltd</v>
          </cell>
          <cell r="H188" t="str">
            <v>TIKIDRSS113491287</v>
          </cell>
          <cell r="I188" t="str">
            <v>\I2726TK000002622\""</v>
          </cell>
          <cell r="J188">
            <v>8635171830</v>
          </cell>
          <cell r="K188">
            <v>62042300</v>
          </cell>
          <cell r="L188" t="str">
            <v>Apparel</v>
          </cell>
          <cell r="M188" t="str">
            <v>INR</v>
          </cell>
          <cell r="N188">
            <v>3056</v>
          </cell>
          <cell r="O188">
            <v>320.22300000000001</v>
          </cell>
          <cell r="P188">
            <v>2735.777</v>
          </cell>
          <cell r="Q188">
            <v>3750</v>
          </cell>
          <cell r="R188">
            <v>488</v>
          </cell>
          <cell r="S188" t="str">
            <v>Intra-State</v>
          </cell>
          <cell r="T188">
            <v>12</v>
          </cell>
          <cell r="U188">
            <v>0</v>
          </cell>
          <cell r="V188">
            <v>163.71</v>
          </cell>
          <cell r="W188">
            <v>163.71</v>
          </cell>
          <cell r="X188">
            <v>13.643000000000001</v>
          </cell>
          <cell r="Y188">
            <v>2.7290000000000001</v>
          </cell>
          <cell r="AA188">
            <v>0</v>
          </cell>
          <cell r="AB188">
            <v>649.09400000000005</v>
          </cell>
          <cell r="AC188">
            <v>649.09400000000005</v>
          </cell>
          <cell r="AD188">
            <v>665.46600000000001</v>
          </cell>
          <cell r="AE188">
            <v>-132.16</v>
          </cell>
          <cell r="AF188">
            <v>112</v>
          </cell>
          <cell r="AG188">
            <v>0</v>
          </cell>
          <cell r="AH188">
            <v>0</v>
          </cell>
          <cell r="AI188">
            <v>0</v>
          </cell>
          <cell r="AJ188">
            <v>20.16</v>
          </cell>
          <cell r="AK188">
            <v>1</v>
          </cell>
          <cell r="AL188" t="str">
            <v>ZONAL</v>
          </cell>
          <cell r="AM188">
            <v>3262</v>
          </cell>
          <cell r="AN188">
            <v>-2522.694</v>
          </cell>
          <cell r="AO188">
            <v>-2522.694</v>
          </cell>
          <cell r="AP188">
            <v>0</v>
          </cell>
          <cell r="AQ188">
            <v>595.73500000000001</v>
          </cell>
          <cell r="AR188">
            <v>-118.31152</v>
          </cell>
          <cell r="AS188">
            <v>-2735.777</v>
          </cell>
          <cell r="AT188">
            <v>69.730999999999995</v>
          </cell>
          <cell r="AU188">
            <v>-13.84848</v>
          </cell>
          <cell r="AV188">
            <v>-320.22300000000001</v>
          </cell>
          <cell r="AW188">
            <v>45915</v>
          </cell>
          <cell r="AX188">
            <v>45915</v>
          </cell>
          <cell r="AY188">
            <v>45915</v>
          </cell>
          <cell r="AZ188">
            <v>45915</v>
          </cell>
          <cell r="BA188">
            <v>45915</v>
          </cell>
          <cell r="BB188">
            <v>45915</v>
          </cell>
          <cell r="BC188" t="str">
            <v>NFT-/XUTR/DEUTH025258A0IM4X</v>
          </cell>
          <cell r="BD188" t="str">
            <v>NFT-/XUTR/DEUTH025258A0IM4X</v>
          </cell>
          <cell r="BE188" t="str">
            <v>NFT-/XUTR/DEUTH025258A0IM4X</v>
          </cell>
          <cell r="BF188" t="str">
            <v>NFT-/XUTR/DEUTH02525806657X</v>
          </cell>
          <cell r="BG188" t="str">
            <v>NFT-/XUTR/DEUTH02525806657X</v>
          </cell>
          <cell r="BH188" t="str">
            <v>NFT-/XUTR/DEUTH02525806657X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300</v>
          </cell>
          <cell r="BN188">
            <v>0</v>
          </cell>
          <cell r="BO188">
            <v>2728.58</v>
          </cell>
          <cell r="BP188">
            <v>0</v>
          </cell>
          <cell r="BQ188">
            <v>6</v>
          </cell>
          <cell r="BR188">
            <v>6</v>
          </cell>
          <cell r="BS188">
            <v>0</v>
          </cell>
          <cell r="BT188">
            <v>0</v>
          </cell>
          <cell r="BU188">
            <v>0.25</v>
          </cell>
          <cell r="BV188">
            <v>0.25</v>
          </cell>
          <cell r="BW188">
            <v>0.1</v>
          </cell>
          <cell r="BX188" t="str">
            <v>Tiny Kingdom</v>
          </cell>
          <cell r="BY188" t="str">
            <v>Girls</v>
          </cell>
          <cell r="BZ188" t="str">
            <v>External</v>
          </cell>
          <cell r="CA188" t="str">
            <v>Dresses</v>
          </cell>
          <cell r="CB188" t="str">
            <v>ON_HAND</v>
          </cell>
          <cell r="CC188" t="b">
            <v>0</v>
          </cell>
          <cell r="CD188" t="str">
            <v>**********</v>
          </cell>
          <cell r="CE188">
            <v>421503</v>
          </cell>
          <cell r="CF188" t="str">
            <v>27AXUPC8425A1ZH</v>
          </cell>
          <cell r="CH188" t="str">
            <v>29AAECM9636P1ZJ</v>
          </cell>
          <cell r="CI188" t="str">
            <v>Mumbai</v>
          </cell>
          <cell r="CJ188">
            <v>400013</v>
          </cell>
          <cell r="CK188" t="str">
            <v>maharashtra</v>
          </cell>
          <cell r="CL188" t="str">
            <v>MH</v>
          </cell>
          <cell r="CN188">
            <v>0</v>
          </cell>
          <cell r="CO188">
            <v>581.07899999999995</v>
          </cell>
          <cell r="CP188">
            <v>581.07899999999995</v>
          </cell>
          <cell r="CQ188">
            <v>0</v>
          </cell>
          <cell r="CR188">
            <v>0</v>
          </cell>
          <cell r="CS188">
            <v>0</v>
          </cell>
          <cell r="CT188">
            <v>488</v>
          </cell>
          <cell r="CU188">
            <v>2.72858</v>
          </cell>
          <cell r="CW188">
            <v>0</v>
          </cell>
          <cell r="CX188">
            <v>68.015000000000001</v>
          </cell>
          <cell r="CY188">
            <v>68.015000000000001</v>
          </cell>
          <cell r="CZ188">
            <v>0</v>
          </cell>
          <cell r="DA188">
            <v>0</v>
          </cell>
          <cell r="DB188">
            <v>0</v>
          </cell>
          <cell r="DC188">
            <v>488</v>
          </cell>
          <cell r="DD188">
            <v>2.72858</v>
          </cell>
          <cell r="DE188" t="str">
            <v>6959fba7-c429-47ff-a105-b1dde947133a</v>
          </cell>
          <cell r="DF188">
            <v>100076000000</v>
          </cell>
          <cell r="DG188">
            <v>12.212999999999999</v>
          </cell>
          <cell r="DH188">
            <v>1.43</v>
          </cell>
          <cell r="DI188">
            <v>2.4430000000000001</v>
          </cell>
          <cell r="DJ188">
            <v>0.28599999999999998</v>
          </cell>
          <cell r="DK188" t="str">
            <v>BRONZE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 t="str">
            <v>NA</v>
          </cell>
          <cell r="DU188" t="str">
            <v>NA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-2522.694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 t="str">
            <v>Settled</v>
          </cell>
          <cell r="FH188">
            <v>3262</v>
          </cell>
          <cell r="FI188">
            <v>2522.694</v>
          </cell>
          <cell r="FJ188">
            <v>665.46600000000001</v>
          </cell>
          <cell r="FK188">
            <v>132.16</v>
          </cell>
        </row>
        <row r="189">
          <cell r="A189">
            <v>8660566214</v>
          </cell>
          <cell r="B189">
            <v>10660490283</v>
          </cell>
          <cell r="C189" t="str">
            <v>return_refund</v>
          </cell>
          <cell r="D189">
            <v>45916.198611111111</v>
          </cell>
          <cell r="E189">
            <v>45911.459027777775</v>
          </cell>
          <cell r="G189" t="str">
            <v>Myntra Designs Pvt Ltd</v>
          </cell>
          <cell r="H189" t="str">
            <v>TIKICLST112314248</v>
          </cell>
          <cell r="I189" t="str">
            <v>\I2726TK000002846\""</v>
          </cell>
          <cell r="J189">
            <v>8660566214</v>
          </cell>
          <cell r="K189">
            <v>62042300</v>
          </cell>
          <cell r="L189" t="str">
            <v>Apparel</v>
          </cell>
          <cell r="M189" t="str">
            <v>INR</v>
          </cell>
          <cell r="N189">
            <v>3194</v>
          </cell>
          <cell r="O189">
            <v>0</v>
          </cell>
          <cell r="P189">
            <v>3194</v>
          </cell>
          <cell r="Q189">
            <v>4250</v>
          </cell>
          <cell r="R189">
            <v>850</v>
          </cell>
          <cell r="S189" t="str">
            <v>Inter-State</v>
          </cell>
          <cell r="T189">
            <v>12</v>
          </cell>
          <cell r="U189">
            <v>342.21</v>
          </cell>
          <cell r="V189">
            <v>0</v>
          </cell>
          <cell r="W189">
            <v>0</v>
          </cell>
          <cell r="X189">
            <v>14.259</v>
          </cell>
          <cell r="Y189">
            <v>2.8519999999999999</v>
          </cell>
          <cell r="AA189">
            <v>0</v>
          </cell>
          <cell r="AB189">
            <v>829.16200000000003</v>
          </cell>
          <cell r="AC189">
            <v>829.16200000000003</v>
          </cell>
          <cell r="AD189">
            <v>846.27300000000002</v>
          </cell>
          <cell r="AE189">
            <v>-197.06</v>
          </cell>
          <cell r="AF189">
            <v>167</v>
          </cell>
          <cell r="AG189">
            <v>0</v>
          </cell>
          <cell r="AH189">
            <v>0</v>
          </cell>
          <cell r="AI189">
            <v>0</v>
          </cell>
          <cell r="AJ189">
            <v>30.06</v>
          </cell>
          <cell r="AK189">
            <v>1</v>
          </cell>
          <cell r="AL189" t="str">
            <v>NATIONAL</v>
          </cell>
          <cell r="AM189">
            <v>3400</v>
          </cell>
          <cell r="AN189">
            <v>-2544.7869999999998</v>
          </cell>
          <cell r="AO189">
            <v>-2544.7869999999998</v>
          </cell>
          <cell r="AP189">
            <v>0</v>
          </cell>
          <cell r="AQ189">
            <v>846.27300000000002</v>
          </cell>
          <cell r="AR189">
            <v>-197.06</v>
          </cell>
          <cell r="AS189">
            <v>-3194</v>
          </cell>
          <cell r="AV189">
            <v>0</v>
          </cell>
          <cell r="AW189">
            <v>45929</v>
          </cell>
          <cell r="AX189">
            <v>45929</v>
          </cell>
          <cell r="AY189">
            <v>45929</v>
          </cell>
          <cell r="BC189" t="str">
            <v>NFT-/XUTR/DEUTH025272A0RO3X</v>
          </cell>
          <cell r="BD189" t="str">
            <v>NFT-/XUTR/DEUTH025272A0RO3X</v>
          </cell>
          <cell r="BE189" t="str">
            <v>NFT-/XUTR/DEUTH025272A0RO3X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2851.79</v>
          </cell>
          <cell r="BP189">
            <v>12</v>
          </cell>
          <cell r="BQ189">
            <v>0</v>
          </cell>
          <cell r="BR189">
            <v>0</v>
          </cell>
          <cell r="BS189">
            <v>0</v>
          </cell>
          <cell r="BT189">
            <v>0.5</v>
          </cell>
          <cell r="BU189">
            <v>0</v>
          </cell>
          <cell r="BV189">
            <v>0</v>
          </cell>
          <cell r="BW189">
            <v>0.1</v>
          </cell>
          <cell r="BX189" t="str">
            <v>Tiny Kingdom</v>
          </cell>
          <cell r="BY189" t="str">
            <v>Girls</v>
          </cell>
          <cell r="BZ189" t="str">
            <v>External</v>
          </cell>
          <cell r="CA189" t="str">
            <v>Kurta Sets</v>
          </cell>
          <cell r="CB189" t="str">
            <v>ON_HAND</v>
          </cell>
          <cell r="CC189" t="b">
            <v>0</v>
          </cell>
          <cell r="CD189" t="str">
            <v>**********</v>
          </cell>
          <cell r="CE189">
            <v>122002</v>
          </cell>
          <cell r="CF189" t="str">
            <v>27AXUPC8425A1ZH</v>
          </cell>
          <cell r="CH189" t="str">
            <v>29AAECM9636P1ZJ</v>
          </cell>
          <cell r="CI189" t="str">
            <v>Mumbai</v>
          </cell>
          <cell r="CJ189">
            <v>400013</v>
          </cell>
          <cell r="CK189" t="str">
            <v>maharashtra</v>
          </cell>
          <cell r="CL189" t="str">
            <v>MH</v>
          </cell>
          <cell r="CN189">
            <v>0</v>
          </cell>
          <cell r="CO189">
            <v>829.16200000000003</v>
          </cell>
          <cell r="CP189">
            <v>829.16200000000003</v>
          </cell>
          <cell r="CQ189">
            <v>0</v>
          </cell>
          <cell r="CR189">
            <v>0</v>
          </cell>
          <cell r="CS189">
            <v>0</v>
          </cell>
          <cell r="CT189">
            <v>850</v>
          </cell>
          <cell r="CU189">
            <v>2.8517899999999998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E189" t="str">
            <v>6d6e4827-7e9a-41b8-a461-f67c065a9853</v>
          </cell>
          <cell r="DF189">
            <v>100078000000</v>
          </cell>
          <cell r="DG189">
            <v>14.259</v>
          </cell>
          <cell r="DH189">
            <v>0</v>
          </cell>
          <cell r="DI189">
            <v>2.8519999999999999</v>
          </cell>
          <cell r="DJ189">
            <v>0</v>
          </cell>
          <cell r="DK189" t="str">
            <v>BRONZE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 t="str">
            <v>NA</v>
          </cell>
          <cell r="DU189" t="str">
            <v>NA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-2544.7869999999998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 t="str">
            <v>Settled</v>
          </cell>
          <cell r="FH189">
            <v>3400</v>
          </cell>
          <cell r="FI189">
            <v>2544.7869999999998</v>
          </cell>
          <cell r="FJ189">
            <v>846.27300000000002</v>
          </cell>
          <cell r="FK189">
            <v>197.06</v>
          </cell>
        </row>
        <row r="190">
          <cell r="A190">
            <v>8643967266</v>
          </cell>
          <cell r="B190">
            <v>10643891687</v>
          </cell>
          <cell r="C190" t="str">
            <v>return_refund</v>
          </cell>
          <cell r="D190">
            <v>45917.588888888888</v>
          </cell>
          <cell r="E190">
            <v>45902.448611111111</v>
          </cell>
          <cell r="G190" t="str">
            <v>Myntra Designs Pvt Ltd</v>
          </cell>
          <cell r="H190" t="str">
            <v>BETYDRSS112339709</v>
          </cell>
          <cell r="I190" t="str">
            <v>\I2726TK000002708\""</v>
          </cell>
          <cell r="J190">
            <v>8643967266</v>
          </cell>
          <cell r="K190">
            <v>62042300</v>
          </cell>
          <cell r="L190" t="str">
            <v>Apparel</v>
          </cell>
          <cell r="M190" t="str">
            <v>INR</v>
          </cell>
          <cell r="N190">
            <v>4594</v>
          </cell>
          <cell r="O190">
            <v>0</v>
          </cell>
          <cell r="P190">
            <v>4594</v>
          </cell>
          <cell r="Q190">
            <v>6000</v>
          </cell>
          <cell r="R190">
            <v>1200</v>
          </cell>
          <cell r="S190" t="str">
            <v>Inter-State</v>
          </cell>
          <cell r="T190">
            <v>12</v>
          </cell>
          <cell r="U190">
            <v>492.21</v>
          </cell>
          <cell r="V190">
            <v>0</v>
          </cell>
          <cell r="W190">
            <v>0</v>
          </cell>
          <cell r="X190">
            <v>20.509</v>
          </cell>
          <cell r="Y190">
            <v>4.1020000000000003</v>
          </cell>
          <cell r="AA190">
            <v>0</v>
          </cell>
          <cell r="AB190">
            <v>1301.021</v>
          </cell>
          <cell r="AC190">
            <v>1301.021</v>
          </cell>
          <cell r="AD190">
            <v>1325.6320000000001</v>
          </cell>
          <cell r="AE190">
            <v>-132.16</v>
          </cell>
          <cell r="AF190">
            <v>112</v>
          </cell>
          <cell r="AG190">
            <v>0</v>
          </cell>
          <cell r="AH190">
            <v>0</v>
          </cell>
          <cell r="AI190">
            <v>0</v>
          </cell>
          <cell r="AJ190">
            <v>20.16</v>
          </cell>
          <cell r="AK190">
            <v>1</v>
          </cell>
          <cell r="AL190" t="str">
            <v>ZONAL</v>
          </cell>
          <cell r="AM190">
            <v>4800</v>
          </cell>
          <cell r="AN190">
            <v>-3400.5279999999998</v>
          </cell>
          <cell r="AO190">
            <v>-3400.5279999999998</v>
          </cell>
          <cell r="AP190">
            <v>0</v>
          </cell>
          <cell r="AQ190">
            <v>1325.6320000000001</v>
          </cell>
          <cell r="AR190">
            <v>-132.16</v>
          </cell>
          <cell r="AS190">
            <v>-4594</v>
          </cell>
          <cell r="AV190">
            <v>0</v>
          </cell>
          <cell r="AW190">
            <v>45925</v>
          </cell>
          <cell r="AX190">
            <v>45925</v>
          </cell>
          <cell r="AY190">
            <v>45925</v>
          </cell>
          <cell r="BC190" t="str">
            <v>NFT-/XUTR/DEUTH02526823565X</v>
          </cell>
          <cell r="BD190" t="str">
            <v>NFT-/XUTR/DEUTH02526823565X</v>
          </cell>
          <cell r="BE190" t="str">
            <v>NFT-/XUTR/DEUTH02526823565X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4101.79</v>
          </cell>
          <cell r="BP190">
            <v>12</v>
          </cell>
          <cell r="BQ190">
            <v>0</v>
          </cell>
          <cell r="BR190">
            <v>0</v>
          </cell>
          <cell r="BS190">
            <v>0</v>
          </cell>
          <cell r="BT190">
            <v>0.5</v>
          </cell>
          <cell r="BU190">
            <v>0</v>
          </cell>
          <cell r="BV190">
            <v>0</v>
          </cell>
          <cell r="BW190">
            <v>0.1</v>
          </cell>
          <cell r="BX190" t="str">
            <v>BETTY</v>
          </cell>
          <cell r="BY190" t="str">
            <v>Girls</v>
          </cell>
          <cell r="BZ190" t="str">
            <v>External</v>
          </cell>
          <cell r="CA190" t="str">
            <v>Ethnic Dresses</v>
          </cell>
          <cell r="CB190" t="str">
            <v>ON_HAND</v>
          </cell>
          <cell r="CC190" t="b">
            <v>0</v>
          </cell>
          <cell r="CD190" t="str">
            <v>**********</v>
          </cell>
          <cell r="CE190">
            <v>560016</v>
          </cell>
          <cell r="CF190" t="str">
            <v>27AXUPC8425A1ZH</v>
          </cell>
          <cell r="CH190" t="str">
            <v>29AAECM9636P1ZJ</v>
          </cell>
          <cell r="CI190" t="str">
            <v>Mumbai</v>
          </cell>
          <cell r="CJ190">
            <v>400013</v>
          </cell>
          <cell r="CK190" t="str">
            <v>maharashtra</v>
          </cell>
          <cell r="CL190" t="str">
            <v>MH</v>
          </cell>
          <cell r="CN190">
            <v>0</v>
          </cell>
          <cell r="CO190">
            <v>1301.021</v>
          </cell>
          <cell r="CP190">
            <v>1301.021</v>
          </cell>
          <cell r="CQ190">
            <v>0</v>
          </cell>
          <cell r="CR190">
            <v>0</v>
          </cell>
          <cell r="CS190">
            <v>0</v>
          </cell>
          <cell r="CT190">
            <v>1200</v>
          </cell>
          <cell r="CU190">
            <v>4.1017900000000003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E190" t="str">
            <v>a81443e9-c6f6-45d2-91e9-77950689c7df</v>
          </cell>
          <cell r="DF190">
            <v>100079000000</v>
          </cell>
          <cell r="DG190">
            <v>20.509</v>
          </cell>
          <cell r="DH190">
            <v>0</v>
          </cell>
          <cell r="DI190">
            <v>4.1020000000000003</v>
          </cell>
          <cell r="DJ190">
            <v>0</v>
          </cell>
          <cell r="DK190" t="str">
            <v>BRONZE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 t="str">
            <v>NA</v>
          </cell>
          <cell r="DU190" t="str">
            <v>NA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-3400.5279999999998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 t="str">
            <v>Settled</v>
          </cell>
          <cell r="FH190">
            <v>4800</v>
          </cell>
          <cell r="FI190">
            <v>3400.5279999999998</v>
          </cell>
          <cell r="FJ190">
            <v>1325.6320000000001</v>
          </cell>
          <cell r="FK190">
            <v>132.16</v>
          </cell>
        </row>
        <row r="191">
          <cell r="A191">
            <v>8670004890</v>
          </cell>
          <cell r="B191">
            <v>10669929036</v>
          </cell>
          <cell r="C191" t="str">
            <v>return_refund</v>
          </cell>
          <cell r="D191">
            <v>45920.634027777778</v>
          </cell>
          <cell r="E191">
            <v>45915.47152777778</v>
          </cell>
          <cell r="G191" t="str">
            <v>Myntra Designs Pvt Ltd</v>
          </cell>
          <cell r="H191" t="str">
            <v>BETYDRSS67133128</v>
          </cell>
          <cell r="I191" t="str">
            <v>\I2726TK000002922\""</v>
          </cell>
          <cell r="J191">
            <v>9768978178</v>
          </cell>
          <cell r="K191">
            <v>62042300</v>
          </cell>
          <cell r="L191" t="str">
            <v>Apparel</v>
          </cell>
          <cell r="M191" t="str">
            <v>INR</v>
          </cell>
          <cell r="N191">
            <v>969</v>
          </cell>
          <cell r="O191">
            <v>969</v>
          </cell>
          <cell r="P191">
            <v>0</v>
          </cell>
          <cell r="Q191">
            <v>2850</v>
          </cell>
          <cell r="R191">
            <v>1710</v>
          </cell>
          <cell r="S191" t="str">
            <v>Inter-State</v>
          </cell>
          <cell r="T191">
            <v>5</v>
          </cell>
          <cell r="U191">
            <v>46.14</v>
          </cell>
          <cell r="V191">
            <v>0</v>
          </cell>
          <cell r="W191">
            <v>0</v>
          </cell>
          <cell r="X191">
            <v>4.6139999999999999</v>
          </cell>
          <cell r="Y191">
            <v>0.92300000000000004</v>
          </cell>
          <cell r="AA191">
            <v>0</v>
          </cell>
          <cell r="AB191">
            <v>320.15800000000002</v>
          </cell>
          <cell r="AC191">
            <v>320.15800000000002</v>
          </cell>
          <cell r="AD191">
            <v>325.69499999999999</v>
          </cell>
          <cell r="AE191">
            <v>-132.16</v>
          </cell>
          <cell r="AF191">
            <v>112</v>
          </cell>
          <cell r="AG191">
            <v>0</v>
          </cell>
          <cell r="AH191">
            <v>0</v>
          </cell>
          <cell r="AI191">
            <v>0</v>
          </cell>
          <cell r="AJ191">
            <v>20.16</v>
          </cell>
          <cell r="AK191">
            <v>1</v>
          </cell>
          <cell r="AL191" t="str">
            <v>ZONAL</v>
          </cell>
          <cell r="AM191">
            <v>1140</v>
          </cell>
          <cell r="AN191">
            <v>-775.46500000000003</v>
          </cell>
          <cell r="AO191">
            <v>0</v>
          </cell>
          <cell r="AP191">
            <v>-775.46500000000003</v>
          </cell>
          <cell r="AS191">
            <v>0</v>
          </cell>
          <cell r="AT191">
            <v>325.69499999999999</v>
          </cell>
          <cell r="AU191">
            <v>-132.16</v>
          </cell>
          <cell r="AV191">
            <v>-969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922.86</v>
          </cell>
          <cell r="BP191">
            <v>5</v>
          </cell>
          <cell r="BQ191">
            <v>0</v>
          </cell>
          <cell r="BR191">
            <v>0</v>
          </cell>
          <cell r="BS191">
            <v>0</v>
          </cell>
          <cell r="BT191">
            <v>0.5</v>
          </cell>
          <cell r="BU191">
            <v>0</v>
          </cell>
          <cell r="BV191">
            <v>0</v>
          </cell>
          <cell r="BW191">
            <v>0.1</v>
          </cell>
          <cell r="BX191" t="str">
            <v>BETTY</v>
          </cell>
          <cell r="BY191" t="str">
            <v>Girls</v>
          </cell>
          <cell r="BZ191" t="str">
            <v>External</v>
          </cell>
          <cell r="CA191" t="str">
            <v>Dresses</v>
          </cell>
          <cell r="CB191" t="str">
            <v>ON_HAND</v>
          </cell>
          <cell r="CC191" t="b">
            <v>0</v>
          </cell>
          <cell r="CD191" t="str">
            <v>**********</v>
          </cell>
          <cell r="CE191">
            <v>500070</v>
          </cell>
          <cell r="CF191" t="str">
            <v>27AXUPC8425A1ZH</v>
          </cell>
          <cell r="CH191" t="str">
            <v>29AAECM9636P1ZJ</v>
          </cell>
          <cell r="CI191" t="str">
            <v>Mumbai</v>
          </cell>
          <cell r="CJ191">
            <v>400013</v>
          </cell>
          <cell r="CK191" t="str">
            <v>maharashtra</v>
          </cell>
          <cell r="CL191" t="str">
            <v>MH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W191">
            <v>0</v>
          </cell>
          <cell r="CX191">
            <v>320.15800000000002</v>
          </cell>
          <cell r="CY191">
            <v>320.15800000000002</v>
          </cell>
          <cell r="CZ191">
            <v>0</v>
          </cell>
          <cell r="DA191">
            <v>0</v>
          </cell>
          <cell r="DB191">
            <v>0</v>
          </cell>
          <cell r="DC191">
            <v>1710</v>
          </cell>
          <cell r="DD191">
            <v>0.92286000000000001</v>
          </cell>
          <cell r="DE191" t="str">
            <v>890ddc80-92a2-4d47-93f5-e0c92ac152f2</v>
          </cell>
          <cell r="DF191">
            <v>100080000000</v>
          </cell>
          <cell r="DG191">
            <v>0</v>
          </cell>
          <cell r="DH191">
            <v>4.6139999999999999</v>
          </cell>
          <cell r="DI191">
            <v>0</v>
          </cell>
          <cell r="DJ191">
            <v>0.92300000000000004</v>
          </cell>
          <cell r="DK191" t="str">
            <v>BRONZE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 t="str">
            <v>NA</v>
          </cell>
          <cell r="DU191" t="str">
            <v>NA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FG191" t="str">
            <v>unsettled</v>
          </cell>
          <cell r="FH191">
            <v>1140</v>
          </cell>
          <cell r="FI191">
            <v>775.46500000000003</v>
          </cell>
          <cell r="FJ191">
            <v>325.69499999999999</v>
          </cell>
          <cell r="FK191">
            <v>132.16</v>
          </cell>
        </row>
        <row r="192">
          <cell r="A192">
            <v>8689881728</v>
          </cell>
          <cell r="B192">
            <v>10689809716</v>
          </cell>
          <cell r="C192" t="str">
            <v>return_refund</v>
          </cell>
          <cell r="D192">
            <v>45928.429166666669</v>
          </cell>
          <cell r="E192">
            <v>45922.443055555559</v>
          </cell>
          <cell r="F192">
            <v>44565</v>
          </cell>
          <cell r="G192" t="str">
            <v>Myntra Designs Pvt Ltd</v>
          </cell>
          <cell r="H192" t="str">
            <v>TIKILHNC106661942</v>
          </cell>
          <cell r="I192" t="str">
            <v>\I2726TK000003043\""</v>
          </cell>
          <cell r="J192">
            <v>8689881728</v>
          </cell>
          <cell r="K192">
            <v>62042300</v>
          </cell>
          <cell r="L192" t="str">
            <v>Apparel</v>
          </cell>
          <cell r="M192" t="str">
            <v>INR</v>
          </cell>
          <cell r="N192">
            <v>2293</v>
          </cell>
          <cell r="O192">
            <v>2293</v>
          </cell>
          <cell r="P192">
            <v>0</v>
          </cell>
          <cell r="Q192">
            <v>4500</v>
          </cell>
          <cell r="R192">
            <v>2001</v>
          </cell>
          <cell r="S192" t="str">
            <v>Inter-State</v>
          </cell>
          <cell r="T192">
            <v>5</v>
          </cell>
          <cell r="U192">
            <v>109.19</v>
          </cell>
          <cell r="V192">
            <v>0</v>
          </cell>
          <cell r="W192">
            <v>0</v>
          </cell>
          <cell r="X192">
            <v>10.919</v>
          </cell>
          <cell r="Y192">
            <v>2.1840000000000002</v>
          </cell>
          <cell r="AA192">
            <v>0</v>
          </cell>
          <cell r="AB192">
            <v>568.20500000000004</v>
          </cell>
          <cell r="AC192">
            <v>568.20500000000004</v>
          </cell>
          <cell r="AD192">
            <v>581.30799999999999</v>
          </cell>
          <cell r="AE192">
            <v>-197.06</v>
          </cell>
          <cell r="AF192">
            <v>167</v>
          </cell>
          <cell r="AG192">
            <v>0</v>
          </cell>
          <cell r="AH192">
            <v>0</v>
          </cell>
          <cell r="AI192">
            <v>0</v>
          </cell>
          <cell r="AJ192">
            <v>30.06</v>
          </cell>
          <cell r="AK192">
            <v>1</v>
          </cell>
          <cell r="AL192" t="str">
            <v>NATIONAL</v>
          </cell>
          <cell r="AM192">
            <v>2499</v>
          </cell>
          <cell r="AN192">
            <v>-1908.752</v>
          </cell>
          <cell r="AO192">
            <v>0</v>
          </cell>
          <cell r="AP192">
            <v>-1908.752</v>
          </cell>
          <cell r="AS192">
            <v>0</v>
          </cell>
          <cell r="AT192">
            <v>581.30799999999999</v>
          </cell>
          <cell r="AU192">
            <v>-197.06</v>
          </cell>
          <cell r="AV192">
            <v>-2293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2183.81</v>
          </cell>
          <cell r="BP192">
            <v>5</v>
          </cell>
          <cell r="BQ192">
            <v>0</v>
          </cell>
          <cell r="BR192">
            <v>0</v>
          </cell>
          <cell r="BS192">
            <v>0</v>
          </cell>
          <cell r="BT192">
            <v>0.5</v>
          </cell>
          <cell r="BU192">
            <v>0</v>
          </cell>
          <cell r="BV192">
            <v>0</v>
          </cell>
          <cell r="BW192">
            <v>0.1</v>
          </cell>
          <cell r="BX192" t="str">
            <v>Tiny Kingdom</v>
          </cell>
          <cell r="BY192" t="str">
            <v>Girls</v>
          </cell>
          <cell r="BZ192" t="str">
            <v>External</v>
          </cell>
          <cell r="CA192" t="str">
            <v>Lehenga Choli</v>
          </cell>
          <cell r="CB192" t="str">
            <v>ON_HAND</v>
          </cell>
          <cell r="CC192" t="b">
            <v>0</v>
          </cell>
          <cell r="CD192" t="str">
            <v>**********</v>
          </cell>
          <cell r="CE192">
            <v>803215</v>
          </cell>
          <cell r="CF192" t="str">
            <v>27AXUPC8425A1ZH</v>
          </cell>
          <cell r="CH192" t="str">
            <v>29AAECM9636P1ZJ</v>
          </cell>
          <cell r="CI192" t="str">
            <v>Mumbai</v>
          </cell>
          <cell r="CJ192">
            <v>400013</v>
          </cell>
          <cell r="CK192" t="str">
            <v>maharashtra</v>
          </cell>
          <cell r="CL192" t="str">
            <v>MH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W192">
            <v>0</v>
          </cell>
          <cell r="CX192">
            <v>568.20500000000004</v>
          </cell>
          <cell r="CY192">
            <v>568.20500000000004</v>
          </cell>
          <cell r="CZ192">
            <v>0</v>
          </cell>
          <cell r="DA192">
            <v>0</v>
          </cell>
          <cell r="DB192">
            <v>0</v>
          </cell>
          <cell r="DC192">
            <v>2001</v>
          </cell>
          <cell r="DD192">
            <v>2.1838099999999998</v>
          </cell>
          <cell r="DE192" t="str">
            <v>496c9061-35ac-4e40-b25d-d8bece517e8b</v>
          </cell>
          <cell r="DF192">
            <v>100083000000</v>
          </cell>
          <cell r="DG192">
            <v>0</v>
          </cell>
          <cell r="DH192">
            <v>10.919</v>
          </cell>
          <cell r="DI192">
            <v>0</v>
          </cell>
          <cell r="DJ192">
            <v>2.1840000000000002</v>
          </cell>
          <cell r="DK192" t="str">
            <v>BRONZE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 t="str">
            <v>NA</v>
          </cell>
          <cell r="DU192" t="str">
            <v>NA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FG192" t="str">
            <v>unsettled</v>
          </cell>
          <cell r="FH192">
            <v>2499</v>
          </cell>
          <cell r="FI192">
            <v>1908.752</v>
          </cell>
          <cell r="FJ192">
            <v>581.30799999999999</v>
          </cell>
          <cell r="FK192">
            <v>197.06</v>
          </cell>
        </row>
        <row r="193">
          <cell r="A193">
            <v>8663980354</v>
          </cell>
          <cell r="B193">
            <v>10663904414</v>
          </cell>
          <cell r="C193" t="str">
            <v>return_refund</v>
          </cell>
          <cell r="D193">
            <v>45919.388888888891</v>
          </cell>
          <cell r="E193">
            <v>45912.803472222222</v>
          </cell>
          <cell r="F193">
            <v>44546</v>
          </cell>
          <cell r="G193" t="str">
            <v>Myntra Designs Pvt Ltd</v>
          </cell>
          <cell r="H193" t="str">
            <v>BETYDRSS112339715</v>
          </cell>
          <cell r="I193" t="str">
            <v>\I2726TK000002879\""</v>
          </cell>
          <cell r="J193">
            <v>8663980354</v>
          </cell>
          <cell r="K193">
            <v>62042300</v>
          </cell>
          <cell r="L193" t="str">
            <v>Apparel</v>
          </cell>
          <cell r="M193" t="str">
            <v>INR</v>
          </cell>
          <cell r="N193">
            <v>4194</v>
          </cell>
          <cell r="O193">
            <v>0</v>
          </cell>
          <cell r="P193">
            <v>4193.99</v>
          </cell>
          <cell r="Q193">
            <v>5500</v>
          </cell>
          <cell r="R193">
            <v>1100</v>
          </cell>
          <cell r="S193" t="str">
            <v>Inter-State</v>
          </cell>
          <cell r="T193">
            <v>12</v>
          </cell>
          <cell r="U193">
            <v>449.36</v>
          </cell>
          <cell r="V193">
            <v>0</v>
          </cell>
          <cell r="W193">
            <v>0</v>
          </cell>
          <cell r="X193">
            <v>18.722999999999999</v>
          </cell>
          <cell r="Y193">
            <v>3.7450000000000001</v>
          </cell>
          <cell r="AA193">
            <v>0</v>
          </cell>
          <cell r="AB193">
            <v>1336.2049999999999</v>
          </cell>
          <cell r="AC193">
            <v>1336.2049999999999</v>
          </cell>
          <cell r="AD193">
            <v>1358.673</v>
          </cell>
          <cell r="AE193">
            <v>-197.06</v>
          </cell>
          <cell r="AF193">
            <v>167</v>
          </cell>
          <cell r="AG193">
            <v>0</v>
          </cell>
          <cell r="AH193">
            <v>0</v>
          </cell>
          <cell r="AI193">
            <v>0</v>
          </cell>
          <cell r="AJ193">
            <v>30.06</v>
          </cell>
          <cell r="AK193">
            <v>1</v>
          </cell>
          <cell r="AL193" t="str">
            <v>NATIONAL</v>
          </cell>
          <cell r="AM193">
            <v>4400</v>
          </cell>
          <cell r="AN193">
            <v>-3032.377</v>
          </cell>
          <cell r="AO193">
            <v>0</v>
          </cell>
          <cell r="AP193">
            <v>-3032.377</v>
          </cell>
          <cell r="AQ193">
            <v>1358.673</v>
          </cell>
          <cell r="AR193">
            <v>-197.06</v>
          </cell>
          <cell r="AS193">
            <v>-4193.99</v>
          </cell>
          <cell r="AV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3744.64</v>
          </cell>
          <cell r="BP193">
            <v>12</v>
          </cell>
          <cell r="BQ193">
            <v>0</v>
          </cell>
          <cell r="BR193">
            <v>0</v>
          </cell>
          <cell r="BS193">
            <v>0</v>
          </cell>
          <cell r="BT193">
            <v>0.5</v>
          </cell>
          <cell r="BU193">
            <v>0</v>
          </cell>
          <cell r="BV193">
            <v>0</v>
          </cell>
          <cell r="BW193">
            <v>0.1</v>
          </cell>
          <cell r="BX193" t="str">
            <v>BETTY</v>
          </cell>
          <cell r="BY193" t="str">
            <v>Girls</v>
          </cell>
          <cell r="BZ193" t="str">
            <v>External</v>
          </cell>
          <cell r="CA193" t="str">
            <v>Dresses</v>
          </cell>
          <cell r="CB193" t="str">
            <v>ON_HAND</v>
          </cell>
          <cell r="CC193" t="b">
            <v>0</v>
          </cell>
          <cell r="CD193" t="str">
            <v>**********</v>
          </cell>
          <cell r="CE193">
            <v>585102</v>
          </cell>
          <cell r="CF193" t="str">
            <v>27AXUPC8425A1ZH</v>
          </cell>
          <cell r="CH193" t="str">
            <v>29AAECM9636P1ZJ</v>
          </cell>
          <cell r="CI193" t="str">
            <v>Mumbai</v>
          </cell>
          <cell r="CJ193">
            <v>400013</v>
          </cell>
          <cell r="CK193" t="str">
            <v>maharashtra</v>
          </cell>
          <cell r="CL193" t="str">
            <v>MH</v>
          </cell>
          <cell r="CN193">
            <v>0</v>
          </cell>
          <cell r="CO193">
            <v>1336.2049999999999</v>
          </cell>
          <cell r="CP193">
            <v>1336.2049999999999</v>
          </cell>
          <cell r="CQ193">
            <v>0</v>
          </cell>
          <cell r="CR193">
            <v>0</v>
          </cell>
          <cell r="CS193">
            <v>0</v>
          </cell>
          <cell r="CT193">
            <v>1100</v>
          </cell>
          <cell r="CU193">
            <v>3.74464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E193" t="str">
            <v>51133a83-1f5e-476d-a465-fe950a2200c6</v>
          </cell>
          <cell r="DF193">
            <v>100079000000</v>
          </cell>
          <cell r="DG193">
            <v>18.722999999999999</v>
          </cell>
          <cell r="DH193">
            <v>0</v>
          </cell>
          <cell r="DI193">
            <v>3.7450000000000001</v>
          </cell>
          <cell r="DJ193">
            <v>0</v>
          </cell>
          <cell r="DK193" t="str">
            <v>BRONZE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 t="str">
            <v>NA</v>
          </cell>
          <cell r="DU193" t="str">
            <v>NA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FG193" t="str">
            <v>unsettled</v>
          </cell>
          <cell r="FH193">
            <v>4400</v>
          </cell>
          <cell r="FI193">
            <v>3032.377</v>
          </cell>
          <cell r="FJ193">
            <v>1358.673</v>
          </cell>
          <cell r="FK193">
            <v>197.06</v>
          </cell>
        </row>
        <row r="194">
          <cell r="A194">
            <v>8681666404</v>
          </cell>
          <cell r="B194">
            <v>10681592350</v>
          </cell>
          <cell r="C194" t="str">
            <v>return_refund</v>
          </cell>
          <cell r="D194">
            <v>45924.522222222222</v>
          </cell>
          <cell r="E194">
            <v>45919.434027777781</v>
          </cell>
          <cell r="G194" t="str">
            <v>Myntra Designs Pvt Ltd</v>
          </cell>
          <cell r="H194" t="str">
            <v>TIKILHNC115963224</v>
          </cell>
          <cell r="I194" t="str">
            <v>\I2726TK000002997\""</v>
          </cell>
          <cell r="J194">
            <v>9771570263</v>
          </cell>
          <cell r="K194">
            <v>62042300</v>
          </cell>
          <cell r="L194" t="str">
            <v>Apparel</v>
          </cell>
          <cell r="M194" t="str">
            <v>INR</v>
          </cell>
          <cell r="N194">
            <v>4069</v>
          </cell>
          <cell r="O194">
            <v>0</v>
          </cell>
          <cell r="P194">
            <v>4069</v>
          </cell>
          <cell r="Q194">
            <v>4500</v>
          </cell>
          <cell r="R194">
            <v>225</v>
          </cell>
          <cell r="S194" t="str">
            <v>Inter-State</v>
          </cell>
          <cell r="T194">
            <v>12</v>
          </cell>
          <cell r="U194">
            <v>435.96</v>
          </cell>
          <cell r="V194">
            <v>0</v>
          </cell>
          <cell r="W194">
            <v>0</v>
          </cell>
          <cell r="X194">
            <v>18.164999999999999</v>
          </cell>
          <cell r="Y194">
            <v>3.633</v>
          </cell>
          <cell r="AA194">
            <v>0</v>
          </cell>
          <cell r="AB194">
            <v>1008.298</v>
          </cell>
          <cell r="AC194">
            <v>1008.298</v>
          </cell>
          <cell r="AD194">
            <v>1030.096</v>
          </cell>
          <cell r="AE194">
            <v>-197.06</v>
          </cell>
          <cell r="AF194">
            <v>167</v>
          </cell>
          <cell r="AG194">
            <v>0</v>
          </cell>
          <cell r="AH194">
            <v>0</v>
          </cell>
          <cell r="AI194">
            <v>0</v>
          </cell>
          <cell r="AJ194">
            <v>30.06</v>
          </cell>
          <cell r="AK194">
            <v>1</v>
          </cell>
          <cell r="AL194" t="str">
            <v>NATIONAL</v>
          </cell>
          <cell r="AM194">
            <v>4275</v>
          </cell>
          <cell r="AN194">
            <v>-3235.9639999999999</v>
          </cell>
          <cell r="AO194">
            <v>0</v>
          </cell>
          <cell r="AP194">
            <v>-3235.9639999999999</v>
          </cell>
          <cell r="AQ194">
            <v>1030.096</v>
          </cell>
          <cell r="AR194">
            <v>-197.06</v>
          </cell>
          <cell r="AS194">
            <v>-4069</v>
          </cell>
          <cell r="AV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3633.04</v>
          </cell>
          <cell r="BP194">
            <v>12</v>
          </cell>
          <cell r="BQ194">
            <v>0</v>
          </cell>
          <cell r="BR194">
            <v>0</v>
          </cell>
          <cell r="BS194">
            <v>0</v>
          </cell>
          <cell r="BT194">
            <v>0.5</v>
          </cell>
          <cell r="BU194">
            <v>0</v>
          </cell>
          <cell r="BV194">
            <v>0</v>
          </cell>
          <cell r="BW194">
            <v>0.1</v>
          </cell>
          <cell r="BX194" t="str">
            <v>Tiny Kingdom</v>
          </cell>
          <cell r="BY194" t="str">
            <v>Girls</v>
          </cell>
          <cell r="BZ194" t="str">
            <v>External</v>
          </cell>
          <cell r="CA194" t="str">
            <v>Lehenga Choli</v>
          </cell>
          <cell r="CB194" t="str">
            <v>ON_HAND</v>
          </cell>
          <cell r="CC194" t="b">
            <v>0</v>
          </cell>
          <cell r="CD194" t="str">
            <v>**********</v>
          </cell>
          <cell r="CE194">
            <v>201306</v>
          </cell>
          <cell r="CF194" t="str">
            <v>27AXUPC8425A1ZH</v>
          </cell>
          <cell r="CH194" t="str">
            <v>29AAECM9636P1ZJ</v>
          </cell>
          <cell r="CI194" t="str">
            <v>Mumbai</v>
          </cell>
          <cell r="CJ194">
            <v>400013</v>
          </cell>
          <cell r="CK194" t="str">
            <v>maharashtra</v>
          </cell>
          <cell r="CL194" t="str">
            <v>MH</v>
          </cell>
          <cell r="CN194">
            <v>0</v>
          </cell>
          <cell r="CO194">
            <v>1008.298</v>
          </cell>
          <cell r="CP194">
            <v>1008.298</v>
          </cell>
          <cell r="CQ194">
            <v>0</v>
          </cell>
          <cell r="CR194">
            <v>0</v>
          </cell>
          <cell r="CS194">
            <v>0</v>
          </cell>
          <cell r="CT194">
            <v>225</v>
          </cell>
          <cell r="CU194">
            <v>3.6330399999999998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E194" t="str">
            <v>5f8d1f75-0b69-4e65-bcf2-32598d215630</v>
          </cell>
          <cell r="DF194">
            <v>100081000000</v>
          </cell>
          <cell r="DG194">
            <v>18.164999999999999</v>
          </cell>
          <cell r="DH194">
            <v>0</v>
          </cell>
          <cell r="DI194">
            <v>3.633</v>
          </cell>
          <cell r="DJ194">
            <v>0</v>
          </cell>
          <cell r="DK194" t="str">
            <v>BRONZE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 t="str">
            <v>NA</v>
          </cell>
          <cell r="DU194" t="str">
            <v>NA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FG194" t="str">
            <v>unsettled</v>
          </cell>
          <cell r="FH194">
            <v>4275</v>
          </cell>
          <cell r="FI194">
            <v>3235.9639999999999</v>
          </cell>
          <cell r="FJ194">
            <v>1030.096</v>
          </cell>
          <cell r="FK194">
            <v>197.06</v>
          </cell>
        </row>
        <row r="195">
          <cell r="A195">
            <v>8704473352</v>
          </cell>
          <cell r="B195">
            <v>10704405378</v>
          </cell>
          <cell r="C195" t="str">
            <v>return_refund</v>
          </cell>
          <cell r="D195">
            <v>45930.25</v>
          </cell>
          <cell r="E195">
            <v>45924.55</v>
          </cell>
          <cell r="G195" t="str">
            <v>Myntra Designs Pvt Ltd</v>
          </cell>
          <cell r="H195" t="str">
            <v>TIKILHNC115963235</v>
          </cell>
          <cell r="I195" t="str">
            <v>\I2726TK000003112\""</v>
          </cell>
          <cell r="J195">
            <v>8704473352</v>
          </cell>
          <cell r="K195">
            <v>62042300</v>
          </cell>
          <cell r="L195" t="str">
            <v>Apparel</v>
          </cell>
          <cell r="M195" t="str">
            <v>INR</v>
          </cell>
          <cell r="N195">
            <v>3169</v>
          </cell>
          <cell r="O195">
            <v>0</v>
          </cell>
          <cell r="P195">
            <v>3169</v>
          </cell>
          <cell r="Q195">
            <v>3750</v>
          </cell>
          <cell r="R195">
            <v>375</v>
          </cell>
          <cell r="S195" t="str">
            <v>Inter-State</v>
          </cell>
          <cell r="T195">
            <v>18</v>
          </cell>
          <cell r="U195">
            <v>483.41</v>
          </cell>
          <cell r="V195">
            <v>0</v>
          </cell>
          <cell r="W195">
            <v>0</v>
          </cell>
          <cell r="X195">
            <v>13.428000000000001</v>
          </cell>
          <cell r="Y195">
            <v>2.6859999999999999</v>
          </cell>
          <cell r="AA195">
            <v>0</v>
          </cell>
          <cell r="AB195">
            <v>785.27800000000002</v>
          </cell>
          <cell r="AC195">
            <v>785.27800000000002</v>
          </cell>
          <cell r="AD195">
            <v>801.39200000000005</v>
          </cell>
          <cell r="AE195">
            <v>-197.06</v>
          </cell>
          <cell r="AF195">
            <v>167</v>
          </cell>
          <cell r="AG195">
            <v>0</v>
          </cell>
          <cell r="AH195">
            <v>0</v>
          </cell>
          <cell r="AI195">
            <v>0</v>
          </cell>
          <cell r="AJ195">
            <v>30.06</v>
          </cell>
          <cell r="AK195">
            <v>1</v>
          </cell>
          <cell r="AL195" t="str">
            <v>NATIONAL</v>
          </cell>
          <cell r="AM195">
            <v>3375</v>
          </cell>
          <cell r="AN195">
            <v>-2564.6680000000001</v>
          </cell>
          <cell r="AO195">
            <v>0</v>
          </cell>
          <cell r="AP195">
            <v>-2564.6680000000001</v>
          </cell>
          <cell r="AQ195">
            <v>801.39200000000005</v>
          </cell>
          <cell r="AR195">
            <v>-197.06</v>
          </cell>
          <cell r="AS195">
            <v>-3169</v>
          </cell>
          <cell r="AV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2685.59</v>
          </cell>
          <cell r="BP195">
            <v>18</v>
          </cell>
          <cell r="BQ195">
            <v>0</v>
          </cell>
          <cell r="BR195">
            <v>0</v>
          </cell>
          <cell r="BS195">
            <v>0</v>
          </cell>
          <cell r="BT195">
            <v>0.5</v>
          </cell>
          <cell r="BU195">
            <v>0</v>
          </cell>
          <cell r="BV195">
            <v>0</v>
          </cell>
          <cell r="BW195">
            <v>0.1</v>
          </cell>
          <cell r="BX195" t="str">
            <v>Tiny Kingdom</v>
          </cell>
          <cell r="BY195" t="str">
            <v>Girls</v>
          </cell>
          <cell r="BZ195" t="str">
            <v>External</v>
          </cell>
          <cell r="CA195" t="str">
            <v>Lehenga Choli</v>
          </cell>
          <cell r="CB195" t="str">
            <v>ON_HAND</v>
          </cell>
          <cell r="CC195" t="b">
            <v>0</v>
          </cell>
          <cell r="CD195" t="str">
            <v>**********</v>
          </cell>
          <cell r="CE195">
            <v>122015</v>
          </cell>
          <cell r="CF195" t="str">
            <v>27AXUPC8425A1ZH</v>
          </cell>
          <cell r="CH195" t="str">
            <v>29AAECM9636P1ZJ</v>
          </cell>
          <cell r="CI195" t="str">
            <v>Mumbai</v>
          </cell>
          <cell r="CJ195">
            <v>400013</v>
          </cell>
          <cell r="CK195" t="str">
            <v>maharashtra</v>
          </cell>
          <cell r="CL195" t="str">
            <v>MH</v>
          </cell>
          <cell r="CN195">
            <v>0</v>
          </cell>
          <cell r="CO195">
            <v>785.27800000000002</v>
          </cell>
          <cell r="CP195">
            <v>785.27800000000002</v>
          </cell>
          <cell r="CQ195">
            <v>0</v>
          </cell>
          <cell r="CR195">
            <v>0</v>
          </cell>
          <cell r="CS195">
            <v>0</v>
          </cell>
          <cell r="CT195">
            <v>375</v>
          </cell>
          <cell r="CU195">
            <v>2.6855899999999999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E195" t="str">
            <v>03e0e9f4-b92b-440c-9cdc-930681f30efe</v>
          </cell>
          <cell r="DF195">
            <v>100084000000</v>
          </cell>
          <cell r="DG195">
            <v>13.428000000000001</v>
          </cell>
          <cell r="DH195">
            <v>0</v>
          </cell>
          <cell r="DI195">
            <v>2.6859999999999999</v>
          </cell>
          <cell r="DJ195">
            <v>0</v>
          </cell>
          <cell r="DK195" t="str">
            <v>BRONZE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 t="str">
            <v>NA</v>
          </cell>
          <cell r="DU195" t="str">
            <v>NA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FG195" t="str">
            <v>unsettled</v>
          </cell>
          <cell r="FH195">
            <v>3375</v>
          </cell>
          <cell r="FI195">
            <v>2564.6680000000001</v>
          </cell>
          <cell r="FJ195">
            <v>801.39200000000005</v>
          </cell>
          <cell r="FK195">
            <v>197.06</v>
          </cell>
        </row>
        <row r="196">
          <cell r="A196">
            <v>8699197877</v>
          </cell>
          <cell r="B196">
            <v>10699127360</v>
          </cell>
          <cell r="C196" t="str">
            <v>return_refund</v>
          </cell>
          <cell r="D196">
            <v>45928.588194444441</v>
          </cell>
          <cell r="E196">
            <v>45923.446527777778</v>
          </cell>
          <cell r="G196" t="str">
            <v>Myntra Designs Pvt Ltd</v>
          </cell>
          <cell r="H196" t="str">
            <v>TIKIDRSS106660333</v>
          </cell>
          <cell r="I196" t="str">
            <v>\I2726TK000003093\""</v>
          </cell>
          <cell r="J196">
            <v>8699197877</v>
          </cell>
          <cell r="K196">
            <v>62042300</v>
          </cell>
          <cell r="L196" t="str">
            <v>Apparel</v>
          </cell>
          <cell r="M196" t="str">
            <v>INR</v>
          </cell>
          <cell r="N196">
            <v>2526</v>
          </cell>
          <cell r="O196">
            <v>2526</v>
          </cell>
          <cell r="P196">
            <v>0</v>
          </cell>
          <cell r="Q196">
            <v>3500</v>
          </cell>
          <cell r="R196">
            <v>768</v>
          </cell>
          <cell r="S196" t="str">
            <v>Inter-State</v>
          </cell>
          <cell r="T196">
            <v>5</v>
          </cell>
          <cell r="U196">
            <v>120.29</v>
          </cell>
          <cell r="V196">
            <v>0</v>
          </cell>
          <cell r="W196">
            <v>0</v>
          </cell>
          <cell r="X196">
            <v>12.029</v>
          </cell>
          <cell r="Y196">
            <v>2.4060000000000001</v>
          </cell>
          <cell r="AA196">
            <v>0</v>
          </cell>
          <cell r="AB196">
            <v>536.52200000000005</v>
          </cell>
          <cell r="AC196">
            <v>536.52200000000005</v>
          </cell>
          <cell r="AD196">
            <v>550.95699999999999</v>
          </cell>
          <cell r="AE196">
            <v>-197.06</v>
          </cell>
          <cell r="AF196">
            <v>167</v>
          </cell>
          <cell r="AG196">
            <v>0</v>
          </cell>
          <cell r="AH196">
            <v>0</v>
          </cell>
          <cell r="AI196">
            <v>0</v>
          </cell>
          <cell r="AJ196">
            <v>30.06</v>
          </cell>
          <cell r="AK196">
            <v>1</v>
          </cell>
          <cell r="AL196" t="str">
            <v>NATIONAL</v>
          </cell>
          <cell r="AM196">
            <v>2732</v>
          </cell>
          <cell r="AN196">
            <v>-2172.1030000000001</v>
          </cell>
          <cell r="AO196">
            <v>0</v>
          </cell>
          <cell r="AP196">
            <v>-2172.1030000000001</v>
          </cell>
          <cell r="AS196">
            <v>0</v>
          </cell>
          <cell r="AT196">
            <v>550.95699999999999</v>
          </cell>
          <cell r="AU196">
            <v>-197.06</v>
          </cell>
          <cell r="AV196">
            <v>-2526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2405.71</v>
          </cell>
          <cell r="BP196">
            <v>5</v>
          </cell>
          <cell r="BQ196">
            <v>0</v>
          </cell>
          <cell r="BR196">
            <v>0</v>
          </cell>
          <cell r="BS196">
            <v>0</v>
          </cell>
          <cell r="BT196">
            <v>0.5</v>
          </cell>
          <cell r="BU196">
            <v>0</v>
          </cell>
          <cell r="BV196">
            <v>0</v>
          </cell>
          <cell r="BW196">
            <v>0.1</v>
          </cell>
          <cell r="BX196" t="str">
            <v>Tiny Kingdom</v>
          </cell>
          <cell r="BY196" t="str">
            <v>Girls</v>
          </cell>
          <cell r="BZ196" t="str">
            <v>External</v>
          </cell>
          <cell r="CA196" t="str">
            <v>Dresses</v>
          </cell>
          <cell r="CB196" t="str">
            <v>ON_HAND</v>
          </cell>
          <cell r="CC196" t="b">
            <v>0</v>
          </cell>
          <cell r="CD196" t="str">
            <v>**********</v>
          </cell>
          <cell r="CE196">
            <v>152026</v>
          </cell>
          <cell r="CF196" t="str">
            <v>27AXUPC8425A1ZH</v>
          </cell>
          <cell r="CH196" t="str">
            <v>29AAECM9636P1ZJ</v>
          </cell>
          <cell r="CI196" t="str">
            <v>Mumbai</v>
          </cell>
          <cell r="CJ196">
            <v>400013</v>
          </cell>
          <cell r="CK196" t="str">
            <v>maharashtra</v>
          </cell>
          <cell r="CL196" t="str">
            <v>MH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W196">
            <v>0</v>
          </cell>
          <cell r="CX196">
            <v>536.52200000000005</v>
          </cell>
          <cell r="CY196">
            <v>536.52200000000005</v>
          </cell>
          <cell r="CZ196">
            <v>0</v>
          </cell>
          <cell r="DA196">
            <v>0</v>
          </cell>
          <cell r="DB196">
            <v>0</v>
          </cell>
          <cell r="DC196">
            <v>768</v>
          </cell>
          <cell r="DD196">
            <v>2.40571</v>
          </cell>
          <cell r="DE196" t="str">
            <v>7b57dec6-d90e-4f72-a2a8-ea4c518e8fe7</v>
          </cell>
          <cell r="DF196">
            <v>100083000000</v>
          </cell>
          <cell r="DG196">
            <v>0</v>
          </cell>
          <cell r="DH196">
            <v>12.029</v>
          </cell>
          <cell r="DI196">
            <v>0</v>
          </cell>
          <cell r="DJ196">
            <v>2.4060000000000001</v>
          </cell>
          <cell r="DK196" t="str">
            <v>BRONZE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 t="str">
            <v>NA</v>
          </cell>
          <cell r="DU196" t="str">
            <v>NA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FG196" t="str">
            <v>unsettled</v>
          </cell>
          <cell r="FH196">
            <v>2732</v>
          </cell>
          <cell r="FI196">
            <v>2172.1030000000001</v>
          </cell>
          <cell r="FJ196">
            <v>550.95699999999999</v>
          </cell>
          <cell r="FK196">
            <v>197.06</v>
          </cell>
        </row>
        <row r="197">
          <cell r="A197">
            <v>8672975238</v>
          </cell>
          <cell r="B197">
            <v>10672899662</v>
          </cell>
          <cell r="C197" t="str">
            <v>return_refund</v>
          </cell>
          <cell r="D197">
            <v>45921.384722222225</v>
          </cell>
          <cell r="E197">
            <v>45916.459722222222</v>
          </cell>
          <cell r="G197" t="str">
            <v>Myntra Designs Pvt Ltd</v>
          </cell>
          <cell r="H197" t="str">
            <v>BETYDRSS85575622</v>
          </cell>
          <cell r="I197" t="str">
            <v>\I2726TK000002941\""</v>
          </cell>
          <cell r="J197">
            <v>8672975238</v>
          </cell>
          <cell r="K197">
            <v>62042300</v>
          </cell>
          <cell r="L197" t="str">
            <v>Apparel</v>
          </cell>
          <cell r="M197" t="str">
            <v>INR</v>
          </cell>
          <cell r="N197">
            <v>2719</v>
          </cell>
          <cell r="O197">
            <v>2719</v>
          </cell>
          <cell r="P197">
            <v>0</v>
          </cell>
          <cell r="Q197">
            <v>4500</v>
          </cell>
          <cell r="R197">
            <v>1575</v>
          </cell>
          <cell r="S197" t="str">
            <v>Inter-State</v>
          </cell>
          <cell r="T197">
            <v>12</v>
          </cell>
          <cell r="U197">
            <v>291.32</v>
          </cell>
          <cell r="V197">
            <v>0</v>
          </cell>
          <cell r="W197">
            <v>0</v>
          </cell>
          <cell r="X197">
            <v>12.138</v>
          </cell>
          <cell r="Y197">
            <v>2.4279999999999999</v>
          </cell>
          <cell r="AA197">
            <v>0</v>
          </cell>
          <cell r="AB197">
            <v>866.27300000000002</v>
          </cell>
          <cell r="AC197">
            <v>866.27300000000002</v>
          </cell>
          <cell r="AD197">
            <v>880.83900000000006</v>
          </cell>
          <cell r="AE197">
            <v>-197.06</v>
          </cell>
          <cell r="AF197">
            <v>167</v>
          </cell>
          <cell r="AG197">
            <v>0</v>
          </cell>
          <cell r="AH197">
            <v>0</v>
          </cell>
          <cell r="AI197">
            <v>0</v>
          </cell>
          <cell r="AJ197">
            <v>30.06</v>
          </cell>
          <cell r="AK197">
            <v>1</v>
          </cell>
          <cell r="AL197" t="str">
            <v>NATIONAL</v>
          </cell>
          <cell r="AM197">
            <v>2925</v>
          </cell>
          <cell r="AN197">
            <v>-2035.221</v>
          </cell>
          <cell r="AO197">
            <v>0</v>
          </cell>
          <cell r="AP197">
            <v>-2035.221</v>
          </cell>
          <cell r="AS197">
            <v>0</v>
          </cell>
          <cell r="AT197">
            <v>880.83900000000006</v>
          </cell>
          <cell r="AU197">
            <v>-197.06</v>
          </cell>
          <cell r="AV197">
            <v>-2719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2427.6799999999998</v>
          </cell>
          <cell r="BP197">
            <v>12</v>
          </cell>
          <cell r="BQ197">
            <v>0</v>
          </cell>
          <cell r="BR197">
            <v>0</v>
          </cell>
          <cell r="BS197">
            <v>0</v>
          </cell>
          <cell r="BT197">
            <v>0.5</v>
          </cell>
          <cell r="BU197">
            <v>0</v>
          </cell>
          <cell r="BV197">
            <v>0</v>
          </cell>
          <cell r="BW197">
            <v>0.1</v>
          </cell>
          <cell r="BX197" t="str">
            <v>BETTY</v>
          </cell>
          <cell r="BY197" t="str">
            <v>Girls</v>
          </cell>
          <cell r="BZ197" t="str">
            <v>External</v>
          </cell>
          <cell r="CA197" t="str">
            <v>Dresses</v>
          </cell>
          <cell r="CB197" t="str">
            <v>ON_HAND</v>
          </cell>
          <cell r="CC197" t="b">
            <v>0</v>
          </cell>
          <cell r="CD197" t="str">
            <v>**********</v>
          </cell>
          <cell r="CE197">
            <v>206242</v>
          </cell>
          <cell r="CF197" t="str">
            <v>27AXUPC8425A1ZH</v>
          </cell>
          <cell r="CH197" t="str">
            <v>29AAECM9636P1ZJ</v>
          </cell>
          <cell r="CI197" t="str">
            <v>Mumbai</v>
          </cell>
          <cell r="CJ197">
            <v>400013</v>
          </cell>
          <cell r="CK197" t="str">
            <v>maharashtra</v>
          </cell>
          <cell r="CL197" t="str">
            <v>MH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W197">
            <v>0</v>
          </cell>
          <cell r="CX197">
            <v>866.27300000000002</v>
          </cell>
          <cell r="CY197">
            <v>866.27300000000002</v>
          </cell>
          <cell r="CZ197">
            <v>0</v>
          </cell>
          <cell r="DA197">
            <v>0</v>
          </cell>
          <cell r="DB197">
            <v>0</v>
          </cell>
          <cell r="DC197">
            <v>1575</v>
          </cell>
          <cell r="DD197">
            <v>2.4276800000000001</v>
          </cell>
          <cell r="DE197" t="str">
            <v>072eeeb2-5496-49ad-a4c5-5e3f18f4e074</v>
          </cell>
          <cell r="DF197">
            <v>100080000000</v>
          </cell>
          <cell r="DG197">
            <v>0</v>
          </cell>
          <cell r="DH197">
            <v>12.138</v>
          </cell>
          <cell r="DI197">
            <v>0</v>
          </cell>
          <cell r="DJ197">
            <v>2.4279999999999999</v>
          </cell>
          <cell r="DK197" t="str">
            <v>BRONZE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 t="str">
            <v>NA</v>
          </cell>
          <cell r="DU197" t="str">
            <v>NA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FG197" t="str">
            <v>unsettled</v>
          </cell>
          <cell r="FH197">
            <v>2925</v>
          </cell>
          <cell r="FI197">
            <v>2035.221</v>
          </cell>
          <cell r="FJ197">
            <v>880.83900000000006</v>
          </cell>
          <cell r="FK197">
            <v>197.06</v>
          </cell>
        </row>
        <row r="198">
          <cell r="A198">
            <v>8681830415</v>
          </cell>
          <cell r="B198">
            <v>10681756867</v>
          </cell>
          <cell r="C198" t="str">
            <v>return_refund</v>
          </cell>
          <cell r="D198">
            <v>45929.48333333333</v>
          </cell>
          <cell r="E198">
            <v>45919.434027777781</v>
          </cell>
          <cell r="G198" t="str">
            <v>Myntra Designs Pvt Ltd</v>
          </cell>
          <cell r="H198" t="str">
            <v>TIKICLST103607778</v>
          </cell>
          <cell r="I198" t="str">
            <v>\I2726TK000002998\""</v>
          </cell>
          <cell r="J198">
            <v>8681830415</v>
          </cell>
          <cell r="K198">
            <v>62042300</v>
          </cell>
          <cell r="L198" t="str">
            <v>Apparel</v>
          </cell>
          <cell r="M198" t="str">
            <v>INR</v>
          </cell>
          <cell r="N198">
            <v>3544</v>
          </cell>
          <cell r="O198">
            <v>0</v>
          </cell>
          <cell r="P198">
            <v>3544</v>
          </cell>
          <cell r="Q198">
            <v>5000</v>
          </cell>
          <cell r="R198">
            <v>1250</v>
          </cell>
          <cell r="S198" t="str">
            <v>Inter-State</v>
          </cell>
          <cell r="T198">
            <v>12</v>
          </cell>
          <cell r="U198">
            <v>379.71</v>
          </cell>
          <cell r="V198">
            <v>0</v>
          </cell>
          <cell r="W198">
            <v>0</v>
          </cell>
          <cell r="X198">
            <v>15.821</v>
          </cell>
          <cell r="Y198">
            <v>3.1640000000000001</v>
          </cell>
          <cell r="AA198">
            <v>0</v>
          </cell>
          <cell r="AB198">
            <v>920.02200000000005</v>
          </cell>
          <cell r="AC198">
            <v>920.02200000000005</v>
          </cell>
          <cell r="AD198">
            <v>939.00699999999995</v>
          </cell>
          <cell r="AE198">
            <v>-197.06</v>
          </cell>
          <cell r="AF198">
            <v>167</v>
          </cell>
          <cell r="AG198">
            <v>0</v>
          </cell>
          <cell r="AH198">
            <v>0</v>
          </cell>
          <cell r="AI198">
            <v>0</v>
          </cell>
          <cell r="AJ198">
            <v>30.06</v>
          </cell>
          <cell r="AK198">
            <v>1</v>
          </cell>
          <cell r="AL198" t="str">
            <v>NATIONAL</v>
          </cell>
          <cell r="AM198">
            <v>3750</v>
          </cell>
          <cell r="AN198">
            <v>-2802.0529999999999</v>
          </cell>
          <cell r="AO198">
            <v>0</v>
          </cell>
          <cell r="AP198">
            <v>-2802.0529999999999</v>
          </cell>
          <cell r="AQ198">
            <v>939.00699999999995</v>
          </cell>
          <cell r="AR198">
            <v>-197.06</v>
          </cell>
          <cell r="AS198">
            <v>-3544</v>
          </cell>
          <cell r="AV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3164.29</v>
          </cell>
          <cell r="BP198">
            <v>12</v>
          </cell>
          <cell r="BQ198">
            <v>0</v>
          </cell>
          <cell r="BR198">
            <v>0</v>
          </cell>
          <cell r="BS198">
            <v>0</v>
          </cell>
          <cell r="BT198">
            <v>0.5</v>
          </cell>
          <cell r="BU198">
            <v>0</v>
          </cell>
          <cell r="BV198">
            <v>0</v>
          </cell>
          <cell r="BW198">
            <v>0.1</v>
          </cell>
          <cell r="BX198" t="str">
            <v>Tiny Kingdom</v>
          </cell>
          <cell r="BY198" t="str">
            <v>Girls</v>
          </cell>
          <cell r="BZ198" t="str">
            <v>External</v>
          </cell>
          <cell r="CA198" t="str">
            <v>Kurta Sets</v>
          </cell>
          <cell r="CB198" t="str">
            <v>ON_HAND</v>
          </cell>
          <cell r="CC198" t="b">
            <v>0</v>
          </cell>
          <cell r="CD198" t="str">
            <v>**********</v>
          </cell>
          <cell r="CE198">
            <v>515661</v>
          </cell>
          <cell r="CF198" t="str">
            <v>27AXUPC8425A1ZH</v>
          </cell>
          <cell r="CH198" t="str">
            <v>29AAECM9636P1ZJ</v>
          </cell>
          <cell r="CI198" t="str">
            <v>Mumbai</v>
          </cell>
          <cell r="CJ198">
            <v>400013</v>
          </cell>
          <cell r="CK198" t="str">
            <v>maharashtra</v>
          </cell>
          <cell r="CL198" t="str">
            <v>MH</v>
          </cell>
          <cell r="CN198">
            <v>0</v>
          </cell>
          <cell r="CO198">
            <v>920.02200000000005</v>
          </cell>
          <cell r="CP198">
            <v>920.02200000000005</v>
          </cell>
          <cell r="CQ198">
            <v>0</v>
          </cell>
          <cell r="CR198">
            <v>0</v>
          </cell>
          <cell r="CS198">
            <v>0</v>
          </cell>
          <cell r="CT198">
            <v>1250</v>
          </cell>
          <cell r="CU198">
            <v>3.1642899999999998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E198" t="str">
            <v>97d3377e-f48f-4085-b65a-8a54cbc97858</v>
          </cell>
          <cell r="DF198">
            <v>100083000000</v>
          </cell>
          <cell r="DG198">
            <v>15.821</v>
          </cell>
          <cell r="DH198">
            <v>0</v>
          </cell>
          <cell r="DI198">
            <v>3.1640000000000001</v>
          </cell>
          <cell r="DJ198">
            <v>0</v>
          </cell>
          <cell r="DK198" t="str">
            <v>BRONZE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 t="str">
            <v>NA</v>
          </cell>
          <cell r="DU198" t="str">
            <v>NA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FG198" t="str">
            <v>unsettled</v>
          </cell>
          <cell r="FH198">
            <v>3750</v>
          </cell>
          <cell r="FI198">
            <v>2802.0529999999999</v>
          </cell>
          <cell r="FJ198">
            <v>939.00699999999995</v>
          </cell>
          <cell r="FK198">
            <v>197.06</v>
          </cell>
        </row>
        <row r="199">
          <cell r="A199">
            <v>8681010160</v>
          </cell>
          <cell r="B199">
            <v>10680935897</v>
          </cell>
          <cell r="C199" t="str">
            <v>return_refund</v>
          </cell>
          <cell r="D199">
            <v>45924.553472222222</v>
          </cell>
          <cell r="E199">
            <v>45918.802083333336</v>
          </cell>
          <cell r="F199">
            <v>44553</v>
          </cell>
          <cell r="G199" t="str">
            <v>Myntra Designs Pvt Ltd</v>
          </cell>
          <cell r="H199" t="str">
            <v>BETYDRSS93852552</v>
          </cell>
          <cell r="I199" t="str">
            <v>\I2726TK000002988\""</v>
          </cell>
          <cell r="J199">
            <v>8681010160</v>
          </cell>
          <cell r="K199">
            <v>62042300</v>
          </cell>
          <cell r="L199" t="str">
            <v>Apparel</v>
          </cell>
          <cell r="M199" t="str">
            <v>INR</v>
          </cell>
          <cell r="N199">
            <v>3629</v>
          </cell>
          <cell r="O199">
            <v>0</v>
          </cell>
          <cell r="P199">
            <v>3629</v>
          </cell>
          <cell r="Q199">
            <v>5000</v>
          </cell>
          <cell r="R199">
            <v>1165</v>
          </cell>
          <cell r="S199" t="str">
            <v>Inter-State</v>
          </cell>
          <cell r="T199">
            <v>12</v>
          </cell>
          <cell r="U199">
            <v>388.82</v>
          </cell>
          <cell r="V199">
            <v>0</v>
          </cell>
          <cell r="W199">
            <v>0</v>
          </cell>
          <cell r="X199">
            <v>16.201000000000001</v>
          </cell>
          <cell r="Y199">
            <v>3.24</v>
          </cell>
          <cell r="AA199">
            <v>0</v>
          </cell>
          <cell r="AB199">
            <v>1156.1990000000001</v>
          </cell>
          <cell r="AC199">
            <v>1156.1990000000001</v>
          </cell>
          <cell r="AD199">
            <v>1175.6400000000001</v>
          </cell>
          <cell r="AE199">
            <v>-197.06</v>
          </cell>
          <cell r="AF199">
            <v>167</v>
          </cell>
          <cell r="AG199">
            <v>0</v>
          </cell>
          <cell r="AH199">
            <v>0</v>
          </cell>
          <cell r="AI199">
            <v>0</v>
          </cell>
          <cell r="AJ199">
            <v>30.06</v>
          </cell>
          <cell r="AK199">
            <v>1</v>
          </cell>
          <cell r="AL199" t="str">
            <v>NATIONAL</v>
          </cell>
          <cell r="AM199">
            <v>3835</v>
          </cell>
          <cell r="AN199">
            <v>-2650.42</v>
          </cell>
          <cell r="AO199">
            <v>0</v>
          </cell>
          <cell r="AP199">
            <v>-2650.42</v>
          </cell>
          <cell r="AQ199">
            <v>1175.6400000000001</v>
          </cell>
          <cell r="AR199">
            <v>-197.06</v>
          </cell>
          <cell r="AS199">
            <v>-3629</v>
          </cell>
          <cell r="AV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3240.18</v>
          </cell>
          <cell r="BP199">
            <v>12</v>
          </cell>
          <cell r="BQ199">
            <v>0</v>
          </cell>
          <cell r="BR199">
            <v>0</v>
          </cell>
          <cell r="BS199">
            <v>0</v>
          </cell>
          <cell r="BT199">
            <v>0.5</v>
          </cell>
          <cell r="BU199">
            <v>0</v>
          </cell>
          <cell r="BV199">
            <v>0</v>
          </cell>
          <cell r="BW199">
            <v>0.1</v>
          </cell>
          <cell r="BX199" t="str">
            <v>BETTY</v>
          </cell>
          <cell r="BY199" t="str">
            <v>Girls</v>
          </cell>
          <cell r="BZ199" t="str">
            <v>External</v>
          </cell>
          <cell r="CA199" t="str">
            <v>Dresses</v>
          </cell>
          <cell r="CB199" t="str">
            <v>ON_HAND</v>
          </cell>
          <cell r="CC199" t="b">
            <v>0</v>
          </cell>
          <cell r="CD199" t="str">
            <v>**********</v>
          </cell>
          <cell r="CE199">
            <v>110039</v>
          </cell>
          <cell r="CF199" t="str">
            <v>27AXUPC8425A1ZH</v>
          </cell>
          <cell r="CH199" t="str">
            <v>29AAECM9636P1ZJ</v>
          </cell>
          <cell r="CI199" t="str">
            <v>Mumbai</v>
          </cell>
          <cell r="CJ199">
            <v>400013</v>
          </cell>
          <cell r="CK199" t="str">
            <v>maharashtra</v>
          </cell>
          <cell r="CL199" t="str">
            <v>MH</v>
          </cell>
          <cell r="CN199">
            <v>0</v>
          </cell>
          <cell r="CO199">
            <v>1156.1990000000001</v>
          </cell>
          <cell r="CP199">
            <v>1156.1990000000001</v>
          </cell>
          <cell r="CQ199">
            <v>0</v>
          </cell>
          <cell r="CR199">
            <v>0</v>
          </cell>
          <cell r="CS199">
            <v>0</v>
          </cell>
          <cell r="CT199">
            <v>1165</v>
          </cell>
          <cell r="CU199">
            <v>3.2401800000000001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E199" t="str">
            <v>0cc1e5df-6df9-474e-bdb9-7ecc43c002c8</v>
          </cell>
          <cell r="DF199">
            <v>100081000000</v>
          </cell>
          <cell r="DG199">
            <v>16.201000000000001</v>
          </cell>
          <cell r="DH199">
            <v>0</v>
          </cell>
          <cell r="DI199">
            <v>3.24</v>
          </cell>
          <cell r="DJ199">
            <v>0</v>
          </cell>
          <cell r="DK199" t="str">
            <v>BRONZE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 t="str">
            <v>NA</v>
          </cell>
          <cell r="DU199" t="str">
            <v>NA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FG199" t="str">
            <v>unsettled</v>
          </cell>
          <cell r="FH199">
            <v>3835</v>
          </cell>
          <cell r="FI199">
            <v>2650.42</v>
          </cell>
          <cell r="FJ199">
            <v>1175.6400000000001</v>
          </cell>
          <cell r="FK199">
            <v>197.06</v>
          </cell>
        </row>
        <row r="200">
          <cell r="A200">
            <v>8663313597</v>
          </cell>
          <cell r="B200">
            <v>10663237650</v>
          </cell>
          <cell r="C200" t="str">
            <v>return_refund</v>
          </cell>
          <cell r="D200">
            <v>45920.44027777778</v>
          </cell>
          <cell r="E200">
            <v>45912.803472222222</v>
          </cell>
          <cell r="G200" t="str">
            <v>Myntra Designs Pvt Ltd</v>
          </cell>
          <cell r="H200" t="str">
            <v>TIKICLST116340916</v>
          </cell>
          <cell r="I200" t="str">
            <v>\I2726TK000002878\""</v>
          </cell>
          <cell r="J200">
            <v>8663313597</v>
          </cell>
          <cell r="K200">
            <v>62042300</v>
          </cell>
          <cell r="L200" t="str">
            <v>Apparel</v>
          </cell>
          <cell r="M200" t="str">
            <v>INR</v>
          </cell>
          <cell r="N200">
            <v>2994</v>
          </cell>
          <cell r="O200">
            <v>2994</v>
          </cell>
          <cell r="P200">
            <v>0</v>
          </cell>
          <cell r="Q200">
            <v>4000</v>
          </cell>
          <cell r="R200">
            <v>800</v>
          </cell>
          <cell r="S200" t="str">
            <v>Inter-State</v>
          </cell>
          <cell r="T200">
            <v>12</v>
          </cell>
          <cell r="U200">
            <v>320.79000000000002</v>
          </cell>
          <cell r="V200">
            <v>0</v>
          </cell>
          <cell r="W200">
            <v>0</v>
          </cell>
          <cell r="X200">
            <v>13.366</v>
          </cell>
          <cell r="Y200">
            <v>2.673</v>
          </cell>
          <cell r="AA200">
            <v>0</v>
          </cell>
          <cell r="AB200">
            <v>741.91300000000001</v>
          </cell>
          <cell r="AC200">
            <v>741.91300000000001</v>
          </cell>
          <cell r="AD200">
            <v>757.952</v>
          </cell>
          <cell r="AE200">
            <v>-197.06</v>
          </cell>
          <cell r="AF200">
            <v>167</v>
          </cell>
          <cell r="AG200">
            <v>0</v>
          </cell>
          <cell r="AH200">
            <v>0</v>
          </cell>
          <cell r="AI200">
            <v>0</v>
          </cell>
          <cell r="AJ200">
            <v>30.06</v>
          </cell>
          <cell r="AK200">
            <v>1</v>
          </cell>
          <cell r="AL200" t="str">
            <v>NATIONAL</v>
          </cell>
          <cell r="AM200">
            <v>3200</v>
          </cell>
          <cell r="AN200">
            <v>-2433.1080000000002</v>
          </cell>
          <cell r="AO200">
            <v>0</v>
          </cell>
          <cell r="AP200">
            <v>-2433.1080000000002</v>
          </cell>
          <cell r="AS200">
            <v>0</v>
          </cell>
          <cell r="AT200">
            <v>757.952</v>
          </cell>
          <cell r="AU200">
            <v>-197.06</v>
          </cell>
          <cell r="AV200">
            <v>-2994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2673.21</v>
          </cell>
          <cell r="BP200">
            <v>12</v>
          </cell>
          <cell r="BQ200">
            <v>0</v>
          </cell>
          <cell r="BR200">
            <v>0</v>
          </cell>
          <cell r="BS200">
            <v>0</v>
          </cell>
          <cell r="BT200">
            <v>0.5</v>
          </cell>
          <cell r="BU200">
            <v>0</v>
          </cell>
          <cell r="BV200">
            <v>0</v>
          </cell>
          <cell r="BW200">
            <v>0.1</v>
          </cell>
          <cell r="BX200" t="str">
            <v>Tiny Kingdom</v>
          </cell>
          <cell r="BY200" t="str">
            <v>Girls</v>
          </cell>
          <cell r="BZ200" t="str">
            <v>External</v>
          </cell>
          <cell r="CA200" t="str">
            <v>Clothing Set</v>
          </cell>
          <cell r="CB200" t="str">
            <v>ON_HAND</v>
          </cell>
          <cell r="CC200" t="b">
            <v>0</v>
          </cell>
          <cell r="CD200" t="str">
            <v>**********</v>
          </cell>
          <cell r="CE200">
            <v>495445</v>
          </cell>
          <cell r="CF200" t="str">
            <v>27AXUPC8425A1ZH</v>
          </cell>
          <cell r="CH200" t="str">
            <v>29AAECM9636P1ZJ</v>
          </cell>
          <cell r="CI200" t="str">
            <v>Mumbai</v>
          </cell>
          <cell r="CJ200">
            <v>400013</v>
          </cell>
          <cell r="CK200" t="str">
            <v>maharashtra</v>
          </cell>
          <cell r="CL200" t="str">
            <v>MH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W200">
            <v>0</v>
          </cell>
          <cell r="CX200">
            <v>741.91300000000001</v>
          </cell>
          <cell r="CY200">
            <v>741.91300000000001</v>
          </cell>
          <cell r="CZ200">
            <v>0</v>
          </cell>
          <cell r="DA200">
            <v>0</v>
          </cell>
          <cell r="DB200">
            <v>0</v>
          </cell>
          <cell r="DC200">
            <v>800</v>
          </cell>
          <cell r="DD200">
            <v>2.6732100000000001</v>
          </cell>
          <cell r="DE200" t="str">
            <v>64ddf8cd-38ff-4769-b158-ba30850889cf</v>
          </cell>
          <cell r="DF200">
            <v>100080000000</v>
          </cell>
          <cell r="DG200">
            <v>0</v>
          </cell>
          <cell r="DH200">
            <v>13.366</v>
          </cell>
          <cell r="DI200">
            <v>0</v>
          </cell>
          <cell r="DJ200">
            <v>2.673</v>
          </cell>
          <cell r="DK200" t="str">
            <v>BRONZE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 t="str">
            <v>NA</v>
          </cell>
          <cell r="DU200" t="str">
            <v>NA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FG200" t="str">
            <v>unsettled</v>
          </cell>
          <cell r="FH200">
            <v>3200</v>
          </cell>
          <cell r="FI200">
            <v>2433.1080000000002</v>
          </cell>
          <cell r="FJ200">
            <v>757.952</v>
          </cell>
          <cell r="FK200">
            <v>197.06</v>
          </cell>
        </row>
        <row r="201">
          <cell r="A201">
            <v>8675166482</v>
          </cell>
          <cell r="B201">
            <v>10675091099</v>
          </cell>
          <cell r="C201" t="str">
            <v>return_refund</v>
          </cell>
          <cell r="D201">
            <v>45921.560416666667</v>
          </cell>
          <cell r="E201">
            <v>45916.560416666667</v>
          </cell>
          <cell r="F201">
            <v>44553</v>
          </cell>
          <cell r="G201" t="str">
            <v>Myntra Designs Pvt Ltd</v>
          </cell>
          <cell r="H201" t="str">
            <v>TIKICLST113026345</v>
          </cell>
          <cell r="I201" t="str">
            <v>\I2726TK000002952\""</v>
          </cell>
          <cell r="J201">
            <v>8675166482</v>
          </cell>
          <cell r="K201">
            <v>62042300</v>
          </cell>
          <cell r="L201" t="str">
            <v>Apparel</v>
          </cell>
          <cell r="M201" t="str">
            <v>INR</v>
          </cell>
          <cell r="N201">
            <v>2994</v>
          </cell>
          <cell r="O201">
            <v>125.86</v>
          </cell>
          <cell r="P201">
            <v>2868.14</v>
          </cell>
          <cell r="Q201">
            <v>4000</v>
          </cell>
          <cell r="R201">
            <v>800</v>
          </cell>
          <cell r="S201" t="str">
            <v>Inter-State</v>
          </cell>
          <cell r="T201">
            <v>12</v>
          </cell>
          <cell r="U201">
            <v>320.79000000000002</v>
          </cell>
          <cell r="V201">
            <v>0</v>
          </cell>
          <cell r="W201">
            <v>0</v>
          </cell>
          <cell r="X201">
            <v>13.366</v>
          </cell>
          <cell r="Y201">
            <v>2.673</v>
          </cell>
          <cell r="AA201">
            <v>0</v>
          </cell>
          <cell r="AB201">
            <v>777.24199999999996</v>
          </cell>
          <cell r="AC201">
            <v>777.24199999999996</v>
          </cell>
          <cell r="AD201">
            <v>793.28099999999995</v>
          </cell>
          <cell r="AE201">
            <v>-197.06</v>
          </cell>
          <cell r="AF201">
            <v>167</v>
          </cell>
          <cell r="AG201">
            <v>0</v>
          </cell>
          <cell r="AH201">
            <v>0</v>
          </cell>
          <cell r="AI201">
            <v>0</v>
          </cell>
          <cell r="AJ201">
            <v>30.06</v>
          </cell>
          <cell r="AK201">
            <v>1</v>
          </cell>
          <cell r="AL201" t="str">
            <v>NATIONAL</v>
          </cell>
          <cell r="AM201">
            <v>3200</v>
          </cell>
          <cell r="AN201">
            <v>-2397.779</v>
          </cell>
          <cell r="AO201">
            <v>0</v>
          </cell>
          <cell r="AP201">
            <v>-2397.779</v>
          </cell>
          <cell r="AQ201">
            <v>759.93399999999997</v>
          </cell>
          <cell r="AR201">
            <v>-188.7764</v>
          </cell>
          <cell r="AS201">
            <v>-2868.14</v>
          </cell>
          <cell r="AT201">
            <v>33.347000000000001</v>
          </cell>
          <cell r="AU201">
            <v>-8.2835999999999999</v>
          </cell>
          <cell r="AV201">
            <v>-125.86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2673.21</v>
          </cell>
          <cell r="BP201">
            <v>12</v>
          </cell>
          <cell r="BQ201">
            <v>0</v>
          </cell>
          <cell r="BR201">
            <v>0</v>
          </cell>
          <cell r="BS201">
            <v>0</v>
          </cell>
          <cell r="BT201">
            <v>0.5</v>
          </cell>
          <cell r="BU201">
            <v>0</v>
          </cell>
          <cell r="BV201">
            <v>0</v>
          </cell>
          <cell r="BW201">
            <v>0.1</v>
          </cell>
          <cell r="BX201" t="str">
            <v>Tiny Kingdom</v>
          </cell>
          <cell r="BY201" t="str">
            <v>Girls</v>
          </cell>
          <cell r="BZ201" t="str">
            <v>External</v>
          </cell>
          <cell r="CA201" t="str">
            <v>Kurta Sets</v>
          </cell>
          <cell r="CB201" t="str">
            <v>ON_HAND</v>
          </cell>
          <cell r="CC201" t="b">
            <v>0</v>
          </cell>
          <cell r="CD201" t="str">
            <v>**********</v>
          </cell>
          <cell r="CE201">
            <v>302034</v>
          </cell>
          <cell r="CF201" t="str">
            <v>27AXUPC8425A1ZH</v>
          </cell>
          <cell r="CH201" t="str">
            <v>29AAECM9636P1ZJ</v>
          </cell>
          <cell r="CI201" t="str">
            <v>Mumbai</v>
          </cell>
          <cell r="CJ201">
            <v>400013</v>
          </cell>
          <cell r="CK201" t="str">
            <v>maharashtra</v>
          </cell>
          <cell r="CL201" t="str">
            <v>MH</v>
          </cell>
          <cell r="CN201">
            <v>0</v>
          </cell>
          <cell r="CO201">
            <v>744.56899999999996</v>
          </cell>
          <cell r="CP201">
            <v>744.56899999999996</v>
          </cell>
          <cell r="CQ201">
            <v>0</v>
          </cell>
          <cell r="CR201">
            <v>0</v>
          </cell>
          <cell r="CS201">
            <v>0</v>
          </cell>
          <cell r="CT201">
            <v>800</v>
          </cell>
          <cell r="CU201">
            <v>2.6732100000000001</v>
          </cell>
          <cell r="CW201">
            <v>0</v>
          </cell>
          <cell r="CX201">
            <v>32.673000000000002</v>
          </cell>
          <cell r="CY201">
            <v>32.673000000000002</v>
          </cell>
          <cell r="CZ201">
            <v>0</v>
          </cell>
          <cell r="DA201">
            <v>0</v>
          </cell>
          <cell r="DB201">
            <v>0</v>
          </cell>
          <cell r="DC201">
            <v>800</v>
          </cell>
          <cell r="DD201">
            <v>2.6732100000000001</v>
          </cell>
          <cell r="DE201" t="str">
            <v>375a7d8f-081f-4c36-aee4-6128d042ae3a</v>
          </cell>
          <cell r="DF201">
            <v>100080000000</v>
          </cell>
          <cell r="DG201">
            <v>12.804</v>
          </cell>
          <cell r="DH201">
            <v>0.56200000000000006</v>
          </cell>
          <cell r="DI201">
            <v>2.5609999999999999</v>
          </cell>
          <cell r="DJ201">
            <v>0.112</v>
          </cell>
          <cell r="DK201" t="str">
            <v>BRONZE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 t="str">
            <v>NA</v>
          </cell>
          <cell r="DU201" t="str">
            <v>NA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FG201" t="str">
            <v>unsettled</v>
          </cell>
          <cell r="FH201">
            <v>3200</v>
          </cell>
          <cell r="FI201">
            <v>2397.779</v>
          </cell>
          <cell r="FJ201">
            <v>793.28099999999995</v>
          </cell>
          <cell r="FK201">
            <v>197.06</v>
          </cell>
        </row>
        <row r="202">
          <cell r="A202">
            <v>8669740522</v>
          </cell>
          <cell r="B202">
            <v>10669664674</v>
          </cell>
          <cell r="C202" t="str">
            <v>return_refund</v>
          </cell>
          <cell r="D202">
            <v>45923.422222222223</v>
          </cell>
          <cell r="E202">
            <v>45915.47152777778</v>
          </cell>
          <cell r="G202" t="str">
            <v>Myntra Designs Pvt Ltd</v>
          </cell>
          <cell r="H202" t="str">
            <v>TNBYCLST106795162</v>
          </cell>
          <cell r="I202" t="str">
            <v>\I2726TK000002912\""</v>
          </cell>
          <cell r="J202">
            <v>8669740522</v>
          </cell>
          <cell r="K202">
            <v>62042300</v>
          </cell>
          <cell r="L202" t="str">
            <v>Apparel</v>
          </cell>
          <cell r="M202" t="str">
            <v>INR</v>
          </cell>
          <cell r="N202">
            <v>2216</v>
          </cell>
          <cell r="O202">
            <v>2040.23</v>
          </cell>
          <cell r="P202">
            <v>175.77</v>
          </cell>
          <cell r="Q202">
            <v>3000</v>
          </cell>
          <cell r="R202">
            <v>450</v>
          </cell>
          <cell r="S202" t="str">
            <v>Inter-State</v>
          </cell>
          <cell r="T202">
            <v>12</v>
          </cell>
          <cell r="U202">
            <v>237.43</v>
          </cell>
          <cell r="V202">
            <v>0</v>
          </cell>
          <cell r="W202">
            <v>0</v>
          </cell>
          <cell r="X202">
            <v>9.8930000000000007</v>
          </cell>
          <cell r="Y202">
            <v>1.9790000000000001</v>
          </cell>
          <cell r="AA202">
            <v>0</v>
          </cell>
          <cell r="AB202">
            <v>575.274</v>
          </cell>
          <cell r="AC202">
            <v>575.274</v>
          </cell>
          <cell r="AD202">
            <v>587.14599999999996</v>
          </cell>
          <cell r="AE202">
            <v>-197.06</v>
          </cell>
          <cell r="AF202">
            <v>167</v>
          </cell>
          <cell r="AG202">
            <v>0</v>
          </cell>
          <cell r="AH202">
            <v>0</v>
          </cell>
          <cell r="AI202">
            <v>0</v>
          </cell>
          <cell r="AJ202">
            <v>30.06</v>
          </cell>
          <cell r="AK202">
            <v>1</v>
          </cell>
          <cell r="AL202" t="str">
            <v>NATIONAL</v>
          </cell>
          <cell r="AM202">
            <v>2422</v>
          </cell>
          <cell r="AN202">
            <v>-1825.914</v>
          </cell>
          <cell r="AO202">
            <v>0</v>
          </cell>
          <cell r="AP202">
            <v>-1825.914</v>
          </cell>
          <cell r="AQ202">
            <v>46.572000000000003</v>
          </cell>
          <cell r="AR202">
            <v>-15.630280000000001</v>
          </cell>
          <cell r="AS202">
            <v>-175.77</v>
          </cell>
          <cell r="AT202">
            <v>540.57399999999996</v>
          </cell>
          <cell r="AU202">
            <v>-181.42972</v>
          </cell>
          <cell r="AV202">
            <v>-2040.23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1978.57</v>
          </cell>
          <cell r="BP202">
            <v>12</v>
          </cell>
          <cell r="BQ202">
            <v>0</v>
          </cell>
          <cell r="BR202">
            <v>0</v>
          </cell>
          <cell r="BS202">
            <v>0</v>
          </cell>
          <cell r="BT202">
            <v>0.5</v>
          </cell>
          <cell r="BU202">
            <v>0</v>
          </cell>
          <cell r="BV202">
            <v>0</v>
          </cell>
          <cell r="BW202">
            <v>0.1</v>
          </cell>
          <cell r="BX202" t="str">
            <v>Tiny Baby</v>
          </cell>
          <cell r="BY202" t="str">
            <v>Girls</v>
          </cell>
          <cell r="BZ202" t="str">
            <v>External</v>
          </cell>
          <cell r="CA202" t="str">
            <v>Clothing Set</v>
          </cell>
          <cell r="CB202" t="str">
            <v>ON_HAND</v>
          </cell>
          <cell r="CC202" t="b">
            <v>0</v>
          </cell>
          <cell r="CD202" t="str">
            <v>**********</v>
          </cell>
          <cell r="CE202">
            <v>208013</v>
          </cell>
          <cell r="CF202" t="str">
            <v>27AXUPC8425A1ZH</v>
          </cell>
          <cell r="CH202" t="str">
            <v>29AAECM9636P1ZJ</v>
          </cell>
          <cell r="CI202" t="str">
            <v>Mumbai</v>
          </cell>
          <cell r="CJ202">
            <v>400013</v>
          </cell>
          <cell r="CK202" t="str">
            <v>maharashtra</v>
          </cell>
          <cell r="CL202" t="str">
            <v>MH</v>
          </cell>
          <cell r="CN202">
            <v>0</v>
          </cell>
          <cell r="CO202">
            <v>45.63</v>
          </cell>
          <cell r="CP202">
            <v>45.63</v>
          </cell>
          <cell r="CQ202">
            <v>0</v>
          </cell>
          <cell r="CR202">
            <v>0</v>
          </cell>
          <cell r="CS202">
            <v>0</v>
          </cell>
          <cell r="CT202">
            <v>450</v>
          </cell>
          <cell r="CU202">
            <v>1.9785699999999999</v>
          </cell>
          <cell r="CW202">
            <v>0</v>
          </cell>
          <cell r="CX202">
            <v>529.64400000000001</v>
          </cell>
          <cell r="CY202">
            <v>529.64400000000001</v>
          </cell>
          <cell r="CZ202">
            <v>0</v>
          </cell>
          <cell r="DA202">
            <v>0</v>
          </cell>
          <cell r="DB202">
            <v>0</v>
          </cell>
          <cell r="DC202">
            <v>450</v>
          </cell>
          <cell r="DD202">
            <v>1.9785699999999999</v>
          </cell>
          <cell r="DE202" t="str">
            <v>898a57a0-a9a8-42ac-a6fa-5c70cf4ad345</v>
          </cell>
          <cell r="DF202">
            <v>100081000000</v>
          </cell>
          <cell r="DG202">
            <v>0.78500000000000003</v>
          </cell>
          <cell r="DH202">
            <v>9.1080000000000005</v>
          </cell>
          <cell r="DI202">
            <v>0.157</v>
          </cell>
          <cell r="DJ202">
            <v>1.8220000000000001</v>
          </cell>
          <cell r="DK202" t="str">
            <v>BRONZE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 t="str">
            <v>NA</v>
          </cell>
          <cell r="DU202" t="str">
            <v>NA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FG202" t="str">
            <v>unsettled</v>
          </cell>
          <cell r="FH202">
            <v>2422</v>
          </cell>
          <cell r="FI202">
            <v>1825.914</v>
          </cell>
          <cell r="FJ202">
            <v>587.14599999999996</v>
          </cell>
          <cell r="FK202">
            <v>197.06</v>
          </cell>
        </row>
        <row r="203">
          <cell r="A203">
            <v>8691678984</v>
          </cell>
          <cell r="B203">
            <v>10691607235</v>
          </cell>
          <cell r="C203" t="str">
            <v>return_refund</v>
          </cell>
          <cell r="D203">
            <v>45928.442361111112</v>
          </cell>
          <cell r="E203">
            <v>45922.443055555559</v>
          </cell>
          <cell r="F203">
            <v>44564</v>
          </cell>
          <cell r="G203" t="str">
            <v>Myntra Designs Pvt Ltd</v>
          </cell>
          <cell r="H203" t="str">
            <v>TIKILHNC115963222</v>
          </cell>
          <cell r="I203" t="str">
            <v>\I2726TK000003034\""</v>
          </cell>
          <cell r="J203">
            <v>8691678984</v>
          </cell>
          <cell r="K203">
            <v>62042300</v>
          </cell>
          <cell r="L203" t="str">
            <v>Apparel</v>
          </cell>
          <cell r="M203" t="str">
            <v>INR</v>
          </cell>
          <cell r="N203">
            <v>3564</v>
          </cell>
          <cell r="O203">
            <v>2182.8919999999998</v>
          </cell>
          <cell r="P203">
            <v>1381.1079999999999</v>
          </cell>
          <cell r="Q203">
            <v>4000</v>
          </cell>
          <cell r="R203">
            <v>230</v>
          </cell>
          <cell r="S203" t="str">
            <v>Intra-State</v>
          </cell>
          <cell r="T203">
            <v>18</v>
          </cell>
          <cell r="U203">
            <v>0</v>
          </cell>
          <cell r="V203">
            <v>271.83</v>
          </cell>
          <cell r="W203">
            <v>271.83</v>
          </cell>
          <cell r="X203">
            <v>15.102</v>
          </cell>
          <cell r="Y203">
            <v>3.02</v>
          </cell>
          <cell r="AA203">
            <v>0</v>
          </cell>
          <cell r="AB203">
            <v>883.16</v>
          </cell>
          <cell r="AC203">
            <v>883.16</v>
          </cell>
          <cell r="AD203">
            <v>901.28200000000004</v>
          </cell>
          <cell r="AE203">
            <v>-197.06</v>
          </cell>
          <cell r="AF203">
            <v>167</v>
          </cell>
          <cell r="AG203">
            <v>0</v>
          </cell>
          <cell r="AH203">
            <v>0</v>
          </cell>
          <cell r="AI203">
            <v>0</v>
          </cell>
          <cell r="AJ203">
            <v>30.06</v>
          </cell>
          <cell r="AK203">
            <v>1</v>
          </cell>
          <cell r="AL203" t="str">
            <v>NATIONAL</v>
          </cell>
          <cell r="AM203">
            <v>3770</v>
          </cell>
          <cell r="AN203">
            <v>-2859.7779999999998</v>
          </cell>
          <cell r="AO203">
            <v>0</v>
          </cell>
          <cell r="AP203">
            <v>-2859.7779999999998</v>
          </cell>
          <cell r="AQ203">
            <v>349.26100000000002</v>
          </cell>
          <cell r="AR203">
            <v>-76.363699999999994</v>
          </cell>
          <cell r="AS203">
            <v>-1381.1079999999999</v>
          </cell>
          <cell r="AT203">
            <v>552.02099999999996</v>
          </cell>
          <cell r="AU203">
            <v>-120.69629999999999</v>
          </cell>
          <cell r="AV203">
            <v>-2182.8919999999998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3020.34</v>
          </cell>
          <cell r="BP203">
            <v>0</v>
          </cell>
          <cell r="BQ203">
            <v>9</v>
          </cell>
          <cell r="BR203">
            <v>9</v>
          </cell>
          <cell r="BS203">
            <v>0</v>
          </cell>
          <cell r="BT203">
            <v>0</v>
          </cell>
          <cell r="BU203">
            <v>0.25</v>
          </cell>
          <cell r="BV203">
            <v>0.25</v>
          </cell>
          <cell r="BW203">
            <v>0.1</v>
          </cell>
          <cell r="BX203" t="str">
            <v>Tiny Kingdom</v>
          </cell>
          <cell r="BY203" t="str">
            <v>Girls</v>
          </cell>
          <cell r="BZ203" t="str">
            <v>External</v>
          </cell>
          <cell r="CA203" t="str">
            <v>Lehenga Choli</v>
          </cell>
          <cell r="CB203" t="str">
            <v>ON_HAND</v>
          </cell>
          <cell r="CC203" t="b">
            <v>0</v>
          </cell>
          <cell r="CD203" t="str">
            <v>**********</v>
          </cell>
          <cell r="CE203">
            <v>442001</v>
          </cell>
          <cell r="CF203" t="str">
            <v>27AXUPC8425A1ZH</v>
          </cell>
          <cell r="CH203" t="str">
            <v>29AAECM9636P1ZJ</v>
          </cell>
          <cell r="CI203" t="str">
            <v>Mumbai</v>
          </cell>
          <cell r="CJ203">
            <v>400013</v>
          </cell>
          <cell r="CK203" t="str">
            <v>maharashtra</v>
          </cell>
          <cell r="CL203" t="str">
            <v>MH</v>
          </cell>
          <cell r="CN203">
            <v>0</v>
          </cell>
          <cell r="CO203">
            <v>342.23899999999998</v>
          </cell>
          <cell r="CP203">
            <v>342.23899999999998</v>
          </cell>
          <cell r="CQ203">
            <v>0</v>
          </cell>
          <cell r="CR203">
            <v>0</v>
          </cell>
          <cell r="CS203">
            <v>0</v>
          </cell>
          <cell r="CT203">
            <v>230</v>
          </cell>
          <cell r="CU203">
            <v>3.02034</v>
          </cell>
          <cell r="CW203">
            <v>0</v>
          </cell>
          <cell r="CX203">
            <v>540.92100000000005</v>
          </cell>
          <cell r="CY203">
            <v>540.92100000000005</v>
          </cell>
          <cell r="CZ203">
            <v>0</v>
          </cell>
          <cell r="DA203">
            <v>0</v>
          </cell>
          <cell r="DB203">
            <v>0</v>
          </cell>
          <cell r="DC203">
            <v>230</v>
          </cell>
          <cell r="DD203">
            <v>3.02034</v>
          </cell>
          <cell r="DE203" t="str">
            <v>4670f301-aa7a-4cbd-ba58-562d3eda0d43</v>
          </cell>
          <cell r="DF203">
            <v>100083000000</v>
          </cell>
          <cell r="DG203">
            <v>5.8520000000000003</v>
          </cell>
          <cell r="DH203">
            <v>9.25</v>
          </cell>
          <cell r="DI203">
            <v>1.17</v>
          </cell>
          <cell r="DJ203">
            <v>1.85</v>
          </cell>
          <cell r="DK203" t="str">
            <v>BRONZE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 t="str">
            <v>NA</v>
          </cell>
          <cell r="DU203" t="str">
            <v>NA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FG203" t="str">
            <v>unsettled</v>
          </cell>
          <cell r="FH203">
            <v>3770</v>
          </cell>
          <cell r="FI203">
            <v>2859.7779999999998</v>
          </cell>
          <cell r="FJ203">
            <v>901.28199999999993</v>
          </cell>
          <cell r="FK203">
            <v>197.06</v>
          </cell>
        </row>
        <row r="204">
          <cell r="A204">
            <v>8704611977</v>
          </cell>
          <cell r="B204">
            <v>10704544007</v>
          </cell>
          <cell r="C204" t="str">
            <v>return_refund</v>
          </cell>
          <cell r="D204">
            <v>45928.460416666669</v>
          </cell>
          <cell r="E204">
            <v>45924.55</v>
          </cell>
          <cell r="F204">
            <v>44577</v>
          </cell>
          <cell r="G204" t="str">
            <v>Myntra Designs Pvt Ltd</v>
          </cell>
          <cell r="H204" t="str">
            <v>TIKILHNC101907528</v>
          </cell>
          <cell r="I204" t="str">
            <v>\I2726TK000003110\""</v>
          </cell>
          <cell r="J204">
            <v>8704611977</v>
          </cell>
          <cell r="K204">
            <v>62042300</v>
          </cell>
          <cell r="L204" t="str">
            <v>Apparel</v>
          </cell>
          <cell r="M204" t="str">
            <v>INR</v>
          </cell>
          <cell r="N204">
            <v>1012</v>
          </cell>
          <cell r="O204">
            <v>350.69200000000001</v>
          </cell>
          <cell r="P204">
            <v>661.30799999999999</v>
          </cell>
          <cell r="Q204">
            <v>2500</v>
          </cell>
          <cell r="R204">
            <v>1317</v>
          </cell>
          <cell r="S204" t="str">
            <v>Intra-State</v>
          </cell>
          <cell r="T204">
            <v>5</v>
          </cell>
          <cell r="U204">
            <v>0</v>
          </cell>
          <cell r="V204">
            <v>24.1</v>
          </cell>
          <cell r="W204">
            <v>24.1</v>
          </cell>
          <cell r="X204">
            <v>4.819</v>
          </cell>
          <cell r="Y204">
            <v>0.96399999999999997</v>
          </cell>
          <cell r="AA204">
            <v>0</v>
          </cell>
          <cell r="AB204">
            <v>250.773</v>
          </cell>
          <cell r="AC204">
            <v>250.773</v>
          </cell>
          <cell r="AD204">
            <v>256.55599999999998</v>
          </cell>
          <cell r="AE204">
            <v>-132.16</v>
          </cell>
          <cell r="AF204">
            <v>112</v>
          </cell>
          <cell r="AG204">
            <v>0</v>
          </cell>
          <cell r="AH204">
            <v>0</v>
          </cell>
          <cell r="AI204">
            <v>0</v>
          </cell>
          <cell r="AJ204">
            <v>20.16</v>
          </cell>
          <cell r="AK204">
            <v>1</v>
          </cell>
          <cell r="AL204" t="str">
            <v>ZONAL</v>
          </cell>
          <cell r="AM204">
            <v>1183</v>
          </cell>
          <cell r="AN204">
            <v>-887.60400000000004</v>
          </cell>
          <cell r="AO204">
            <v>0</v>
          </cell>
          <cell r="AP204">
            <v>-887.60400000000004</v>
          </cell>
          <cell r="AQ204">
            <v>167.65100000000001</v>
          </cell>
          <cell r="AR204">
            <v>-86.361840000000001</v>
          </cell>
          <cell r="AS204">
            <v>-661.30799999999999</v>
          </cell>
          <cell r="AT204">
            <v>88.905000000000001</v>
          </cell>
          <cell r="AU204">
            <v>-45.798160000000003</v>
          </cell>
          <cell r="AV204">
            <v>-350.69200000000001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300</v>
          </cell>
          <cell r="BN204">
            <v>0</v>
          </cell>
          <cell r="BO204">
            <v>963.8</v>
          </cell>
          <cell r="BP204">
            <v>0</v>
          </cell>
          <cell r="BQ204">
            <v>2.5</v>
          </cell>
          <cell r="BR204">
            <v>2.5</v>
          </cell>
          <cell r="BS204">
            <v>0</v>
          </cell>
          <cell r="BT204">
            <v>0</v>
          </cell>
          <cell r="BU204">
            <v>0.25</v>
          </cell>
          <cell r="BV204">
            <v>0.25</v>
          </cell>
          <cell r="BW204">
            <v>0.1</v>
          </cell>
          <cell r="BX204" t="str">
            <v>Tiny Kingdom</v>
          </cell>
          <cell r="BY204" t="str">
            <v>Girls</v>
          </cell>
          <cell r="BZ204" t="str">
            <v>External</v>
          </cell>
          <cell r="CA204" t="str">
            <v>Lehenga Choli</v>
          </cell>
          <cell r="CB204" t="str">
            <v>ON_HAND</v>
          </cell>
          <cell r="CC204" t="b">
            <v>0</v>
          </cell>
          <cell r="CD204" t="str">
            <v>**********</v>
          </cell>
          <cell r="CE204">
            <v>422501</v>
          </cell>
          <cell r="CF204" t="str">
            <v>27AXUPC8425A1ZH</v>
          </cell>
          <cell r="CH204" t="str">
            <v>29AAECM9636P1ZJ</v>
          </cell>
          <cell r="CI204" t="str">
            <v>Mumbai</v>
          </cell>
          <cell r="CJ204">
            <v>400013</v>
          </cell>
          <cell r="CK204" t="str">
            <v>maharashtra</v>
          </cell>
          <cell r="CL204" t="str">
            <v>MH</v>
          </cell>
          <cell r="CN204">
            <v>0</v>
          </cell>
          <cell r="CO204">
            <v>163.87200000000001</v>
          </cell>
          <cell r="CP204">
            <v>163.87200000000001</v>
          </cell>
          <cell r="CQ204">
            <v>0</v>
          </cell>
          <cell r="CR204">
            <v>0</v>
          </cell>
          <cell r="CS204">
            <v>0</v>
          </cell>
          <cell r="CT204">
            <v>1317</v>
          </cell>
          <cell r="CU204">
            <v>0.96379999999999999</v>
          </cell>
          <cell r="CW204">
            <v>0</v>
          </cell>
          <cell r="CX204">
            <v>86.900999999999996</v>
          </cell>
          <cell r="CY204">
            <v>86.900999999999996</v>
          </cell>
          <cell r="CZ204">
            <v>0</v>
          </cell>
          <cell r="DA204">
            <v>0</v>
          </cell>
          <cell r="DB204">
            <v>0</v>
          </cell>
          <cell r="DC204">
            <v>1317</v>
          </cell>
          <cell r="DD204">
            <v>0.96379999999999999</v>
          </cell>
          <cell r="DE204" t="str">
            <v>ee5be359-0084-4490-b754-6dfd4dd7a4d9</v>
          </cell>
          <cell r="DF204">
            <v>100083000000</v>
          </cell>
          <cell r="DG204">
            <v>3.149</v>
          </cell>
          <cell r="DH204">
            <v>1.67</v>
          </cell>
          <cell r="DI204">
            <v>0.63</v>
          </cell>
          <cell r="DJ204">
            <v>0.33400000000000002</v>
          </cell>
          <cell r="DK204" t="str">
            <v>BRONZE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 t="str">
            <v>NA</v>
          </cell>
          <cell r="DU204" t="str">
            <v>NA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FG204" t="str">
            <v>unsettled</v>
          </cell>
          <cell r="FH204">
            <v>1183</v>
          </cell>
          <cell r="FI204">
            <v>887.60400000000004</v>
          </cell>
          <cell r="FJ204">
            <v>256.55600000000004</v>
          </cell>
          <cell r="FK204">
            <v>132.16</v>
          </cell>
        </row>
        <row r="205">
          <cell r="A205">
            <v>8665242405</v>
          </cell>
          <cell r="B205">
            <v>10665166437</v>
          </cell>
          <cell r="C205" t="str">
            <v>return_refund</v>
          </cell>
          <cell r="D205">
            <v>45917.631249999999</v>
          </cell>
          <cell r="E205">
            <v>45913.450694444444</v>
          </cell>
          <cell r="G205" t="str">
            <v>Myntra Designs Pvt Ltd</v>
          </cell>
          <cell r="H205" t="str">
            <v>TIKICLST112314234</v>
          </cell>
          <cell r="I205" t="str">
            <v>\I2726TK000002889\""</v>
          </cell>
          <cell r="J205">
            <v>8665242405</v>
          </cell>
          <cell r="K205">
            <v>62042300</v>
          </cell>
          <cell r="L205" t="str">
            <v>Apparel</v>
          </cell>
          <cell r="M205" t="str">
            <v>INR</v>
          </cell>
          <cell r="N205">
            <v>2834</v>
          </cell>
          <cell r="O205">
            <v>0</v>
          </cell>
          <cell r="P205">
            <v>2834</v>
          </cell>
          <cell r="Q205">
            <v>4000</v>
          </cell>
          <cell r="R205">
            <v>800</v>
          </cell>
          <cell r="S205" t="str">
            <v>Inter-State</v>
          </cell>
          <cell r="T205">
            <v>12</v>
          </cell>
          <cell r="U205">
            <v>303.64</v>
          </cell>
          <cell r="V205">
            <v>0</v>
          </cell>
          <cell r="W205">
            <v>0</v>
          </cell>
          <cell r="X205">
            <v>12.651999999999999</v>
          </cell>
          <cell r="Y205">
            <v>2.5299999999999998</v>
          </cell>
          <cell r="AA205">
            <v>0</v>
          </cell>
          <cell r="AB205">
            <v>702.26499999999999</v>
          </cell>
          <cell r="AC205">
            <v>702.26499999999999</v>
          </cell>
          <cell r="AD205">
            <v>717.447</v>
          </cell>
          <cell r="AE205">
            <v>-132.16</v>
          </cell>
          <cell r="AF205">
            <v>112</v>
          </cell>
          <cell r="AG205">
            <v>0</v>
          </cell>
          <cell r="AH205">
            <v>0</v>
          </cell>
          <cell r="AI205">
            <v>0</v>
          </cell>
          <cell r="AJ205">
            <v>20.16</v>
          </cell>
          <cell r="AK205">
            <v>1</v>
          </cell>
          <cell r="AL205" t="str">
            <v>ZONAL</v>
          </cell>
          <cell r="AM205">
            <v>3040</v>
          </cell>
          <cell r="AN205">
            <v>-2248.7130000000002</v>
          </cell>
          <cell r="AO205">
            <v>0</v>
          </cell>
          <cell r="AP205">
            <v>-2248.7130000000002</v>
          </cell>
          <cell r="AQ205">
            <v>717.447</v>
          </cell>
          <cell r="AR205">
            <v>-132.16</v>
          </cell>
          <cell r="AS205">
            <v>-2834</v>
          </cell>
          <cell r="AV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2530.36</v>
          </cell>
          <cell r="BP205">
            <v>12</v>
          </cell>
          <cell r="BQ205">
            <v>0</v>
          </cell>
          <cell r="BR205">
            <v>0</v>
          </cell>
          <cell r="BS205">
            <v>0</v>
          </cell>
          <cell r="BT205">
            <v>0.5</v>
          </cell>
          <cell r="BU205">
            <v>0</v>
          </cell>
          <cell r="BV205">
            <v>0</v>
          </cell>
          <cell r="BW205">
            <v>0.1</v>
          </cell>
          <cell r="BX205" t="str">
            <v>Tiny Kingdom</v>
          </cell>
          <cell r="BY205" t="str">
            <v>Girls</v>
          </cell>
          <cell r="BZ205" t="str">
            <v>External</v>
          </cell>
          <cell r="CA205" t="str">
            <v>Clothing Set</v>
          </cell>
          <cell r="CB205" t="str">
            <v>ON_HAND</v>
          </cell>
          <cell r="CC205" t="b">
            <v>0</v>
          </cell>
          <cell r="CD205" t="str">
            <v>**********</v>
          </cell>
          <cell r="CE205">
            <v>560102</v>
          </cell>
          <cell r="CF205" t="str">
            <v>27AXUPC8425A1ZH</v>
          </cell>
          <cell r="CH205" t="str">
            <v>29AAECM9636P1ZJ</v>
          </cell>
          <cell r="CI205" t="str">
            <v>Mumbai</v>
          </cell>
          <cell r="CJ205">
            <v>400013</v>
          </cell>
          <cell r="CK205" t="str">
            <v>maharashtra</v>
          </cell>
          <cell r="CL205" t="str">
            <v>MH</v>
          </cell>
          <cell r="CN205">
            <v>0</v>
          </cell>
          <cell r="CO205">
            <v>702.26499999999999</v>
          </cell>
          <cell r="CP205">
            <v>702.26499999999999</v>
          </cell>
          <cell r="CQ205">
            <v>0</v>
          </cell>
          <cell r="CR205">
            <v>0</v>
          </cell>
          <cell r="CS205">
            <v>0</v>
          </cell>
          <cell r="CT205">
            <v>800</v>
          </cell>
          <cell r="CU205">
            <v>2.5303599999999999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E205" t="str">
            <v>ae1376b9-9812-414c-b921-33294d1aa7a7</v>
          </cell>
          <cell r="DF205">
            <v>100079000000</v>
          </cell>
          <cell r="DG205">
            <v>12.651999999999999</v>
          </cell>
          <cell r="DH205">
            <v>0</v>
          </cell>
          <cell r="DI205">
            <v>2.5299999999999998</v>
          </cell>
          <cell r="DJ205">
            <v>0</v>
          </cell>
          <cell r="DK205" t="str">
            <v>BRONZE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 t="str">
            <v>NA</v>
          </cell>
          <cell r="DU205" t="str">
            <v>NA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FG205" t="str">
            <v>unsettled</v>
          </cell>
          <cell r="FH205">
            <v>3040</v>
          </cell>
          <cell r="FI205">
            <v>2248.7130000000002</v>
          </cell>
          <cell r="FJ205">
            <v>717.447</v>
          </cell>
          <cell r="FK205">
            <v>132.16</v>
          </cell>
        </row>
        <row r="206">
          <cell r="A206">
            <v>8698964259</v>
          </cell>
          <cell r="B206">
            <v>10698893590</v>
          </cell>
          <cell r="C206" t="str">
            <v>return_refund</v>
          </cell>
          <cell r="D206">
            <v>45926.541666666664</v>
          </cell>
          <cell r="E206">
            <v>45923.446527777778</v>
          </cell>
          <cell r="F206">
            <v>44570</v>
          </cell>
          <cell r="G206" t="str">
            <v>Myntra Designs Pvt Ltd</v>
          </cell>
          <cell r="H206" t="str">
            <v>BETYDRSS69877876</v>
          </cell>
          <cell r="I206" t="str">
            <v>\I2726TK000003100\""</v>
          </cell>
          <cell r="J206">
            <v>9775417268</v>
          </cell>
          <cell r="K206">
            <v>62042300</v>
          </cell>
          <cell r="L206" t="str">
            <v>Apparel</v>
          </cell>
          <cell r="M206" t="str">
            <v>INR</v>
          </cell>
          <cell r="N206">
            <v>2150</v>
          </cell>
          <cell r="O206">
            <v>0</v>
          </cell>
          <cell r="P206">
            <v>2150</v>
          </cell>
          <cell r="Q206">
            <v>4750</v>
          </cell>
          <cell r="R206">
            <v>2394</v>
          </cell>
          <cell r="S206" t="str">
            <v>Intra-State</v>
          </cell>
          <cell r="T206">
            <v>5</v>
          </cell>
          <cell r="U206">
            <v>0</v>
          </cell>
          <cell r="V206">
            <v>51.19</v>
          </cell>
          <cell r="W206">
            <v>51.19</v>
          </cell>
          <cell r="X206">
            <v>10.238</v>
          </cell>
          <cell r="Y206">
            <v>2.048</v>
          </cell>
          <cell r="AA206">
            <v>0</v>
          </cell>
          <cell r="AB206">
            <v>684.99</v>
          </cell>
          <cell r="AC206">
            <v>684.99</v>
          </cell>
          <cell r="AD206">
            <v>697.27599999999995</v>
          </cell>
          <cell r="AE206">
            <v>-107.38</v>
          </cell>
          <cell r="AF206">
            <v>91</v>
          </cell>
          <cell r="AG206">
            <v>0</v>
          </cell>
          <cell r="AH206">
            <v>0</v>
          </cell>
          <cell r="AI206">
            <v>0</v>
          </cell>
          <cell r="AJ206">
            <v>16.38</v>
          </cell>
          <cell r="AK206">
            <v>1</v>
          </cell>
          <cell r="AL206" t="str">
            <v>LOCAL</v>
          </cell>
          <cell r="AM206">
            <v>2356</v>
          </cell>
          <cell r="AN206">
            <v>-1560.104</v>
          </cell>
          <cell r="AO206">
            <v>0</v>
          </cell>
          <cell r="AP206">
            <v>-1560.104</v>
          </cell>
          <cell r="AQ206">
            <v>697.27599999999995</v>
          </cell>
          <cell r="AR206">
            <v>-107.38</v>
          </cell>
          <cell r="AS206">
            <v>-2150</v>
          </cell>
          <cell r="AV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2047.62</v>
          </cell>
          <cell r="BP206">
            <v>0</v>
          </cell>
          <cell r="BQ206">
            <v>2.5</v>
          </cell>
          <cell r="BR206">
            <v>2.5</v>
          </cell>
          <cell r="BS206">
            <v>0</v>
          </cell>
          <cell r="BT206">
            <v>0</v>
          </cell>
          <cell r="BU206">
            <v>0.25</v>
          </cell>
          <cell r="BV206">
            <v>0.25</v>
          </cell>
          <cell r="BW206">
            <v>0.1</v>
          </cell>
          <cell r="BX206" t="str">
            <v>BETTY</v>
          </cell>
          <cell r="BY206" t="str">
            <v>Girls</v>
          </cell>
          <cell r="BZ206" t="str">
            <v>External</v>
          </cell>
          <cell r="CA206" t="str">
            <v>Dresses</v>
          </cell>
          <cell r="CB206" t="str">
            <v>ON_HAND</v>
          </cell>
          <cell r="CC206" t="b">
            <v>0</v>
          </cell>
          <cell r="CD206" t="str">
            <v>**********</v>
          </cell>
          <cell r="CE206">
            <v>410210</v>
          </cell>
          <cell r="CF206" t="str">
            <v>27AXUPC8425A1ZH</v>
          </cell>
          <cell r="CH206" t="str">
            <v>29AAECM9636P1ZJ</v>
          </cell>
          <cell r="CI206" t="str">
            <v>Mumbai</v>
          </cell>
          <cell r="CJ206">
            <v>400013</v>
          </cell>
          <cell r="CK206" t="str">
            <v>maharashtra</v>
          </cell>
          <cell r="CL206" t="str">
            <v>MH</v>
          </cell>
          <cell r="CN206">
            <v>0</v>
          </cell>
          <cell r="CO206">
            <v>684.99</v>
          </cell>
          <cell r="CP206">
            <v>684.99</v>
          </cell>
          <cell r="CQ206">
            <v>0</v>
          </cell>
          <cell r="CR206">
            <v>0</v>
          </cell>
          <cell r="CS206">
            <v>0</v>
          </cell>
          <cell r="CT206">
            <v>2394</v>
          </cell>
          <cell r="CU206">
            <v>2.0476200000000002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E206" t="str">
            <v>9f747780-1f43-4e53-8e69-b7a4b5ab4642</v>
          </cell>
          <cell r="DF206">
            <v>100082000000</v>
          </cell>
          <cell r="DG206">
            <v>10.238</v>
          </cell>
          <cell r="DH206">
            <v>0</v>
          </cell>
          <cell r="DI206">
            <v>2.048</v>
          </cell>
          <cell r="DJ206">
            <v>0</v>
          </cell>
          <cell r="DK206" t="str">
            <v>BRONZE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 t="str">
            <v>NA</v>
          </cell>
          <cell r="DU206" t="str">
            <v>NA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FG206" t="str">
            <v>unsettled</v>
          </cell>
          <cell r="FH206">
            <v>2356</v>
          </cell>
          <cell r="FI206">
            <v>1560.104</v>
          </cell>
          <cell r="FJ206">
            <v>697.27599999999995</v>
          </cell>
          <cell r="FK206">
            <v>107.38</v>
          </cell>
        </row>
        <row r="207">
          <cell r="A207">
            <v>8693566791</v>
          </cell>
          <cell r="B207">
            <v>10693495165</v>
          </cell>
          <cell r="C207" t="str">
            <v>return_refund</v>
          </cell>
          <cell r="D207">
            <v>45927.484027777777</v>
          </cell>
          <cell r="E207">
            <v>45922.443055555559</v>
          </cell>
          <cell r="F207">
            <v>44564</v>
          </cell>
          <cell r="G207" t="str">
            <v>Myntra Designs Pvt Ltd</v>
          </cell>
          <cell r="H207" t="str">
            <v>TIKILHNC118421491</v>
          </cell>
          <cell r="I207" t="str">
            <v>\I2726TK000003058\""</v>
          </cell>
          <cell r="J207">
            <v>8693566791</v>
          </cell>
          <cell r="K207">
            <v>62042300</v>
          </cell>
          <cell r="L207" t="str">
            <v>Apparel</v>
          </cell>
          <cell r="M207" t="str">
            <v>INR</v>
          </cell>
          <cell r="N207">
            <v>3294.01</v>
          </cell>
          <cell r="O207">
            <v>0</v>
          </cell>
          <cell r="P207">
            <v>3294</v>
          </cell>
          <cell r="Q207">
            <v>3500</v>
          </cell>
          <cell r="R207">
            <v>0</v>
          </cell>
          <cell r="S207" t="str">
            <v>Inter-State</v>
          </cell>
          <cell r="T207">
            <v>18</v>
          </cell>
          <cell r="U207">
            <v>502.48</v>
          </cell>
          <cell r="V207">
            <v>0</v>
          </cell>
          <cell r="W207">
            <v>0</v>
          </cell>
          <cell r="X207">
            <v>13.958</v>
          </cell>
          <cell r="Y207">
            <v>2.7919999999999998</v>
          </cell>
          <cell r="AA207">
            <v>0</v>
          </cell>
          <cell r="AB207">
            <v>816.25300000000004</v>
          </cell>
          <cell r="AC207">
            <v>816.25300000000004</v>
          </cell>
          <cell r="AD207">
            <v>833.00300000000004</v>
          </cell>
          <cell r="AE207">
            <v>-197.06</v>
          </cell>
          <cell r="AF207">
            <v>167</v>
          </cell>
          <cell r="AG207">
            <v>0</v>
          </cell>
          <cell r="AH207">
            <v>0</v>
          </cell>
          <cell r="AI207">
            <v>0</v>
          </cell>
          <cell r="AJ207">
            <v>30.06</v>
          </cell>
          <cell r="AK207">
            <v>1</v>
          </cell>
          <cell r="AL207" t="str">
            <v>NATIONAL</v>
          </cell>
          <cell r="AM207">
            <v>3500</v>
          </cell>
          <cell r="AN207">
            <v>-2658.0569999999998</v>
          </cell>
          <cell r="AO207">
            <v>0</v>
          </cell>
          <cell r="AP207">
            <v>-2658.0569999999998</v>
          </cell>
          <cell r="AQ207">
            <v>833.00300000000004</v>
          </cell>
          <cell r="AR207">
            <v>-197.06</v>
          </cell>
          <cell r="AS207">
            <v>-3294</v>
          </cell>
          <cell r="AV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2791.53</v>
          </cell>
          <cell r="BP207">
            <v>18</v>
          </cell>
          <cell r="BQ207">
            <v>0</v>
          </cell>
          <cell r="BR207">
            <v>0</v>
          </cell>
          <cell r="BS207">
            <v>0</v>
          </cell>
          <cell r="BT207">
            <v>0.5</v>
          </cell>
          <cell r="BU207">
            <v>0</v>
          </cell>
          <cell r="BV207">
            <v>0</v>
          </cell>
          <cell r="BW207">
            <v>0.1</v>
          </cell>
          <cell r="BX207" t="str">
            <v>Tiny Kingdom</v>
          </cell>
          <cell r="BY207" t="str">
            <v>Girls</v>
          </cell>
          <cell r="BZ207" t="str">
            <v>External</v>
          </cell>
          <cell r="CA207" t="str">
            <v>Lehenga Choli</v>
          </cell>
          <cell r="CB207" t="str">
            <v>ON_HAND</v>
          </cell>
          <cell r="CC207" t="b">
            <v>0</v>
          </cell>
          <cell r="CD207" t="str">
            <v>**********</v>
          </cell>
          <cell r="CE207">
            <v>125055</v>
          </cell>
          <cell r="CF207" t="str">
            <v>27AXUPC8425A1ZH</v>
          </cell>
          <cell r="CH207" t="str">
            <v>29AAECM9636P1ZJ</v>
          </cell>
          <cell r="CI207" t="str">
            <v>Mumbai</v>
          </cell>
          <cell r="CJ207">
            <v>400013</v>
          </cell>
          <cell r="CK207" t="str">
            <v>maharashtra</v>
          </cell>
          <cell r="CL207" t="str">
            <v>MH</v>
          </cell>
          <cell r="CN207">
            <v>0</v>
          </cell>
          <cell r="CO207">
            <v>816.25300000000004</v>
          </cell>
          <cell r="CP207">
            <v>816.25300000000004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2.7915299999999998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E207" t="str">
            <v>468f3ec7-9acc-4517-9626-126d8d01cf66</v>
          </cell>
          <cell r="DF207">
            <v>100083000000</v>
          </cell>
          <cell r="DG207">
            <v>13.958</v>
          </cell>
          <cell r="DH207">
            <v>0</v>
          </cell>
          <cell r="DI207">
            <v>2.7919999999999998</v>
          </cell>
          <cell r="DJ207">
            <v>0</v>
          </cell>
          <cell r="DK207" t="str">
            <v>BRONZE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 t="str">
            <v>NA</v>
          </cell>
          <cell r="DU207" t="str">
            <v>NA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FG207" t="str">
            <v>unsettled</v>
          </cell>
          <cell r="FH207">
            <v>3500</v>
          </cell>
          <cell r="FI207">
            <v>2658.0569999999998</v>
          </cell>
          <cell r="FJ207">
            <v>833.00300000000004</v>
          </cell>
          <cell r="FK207">
            <v>197.06</v>
          </cell>
        </row>
        <row r="208">
          <cell r="A208">
            <v>8698760848</v>
          </cell>
          <cell r="B208">
            <v>10698690149</v>
          </cell>
          <cell r="C208" t="str">
            <v>return_refund</v>
          </cell>
          <cell r="D208">
            <v>45929.719444444447</v>
          </cell>
          <cell r="E208">
            <v>45923.446527777778</v>
          </cell>
          <cell r="F208">
            <v>44572</v>
          </cell>
          <cell r="G208" t="str">
            <v>Myntra Designs Pvt Ltd</v>
          </cell>
          <cell r="H208" t="str">
            <v>TIKICLST103607745</v>
          </cell>
          <cell r="I208" t="str">
            <v>\I2726TK000003099\""</v>
          </cell>
          <cell r="J208">
            <v>8698760848</v>
          </cell>
          <cell r="K208">
            <v>62042300</v>
          </cell>
          <cell r="L208" t="str">
            <v>Apparel</v>
          </cell>
          <cell r="M208" t="str">
            <v>INR</v>
          </cell>
          <cell r="N208">
            <v>3260</v>
          </cell>
          <cell r="O208">
            <v>1478.0060000000001</v>
          </cell>
          <cell r="P208">
            <v>1781.9939999999999</v>
          </cell>
          <cell r="Q208">
            <v>4500</v>
          </cell>
          <cell r="R208">
            <v>1034</v>
          </cell>
          <cell r="S208" t="str">
            <v>Intra-State</v>
          </cell>
          <cell r="T208">
            <v>18</v>
          </cell>
          <cell r="U208">
            <v>0</v>
          </cell>
          <cell r="V208">
            <v>248.64</v>
          </cell>
          <cell r="W208">
            <v>248.64</v>
          </cell>
          <cell r="X208">
            <v>13.814</v>
          </cell>
          <cell r="Y208">
            <v>2.7629999999999999</v>
          </cell>
          <cell r="AA208">
            <v>0</v>
          </cell>
          <cell r="AB208">
            <v>846.29600000000005</v>
          </cell>
          <cell r="AC208">
            <v>846.29600000000005</v>
          </cell>
          <cell r="AD208">
            <v>862.87300000000005</v>
          </cell>
          <cell r="AE208">
            <v>-197.06</v>
          </cell>
          <cell r="AF208">
            <v>167</v>
          </cell>
          <cell r="AG208">
            <v>0</v>
          </cell>
          <cell r="AH208">
            <v>0</v>
          </cell>
          <cell r="AI208">
            <v>0</v>
          </cell>
          <cell r="AJ208">
            <v>30.06</v>
          </cell>
          <cell r="AK208">
            <v>1</v>
          </cell>
          <cell r="AL208" t="str">
            <v>NATIONAL</v>
          </cell>
          <cell r="AM208">
            <v>3466</v>
          </cell>
          <cell r="AN208">
            <v>-2594.1869999999999</v>
          </cell>
          <cell r="AO208">
            <v>0</v>
          </cell>
          <cell r="AP208">
            <v>-2594.1869999999999</v>
          </cell>
          <cell r="AQ208">
            <v>471.66699999999997</v>
          </cell>
          <cell r="AR208">
            <v>-107.71747999999999</v>
          </cell>
          <cell r="AS208">
            <v>-1781.9939999999999</v>
          </cell>
          <cell r="AT208">
            <v>391.20600000000002</v>
          </cell>
          <cell r="AU208">
            <v>-89.342519999999993</v>
          </cell>
          <cell r="AV208">
            <v>-1478.0060000000001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2762.72</v>
          </cell>
          <cell r="BP208">
            <v>0</v>
          </cell>
          <cell r="BQ208">
            <v>9</v>
          </cell>
          <cell r="BR208">
            <v>9</v>
          </cell>
          <cell r="BS208">
            <v>0</v>
          </cell>
          <cell r="BT208">
            <v>0</v>
          </cell>
          <cell r="BU208">
            <v>0.25</v>
          </cell>
          <cell r="BV208">
            <v>0.25</v>
          </cell>
          <cell r="BW208">
            <v>0.1</v>
          </cell>
          <cell r="BX208" t="str">
            <v>Tiny Kingdom</v>
          </cell>
          <cell r="BY208" t="str">
            <v>Girls</v>
          </cell>
          <cell r="BZ208" t="str">
            <v>External</v>
          </cell>
          <cell r="CA208" t="str">
            <v>Kurta Sets</v>
          </cell>
          <cell r="CB208" t="str">
            <v>ON_HAND</v>
          </cell>
          <cell r="CC208" t="b">
            <v>0</v>
          </cell>
          <cell r="CD208" t="str">
            <v>**********</v>
          </cell>
          <cell r="CE208">
            <v>440003</v>
          </cell>
          <cell r="CF208" t="str">
            <v>27AXUPC8425A1ZH</v>
          </cell>
          <cell r="CH208" t="str">
            <v>29AAECM9636P1ZJ</v>
          </cell>
          <cell r="CI208" t="str">
            <v>Mumbai</v>
          </cell>
          <cell r="CJ208">
            <v>400013</v>
          </cell>
          <cell r="CK208" t="str">
            <v>maharashtra</v>
          </cell>
          <cell r="CL208" t="str">
            <v>MH</v>
          </cell>
          <cell r="CN208">
            <v>0</v>
          </cell>
          <cell r="CO208">
            <v>462.60599999999999</v>
          </cell>
          <cell r="CP208">
            <v>462.60599999999999</v>
          </cell>
          <cell r="CQ208">
            <v>0</v>
          </cell>
          <cell r="CR208">
            <v>0</v>
          </cell>
          <cell r="CS208">
            <v>0</v>
          </cell>
          <cell r="CT208">
            <v>1034</v>
          </cell>
          <cell r="CU208">
            <v>2.7627199999999998</v>
          </cell>
          <cell r="CW208">
            <v>0</v>
          </cell>
          <cell r="CX208">
            <v>383.69</v>
          </cell>
          <cell r="CY208">
            <v>383.69</v>
          </cell>
          <cell r="CZ208">
            <v>0</v>
          </cell>
          <cell r="DA208">
            <v>0</v>
          </cell>
          <cell r="DB208">
            <v>0</v>
          </cell>
          <cell r="DC208">
            <v>1034</v>
          </cell>
          <cell r="DD208">
            <v>2.7627199999999998</v>
          </cell>
          <cell r="DE208" t="str">
            <v>93f3c634-2286-433e-b114-b24c3785b832</v>
          </cell>
          <cell r="DF208">
            <v>100083000000</v>
          </cell>
          <cell r="DG208">
            <v>7.5510000000000002</v>
          </cell>
          <cell r="DH208">
            <v>6.2629999999999999</v>
          </cell>
          <cell r="DI208">
            <v>1.51</v>
          </cell>
          <cell r="DJ208">
            <v>1.2529999999999999</v>
          </cell>
          <cell r="DK208" t="str">
            <v>BRONZE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 t="str">
            <v>NA</v>
          </cell>
          <cell r="DU208" t="str">
            <v>NA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FG208" t="str">
            <v>unsettled</v>
          </cell>
          <cell r="FH208">
            <v>3466</v>
          </cell>
          <cell r="FI208">
            <v>2594.1869999999999</v>
          </cell>
          <cell r="FJ208">
            <v>862.87300000000005</v>
          </cell>
          <cell r="FK208">
            <v>197.06</v>
          </cell>
        </row>
        <row r="209">
          <cell r="A209">
            <v>8664604018</v>
          </cell>
          <cell r="B209">
            <v>10664528051</v>
          </cell>
          <cell r="C209" t="str">
            <v>return_refund</v>
          </cell>
          <cell r="D209">
            <v>45921.580555555556</v>
          </cell>
          <cell r="E209">
            <v>45913.450694444444</v>
          </cell>
          <cell r="F209">
            <v>44550</v>
          </cell>
          <cell r="G209" t="str">
            <v>Myntra Designs Pvt Ltd</v>
          </cell>
          <cell r="H209" t="str">
            <v>TIKICLST112288679</v>
          </cell>
          <cell r="I209" t="str">
            <v>\I2726TK000002891\""</v>
          </cell>
          <cell r="J209">
            <v>8664604018</v>
          </cell>
          <cell r="K209">
            <v>62042300</v>
          </cell>
          <cell r="L209" t="str">
            <v>Apparel</v>
          </cell>
          <cell r="M209" t="str">
            <v>INR</v>
          </cell>
          <cell r="N209">
            <v>3394</v>
          </cell>
          <cell r="O209">
            <v>3394</v>
          </cell>
          <cell r="P209">
            <v>0</v>
          </cell>
          <cell r="Q209">
            <v>4500</v>
          </cell>
          <cell r="R209">
            <v>900</v>
          </cell>
          <cell r="S209" t="str">
            <v>Inter-State</v>
          </cell>
          <cell r="T209">
            <v>12</v>
          </cell>
          <cell r="U209">
            <v>363.64</v>
          </cell>
          <cell r="V209">
            <v>0</v>
          </cell>
          <cell r="W209">
            <v>0</v>
          </cell>
          <cell r="X209">
            <v>15.151999999999999</v>
          </cell>
          <cell r="Y209">
            <v>3.03</v>
          </cell>
          <cell r="AA209">
            <v>0</v>
          </cell>
          <cell r="AB209">
            <v>841.03300000000002</v>
          </cell>
          <cell r="AC209">
            <v>841.03300000000002</v>
          </cell>
          <cell r="AD209">
            <v>859.21500000000003</v>
          </cell>
          <cell r="AE209">
            <v>-197.06</v>
          </cell>
          <cell r="AF209">
            <v>167</v>
          </cell>
          <cell r="AG209">
            <v>0</v>
          </cell>
          <cell r="AH209">
            <v>0</v>
          </cell>
          <cell r="AI209">
            <v>0</v>
          </cell>
          <cell r="AJ209">
            <v>30.06</v>
          </cell>
          <cell r="AK209">
            <v>1</v>
          </cell>
          <cell r="AL209" t="str">
            <v>NATIONAL</v>
          </cell>
          <cell r="AM209">
            <v>3600</v>
          </cell>
          <cell r="AN209">
            <v>-2731.8449999999998</v>
          </cell>
          <cell r="AO209">
            <v>0</v>
          </cell>
          <cell r="AP209">
            <v>-2731.8449999999998</v>
          </cell>
          <cell r="AS209">
            <v>0</v>
          </cell>
          <cell r="AT209">
            <v>859.21500000000003</v>
          </cell>
          <cell r="AU209">
            <v>-197.06</v>
          </cell>
          <cell r="AV209">
            <v>-3394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3030.36</v>
          </cell>
          <cell r="BP209">
            <v>12</v>
          </cell>
          <cell r="BQ209">
            <v>0</v>
          </cell>
          <cell r="BR209">
            <v>0</v>
          </cell>
          <cell r="BS209">
            <v>0</v>
          </cell>
          <cell r="BT209">
            <v>0.5</v>
          </cell>
          <cell r="BU209">
            <v>0</v>
          </cell>
          <cell r="BV209">
            <v>0</v>
          </cell>
          <cell r="BW209">
            <v>0.1</v>
          </cell>
          <cell r="BX209" t="str">
            <v>Tiny Kingdom</v>
          </cell>
          <cell r="BY209" t="str">
            <v>Girls</v>
          </cell>
          <cell r="BZ209" t="str">
            <v>External</v>
          </cell>
          <cell r="CA209" t="str">
            <v>Clothing Set</v>
          </cell>
          <cell r="CB209" t="str">
            <v>ON_HAND</v>
          </cell>
          <cell r="CC209" t="b">
            <v>0</v>
          </cell>
          <cell r="CD209" t="str">
            <v>**********</v>
          </cell>
          <cell r="CE209">
            <v>628003</v>
          </cell>
          <cell r="CF209" t="str">
            <v>27AXUPC8425A1ZH</v>
          </cell>
          <cell r="CH209" t="str">
            <v>29AAECM9636P1ZJ</v>
          </cell>
          <cell r="CI209" t="str">
            <v>Mumbai</v>
          </cell>
          <cell r="CJ209">
            <v>400013</v>
          </cell>
          <cell r="CK209" t="str">
            <v>maharashtra</v>
          </cell>
          <cell r="CL209" t="str">
            <v>MH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W209">
            <v>0</v>
          </cell>
          <cell r="CX209">
            <v>841.03300000000002</v>
          </cell>
          <cell r="CY209">
            <v>841.03300000000002</v>
          </cell>
          <cell r="CZ209">
            <v>0</v>
          </cell>
          <cell r="DA209">
            <v>0</v>
          </cell>
          <cell r="DB209">
            <v>0</v>
          </cell>
          <cell r="DC209">
            <v>900</v>
          </cell>
          <cell r="DD209">
            <v>3.0303599999999999</v>
          </cell>
          <cell r="DE209" t="str">
            <v>bdc4e4e5-f819-44f7-87f9-6b20e15ae010</v>
          </cell>
          <cell r="DF209">
            <v>100080000000</v>
          </cell>
          <cell r="DG209">
            <v>0</v>
          </cell>
          <cell r="DH209">
            <v>15.151999999999999</v>
          </cell>
          <cell r="DI209">
            <v>0</v>
          </cell>
          <cell r="DJ209">
            <v>3.03</v>
          </cell>
          <cell r="DK209" t="str">
            <v>BRONZE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 t="str">
            <v>NA</v>
          </cell>
          <cell r="DU209" t="str">
            <v>NA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FG209" t="str">
            <v>unsettled</v>
          </cell>
          <cell r="FH209">
            <v>3600</v>
          </cell>
          <cell r="FI209">
            <v>2731.8449999999998</v>
          </cell>
          <cell r="FJ209">
            <v>859.21500000000003</v>
          </cell>
          <cell r="FK209">
            <v>197.06</v>
          </cell>
        </row>
        <row r="210">
          <cell r="A210">
            <v>8692031977</v>
          </cell>
          <cell r="B210">
            <v>10691960240</v>
          </cell>
          <cell r="C210" t="str">
            <v>return_refund</v>
          </cell>
          <cell r="D210">
            <v>45926.45</v>
          </cell>
          <cell r="E210">
            <v>45922.443055555559</v>
          </cell>
          <cell r="F210">
            <v>44561</v>
          </cell>
          <cell r="G210" t="str">
            <v>Myntra Designs Pvt Ltd</v>
          </cell>
          <cell r="H210" t="str">
            <v>TIKICLST113026308</v>
          </cell>
          <cell r="I210" t="str">
            <v>\I2726TK000003027\""</v>
          </cell>
          <cell r="J210">
            <v>8692031977</v>
          </cell>
          <cell r="K210">
            <v>62042300</v>
          </cell>
          <cell r="L210" t="str">
            <v>Apparel</v>
          </cell>
          <cell r="M210" t="str">
            <v>INR</v>
          </cell>
          <cell r="N210">
            <v>3564</v>
          </cell>
          <cell r="O210">
            <v>3564</v>
          </cell>
          <cell r="P210">
            <v>0</v>
          </cell>
          <cell r="Q210">
            <v>4000</v>
          </cell>
          <cell r="R210">
            <v>230</v>
          </cell>
          <cell r="S210" t="str">
            <v>Intra-State</v>
          </cell>
          <cell r="T210">
            <v>18</v>
          </cell>
          <cell r="U210">
            <v>0</v>
          </cell>
          <cell r="V210">
            <v>271.83</v>
          </cell>
          <cell r="W210">
            <v>271.83</v>
          </cell>
          <cell r="X210">
            <v>15.102</v>
          </cell>
          <cell r="Y210">
            <v>3.02</v>
          </cell>
          <cell r="AA210">
            <v>0</v>
          </cell>
          <cell r="AB210">
            <v>883.15899999999999</v>
          </cell>
          <cell r="AC210">
            <v>883.15899999999999</v>
          </cell>
          <cell r="AD210">
            <v>901.28099999999995</v>
          </cell>
          <cell r="AE210">
            <v>-132.16</v>
          </cell>
          <cell r="AF210">
            <v>112</v>
          </cell>
          <cell r="AG210">
            <v>0</v>
          </cell>
          <cell r="AH210">
            <v>0</v>
          </cell>
          <cell r="AI210">
            <v>0</v>
          </cell>
          <cell r="AJ210">
            <v>20.16</v>
          </cell>
          <cell r="AK210">
            <v>1</v>
          </cell>
          <cell r="AL210" t="str">
            <v>ZONAL</v>
          </cell>
          <cell r="AM210">
            <v>3770</v>
          </cell>
          <cell r="AN210">
            <v>-2794.8789999999999</v>
          </cell>
          <cell r="AO210">
            <v>0</v>
          </cell>
          <cell r="AP210">
            <v>-2794.8789999999999</v>
          </cell>
          <cell r="AS210">
            <v>0</v>
          </cell>
          <cell r="AT210">
            <v>901.28099999999995</v>
          </cell>
          <cell r="AU210">
            <v>-132.16</v>
          </cell>
          <cell r="AV210">
            <v>-3564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3020.34</v>
          </cell>
          <cell r="BP210">
            <v>0</v>
          </cell>
          <cell r="BQ210">
            <v>9</v>
          </cell>
          <cell r="BR210">
            <v>9</v>
          </cell>
          <cell r="BS210">
            <v>0</v>
          </cell>
          <cell r="BT210">
            <v>0</v>
          </cell>
          <cell r="BU210">
            <v>0.25</v>
          </cell>
          <cell r="BV210">
            <v>0.25</v>
          </cell>
          <cell r="BW210">
            <v>0.1</v>
          </cell>
          <cell r="BX210" t="str">
            <v>Tiny Kingdom</v>
          </cell>
          <cell r="BY210" t="str">
            <v>Girls</v>
          </cell>
          <cell r="BZ210" t="str">
            <v>External</v>
          </cell>
          <cell r="CA210" t="str">
            <v>Clothing Set</v>
          </cell>
          <cell r="CB210" t="str">
            <v>ON_HAND</v>
          </cell>
          <cell r="CC210" t="b">
            <v>0</v>
          </cell>
          <cell r="CD210" t="str">
            <v>**********</v>
          </cell>
          <cell r="CE210">
            <v>431203</v>
          </cell>
          <cell r="CF210" t="str">
            <v>27AXUPC8425A1ZH</v>
          </cell>
          <cell r="CH210" t="str">
            <v>29AAECM9636P1ZJ</v>
          </cell>
          <cell r="CI210" t="str">
            <v>Mumbai</v>
          </cell>
          <cell r="CJ210">
            <v>400013</v>
          </cell>
          <cell r="CK210" t="str">
            <v>maharashtra</v>
          </cell>
          <cell r="CL210" t="str">
            <v>MH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W210">
            <v>0</v>
          </cell>
          <cell r="CX210">
            <v>883.15899999999999</v>
          </cell>
          <cell r="CY210">
            <v>883.15899999999999</v>
          </cell>
          <cell r="CZ210">
            <v>0</v>
          </cell>
          <cell r="DA210">
            <v>0</v>
          </cell>
          <cell r="DB210">
            <v>0</v>
          </cell>
          <cell r="DC210">
            <v>230</v>
          </cell>
          <cell r="DD210">
            <v>3.02034</v>
          </cell>
          <cell r="DE210" t="str">
            <v>cc9b08fa-ef84-47b6-887b-90c9872d80f2</v>
          </cell>
          <cell r="DF210">
            <v>100082000000</v>
          </cell>
          <cell r="DG210">
            <v>0</v>
          </cell>
          <cell r="DH210">
            <v>15.102</v>
          </cell>
          <cell r="DI210">
            <v>0</v>
          </cell>
          <cell r="DJ210">
            <v>3.02</v>
          </cell>
          <cell r="DK210" t="str">
            <v>BRONZE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 t="str">
            <v>NA</v>
          </cell>
          <cell r="DU210" t="str">
            <v>NA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FG210" t="str">
            <v>unsettled</v>
          </cell>
          <cell r="FH210">
            <v>3770</v>
          </cell>
          <cell r="FI210">
            <v>2794.8789999999999</v>
          </cell>
          <cell r="FJ210">
            <v>901.28099999999995</v>
          </cell>
          <cell r="FK210">
            <v>132.16</v>
          </cell>
        </row>
        <row r="211">
          <cell r="A211">
            <v>8675097216</v>
          </cell>
          <cell r="B211">
            <v>10675021811</v>
          </cell>
          <cell r="C211" t="str">
            <v>return_refund</v>
          </cell>
          <cell r="D211">
            <v>45920.524305555555</v>
          </cell>
          <cell r="E211">
            <v>45916.560416666667</v>
          </cell>
          <cell r="F211">
            <v>44571</v>
          </cell>
          <cell r="G211" t="str">
            <v>Myntra Designs Pvt Ltd</v>
          </cell>
          <cell r="H211" t="str">
            <v>TIKILHNC115963237</v>
          </cell>
          <cell r="I211" t="str">
            <v>\I2726TK000002953\""</v>
          </cell>
          <cell r="J211">
            <v>9769899374</v>
          </cell>
          <cell r="K211">
            <v>62042300</v>
          </cell>
          <cell r="L211" t="str">
            <v>Apparel</v>
          </cell>
          <cell r="M211" t="str">
            <v>INR</v>
          </cell>
          <cell r="N211">
            <v>3594</v>
          </cell>
          <cell r="O211">
            <v>0</v>
          </cell>
          <cell r="P211">
            <v>3594</v>
          </cell>
          <cell r="Q211">
            <v>4750</v>
          </cell>
          <cell r="R211">
            <v>950</v>
          </cell>
          <cell r="S211" t="str">
            <v>Inter-State</v>
          </cell>
          <cell r="T211">
            <v>12</v>
          </cell>
          <cell r="U211">
            <v>385.07</v>
          </cell>
          <cell r="V211">
            <v>0</v>
          </cell>
          <cell r="W211">
            <v>0</v>
          </cell>
          <cell r="X211">
            <v>16.045000000000002</v>
          </cell>
          <cell r="Y211">
            <v>3.2090000000000001</v>
          </cell>
          <cell r="AA211">
            <v>0</v>
          </cell>
          <cell r="AB211">
            <v>890.59799999999996</v>
          </cell>
          <cell r="AC211">
            <v>890.59799999999996</v>
          </cell>
          <cell r="AD211">
            <v>909.85199999999998</v>
          </cell>
          <cell r="AE211">
            <v>-132.16</v>
          </cell>
          <cell r="AF211">
            <v>112</v>
          </cell>
          <cell r="AG211">
            <v>0</v>
          </cell>
          <cell r="AH211">
            <v>0</v>
          </cell>
          <cell r="AI211">
            <v>0</v>
          </cell>
          <cell r="AJ211">
            <v>20.16</v>
          </cell>
          <cell r="AK211">
            <v>1</v>
          </cell>
          <cell r="AL211" t="str">
            <v>ZONAL</v>
          </cell>
          <cell r="AM211">
            <v>3800</v>
          </cell>
          <cell r="AN211">
            <v>-2816.328</v>
          </cell>
          <cell r="AO211">
            <v>0</v>
          </cell>
          <cell r="AP211">
            <v>-2816.328</v>
          </cell>
          <cell r="AQ211">
            <v>909.85199999999998</v>
          </cell>
          <cell r="AR211">
            <v>-132.16</v>
          </cell>
          <cell r="AS211">
            <v>-3594.02</v>
          </cell>
          <cell r="AV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3208.93</v>
          </cell>
          <cell r="BP211">
            <v>12</v>
          </cell>
          <cell r="BQ211">
            <v>0</v>
          </cell>
          <cell r="BR211">
            <v>0</v>
          </cell>
          <cell r="BS211">
            <v>0</v>
          </cell>
          <cell r="BT211">
            <v>0.5</v>
          </cell>
          <cell r="BU211">
            <v>0</v>
          </cell>
          <cell r="BV211">
            <v>0</v>
          </cell>
          <cell r="BW211">
            <v>0.1</v>
          </cell>
          <cell r="BX211" t="str">
            <v>Tiny Kingdom</v>
          </cell>
          <cell r="BY211" t="str">
            <v>Girls</v>
          </cell>
          <cell r="BZ211" t="str">
            <v>External</v>
          </cell>
          <cell r="CA211" t="str">
            <v>Lehenga Choli</v>
          </cell>
          <cell r="CB211" t="str">
            <v>ON_HAND</v>
          </cell>
          <cell r="CC211" t="b">
            <v>0</v>
          </cell>
          <cell r="CD211" t="str">
            <v>**********</v>
          </cell>
          <cell r="CE211">
            <v>560100</v>
          </cell>
          <cell r="CF211" t="str">
            <v>27AXUPC8425A1ZH</v>
          </cell>
          <cell r="CH211" t="str">
            <v>29AAECM9636P1ZJ</v>
          </cell>
          <cell r="CI211" t="str">
            <v>Mumbai</v>
          </cell>
          <cell r="CJ211">
            <v>400013</v>
          </cell>
          <cell r="CK211" t="str">
            <v>maharashtra</v>
          </cell>
          <cell r="CL211" t="str">
            <v>MH</v>
          </cell>
          <cell r="CN211">
            <v>0</v>
          </cell>
          <cell r="CO211">
            <v>890.59799999999996</v>
          </cell>
          <cell r="CP211">
            <v>890.59799999999996</v>
          </cell>
          <cell r="CQ211">
            <v>0</v>
          </cell>
          <cell r="CR211">
            <v>0</v>
          </cell>
          <cell r="CS211">
            <v>0</v>
          </cell>
          <cell r="CT211">
            <v>950</v>
          </cell>
          <cell r="CU211">
            <v>3.2089300000000001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E211" t="str">
            <v>d2796cf4-07b6-4a5a-b022-7cf9338a29b1</v>
          </cell>
          <cell r="DF211">
            <v>100080000000</v>
          </cell>
          <cell r="DG211">
            <v>16.045000000000002</v>
          </cell>
          <cell r="DH211">
            <v>0</v>
          </cell>
          <cell r="DI211">
            <v>3.2090000000000001</v>
          </cell>
          <cell r="DJ211">
            <v>0</v>
          </cell>
          <cell r="DK211" t="str">
            <v>BRONZE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 t="str">
            <v>NA</v>
          </cell>
          <cell r="DU211" t="str">
            <v>NA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FG211" t="str">
            <v>unsettled</v>
          </cell>
          <cell r="FH211">
            <v>3800</v>
          </cell>
          <cell r="FI211">
            <v>2816.328</v>
          </cell>
          <cell r="FJ211">
            <v>909.85199999999998</v>
          </cell>
          <cell r="FK211">
            <v>132.16</v>
          </cell>
        </row>
        <row r="212">
          <cell r="A212">
            <v>7272865874</v>
          </cell>
          <cell r="C212" t="str">
            <v>return_refund</v>
          </cell>
          <cell r="D212">
            <v>44979.286111111112</v>
          </cell>
          <cell r="I212" t="str">
            <v>\null\""</v>
          </cell>
          <cell r="M212" t="str">
            <v>INR</v>
          </cell>
          <cell r="X212">
            <v>28.571000000000002</v>
          </cell>
          <cell r="Y212">
            <v>28.571000000000002</v>
          </cell>
          <cell r="Z212">
            <v>22.42</v>
          </cell>
          <cell r="AA212">
            <v>0</v>
          </cell>
          <cell r="AB212">
            <v>717.44</v>
          </cell>
          <cell r="AC212">
            <v>717.44</v>
          </cell>
          <cell r="AD212">
            <v>774.58199999999999</v>
          </cell>
          <cell r="AE212">
            <v>-53.1</v>
          </cell>
          <cell r="AF212">
            <v>75</v>
          </cell>
          <cell r="AG212">
            <v>30</v>
          </cell>
          <cell r="AH212">
            <v>0</v>
          </cell>
          <cell r="AI212">
            <v>0</v>
          </cell>
          <cell r="AJ212">
            <v>8.1</v>
          </cell>
          <cell r="AK212">
            <v>1</v>
          </cell>
          <cell r="AL212" t="str">
            <v>NATIONAL</v>
          </cell>
          <cell r="AM212">
            <v>3200</v>
          </cell>
          <cell r="AN212">
            <v>-2478.518</v>
          </cell>
          <cell r="AO212">
            <v>0</v>
          </cell>
          <cell r="AP212">
            <v>-2478.518</v>
          </cell>
          <cell r="AQ212">
            <v>809.98199999999997</v>
          </cell>
          <cell r="AR212">
            <v>-88.5</v>
          </cell>
          <cell r="AS212">
            <v>-3200</v>
          </cell>
          <cell r="AV212">
            <v>0</v>
          </cell>
          <cell r="BW212">
            <v>1</v>
          </cell>
          <cell r="CD212" t="str">
            <v>**********</v>
          </cell>
          <cell r="CF212" t="str">
            <v>27AXUPC8425A1ZH</v>
          </cell>
          <cell r="CH212" t="str">
            <v>29AAECM9636P1ZJ</v>
          </cell>
          <cell r="CM212">
            <v>22.42</v>
          </cell>
          <cell r="CN212">
            <v>0</v>
          </cell>
          <cell r="CO212">
            <v>717.44</v>
          </cell>
          <cell r="CP212">
            <v>717.44</v>
          </cell>
          <cell r="CQ212">
            <v>0</v>
          </cell>
          <cell r="CR212">
            <v>0</v>
          </cell>
          <cell r="CS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G212">
            <v>28.571000000000002</v>
          </cell>
          <cell r="DH212">
            <v>0</v>
          </cell>
          <cell r="DI212">
            <v>28.571000000000002</v>
          </cell>
          <cell r="DJ212">
            <v>0</v>
          </cell>
          <cell r="DK212" t="str">
            <v>BRONZE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 t="str">
            <v>NA</v>
          </cell>
          <cell r="DU212" t="str">
            <v>NA</v>
          </cell>
          <cell r="DV212">
            <v>0</v>
          </cell>
          <cell r="DW212">
            <v>0</v>
          </cell>
          <cell r="DY212">
            <v>0</v>
          </cell>
          <cell r="FG212" t="str">
            <v>unsettled</v>
          </cell>
          <cell r="FH212">
            <v>3200</v>
          </cell>
          <cell r="FI212">
            <v>2478.518</v>
          </cell>
          <cell r="FJ212">
            <v>809.98199999999997</v>
          </cell>
          <cell r="FK212">
            <v>88.5</v>
          </cell>
        </row>
        <row r="213">
          <cell r="A213">
            <v>8679854503</v>
          </cell>
          <cell r="B213">
            <v>10679779905</v>
          </cell>
          <cell r="C213" t="str">
            <v>return_refund</v>
          </cell>
          <cell r="D213">
            <v>45927.615972222222</v>
          </cell>
          <cell r="E213">
            <v>45918.445138888892</v>
          </cell>
          <cell r="G213" t="str">
            <v>Myntra Designs Pvt Ltd</v>
          </cell>
          <cell r="H213" t="str">
            <v>TIKIDRSS106660333</v>
          </cell>
          <cell r="I213" t="str">
            <v>\I2726TK000002974\""</v>
          </cell>
          <cell r="J213">
            <v>8679854503</v>
          </cell>
          <cell r="K213">
            <v>62042300</v>
          </cell>
          <cell r="L213" t="str">
            <v>Apparel</v>
          </cell>
          <cell r="M213" t="str">
            <v>INR</v>
          </cell>
          <cell r="N213">
            <v>2419</v>
          </cell>
          <cell r="O213">
            <v>0</v>
          </cell>
          <cell r="P213">
            <v>2419</v>
          </cell>
          <cell r="Q213">
            <v>3500</v>
          </cell>
          <cell r="R213">
            <v>875</v>
          </cell>
          <cell r="S213" t="str">
            <v>Inter-State</v>
          </cell>
          <cell r="T213">
            <v>12</v>
          </cell>
          <cell r="U213">
            <v>259.18</v>
          </cell>
          <cell r="V213">
            <v>0</v>
          </cell>
          <cell r="W213">
            <v>0</v>
          </cell>
          <cell r="X213">
            <v>10.798999999999999</v>
          </cell>
          <cell r="Y213">
            <v>2.16</v>
          </cell>
          <cell r="AA213">
            <v>0</v>
          </cell>
          <cell r="AB213">
            <v>513.79600000000005</v>
          </cell>
          <cell r="AC213">
            <v>513.79600000000005</v>
          </cell>
          <cell r="AD213">
            <v>526.755</v>
          </cell>
          <cell r="AE213">
            <v>-132.16</v>
          </cell>
          <cell r="AF213">
            <v>112</v>
          </cell>
          <cell r="AG213">
            <v>0</v>
          </cell>
          <cell r="AH213">
            <v>0</v>
          </cell>
          <cell r="AI213">
            <v>0</v>
          </cell>
          <cell r="AJ213">
            <v>20.16</v>
          </cell>
          <cell r="AK213">
            <v>1</v>
          </cell>
          <cell r="AL213" t="str">
            <v>ZONAL</v>
          </cell>
          <cell r="AM213">
            <v>2625</v>
          </cell>
          <cell r="AN213">
            <v>-2024.405</v>
          </cell>
          <cell r="AO213">
            <v>0</v>
          </cell>
          <cell r="AP213">
            <v>-2024.405</v>
          </cell>
          <cell r="AQ213">
            <v>526.755</v>
          </cell>
          <cell r="AR213">
            <v>-132.16</v>
          </cell>
          <cell r="AS213">
            <v>-2419</v>
          </cell>
          <cell r="AV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2159.8200000000002</v>
          </cell>
          <cell r="BP213">
            <v>12</v>
          </cell>
          <cell r="BQ213">
            <v>0</v>
          </cell>
          <cell r="BR213">
            <v>0</v>
          </cell>
          <cell r="BS213">
            <v>0</v>
          </cell>
          <cell r="BT213">
            <v>0.5</v>
          </cell>
          <cell r="BU213">
            <v>0</v>
          </cell>
          <cell r="BV213">
            <v>0</v>
          </cell>
          <cell r="BW213">
            <v>0.1</v>
          </cell>
          <cell r="BX213" t="str">
            <v>Tiny Kingdom</v>
          </cell>
          <cell r="BY213" t="str">
            <v>Girls</v>
          </cell>
          <cell r="BZ213" t="str">
            <v>External</v>
          </cell>
          <cell r="CA213" t="str">
            <v>Dresses</v>
          </cell>
          <cell r="CB213" t="str">
            <v>ON_HAND</v>
          </cell>
          <cell r="CC213" t="b">
            <v>0</v>
          </cell>
          <cell r="CD213" t="str">
            <v>**********</v>
          </cell>
          <cell r="CE213">
            <v>560059</v>
          </cell>
          <cell r="CF213" t="str">
            <v>27AXUPC8425A1ZH</v>
          </cell>
          <cell r="CH213" t="str">
            <v>29AAECM9636P1ZJ</v>
          </cell>
          <cell r="CI213" t="str">
            <v>Mumbai</v>
          </cell>
          <cell r="CJ213">
            <v>400013</v>
          </cell>
          <cell r="CK213" t="str">
            <v>maharashtra</v>
          </cell>
          <cell r="CL213" t="str">
            <v>MH</v>
          </cell>
          <cell r="CN213">
            <v>0</v>
          </cell>
          <cell r="CO213">
            <v>513.79600000000005</v>
          </cell>
          <cell r="CP213">
            <v>513.79600000000005</v>
          </cell>
          <cell r="CQ213">
            <v>0</v>
          </cell>
          <cell r="CR213">
            <v>0</v>
          </cell>
          <cell r="CS213">
            <v>0</v>
          </cell>
          <cell r="CT213">
            <v>875</v>
          </cell>
          <cell r="CU213">
            <v>2.1598199999999999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E213" t="str">
            <v>75f5d852-31ca-4220-ab9c-3a690b42dc2d</v>
          </cell>
          <cell r="DF213">
            <v>100083000000</v>
          </cell>
          <cell r="DG213">
            <v>10.798999999999999</v>
          </cell>
          <cell r="DH213">
            <v>0</v>
          </cell>
          <cell r="DI213">
            <v>2.16</v>
          </cell>
          <cell r="DJ213">
            <v>0</v>
          </cell>
          <cell r="DK213" t="str">
            <v>BRONZE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 t="str">
            <v>NA</v>
          </cell>
          <cell r="DU213" t="str">
            <v>NA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FG213" t="str">
            <v>unsettled</v>
          </cell>
          <cell r="FH213">
            <v>2625</v>
          </cell>
          <cell r="FI213">
            <v>2024.405</v>
          </cell>
          <cell r="FJ213">
            <v>526.755</v>
          </cell>
          <cell r="FK213">
            <v>132.16</v>
          </cell>
        </row>
        <row r="214">
          <cell r="A214">
            <v>8687468614</v>
          </cell>
          <cell r="B214">
            <v>10687396035</v>
          </cell>
          <cell r="C214" t="str">
            <v>return_refund</v>
          </cell>
          <cell r="D214">
            <v>45929.586111111108</v>
          </cell>
          <cell r="E214">
            <v>45922.443055555559</v>
          </cell>
          <cell r="F214">
            <v>44557</v>
          </cell>
          <cell r="G214" t="str">
            <v>Myntra Designs Pvt Ltd</v>
          </cell>
          <cell r="H214" t="str">
            <v>TIKICLST113026327</v>
          </cell>
          <cell r="I214" t="str">
            <v>\I2726TK000003072\""</v>
          </cell>
          <cell r="J214">
            <v>8687468614</v>
          </cell>
          <cell r="K214">
            <v>62042300</v>
          </cell>
          <cell r="L214" t="str">
            <v>Apparel</v>
          </cell>
          <cell r="M214" t="str">
            <v>INR</v>
          </cell>
          <cell r="N214">
            <v>3104</v>
          </cell>
          <cell r="O214">
            <v>3104</v>
          </cell>
          <cell r="P214">
            <v>0</v>
          </cell>
          <cell r="Q214">
            <v>3500</v>
          </cell>
          <cell r="R214">
            <v>190</v>
          </cell>
          <cell r="S214" t="str">
            <v>Inter-State</v>
          </cell>
          <cell r="T214">
            <v>18</v>
          </cell>
          <cell r="U214">
            <v>473.49</v>
          </cell>
          <cell r="V214">
            <v>0</v>
          </cell>
          <cell r="W214">
            <v>0</v>
          </cell>
          <cell r="X214">
            <v>13.153</v>
          </cell>
          <cell r="Y214">
            <v>2.6309999999999998</v>
          </cell>
          <cell r="AA214">
            <v>0</v>
          </cell>
          <cell r="AB214">
            <v>769.17100000000005</v>
          </cell>
          <cell r="AC214">
            <v>769.17100000000005</v>
          </cell>
          <cell r="AD214">
            <v>784.95500000000004</v>
          </cell>
          <cell r="AE214">
            <v>-197.06</v>
          </cell>
          <cell r="AF214">
            <v>167</v>
          </cell>
          <cell r="AG214">
            <v>0</v>
          </cell>
          <cell r="AH214">
            <v>0</v>
          </cell>
          <cell r="AI214">
            <v>0</v>
          </cell>
          <cell r="AJ214">
            <v>30.06</v>
          </cell>
          <cell r="AK214">
            <v>1</v>
          </cell>
          <cell r="AL214" t="str">
            <v>NATIONAL</v>
          </cell>
          <cell r="AM214">
            <v>3310</v>
          </cell>
          <cell r="AN214">
            <v>-2516.105</v>
          </cell>
          <cell r="AO214">
            <v>0</v>
          </cell>
          <cell r="AP214">
            <v>-2516.105</v>
          </cell>
          <cell r="AS214">
            <v>0</v>
          </cell>
          <cell r="AT214">
            <v>784.95500000000004</v>
          </cell>
          <cell r="AU214">
            <v>-197.06</v>
          </cell>
          <cell r="AV214">
            <v>-3104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2630.51</v>
          </cell>
          <cell r="BP214">
            <v>18</v>
          </cell>
          <cell r="BQ214">
            <v>0</v>
          </cell>
          <cell r="BR214">
            <v>0</v>
          </cell>
          <cell r="BS214">
            <v>0</v>
          </cell>
          <cell r="BT214">
            <v>0.5</v>
          </cell>
          <cell r="BU214">
            <v>0</v>
          </cell>
          <cell r="BV214">
            <v>0</v>
          </cell>
          <cell r="BW214">
            <v>0.1</v>
          </cell>
          <cell r="BX214" t="str">
            <v>Tiny Kingdom</v>
          </cell>
          <cell r="BY214" t="str">
            <v>Girls</v>
          </cell>
          <cell r="BZ214" t="str">
            <v>External</v>
          </cell>
          <cell r="CA214" t="str">
            <v>Clothing Set</v>
          </cell>
          <cell r="CB214" t="str">
            <v>ON_HAND</v>
          </cell>
          <cell r="CC214" t="b">
            <v>0</v>
          </cell>
          <cell r="CD214" t="str">
            <v>**********</v>
          </cell>
          <cell r="CE214">
            <v>743233</v>
          </cell>
          <cell r="CF214" t="str">
            <v>27AXUPC8425A1ZH</v>
          </cell>
          <cell r="CH214" t="str">
            <v>29AAECM9636P1ZJ</v>
          </cell>
          <cell r="CI214" t="str">
            <v>Mumbai</v>
          </cell>
          <cell r="CJ214">
            <v>400013</v>
          </cell>
          <cell r="CK214" t="str">
            <v>maharashtra</v>
          </cell>
          <cell r="CL214" t="str">
            <v>MH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W214">
            <v>0</v>
          </cell>
          <cell r="CX214">
            <v>769.17100000000005</v>
          </cell>
          <cell r="CY214">
            <v>769.17100000000005</v>
          </cell>
          <cell r="CZ214">
            <v>0</v>
          </cell>
          <cell r="DA214">
            <v>0</v>
          </cell>
          <cell r="DB214">
            <v>0</v>
          </cell>
          <cell r="DC214">
            <v>190</v>
          </cell>
          <cell r="DD214">
            <v>2.6305100000000001</v>
          </cell>
          <cell r="DE214" t="str">
            <v>1e9ccb09-32b2-4306-a910-7e7a5ed6ddaa</v>
          </cell>
          <cell r="DF214">
            <v>100083000000</v>
          </cell>
          <cell r="DG214">
            <v>0</v>
          </cell>
          <cell r="DH214">
            <v>13.153</v>
          </cell>
          <cell r="DI214">
            <v>0</v>
          </cell>
          <cell r="DJ214">
            <v>2.6309999999999998</v>
          </cell>
          <cell r="DK214" t="str">
            <v>BRONZE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 t="str">
            <v>NA</v>
          </cell>
          <cell r="DU214" t="str">
            <v>NA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FG214" t="str">
            <v>unsettled</v>
          </cell>
          <cell r="FH214">
            <v>3310</v>
          </cell>
          <cell r="FI214">
            <v>2516.105</v>
          </cell>
          <cell r="FJ214">
            <v>784.95500000000004</v>
          </cell>
          <cell r="FK214">
            <v>197.06</v>
          </cell>
        </row>
        <row r="215">
          <cell r="A215">
            <v>7080578063</v>
          </cell>
          <cell r="C215" t="str">
            <v>return_refund</v>
          </cell>
          <cell r="D215">
            <v>44855.647916666669</v>
          </cell>
          <cell r="I215" t="str">
            <v>\null\""</v>
          </cell>
          <cell r="M215" t="str">
            <v>INR</v>
          </cell>
          <cell r="X215">
            <v>30.134</v>
          </cell>
          <cell r="Y215">
            <v>30.134</v>
          </cell>
          <cell r="Z215">
            <v>22.42</v>
          </cell>
          <cell r="AA215">
            <v>0</v>
          </cell>
          <cell r="AB215">
            <v>756.67499999999995</v>
          </cell>
          <cell r="AC215">
            <v>756.67499999999995</v>
          </cell>
          <cell r="AD215">
            <v>816.94299999999998</v>
          </cell>
          <cell r="AE215">
            <v>-53.1</v>
          </cell>
          <cell r="AF215">
            <v>75</v>
          </cell>
          <cell r="AG215">
            <v>30</v>
          </cell>
          <cell r="AH215">
            <v>0</v>
          </cell>
          <cell r="AI215">
            <v>0</v>
          </cell>
          <cell r="AJ215">
            <v>8.1</v>
          </cell>
          <cell r="AK215">
            <v>1</v>
          </cell>
          <cell r="AL215" t="str">
            <v>NATIONAL</v>
          </cell>
          <cell r="AM215">
            <v>3375</v>
          </cell>
          <cell r="AN215">
            <v>-2611.1570000000002</v>
          </cell>
          <cell r="AO215">
            <v>0</v>
          </cell>
          <cell r="AP215">
            <v>-2611.1570000000002</v>
          </cell>
          <cell r="AQ215">
            <v>852.34299999999996</v>
          </cell>
          <cell r="AR215">
            <v>-88.5</v>
          </cell>
          <cell r="AS215">
            <v>-3375</v>
          </cell>
          <cell r="AV215">
            <v>0</v>
          </cell>
          <cell r="BW215">
            <v>1</v>
          </cell>
          <cell r="CD215" t="str">
            <v>**********</v>
          </cell>
          <cell r="CF215" t="str">
            <v>27AXUPC8425A1ZH</v>
          </cell>
          <cell r="CH215" t="str">
            <v>29AAECM9636P1ZJ</v>
          </cell>
          <cell r="CM215">
            <v>22.42</v>
          </cell>
          <cell r="CN215">
            <v>0</v>
          </cell>
          <cell r="CO215">
            <v>756.67499999999995</v>
          </cell>
          <cell r="CP215">
            <v>756.67499999999995</v>
          </cell>
          <cell r="CQ215">
            <v>0</v>
          </cell>
          <cell r="CR215">
            <v>0</v>
          </cell>
          <cell r="CS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G215">
            <v>30.134</v>
          </cell>
          <cell r="DH215">
            <v>0</v>
          </cell>
          <cell r="DI215">
            <v>30.134</v>
          </cell>
          <cell r="DJ215">
            <v>0</v>
          </cell>
          <cell r="DK215" t="str">
            <v>BRONZE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 t="str">
            <v>NA</v>
          </cell>
          <cell r="DU215" t="str">
            <v>NA</v>
          </cell>
          <cell r="DV215">
            <v>0</v>
          </cell>
          <cell r="DW215">
            <v>0</v>
          </cell>
          <cell r="DY215">
            <v>0</v>
          </cell>
          <cell r="FG215" t="str">
            <v>unsettled</v>
          </cell>
          <cell r="FH215">
            <v>3375</v>
          </cell>
          <cell r="FI215">
            <v>2611.1570000000002</v>
          </cell>
          <cell r="FJ215">
            <v>852.34299999999996</v>
          </cell>
          <cell r="FK215">
            <v>88.5</v>
          </cell>
        </row>
        <row r="216">
          <cell r="A216">
            <v>8694412952</v>
          </cell>
          <cell r="B216">
            <v>10694341402</v>
          </cell>
          <cell r="C216" t="str">
            <v>return_refund</v>
          </cell>
          <cell r="D216">
            <v>45929.772222222222</v>
          </cell>
          <cell r="E216">
            <v>45922.443055555559</v>
          </cell>
          <cell r="F216">
            <v>44566</v>
          </cell>
          <cell r="G216" t="str">
            <v>Myntra Designs Pvt Ltd</v>
          </cell>
          <cell r="H216" t="str">
            <v>TIKICLST112288676</v>
          </cell>
          <cell r="I216" t="str">
            <v>\I2726TK000003066\""</v>
          </cell>
          <cell r="J216">
            <v>8694412952</v>
          </cell>
          <cell r="K216">
            <v>62042300</v>
          </cell>
          <cell r="L216" t="str">
            <v>Apparel</v>
          </cell>
          <cell r="M216" t="str">
            <v>INR</v>
          </cell>
          <cell r="N216">
            <v>3789</v>
          </cell>
          <cell r="O216">
            <v>0</v>
          </cell>
          <cell r="P216">
            <v>3788.98</v>
          </cell>
          <cell r="Q216">
            <v>4500</v>
          </cell>
          <cell r="R216">
            <v>505</v>
          </cell>
          <cell r="S216" t="str">
            <v>Intra-State</v>
          </cell>
          <cell r="T216">
            <v>18</v>
          </cell>
          <cell r="U216">
            <v>0</v>
          </cell>
          <cell r="V216">
            <v>288.99</v>
          </cell>
          <cell r="W216">
            <v>288.99</v>
          </cell>
          <cell r="X216">
            <v>16.055</v>
          </cell>
          <cell r="Y216">
            <v>3.2109999999999999</v>
          </cell>
          <cell r="AA216">
            <v>0</v>
          </cell>
          <cell r="AB216">
            <v>938.90899999999999</v>
          </cell>
          <cell r="AC216">
            <v>938.90899999999999</v>
          </cell>
          <cell r="AD216">
            <v>958.17499999999995</v>
          </cell>
          <cell r="AE216">
            <v>-107.38</v>
          </cell>
          <cell r="AF216">
            <v>91</v>
          </cell>
          <cell r="AG216">
            <v>0</v>
          </cell>
          <cell r="AH216">
            <v>0</v>
          </cell>
          <cell r="AI216">
            <v>0</v>
          </cell>
          <cell r="AJ216">
            <v>16.38</v>
          </cell>
          <cell r="AK216">
            <v>1</v>
          </cell>
          <cell r="AL216" t="str">
            <v>LOCAL</v>
          </cell>
          <cell r="AM216">
            <v>3995</v>
          </cell>
          <cell r="AN216">
            <v>-2938.1849999999999</v>
          </cell>
          <cell r="AO216">
            <v>0</v>
          </cell>
          <cell r="AP216">
            <v>-2938.1849999999999</v>
          </cell>
          <cell r="AQ216">
            <v>958.17499999999995</v>
          </cell>
          <cell r="AR216">
            <v>-107.38</v>
          </cell>
          <cell r="AS216">
            <v>-3788.98</v>
          </cell>
          <cell r="AV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3211.02</v>
          </cell>
          <cell r="BP216">
            <v>0</v>
          </cell>
          <cell r="BQ216">
            <v>9</v>
          </cell>
          <cell r="BR216">
            <v>9</v>
          </cell>
          <cell r="BS216">
            <v>0</v>
          </cell>
          <cell r="BT216">
            <v>0</v>
          </cell>
          <cell r="BU216">
            <v>0.25</v>
          </cell>
          <cell r="BV216">
            <v>0.25</v>
          </cell>
          <cell r="BW216">
            <v>0.1</v>
          </cell>
          <cell r="BX216" t="str">
            <v>Tiny Kingdom</v>
          </cell>
          <cell r="BY216" t="str">
            <v>Girls</v>
          </cell>
          <cell r="BZ216" t="str">
            <v>External</v>
          </cell>
          <cell r="CA216" t="str">
            <v>Clothing Set</v>
          </cell>
          <cell r="CB216" t="str">
            <v>ON_HAND</v>
          </cell>
          <cell r="CC216" t="b">
            <v>0</v>
          </cell>
          <cell r="CD216" t="str">
            <v>**********</v>
          </cell>
          <cell r="CE216">
            <v>400053</v>
          </cell>
          <cell r="CF216" t="str">
            <v>27AXUPC8425A1ZH</v>
          </cell>
          <cell r="CH216" t="str">
            <v>29AAECM9636P1ZJ</v>
          </cell>
          <cell r="CI216" t="str">
            <v>Mumbai</v>
          </cell>
          <cell r="CJ216">
            <v>400013</v>
          </cell>
          <cell r="CK216" t="str">
            <v>maharashtra</v>
          </cell>
          <cell r="CL216" t="str">
            <v>MH</v>
          </cell>
          <cell r="CN216">
            <v>0</v>
          </cell>
          <cell r="CO216">
            <v>938.90899999999999</v>
          </cell>
          <cell r="CP216">
            <v>938.90899999999999</v>
          </cell>
          <cell r="CQ216">
            <v>0</v>
          </cell>
          <cell r="CR216">
            <v>0</v>
          </cell>
          <cell r="CS216">
            <v>0</v>
          </cell>
          <cell r="CT216">
            <v>505</v>
          </cell>
          <cell r="CU216">
            <v>3.21102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E216" t="str">
            <v>838f8d9d-be65-4fcc-95df-dad5d793aee9</v>
          </cell>
          <cell r="DF216">
            <v>100083000000</v>
          </cell>
          <cell r="DG216">
            <v>16.055</v>
          </cell>
          <cell r="DH216">
            <v>0</v>
          </cell>
          <cell r="DI216">
            <v>3.2109999999999999</v>
          </cell>
          <cell r="DJ216">
            <v>0</v>
          </cell>
          <cell r="DK216" t="str">
            <v>BRONZE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 t="str">
            <v>NA</v>
          </cell>
          <cell r="DU216" t="str">
            <v>NA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FG216" t="str">
            <v>unsettled</v>
          </cell>
          <cell r="FH216">
            <v>3995</v>
          </cell>
          <cell r="FI216">
            <v>2938.1849999999999</v>
          </cell>
          <cell r="FJ216">
            <v>958.17499999999995</v>
          </cell>
          <cell r="FK216">
            <v>107.38</v>
          </cell>
        </row>
        <row r="217">
          <cell r="A217">
            <v>8681405218</v>
          </cell>
          <cell r="B217">
            <v>10681331197</v>
          </cell>
          <cell r="C217" t="str">
            <v>return_refund</v>
          </cell>
          <cell r="D217">
            <v>45929.525694444441</v>
          </cell>
          <cell r="E217">
            <v>45919.434027777781</v>
          </cell>
          <cell r="F217">
            <v>44554</v>
          </cell>
          <cell r="G217" t="str">
            <v>Myntra Designs Pvt Ltd</v>
          </cell>
          <cell r="H217" t="str">
            <v>TIKILHNC115963211</v>
          </cell>
          <cell r="I217" t="str">
            <v>\I2726TK000002995\""</v>
          </cell>
          <cell r="J217">
            <v>8681405218</v>
          </cell>
          <cell r="K217">
            <v>62042300</v>
          </cell>
          <cell r="L217" t="str">
            <v>Apparel</v>
          </cell>
          <cell r="M217" t="str">
            <v>INR</v>
          </cell>
          <cell r="N217">
            <v>3564</v>
          </cell>
          <cell r="O217">
            <v>0</v>
          </cell>
          <cell r="P217">
            <v>3564</v>
          </cell>
          <cell r="Q217">
            <v>4000</v>
          </cell>
          <cell r="R217">
            <v>230</v>
          </cell>
          <cell r="S217" t="str">
            <v>Intra-State</v>
          </cell>
          <cell r="T217">
            <v>12</v>
          </cell>
          <cell r="U217">
            <v>0</v>
          </cell>
          <cell r="V217">
            <v>190.93</v>
          </cell>
          <cell r="W217">
            <v>190.93</v>
          </cell>
          <cell r="X217">
            <v>15.911</v>
          </cell>
          <cell r="Y217">
            <v>3.1819999999999999</v>
          </cell>
          <cell r="AA217">
            <v>0</v>
          </cell>
          <cell r="AB217">
            <v>883.15899999999999</v>
          </cell>
          <cell r="AC217">
            <v>883.15899999999999</v>
          </cell>
          <cell r="AD217">
            <v>902.25199999999995</v>
          </cell>
          <cell r="AE217">
            <v>-107.38</v>
          </cell>
          <cell r="AF217">
            <v>91</v>
          </cell>
          <cell r="AG217">
            <v>0</v>
          </cell>
          <cell r="AH217">
            <v>0</v>
          </cell>
          <cell r="AI217">
            <v>0</v>
          </cell>
          <cell r="AJ217">
            <v>16.38</v>
          </cell>
          <cell r="AK217">
            <v>1</v>
          </cell>
          <cell r="AL217" t="str">
            <v>LOCAL</v>
          </cell>
          <cell r="AM217">
            <v>3770</v>
          </cell>
          <cell r="AN217">
            <v>-2769.1280000000002</v>
          </cell>
          <cell r="AO217">
            <v>0</v>
          </cell>
          <cell r="AP217">
            <v>-2769.1280000000002</v>
          </cell>
          <cell r="AQ217">
            <v>902.25199999999995</v>
          </cell>
          <cell r="AR217">
            <v>-107.38</v>
          </cell>
          <cell r="AS217">
            <v>-3564</v>
          </cell>
          <cell r="AV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3182.14</v>
          </cell>
          <cell r="BP217">
            <v>0</v>
          </cell>
          <cell r="BQ217">
            <v>6</v>
          </cell>
          <cell r="BR217">
            <v>6</v>
          </cell>
          <cell r="BS217">
            <v>0</v>
          </cell>
          <cell r="BT217">
            <v>0</v>
          </cell>
          <cell r="BU217">
            <v>0.25</v>
          </cell>
          <cell r="BV217">
            <v>0.25</v>
          </cell>
          <cell r="BW217">
            <v>0.1</v>
          </cell>
          <cell r="BX217" t="str">
            <v>Tiny Kingdom</v>
          </cell>
          <cell r="BY217" t="str">
            <v>Girls</v>
          </cell>
          <cell r="BZ217" t="str">
            <v>External</v>
          </cell>
          <cell r="CA217" t="str">
            <v>Lehenga Choli</v>
          </cell>
          <cell r="CB217" t="str">
            <v>ON_HAND</v>
          </cell>
          <cell r="CC217" t="b">
            <v>0</v>
          </cell>
          <cell r="CD217" t="str">
            <v>**********</v>
          </cell>
          <cell r="CE217">
            <v>411057</v>
          </cell>
          <cell r="CF217" t="str">
            <v>27AXUPC8425A1ZH</v>
          </cell>
          <cell r="CH217" t="str">
            <v>29AAECM9636P1ZJ</v>
          </cell>
          <cell r="CI217" t="str">
            <v>Mumbai</v>
          </cell>
          <cell r="CJ217">
            <v>400013</v>
          </cell>
          <cell r="CK217" t="str">
            <v>maharashtra</v>
          </cell>
          <cell r="CL217" t="str">
            <v>MH</v>
          </cell>
          <cell r="CN217">
            <v>0</v>
          </cell>
          <cell r="CO217">
            <v>883.15899999999999</v>
          </cell>
          <cell r="CP217">
            <v>883.15899999999999</v>
          </cell>
          <cell r="CQ217">
            <v>0</v>
          </cell>
          <cell r="CR217">
            <v>0</v>
          </cell>
          <cell r="CS217">
            <v>0</v>
          </cell>
          <cell r="CT217">
            <v>230</v>
          </cell>
          <cell r="CU217">
            <v>3.18214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E217" t="str">
            <v>746e65c8-ec77-41c0-a871-fefe8478636b</v>
          </cell>
          <cell r="DF217">
            <v>100084000000</v>
          </cell>
          <cell r="DG217">
            <v>15.911</v>
          </cell>
          <cell r="DH217">
            <v>0</v>
          </cell>
          <cell r="DI217">
            <v>3.1819999999999999</v>
          </cell>
          <cell r="DJ217">
            <v>0</v>
          </cell>
          <cell r="DK217" t="str">
            <v>BRONZE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 t="str">
            <v>NA</v>
          </cell>
          <cell r="DU217" t="str">
            <v>NA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FG217" t="str">
            <v>unsettled</v>
          </cell>
          <cell r="FH217">
            <v>3770</v>
          </cell>
          <cell r="FI217">
            <v>2769.1280000000002</v>
          </cell>
          <cell r="FJ217">
            <v>902.25199999999995</v>
          </cell>
          <cell r="FK217">
            <v>107.38</v>
          </cell>
        </row>
        <row r="218">
          <cell r="A218">
            <v>8673166572</v>
          </cell>
          <cell r="B218">
            <v>10673091014</v>
          </cell>
          <cell r="C218" t="str">
            <v>return_refund</v>
          </cell>
          <cell r="D218">
            <v>45922.581944444442</v>
          </cell>
          <cell r="E218">
            <v>45916.459722222222</v>
          </cell>
          <cell r="G218" t="str">
            <v>Myntra Designs Pvt Ltd</v>
          </cell>
          <cell r="H218" t="str">
            <v>TNBYDRSS63052850</v>
          </cell>
          <cell r="I218" t="str">
            <v>\I2726TK000002940\""</v>
          </cell>
          <cell r="J218">
            <v>8673166572</v>
          </cell>
          <cell r="K218">
            <v>61042300</v>
          </cell>
          <cell r="L218" t="str">
            <v>Apparel</v>
          </cell>
          <cell r="M218" t="str">
            <v>INR</v>
          </cell>
          <cell r="N218">
            <v>1204</v>
          </cell>
          <cell r="O218">
            <v>1204</v>
          </cell>
          <cell r="P218">
            <v>0</v>
          </cell>
          <cell r="Q218">
            <v>2750</v>
          </cell>
          <cell r="R218">
            <v>1375</v>
          </cell>
          <cell r="S218" t="str">
            <v>Inter-State</v>
          </cell>
          <cell r="T218">
            <v>12</v>
          </cell>
          <cell r="U218">
            <v>129</v>
          </cell>
          <cell r="V218">
            <v>0</v>
          </cell>
          <cell r="W218">
            <v>0</v>
          </cell>
          <cell r="X218">
            <v>5.375</v>
          </cell>
          <cell r="Y218">
            <v>1.075</v>
          </cell>
          <cell r="AA218">
            <v>0</v>
          </cell>
          <cell r="AB218">
            <v>326.76600000000002</v>
          </cell>
          <cell r="AC218">
            <v>326.76600000000002</v>
          </cell>
          <cell r="AD218">
            <v>333.21600000000001</v>
          </cell>
          <cell r="AE218">
            <v>-197.06</v>
          </cell>
          <cell r="AF218">
            <v>167</v>
          </cell>
          <cell r="AG218">
            <v>0</v>
          </cell>
          <cell r="AH218">
            <v>0</v>
          </cell>
          <cell r="AI218">
            <v>0</v>
          </cell>
          <cell r="AJ218">
            <v>30.06</v>
          </cell>
          <cell r="AK218">
            <v>1</v>
          </cell>
          <cell r="AL218" t="str">
            <v>NATIONAL</v>
          </cell>
          <cell r="AM218">
            <v>1375</v>
          </cell>
          <cell r="AN218">
            <v>-1067.8440000000001</v>
          </cell>
          <cell r="AO218">
            <v>0</v>
          </cell>
          <cell r="AP218">
            <v>-1067.8440000000001</v>
          </cell>
          <cell r="AS218">
            <v>0</v>
          </cell>
          <cell r="AT218">
            <v>333.21600000000001</v>
          </cell>
          <cell r="AU218">
            <v>-197.06</v>
          </cell>
          <cell r="AV218">
            <v>-1204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1075</v>
          </cell>
          <cell r="BP218">
            <v>12</v>
          </cell>
          <cell r="BQ218">
            <v>0</v>
          </cell>
          <cell r="BR218">
            <v>0</v>
          </cell>
          <cell r="BS218">
            <v>0</v>
          </cell>
          <cell r="BT218">
            <v>0.5</v>
          </cell>
          <cell r="BU218">
            <v>0</v>
          </cell>
          <cell r="BV218">
            <v>0</v>
          </cell>
          <cell r="BW218">
            <v>0.1</v>
          </cell>
          <cell r="BX218" t="str">
            <v>Tiny Baby</v>
          </cell>
          <cell r="BY218" t="str">
            <v>Girls</v>
          </cell>
          <cell r="BZ218" t="str">
            <v>External</v>
          </cell>
          <cell r="CA218" t="str">
            <v>Dresses</v>
          </cell>
          <cell r="CB218" t="str">
            <v>ON_HAND</v>
          </cell>
          <cell r="CC218" t="b">
            <v>0</v>
          </cell>
          <cell r="CD218" t="str">
            <v>**********</v>
          </cell>
          <cell r="CE218">
            <v>335513</v>
          </cell>
          <cell r="CF218" t="str">
            <v>27AXUPC8425A1ZH</v>
          </cell>
          <cell r="CH218" t="str">
            <v>29AAECM9636P1ZJ</v>
          </cell>
          <cell r="CI218" t="str">
            <v>Mumbai</v>
          </cell>
          <cell r="CJ218">
            <v>400013</v>
          </cell>
          <cell r="CK218" t="str">
            <v>maharashtra</v>
          </cell>
          <cell r="CL218" t="str">
            <v>MH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W218">
            <v>0</v>
          </cell>
          <cell r="CX218">
            <v>326.76600000000002</v>
          </cell>
          <cell r="CY218">
            <v>326.76600000000002</v>
          </cell>
          <cell r="CZ218">
            <v>0</v>
          </cell>
          <cell r="DA218">
            <v>0</v>
          </cell>
          <cell r="DB218">
            <v>0</v>
          </cell>
          <cell r="DC218">
            <v>1375</v>
          </cell>
          <cell r="DD218">
            <v>1.075</v>
          </cell>
          <cell r="DE218" t="str">
            <v>91fed8ac-d147-4a8b-99d4-e93aa2304cc1</v>
          </cell>
          <cell r="DF218">
            <v>100081000000</v>
          </cell>
          <cell r="DG218">
            <v>0</v>
          </cell>
          <cell r="DH218">
            <v>5.375</v>
          </cell>
          <cell r="DI218">
            <v>0</v>
          </cell>
          <cell r="DJ218">
            <v>1.075</v>
          </cell>
          <cell r="DK218" t="str">
            <v>BRONZE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 t="str">
            <v>NA</v>
          </cell>
          <cell r="DU218" t="str">
            <v>NA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FG218" t="str">
            <v>unsettled</v>
          </cell>
          <cell r="FH218">
            <v>1375</v>
          </cell>
          <cell r="FI218">
            <v>1067.8440000000001</v>
          </cell>
          <cell r="FJ218">
            <v>333.21600000000001</v>
          </cell>
          <cell r="FK218">
            <v>197.06</v>
          </cell>
        </row>
        <row r="219">
          <cell r="A219">
            <v>8679197213</v>
          </cell>
          <cell r="B219">
            <v>10679122449</v>
          </cell>
          <cell r="C219" t="str">
            <v>return_refund</v>
          </cell>
          <cell r="D219">
            <v>45921.631944444445</v>
          </cell>
          <cell r="E219">
            <v>45917.792361111111</v>
          </cell>
          <cell r="G219" t="str">
            <v>Myntra Designs Pvt Ltd</v>
          </cell>
          <cell r="H219" t="str">
            <v>TIKILHNC106661972</v>
          </cell>
          <cell r="I219" t="str">
            <v>\I2726TK000002967\""</v>
          </cell>
          <cell r="J219">
            <v>8679197213</v>
          </cell>
          <cell r="K219">
            <v>62042300</v>
          </cell>
          <cell r="L219" t="str">
            <v>Apparel</v>
          </cell>
          <cell r="M219" t="str">
            <v>INR</v>
          </cell>
          <cell r="N219">
            <v>3794</v>
          </cell>
          <cell r="O219">
            <v>0</v>
          </cell>
          <cell r="P219">
            <v>3794</v>
          </cell>
          <cell r="Q219">
            <v>5000</v>
          </cell>
          <cell r="R219">
            <v>1000</v>
          </cell>
          <cell r="S219" t="str">
            <v>Intra-State</v>
          </cell>
          <cell r="T219">
            <v>12</v>
          </cell>
          <cell r="U219">
            <v>0</v>
          </cell>
          <cell r="V219">
            <v>203.25</v>
          </cell>
          <cell r="W219">
            <v>203.25</v>
          </cell>
          <cell r="X219">
            <v>16.937000000000001</v>
          </cell>
          <cell r="Y219">
            <v>3.3879999999999999</v>
          </cell>
          <cell r="AA219">
            <v>0</v>
          </cell>
          <cell r="AB219">
            <v>940.15300000000002</v>
          </cell>
          <cell r="AC219">
            <v>940.15300000000002</v>
          </cell>
          <cell r="AD219">
            <v>960.47799999999995</v>
          </cell>
          <cell r="AE219">
            <v>-107.38</v>
          </cell>
          <cell r="AF219">
            <v>91</v>
          </cell>
          <cell r="AG219">
            <v>0</v>
          </cell>
          <cell r="AH219">
            <v>0</v>
          </cell>
          <cell r="AI219">
            <v>0</v>
          </cell>
          <cell r="AJ219">
            <v>16.38</v>
          </cell>
          <cell r="AK219">
            <v>1</v>
          </cell>
          <cell r="AL219" t="str">
            <v>LOCAL</v>
          </cell>
          <cell r="AM219">
            <v>4000</v>
          </cell>
          <cell r="AN219">
            <v>-2940.902</v>
          </cell>
          <cell r="AO219">
            <v>0</v>
          </cell>
          <cell r="AP219">
            <v>-2940.902</v>
          </cell>
          <cell r="AQ219">
            <v>960.47799999999995</v>
          </cell>
          <cell r="AR219">
            <v>-107.38</v>
          </cell>
          <cell r="AS219">
            <v>-3794</v>
          </cell>
          <cell r="AV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3387.5</v>
          </cell>
          <cell r="BP219">
            <v>0</v>
          </cell>
          <cell r="BQ219">
            <v>6</v>
          </cell>
          <cell r="BR219">
            <v>6</v>
          </cell>
          <cell r="BS219">
            <v>0</v>
          </cell>
          <cell r="BT219">
            <v>0</v>
          </cell>
          <cell r="BU219">
            <v>0.25</v>
          </cell>
          <cell r="BV219">
            <v>0.25</v>
          </cell>
          <cell r="BW219">
            <v>0.1</v>
          </cell>
          <cell r="BX219" t="str">
            <v>Tiny Kingdom</v>
          </cell>
          <cell r="BY219" t="str">
            <v>Girls</v>
          </cell>
          <cell r="BZ219" t="str">
            <v>External</v>
          </cell>
          <cell r="CA219" t="str">
            <v>Lehenga Choli</v>
          </cell>
          <cell r="CB219" t="str">
            <v>ON_HAND</v>
          </cell>
          <cell r="CC219" t="b">
            <v>0</v>
          </cell>
          <cell r="CD219" t="str">
            <v>**********</v>
          </cell>
          <cell r="CE219">
            <v>411013</v>
          </cell>
          <cell r="CF219" t="str">
            <v>27AXUPC8425A1ZH</v>
          </cell>
          <cell r="CH219" t="str">
            <v>29AAECM9636P1ZJ</v>
          </cell>
          <cell r="CI219" t="str">
            <v>Mumbai</v>
          </cell>
          <cell r="CJ219">
            <v>400013</v>
          </cell>
          <cell r="CK219" t="str">
            <v>maharashtra</v>
          </cell>
          <cell r="CL219" t="str">
            <v>MH</v>
          </cell>
          <cell r="CN219">
            <v>0</v>
          </cell>
          <cell r="CO219">
            <v>940.15300000000002</v>
          </cell>
          <cell r="CP219">
            <v>940.15300000000002</v>
          </cell>
          <cell r="CQ219">
            <v>0</v>
          </cell>
          <cell r="CR219">
            <v>0</v>
          </cell>
          <cell r="CS219">
            <v>0</v>
          </cell>
          <cell r="CT219">
            <v>1000</v>
          </cell>
          <cell r="CU219">
            <v>3.3875000000000002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E219" t="str">
            <v>b02ab89c-0dc1-4615-93d4-3d783c9ccc29</v>
          </cell>
          <cell r="DF219">
            <v>100080000000</v>
          </cell>
          <cell r="DG219">
            <v>16.937000000000001</v>
          </cell>
          <cell r="DH219">
            <v>0</v>
          </cell>
          <cell r="DI219">
            <v>3.3879999999999999</v>
          </cell>
          <cell r="DJ219">
            <v>0</v>
          </cell>
          <cell r="DK219" t="str">
            <v>BRONZE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 t="str">
            <v>NA</v>
          </cell>
          <cell r="DU219" t="str">
            <v>NA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FG219" t="str">
            <v>unsettled</v>
          </cell>
          <cell r="FH219">
            <v>4000</v>
          </cell>
          <cell r="FI219">
            <v>2940.902</v>
          </cell>
          <cell r="FJ219">
            <v>960.47799999999995</v>
          </cell>
          <cell r="FK219">
            <v>107.38</v>
          </cell>
        </row>
        <row r="220">
          <cell r="A220">
            <v>8661072455</v>
          </cell>
          <cell r="B220">
            <v>10660996526</v>
          </cell>
          <cell r="C220" t="str">
            <v>return_refund</v>
          </cell>
          <cell r="D220">
            <v>45920.466666666667</v>
          </cell>
          <cell r="E220">
            <v>45911.783333333333</v>
          </cell>
          <cell r="G220" t="str">
            <v>Myntra Designs Pvt Ltd</v>
          </cell>
          <cell r="H220" t="str">
            <v>TIKIDRSS94856440</v>
          </cell>
          <cell r="I220" t="str">
            <v>\I2726TK000002858\""</v>
          </cell>
          <cell r="J220">
            <v>8661072455</v>
          </cell>
          <cell r="K220">
            <v>62042300</v>
          </cell>
          <cell r="L220" t="str">
            <v>Apparel</v>
          </cell>
          <cell r="M220" t="str">
            <v>INR</v>
          </cell>
          <cell r="N220">
            <v>2194</v>
          </cell>
          <cell r="O220">
            <v>696.64700000000005</v>
          </cell>
          <cell r="P220">
            <v>1497.3630000000001</v>
          </cell>
          <cell r="Q220">
            <v>4000</v>
          </cell>
          <cell r="R220">
            <v>1600</v>
          </cell>
          <cell r="S220" t="str">
            <v>Inter-State</v>
          </cell>
          <cell r="T220">
            <v>12</v>
          </cell>
          <cell r="U220">
            <v>235.07</v>
          </cell>
          <cell r="V220">
            <v>0</v>
          </cell>
          <cell r="W220">
            <v>0</v>
          </cell>
          <cell r="X220">
            <v>9.7949999999999999</v>
          </cell>
          <cell r="Y220">
            <v>1.9590000000000001</v>
          </cell>
          <cell r="AA220">
            <v>0</v>
          </cell>
          <cell r="AB220">
            <v>466.00799999999998</v>
          </cell>
          <cell r="AC220">
            <v>466.00799999999998</v>
          </cell>
          <cell r="AD220">
            <v>477.762</v>
          </cell>
          <cell r="AE220">
            <v>-197.06</v>
          </cell>
          <cell r="AF220">
            <v>167</v>
          </cell>
          <cell r="AG220">
            <v>0</v>
          </cell>
          <cell r="AH220">
            <v>0</v>
          </cell>
          <cell r="AI220">
            <v>0</v>
          </cell>
          <cell r="AJ220">
            <v>30.06</v>
          </cell>
          <cell r="AK220">
            <v>1</v>
          </cell>
          <cell r="AL220" t="str">
            <v>NATIONAL</v>
          </cell>
          <cell r="AM220">
            <v>2400</v>
          </cell>
          <cell r="AN220">
            <v>-1913.308</v>
          </cell>
          <cell r="AO220">
            <v>0</v>
          </cell>
          <cell r="AP220">
            <v>-1913.308</v>
          </cell>
          <cell r="AQ220">
            <v>326.06200000000001</v>
          </cell>
          <cell r="AR220">
            <v>-134.48931999999999</v>
          </cell>
          <cell r="AS220">
            <v>-1497.3630000000001</v>
          </cell>
          <cell r="AT220">
            <v>151.69999999999999</v>
          </cell>
          <cell r="AU220">
            <v>-62.570680000000003</v>
          </cell>
          <cell r="AV220">
            <v>-696.64700000000005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1958.93</v>
          </cell>
          <cell r="BP220">
            <v>12</v>
          </cell>
          <cell r="BQ220">
            <v>0</v>
          </cell>
          <cell r="BR220">
            <v>0</v>
          </cell>
          <cell r="BS220">
            <v>0</v>
          </cell>
          <cell r="BT220">
            <v>0.5</v>
          </cell>
          <cell r="BU220">
            <v>0</v>
          </cell>
          <cell r="BV220">
            <v>0</v>
          </cell>
          <cell r="BW220">
            <v>0.1</v>
          </cell>
          <cell r="BX220" t="str">
            <v>Tiny Kingdom</v>
          </cell>
          <cell r="BY220" t="str">
            <v>Girls</v>
          </cell>
          <cell r="BZ220" t="str">
            <v>External</v>
          </cell>
          <cell r="CA220" t="str">
            <v>Dresses</v>
          </cell>
          <cell r="CB220" t="str">
            <v>ON_HAND</v>
          </cell>
          <cell r="CC220" t="b">
            <v>0</v>
          </cell>
          <cell r="CD220" t="str">
            <v>**********</v>
          </cell>
          <cell r="CE220">
            <v>201301</v>
          </cell>
          <cell r="CF220" t="str">
            <v>27AXUPC8425A1ZH</v>
          </cell>
          <cell r="CH220" t="str">
            <v>29AAECM9636P1ZJ</v>
          </cell>
          <cell r="CI220" t="str">
            <v>Mumbai</v>
          </cell>
          <cell r="CJ220">
            <v>400013</v>
          </cell>
          <cell r="CK220" t="str">
            <v>maharashtra</v>
          </cell>
          <cell r="CL220" t="str">
            <v>MH</v>
          </cell>
          <cell r="CN220">
            <v>0</v>
          </cell>
          <cell r="CO220">
            <v>318.04000000000002</v>
          </cell>
          <cell r="CP220">
            <v>318.04000000000002</v>
          </cell>
          <cell r="CQ220">
            <v>0</v>
          </cell>
          <cell r="CR220">
            <v>0</v>
          </cell>
          <cell r="CS220">
            <v>0</v>
          </cell>
          <cell r="CT220">
            <v>1600</v>
          </cell>
          <cell r="CU220">
            <v>1.9589300000000001</v>
          </cell>
          <cell r="CW220">
            <v>0</v>
          </cell>
          <cell r="CX220">
            <v>147.96799999999999</v>
          </cell>
          <cell r="CY220">
            <v>147.96799999999999</v>
          </cell>
          <cell r="CZ220">
            <v>0</v>
          </cell>
          <cell r="DA220">
            <v>0</v>
          </cell>
          <cell r="DB220">
            <v>0</v>
          </cell>
          <cell r="DC220">
            <v>1600</v>
          </cell>
          <cell r="DD220">
            <v>1.9589300000000001</v>
          </cell>
          <cell r="DE220" t="str">
            <v>15eff577-3654-43ec-b04d-9ec9cc50c1c3</v>
          </cell>
          <cell r="DF220">
            <v>100080000000</v>
          </cell>
          <cell r="DG220">
            <v>6.6849999999999996</v>
          </cell>
          <cell r="DH220">
            <v>3.11</v>
          </cell>
          <cell r="DI220">
            <v>1.337</v>
          </cell>
          <cell r="DJ220">
            <v>0.622</v>
          </cell>
          <cell r="DK220" t="str">
            <v>BRONZE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 t="str">
            <v>NA</v>
          </cell>
          <cell r="DU220" t="str">
            <v>NA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FG220" t="str">
            <v>unsettled</v>
          </cell>
          <cell r="FH220">
            <v>2400</v>
          </cell>
          <cell r="FI220">
            <v>1913.308</v>
          </cell>
          <cell r="FJ220">
            <v>477.762</v>
          </cell>
          <cell r="FK220">
            <v>197.06</v>
          </cell>
        </row>
        <row r="221">
          <cell r="A221">
            <v>8687823960</v>
          </cell>
          <cell r="B221">
            <v>10687751651</v>
          </cell>
          <cell r="C221" t="str">
            <v>return_refund</v>
          </cell>
          <cell r="D221">
            <v>45929.503472222219</v>
          </cell>
          <cell r="E221">
            <v>45922.443055555559</v>
          </cell>
          <cell r="F221">
            <v>44561</v>
          </cell>
          <cell r="G221" t="str">
            <v>Myntra Designs Pvt Ltd</v>
          </cell>
          <cell r="H221" t="str">
            <v>BETYDRSS69877938</v>
          </cell>
          <cell r="I221" t="str">
            <v>\I2726TK000003051\""</v>
          </cell>
          <cell r="J221">
            <v>8687823960</v>
          </cell>
          <cell r="K221">
            <v>62042300</v>
          </cell>
          <cell r="L221" t="str">
            <v>Apparel</v>
          </cell>
          <cell r="M221" t="str">
            <v>INR</v>
          </cell>
          <cell r="N221">
            <v>2264</v>
          </cell>
          <cell r="O221">
            <v>2264</v>
          </cell>
          <cell r="P221">
            <v>0</v>
          </cell>
          <cell r="Q221">
            <v>4250</v>
          </cell>
          <cell r="R221">
            <v>1780</v>
          </cell>
          <cell r="S221" t="str">
            <v>Inter-State</v>
          </cell>
          <cell r="T221">
            <v>5</v>
          </cell>
          <cell r="U221">
            <v>107.81</v>
          </cell>
          <cell r="V221">
            <v>0</v>
          </cell>
          <cell r="W221">
            <v>0</v>
          </cell>
          <cell r="X221">
            <v>10.781000000000001</v>
          </cell>
          <cell r="Y221">
            <v>2.1560000000000001</v>
          </cell>
          <cell r="AA221">
            <v>0</v>
          </cell>
          <cell r="AB221">
            <v>641.16499999999996</v>
          </cell>
          <cell r="AC221">
            <v>641.16499999999996</v>
          </cell>
          <cell r="AD221">
            <v>654.10199999999998</v>
          </cell>
          <cell r="AE221">
            <v>-132.16</v>
          </cell>
          <cell r="AF221">
            <v>112</v>
          </cell>
          <cell r="AG221">
            <v>0</v>
          </cell>
          <cell r="AH221">
            <v>0</v>
          </cell>
          <cell r="AI221">
            <v>0</v>
          </cell>
          <cell r="AJ221">
            <v>20.16</v>
          </cell>
          <cell r="AK221">
            <v>1</v>
          </cell>
          <cell r="AL221" t="str">
            <v>ZONAL</v>
          </cell>
          <cell r="AM221">
            <v>2470</v>
          </cell>
          <cell r="AN221">
            <v>-1742.058</v>
          </cell>
          <cell r="AO221">
            <v>0</v>
          </cell>
          <cell r="AP221">
            <v>-1742.058</v>
          </cell>
          <cell r="AS221">
            <v>0</v>
          </cell>
          <cell r="AT221">
            <v>654.10199999999998</v>
          </cell>
          <cell r="AU221">
            <v>-132.16</v>
          </cell>
          <cell r="AV221">
            <v>-2264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2156.19</v>
          </cell>
          <cell r="BP221">
            <v>5</v>
          </cell>
          <cell r="BQ221">
            <v>0</v>
          </cell>
          <cell r="BR221">
            <v>0</v>
          </cell>
          <cell r="BS221">
            <v>0</v>
          </cell>
          <cell r="BT221">
            <v>0.5</v>
          </cell>
          <cell r="BU221">
            <v>0</v>
          </cell>
          <cell r="BV221">
            <v>0</v>
          </cell>
          <cell r="BW221">
            <v>0.1</v>
          </cell>
          <cell r="BX221" t="str">
            <v>BETTY</v>
          </cell>
          <cell r="BY221" t="str">
            <v>Girls</v>
          </cell>
          <cell r="BZ221" t="str">
            <v>External</v>
          </cell>
          <cell r="CA221" t="str">
            <v>Ethnic Dresses</v>
          </cell>
          <cell r="CB221" t="str">
            <v>ON_HAND</v>
          </cell>
          <cell r="CC221" t="b">
            <v>0</v>
          </cell>
          <cell r="CD221" t="str">
            <v>**********</v>
          </cell>
          <cell r="CE221">
            <v>508001</v>
          </cell>
          <cell r="CF221" t="str">
            <v>27AXUPC8425A1ZH</v>
          </cell>
          <cell r="CH221" t="str">
            <v>29AAECM9636P1ZJ</v>
          </cell>
          <cell r="CI221" t="str">
            <v>Mumbai</v>
          </cell>
          <cell r="CJ221">
            <v>400013</v>
          </cell>
          <cell r="CK221" t="str">
            <v>maharashtra</v>
          </cell>
          <cell r="CL221" t="str">
            <v>MH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W221">
            <v>0</v>
          </cell>
          <cell r="CX221">
            <v>641.16499999999996</v>
          </cell>
          <cell r="CY221">
            <v>641.16499999999996</v>
          </cell>
          <cell r="CZ221">
            <v>0</v>
          </cell>
          <cell r="DA221">
            <v>0</v>
          </cell>
          <cell r="DB221">
            <v>0</v>
          </cell>
          <cell r="DC221">
            <v>1780</v>
          </cell>
          <cell r="DD221">
            <v>2.1561900000000001</v>
          </cell>
          <cell r="DE221" t="str">
            <v>ea0fc20f-9557-4b53-9edd-414cbb0eb317</v>
          </cell>
          <cell r="DF221">
            <v>100084000000</v>
          </cell>
          <cell r="DG221">
            <v>0</v>
          </cell>
          <cell r="DH221">
            <v>10.781000000000001</v>
          </cell>
          <cell r="DI221">
            <v>0</v>
          </cell>
          <cell r="DJ221">
            <v>2.1560000000000001</v>
          </cell>
          <cell r="DK221" t="str">
            <v>BRONZE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 t="str">
            <v>NA</v>
          </cell>
          <cell r="DU221" t="str">
            <v>NA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FG221" t="str">
            <v>unsettled</v>
          </cell>
          <cell r="FH221">
            <v>2470</v>
          </cell>
          <cell r="FI221">
            <v>1742.058</v>
          </cell>
          <cell r="FJ221">
            <v>654.10199999999998</v>
          </cell>
          <cell r="FK221">
            <v>132.16</v>
          </cell>
        </row>
        <row r="222">
          <cell r="A222">
            <v>8681666403</v>
          </cell>
          <cell r="B222">
            <v>10681592349</v>
          </cell>
          <cell r="C222" t="str">
            <v>return_refund</v>
          </cell>
          <cell r="D222">
            <v>45924.505555555559</v>
          </cell>
          <cell r="E222">
            <v>45919.434027777781</v>
          </cell>
          <cell r="G222" t="str">
            <v>Myntra Designs Pvt Ltd</v>
          </cell>
          <cell r="H222" t="str">
            <v>TIKILHNC112303900</v>
          </cell>
          <cell r="I222" t="str">
            <v>\I2726TK000002997\""</v>
          </cell>
          <cell r="J222">
            <v>9771570263</v>
          </cell>
          <cell r="K222">
            <v>62042300</v>
          </cell>
          <cell r="L222" t="str">
            <v>Apparel</v>
          </cell>
          <cell r="M222" t="str">
            <v>INR</v>
          </cell>
          <cell r="N222">
            <v>3169</v>
          </cell>
          <cell r="O222">
            <v>0</v>
          </cell>
          <cell r="P222">
            <v>3169</v>
          </cell>
          <cell r="Q222">
            <v>3750</v>
          </cell>
          <cell r="R222">
            <v>375</v>
          </cell>
          <cell r="S222" t="str">
            <v>Inter-State</v>
          </cell>
          <cell r="T222">
            <v>12</v>
          </cell>
          <cell r="U222">
            <v>339.54</v>
          </cell>
          <cell r="V222">
            <v>0</v>
          </cell>
          <cell r="W222">
            <v>0</v>
          </cell>
          <cell r="X222">
            <v>14.147</v>
          </cell>
          <cell r="Y222">
            <v>2.8290000000000002</v>
          </cell>
          <cell r="AA222">
            <v>0</v>
          </cell>
          <cell r="AB222">
            <v>785.27800000000002</v>
          </cell>
          <cell r="AC222">
            <v>785.27800000000002</v>
          </cell>
          <cell r="AD222">
            <v>802.25400000000002</v>
          </cell>
          <cell r="AE222">
            <v>-197.06</v>
          </cell>
          <cell r="AF222">
            <v>167</v>
          </cell>
          <cell r="AG222">
            <v>0</v>
          </cell>
          <cell r="AH222">
            <v>0</v>
          </cell>
          <cell r="AI222">
            <v>0</v>
          </cell>
          <cell r="AJ222">
            <v>30.06</v>
          </cell>
          <cell r="AK222">
            <v>1</v>
          </cell>
          <cell r="AL222" t="str">
            <v>NATIONAL</v>
          </cell>
          <cell r="AM222">
            <v>3375</v>
          </cell>
          <cell r="AN222">
            <v>-2563.806</v>
          </cell>
          <cell r="AO222">
            <v>0</v>
          </cell>
          <cell r="AP222">
            <v>-2563.806</v>
          </cell>
          <cell r="AQ222">
            <v>802.25400000000002</v>
          </cell>
          <cell r="AR222">
            <v>-197.06</v>
          </cell>
          <cell r="AS222">
            <v>-3169</v>
          </cell>
          <cell r="AV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2829.46</v>
          </cell>
          <cell r="BP222">
            <v>12</v>
          </cell>
          <cell r="BQ222">
            <v>0</v>
          </cell>
          <cell r="BR222">
            <v>0</v>
          </cell>
          <cell r="BS222">
            <v>0</v>
          </cell>
          <cell r="BT222">
            <v>0.5</v>
          </cell>
          <cell r="BU222">
            <v>0</v>
          </cell>
          <cell r="BV222">
            <v>0</v>
          </cell>
          <cell r="BW222">
            <v>0.1</v>
          </cell>
          <cell r="BX222" t="str">
            <v>Tiny Kingdom</v>
          </cell>
          <cell r="BY222" t="str">
            <v>Girls</v>
          </cell>
          <cell r="BZ222" t="str">
            <v>External</v>
          </cell>
          <cell r="CA222" t="str">
            <v>Lehenga Choli</v>
          </cell>
          <cell r="CB222" t="str">
            <v>ON_HAND</v>
          </cell>
          <cell r="CC222" t="b">
            <v>0</v>
          </cell>
          <cell r="CD222" t="str">
            <v>**********</v>
          </cell>
          <cell r="CE222">
            <v>201306</v>
          </cell>
          <cell r="CF222" t="str">
            <v>27AXUPC8425A1ZH</v>
          </cell>
          <cell r="CH222" t="str">
            <v>29AAECM9636P1ZJ</v>
          </cell>
          <cell r="CI222" t="str">
            <v>Mumbai</v>
          </cell>
          <cell r="CJ222">
            <v>400013</v>
          </cell>
          <cell r="CK222" t="str">
            <v>maharashtra</v>
          </cell>
          <cell r="CL222" t="str">
            <v>MH</v>
          </cell>
          <cell r="CN222">
            <v>0</v>
          </cell>
          <cell r="CO222">
            <v>785.27800000000002</v>
          </cell>
          <cell r="CP222">
            <v>785.27800000000002</v>
          </cell>
          <cell r="CQ222">
            <v>0</v>
          </cell>
          <cell r="CR222">
            <v>0</v>
          </cell>
          <cell r="CS222">
            <v>0</v>
          </cell>
          <cell r="CT222">
            <v>375</v>
          </cell>
          <cell r="CU222">
            <v>2.8294600000000001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E222" t="str">
            <v>5f8d1f75-0b69-4e65-bcf2-32598d215630</v>
          </cell>
          <cell r="DF222">
            <v>100081000000</v>
          </cell>
          <cell r="DG222">
            <v>14.147</v>
          </cell>
          <cell r="DH222">
            <v>0</v>
          </cell>
          <cell r="DI222">
            <v>2.8290000000000002</v>
          </cell>
          <cell r="DJ222">
            <v>0</v>
          </cell>
          <cell r="DK222" t="str">
            <v>BRONZE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 t="str">
            <v>NA</v>
          </cell>
          <cell r="DU222" t="str">
            <v>NA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FG222" t="str">
            <v>unsettled</v>
          </cell>
          <cell r="FH222">
            <v>3375</v>
          </cell>
          <cell r="FI222">
            <v>2563.806</v>
          </cell>
          <cell r="FJ222">
            <v>802.25400000000002</v>
          </cell>
          <cell r="FK222">
            <v>197.06</v>
          </cell>
        </row>
        <row r="223">
          <cell r="A223">
            <v>8655681370</v>
          </cell>
          <cell r="B223">
            <v>10655605517</v>
          </cell>
          <cell r="C223" t="str">
            <v>return_refund</v>
          </cell>
          <cell r="D223">
            <v>45923.529861111114</v>
          </cell>
          <cell r="E223">
            <v>45908.48333333333</v>
          </cell>
          <cell r="G223" t="str">
            <v>Myntra Designs Pvt Ltd</v>
          </cell>
          <cell r="H223" t="str">
            <v>TIKILHNC103613416</v>
          </cell>
          <cell r="I223" t="str">
            <v>\I2726TK000002807\""</v>
          </cell>
          <cell r="J223">
            <v>8655681370</v>
          </cell>
          <cell r="K223">
            <v>62042300</v>
          </cell>
          <cell r="L223" t="str">
            <v>Apparel</v>
          </cell>
          <cell r="M223" t="str">
            <v>INR</v>
          </cell>
          <cell r="N223">
            <v>2944</v>
          </cell>
          <cell r="O223">
            <v>0</v>
          </cell>
          <cell r="P223">
            <v>2944</v>
          </cell>
          <cell r="Q223">
            <v>4500</v>
          </cell>
          <cell r="R223">
            <v>1350</v>
          </cell>
          <cell r="S223" t="str">
            <v>Inter-State</v>
          </cell>
          <cell r="T223">
            <v>12</v>
          </cell>
          <cell r="U223">
            <v>315.43</v>
          </cell>
          <cell r="V223">
            <v>0</v>
          </cell>
          <cell r="W223">
            <v>0</v>
          </cell>
          <cell r="X223">
            <v>13.143000000000001</v>
          </cell>
          <cell r="Y223">
            <v>2.629</v>
          </cell>
          <cell r="AA223">
            <v>0</v>
          </cell>
          <cell r="AB223">
            <v>729.52300000000002</v>
          </cell>
          <cell r="AC223">
            <v>729.52300000000002</v>
          </cell>
          <cell r="AD223">
            <v>745.29499999999996</v>
          </cell>
          <cell r="AE223">
            <v>-197.06</v>
          </cell>
          <cell r="AF223">
            <v>167</v>
          </cell>
          <cell r="AG223">
            <v>0</v>
          </cell>
          <cell r="AH223">
            <v>0</v>
          </cell>
          <cell r="AI223">
            <v>0</v>
          </cell>
          <cell r="AJ223">
            <v>30.06</v>
          </cell>
          <cell r="AK223">
            <v>1</v>
          </cell>
          <cell r="AL223" t="str">
            <v>NATIONAL</v>
          </cell>
          <cell r="AM223">
            <v>3150</v>
          </cell>
          <cell r="AN223">
            <v>-2395.7649999999999</v>
          </cell>
          <cell r="AO223">
            <v>0</v>
          </cell>
          <cell r="AP223">
            <v>-2395.7649999999999</v>
          </cell>
          <cell r="AQ223">
            <v>745.29499999999996</v>
          </cell>
          <cell r="AR223">
            <v>-197.06</v>
          </cell>
          <cell r="AS223">
            <v>-2944</v>
          </cell>
          <cell r="AV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2628.57</v>
          </cell>
          <cell r="BP223">
            <v>12</v>
          </cell>
          <cell r="BQ223">
            <v>0</v>
          </cell>
          <cell r="BR223">
            <v>0</v>
          </cell>
          <cell r="BS223">
            <v>0</v>
          </cell>
          <cell r="BT223">
            <v>0.5</v>
          </cell>
          <cell r="BU223">
            <v>0</v>
          </cell>
          <cell r="BV223">
            <v>0</v>
          </cell>
          <cell r="BW223">
            <v>0.1</v>
          </cell>
          <cell r="BX223" t="str">
            <v>Tiny Kingdom</v>
          </cell>
          <cell r="BY223" t="str">
            <v>Girls</v>
          </cell>
          <cell r="BZ223" t="str">
            <v>External</v>
          </cell>
          <cell r="CA223" t="str">
            <v>Lehenga Choli</v>
          </cell>
          <cell r="CB223" t="str">
            <v>ON_HAND</v>
          </cell>
          <cell r="CC223" t="b">
            <v>0</v>
          </cell>
          <cell r="CD223" t="str">
            <v>**********</v>
          </cell>
          <cell r="CE223">
            <v>221002</v>
          </cell>
          <cell r="CF223" t="str">
            <v>27AXUPC8425A1ZH</v>
          </cell>
          <cell r="CH223" t="str">
            <v>29AAECM9636P1ZJ</v>
          </cell>
          <cell r="CI223" t="str">
            <v>Mumbai</v>
          </cell>
          <cell r="CJ223">
            <v>400013</v>
          </cell>
          <cell r="CK223" t="str">
            <v>maharashtra</v>
          </cell>
          <cell r="CL223" t="str">
            <v>MH</v>
          </cell>
          <cell r="CN223">
            <v>0</v>
          </cell>
          <cell r="CO223">
            <v>729.52300000000002</v>
          </cell>
          <cell r="CP223">
            <v>729.52300000000002</v>
          </cell>
          <cell r="CQ223">
            <v>0</v>
          </cell>
          <cell r="CR223">
            <v>0</v>
          </cell>
          <cell r="CS223">
            <v>0</v>
          </cell>
          <cell r="CT223">
            <v>1350</v>
          </cell>
          <cell r="CU223">
            <v>2.6285699999999999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E223" t="str">
            <v>0f6ed799-126a-4fda-939e-1ce46018346c</v>
          </cell>
          <cell r="DF223">
            <v>100081000000</v>
          </cell>
          <cell r="DG223">
            <v>13.143000000000001</v>
          </cell>
          <cell r="DH223">
            <v>0</v>
          </cell>
          <cell r="DI223">
            <v>2.629</v>
          </cell>
          <cell r="DJ223">
            <v>0</v>
          </cell>
          <cell r="DK223" t="str">
            <v>BRONZE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 t="str">
            <v>NA</v>
          </cell>
          <cell r="DU223" t="str">
            <v>NA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FG223" t="str">
            <v>unsettled</v>
          </cell>
          <cell r="FH223">
            <v>3150</v>
          </cell>
          <cell r="FI223">
            <v>2395.7649999999999</v>
          </cell>
          <cell r="FJ223">
            <v>745.29499999999996</v>
          </cell>
          <cell r="FK223">
            <v>197.06</v>
          </cell>
        </row>
        <row r="224">
          <cell r="A224">
            <v>8689877308</v>
          </cell>
          <cell r="B224">
            <v>10689805301</v>
          </cell>
          <cell r="C224" t="str">
            <v>return_refund</v>
          </cell>
          <cell r="D224">
            <v>45928.429166666669</v>
          </cell>
          <cell r="E224">
            <v>45922.443055555559</v>
          </cell>
          <cell r="F224">
            <v>44561</v>
          </cell>
          <cell r="G224" t="str">
            <v>Myntra Designs Pvt Ltd</v>
          </cell>
          <cell r="H224" t="str">
            <v>TIKILHNC118421488</v>
          </cell>
          <cell r="I224" t="str">
            <v>\I2726TK000003059\""</v>
          </cell>
          <cell r="J224">
            <v>8689877308</v>
          </cell>
          <cell r="K224">
            <v>62042300</v>
          </cell>
          <cell r="L224" t="str">
            <v>Apparel</v>
          </cell>
          <cell r="M224" t="str">
            <v>INR</v>
          </cell>
          <cell r="N224">
            <v>3294.01</v>
          </cell>
          <cell r="O224">
            <v>3294</v>
          </cell>
          <cell r="P224">
            <v>0</v>
          </cell>
          <cell r="Q224">
            <v>3500</v>
          </cell>
          <cell r="R224">
            <v>0</v>
          </cell>
          <cell r="S224" t="str">
            <v>Inter-State</v>
          </cell>
          <cell r="T224">
            <v>18</v>
          </cell>
          <cell r="U224">
            <v>502.48</v>
          </cell>
          <cell r="V224">
            <v>0</v>
          </cell>
          <cell r="W224">
            <v>0</v>
          </cell>
          <cell r="X224">
            <v>13.958</v>
          </cell>
          <cell r="Y224">
            <v>2.7919999999999998</v>
          </cell>
          <cell r="AA224">
            <v>0</v>
          </cell>
          <cell r="AB224">
            <v>816.25300000000004</v>
          </cell>
          <cell r="AC224">
            <v>816.25300000000004</v>
          </cell>
          <cell r="AD224">
            <v>833.00300000000004</v>
          </cell>
          <cell r="AE224">
            <v>-197.06</v>
          </cell>
          <cell r="AF224">
            <v>167</v>
          </cell>
          <cell r="AG224">
            <v>0</v>
          </cell>
          <cell r="AH224">
            <v>0</v>
          </cell>
          <cell r="AI224">
            <v>0</v>
          </cell>
          <cell r="AJ224">
            <v>30.06</v>
          </cell>
          <cell r="AK224">
            <v>1</v>
          </cell>
          <cell r="AL224" t="str">
            <v>NATIONAL</v>
          </cell>
          <cell r="AM224">
            <v>3500</v>
          </cell>
          <cell r="AN224">
            <v>-2658.0569999999998</v>
          </cell>
          <cell r="AO224">
            <v>0</v>
          </cell>
          <cell r="AP224">
            <v>-2658.0569999999998</v>
          </cell>
          <cell r="AS224">
            <v>0</v>
          </cell>
          <cell r="AT224">
            <v>833.00300000000004</v>
          </cell>
          <cell r="AU224">
            <v>-197.06</v>
          </cell>
          <cell r="AV224">
            <v>-3294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2791.53</v>
          </cell>
          <cell r="BP224">
            <v>18</v>
          </cell>
          <cell r="BQ224">
            <v>0</v>
          </cell>
          <cell r="BR224">
            <v>0</v>
          </cell>
          <cell r="BS224">
            <v>0</v>
          </cell>
          <cell r="BT224">
            <v>0.5</v>
          </cell>
          <cell r="BU224">
            <v>0</v>
          </cell>
          <cell r="BV224">
            <v>0</v>
          </cell>
          <cell r="BW224">
            <v>0.1</v>
          </cell>
          <cell r="BX224" t="str">
            <v>Tiny Kingdom</v>
          </cell>
          <cell r="BY224" t="str">
            <v>Girls</v>
          </cell>
          <cell r="BZ224" t="str">
            <v>External</v>
          </cell>
          <cell r="CA224" t="str">
            <v>Lehenga Choli</v>
          </cell>
          <cell r="CB224" t="str">
            <v>ON_HAND</v>
          </cell>
          <cell r="CC224" t="b">
            <v>0</v>
          </cell>
          <cell r="CD224" t="str">
            <v>**********</v>
          </cell>
          <cell r="CE224">
            <v>803215</v>
          </cell>
          <cell r="CF224" t="str">
            <v>27AXUPC8425A1ZH</v>
          </cell>
          <cell r="CH224" t="str">
            <v>29AAECM9636P1ZJ</v>
          </cell>
          <cell r="CI224" t="str">
            <v>Mumbai</v>
          </cell>
          <cell r="CJ224">
            <v>400013</v>
          </cell>
          <cell r="CK224" t="str">
            <v>maharashtra</v>
          </cell>
          <cell r="CL224" t="str">
            <v>MH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W224">
            <v>0</v>
          </cell>
          <cell r="CX224">
            <v>816.25300000000004</v>
          </cell>
          <cell r="CY224">
            <v>816.25300000000004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2.7915299999999998</v>
          </cell>
          <cell r="DE224" t="str">
            <v>483853e0-a528-4fe6-9191-c33f3217cd13</v>
          </cell>
          <cell r="DF224">
            <v>100083000000</v>
          </cell>
          <cell r="DG224">
            <v>0</v>
          </cell>
          <cell r="DH224">
            <v>13.958</v>
          </cell>
          <cell r="DI224">
            <v>0</v>
          </cell>
          <cell r="DJ224">
            <v>2.7919999999999998</v>
          </cell>
          <cell r="DK224" t="str">
            <v>BRONZE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 t="str">
            <v>NA</v>
          </cell>
          <cell r="DU224" t="str">
            <v>NA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FG224" t="str">
            <v>unsettled</v>
          </cell>
          <cell r="FH224">
            <v>3500</v>
          </cell>
          <cell r="FI224">
            <v>2658.0569999999998</v>
          </cell>
          <cell r="FJ224">
            <v>833.00300000000004</v>
          </cell>
          <cell r="FK224">
            <v>197.06</v>
          </cell>
        </row>
        <row r="225">
          <cell r="A225">
            <v>7092370284</v>
          </cell>
          <cell r="C225" t="str">
            <v>return_refund</v>
          </cell>
          <cell r="D225">
            <v>44855.533333333333</v>
          </cell>
          <cell r="I225" t="str">
            <v>\null\""</v>
          </cell>
          <cell r="M225" t="str">
            <v>INR</v>
          </cell>
          <cell r="X225">
            <v>30.134</v>
          </cell>
          <cell r="Y225">
            <v>30.134</v>
          </cell>
          <cell r="Z225">
            <v>22.42</v>
          </cell>
          <cell r="AA225">
            <v>0</v>
          </cell>
          <cell r="AB225">
            <v>756.67499999999995</v>
          </cell>
          <cell r="AC225">
            <v>756.67499999999995</v>
          </cell>
          <cell r="AD225">
            <v>816.94299999999998</v>
          </cell>
          <cell r="AE225">
            <v>-53.1</v>
          </cell>
          <cell r="AF225">
            <v>75</v>
          </cell>
          <cell r="AG225">
            <v>30</v>
          </cell>
          <cell r="AH225">
            <v>0</v>
          </cell>
          <cell r="AI225">
            <v>0</v>
          </cell>
          <cell r="AJ225">
            <v>8.1</v>
          </cell>
          <cell r="AK225">
            <v>1</v>
          </cell>
          <cell r="AL225" t="str">
            <v>NATIONAL</v>
          </cell>
          <cell r="AM225">
            <v>3375</v>
          </cell>
          <cell r="AN225">
            <v>-2611.1570000000002</v>
          </cell>
          <cell r="AO225">
            <v>0</v>
          </cell>
          <cell r="AP225">
            <v>-2611.1570000000002</v>
          </cell>
          <cell r="AQ225">
            <v>852.34299999999996</v>
          </cell>
          <cell r="AR225">
            <v>-88.5</v>
          </cell>
          <cell r="AS225">
            <v>-3375</v>
          </cell>
          <cell r="AV225">
            <v>0</v>
          </cell>
          <cell r="BW225">
            <v>1</v>
          </cell>
          <cell r="CD225" t="str">
            <v>**********</v>
          </cell>
          <cell r="CF225" t="str">
            <v>27AXUPC8425A1ZH</v>
          </cell>
          <cell r="CH225" t="str">
            <v>29AAECM9636P1ZJ</v>
          </cell>
          <cell r="CM225">
            <v>22.42</v>
          </cell>
          <cell r="CN225">
            <v>0</v>
          </cell>
          <cell r="CO225">
            <v>756.67499999999995</v>
          </cell>
          <cell r="CP225">
            <v>756.67499999999995</v>
          </cell>
          <cell r="CQ225">
            <v>0</v>
          </cell>
          <cell r="CR225">
            <v>0</v>
          </cell>
          <cell r="CS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G225">
            <v>30.134</v>
          </cell>
          <cell r="DH225">
            <v>0</v>
          </cell>
          <cell r="DI225">
            <v>30.134</v>
          </cell>
          <cell r="DJ225">
            <v>0</v>
          </cell>
          <cell r="DK225" t="str">
            <v>BRONZE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 t="str">
            <v>NA</v>
          </cell>
          <cell r="DU225" t="str">
            <v>NA</v>
          </cell>
          <cell r="DV225">
            <v>0</v>
          </cell>
          <cell r="DW225">
            <v>0</v>
          </cell>
          <cell r="DY225">
            <v>0</v>
          </cell>
          <cell r="FG225" t="str">
            <v>unsettled</v>
          </cell>
          <cell r="FH225">
            <v>3375</v>
          </cell>
          <cell r="FI225">
            <v>2611.1570000000002</v>
          </cell>
          <cell r="FJ225">
            <v>852.34299999999996</v>
          </cell>
          <cell r="FK225">
            <v>88.5</v>
          </cell>
        </row>
        <row r="226">
          <cell r="A226">
            <v>8694664241</v>
          </cell>
          <cell r="B226">
            <v>10694592678</v>
          </cell>
          <cell r="C226" t="str">
            <v>return_refund</v>
          </cell>
          <cell r="D226">
            <v>45929.660416666666</v>
          </cell>
          <cell r="E226">
            <v>45922.443055555559</v>
          </cell>
          <cell r="F226">
            <v>44571</v>
          </cell>
          <cell r="G226" t="str">
            <v>Myntra Designs Pvt Ltd</v>
          </cell>
          <cell r="H226" t="str">
            <v>BETYDRSS67468522</v>
          </cell>
          <cell r="I226" t="str">
            <v>\I2726TK000003048\""</v>
          </cell>
          <cell r="J226">
            <v>9774312386</v>
          </cell>
          <cell r="K226">
            <v>62042300</v>
          </cell>
          <cell r="L226" t="str">
            <v>Apparel</v>
          </cell>
          <cell r="M226" t="str">
            <v>INR</v>
          </cell>
          <cell r="N226">
            <v>2293</v>
          </cell>
          <cell r="O226">
            <v>190.72200000000001</v>
          </cell>
          <cell r="P226">
            <v>2102.2779999999998</v>
          </cell>
          <cell r="Q226">
            <v>4500</v>
          </cell>
          <cell r="R226">
            <v>2001</v>
          </cell>
          <cell r="S226" t="str">
            <v>Intra-State</v>
          </cell>
          <cell r="T226">
            <v>5</v>
          </cell>
          <cell r="U226">
            <v>0</v>
          </cell>
          <cell r="V226">
            <v>54.6</v>
          </cell>
          <cell r="W226">
            <v>54.6</v>
          </cell>
          <cell r="X226">
            <v>10.919</v>
          </cell>
          <cell r="Y226">
            <v>2.1840000000000002</v>
          </cell>
          <cell r="AA226">
            <v>0</v>
          </cell>
          <cell r="AB226">
            <v>730.55</v>
          </cell>
          <cell r="AC226">
            <v>730.55</v>
          </cell>
          <cell r="AD226">
            <v>743.65300000000002</v>
          </cell>
          <cell r="AE226">
            <v>-107.38</v>
          </cell>
          <cell r="AF226">
            <v>91</v>
          </cell>
          <cell r="AG226">
            <v>0</v>
          </cell>
          <cell r="AH226">
            <v>0</v>
          </cell>
          <cell r="AI226">
            <v>0</v>
          </cell>
          <cell r="AJ226">
            <v>16.38</v>
          </cell>
          <cell r="AK226">
            <v>1</v>
          </cell>
          <cell r="AL226" t="str">
            <v>LOCAL</v>
          </cell>
          <cell r="AM226">
            <v>2499</v>
          </cell>
          <cell r="AN226">
            <v>-1656.7270000000001</v>
          </cell>
          <cell r="AO226">
            <v>0</v>
          </cell>
          <cell r="AP226">
            <v>-1656.7270000000001</v>
          </cell>
          <cell r="AQ226">
            <v>681.79899999999998</v>
          </cell>
          <cell r="AR226">
            <v>-98.448580000000007</v>
          </cell>
          <cell r="AS226">
            <v>-2102.2779999999998</v>
          </cell>
          <cell r="AT226">
            <v>61.853999999999999</v>
          </cell>
          <cell r="AU226">
            <v>-8.9314199999999992</v>
          </cell>
          <cell r="AV226">
            <v>-190.72200000000001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175</v>
          </cell>
          <cell r="BN226">
            <v>0</v>
          </cell>
          <cell r="BO226">
            <v>2183.8000000000002</v>
          </cell>
          <cell r="BP226">
            <v>0</v>
          </cell>
          <cell r="BQ226">
            <v>2.5</v>
          </cell>
          <cell r="BR226">
            <v>2.5</v>
          </cell>
          <cell r="BS226">
            <v>0</v>
          </cell>
          <cell r="BT226">
            <v>0</v>
          </cell>
          <cell r="BU226">
            <v>0.25</v>
          </cell>
          <cell r="BV226">
            <v>0.25</v>
          </cell>
          <cell r="BW226">
            <v>0.1</v>
          </cell>
          <cell r="BX226" t="str">
            <v>BETTY</v>
          </cell>
          <cell r="BY226" t="str">
            <v>Girls</v>
          </cell>
          <cell r="BZ226" t="str">
            <v>External</v>
          </cell>
          <cell r="CA226" t="str">
            <v>Dresses</v>
          </cell>
          <cell r="CB226" t="str">
            <v>ON_HAND</v>
          </cell>
          <cell r="CC226" t="b">
            <v>0</v>
          </cell>
          <cell r="CD226" t="str">
            <v>**********</v>
          </cell>
          <cell r="CE226">
            <v>411015</v>
          </cell>
          <cell r="CF226" t="str">
            <v>27AXUPC8425A1ZH</v>
          </cell>
          <cell r="CH226" t="str">
            <v>29AAECM9636P1ZJ</v>
          </cell>
          <cell r="CI226" t="str">
            <v>Mumbai</v>
          </cell>
          <cell r="CJ226">
            <v>400013</v>
          </cell>
          <cell r="CK226" t="str">
            <v>maharashtra</v>
          </cell>
          <cell r="CL226" t="str">
            <v>MH</v>
          </cell>
          <cell r="CN226">
            <v>0</v>
          </cell>
          <cell r="CO226">
            <v>669.78599999999994</v>
          </cell>
          <cell r="CP226">
            <v>669.78599999999994</v>
          </cell>
          <cell r="CQ226">
            <v>0</v>
          </cell>
          <cell r="CR226">
            <v>0</v>
          </cell>
          <cell r="CS226">
            <v>0</v>
          </cell>
          <cell r="CT226">
            <v>2001</v>
          </cell>
          <cell r="CU226">
            <v>2.1838000000000002</v>
          </cell>
          <cell r="CW226">
            <v>0</v>
          </cell>
          <cell r="CX226">
            <v>60.764000000000003</v>
          </cell>
          <cell r="CY226">
            <v>60.764000000000003</v>
          </cell>
          <cell r="CZ226">
            <v>0</v>
          </cell>
          <cell r="DA226">
            <v>0</v>
          </cell>
          <cell r="DB226">
            <v>0</v>
          </cell>
          <cell r="DC226">
            <v>2001</v>
          </cell>
          <cell r="DD226">
            <v>2.1838000000000002</v>
          </cell>
          <cell r="DE226" t="str">
            <v>1ac17d49-ac26-47ec-9b63-d58b111dad1d</v>
          </cell>
          <cell r="DF226">
            <v>100082000000</v>
          </cell>
          <cell r="DG226">
            <v>10.010999999999999</v>
          </cell>
          <cell r="DH226">
            <v>0.90800000000000003</v>
          </cell>
          <cell r="DI226">
            <v>2.0019999999999998</v>
          </cell>
          <cell r="DJ226">
            <v>0.182</v>
          </cell>
          <cell r="DK226" t="str">
            <v>BRONZE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 t="str">
            <v>NA</v>
          </cell>
          <cell r="DU226" t="str">
            <v>NA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FG226" t="str">
            <v>unsettled</v>
          </cell>
          <cell r="FH226">
            <v>2499</v>
          </cell>
          <cell r="FI226">
            <v>1656.7270000000001</v>
          </cell>
          <cell r="FJ226">
            <v>743.65300000000002</v>
          </cell>
          <cell r="FK226">
            <v>107.38000000000001</v>
          </cell>
        </row>
        <row r="227">
          <cell r="A227">
            <v>8684439845</v>
          </cell>
          <cell r="B227">
            <v>10684366809</v>
          </cell>
          <cell r="C227" t="str">
            <v>return_refund</v>
          </cell>
          <cell r="D227">
            <v>45929.637499999997</v>
          </cell>
          <cell r="E227">
            <v>45920.473611111112</v>
          </cell>
          <cell r="F227">
            <v>44563</v>
          </cell>
          <cell r="G227" t="str">
            <v>Myntra Designs Pvt Ltd</v>
          </cell>
          <cell r="H227" t="str">
            <v>TIKICLST116340922</v>
          </cell>
          <cell r="I227" t="str">
            <v>\I2726TK000003008\""</v>
          </cell>
          <cell r="J227">
            <v>8684439845</v>
          </cell>
          <cell r="K227">
            <v>62042300</v>
          </cell>
          <cell r="L227" t="str">
            <v>Apparel</v>
          </cell>
          <cell r="M227" t="str">
            <v>INR</v>
          </cell>
          <cell r="N227">
            <v>3365</v>
          </cell>
          <cell r="O227">
            <v>3365</v>
          </cell>
          <cell r="P227">
            <v>0</v>
          </cell>
          <cell r="Q227">
            <v>4000</v>
          </cell>
          <cell r="R227">
            <v>241</v>
          </cell>
          <cell r="S227" t="str">
            <v>Inter-State</v>
          </cell>
          <cell r="T227">
            <v>12</v>
          </cell>
          <cell r="U227">
            <v>360.54</v>
          </cell>
          <cell r="V227">
            <v>0</v>
          </cell>
          <cell r="W227">
            <v>0</v>
          </cell>
          <cell r="X227">
            <v>15.022</v>
          </cell>
          <cell r="Y227">
            <v>3.004</v>
          </cell>
          <cell r="AA227">
            <v>0</v>
          </cell>
          <cell r="AB227">
            <v>833.84699999999998</v>
          </cell>
          <cell r="AC227">
            <v>833.84699999999998</v>
          </cell>
          <cell r="AD227">
            <v>851.87300000000005</v>
          </cell>
          <cell r="AE227">
            <v>-197.06</v>
          </cell>
          <cell r="AF227">
            <v>167</v>
          </cell>
          <cell r="AG227">
            <v>0</v>
          </cell>
          <cell r="AH227">
            <v>0</v>
          </cell>
          <cell r="AI227">
            <v>0</v>
          </cell>
          <cell r="AJ227">
            <v>30.06</v>
          </cell>
          <cell r="AK227">
            <v>1</v>
          </cell>
          <cell r="AL227" t="str">
            <v>NATIONAL</v>
          </cell>
          <cell r="AM227">
            <v>3571</v>
          </cell>
          <cell r="AN227">
            <v>-2710.1869999999999</v>
          </cell>
          <cell r="AO227">
            <v>0</v>
          </cell>
          <cell r="AP227">
            <v>-2710.1869999999999</v>
          </cell>
          <cell r="AS227">
            <v>0</v>
          </cell>
          <cell r="AT227">
            <v>851.87300000000005</v>
          </cell>
          <cell r="AU227">
            <v>-197.06</v>
          </cell>
          <cell r="AV227">
            <v>-3365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3004.46</v>
          </cell>
          <cell r="BP227">
            <v>12</v>
          </cell>
          <cell r="BQ227">
            <v>0</v>
          </cell>
          <cell r="BR227">
            <v>0</v>
          </cell>
          <cell r="BS227">
            <v>0</v>
          </cell>
          <cell r="BT227">
            <v>0.5</v>
          </cell>
          <cell r="BU227">
            <v>0</v>
          </cell>
          <cell r="BV227">
            <v>0</v>
          </cell>
          <cell r="BW227">
            <v>0.1</v>
          </cell>
          <cell r="BX227" t="str">
            <v>Tiny Kingdom</v>
          </cell>
          <cell r="BY227" t="str">
            <v>Girls</v>
          </cell>
          <cell r="BZ227" t="str">
            <v>External</v>
          </cell>
          <cell r="CA227" t="str">
            <v>Clothing Set</v>
          </cell>
          <cell r="CB227" t="str">
            <v>ON_HAND</v>
          </cell>
          <cell r="CC227" t="b">
            <v>0</v>
          </cell>
          <cell r="CD227" t="str">
            <v>**********</v>
          </cell>
          <cell r="CE227">
            <v>229001</v>
          </cell>
          <cell r="CF227" t="str">
            <v>27AXUPC8425A1ZH</v>
          </cell>
          <cell r="CH227" t="str">
            <v>29AAECM9636P1ZJ</v>
          </cell>
          <cell r="CI227" t="str">
            <v>Mumbai</v>
          </cell>
          <cell r="CJ227">
            <v>400013</v>
          </cell>
          <cell r="CK227" t="str">
            <v>maharashtra</v>
          </cell>
          <cell r="CL227" t="str">
            <v>MH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W227">
            <v>0</v>
          </cell>
          <cell r="CX227">
            <v>833.84699999999998</v>
          </cell>
          <cell r="CY227">
            <v>833.84699999999998</v>
          </cell>
          <cell r="CZ227">
            <v>0</v>
          </cell>
          <cell r="DA227">
            <v>0</v>
          </cell>
          <cell r="DB227">
            <v>0</v>
          </cell>
          <cell r="DC227">
            <v>241</v>
          </cell>
          <cell r="DD227">
            <v>3.0044599999999999</v>
          </cell>
          <cell r="DE227" t="str">
            <v>3639ccca-b2a4-4981-9239-71e6d22c9d68</v>
          </cell>
          <cell r="DF227">
            <v>100083000000</v>
          </cell>
          <cell r="DG227">
            <v>0</v>
          </cell>
          <cell r="DH227">
            <v>15.022</v>
          </cell>
          <cell r="DI227">
            <v>0</v>
          </cell>
          <cell r="DJ227">
            <v>3.004</v>
          </cell>
          <cell r="DK227" t="str">
            <v>BRONZE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 t="str">
            <v>NA</v>
          </cell>
          <cell r="DU227" t="str">
            <v>NA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FG227" t="str">
            <v>unsettled</v>
          </cell>
          <cell r="FH227">
            <v>3571</v>
          </cell>
          <cell r="FI227">
            <v>2710.1869999999999</v>
          </cell>
          <cell r="FJ227">
            <v>851.87300000000005</v>
          </cell>
          <cell r="FK227">
            <v>197.06</v>
          </cell>
        </row>
        <row r="228">
          <cell r="A228">
            <v>8700420125</v>
          </cell>
          <cell r="B228">
            <v>10700350426</v>
          </cell>
          <cell r="C228" t="str">
            <v>return_refund</v>
          </cell>
          <cell r="D228">
            <v>45929.620833333334</v>
          </cell>
          <cell r="E228">
            <v>45923.446527777778</v>
          </cell>
          <cell r="F228">
            <v>44576</v>
          </cell>
          <cell r="G228" t="str">
            <v>Myntra Designs Pvt Ltd</v>
          </cell>
          <cell r="H228" t="str">
            <v>TIKIDRSS113553895</v>
          </cell>
          <cell r="I228" t="str">
            <v>\I2726TK000003098\""</v>
          </cell>
          <cell r="J228">
            <v>8700420125</v>
          </cell>
          <cell r="K228">
            <v>62042300</v>
          </cell>
          <cell r="L228" t="str">
            <v>Apparel</v>
          </cell>
          <cell r="M228" t="str">
            <v>INR</v>
          </cell>
          <cell r="N228">
            <v>3119</v>
          </cell>
          <cell r="O228">
            <v>3119</v>
          </cell>
          <cell r="P228">
            <v>0</v>
          </cell>
          <cell r="Q228">
            <v>3500</v>
          </cell>
          <cell r="R228">
            <v>175</v>
          </cell>
          <cell r="S228" t="str">
            <v>Inter-State</v>
          </cell>
          <cell r="T228">
            <v>18</v>
          </cell>
          <cell r="U228">
            <v>475.78</v>
          </cell>
          <cell r="V228">
            <v>0</v>
          </cell>
          <cell r="W228">
            <v>0</v>
          </cell>
          <cell r="X228">
            <v>13.215999999999999</v>
          </cell>
          <cell r="Y228">
            <v>2.6429999999999998</v>
          </cell>
          <cell r="AA228">
            <v>0</v>
          </cell>
          <cell r="AB228">
            <v>662.476</v>
          </cell>
          <cell r="AC228">
            <v>662.476</v>
          </cell>
          <cell r="AD228">
            <v>678.33500000000004</v>
          </cell>
          <cell r="AE228">
            <v>-132.16</v>
          </cell>
          <cell r="AF228">
            <v>112</v>
          </cell>
          <cell r="AG228">
            <v>0</v>
          </cell>
          <cell r="AH228">
            <v>0</v>
          </cell>
          <cell r="AI228">
            <v>0</v>
          </cell>
          <cell r="AJ228">
            <v>20.16</v>
          </cell>
          <cell r="AK228">
            <v>1</v>
          </cell>
          <cell r="AL228" t="str">
            <v>ZONAL</v>
          </cell>
          <cell r="AM228">
            <v>3325</v>
          </cell>
          <cell r="AN228">
            <v>-2572.8249999999998</v>
          </cell>
          <cell r="AO228">
            <v>0</v>
          </cell>
          <cell r="AP228">
            <v>-2572.8249999999998</v>
          </cell>
          <cell r="AS228">
            <v>0</v>
          </cell>
          <cell r="AT228">
            <v>678.33500000000004</v>
          </cell>
          <cell r="AU228">
            <v>-132.16</v>
          </cell>
          <cell r="AV228">
            <v>-3119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2643.22</v>
          </cell>
          <cell r="BP228">
            <v>18</v>
          </cell>
          <cell r="BQ228">
            <v>0</v>
          </cell>
          <cell r="BR228">
            <v>0</v>
          </cell>
          <cell r="BS228">
            <v>0</v>
          </cell>
          <cell r="BT228">
            <v>0.5</v>
          </cell>
          <cell r="BU228">
            <v>0</v>
          </cell>
          <cell r="BV228">
            <v>0</v>
          </cell>
          <cell r="BW228">
            <v>0.1</v>
          </cell>
          <cell r="BX228" t="str">
            <v>Tiny Kingdom</v>
          </cell>
          <cell r="BY228" t="str">
            <v>Girls</v>
          </cell>
          <cell r="BZ228" t="str">
            <v>External</v>
          </cell>
          <cell r="CA228" t="str">
            <v>Dresses</v>
          </cell>
          <cell r="CB228" t="str">
            <v>ON_HAND</v>
          </cell>
          <cell r="CC228" t="b">
            <v>0</v>
          </cell>
          <cell r="CD228" t="str">
            <v>**********</v>
          </cell>
          <cell r="CE228">
            <v>562114</v>
          </cell>
          <cell r="CF228" t="str">
            <v>27AXUPC8425A1ZH</v>
          </cell>
          <cell r="CH228" t="str">
            <v>29AAECM9636P1ZJ</v>
          </cell>
          <cell r="CI228" t="str">
            <v>Mumbai</v>
          </cell>
          <cell r="CJ228">
            <v>400013</v>
          </cell>
          <cell r="CK228" t="str">
            <v>maharashtra</v>
          </cell>
          <cell r="CL228" t="str">
            <v>MH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W228">
            <v>0</v>
          </cell>
          <cell r="CX228">
            <v>662.476</v>
          </cell>
          <cell r="CY228">
            <v>662.476</v>
          </cell>
          <cell r="CZ228">
            <v>0</v>
          </cell>
          <cell r="DA228">
            <v>0</v>
          </cell>
          <cell r="DB228">
            <v>0</v>
          </cell>
          <cell r="DC228">
            <v>175</v>
          </cell>
          <cell r="DD228">
            <v>2.6432199999999999</v>
          </cell>
          <cell r="DE228" t="str">
            <v>de44f70f-6853-4073-8c20-f5d3922a46ec</v>
          </cell>
          <cell r="DF228">
            <v>100083000000</v>
          </cell>
          <cell r="DG228">
            <v>0</v>
          </cell>
          <cell r="DH228">
            <v>13.215999999999999</v>
          </cell>
          <cell r="DI228">
            <v>0</v>
          </cell>
          <cell r="DJ228">
            <v>2.6429999999999998</v>
          </cell>
          <cell r="DK228" t="str">
            <v>BRONZE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 t="str">
            <v>NA</v>
          </cell>
          <cell r="DU228" t="str">
            <v>NA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FG228" t="str">
            <v>unsettled</v>
          </cell>
          <cell r="FH228">
            <v>3325</v>
          </cell>
          <cell r="FI228">
            <v>2572.8249999999998</v>
          </cell>
          <cell r="FJ228">
            <v>678.33500000000004</v>
          </cell>
          <cell r="FK228">
            <v>132.16</v>
          </cell>
        </row>
        <row r="229">
          <cell r="A229">
            <v>8661246795</v>
          </cell>
          <cell r="B229">
            <v>10661170873</v>
          </cell>
          <cell r="C229" t="str">
            <v>return_refund</v>
          </cell>
          <cell r="D229">
            <v>45921.442361111112</v>
          </cell>
          <cell r="E229">
            <v>45911.783333333333</v>
          </cell>
          <cell r="G229" t="str">
            <v>Myntra Designs Pvt Ltd</v>
          </cell>
          <cell r="H229" t="str">
            <v>TIKICLST112314130</v>
          </cell>
          <cell r="I229" t="str">
            <v>\I2726TK000002856\""</v>
          </cell>
          <cell r="J229">
            <v>8661246795</v>
          </cell>
          <cell r="K229">
            <v>62042300</v>
          </cell>
          <cell r="L229" t="str">
            <v>Apparel</v>
          </cell>
          <cell r="M229" t="str">
            <v>INR</v>
          </cell>
          <cell r="N229">
            <v>2994</v>
          </cell>
          <cell r="O229">
            <v>2994</v>
          </cell>
          <cell r="P229">
            <v>0</v>
          </cell>
          <cell r="Q229">
            <v>4000</v>
          </cell>
          <cell r="R229">
            <v>800</v>
          </cell>
          <cell r="S229" t="str">
            <v>Inter-State</v>
          </cell>
          <cell r="T229">
            <v>12</v>
          </cell>
          <cell r="U229">
            <v>320.79000000000002</v>
          </cell>
          <cell r="V229">
            <v>0</v>
          </cell>
          <cell r="W229">
            <v>0</v>
          </cell>
          <cell r="X229">
            <v>13.366</v>
          </cell>
          <cell r="Y229">
            <v>2.673</v>
          </cell>
          <cell r="AA229">
            <v>0</v>
          </cell>
          <cell r="AB229">
            <v>777.24199999999996</v>
          </cell>
          <cell r="AC229">
            <v>777.24199999999996</v>
          </cell>
          <cell r="AD229">
            <v>793.28099999999995</v>
          </cell>
          <cell r="AE229">
            <v>-197.06</v>
          </cell>
          <cell r="AF229">
            <v>167</v>
          </cell>
          <cell r="AG229">
            <v>0</v>
          </cell>
          <cell r="AH229">
            <v>0</v>
          </cell>
          <cell r="AI229">
            <v>0</v>
          </cell>
          <cell r="AJ229">
            <v>30.06</v>
          </cell>
          <cell r="AK229">
            <v>1</v>
          </cell>
          <cell r="AL229" t="str">
            <v>NATIONAL</v>
          </cell>
          <cell r="AM229">
            <v>3200</v>
          </cell>
          <cell r="AN229">
            <v>-2397.779</v>
          </cell>
          <cell r="AO229">
            <v>0</v>
          </cell>
          <cell r="AP229">
            <v>-2397.779</v>
          </cell>
          <cell r="AS229">
            <v>0</v>
          </cell>
          <cell r="AT229">
            <v>793.28099999999995</v>
          </cell>
          <cell r="AU229">
            <v>-197.06</v>
          </cell>
          <cell r="AV229">
            <v>-2994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2673.21</v>
          </cell>
          <cell r="BP229">
            <v>12</v>
          </cell>
          <cell r="BQ229">
            <v>0</v>
          </cell>
          <cell r="BR229">
            <v>0</v>
          </cell>
          <cell r="BS229">
            <v>0</v>
          </cell>
          <cell r="BT229">
            <v>0.5</v>
          </cell>
          <cell r="BU229">
            <v>0</v>
          </cell>
          <cell r="BV229">
            <v>0</v>
          </cell>
          <cell r="BW229">
            <v>0.1</v>
          </cell>
          <cell r="BX229" t="str">
            <v>Tiny Kingdom</v>
          </cell>
          <cell r="BY229" t="str">
            <v>Girls</v>
          </cell>
          <cell r="BZ229" t="str">
            <v>External</v>
          </cell>
          <cell r="CA229" t="str">
            <v>Kurta Sets</v>
          </cell>
          <cell r="CB229" t="str">
            <v>ON_HAND</v>
          </cell>
          <cell r="CC229" t="b">
            <v>0</v>
          </cell>
          <cell r="CD229" t="str">
            <v>**********</v>
          </cell>
          <cell r="CE229">
            <v>782480</v>
          </cell>
          <cell r="CF229" t="str">
            <v>27AXUPC8425A1ZH</v>
          </cell>
          <cell r="CH229" t="str">
            <v>29AAECM9636P1ZJ</v>
          </cell>
          <cell r="CI229" t="str">
            <v>Mumbai</v>
          </cell>
          <cell r="CJ229">
            <v>400013</v>
          </cell>
          <cell r="CK229" t="str">
            <v>maharashtra</v>
          </cell>
          <cell r="CL229" t="str">
            <v>MH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W229">
            <v>0</v>
          </cell>
          <cell r="CX229">
            <v>777.24199999999996</v>
          </cell>
          <cell r="CY229">
            <v>777.24199999999996</v>
          </cell>
          <cell r="CZ229">
            <v>0</v>
          </cell>
          <cell r="DA229">
            <v>0</v>
          </cell>
          <cell r="DB229">
            <v>0</v>
          </cell>
          <cell r="DC229">
            <v>800</v>
          </cell>
          <cell r="DD229">
            <v>2.6732100000000001</v>
          </cell>
          <cell r="DE229" t="str">
            <v>a69f987d-236a-408a-987c-4f40b853fc18</v>
          </cell>
          <cell r="DF229">
            <v>100080000000</v>
          </cell>
          <cell r="DG229">
            <v>0</v>
          </cell>
          <cell r="DH229">
            <v>13.366</v>
          </cell>
          <cell r="DI229">
            <v>0</v>
          </cell>
          <cell r="DJ229">
            <v>2.673</v>
          </cell>
          <cell r="DK229" t="str">
            <v>BRONZE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 t="str">
            <v>NA</v>
          </cell>
          <cell r="DU229" t="str">
            <v>NA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FG229" t="str">
            <v>unsettled</v>
          </cell>
          <cell r="FH229">
            <v>3200</v>
          </cell>
          <cell r="FI229">
            <v>2397.779</v>
          </cell>
          <cell r="FJ229">
            <v>793.28099999999995</v>
          </cell>
          <cell r="FK229">
            <v>197.06</v>
          </cell>
        </row>
        <row r="230">
          <cell r="A230">
            <v>8666527701</v>
          </cell>
          <cell r="B230">
            <v>10666451766</v>
          </cell>
          <cell r="C230" t="str">
            <v>return_refund</v>
          </cell>
          <cell r="D230">
            <v>45923.668055555558</v>
          </cell>
          <cell r="E230">
            <v>45913.572222222225</v>
          </cell>
          <cell r="G230" t="str">
            <v>Myntra Designs Pvt Ltd</v>
          </cell>
          <cell r="H230" t="str">
            <v>TIKIDRSS103324820</v>
          </cell>
          <cell r="I230" t="str">
            <v>\I2726TK000002899\""</v>
          </cell>
          <cell r="J230">
            <v>8666527701</v>
          </cell>
          <cell r="K230">
            <v>62042300</v>
          </cell>
          <cell r="L230" t="str">
            <v>Apparel</v>
          </cell>
          <cell r="M230" t="str">
            <v>INR</v>
          </cell>
          <cell r="N230">
            <v>2994</v>
          </cell>
          <cell r="O230">
            <v>2994</v>
          </cell>
          <cell r="P230">
            <v>0</v>
          </cell>
          <cell r="Q230">
            <v>4000</v>
          </cell>
          <cell r="R230">
            <v>800</v>
          </cell>
          <cell r="S230" t="str">
            <v>Inter-State</v>
          </cell>
          <cell r="T230">
            <v>12</v>
          </cell>
          <cell r="U230">
            <v>320.79000000000002</v>
          </cell>
          <cell r="V230">
            <v>0</v>
          </cell>
          <cell r="W230">
            <v>0</v>
          </cell>
          <cell r="X230">
            <v>13.366</v>
          </cell>
          <cell r="Y230">
            <v>2.673</v>
          </cell>
          <cell r="AA230">
            <v>0</v>
          </cell>
          <cell r="AB230">
            <v>635.92600000000004</v>
          </cell>
          <cell r="AC230">
            <v>635.92600000000004</v>
          </cell>
          <cell r="AD230">
            <v>651.96500000000003</v>
          </cell>
          <cell r="AE230">
            <v>-197.06</v>
          </cell>
          <cell r="AF230">
            <v>167</v>
          </cell>
          <cell r="AG230">
            <v>0</v>
          </cell>
          <cell r="AH230">
            <v>0</v>
          </cell>
          <cell r="AI230">
            <v>0</v>
          </cell>
          <cell r="AJ230">
            <v>30.06</v>
          </cell>
          <cell r="AK230">
            <v>1</v>
          </cell>
          <cell r="AL230" t="str">
            <v>NATIONAL</v>
          </cell>
          <cell r="AM230">
            <v>3200</v>
          </cell>
          <cell r="AN230">
            <v>-2539.0949999999998</v>
          </cell>
          <cell r="AO230">
            <v>0</v>
          </cell>
          <cell r="AP230">
            <v>-2539.0949999999998</v>
          </cell>
          <cell r="AS230">
            <v>0</v>
          </cell>
          <cell r="AT230">
            <v>651.96500000000003</v>
          </cell>
          <cell r="AU230">
            <v>-197.06</v>
          </cell>
          <cell r="AV230">
            <v>-2994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2673.21</v>
          </cell>
          <cell r="BP230">
            <v>12</v>
          </cell>
          <cell r="BQ230">
            <v>0</v>
          </cell>
          <cell r="BR230">
            <v>0</v>
          </cell>
          <cell r="BS230">
            <v>0</v>
          </cell>
          <cell r="BT230">
            <v>0.5</v>
          </cell>
          <cell r="BU230">
            <v>0</v>
          </cell>
          <cell r="BV230">
            <v>0</v>
          </cell>
          <cell r="BW230">
            <v>0.1</v>
          </cell>
          <cell r="BX230" t="str">
            <v>Tiny Kingdom</v>
          </cell>
          <cell r="BY230" t="str">
            <v>Girls</v>
          </cell>
          <cell r="BZ230" t="str">
            <v>External</v>
          </cell>
          <cell r="CA230" t="str">
            <v>Dresses</v>
          </cell>
          <cell r="CB230" t="str">
            <v>ON_HAND</v>
          </cell>
          <cell r="CC230" t="b">
            <v>0</v>
          </cell>
          <cell r="CD230" t="str">
            <v>**********</v>
          </cell>
          <cell r="CE230">
            <v>160036</v>
          </cell>
          <cell r="CF230" t="str">
            <v>27AXUPC8425A1ZH</v>
          </cell>
          <cell r="CH230" t="str">
            <v>29AAECM9636P1ZJ</v>
          </cell>
          <cell r="CI230" t="str">
            <v>Mumbai</v>
          </cell>
          <cell r="CJ230">
            <v>400013</v>
          </cell>
          <cell r="CK230" t="str">
            <v>maharashtra</v>
          </cell>
          <cell r="CL230" t="str">
            <v>MH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W230">
            <v>0</v>
          </cell>
          <cell r="CX230">
            <v>635.92600000000004</v>
          </cell>
          <cell r="CY230">
            <v>635.92600000000004</v>
          </cell>
          <cell r="CZ230">
            <v>0</v>
          </cell>
          <cell r="DA230">
            <v>0</v>
          </cell>
          <cell r="DB230">
            <v>0</v>
          </cell>
          <cell r="DC230">
            <v>800</v>
          </cell>
          <cell r="DD230">
            <v>2.6732100000000001</v>
          </cell>
          <cell r="DE230" t="str">
            <v>06aae6a5-678c-4625-9d71-086416872891</v>
          </cell>
          <cell r="DF230">
            <v>100081000000</v>
          </cell>
          <cell r="DG230">
            <v>0</v>
          </cell>
          <cell r="DH230">
            <v>13.366</v>
          </cell>
          <cell r="DI230">
            <v>0</v>
          </cell>
          <cell r="DJ230">
            <v>2.673</v>
          </cell>
          <cell r="DK230" t="str">
            <v>BRONZE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 t="str">
            <v>NA</v>
          </cell>
          <cell r="DU230" t="str">
            <v>NA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FG230" t="str">
            <v>unsettled</v>
          </cell>
          <cell r="FH230">
            <v>3200</v>
          </cell>
          <cell r="FI230">
            <v>2539.0949999999998</v>
          </cell>
          <cell r="FJ230">
            <v>651.96500000000003</v>
          </cell>
          <cell r="FK230">
            <v>197.06</v>
          </cell>
        </row>
        <row r="231">
          <cell r="A231">
            <v>8690634420</v>
          </cell>
          <cell r="B231">
            <v>10690562465</v>
          </cell>
          <cell r="C231" t="str">
            <v>return_refund</v>
          </cell>
          <cell r="D231">
            <v>45929.482638888891</v>
          </cell>
          <cell r="E231">
            <v>45922.443055555559</v>
          </cell>
          <cell r="F231">
            <v>44563</v>
          </cell>
          <cell r="G231" t="str">
            <v>Myntra Designs Pvt Ltd</v>
          </cell>
          <cell r="H231" t="str">
            <v>TIKILHNC118421486</v>
          </cell>
          <cell r="I231" t="str">
            <v>\I2726TK000003070\""</v>
          </cell>
          <cell r="J231">
            <v>8690634420</v>
          </cell>
          <cell r="K231">
            <v>62042300</v>
          </cell>
          <cell r="L231" t="str">
            <v>Apparel</v>
          </cell>
          <cell r="M231" t="str">
            <v>INR</v>
          </cell>
          <cell r="N231">
            <v>3294.01</v>
          </cell>
          <cell r="O231">
            <v>0</v>
          </cell>
          <cell r="P231">
            <v>3294</v>
          </cell>
          <cell r="Q231">
            <v>3500</v>
          </cell>
          <cell r="R231">
            <v>0</v>
          </cell>
          <cell r="S231" t="str">
            <v>Inter-State</v>
          </cell>
          <cell r="T231">
            <v>18</v>
          </cell>
          <cell r="U231">
            <v>502.48</v>
          </cell>
          <cell r="V231">
            <v>0</v>
          </cell>
          <cell r="W231">
            <v>0</v>
          </cell>
          <cell r="X231">
            <v>13.958</v>
          </cell>
          <cell r="Y231">
            <v>2.7919999999999998</v>
          </cell>
          <cell r="AA231">
            <v>0</v>
          </cell>
          <cell r="AB231">
            <v>816.25300000000004</v>
          </cell>
          <cell r="AC231">
            <v>816.25300000000004</v>
          </cell>
          <cell r="AD231">
            <v>833.00300000000004</v>
          </cell>
          <cell r="AE231">
            <v>-197.06</v>
          </cell>
          <cell r="AF231">
            <v>167</v>
          </cell>
          <cell r="AG231">
            <v>0</v>
          </cell>
          <cell r="AH231">
            <v>0</v>
          </cell>
          <cell r="AI231">
            <v>0</v>
          </cell>
          <cell r="AJ231">
            <v>30.06</v>
          </cell>
          <cell r="AK231">
            <v>1</v>
          </cell>
          <cell r="AL231" t="str">
            <v>NATIONAL</v>
          </cell>
          <cell r="AM231">
            <v>3500</v>
          </cell>
          <cell r="AN231">
            <v>-2658.0569999999998</v>
          </cell>
          <cell r="AO231">
            <v>0</v>
          </cell>
          <cell r="AP231">
            <v>-2658.0569999999998</v>
          </cell>
          <cell r="AQ231">
            <v>833.00300000000004</v>
          </cell>
          <cell r="AR231">
            <v>-197.06</v>
          </cell>
          <cell r="AS231">
            <v>-3294</v>
          </cell>
          <cell r="AV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2791.53</v>
          </cell>
          <cell r="BP231">
            <v>18</v>
          </cell>
          <cell r="BQ231">
            <v>0</v>
          </cell>
          <cell r="BR231">
            <v>0</v>
          </cell>
          <cell r="BS231">
            <v>0</v>
          </cell>
          <cell r="BT231">
            <v>0.5</v>
          </cell>
          <cell r="BU231">
            <v>0</v>
          </cell>
          <cell r="BV231">
            <v>0</v>
          </cell>
          <cell r="BW231">
            <v>0.1</v>
          </cell>
          <cell r="BX231" t="str">
            <v>Tiny Kingdom</v>
          </cell>
          <cell r="BY231" t="str">
            <v>Girls</v>
          </cell>
          <cell r="BZ231" t="str">
            <v>External</v>
          </cell>
          <cell r="CA231" t="str">
            <v>Lehenga Choli</v>
          </cell>
          <cell r="CB231" t="str">
            <v>ON_HAND</v>
          </cell>
          <cell r="CC231" t="b">
            <v>0</v>
          </cell>
          <cell r="CD231" t="str">
            <v>**********</v>
          </cell>
          <cell r="CE231">
            <v>515661</v>
          </cell>
          <cell r="CF231" t="str">
            <v>27AXUPC8425A1ZH</v>
          </cell>
          <cell r="CH231" t="str">
            <v>29AAECM9636P1ZJ</v>
          </cell>
          <cell r="CI231" t="str">
            <v>Mumbai</v>
          </cell>
          <cell r="CJ231">
            <v>400013</v>
          </cell>
          <cell r="CK231" t="str">
            <v>maharashtra</v>
          </cell>
          <cell r="CL231" t="str">
            <v>MH</v>
          </cell>
          <cell r="CN231">
            <v>0</v>
          </cell>
          <cell r="CO231">
            <v>816.25300000000004</v>
          </cell>
          <cell r="CP231">
            <v>816.25300000000004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2.7915299999999998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E231" t="str">
            <v>d4f09cc3-3f01-47db-ad68-181b55ec7ee4</v>
          </cell>
          <cell r="DF231">
            <v>100083000000</v>
          </cell>
          <cell r="DG231">
            <v>13.958</v>
          </cell>
          <cell r="DH231">
            <v>0</v>
          </cell>
          <cell r="DI231">
            <v>2.7919999999999998</v>
          </cell>
          <cell r="DJ231">
            <v>0</v>
          </cell>
          <cell r="DK231" t="str">
            <v>BRONZE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 t="str">
            <v>NA</v>
          </cell>
          <cell r="DU231" t="str">
            <v>NA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FG231" t="str">
            <v>unsettled</v>
          </cell>
          <cell r="FH231">
            <v>3500</v>
          </cell>
          <cell r="FI231">
            <v>2658.0569999999998</v>
          </cell>
          <cell r="FJ231">
            <v>833.00300000000004</v>
          </cell>
          <cell r="FK231">
            <v>197.06</v>
          </cell>
        </row>
        <row r="232">
          <cell r="A232">
            <v>8673241096</v>
          </cell>
          <cell r="B232">
            <v>10673165555</v>
          </cell>
          <cell r="C232" t="str">
            <v>return_refund</v>
          </cell>
          <cell r="D232">
            <v>45925.702777777777</v>
          </cell>
          <cell r="E232">
            <v>45916.459722222222</v>
          </cell>
          <cell r="F232">
            <v>44557</v>
          </cell>
          <cell r="G232" t="str">
            <v>Myntra Designs Pvt Ltd</v>
          </cell>
          <cell r="H232" t="str">
            <v>TIKICLST103607750</v>
          </cell>
          <cell r="I232" t="str">
            <v>\I2726TK000002943\""</v>
          </cell>
          <cell r="J232">
            <v>8673241096</v>
          </cell>
          <cell r="K232">
            <v>62042300</v>
          </cell>
          <cell r="L232" t="str">
            <v>Apparel</v>
          </cell>
          <cell r="M232" t="str">
            <v>INR</v>
          </cell>
          <cell r="N232">
            <v>3169</v>
          </cell>
          <cell r="O232">
            <v>0</v>
          </cell>
          <cell r="P232">
            <v>3169</v>
          </cell>
          <cell r="Q232">
            <v>4500</v>
          </cell>
          <cell r="R232">
            <v>1125</v>
          </cell>
          <cell r="S232" t="str">
            <v>Intra-State</v>
          </cell>
          <cell r="T232">
            <v>12</v>
          </cell>
          <cell r="U232">
            <v>0</v>
          </cell>
          <cell r="V232">
            <v>169.77</v>
          </cell>
          <cell r="W232">
            <v>169.77</v>
          </cell>
          <cell r="X232">
            <v>14.147</v>
          </cell>
          <cell r="Y232">
            <v>2.8290000000000002</v>
          </cell>
          <cell r="AA232">
            <v>0</v>
          </cell>
          <cell r="AB232">
            <v>822.67200000000003</v>
          </cell>
          <cell r="AC232">
            <v>822.67200000000003</v>
          </cell>
          <cell r="AD232">
            <v>839.64800000000002</v>
          </cell>
          <cell r="AE232">
            <v>-107.38</v>
          </cell>
          <cell r="AF232">
            <v>91</v>
          </cell>
          <cell r="AG232">
            <v>0</v>
          </cell>
          <cell r="AH232">
            <v>0</v>
          </cell>
          <cell r="AI232">
            <v>0</v>
          </cell>
          <cell r="AJ232">
            <v>16.38</v>
          </cell>
          <cell r="AK232">
            <v>1</v>
          </cell>
          <cell r="AL232" t="str">
            <v>LOCAL</v>
          </cell>
          <cell r="AM232">
            <v>3375</v>
          </cell>
          <cell r="AN232">
            <v>-2436.732</v>
          </cell>
          <cell r="AO232">
            <v>0</v>
          </cell>
          <cell r="AP232">
            <v>-2436.732</v>
          </cell>
          <cell r="AQ232">
            <v>839.64800000000002</v>
          </cell>
          <cell r="AR232">
            <v>-107.38</v>
          </cell>
          <cell r="AS232">
            <v>-3169</v>
          </cell>
          <cell r="AV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2829.46</v>
          </cell>
          <cell r="BP232">
            <v>0</v>
          </cell>
          <cell r="BQ232">
            <v>6</v>
          </cell>
          <cell r="BR232">
            <v>6</v>
          </cell>
          <cell r="BS232">
            <v>0</v>
          </cell>
          <cell r="BT232">
            <v>0</v>
          </cell>
          <cell r="BU232">
            <v>0.25</v>
          </cell>
          <cell r="BV232">
            <v>0.25</v>
          </cell>
          <cell r="BW232">
            <v>0.1</v>
          </cell>
          <cell r="BX232" t="str">
            <v>Tiny Kingdom</v>
          </cell>
          <cell r="BY232" t="str">
            <v>Girls</v>
          </cell>
          <cell r="BZ232" t="str">
            <v>External</v>
          </cell>
          <cell r="CA232" t="str">
            <v>Kurta Sets</v>
          </cell>
          <cell r="CB232" t="str">
            <v>ON_HAND</v>
          </cell>
          <cell r="CC232" t="b">
            <v>0</v>
          </cell>
          <cell r="CD232" t="str">
            <v>**********</v>
          </cell>
          <cell r="CE232">
            <v>401107</v>
          </cell>
          <cell r="CF232" t="str">
            <v>27AXUPC8425A1ZH</v>
          </cell>
          <cell r="CH232" t="str">
            <v>29AAECM9636P1ZJ</v>
          </cell>
          <cell r="CI232" t="str">
            <v>Mumbai</v>
          </cell>
          <cell r="CJ232">
            <v>400013</v>
          </cell>
          <cell r="CK232" t="str">
            <v>maharashtra</v>
          </cell>
          <cell r="CL232" t="str">
            <v>MH</v>
          </cell>
          <cell r="CN232">
            <v>0</v>
          </cell>
          <cell r="CO232">
            <v>822.67200000000003</v>
          </cell>
          <cell r="CP232">
            <v>822.67200000000003</v>
          </cell>
          <cell r="CQ232">
            <v>0</v>
          </cell>
          <cell r="CR232">
            <v>0</v>
          </cell>
          <cell r="CS232">
            <v>0</v>
          </cell>
          <cell r="CT232">
            <v>1125</v>
          </cell>
          <cell r="CU232">
            <v>2.8294600000000001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E232" t="str">
            <v>ff87481d-59a5-4baf-a94a-3269c471d9c2</v>
          </cell>
          <cell r="DF232">
            <v>100082000000</v>
          </cell>
          <cell r="DG232">
            <v>14.147</v>
          </cell>
          <cell r="DH232">
            <v>0</v>
          </cell>
          <cell r="DI232">
            <v>2.8290000000000002</v>
          </cell>
          <cell r="DJ232">
            <v>0</v>
          </cell>
          <cell r="DK232" t="str">
            <v>BRONZE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 t="str">
            <v>NA</v>
          </cell>
          <cell r="DU232" t="str">
            <v>NA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FG232" t="str">
            <v>unsettled</v>
          </cell>
          <cell r="FH232">
            <v>3375</v>
          </cell>
          <cell r="FI232">
            <v>2436.732</v>
          </cell>
          <cell r="FJ232">
            <v>839.64800000000002</v>
          </cell>
          <cell r="FK232">
            <v>107.38</v>
          </cell>
        </row>
        <row r="233">
          <cell r="A233">
            <v>8664113232</v>
          </cell>
          <cell r="B233">
            <v>10664037280</v>
          </cell>
          <cell r="C233" t="str">
            <v>return_refund</v>
          </cell>
          <cell r="D233">
            <v>45918.661805555559</v>
          </cell>
          <cell r="E233">
            <v>45913.450694444444</v>
          </cell>
          <cell r="G233" t="str">
            <v>Myntra Designs Pvt Ltd</v>
          </cell>
          <cell r="H233" t="str">
            <v>TIKICLST98837546</v>
          </cell>
          <cell r="I233" t="str">
            <v>\I2726TK000002893\""</v>
          </cell>
          <cell r="J233">
            <v>8664113232</v>
          </cell>
          <cell r="K233">
            <v>62042300</v>
          </cell>
          <cell r="L233" t="str">
            <v>Apparel</v>
          </cell>
          <cell r="M233" t="str">
            <v>INR</v>
          </cell>
          <cell r="N233">
            <v>2406</v>
          </cell>
          <cell r="O233">
            <v>2406</v>
          </cell>
          <cell r="P233">
            <v>0</v>
          </cell>
          <cell r="Q233">
            <v>4750</v>
          </cell>
          <cell r="R233">
            <v>2138</v>
          </cell>
          <cell r="S233" t="str">
            <v>Inter-State</v>
          </cell>
          <cell r="T233">
            <v>12</v>
          </cell>
          <cell r="U233">
            <v>257.79000000000002</v>
          </cell>
          <cell r="V233">
            <v>0</v>
          </cell>
          <cell r="W233">
            <v>0</v>
          </cell>
          <cell r="X233">
            <v>10.741</v>
          </cell>
          <cell r="Y233">
            <v>2.1480000000000001</v>
          </cell>
          <cell r="AA233">
            <v>0</v>
          </cell>
          <cell r="AB233">
            <v>596.20699999999999</v>
          </cell>
          <cell r="AC233">
            <v>596.20699999999999</v>
          </cell>
          <cell r="AD233">
            <v>609.096</v>
          </cell>
          <cell r="AE233">
            <v>-197.06</v>
          </cell>
          <cell r="AF233">
            <v>167</v>
          </cell>
          <cell r="AG233">
            <v>0</v>
          </cell>
          <cell r="AH233">
            <v>0</v>
          </cell>
          <cell r="AI233">
            <v>0</v>
          </cell>
          <cell r="AJ233">
            <v>30.06</v>
          </cell>
          <cell r="AK233">
            <v>1</v>
          </cell>
          <cell r="AL233" t="str">
            <v>NATIONAL</v>
          </cell>
          <cell r="AM233">
            <v>2612</v>
          </cell>
          <cell r="AN233">
            <v>-1993.9639999999999</v>
          </cell>
          <cell r="AO233">
            <v>0</v>
          </cell>
          <cell r="AP233">
            <v>-1993.9639999999999</v>
          </cell>
          <cell r="AS233">
            <v>0</v>
          </cell>
          <cell r="AT233">
            <v>609.096</v>
          </cell>
          <cell r="AU233">
            <v>-197.06</v>
          </cell>
          <cell r="AV233">
            <v>-2406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150</v>
          </cell>
          <cell r="BN233">
            <v>0</v>
          </cell>
          <cell r="BO233">
            <v>2148.21</v>
          </cell>
          <cell r="BP233">
            <v>12</v>
          </cell>
          <cell r="BQ233">
            <v>0</v>
          </cell>
          <cell r="BR233">
            <v>0</v>
          </cell>
          <cell r="BS233">
            <v>0</v>
          </cell>
          <cell r="BT233">
            <v>0.5</v>
          </cell>
          <cell r="BU233">
            <v>0</v>
          </cell>
          <cell r="BV233">
            <v>0</v>
          </cell>
          <cell r="BW233">
            <v>0.1</v>
          </cell>
          <cell r="BX233" t="str">
            <v>Tiny Kingdom</v>
          </cell>
          <cell r="BY233" t="str">
            <v>Girls</v>
          </cell>
          <cell r="BZ233" t="str">
            <v>External</v>
          </cell>
          <cell r="CA233" t="str">
            <v>Clothing Set</v>
          </cell>
          <cell r="CB233" t="str">
            <v>ON_HAND</v>
          </cell>
          <cell r="CC233" t="b">
            <v>0</v>
          </cell>
          <cell r="CD233" t="str">
            <v>**********</v>
          </cell>
          <cell r="CE233">
            <v>600100</v>
          </cell>
          <cell r="CF233" t="str">
            <v>27AXUPC8425A1ZH</v>
          </cell>
          <cell r="CH233" t="str">
            <v>29AAECM9636P1ZJ</v>
          </cell>
          <cell r="CI233" t="str">
            <v>Mumbai</v>
          </cell>
          <cell r="CJ233">
            <v>400013</v>
          </cell>
          <cell r="CK233" t="str">
            <v>maharashtra</v>
          </cell>
          <cell r="CL233" t="str">
            <v>MH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W233">
            <v>0</v>
          </cell>
          <cell r="CX233">
            <v>596.20699999999999</v>
          </cell>
          <cell r="CY233">
            <v>596.20699999999999</v>
          </cell>
          <cell r="CZ233">
            <v>0</v>
          </cell>
          <cell r="DA233">
            <v>0</v>
          </cell>
          <cell r="DB233">
            <v>0</v>
          </cell>
          <cell r="DC233">
            <v>2138</v>
          </cell>
          <cell r="DD233">
            <v>2.1482100000000002</v>
          </cell>
          <cell r="DE233" t="str">
            <v>1fb62774-d350-4ded-bc00-c667d5d07d7e</v>
          </cell>
          <cell r="DF233">
            <v>100079000000</v>
          </cell>
          <cell r="DG233">
            <v>0</v>
          </cell>
          <cell r="DH233">
            <v>10.741</v>
          </cell>
          <cell r="DI233">
            <v>0</v>
          </cell>
          <cell r="DJ233">
            <v>2.1480000000000001</v>
          </cell>
          <cell r="DK233" t="str">
            <v>BRONZE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 t="str">
            <v>NA</v>
          </cell>
          <cell r="DU233" t="str">
            <v>NA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FG233" t="str">
            <v>unsettled</v>
          </cell>
          <cell r="FH233">
            <v>2612</v>
          </cell>
          <cell r="FI233">
            <v>1993.9639999999999</v>
          </cell>
          <cell r="FJ233">
            <v>609.096</v>
          </cell>
          <cell r="FK233">
            <v>197.06</v>
          </cell>
        </row>
        <row r="234">
          <cell r="A234">
            <v>8690365732</v>
          </cell>
          <cell r="B234">
            <v>10690293765</v>
          </cell>
          <cell r="C234" t="str">
            <v>return_refund</v>
          </cell>
          <cell r="D234">
            <v>45927.566666666666</v>
          </cell>
          <cell r="E234">
            <v>45922.443055555559</v>
          </cell>
          <cell r="F234">
            <v>44560</v>
          </cell>
          <cell r="G234" t="str">
            <v>Myntra Designs Pvt Ltd</v>
          </cell>
          <cell r="H234" t="str">
            <v>TIKILHNC106661946</v>
          </cell>
          <cell r="I234" t="str">
            <v>\I2726TK000003053\""</v>
          </cell>
          <cell r="J234">
            <v>8690365732</v>
          </cell>
          <cell r="K234">
            <v>62042300</v>
          </cell>
          <cell r="L234" t="str">
            <v>Apparel</v>
          </cell>
          <cell r="M234" t="str">
            <v>INR</v>
          </cell>
          <cell r="N234">
            <v>4544</v>
          </cell>
          <cell r="O234">
            <v>0</v>
          </cell>
          <cell r="P234">
            <v>4543.99</v>
          </cell>
          <cell r="Q234">
            <v>5500</v>
          </cell>
          <cell r="R234">
            <v>750</v>
          </cell>
          <cell r="S234" t="str">
            <v>Inter-State</v>
          </cell>
          <cell r="T234">
            <v>18</v>
          </cell>
          <cell r="U234">
            <v>693.15</v>
          </cell>
          <cell r="V234">
            <v>0</v>
          </cell>
          <cell r="W234">
            <v>0</v>
          </cell>
          <cell r="X234">
            <v>19.254000000000001</v>
          </cell>
          <cell r="Y234">
            <v>3.851</v>
          </cell>
          <cell r="AA234">
            <v>0</v>
          </cell>
          <cell r="AB234">
            <v>1126.001</v>
          </cell>
          <cell r="AC234">
            <v>1126.001</v>
          </cell>
          <cell r="AD234">
            <v>1149.106</v>
          </cell>
          <cell r="AE234">
            <v>-197.06</v>
          </cell>
          <cell r="AF234">
            <v>167</v>
          </cell>
          <cell r="AG234">
            <v>0</v>
          </cell>
          <cell r="AH234">
            <v>0</v>
          </cell>
          <cell r="AI234">
            <v>0</v>
          </cell>
          <cell r="AJ234">
            <v>30.06</v>
          </cell>
          <cell r="AK234">
            <v>1</v>
          </cell>
          <cell r="AL234" t="str">
            <v>NATIONAL</v>
          </cell>
          <cell r="AM234">
            <v>4750</v>
          </cell>
          <cell r="AN234">
            <v>-3591.944</v>
          </cell>
          <cell r="AO234">
            <v>0</v>
          </cell>
          <cell r="AP234">
            <v>-3591.944</v>
          </cell>
          <cell r="AQ234">
            <v>1149.106</v>
          </cell>
          <cell r="AR234">
            <v>-197.06</v>
          </cell>
          <cell r="AS234">
            <v>-4543.99</v>
          </cell>
          <cell r="AV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3850.85</v>
          </cell>
          <cell r="BP234">
            <v>18</v>
          </cell>
          <cell r="BQ234">
            <v>0</v>
          </cell>
          <cell r="BR234">
            <v>0</v>
          </cell>
          <cell r="BS234">
            <v>0</v>
          </cell>
          <cell r="BT234">
            <v>0.5</v>
          </cell>
          <cell r="BU234">
            <v>0</v>
          </cell>
          <cell r="BV234">
            <v>0</v>
          </cell>
          <cell r="BW234">
            <v>0.1</v>
          </cell>
          <cell r="BX234" t="str">
            <v>Tiny Kingdom</v>
          </cell>
          <cell r="BY234" t="str">
            <v>Girls</v>
          </cell>
          <cell r="BZ234" t="str">
            <v>External</v>
          </cell>
          <cell r="CA234" t="str">
            <v>Lehenga Choli</v>
          </cell>
          <cell r="CB234" t="str">
            <v>ON_HAND</v>
          </cell>
          <cell r="CC234" t="b">
            <v>0</v>
          </cell>
          <cell r="CD234" t="str">
            <v>**********</v>
          </cell>
          <cell r="CE234">
            <v>227202</v>
          </cell>
          <cell r="CF234" t="str">
            <v>27AXUPC8425A1ZH</v>
          </cell>
          <cell r="CH234" t="str">
            <v>29AAECM9636P1ZJ</v>
          </cell>
          <cell r="CI234" t="str">
            <v>Mumbai</v>
          </cell>
          <cell r="CJ234">
            <v>400013</v>
          </cell>
          <cell r="CK234" t="str">
            <v>maharashtra</v>
          </cell>
          <cell r="CL234" t="str">
            <v>MH</v>
          </cell>
          <cell r="CN234">
            <v>0</v>
          </cell>
          <cell r="CO234">
            <v>1126.001</v>
          </cell>
          <cell r="CP234">
            <v>1126.001</v>
          </cell>
          <cell r="CQ234">
            <v>0</v>
          </cell>
          <cell r="CR234">
            <v>0</v>
          </cell>
          <cell r="CS234">
            <v>0</v>
          </cell>
          <cell r="CT234">
            <v>750</v>
          </cell>
          <cell r="CU234">
            <v>3.8508499999999999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E234" t="str">
            <v>f35ee7d8-0d4e-4f6a-8214-d6fe3a28b89f</v>
          </cell>
          <cell r="DF234">
            <v>100083000000</v>
          </cell>
          <cell r="DG234">
            <v>19.254000000000001</v>
          </cell>
          <cell r="DH234">
            <v>0</v>
          </cell>
          <cell r="DI234">
            <v>3.851</v>
          </cell>
          <cell r="DJ234">
            <v>0</v>
          </cell>
          <cell r="DK234" t="str">
            <v>BRONZE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 t="str">
            <v>NA</v>
          </cell>
          <cell r="DU234" t="str">
            <v>NA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FG234" t="str">
            <v>unsettled</v>
          </cell>
          <cell r="FH234">
            <v>4750</v>
          </cell>
          <cell r="FI234">
            <v>3591.944</v>
          </cell>
          <cell r="FJ234">
            <v>1149.106</v>
          </cell>
          <cell r="FK234">
            <v>197.06</v>
          </cell>
        </row>
        <row r="235">
          <cell r="A235">
            <v>8666896038</v>
          </cell>
          <cell r="B235">
            <v>10666820130</v>
          </cell>
          <cell r="C235" t="str">
            <v>return_refund</v>
          </cell>
          <cell r="D235">
            <v>45924.609722222223</v>
          </cell>
          <cell r="E235">
            <v>45913.771527777775</v>
          </cell>
          <cell r="G235" t="str">
            <v>Myntra Designs Pvt Ltd</v>
          </cell>
          <cell r="H235" t="str">
            <v>TIKICLST98837569</v>
          </cell>
          <cell r="I235" t="str">
            <v>\I2726TK000002903\""</v>
          </cell>
          <cell r="J235">
            <v>8666896038</v>
          </cell>
          <cell r="K235">
            <v>62042300</v>
          </cell>
          <cell r="L235" t="str">
            <v>Apparel</v>
          </cell>
          <cell r="M235" t="str">
            <v>INR</v>
          </cell>
          <cell r="N235">
            <v>1204</v>
          </cell>
          <cell r="O235">
            <v>1204</v>
          </cell>
          <cell r="P235">
            <v>0</v>
          </cell>
          <cell r="Q235">
            <v>2750</v>
          </cell>
          <cell r="R235">
            <v>1375</v>
          </cell>
          <cell r="S235" t="str">
            <v>Inter-State</v>
          </cell>
          <cell r="T235">
            <v>12</v>
          </cell>
          <cell r="U235">
            <v>129</v>
          </cell>
          <cell r="V235">
            <v>0</v>
          </cell>
          <cell r="W235">
            <v>0</v>
          </cell>
          <cell r="X235">
            <v>5.375</v>
          </cell>
          <cell r="Y235">
            <v>1.075</v>
          </cell>
          <cell r="AA235">
            <v>0</v>
          </cell>
          <cell r="AB235">
            <v>312.55799999999999</v>
          </cell>
          <cell r="AC235">
            <v>312.55799999999999</v>
          </cell>
          <cell r="AD235">
            <v>319.00799999999998</v>
          </cell>
          <cell r="AE235">
            <v>-197.06</v>
          </cell>
          <cell r="AF235">
            <v>167</v>
          </cell>
          <cell r="AG235">
            <v>0</v>
          </cell>
          <cell r="AH235">
            <v>0</v>
          </cell>
          <cell r="AI235">
            <v>0</v>
          </cell>
          <cell r="AJ235">
            <v>30.06</v>
          </cell>
          <cell r="AK235">
            <v>1</v>
          </cell>
          <cell r="AL235" t="str">
            <v>NATIONAL</v>
          </cell>
          <cell r="AM235">
            <v>1375</v>
          </cell>
          <cell r="AN235">
            <v>-1082.0519999999999</v>
          </cell>
          <cell r="AO235">
            <v>0</v>
          </cell>
          <cell r="AP235">
            <v>-1082.0519999999999</v>
          </cell>
          <cell r="AS235">
            <v>0</v>
          </cell>
          <cell r="AT235">
            <v>319.00799999999998</v>
          </cell>
          <cell r="AU235">
            <v>-197.06</v>
          </cell>
          <cell r="AV235">
            <v>-1204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1075</v>
          </cell>
          <cell r="BP235">
            <v>12</v>
          </cell>
          <cell r="BQ235">
            <v>0</v>
          </cell>
          <cell r="BR235">
            <v>0</v>
          </cell>
          <cell r="BS235">
            <v>0</v>
          </cell>
          <cell r="BT235">
            <v>0.5</v>
          </cell>
          <cell r="BU235">
            <v>0</v>
          </cell>
          <cell r="BV235">
            <v>0</v>
          </cell>
          <cell r="BW235">
            <v>0.1</v>
          </cell>
          <cell r="BX235" t="str">
            <v>Tiny Kingdom</v>
          </cell>
          <cell r="BY235" t="str">
            <v>Girls</v>
          </cell>
          <cell r="BZ235" t="str">
            <v>External</v>
          </cell>
          <cell r="CA235" t="str">
            <v>Clothing Set</v>
          </cell>
          <cell r="CB235" t="str">
            <v>ON_HAND</v>
          </cell>
          <cell r="CC235" t="b">
            <v>0</v>
          </cell>
          <cell r="CD235" t="str">
            <v>**********</v>
          </cell>
          <cell r="CE235">
            <v>700091</v>
          </cell>
          <cell r="CF235" t="str">
            <v>27AXUPC8425A1ZH</v>
          </cell>
          <cell r="CH235" t="str">
            <v>29AAECM9636P1ZJ</v>
          </cell>
          <cell r="CI235" t="str">
            <v>Mumbai</v>
          </cell>
          <cell r="CJ235">
            <v>400013</v>
          </cell>
          <cell r="CK235" t="str">
            <v>maharashtra</v>
          </cell>
          <cell r="CL235" t="str">
            <v>MH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W235">
            <v>0</v>
          </cell>
          <cell r="CX235">
            <v>312.55799999999999</v>
          </cell>
          <cell r="CY235">
            <v>312.55799999999999</v>
          </cell>
          <cell r="CZ235">
            <v>0</v>
          </cell>
          <cell r="DA235">
            <v>0</v>
          </cell>
          <cell r="DB235">
            <v>0</v>
          </cell>
          <cell r="DC235">
            <v>1375</v>
          </cell>
          <cell r="DD235">
            <v>1.075</v>
          </cell>
          <cell r="DE235" t="str">
            <v>9fedc525-7d34-4006-9e91-c878dcba4d98</v>
          </cell>
          <cell r="DF235">
            <v>100080000000</v>
          </cell>
          <cell r="DG235">
            <v>0</v>
          </cell>
          <cell r="DH235">
            <v>5.375</v>
          </cell>
          <cell r="DI235">
            <v>0</v>
          </cell>
          <cell r="DJ235">
            <v>1.075</v>
          </cell>
          <cell r="DK235" t="str">
            <v>BRONZE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 t="str">
            <v>NA</v>
          </cell>
          <cell r="DU235" t="str">
            <v>NA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FG235" t="str">
            <v>unsettled</v>
          </cell>
          <cell r="FH235">
            <v>1375</v>
          </cell>
          <cell r="FI235">
            <v>1082.0519999999999</v>
          </cell>
          <cell r="FJ235">
            <v>319.00799999999998</v>
          </cell>
          <cell r="FK235">
            <v>197.06</v>
          </cell>
        </row>
        <row r="236">
          <cell r="A236">
            <v>8673164938</v>
          </cell>
          <cell r="B236">
            <v>10673089378</v>
          </cell>
          <cell r="C236" t="str">
            <v>return_refund</v>
          </cell>
          <cell r="D236">
            <v>45921.311805555553</v>
          </cell>
          <cell r="E236">
            <v>45916.459722222222</v>
          </cell>
          <cell r="F236">
            <v>44554</v>
          </cell>
          <cell r="G236" t="str">
            <v>Myntra Designs Pvt Ltd</v>
          </cell>
          <cell r="H236" t="str">
            <v>TIKICLST103607743</v>
          </cell>
          <cell r="I236" t="str">
            <v>\I2726TK000002942\""</v>
          </cell>
          <cell r="J236">
            <v>8673164938</v>
          </cell>
          <cell r="K236">
            <v>62042300</v>
          </cell>
          <cell r="L236" t="str">
            <v>Apparel</v>
          </cell>
          <cell r="M236" t="str">
            <v>INR</v>
          </cell>
          <cell r="N236">
            <v>3544</v>
          </cell>
          <cell r="O236">
            <v>0</v>
          </cell>
          <cell r="P236">
            <v>3543.99</v>
          </cell>
          <cell r="Q236">
            <v>5000</v>
          </cell>
          <cell r="R236">
            <v>1250</v>
          </cell>
          <cell r="S236" t="str">
            <v>Inter-State</v>
          </cell>
          <cell r="T236">
            <v>12</v>
          </cell>
          <cell r="U236">
            <v>379.71</v>
          </cell>
          <cell r="V236">
            <v>0</v>
          </cell>
          <cell r="W236">
            <v>0</v>
          </cell>
          <cell r="X236">
            <v>15.821</v>
          </cell>
          <cell r="Y236">
            <v>3.1640000000000001</v>
          </cell>
          <cell r="AA236">
            <v>0</v>
          </cell>
          <cell r="AB236">
            <v>920.02</v>
          </cell>
          <cell r="AC236">
            <v>920.02</v>
          </cell>
          <cell r="AD236">
            <v>939.005</v>
          </cell>
          <cell r="AE236">
            <v>-197.06</v>
          </cell>
          <cell r="AF236">
            <v>167</v>
          </cell>
          <cell r="AG236">
            <v>0</v>
          </cell>
          <cell r="AH236">
            <v>0</v>
          </cell>
          <cell r="AI236">
            <v>0</v>
          </cell>
          <cell r="AJ236">
            <v>30.06</v>
          </cell>
          <cell r="AK236">
            <v>1</v>
          </cell>
          <cell r="AL236" t="str">
            <v>NATIONAL</v>
          </cell>
          <cell r="AM236">
            <v>3750</v>
          </cell>
          <cell r="AN236">
            <v>-2802.0450000000001</v>
          </cell>
          <cell r="AO236">
            <v>0</v>
          </cell>
          <cell r="AP236">
            <v>-2802.0450000000001</v>
          </cell>
          <cell r="AQ236">
            <v>939.005</v>
          </cell>
          <cell r="AR236">
            <v>-197.06</v>
          </cell>
          <cell r="AS236">
            <v>-3543.99</v>
          </cell>
          <cell r="AV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3164.29</v>
          </cell>
          <cell r="BP236">
            <v>12</v>
          </cell>
          <cell r="BQ236">
            <v>0</v>
          </cell>
          <cell r="BR236">
            <v>0</v>
          </cell>
          <cell r="BS236">
            <v>0</v>
          </cell>
          <cell r="BT236">
            <v>0.5</v>
          </cell>
          <cell r="BU236">
            <v>0</v>
          </cell>
          <cell r="BV236">
            <v>0</v>
          </cell>
          <cell r="BW236">
            <v>0.1</v>
          </cell>
          <cell r="BX236" t="str">
            <v>Tiny Kingdom</v>
          </cell>
          <cell r="BY236" t="str">
            <v>Girls</v>
          </cell>
          <cell r="BZ236" t="str">
            <v>External</v>
          </cell>
          <cell r="CA236" t="str">
            <v>Kurta Sets</v>
          </cell>
          <cell r="CB236" t="str">
            <v>ON_HAND</v>
          </cell>
          <cell r="CC236" t="b">
            <v>0</v>
          </cell>
          <cell r="CD236" t="str">
            <v>**********</v>
          </cell>
          <cell r="CE236">
            <v>110063</v>
          </cell>
          <cell r="CF236" t="str">
            <v>27AXUPC8425A1ZH</v>
          </cell>
          <cell r="CH236" t="str">
            <v>29AAECM9636P1ZJ</v>
          </cell>
          <cell r="CI236" t="str">
            <v>Mumbai</v>
          </cell>
          <cell r="CJ236">
            <v>400013</v>
          </cell>
          <cell r="CK236" t="str">
            <v>maharashtra</v>
          </cell>
          <cell r="CL236" t="str">
            <v>MH</v>
          </cell>
          <cell r="CN236">
            <v>0</v>
          </cell>
          <cell r="CO236">
            <v>920.02</v>
          </cell>
          <cell r="CP236">
            <v>920.02</v>
          </cell>
          <cell r="CQ236">
            <v>0</v>
          </cell>
          <cell r="CR236">
            <v>0</v>
          </cell>
          <cell r="CS236">
            <v>0</v>
          </cell>
          <cell r="CT236">
            <v>1250</v>
          </cell>
          <cell r="CU236">
            <v>3.1642899999999998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E236" t="str">
            <v>3abc9289-6bdd-4333-8b59-3afe33504289</v>
          </cell>
          <cell r="DF236">
            <v>100080000000</v>
          </cell>
          <cell r="DG236">
            <v>15.821</v>
          </cell>
          <cell r="DH236">
            <v>0</v>
          </cell>
          <cell r="DI236">
            <v>3.1640000000000001</v>
          </cell>
          <cell r="DJ236">
            <v>0</v>
          </cell>
          <cell r="DK236" t="str">
            <v>BRONZE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 t="str">
            <v>NA</v>
          </cell>
          <cell r="DU236" t="str">
            <v>NA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FG236" t="str">
            <v>unsettled</v>
          </cell>
          <cell r="FH236">
            <v>3750</v>
          </cell>
          <cell r="FI236">
            <v>2802.0450000000001</v>
          </cell>
          <cell r="FJ236">
            <v>939.005</v>
          </cell>
          <cell r="FK236">
            <v>197.06</v>
          </cell>
        </row>
        <row r="237">
          <cell r="A237">
            <v>8690920832</v>
          </cell>
          <cell r="B237">
            <v>10690848980</v>
          </cell>
          <cell r="C237" t="str">
            <v>return_refund</v>
          </cell>
          <cell r="D237">
            <v>45927.57916666667</v>
          </cell>
          <cell r="E237">
            <v>45922.443055555559</v>
          </cell>
          <cell r="F237">
            <v>44567</v>
          </cell>
          <cell r="G237" t="str">
            <v>Myntra Designs Pvt Ltd</v>
          </cell>
          <cell r="H237" t="str">
            <v>TIKICLST112288676</v>
          </cell>
          <cell r="I237" t="str">
            <v>\I2726TK000003056\""</v>
          </cell>
          <cell r="J237">
            <v>8690920832</v>
          </cell>
          <cell r="K237">
            <v>62042300</v>
          </cell>
          <cell r="L237" t="str">
            <v>Apparel</v>
          </cell>
          <cell r="M237" t="str">
            <v>INR</v>
          </cell>
          <cell r="N237">
            <v>3789</v>
          </cell>
          <cell r="O237">
            <v>3789</v>
          </cell>
          <cell r="P237">
            <v>0</v>
          </cell>
          <cell r="Q237">
            <v>4500</v>
          </cell>
          <cell r="R237">
            <v>505</v>
          </cell>
          <cell r="S237" t="str">
            <v>Inter-State</v>
          </cell>
          <cell r="T237">
            <v>18</v>
          </cell>
          <cell r="U237">
            <v>577.98</v>
          </cell>
          <cell r="V237">
            <v>0</v>
          </cell>
          <cell r="W237">
            <v>0</v>
          </cell>
          <cell r="X237">
            <v>16.055</v>
          </cell>
          <cell r="Y237">
            <v>3.2109999999999999</v>
          </cell>
          <cell r="AA237">
            <v>0</v>
          </cell>
          <cell r="AB237">
            <v>938.91399999999999</v>
          </cell>
          <cell r="AC237">
            <v>938.91399999999999</v>
          </cell>
          <cell r="AD237">
            <v>958.18</v>
          </cell>
          <cell r="AE237">
            <v>-197.06</v>
          </cell>
          <cell r="AF237">
            <v>167</v>
          </cell>
          <cell r="AG237">
            <v>0</v>
          </cell>
          <cell r="AH237">
            <v>0</v>
          </cell>
          <cell r="AI237">
            <v>0</v>
          </cell>
          <cell r="AJ237">
            <v>30.06</v>
          </cell>
          <cell r="AK237">
            <v>1</v>
          </cell>
          <cell r="AL237" t="str">
            <v>NATIONAL</v>
          </cell>
          <cell r="AM237">
            <v>3995</v>
          </cell>
          <cell r="AN237">
            <v>-3027.88</v>
          </cell>
          <cell r="AO237">
            <v>0</v>
          </cell>
          <cell r="AP237">
            <v>-3027.88</v>
          </cell>
          <cell r="AS237">
            <v>0</v>
          </cell>
          <cell r="AT237">
            <v>958.18</v>
          </cell>
          <cell r="AU237">
            <v>-197.06</v>
          </cell>
          <cell r="AV237">
            <v>-3789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3211.02</v>
          </cell>
          <cell r="BP237">
            <v>18</v>
          </cell>
          <cell r="BQ237">
            <v>0</v>
          </cell>
          <cell r="BR237">
            <v>0</v>
          </cell>
          <cell r="BS237">
            <v>0</v>
          </cell>
          <cell r="BT237">
            <v>0.5</v>
          </cell>
          <cell r="BU237">
            <v>0</v>
          </cell>
          <cell r="BV237">
            <v>0</v>
          </cell>
          <cell r="BW237">
            <v>0.1</v>
          </cell>
          <cell r="BX237" t="str">
            <v>Tiny Kingdom</v>
          </cell>
          <cell r="BY237" t="str">
            <v>Girls</v>
          </cell>
          <cell r="BZ237" t="str">
            <v>External</v>
          </cell>
          <cell r="CA237" t="str">
            <v>Clothing Set</v>
          </cell>
          <cell r="CB237" t="str">
            <v>ON_HAND</v>
          </cell>
          <cell r="CC237" t="b">
            <v>0</v>
          </cell>
          <cell r="CD237" t="str">
            <v>**********</v>
          </cell>
          <cell r="CE237">
            <v>152026</v>
          </cell>
          <cell r="CF237" t="str">
            <v>27AXUPC8425A1ZH</v>
          </cell>
          <cell r="CH237" t="str">
            <v>29AAECM9636P1ZJ</v>
          </cell>
          <cell r="CI237" t="str">
            <v>Mumbai</v>
          </cell>
          <cell r="CJ237">
            <v>400013</v>
          </cell>
          <cell r="CK237" t="str">
            <v>maharashtra</v>
          </cell>
          <cell r="CL237" t="str">
            <v>MH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W237">
            <v>0</v>
          </cell>
          <cell r="CX237">
            <v>938.91399999999999</v>
          </cell>
          <cell r="CY237">
            <v>938.91399999999999</v>
          </cell>
          <cell r="CZ237">
            <v>0</v>
          </cell>
          <cell r="DA237">
            <v>0</v>
          </cell>
          <cell r="DB237">
            <v>0</v>
          </cell>
          <cell r="DC237">
            <v>505</v>
          </cell>
          <cell r="DD237">
            <v>3.21102</v>
          </cell>
          <cell r="DE237" t="str">
            <v>9a12b3df-ca62-4152-82d6-3ef26a5082b4</v>
          </cell>
          <cell r="DF237">
            <v>100083000000</v>
          </cell>
          <cell r="DG237">
            <v>0</v>
          </cell>
          <cell r="DH237">
            <v>16.055</v>
          </cell>
          <cell r="DI237">
            <v>0</v>
          </cell>
          <cell r="DJ237">
            <v>3.2109999999999999</v>
          </cell>
          <cell r="DK237" t="str">
            <v>BRONZE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 t="str">
            <v>NA</v>
          </cell>
          <cell r="DU237" t="str">
            <v>NA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FG237" t="str">
            <v>unsettled</v>
          </cell>
          <cell r="FH237">
            <v>3995</v>
          </cell>
          <cell r="FI237">
            <v>3027.88</v>
          </cell>
          <cell r="FJ237">
            <v>958.18</v>
          </cell>
          <cell r="FK237">
            <v>197.06</v>
          </cell>
        </row>
        <row r="238">
          <cell r="A238">
            <v>7080578061</v>
          </cell>
          <cell r="C238" t="str">
            <v>return_refund</v>
          </cell>
          <cell r="D238">
            <v>44855.647916666669</v>
          </cell>
          <cell r="I238" t="str">
            <v>\null\""</v>
          </cell>
          <cell r="M238" t="str">
            <v>INR</v>
          </cell>
          <cell r="X238">
            <v>33.213999999999999</v>
          </cell>
          <cell r="Y238">
            <v>33.213999999999999</v>
          </cell>
          <cell r="Z238">
            <v>22.42</v>
          </cell>
          <cell r="AA238">
            <v>0</v>
          </cell>
          <cell r="AB238">
            <v>834.024</v>
          </cell>
          <cell r="AC238">
            <v>834.024</v>
          </cell>
          <cell r="AD238">
            <v>900.452</v>
          </cell>
          <cell r="AE238">
            <v>-53.1</v>
          </cell>
          <cell r="AF238">
            <v>75</v>
          </cell>
          <cell r="AG238">
            <v>30</v>
          </cell>
          <cell r="AH238">
            <v>0</v>
          </cell>
          <cell r="AI238">
            <v>0</v>
          </cell>
          <cell r="AJ238">
            <v>8.1</v>
          </cell>
          <cell r="AK238">
            <v>1</v>
          </cell>
          <cell r="AL238" t="str">
            <v>NATIONAL</v>
          </cell>
          <cell r="AM238">
            <v>3720</v>
          </cell>
          <cell r="AN238">
            <v>-2872.6480000000001</v>
          </cell>
          <cell r="AO238">
            <v>0</v>
          </cell>
          <cell r="AP238">
            <v>-2872.6480000000001</v>
          </cell>
          <cell r="AQ238">
            <v>935.85199999999998</v>
          </cell>
          <cell r="AR238">
            <v>-88.5</v>
          </cell>
          <cell r="AS238">
            <v>-3720</v>
          </cell>
          <cell r="AV238">
            <v>0</v>
          </cell>
          <cell r="BW238">
            <v>1</v>
          </cell>
          <cell r="CD238" t="str">
            <v>**********</v>
          </cell>
          <cell r="CF238" t="str">
            <v>27AXUPC8425A1ZH</v>
          </cell>
          <cell r="CH238" t="str">
            <v>29AAECM9636P1ZJ</v>
          </cell>
          <cell r="CM238">
            <v>22.42</v>
          </cell>
          <cell r="CN238">
            <v>0</v>
          </cell>
          <cell r="CO238">
            <v>834.024</v>
          </cell>
          <cell r="CP238">
            <v>834.024</v>
          </cell>
          <cell r="CQ238">
            <v>0</v>
          </cell>
          <cell r="CR238">
            <v>0</v>
          </cell>
          <cell r="CS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G238">
            <v>33.213999999999999</v>
          </cell>
          <cell r="DH238">
            <v>0</v>
          </cell>
          <cell r="DI238">
            <v>33.213999999999999</v>
          </cell>
          <cell r="DJ238">
            <v>0</v>
          </cell>
          <cell r="DK238" t="str">
            <v>BRONZE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 t="str">
            <v>NA</v>
          </cell>
          <cell r="DU238" t="str">
            <v>NA</v>
          </cell>
          <cell r="DV238">
            <v>0</v>
          </cell>
          <cell r="DW238">
            <v>0</v>
          </cell>
          <cell r="DY238">
            <v>0</v>
          </cell>
          <cell r="FG238" t="str">
            <v>unsettled</v>
          </cell>
          <cell r="FH238">
            <v>3720</v>
          </cell>
          <cell r="FI238">
            <v>2872.6480000000001</v>
          </cell>
          <cell r="FJ238">
            <v>935.85199999999998</v>
          </cell>
          <cell r="FK238">
            <v>88.5</v>
          </cell>
        </row>
        <row r="239">
          <cell r="A239">
            <v>8661379163</v>
          </cell>
          <cell r="B239">
            <v>10661303241</v>
          </cell>
          <cell r="C239" t="str">
            <v>return_refund</v>
          </cell>
          <cell r="D239">
            <v>45918.627083333333</v>
          </cell>
          <cell r="E239">
            <v>45911.783333333333</v>
          </cell>
          <cell r="G239" t="str">
            <v>Myntra Designs Pvt Ltd</v>
          </cell>
          <cell r="H239" t="str">
            <v>TIKICLST98837569</v>
          </cell>
          <cell r="I239" t="str">
            <v>\I2726TK000002859\""</v>
          </cell>
          <cell r="J239">
            <v>8661379163</v>
          </cell>
          <cell r="K239">
            <v>62042300</v>
          </cell>
          <cell r="L239" t="str">
            <v>Apparel</v>
          </cell>
          <cell r="M239" t="str">
            <v>INR</v>
          </cell>
          <cell r="N239">
            <v>1204</v>
          </cell>
          <cell r="O239">
            <v>342.608</v>
          </cell>
          <cell r="P239">
            <v>861.39200000000005</v>
          </cell>
          <cell r="Q239">
            <v>2750</v>
          </cell>
          <cell r="R239">
            <v>1375</v>
          </cell>
          <cell r="S239" t="str">
            <v>Inter-State</v>
          </cell>
          <cell r="T239">
            <v>12</v>
          </cell>
          <cell r="U239">
            <v>129</v>
          </cell>
          <cell r="V239">
            <v>0</v>
          </cell>
          <cell r="W239">
            <v>0</v>
          </cell>
          <cell r="X239">
            <v>5.375</v>
          </cell>
          <cell r="Y239">
            <v>1.075</v>
          </cell>
          <cell r="AA239">
            <v>0</v>
          </cell>
          <cell r="AB239">
            <v>312.55799999999999</v>
          </cell>
          <cell r="AC239">
            <v>312.55799999999999</v>
          </cell>
          <cell r="AD239">
            <v>319.00799999999998</v>
          </cell>
          <cell r="AE239">
            <v>-197.06</v>
          </cell>
          <cell r="AF239">
            <v>167</v>
          </cell>
          <cell r="AG239">
            <v>0</v>
          </cell>
          <cell r="AH239">
            <v>0</v>
          </cell>
          <cell r="AI239">
            <v>0</v>
          </cell>
          <cell r="AJ239">
            <v>30.06</v>
          </cell>
          <cell r="AK239">
            <v>1</v>
          </cell>
          <cell r="AL239" t="str">
            <v>NATIONAL</v>
          </cell>
          <cell r="AM239">
            <v>1375</v>
          </cell>
          <cell r="AN239">
            <v>-1082.0519999999999</v>
          </cell>
          <cell r="AO239">
            <v>0</v>
          </cell>
          <cell r="AP239">
            <v>-1082.0519999999999</v>
          </cell>
          <cell r="AQ239">
            <v>228.232</v>
          </cell>
          <cell r="AR239">
            <v>-140.98522</v>
          </cell>
          <cell r="AS239">
            <v>-861.39200000000005</v>
          </cell>
          <cell r="AT239">
            <v>90.775999999999996</v>
          </cell>
          <cell r="AU239">
            <v>-56.074779999999997</v>
          </cell>
          <cell r="AV239">
            <v>-342.608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300</v>
          </cell>
          <cell r="BN239">
            <v>0</v>
          </cell>
          <cell r="BO239">
            <v>1075</v>
          </cell>
          <cell r="BP239">
            <v>12</v>
          </cell>
          <cell r="BQ239">
            <v>0</v>
          </cell>
          <cell r="BR239">
            <v>0</v>
          </cell>
          <cell r="BS239">
            <v>0</v>
          </cell>
          <cell r="BT239">
            <v>0.5</v>
          </cell>
          <cell r="BU239">
            <v>0</v>
          </cell>
          <cell r="BV239">
            <v>0</v>
          </cell>
          <cell r="BW239">
            <v>0.1</v>
          </cell>
          <cell r="BX239" t="str">
            <v>Tiny Kingdom</v>
          </cell>
          <cell r="BY239" t="str">
            <v>Girls</v>
          </cell>
          <cell r="BZ239" t="str">
            <v>External</v>
          </cell>
          <cell r="CA239" t="str">
            <v>Clothing Set</v>
          </cell>
          <cell r="CB239" t="str">
            <v>ON_HAND</v>
          </cell>
          <cell r="CC239" t="b">
            <v>0</v>
          </cell>
          <cell r="CD239" t="str">
            <v>**********</v>
          </cell>
          <cell r="CE239">
            <v>700078</v>
          </cell>
          <cell r="CF239" t="str">
            <v>27AXUPC8425A1ZH</v>
          </cell>
          <cell r="CH239" t="str">
            <v>29AAECM9636P1ZJ</v>
          </cell>
          <cell r="CI239" t="str">
            <v>Mumbai</v>
          </cell>
          <cell r="CJ239">
            <v>400013</v>
          </cell>
          <cell r="CK239" t="str">
            <v>maharashtra</v>
          </cell>
          <cell r="CL239" t="str">
            <v>MH</v>
          </cell>
          <cell r="CN239">
            <v>0</v>
          </cell>
          <cell r="CO239">
            <v>223.61699999999999</v>
          </cell>
          <cell r="CP239">
            <v>223.61699999999999</v>
          </cell>
          <cell r="CQ239">
            <v>0</v>
          </cell>
          <cell r="CR239">
            <v>0</v>
          </cell>
          <cell r="CS239">
            <v>0</v>
          </cell>
          <cell r="CT239">
            <v>1375</v>
          </cell>
          <cell r="CU239">
            <v>1.075</v>
          </cell>
          <cell r="CW239">
            <v>0</v>
          </cell>
          <cell r="CX239">
            <v>88.941000000000003</v>
          </cell>
          <cell r="CY239">
            <v>88.941000000000003</v>
          </cell>
          <cell r="CZ239">
            <v>0</v>
          </cell>
          <cell r="DA239">
            <v>0</v>
          </cell>
          <cell r="DB239">
            <v>0</v>
          </cell>
          <cell r="DC239">
            <v>1375</v>
          </cell>
          <cell r="DD239">
            <v>1.075</v>
          </cell>
          <cell r="DE239" t="str">
            <v>87179511-18ac-4e70-a0e0-669db73bc7a7</v>
          </cell>
          <cell r="DF239">
            <v>100079000000</v>
          </cell>
          <cell r="DG239">
            <v>3.8460000000000001</v>
          </cell>
          <cell r="DH239">
            <v>1.5289999999999999</v>
          </cell>
          <cell r="DI239">
            <v>0.76900000000000002</v>
          </cell>
          <cell r="DJ239">
            <v>0.30599999999999999</v>
          </cell>
          <cell r="DK239" t="str">
            <v>BRONZE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 t="str">
            <v>NA</v>
          </cell>
          <cell r="DU239" t="str">
            <v>NA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FG239" t="str">
            <v>unsettled</v>
          </cell>
          <cell r="FH239">
            <v>1375</v>
          </cell>
          <cell r="FI239">
            <v>1082.0519999999999</v>
          </cell>
          <cell r="FJ239">
            <v>319.00799999999998</v>
          </cell>
          <cell r="FK239">
            <v>197.06</v>
          </cell>
        </row>
        <row r="240">
          <cell r="A240">
            <v>8682749335</v>
          </cell>
          <cell r="B240">
            <v>10682676336</v>
          </cell>
          <cell r="C240" t="str">
            <v>return_refund</v>
          </cell>
          <cell r="D240">
            <v>45926.628472222219</v>
          </cell>
          <cell r="E240">
            <v>45920.473611111112</v>
          </cell>
          <cell r="G240" t="str">
            <v>Myntra Designs Pvt Ltd</v>
          </cell>
          <cell r="H240" t="str">
            <v>TIKIDRSS118412438</v>
          </cell>
          <cell r="I240" t="str">
            <v>\I2726TK000003009\""</v>
          </cell>
          <cell r="J240">
            <v>8682749335</v>
          </cell>
          <cell r="K240">
            <v>62042300</v>
          </cell>
          <cell r="L240" t="str">
            <v>Apparel</v>
          </cell>
          <cell r="M240" t="str">
            <v>INR</v>
          </cell>
          <cell r="N240">
            <v>3294</v>
          </cell>
          <cell r="O240">
            <v>0</v>
          </cell>
          <cell r="P240">
            <v>3294</v>
          </cell>
          <cell r="Q240">
            <v>3500</v>
          </cell>
          <cell r="R240">
            <v>0</v>
          </cell>
          <cell r="S240" t="str">
            <v>Inter-State</v>
          </cell>
          <cell r="T240">
            <v>12</v>
          </cell>
          <cell r="U240">
            <v>352.93</v>
          </cell>
          <cell r="V240">
            <v>0</v>
          </cell>
          <cell r="W240">
            <v>0</v>
          </cell>
          <cell r="X240">
            <v>14.705</v>
          </cell>
          <cell r="Y240">
            <v>2.9409999999999998</v>
          </cell>
          <cell r="AA240">
            <v>0</v>
          </cell>
          <cell r="AB240">
            <v>699.64599999999996</v>
          </cell>
          <cell r="AC240">
            <v>699.64599999999996</v>
          </cell>
          <cell r="AD240">
            <v>717.29200000000003</v>
          </cell>
          <cell r="AE240">
            <v>-197.06</v>
          </cell>
          <cell r="AF240">
            <v>167</v>
          </cell>
          <cell r="AG240">
            <v>0</v>
          </cell>
          <cell r="AH240">
            <v>0</v>
          </cell>
          <cell r="AI240">
            <v>0</v>
          </cell>
          <cell r="AJ240">
            <v>30.06</v>
          </cell>
          <cell r="AK240">
            <v>1</v>
          </cell>
          <cell r="AL240" t="str">
            <v>NATIONAL</v>
          </cell>
          <cell r="AM240">
            <v>3500</v>
          </cell>
          <cell r="AN240">
            <v>-2773.768</v>
          </cell>
          <cell r="AO240">
            <v>0</v>
          </cell>
          <cell r="AP240">
            <v>-2773.768</v>
          </cell>
          <cell r="AQ240">
            <v>717.29200000000003</v>
          </cell>
          <cell r="AR240">
            <v>-197.06</v>
          </cell>
          <cell r="AS240">
            <v>-3294</v>
          </cell>
          <cell r="AV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2941.07</v>
          </cell>
          <cell r="BP240">
            <v>12</v>
          </cell>
          <cell r="BQ240">
            <v>0</v>
          </cell>
          <cell r="BR240">
            <v>0</v>
          </cell>
          <cell r="BS240">
            <v>0</v>
          </cell>
          <cell r="BT240">
            <v>0.5</v>
          </cell>
          <cell r="BU240">
            <v>0</v>
          </cell>
          <cell r="BV240">
            <v>0</v>
          </cell>
          <cell r="BW240">
            <v>0.1</v>
          </cell>
          <cell r="BX240" t="str">
            <v>Tiny Kingdom</v>
          </cell>
          <cell r="BY240" t="str">
            <v>Girls</v>
          </cell>
          <cell r="BZ240" t="str">
            <v>External</v>
          </cell>
          <cell r="CA240" t="str">
            <v>Dresses</v>
          </cell>
          <cell r="CB240" t="str">
            <v>ON_HAND</v>
          </cell>
          <cell r="CC240" t="b">
            <v>0</v>
          </cell>
          <cell r="CD240" t="str">
            <v>**********</v>
          </cell>
          <cell r="CE240">
            <v>110091</v>
          </cell>
          <cell r="CF240" t="str">
            <v>27AXUPC8425A1ZH</v>
          </cell>
          <cell r="CH240" t="str">
            <v>29AAECM9636P1ZJ</v>
          </cell>
          <cell r="CI240" t="str">
            <v>Mumbai</v>
          </cell>
          <cell r="CJ240">
            <v>400013</v>
          </cell>
          <cell r="CK240" t="str">
            <v>maharashtra</v>
          </cell>
          <cell r="CL240" t="str">
            <v>MH</v>
          </cell>
          <cell r="CN240">
            <v>0</v>
          </cell>
          <cell r="CO240">
            <v>699.64599999999996</v>
          </cell>
          <cell r="CP240">
            <v>699.64599999999996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2.9410699999999999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E240" t="str">
            <v>bea5abc0-68bf-47cf-8fce-cf65ec0bd379</v>
          </cell>
          <cell r="DF240">
            <v>100082000000</v>
          </cell>
          <cell r="DG240">
            <v>14.705</v>
          </cell>
          <cell r="DH240">
            <v>0</v>
          </cell>
          <cell r="DI240">
            <v>2.9409999999999998</v>
          </cell>
          <cell r="DJ240">
            <v>0</v>
          </cell>
          <cell r="DK240" t="str">
            <v>BRONZE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 t="str">
            <v>NA</v>
          </cell>
          <cell r="DU240" t="str">
            <v>NA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FG240" t="str">
            <v>unsettled</v>
          </cell>
          <cell r="FH240">
            <v>3500</v>
          </cell>
          <cell r="FI240">
            <v>2773.768</v>
          </cell>
          <cell r="FJ240">
            <v>717.29200000000003</v>
          </cell>
          <cell r="FK240">
            <v>197.06</v>
          </cell>
        </row>
        <row r="241">
          <cell r="A241">
            <v>8680835728</v>
          </cell>
          <cell r="B241">
            <v>10680761485</v>
          </cell>
          <cell r="C241" t="str">
            <v>return_refund</v>
          </cell>
          <cell r="D241">
            <v>45929.247916666667</v>
          </cell>
          <cell r="E241">
            <v>45918.800694444442</v>
          </cell>
          <cell r="G241" t="str">
            <v>Myntra Designs Pvt Ltd</v>
          </cell>
          <cell r="H241" t="str">
            <v>TIKIDRSS113553896</v>
          </cell>
          <cell r="I241" t="str">
            <v>\I2726TK000002985\""</v>
          </cell>
          <cell r="J241">
            <v>8680835728</v>
          </cell>
          <cell r="K241">
            <v>62042300</v>
          </cell>
          <cell r="L241" t="str">
            <v>Apparel</v>
          </cell>
          <cell r="M241" t="str">
            <v>INR</v>
          </cell>
          <cell r="N241">
            <v>2594</v>
          </cell>
          <cell r="O241">
            <v>2594</v>
          </cell>
          <cell r="P241">
            <v>0</v>
          </cell>
          <cell r="Q241">
            <v>3500</v>
          </cell>
          <cell r="R241">
            <v>700</v>
          </cell>
          <cell r="S241" t="str">
            <v>Inter-State</v>
          </cell>
          <cell r="T241">
            <v>12</v>
          </cell>
          <cell r="U241">
            <v>277.93</v>
          </cell>
          <cell r="V241">
            <v>0</v>
          </cell>
          <cell r="W241">
            <v>0</v>
          </cell>
          <cell r="X241">
            <v>11.58</v>
          </cell>
          <cell r="Y241">
            <v>2.3159999999999998</v>
          </cell>
          <cell r="AA241">
            <v>0</v>
          </cell>
          <cell r="AB241">
            <v>550.96600000000001</v>
          </cell>
          <cell r="AC241">
            <v>550.96600000000001</v>
          </cell>
          <cell r="AD241">
            <v>564.86199999999997</v>
          </cell>
          <cell r="AE241">
            <v>-197.06</v>
          </cell>
          <cell r="AF241">
            <v>167</v>
          </cell>
          <cell r="AG241">
            <v>0</v>
          </cell>
          <cell r="AH241">
            <v>0</v>
          </cell>
          <cell r="AI241">
            <v>0</v>
          </cell>
          <cell r="AJ241">
            <v>30.06</v>
          </cell>
          <cell r="AK241">
            <v>1</v>
          </cell>
          <cell r="AL241" t="str">
            <v>NATIONAL</v>
          </cell>
          <cell r="AM241">
            <v>2800</v>
          </cell>
          <cell r="AN241">
            <v>-2226.1979999999999</v>
          </cell>
          <cell r="AO241">
            <v>0</v>
          </cell>
          <cell r="AP241">
            <v>-2226.1979999999999</v>
          </cell>
          <cell r="AQ241">
            <v>564.86199999999997</v>
          </cell>
          <cell r="AR241">
            <v>-197.06</v>
          </cell>
          <cell r="AS241">
            <v>-2594</v>
          </cell>
          <cell r="AV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2316.0700000000002</v>
          </cell>
          <cell r="BP241">
            <v>12</v>
          </cell>
          <cell r="BQ241">
            <v>0</v>
          </cell>
          <cell r="BR241">
            <v>0</v>
          </cell>
          <cell r="BS241">
            <v>0</v>
          </cell>
          <cell r="BT241">
            <v>0.5</v>
          </cell>
          <cell r="BU241">
            <v>0</v>
          </cell>
          <cell r="BV241">
            <v>0</v>
          </cell>
          <cell r="BW241">
            <v>0.1</v>
          </cell>
          <cell r="BX241" t="str">
            <v>Tiny Kingdom</v>
          </cell>
          <cell r="BY241" t="str">
            <v>Girls</v>
          </cell>
          <cell r="BZ241" t="str">
            <v>External</v>
          </cell>
          <cell r="CA241" t="str">
            <v>Dresses</v>
          </cell>
          <cell r="CB241" t="str">
            <v>ON_HAND</v>
          </cell>
          <cell r="CC241" t="b">
            <v>0</v>
          </cell>
          <cell r="CD241" t="str">
            <v>**********</v>
          </cell>
          <cell r="CE241">
            <v>142001</v>
          </cell>
          <cell r="CF241" t="str">
            <v>27AXUPC8425A1ZH</v>
          </cell>
          <cell r="CH241" t="str">
            <v>29AAECM9636P1ZJ</v>
          </cell>
          <cell r="CI241" t="str">
            <v>Mumbai</v>
          </cell>
          <cell r="CJ241">
            <v>400013</v>
          </cell>
          <cell r="CK241" t="str">
            <v>maharashtra</v>
          </cell>
          <cell r="CL241" t="str">
            <v>MH</v>
          </cell>
          <cell r="CN241">
            <v>0</v>
          </cell>
          <cell r="CO241">
            <v>550.96600000000001</v>
          </cell>
          <cell r="CP241">
            <v>550.96600000000001</v>
          </cell>
          <cell r="CQ241">
            <v>0</v>
          </cell>
          <cell r="CR241">
            <v>0</v>
          </cell>
          <cell r="CS241">
            <v>0</v>
          </cell>
          <cell r="CT241">
            <v>700</v>
          </cell>
          <cell r="CU241">
            <v>2.3160699999999999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E241" t="str">
            <v>7beb17db-a498-4d01-ac50-c581b9ac6cc1</v>
          </cell>
          <cell r="DF241">
            <v>100083000000</v>
          </cell>
          <cell r="DG241">
            <v>11.58</v>
          </cell>
          <cell r="DH241">
            <v>0</v>
          </cell>
          <cell r="DI241">
            <v>2.3159999999999998</v>
          </cell>
          <cell r="DJ241">
            <v>0</v>
          </cell>
          <cell r="DK241" t="str">
            <v>BRONZE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 t="str">
            <v>NA</v>
          </cell>
          <cell r="DU241" t="str">
            <v>NA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FG241" t="str">
            <v>unsettled</v>
          </cell>
          <cell r="FH241">
            <v>2800</v>
          </cell>
          <cell r="FI241">
            <v>2226.1979999999999</v>
          </cell>
          <cell r="FJ241">
            <v>564.86199999999997</v>
          </cell>
          <cell r="FK241">
            <v>197.06</v>
          </cell>
        </row>
        <row r="242">
          <cell r="A242">
            <v>8679706893</v>
          </cell>
          <cell r="B242">
            <v>10679632227</v>
          </cell>
          <cell r="C242" t="str">
            <v>return_refund</v>
          </cell>
          <cell r="D242">
            <v>45923.477083333331</v>
          </cell>
          <cell r="E242">
            <v>45918.445138888892</v>
          </cell>
          <cell r="G242" t="str">
            <v>Myntra Designs Pvt Ltd</v>
          </cell>
          <cell r="H242" t="str">
            <v>TIKICLST112288676</v>
          </cell>
          <cell r="I242" t="str">
            <v>\I2726TK000002976\""</v>
          </cell>
          <cell r="J242">
            <v>9771053473</v>
          </cell>
          <cell r="K242">
            <v>62042300</v>
          </cell>
          <cell r="L242" t="str">
            <v>Apparel</v>
          </cell>
          <cell r="M242" t="str">
            <v>INR</v>
          </cell>
          <cell r="N242">
            <v>3394</v>
          </cell>
          <cell r="O242">
            <v>0</v>
          </cell>
          <cell r="P242">
            <v>3394</v>
          </cell>
          <cell r="Q242">
            <v>4500</v>
          </cell>
          <cell r="R242">
            <v>900</v>
          </cell>
          <cell r="S242" t="str">
            <v>Inter-State</v>
          </cell>
          <cell r="T242">
            <v>12</v>
          </cell>
          <cell r="U242">
            <v>363.64</v>
          </cell>
          <cell r="V242">
            <v>0</v>
          </cell>
          <cell r="W242">
            <v>0</v>
          </cell>
          <cell r="X242">
            <v>15.151999999999999</v>
          </cell>
          <cell r="Y242">
            <v>3.03</v>
          </cell>
          <cell r="AA242">
            <v>0</v>
          </cell>
          <cell r="AB242">
            <v>841.03300000000002</v>
          </cell>
          <cell r="AC242">
            <v>841.03300000000002</v>
          </cell>
          <cell r="AD242">
            <v>859.21500000000003</v>
          </cell>
          <cell r="AE242">
            <v>-132.16</v>
          </cell>
          <cell r="AF242">
            <v>112</v>
          </cell>
          <cell r="AG242">
            <v>0</v>
          </cell>
          <cell r="AH242">
            <v>0</v>
          </cell>
          <cell r="AI242">
            <v>0</v>
          </cell>
          <cell r="AJ242">
            <v>20.16</v>
          </cell>
          <cell r="AK242">
            <v>1</v>
          </cell>
          <cell r="AL242" t="str">
            <v>ZONAL</v>
          </cell>
          <cell r="AM242">
            <v>3600</v>
          </cell>
          <cell r="AN242">
            <v>-2666.9450000000002</v>
          </cell>
          <cell r="AO242">
            <v>0</v>
          </cell>
          <cell r="AP242">
            <v>-2666.9450000000002</v>
          </cell>
          <cell r="AQ242">
            <v>859.21500000000003</v>
          </cell>
          <cell r="AR242">
            <v>-132.16</v>
          </cell>
          <cell r="AS242">
            <v>-3394</v>
          </cell>
          <cell r="AV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3030.36</v>
          </cell>
          <cell r="BP242">
            <v>12</v>
          </cell>
          <cell r="BQ242">
            <v>0</v>
          </cell>
          <cell r="BR242">
            <v>0</v>
          </cell>
          <cell r="BS242">
            <v>0</v>
          </cell>
          <cell r="BT242">
            <v>0.5</v>
          </cell>
          <cell r="BU242">
            <v>0</v>
          </cell>
          <cell r="BV242">
            <v>0</v>
          </cell>
          <cell r="BW242">
            <v>0.1</v>
          </cell>
          <cell r="BX242" t="str">
            <v>Tiny Kingdom</v>
          </cell>
          <cell r="BY242" t="str">
            <v>Girls</v>
          </cell>
          <cell r="BZ242" t="str">
            <v>External</v>
          </cell>
          <cell r="CA242" t="str">
            <v>Clothing Set</v>
          </cell>
          <cell r="CB242" t="str">
            <v>ON_HAND</v>
          </cell>
          <cell r="CC242" t="b">
            <v>0</v>
          </cell>
          <cell r="CD242" t="str">
            <v>**********</v>
          </cell>
          <cell r="CE242">
            <v>560068</v>
          </cell>
          <cell r="CF242" t="str">
            <v>27AXUPC8425A1ZH</v>
          </cell>
          <cell r="CH242" t="str">
            <v>29AAECM9636P1ZJ</v>
          </cell>
          <cell r="CI242" t="str">
            <v>Mumbai</v>
          </cell>
          <cell r="CJ242">
            <v>400013</v>
          </cell>
          <cell r="CK242" t="str">
            <v>maharashtra</v>
          </cell>
          <cell r="CL242" t="str">
            <v>MH</v>
          </cell>
          <cell r="CN242">
            <v>0</v>
          </cell>
          <cell r="CO242">
            <v>841.03300000000002</v>
          </cell>
          <cell r="CP242">
            <v>841.03300000000002</v>
          </cell>
          <cell r="CQ242">
            <v>0</v>
          </cell>
          <cell r="CR242">
            <v>0</v>
          </cell>
          <cell r="CS242">
            <v>0</v>
          </cell>
          <cell r="CT242">
            <v>900</v>
          </cell>
          <cell r="CU242">
            <v>3.0303599999999999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E242" t="str">
            <v>39807030-239c-4bc9-8820-926c752deaff</v>
          </cell>
          <cell r="DF242">
            <v>100081000000</v>
          </cell>
          <cell r="DG242">
            <v>15.151999999999999</v>
          </cell>
          <cell r="DH242">
            <v>0</v>
          </cell>
          <cell r="DI242">
            <v>3.03</v>
          </cell>
          <cell r="DJ242">
            <v>0</v>
          </cell>
          <cell r="DK242" t="str">
            <v>BRONZE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 t="str">
            <v>NA</v>
          </cell>
          <cell r="DU242" t="str">
            <v>NA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FG242" t="str">
            <v>unsettled</v>
          </cell>
          <cell r="FH242">
            <v>3600</v>
          </cell>
          <cell r="FI242">
            <v>2666.9450000000002</v>
          </cell>
          <cell r="FJ242">
            <v>859.21500000000003</v>
          </cell>
          <cell r="FK242">
            <v>132.16</v>
          </cell>
        </row>
        <row r="243">
          <cell r="A243">
            <v>8658143949</v>
          </cell>
          <cell r="B243">
            <v>10658068066</v>
          </cell>
          <cell r="C243" t="str">
            <v>return_refund</v>
          </cell>
          <cell r="D243">
            <v>45924.318749999999</v>
          </cell>
          <cell r="E243">
            <v>45910.459722222222</v>
          </cell>
          <cell r="F243">
            <v>44547</v>
          </cell>
          <cell r="G243" t="str">
            <v>Myntra Designs Pvt Ltd</v>
          </cell>
          <cell r="H243" t="str">
            <v>TIKIDRSS108364098</v>
          </cell>
          <cell r="I243" t="str">
            <v>\I2726TK000002831\""</v>
          </cell>
          <cell r="J243">
            <v>8658143949</v>
          </cell>
          <cell r="K243">
            <v>62042300</v>
          </cell>
          <cell r="L243" t="str">
            <v>Apparel</v>
          </cell>
          <cell r="M243" t="str">
            <v>INR</v>
          </cell>
          <cell r="N243">
            <v>2994</v>
          </cell>
          <cell r="O243">
            <v>0</v>
          </cell>
          <cell r="P243">
            <v>2994</v>
          </cell>
          <cell r="Q243">
            <v>4000</v>
          </cell>
          <cell r="R243">
            <v>800</v>
          </cell>
          <cell r="S243" t="str">
            <v>Inter-State</v>
          </cell>
          <cell r="T243">
            <v>12</v>
          </cell>
          <cell r="U243">
            <v>320.79000000000002</v>
          </cell>
          <cell r="V243">
            <v>0</v>
          </cell>
          <cell r="W243">
            <v>0</v>
          </cell>
          <cell r="X243">
            <v>13.366</v>
          </cell>
          <cell r="Y243">
            <v>2.673</v>
          </cell>
          <cell r="AA243">
            <v>0</v>
          </cell>
          <cell r="AB243">
            <v>635.92600000000004</v>
          </cell>
          <cell r="AC243">
            <v>635.92600000000004</v>
          </cell>
          <cell r="AD243">
            <v>651.96500000000003</v>
          </cell>
          <cell r="AE243">
            <v>-197.06</v>
          </cell>
          <cell r="AF243">
            <v>167</v>
          </cell>
          <cell r="AG243">
            <v>0</v>
          </cell>
          <cell r="AH243">
            <v>0</v>
          </cell>
          <cell r="AI243">
            <v>0</v>
          </cell>
          <cell r="AJ243">
            <v>30.06</v>
          </cell>
          <cell r="AK243">
            <v>1</v>
          </cell>
          <cell r="AL243" t="str">
            <v>NATIONAL</v>
          </cell>
          <cell r="AM243">
            <v>3200</v>
          </cell>
          <cell r="AN243">
            <v>-2539.0949999999998</v>
          </cell>
          <cell r="AO243">
            <v>0</v>
          </cell>
          <cell r="AP243">
            <v>-2539.0949999999998</v>
          </cell>
          <cell r="AQ243">
            <v>651.96500000000003</v>
          </cell>
          <cell r="AR243">
            <v>-197.06</v>
          </cell>
          <cell r="AS243">
            <v>-2994</v>
          </cell>
          <cell r="AV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2673.21</v>
          </cell>
          <cell r="BP243">
            <v>12</v>
          </cell>
          <cell r="BQ243">
            <v>0</v>
          </cell>
          <cell r="BR243">
            <v>0</v>
          </cell>
          <cell r="BS243">
            <v>0</v>
          </cell>
          <cell r="BT243">
            <v>0.5</v>
          </cell>
          <cell r="BU243">
            <v>0</v>
          </cell>
          <cell r="BV243">
            <v>0</v>
          </cell>
          <cell r="BW243">
            <v>0.1</v>
          </cell>
          <cell r="BX243" t="str">
            <v>Tiny Kingdom</v>
          </cell>
          <cell r="BY243" t="str">
            <v>Girls</v>
          </cell>
          <cell r="BZ243" t="str">
            <v>External</v>
          </cell>
          <cell r="CA243" t="str">
            <v>Dresses</v>
          </cell>
          <cell r="CB243" t="str">
            <v>ON_HAND</v>
          </cell>
          <cell r="CC243" t="b">
            <v>0</v>
          </cell>
          <cell r="CD243" t="str">
            <v>**********</v>
          </cell>
          <cell r="CE243">
            <v>793002</v>
          </cell>
          <cell r="CF243" t="str">
            <v>27AXUPC8425A1ZH</v>
          </cell>
          <cell r="CH243" t="str">
            <v>29AAECM9636P1ZJ</v>
          </cell>
          <cell r="CI243" t="str">
            <v>Mumbai</v>
          </cell>
          <cell r="CJ243">
            <v>400013</v>
          </cell>
          <cell r="CK243" t="str">
            <v>maharashtra</v>
          </cell>
          <cell r="CL243" t="str">
            <v>MH</v>
          </cell>
          <cell r="CN243">
            <v>0</v>
          </cell>
          <cell r="CO243">
            <v>635.92600000000004</v>
          </cell>
          <cell r="CP243">
            <v>635.92600000000004</v>
          </cell>
          <cell r="CQ243">
            <v>0</v>
          </cell>
          <cell r="CR243">
            <v>0</v>
          </cell>
          <cell r="CS243">
            <v>0</v>
          </cell>
          <cell r="CT243">
            <v>800</v>
          </cell>
          <cell r="CU243">
            <v>2.6732100000000001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E243" t="str">
            <v>67809985-0ca7-4ea1-8580-33ec7f097a34</v>
          </cell>
          <cell r="DF243">
            <v>100081000000</v>
          </cell>
          <cell r="DG243">
            <v>13.366</v>
          </cell>
          <cell r="DH243">
            <v>0</v>
          </cell>
          <cell r="DI243">
            <v>2.673</v>
          </cell>
          <cell r="DJ243">
            <v>0</v>
          </cell>
          <cell r="DK243" t="str">
            <v>BRONZE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 t="str">
            <v>NA</v>
          </cell>
          <cell r="DU243" t="str">
            <v>NA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FG243" t="str">
            <v>unsettled</v>
          </cell>
          <cell r="FH243">
            <v>3200</v>
          </cell>
          <cell r="FI243">
            <v>2539.0949999999998</v>
          </cell>
          <cell r="FJ243">
            <v>651.96500000000003</v>
          </cell>
          <cell r="FK243">
            <v>197.06</v>
          </cell>
        </row>
        <row r="244">
          <cell r="A244">
            <v>8695941283</v>
          </cell>
          <cell r="B244">
            <v>10695869954</v>
          </cell>
          <cell r="C244" t="str">
            <v>return_refund</v>
          </cell>
          <cell r="D244">
            <v>45926.386805555558</v>
          </cell>
          <cell r="E244">
            <v>45922.443055555559</v>
          </cell>
          <cell r="G244" t="str">
            <v>Myntra Designs Pvt Ltd</v>
          </cell>
          <cell r="H244" t="str">
            <v>TIKILHNC115963213</v>
          </cell>
          <cell r="I244" t="str">
            <v>\I2726TK000003069\""</v>
          </cell>
          <cell r="J244">
            <v>9774312395</v>
          </cell>
          <cell r="K244">
            <v>62042300</v>
          </cell>
          <cell r="L244" t="str">
            <v>Apparel</v>
          </cell>
          <cell r="M244" t="str">
            <v>INR</v>
          </cell>
          <cell r="N244">
            <v>3564</v>
          </cell>
          <cell r="O244">
            <v>0</v>
          </cell>
          <cell r="P244">
            <v>3564</v>
          </cell>
          <cell r="Q244">
            <v>4000</v>
          </cell>
          <cell r="R244">
            <v>230</v>
          </cell>
          <cell r="S244" t="str">
            <v>Inter-State</v>
          </cell>
          <cell r="T244">
            <v>18</v>
          </cell>
          <cell r="U244">
            <v>543.66</v>
          </cell>
          <cell r="V244">
            <v>0</v>
          </cell>
          <cell r="W244">
            <v>0</v>
          </cell>
          <cell r="X244">
            <v>15.102</v>
          </cell>
          <cell r="Y244">
            <v>3.02</v>
          </cell>
          <cell r="AA244">
            <v>0</v>
          </cell>
          <cell r="AB244">
            <v>883.15899999999999</v>
          </cell>
          <cell r="AC244">
            <v>883.15899999999999</v>
          </cell>
          <cell r="AD244">
            <v>901.28099999999995</v>
          </cell>
          <cell r="AE244">
            <v>-132.16</v>
          </cell>
          <cell r="AF244">
            <v>112</v>
          </cell>
          <cell r="AG244">
            <v>0</v>
          </cell>
          <cell r="AH244">
            <v>0</v>
          </cell>
          <cell r="AI244">
            <v>0</v>
          </cell>
          <cell r="AJ244">
            <v>20.16</v>
          </cell>
          <cell r="AK244">
            <v>1</v>
          </cell>
          <cell r="AL244" t="str">
            <v>ZONAL</v>
          </cell>
          <cell r="AM244">
            <v>3770</v>
          </cell>
          <cell r="AN244">
            <v>-2794.8789999999999</v>
          </cell>
          <cell r="AO244">
            <v>0</v>
          </cell>
          <cell r="AP244">
            <v>-2794.8789999999999</v>
          </cell>
          <cell r="AQ244">
            <v>901.28099999999995</v>
          </cell>
          <cell r="AR244">
            <v>-132.16</v>
          </cell>
          <cell r="AS244">
            <v>-3564</v>
          </cell>
          <cell r="AV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3020.34</v>
          </cell>
          <cell r="BP244">
            <v>18</v>
          </cell>
          <cell r="BQ244">
            <v>0</v>
          </cell>
          <cell r="BR244">
            <v>0</v>
          </cell>
          <cell r="BS244">
            <v>0</v>
          </cell>
          <cell r="BT244">
            <v>0.5</v>
          </cell>
          <cell r="BU244">
            <v>0</v>
          </cell>
          <cell r="BV244">
            <v>0</v>
          </cell>
          <cell r="BW244">
            <v>0.1</v>
          </cell>
          <cell r="BX244" t="str">
            <v>Tiny Kingdom</v>
          </cell>
          <cell r="BY244" t="str">
            <v>Girls</v>
          </cell>
          <cell r="BZ244" t="str">
            <v>External</v>
          </cell>
          <cell r="CA244" t="str">
            <v>Lehenga Choli</v>
          </cell>
          <cell r="CB244" t="str">
            <v>ON_HAND</v>
          </cell>
          <cell r="CC244" t="b">
            <v>0</v>
          </cell>
          <cell r="CD244" t="str">
            <v>**********</v>
          </cell>
          <cell r="CE244">
            <v>560102</v>
          </cell>
          <cell r="CF244" t="str">
            <v>27AXUPC8425A1ZH</v>
          </cell>
          <cell r="CH244" t="str">
            <v>29AAECM9636P1ZJ</v>
          </cell>
          <cell r="CI244" t="str">
            <v>Mumbai</v>
          </cell>
          <cell r="CJ244">
            <v>400013</v>
          </cell>
          <cell r="CK244" t="str">
            <v>maharashtra</v>
          </cell>
          <cell r="CL244" t="str">
            <v>MH</v>
          </cell>
          <cell r="CN244">
            <v>0</v>
          </cell>
          <cell r="CO244">
            <v>883.15899999999999</v>
          </cell>
          <cell r="CP244">
            <v>883.15899999999999</v>
          </cell>
          <cell r="CQ244">
            <v>0</v>
          </cell>
          <cell r="CR244">
            <v>0</v>
          </cell>
          <cell r="CS244">
            <v>0</v>
          </cell>
          <cell r="CT244">
            <v>230</v>
          </cell>
          <cell r="CU244">
            <v>3.02034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E244" t="str">
            <v>24a6849a-a746-4df0-a017-b8396c85e6fc</v>
          </cell>
          <cell r="DF244">
            <v>100082000000</v>
          </cell>
          <cell r="DG244">
            <v>15.102</v>
          </cell>
          <cell r="DH244">
            <v>0</v>
          </cell>
          <cell r="DI244">
            <v>3.02</v>
          </cell>
          <cell r="DJ244">
            <v>0</v>
          </cell>
          <cell r="DK244" t="str">
            <v>BRONZE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 t="str">
            <v>NA</v>
          </cell>
          <cell r="DU244" t="str">
            <v>NA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FG244" t="str">
            <v>unsettled</v>
          </cell>
          <cell r="FH244">
            <v>3770</v>
          </cell>
          <cell r="FI244">
            <v>2794.8789999999999</v>
          </cell>
          <cell r="FJ244">
            <v>901.28099999999995</v>
          </cell>
          <cell r="FK244">
            <v>132.16</v>
          </cell>
        </row>
        <row r="245">
          <cell r="A245">
            <v>8694664240</v>
          </cell>
          <cell r="B245">
            <v>10694592677</v>
          </cell>
          <cell r="C245" t="str">
            <v>return_refund</v>
          </cell>
          <cell r="D245">
            <v>45928.643055555556</v>
          </cell>
          <cell r="E245">
            <v>45922.443055555559</v>
          </cell>
          <cell r="F245">
            <v>44564</v>
          </cell>
          <cell r="G245" t="str">
            <v>Myntra Designs Pvt Ltd</v>
          </cell>
          <cell r="H245" t="str">
            <v>BETYDRSS89528556</v>
          </cell>
          <cell r="I245" t="str">
            <v>\I2726TK000003048\""</v>
          </cell>
          <cell r="J245">
            <v>9774312386</v>
          </cell>
          <cell r="K245">
            <v>62042300</v>
          </cell>
          <cell r="L245" t="str">
            <v>Apparel</v>
          </cell>
          <cell r="M245" t="str">
            <v>INR</v>
          </cell>
          <cell r="N245">
            <v>2293</v>
          </cell>
          <cell r="O245">
            <v>190.72200000000001</v>
          </cell>
          <cell r="P245">
            <v>2102.2779999999998</v>
          </cell>
          <cell r="Q245">
            <v>5000</v>
          </cell>
          <cell r="R245">
            <v>2501</v>
          </cell>
          <cell r="S245" t="str">
            <v>Intra-State</v>
          </cell>
          <cell r="T245">
            <v>5</v>
          </cell>
          <cell r="U245">
            <v>0</v>
          </cell>
          <cell r="V245">
            <v>54.6</v>
          </cell>
          <cell r="W245">
            <v>54.6</v>
          </cell>
          <cell r="X245">
            <v>10.919</v>
          </cell>
          <cell r="Y245">
            <v>2.1840000000000002</v>
          </cell>
          <cell r="AA245">
            <v>0</v>
          </cell>
          <cell r="AB245">
            <v>730.55</v>
          </cell>
          <cell r="AC245">
            <v>730.55</v>
          </cell>
          <cell r="AD245">
            <v>743.65300000000002</v>
          </cell>
          <cell r="AE245">
            <v>-107.38</v>
          </cell>
          <cell r="AF245">
            <v>91</v>
          </cell>
          <cell r="AG245">
            <v>0</v>
          </cell>
          <cell r="AH245">
            <v>0</v>
          </cell>
          <cell r="AI245">
            <v>0</v>
          </cell>
          <cell r="AJ245">
            <v>16.38</v>
          </cell>
          <cell r="AK245">
            <v>1</v>
          </cell>
          <cell r="AL245" t="str">
            <v>LOCAL</v>
          </cell>
          <cell r="AM245">
            <v>2499</v>
          </cell>
          <cell r="AN245">
            <v>-1656.7270000000001</v>
          </cell>
          <cell r="AO245">
            <v>0</v>
          </cell>
          <cell r="AP245">
            <v>-1656.7270000000001</v>
          </cell>
          <cell r="AQ245">
            <v>681.79899999999998</v>
          </cell>
          <cell r="AR245">
            <v>-98.448580000000007</v>
          </cell>
          <cell r="AS245">
            <v>-2102.2779999999998</v>
          </cell>
          <cell r="AT245">
            <v>61.853999999999999</v>
          </cell>
          <cell r="AU245">
            <v>-8.9314199999999992</v>
          </cell>
          <cell r="AV245">
            <v>-190.72200000000001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175</v>
          </cell>
          <cell r="BN245">
            <v>0</v>
          </cell>
          <cell r="BO245">
            <v>2183.8000000000002</v>
          </cell>
          <cell r="BP245">
            <v>0</v>
          </cell>
          <cell r="BQ245">
            <v>2.5</v>
          </cell>
          <cell r="BR245">
            <v>2.5</v>
          </cell>
          <cell r="BS245">
            <v>0</v>
          </cell>
          <cell r="BT245">
            <v>0</v>
          </cell>
          <cell r="BU245">
            <v>0.25</v>
          </cell>
          <cell r="BV245">
            <v>0.25</v>
          </cell>
          <cell r="BW245">
            <v>0.1</v>
          </cell>
          <cell r="BX245" t="str">
            <v>BETTY</v>
          </cell>
          <cell r="BY245" t="str">
            <v>Girls</v>
          </cell>
          <cell r="BZ245" t="str">
            <v>External</v>
          </cell>
          <cell r="CA245" t="str">
            <v>Dresses</v>
          </cell>
          <cell r="CB245" t="str">
            <v>ON_HAND</v>
          </cell>
          <cell r="CC245" t="b">
            <v>0</v>
          </cell>
          <cell r="CD245" t="str">
            <v>**********</v>
          </cell>
          <cell r="CE245">
            <v>411015</v>
          </cell>
          <cell r="CF245" t="str">
            <v>27AXUPC8425A1ZH</v>
          </cell>
          <cell r="CH245" t="str">
            <v>29AAECM9636P1ZJ</v>
          </cell>
          <cell r="CI245" t="str">
            <v>Mumbai</v>
          </cell>
          <cell r="CJ245">
            <v>400013</v>
          </cell>
          <cell r="CK245" t="str">
            <v>maharashtra</v>
          </cell>
          <cell r="CL245" t="str">
            <v>MH</v>
          </cell>
          <cell r="CN245">
            <v>0</v>
          </cell>
          <cell r="CO245">
            <v>669.78599999999994</v>
          </cell>
          <cell r="CP245">
            <v>669.78599999999994</v>
          </cell>
          <cell r="CQ245">
            <v>0</v>
          </cell>
          <cell r="CR245">
            <v>0</v>
          </cell>
          <cell r="CS245">
            <v>0</v>
          </cell>
          <cell r="CT245">
            <v>2501</v>
          </cell>
          <cell r="CU245">
            <v>2.1838000000000002</v>
          </cell>
          <cell r="CW245">
            <v>0</v>
          </cell>
          <cell r="CX245">
            <v>60.764000000000003</v>
          </cell>
          <cell r="CY245">
            <v>60.764000000000003</v>
          </cell>
          <cell r="CZ245">
            <v>0</v>
          </cell>
          <cell r="DA245">
            <v>0</v>
          </cell>
          <cell r="DB245">
            <v>0</v>
          </cell>
          <cell r="DC245">
            <v>2501</v>
          </cell>
          <cell r="DD245">
            <v>2.1838000000000002</v>
          </cell>
          <cell r="DE245" t="str">
            <v>1ac17d49-ac26-47ec-9b63-d58b111dad1d</v>
          </cell>
          <cell r="DF245">
            <v>100083000000</v>
          </cell>
          <cell r="DG245">
            <v>10.010999999999999</v>
          </cell>
          <cell r="DH245">
            <v>0.90800000000000003</v>
          </cell>
          <cell r="DI245">
            <v>2.0019999999999998</v>
          </cell>
          <cell r="DJ245">
            <v>0.182</v>
          </cell>
          <cell r="DK245" t="str">
            <v>BRONZE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 t="str">
            <v>NA</v>
          </cell>
          <cell r="DU245" t="str">
            <v>NA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FG245" t="str">
            <v>unsettled</v>
          </cell>
          <cell r="FH245">
            <v>2499</v>
          </cell>
          <cell r="FI245">
            <v>1656.7270000000001</v>
          </cell>
          <cell r="FJ245">
            <v>743.65300000000002</v>
          </cell>
          <cell r="FK245">
            <v>107.38000000000001</v>
          </cell>
        </row>
        <row r="246">
          <cell r="A246">
            <v>8682069874</v>
          </cell>
          <cell r="B246">
            <v>10681996579</v>
          </cell>
          <cell r="C246" t="str">
            <v>return_refund</v>
          </cell>
          <cell r="D246">
            <v>45923.541666666664</v>
          </cell>
          <cell r="E246">
            <v>45919.525000000001</v>
          </cell>
          <cell r="G246" t="str">
            <v>Myntra Designs Pvt Ltd</v>
          </cell>
          <cell r="H246" t="str">
            <v>TIKIDRSS113039557</v>
          </cell>
          <cell r="I246" t="str">
            <v>\I2726TK000003000\""</v>
          </cell>
          <cell r="J246">
            <v>8682069874</v>
          </cell>
          <cell r="K246">
            <v>62042300</v>
          </cell>
          <cell r="L246" t="str">
            <v>Apparel</v>
          </cell>
          <cell r="M246" t="str">
            <v>INR</v>
          </cell>
          <cell r="N246">
            <v>3109</v>
          </cell>
          <cell r="O246">
            <v>3109</v>
          </cell>
          <cell r="P246">
            <v>0</v>
          </cell>
          <cell r="Q246">
            <v>3500</v>
          </cell>
          <cell r="R246">
            <v>185</v>
          </cell>
          <cell r="S246" t="str">
            <v>Inter-State</v>
          </cell>
          <cell r="T246">
            <v>12</v>
          </cell>
          <cell r="U246">
            <v>333.11</v>
          </cell>
          <cell r="V246">
            <v>0</v>
          </cell>
          <cell r="W246">
            <v>0</v>
          </cell>
          <cell r="X246">
            <v>13.879</v>
          </cell>
          <cell r="Y246">
            <v>2.7759999999999998</v>
          </cell>
          <cell r="AA246">
            <v>0</v>
          </cell>
          <cell r="AB246">
            <v>660.35199999999998</v>
          </cell>
          <cell r="AC246">
            <v>660.35199999999998</v>
          </cell>
          <cell r="AD246">
            <v>677.00699999999995</v>
          </cell>
          <cell r="AE246">
            <v>-132.16</v>
          </cell>
          <cell r="AF246">
            <v>112</v>
          </cell>
          <cell r="AG246">
            <v>0</v>
          </cell>
          <cell r="AH246">
            <v>0</v>
          </cell>
          <cell r="AI246">
            <v>0</v>
          </cell>
          <cell r="AJ246">
            <v>20.16</v>
          </cell>
          <cell r="AK246">
            <v>1</v>
          </cell>
          <cell r="AL246" t="str">
            <v>ZONAL</v>
          </cell>
          <cell r="AM246">
            <v>3315</v>
          </cell>
          <cell r="AN246">
            <v>-2564.1529999999998</v>
          </cell>
          <cell r="AO246">
            <v>0</v>
          </cell>
          <cell r="AP246">
            <v>-2564.1529999999998</v>
          </cell>
          <cell r="AS246">
            <v>0</v>
          </cell>
          <cell r="AT246">
            <v>677.00699999999995</v>
          </cell>
          <cell r="AU246">
            <v>-132.16</v>
          </cell>
          <cell r="AV246">
            <v>-3109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2775.89</v>
          </cell>
          <cell r="BP246">
            <v>12</v>
          </cell>
          <cell r="BQ246">
            <v>0</v>
          </cell>
          <cell r="BR246">
            <v>0</v>
          </cell>
          <cell r="BS246">
            <v>0</v>
          </cell>
          <cell r="BT246">
            <v>0.5</v>
          </cell>
          <cell r="BU246">
            <v>0</v>
          </cell>
          <cell r="BV246">
            <v>0</v>
          </cell>
          <cell r="BW246">
            <v>0.1</v>
          </cell>
          <cell r="BX246" t="str">
            <v>Tiny Kingdom</v>
          </cell>
          <cell r="BY246" t="str">
            <v>Girls</v>
          </cell>
          <cell r="BZ246" t="str">
            <v>External</v>
          </cell>
          <cell r="CA246" t="str">
            <v>Dresses</v>
          </cell>
          <cell r="CB246" t="str">
            <v>ON_HAND</v>
          </cell>
          <cell r="CC246" t="b">
            <v>0</v>
          </cell>
          <cell r="CD246" t="str">
            <v>**********</v>
          </cell>
          <cell r="CE246">
            <v>403711</v>
          </cell>
          <cell r="CF246" t="str">
            <v>27AXUPC8425A1ZH</v>
          </cell>
          <cell r="CH246" t="str">
            <v>29AAECM9636P1ZJ</v>
          </cell>
          <cell r="CI246" t="str">
            <v>Mumbai</v>
          </cell>
          <cell r="CJ246">
            <v>400013</v>
          </cell>
          <cell r="CK246" t="str">
            <v>maharashtra</v>
          </cell>
          <cell r="CL246" t="str">
            <v>MH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W246">
            <v>0</v>
          </cell>
          <cell r="CX246">
            <v>660.35199999999998</v>
          </cell>
          <cell r="CY246">
            <v>660.35199999999998</v>
          </cell>
          <cell r="CZ246">
            <v>0</v>
          </cell>
          <cell r="DA246">
            <v>0</v>
          </cell>
          <cell r="DB246">
            <v>0</v>
          </cell>
          <cell r="DC246">
            <v>185</v>
          </cell>
          <cell r="DD246">
            <v>2.77589</v>
          </cell>
          <cell r="DE246" t="str">
            <v>e06273ea-b766-4b99-8776-eef1ef044784</v>
          </cell>
          <cell r="DF246">
            <v>100081000000</v>
          </cell>
          <cell r="DG246">
            <v>0</v>
          </cell>
          <cell r="DH246">
            <v>13.879</v>
          </cell>
          <cell r="DI246">
            <v>0</v>
          </cell>
          <cell r="DJ246">
            <v>2.7759999999999998</v>
          </cell>
          <cell r="DK246" t="str">
            <v>BRONZE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 t="str">
            <v>NA</v>
          </cell>
          <cell r="DU246" t="str">
            <v>NA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FG246" t="str">
            <v>unsettled</v>
          </cell>
          <cell r="FH246">
            <v>3315</v>
          </cell>
          <cell r="FI246">
            <v>2564.1529999999998</v>
          </cell>
          <cell r="FJ246">
            <v>677.00699999999995</v>
          </cell>
          <cell r="FK246">
            <v>132.16</v>
          </cell>
        </row>
        <row r="247">
          <cell r="A247">
            <v>8695880488</v>
          </cell>
          <cell r="B247">
            <v>10695809138</v>
          </cell>
          <cell r="C247" t="str">
            <v>return_refund</v>
          </cell>
          <cell r="D247">
            <v>45927.227083333331</v>
          </cell>
          <cell r="E247">
            <v>45922.443055555559</v>
          </cell>
          <cell r="F247">
            <v>44569</v>
          </cell>
          <cell r="G247" t="str">
            <v>Myntra Designs Pvt Ltd</v>
          </cell>
          <cell r="H247" t="str">
            <v>TIKILHNC115963233</v>
          </cell>
          <cell r="I247" t="str">
            <v>\I2726TK000003065\""</v>
          </cell>
          <cell r="J247">
            <v>8695880488</v>
          </cell>
          <cell r="K247">
            <v>62042300</v>
          </cell>
          <cell r="L247" t="str">
            <v>Apparel</v>
          </cell>
          <cell r="M247" t="str">
            <v>INR</v>
          </cell>
          <cell r="N247">
            <v>4219</v>
          </cell>
          <cell r="O247">
            <v>0</v>
          </cell>
          <cell r="P247">
            <v>4219</v>
          </cell>
          <cell r="Q247">
            <v>4750</v>
          </cell>
          <cell r="R247">
            <v>325</v>
          </cell>
          <cell r="S247" t="str">
            <v>Inter-State</v>
          </cell>
          <cell r="T247">
            <v>18</v>
          </cell>
          <cell r="U247">
            <v>643.58000000000004</v>
          </cell>
          <cell r="V247">
            <v>0</v>
          </cell>
          <cell r="W247">
            <v>0</v>
          </cell>
          <cell r="X247">
            <v>17.876999999999999</v>
          </cell>
          <cell r="Y247">
            <v>3.5750000000000002</v>
          </cell>
          <cell r="AA247">
            <v>0</v>
          </cell>
          <cell r="AB247">
            <v>1045.4680000000001</v>
          </cell>
          <cell r="AC247">
            <v>1045.4680000000001</v>
          </cell>
          <cell r="AD247">
            <v>1066.92</v>
          </cell>
          <cell r="AE247">
            <v>-197.06</v>
          </cell>
          <cell r="AF247">
            <v>167</v>
          </cell>
          <cell r="AG247">
            <v>0</v>
          </cell>
          <cell r="AH247">
            <v>0</v>
          </cell>
          <cell r="AI247">
            <v>0</v>
          </cell>
          <cell r="AJ247">
            <v>30.06</v>
          </cell>
          <cell r="AK247">
            <v>1</v>
          </cell>
          <cell r="AL247" t="str">
            <v>NATIONAL</v>
          </cell>
          <cell r="AM247">
            <v>4425</v>
          </cell>
          <cell r="AN247">
            <v>-3349.14</v>
          </cell>
          <cell r="AO247">
            <v>0</v>
          </cell>
          <cell r="AP247">
            <v>-3349.14</v>
          </cell>
          <cell r="AQ247">
            <v>1066.92</v>
          </cell>
          <cell r="AR247">
            <v>-197.06</v>
          </cell>
          <cell r="AS247">
            <v>-4219</v>
          </cell>
          <cell r="AV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3575.42</v>
          </cell>
          <cell r="BP247">
            <v>18</v>
          </cell>
          <cell r="BQ247">
            <v>0</v>
          </cell>
          <cell r="BR247">
            <v>0</v>
          </cell>
          <cell r="BS247">
            <v>0</v>
          </cell>
          <cell r="BT247">
            <v>0.5</v>
          </cell>
          <cell r="BU247">
            <v>0</v>
          </cell>
          <cell r="BV247">
            <v>0</v>
          </cell>
          <cell r="BW247">
            <v>0.1</v>
          </cell>
          <cell r="BX247" t="str">
            <v>Tiny Kingdom</v>
          </cell>
          <cell r="BY247" t="str">
            <v>Girls</v>
          </cell>
          <cell r="BZ247" t="str">
            <v>External</v>
          </cell>
          <cell r="CA247" t="str">
            <v>Lehenga Choli</v>
          </cell>
          <cell r="CB247" t="str">
            <v>ON_HAND</v>
          </cell>
          <cell r="CC247" t="b">
            <v>0</v>
          </cell>
          <cell r="CD247" t="str">
            <v>**********</v>
          </cell>
          <cell r="CE247">
            <v>323307</v>
          </cell>
          <cell r="CF247" t="str">
            <v>27AXUPC8425A1ZH</v>
          </cell>
          <cell r="CH247" t="str">
            <v>29AAECM9636P1ZJ</v>
          </cell>
          <cell r="CI247" t="str">
            <v>Mumbai</v>
          </cell>
          <cell r="CJ247">
            <v>400013</v>
          </cell>
          <cell r="CK247" t="str">
            <v>maharashtra</v>
          </cell>
          <cell r="CL247" t="str">
            <v>MH</v>
          </cell>
          <cell r="CN247">
            <v>0</v>
          </cell>
          <cell r="CO247">
            <v>1045.4680000000001</v>
          </cell>
          <cell r="CP247">
            <v>1045.4680000000001</v>
          </cell>
          <cell r="CQ247">
            <v>0</v>
          </cell>
          <cell r="CR247">
            <v>0</v>
          </cell>
          <cell r="CS247">
            <v>0</v>
          </cell>
          <cell r="CT247">
            <v>325</v>
          </cell>
          <cell r="CU247">
            <v>3.5754199999999998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E247" t="str">
            <v>011d472c-21e1-4569-a556-9ad93f03ad40</v>
          </cell>
          <cell r="DF247">
            <v>100083000000</v>
          </cell>
          <cell r="DG247">
            <v>17.876999999999999</v>
          </cell>
          <cell r="DH247">
            <v>0</v>
          </cell>
          <cell r="DI247">
            <v>3.5750000000000002</v>
          </cell>
          <cell r="DJ247">
            <v>0</v>
          </cell>
          <cell r="DK247" t="str">
            <v>BRONZE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 t="str">
            <v>NA</v>
          </cell>
          <cell r="DU247" t="str">
            <v>NA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FG247" t="str">
            <v>unsettled</v>
          </cell>
          <cell r="FH247">
            <v>4425</v>
          </cell>
          <cell r="FI247">
            <v>3349.14</v>
          </cell>
          <cell r="FJ247">
            <v>1066.92</v>
          </cell>
          <cell r="FK247">
            <v>197.06</v>
          </cell>
        </row>
        <row r="248">
          <cell r="A248">
            <v>8670260084</v>
          </cell>
          <cell r="B248">
            <v>10670184241</v>
          </cell>
          <cell r="C248" t="str">
            <v>return_refund</v>
          </cell>
          <cell r="D248">
            <v>45922.566666666666</v>
          </cell>
          <cell r="E248">
            <v>45915.47152777778</v>
          </cell>
          <cell r="G248" t="str">
            <v>Myntra Designs Pvt Ltd</v>
          </cell>
          <cell r="H248" t="str">
            <v>TIKICLST103607759</v>
          </cell>
          <cell r="I248" t="str">
            <v>\I2726TK000002914\""</v>
          </cell>
          <cell r="J248">
            <v>8670260084</v>
          </cell>
          <cell r="K248">
            <v>62042300</v>
          </cell>
          <cell r="L248" t="str">
            <v>Apparel</v>
          </cell>
          <cell r="M248" t="str">
            <v>INR</v>
          </cell>
          <cell r="N248">
            <v>3544</v>
          </cell>
          <cell r="O248">
            <v>0</v>
          </cell>
          <cell r="P248">
            <v>3544</v>
          </cell>
          <cell r="Q248">
            <v>5000</v>
          </cell>
          <cell r="R248">
            <v>1250</v>
          </cell>
          <cell r="S248" t="str">
            <v>Inter-State</v>
          </cell>
          <cell r="T248">
            <v>12</v>
          </cell>
          <cell r="U248">
            <v>379.71</v>
          </cell>
          <cell r="V248">
            <v>0</v>
          </cell>
          <cell r="W248">
            <v>0</v>
          </cell>
          <cell r="X248">
            <v>15.821</v>
          </cell>
          <cell r="Y248">
            <v>3.1640000000000001</v>
          </cell>
          <cell r="AA248">
            <v>0</v>
          </cell>
          <cell r="AB248">
            <v>920.02200000000005</v>
          </cell>
          <cell r="AC248">
            <v>920.02200000000005</v>
          </cell>
          <cell r="AD248">
            <v>939.00699999999995</v>
          </cell>
          <cell r="AE248">
            <v>-197.06</v>
          </cell>
          <cell r="AF248">
            <v>167</v>
          </cell>
          <cell r="AG248">
            <v>0</v>
          </cell>
          <cell r="AH248">
            <v>0</v>
          </cell>
          <cell r="AI248">
            <v>0</v>
          </cell>
          <cell r="AJ248">
            <v>30.06</v>
          </cell>
          <cell r="AK248">
            <v>1</v>
          </cell>
          <cell r="AL248" t="str">
            <v>NATIONAL</v>
          </cell>
          <cell r="AM248">
            <v>3750</v>
          </cell>
          <cell r="AN248">
            <v>-2802.0529999999999</v>
          </cell>
          <cell r="AO248">
            <v>0</v>
          </cell>
          <cell r="AP248">
            <v>-2802.0529999999999</v>
          </cell>
          <cell r="AQ248">
            <v>939.00699999999995</v>
          </cell>
          <cell r="AR248">
            <v>-197.06</v>
          </cell>
          <cell r="AS248">
            <v>-3544</v>
          </cell>
          <cell r="AV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3164.29</v>
          </cell>
          <cell r="BP248">
            <v>12</v>
          </cell>
          <cell r="BQ248">
            <v>0</v>
          </cell>
          <cell r="BR248">
            <v>0</v>
          </cell>
          <cell r="BS248">
            <v>0</v>
          </cell>
          <cell r="BT248">
            <v>0.5</v>
          </cell>
          <cell r="BU248">
            <v>0</v>
          </cell>
          <cell r="BV248">
            <v>0</v>
          </cell>
          <cell r="BW248">
            <v>0.1</v>
          </cell>
          <cell r="BX248" t="str">
            <v>Tiny Kingdom</v>
          </cell>
          <cell r="BY248" t="str">
            <v>Girls</v>
          </cell>
          <cell r="BZ248" t="str">
            <v>External</v>
          </cell>
          <cell r="CA248" t="str">
            <v>Kurta Sets</v>
          </cell>
          <cell r="CB248" t="str">
            <v>ON_HAND</v>
          </cell>
          <cell r="CC248" t="b">
            <v>0</v>
          </cell>
          <cell r="CD248" t="str">
            <v>**********</v>
          </cell>
          <cell r="CE248">
            <v>282010</v>
          </cell>
          <cell r="CF248" t="str">
            <v>27AXUPC8425A1ZH</v>
          </cell>
          <cell r="CH248" t="str">
            <v>29AAECM9636P1ZJ</v>
          </cell>
          <cell r="CI248" t="str">
            <v>Mumbai</v>
          </cell>
          <cell r="CJ248">
            <v>400013</v>
          </cell>
          <cell r="CK248" t="str">
            <v>maharashtra</v>
          </cell>
          <cell r="CL248" t="str">
            <v>MH</v>
          </cell>
          <cell r="CN248">
            <v>0</v>
          </cell>
          <cell r="CO248">
            <v>920.02200000000005</v>
          </cell>
          <cell r="CP248">
            <v>920.02200000000005</v>
          </cell>
          <cell r="CQ248">
            <v>0</v>
          </cell>
          <cell r="CR248">
            <v>0</v>
          </cell>
          <cell r="CS248">
            <v>0</v>
          </cell>
          <cell r="CT248">
            <v>1250</v>
          </cell>
          <cell r="CU248">
            <v>3.1642899999999998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E248" t="str">
            <v>d74487ed-253f-440b-8c9b-475b72951539</v>
          </cell>
          <cell r="DF248">
            <v>100081000000</v>
          </cell>
          <cell r="DG248">
            <v>15.821</v>
          </cell>
          <cell r="DH248">
            <v>0</v>
          </cell>
          <cell r="DI248">
            <v>3.1640000000000001</v>
          </cell>
          <cell r="DJ248">
            <v>0</v>
          </cell>
          <cell r="DK248" t="str">
            <v>BRONZE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 t="str">
            <v>NA</v>
          </cell>
          <cell r="DU248" t="str">
            <v>NA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FG248" t="str">
            <v>unsettled</v>
          </cell>
          <cell r="FH248">
            <v>3750</v>
          </cell>
          <cell r="FI248">
            <v>2802.0529999999999</v>
          </cell>
          <cell r="FJ248">
            <v>939.00699999999995</v>
          </cell>
          <cell r="FK248">
            <v>197.06</v>
          </cell>
        </row>
        <row r="249">
          <cell r="A249">
            <v>8677429790</v>
          </cell>
          <cell r="B249">
            <v>10677354866</v>
          </cell>
          <cell r="C249" t="str">
            <v>return_refund</v>
          </cell>
          <cell r="D249">
            <v>45922.396527777775</v>
          </cell>
          <cell r="E249">
            <v>45917.434027777781</v>
          </cell>
          <cell r="F249">
            <v>44554</v>
          </cell>
          <cell r="G249" t="str">
            <v>Myntra Designs Pvt Ltd</v>
          </cell>
          <cell r="H249" t="str">
            <v>TIKIDRSS113553910</v>
          </cell>
          <cell r="I249" t="str">
            <v>\I2726TK000002961\""</v>
          </cell>
          <cell r="J249">
            <v>9770367832</v>
          </cell>
          <cell r="K249">
            <v>62042300</v>
          </cell>
          <cell r="L249" t="str">
            <v>Apparel</v>
          </cell>
          <cell r="M249" t="str">
            <v>INR</v>
          </cell>
          <cell r="N249">
            <v>2594</v>
          </cell>
          <cell r="O249">
            <v>2572.4050000000002</v>
          </cell>
          <cell r="P249">
            <v>21.594999999999999</v>
          </cell>
          <cell r="Q249">
            <v>3500</v>
          </cell>
          <cell r="R249">
            <v>700</v>
          </cell>
          <cell r="S249" t="str">
            <v>Inter-State</v>
          </cell>
          <cell r="T249">
            <v>12</v>
          </cell>
          <cell r="U249">
            <v>277.93</v>
          </cell>
          <cell r="V249">
            <v>0</v>
          </cell>
          <cell r="W249">
            <v>0</v>
          </cell>
          <cell r="X249">
            <v>11.58</v>
          </cell>
          <cell r="Y249">
            <v>2.3159999999999998</v>
          </cell>
          <cell r="AA249">
            <v>0</v>
          </cell>
          <cell r="AB249">
            <v>550.96600000000001</v>
          </cell>
          <cell r="AC249">
            <v>550.96600000000001</v>
          </cell>
          <cell r="AD249">
            <v>564.86199999999997</v>
          </cell>
          <cell r="AE249">
            <v>-197.06</v>
          </cell>
          <cell r="AF249">
            <v>167</v>
          </cell>
          <cell r="AG249">
            <v>0</v>
          </cell>
          <cell r="AH249">
            <v>0</v>
          </cell>
          <cell r="AI249">
            <v>0</v>
          </cell>
          <cell r="AJ249">
            <v>30.06</v>
          </cell>
          <cell r="AK249">
            <v>1</v>
          </cell>
          <cell r="AL249" t="str">
            <v>NATIONAL</v>
          </cell>
          <cell r="AM249">
            <v>2800</v>
          </cell>
          <cell r="AN249">
            <v>-2226.1979999999999</v>
          </cell>
          <cell r="AO249">
            <v>0</v>
          </cell>
          <cell r="AP249">
            <v>-2226.1979999999999</v>
          </cell>
          <cell r="AQ249">
            <v>4.702</v>
          </cell>
          <cell r="AR249">
            <v>-1.6402000000000001</v>
          </cell>
          <cell r="AS249">
            <v>-21.594999999999999</v>
          </cell>
          <cell r="AT249">
            <v>560.16</v>
          </cell>
          <cell r="AU249">
            <v>-195.41980000000001</v>
          </cell>
          <cell r="AV249">
            <v>-2572.4050000000002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2316.0700000000002</v>
          </cell>
          <cell r="BP249">
            <v>12</v>
          </cell>
          <cell r="BQ249">
            <v>0</v>
          </cell>
          <cell r="BR249">
            <v>0</v>
          </cell>
          <cell r="BS249">
            <v>0</v>
          </cell>
          <cell r="BT249">
            <v>0.5</v>
          </cell>
          <cell r="BU249">
            <v>0</v>
          </cell>
          <cell r="BV249">
            <v>0</v>
          </cell>
          <cell r="BW249">
            <v>0.1</v>
          </cell>
          <cell r="BX249" t="str">
            <v>Tiny Kingdom</v>
          </cell>
          <cell r="BY249" t="str">
            <v>Girls</v>
          </cell>
          <cell r="BZ249" t="str">
            <v>External</v>
          </cell>
          <cell r="CA249" t="str">
            <v>Dresses</v>
          </cell>
          <cell r="CB249" t="str">
            <v>ON_HAND</v>
          </cell>
          <cell r="CC249" t="b">
            <v>0</v>
          </cell>
          <cell r="CD249" t="str">
            <v>**********</v>
          </cell>
          <cell r="CE249">
            <v>202001</v>
          </cell>
          <cell r="CF249" t="str">
            <v>27AXUPC8425A1ZH</v>
          </cell>
          <cell r="CH249" t="str">
            <v>29AAECM9636P1ZJ</v>
          </cell>
          <cell r="CI249" t="str">
            <v>Mumbai</v>
          </cell>
          <cell r="CJ249">
            <v>400013</v>
          </cell>
          <cell r="CK249" t="str">
            <v>maharashtra</v>
          </cell>
          <cell r="CL249" t="str">
            <v>MH</v>
          </cell>
          <cell r="CN249">
            <v>0</v>
          </cell>
          <cell r="CO249">
            <v>4.5869999999999997</v>
          </cell>
          <cell r="CP249">
            <v>4.5869999999999997</v>
          </cell>
          <cell r="CQ249">
            <v>0</v>
          </cell>
          <cell r="CR249">
            <v>0</v>
          </cell>
          <cell r="CS249">
            <v>0</v>
          </cell>
          <cell r="CT249">
            <v>700</v>
          </cell>
          <cell r="CU249">
            <v>2.3160699999999999</v>
          </cell>
          <cell r="CW249">
            <v>0</v>
          </cell>
          <cell r="CX249">
            <v>546.37900000000002</v>
          </cell>
          <cell r="CY249">
            <v>546.37900000000002</v>
          </cell>
          <cell r="CZ249">
            <v>0</v>
          </cell>
          <cell r="DA249">
            <v>0</v>
          </cell>
          <cell r="DB249">
            <v>0</v>
          </cell>
          <cell r="DC249">
            <v>700</v>
          </cell>
          <cell r="DD249">
            <v>2.3160699999999999</v>
          </cell>
          <cell r="DE249" t="str">
            <v>3fc8b6ed-9ac3-40a8-aa91-88f3a76900c2</v>
          </cell>
          <cell r="DF249">
            <v>100081000000</v>
          </cell>
          <cell r="DG249">
            <v>9.6000000000000002E-2</v>
          </cell>
          <cell r="DH249">
            <v>11.484</v>
          </cell>
          <cell r="DI249">
            <v>1.9E-2</v>
          </cell>
          <cell r="DJ249">
            <v>2.2970000000000002</v>
          </cell>
          <cell r="DK249" t="str">
            <v>BRONZE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 t="str">
            <v>NA</v>
          </cell>
          <cell r="DU249" t="str">
            <v>NA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FG249" t="str">
            <v>unsettled</v>
          </cell>
          <cell r="FH249">
            <v>2800</v>
          </cell>
          <cell r="FI249">
            <v>2226.1979999999999</v>
          </cell>
          <cell r="FJ249">
            <v>564.86199999999997</v>
          </cell>
          <cell r="FK249">
            <v>197.06</v>
          </cell>
        </row>
        <row r="250">
          <cell r="A250">
            <v>8700263061</v>
          </cell>
          <cell r="B250">
            <v>10700193054</v>
          </cell>
          <cell r="C250" t="str">
            <v>return_refund</v>
          </cell>
          <cell r="D250">
            <v>45928.493055555555</v>
          </cell>
          <cell r="E250">
            <v>45923.446527777778</v>
          </cell>
          <cell r="F250">
            <v>44571</v>
          </cell>
          <cell r="G250" t="str">
            <v>Myntra Designs Pvt Ltd</v>
          </cell>
          <cell r="H250" t="str">
            <v>TIKICLST113026308</v>
          </cell>
          <cell r="I250" t="str">
            <v>\I2726TK000003096\""</v>
          </cell>
          <cell r="J250">
            <v>8700263061</v>
          </cell>
          <cell r="K250">
            <v>62042300</v>
          </cell>
          <cell r="L250" t="str">
            <v>Apparel</v>
          </cell>
          <cell r="M250" t="str">
            <v>INR</v>
          </cell>
          <cell r="N250">
            <v>3564</v>
          </cell>
          <cell r="O250">
            <v>0</v>
          </cell>
          <cell r="P250">
            <v>3564</v>
          </cell>
          <cell r="Q250">
            <v>4000</v>
          </cell>
          <cell r="R250">
            <v>230</v>
          </cell>
          <cell r="S250" t="str">
            <v>Inter-State</v>
          </cell>
          <cell r="T250">
            <v>18</v>
          </cell>
          <cell r="U250">
            <v>543.66</v>
          </cell>
          <cell r="V250">
            <v>0</v>
          </cell>
          <cell r="W250">
            <v>0</v>
          </cell>
          <cell r="X250">
            <v>15.102</v>
          </cell>
          <cell r="Y250">
            <v>3.02</v>
          </cell>
          <cell r="AA250">
            <v>0</v>
          </cell>
          <cell r="AB250">
            <v>883.15899999999999</v>
          </cell>
          <cell r="AC250">
            <v>883.15899999999999</v>
          </cell>
          <cell r="AD250">
            <v>901.28099999999995</v>
          </cell>
          <cell r="AE250">
            <v>-197.06</v>
          </cell>
          <cell r="AF250">
            <v>167</v>
          </cell>
          <cell r="AG250">
            <v>0</v>
          </cell>
          <cell r="AH250">
            <v>0</v>
          </cell>
          <cell r="AI250">
            <v>0</v>
          </cell>
          <cell r="AJ250">
            <v>30.06</v>
          </cell>
          <cell r="AK250">
            <v>1</v>
          </cell>
          <cell r="AL250" t="str">
            <v>NATIONAL</v>
          </cell>
          <cell r="AM250">
            <v>3770</v>
          </cell>
          <cell r="AN250">
            <v>-2859.779</v>
          </cell>
          <cell r="AO250">
            <v>0</v>
          </cell>
          <cell r="AP250">
            <v>-2859.779</v>
          </cell>
          <cell r="AQ250">
            <v>901.28099999999995</v>
          </cell>
          <cell r="AR250">
            <v>-197.06</v>
          </cell>
          <cell r="AS250">
            <v>-3564</v>
          </cell>
          <cell r="AV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3020.34</v>
          </cell>
          <cell r="BP250">
            <v>18</v>
          </cell>
          <cell r="BQ250">
            <v>0</v>
          </cell>
          <cell r="BR250">
            <v>0</v>
          </cell>
          <cell r="BS250">
            <v>0</v>
          </cell>
          <cell r="BT250">
            <v>0.5</v>
          </cell>
          <cell r="BU250">
            <v>0</v>
          </cell>
          <cell r="BV250">
            <v>0</v>
          </cell>
          <cell r="BW250">
            <v>0.1</v>
          </cell>
          <cell r="BX250" t="str">
            <v>Tiny Kingdom</v>
          </cell>
          <cell r="BY250" t="str">
            <v>Girls</v>
          </cell>
          <cell r="BZ250" t="str">
            <v>External</v>
          </cell>
          <cell r="CA250" t="str">
            <v>Clothing Set</v>
          </cell>
          <cell r="CB250" t="str">
            <v>ON_HAND</v>
          </cell>
          <cell r="CC250" t="b">
            <v>0</v>
          </cell>
          <cell r="CD250" t="str">
            <v>**********</v>
          </cell>
          <cell r="CE250">
            <v>223101</v>
          </cell>
          <cell r="CF250" t="str">
            <v>27AXUPC8425A1ZH</v>
          </cell>
          <cell r="CH250" t="str">
            <v>29AAECM9636P1ZJ</v>
          </cell>
          <cell r="CI250" t="str">
            <v>Mumbai</v>
          </cell>
          <cell r="CJ250">
            <v>400013</v>
          </cell>
          <cell r="CK250" t="str">
            <v>maharashtra</v>
          </cell>
          <cell r="CL250" t="str">
            <v>MH</v>
          </cell>
          <cell r="CN250">
            <v>0</v>
          </cell>
          <cell r="CO250">
            <v>883.15899999999999</v>
          </cell>
          <cell r="CP250">
            <v>883.15899999999999</v>
          </cell>
          <cell r="CQ250">
            <v>0</v>
          </cell>
          <cell r="CR250">
            <v>0</v>
          </cell>
          <cell r="CS250">
            <v>0</v>
          </cell>
          <cell r="CT250">
            <v>230</v>
          </cell>
          <cell r="CU250">
            <v>3.02034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E250" t="str">
            <v>cf5de5f4-5a8b-4ea2-8913-01fc1b6885e2</v>
          </cell>
          <cell r="DF250">
            <v>100084000000</v>
          </cell>
          <cell r="DG250">
            <v>15.102</v>
          </cell>
          <cell r="DH250">
            <v>0</v>
          </cell>
          <cell r="DI250">
            <v>3.02</v>
          </cell>
          <cell r="DJ250">
            <v>0</v>
          </cell>
          <cell r="DK250" t="str">
            <v>BRONZE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 t="str">
            <v>NA</v>
          </cell>
          <cell r="DU250" t="str">
            <v>NA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FG250" t="str">
            <v>unsettled</v>
          </cell>
          <cell r="FH250">
            <v>3770</v>
          </cell>
          <cell r="FI250">
            <v>2859.779</v>
          </cell>
          <cell r="FJ250">
            <v>901.28099999999995</v>
          </cell>
          <cell r="FK250">
            <v>197.06</v>
          </cell>
        </row>
        <row r="251">
          <cell r="A251">
            <v>8680967376</v>
          </cell>
          <cell r="B251">
            <v>10680893112</v>
          </cell>
          <cell r="C251" t="str">
            <v>return_refund</v>
          </cell>
          <cell r="D251">
            <v>45928.557638888888</v>
          </cell>
          <cell r="E251">
            <v>45918.800694444442</v>
          </cell>
          <cell r="F251">
            <v>44553</v>
          </cell>
          <cell r="G251" t="str">
            <v>Myntra Designs Pvt Ltd</v>
          </cell>
          <cell r="H251" t="str">
            <v>TIKIDRSS113491283</v>
          </cell>
          <cell r="I251" t="str">
            <v>\I2726TK000002987\""</v>
          </cell>
          <cell r="J251">
            <v>8680967376</v>
          </cell>
          <cell r="K251">
            <v>62042300</v>
          </cell>
          <cell r="L251" t="str">
            <v>Apparel</v>
          </cell>
          <cell r="M251" t="str">
            <v>INR</v>
          </cell>
          <cell r="N251">
            <v>2794</v>
          </cell>
          <cell r="O251">
            <v>2794</v>
          </cell>
          <cell r="P251">
            <v>0</v>
          </cell>
          <cell r="Q251">
            <v>3750</v>
          </cell>
          <cell r="R251">
            <v>750</v>
          </cell>
          <cell r="S251" t="str">
            <v>Inter-State</v>
          </cell>
          <cell r="T251">
            <v>12</v>
          </cell>
          <cell r="U251">
            <v>299.36</v>
          </cell>
          <cell r="V251">
            <v>0</v>
          </cell>
          <cell r="W251">
            <v>0</v>
          </cell>
          <cell r="X251">
            <v>12.473000000000001</v>
          </cell>
          <cell r="Y251">
            <v>2.4950000000000001</v>
          </cell>
          <cell r="AA251">
            <v>0</v>
          </cell>
          <cell r="AB251">
            <v>593.44600000000003</v>
          </cell>
          <cell r="AC251">
            <v>593.44600000000003</v>
          </cell>
          <cell r="AD251">
            <v>608.41399999999999</v>
          </cell>
          <cell r="AE251">
            <v>-197.06</v>
          </cell>
          <cell r="AF251">
            <v>167</v>
          </cell>
          <cell r="AG251">
            <v>0</v>
          </cell>
          <cell r="AH251">
            <v>0</v>
          </cell>
          <cell r="AI251">
            <v>0</v>
          </cell>
          <cell r="AJ251">
            <v>30.06</v>
          </cell>
          <cell r="AK251">
            <v>1</v>
          </cell>
          <cell r="AL251" t="str">
            <v>NATIONAL</v>
          </cell>
          <cell r="AM251">
            <v>3000</v>
          </cell>
          <cell r="AN251">
            <v>-2382.6460000000002</v>
          </cell>
          <cell r="AO251">
            <v>0</v>
          </cell>
          <cell r="AP251">
            <v>-2382.6460000000002</v>
          </cell>
          <cell r="AS251">
            <v>0</v>
          </cell>
          <cell r="AT251">
            <v>608.41399999999999</v>
          </cell>
          <cell r="AU251">
            <v>-197.06</v>
          </cell>
          <cell r="AV251">
            <v>-2794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2494.64</v>
          </cell>
          <cell r="BP251">
            <v>12</v>
          </cell>
          <cell r="BQ251">
            <v>0</v>
          </cell>
          <cell r="BR251">
            <v>0</v>
          </cell>
          <cell r="BS251">
            <v>0</v>
          </cell>
          <cell r="BT251">
            <v>0.5</v>
          </cell>
          <cell r="BU251">
            <v>0</v>
          </cell>
          <cell r="BV251">
            <v>0</v>
          </cell>
          <cell r="BW251">
            <v>0.1</v>
          </cell>
          <cell r="BX251" t="str">
            <v>Tiny Kingdom</v>
          </cell>
          <cell r="BY251" t="str">
            <v>Girls</v>
          </cell>
          <cell r="BZ251" t="str">
            <v>External</v>
          </cell>
          <cell r="CA251" t="str">
            <v>Dresses</v>
          </cell>
          <cell r="CB251" t="str">
            <v>ON_HAND</v>
          </cell>
          <cell r="CC251" t="b">
            <v>0</v>
          </cell>
          <cell r="CD251" t="str">
            <v>**********</v>
          </cell>
          <cell r="CE251">
            <v>125201</v>
          </cell>
          <cell r="CF251" t="str">
            <v>27AXUPC8425A1ZH</v>
          </cell>
          <cell r="CH251" t="str">
            <v>29AAECM9636P1ZJ</v>
          </cell>
          <cell r="CI251" t="str">
            <v>Mumbai</v>
          </cell>
          <cell r="CJ251">
            <v>400013</v>
          </cell>
          <cell r="CK251" t="str">
            <v>maharashtra</v>
          </cell>
          <cell r="CL251" t="str">
            <v>MH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W251">
            <v>0</v>
          </cell>
          <cell r="CX251">
            <v>593.44600000000003</v>
          </cell>
          <cell r="CY251">
            <v>593.44600000000003</v>
          </cell>
          <cell r="CZ251">
            <v>0</v>
          </cell>
          <cell r="DA251">
            <v>0</v>
          </cell>
          <cell r="DB251">
            <v>0</v>
          </cell>
          <cell r="DC251">
            <v>750</v>
          </cell>
          <cell r="DD251">
            <v>2.49464</v>
          </cell>
          <cell r="DE251" t="str">
            <v>cf054e59-fb81-4fce-90c1-9745327d5d48</v>
          </cell>
          <cell r="DF251">
            <v>100083000000</v>
          </cell>
          <cell r="DG251">
            <v>0</v>
          </cell>
          <cell r="DH251">
            <v>12.473000000000001</v>
          </cell>
          <cell r="DI251">
            <v>0</v>
          </cell>
          <cell r="DJ251">
            <v>2.4950000000000001</v>
          </cell>
          <cell r="DK251" t="str">
            <v>BRONZE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 t="str">
            <v>NA</v>
          </cell>
          <cell r="DU251" t="str">
            <v>NA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FG251" t="str">
            <v>unsettled</v>
          </cell>
          <cell r="FH251">
            <v>3000</v>
          </cell>
          <cell r="FI251">
            <v>2382.6460000000002</v>
          </cell>
          <cell r="FJ251">
            <v>608.41399999999999</v>
          </cell>
          <cell r="FK251">
            <v>197.06</v>
          </cell>
        </row>
        <row r="252">
          <cell r="A252">
            <v>8689247485</v>
          </cell>
          <cell r="B252">
            <v>10689175468</v>
          </cell>
          <cell r="C252" t="str">
            <v>return_refund</v>
          </cell>
          <cell r="D252">
            <v>45929.479861111111</v>
          </cell>
          <cell r="E252">
            <v>45922.443055555559</v>
          </cell>
          <cell r="G252" t="str">
            <v>Myntra Designs Pvt Ltd</v>
          </cell>
          <cell r="H252" t="str">
            <v>TIKICLST112314232</v>
          </cell>
          <cell r="I252" t="str">
            <v>\I2726TK000003062\""</v>
          </cell>
          <cell r="J252">
            <v>9774312398</v>
          </cell>
          <cell r="K252">
            <v>62042300</v>
          </cell>
          <cell r="L252" t="str">
            <v>Apparel</v>
          </cell>
          <cell r="M252" t="str">
            <v>INR</v>
          </cell>
          <cell r="N252">
            <v>3564</v>
          </cell>
          <cell r="O252">
            <v>0</v>
          </cell>
          <cell r="P252">
            <v>3564</v>
          </cell>
          <cell r="Q252">
            <v>4000</v>
          </cell>
          <cell r="R252">
            <v>230</v>
          </cell>
          <cell r="S252" t="str">
            <v>Inter-State</v>
          </cell>
          <cell r="T252">
            <v>18</v>
          </cell>
          <cell r="U252">
            <v>543.66</v>
          </cell>
          <cell r="V252">
            <v>0</v>
          </cell>
          <cell r="W252">
            <v>0</v>
          </cell>
          <cell r="X252">
            <v>15.102</v>
          </cell>
          <cell r="Y252">
            <v>3.02</v>
          </cell>
          <cell r="AA252">
            <v>0</v>
          </cell>
          <cell r="AB252">
            <v>883.15899999999999</v>
          </cell>
          <cell r="AC252">
            <v>883.15899999999999</v>
          </cell>
          <cell r="AD252">
            <v>901.28099999999995</v>
          </cell>
          <cell r="AE252">
            <v>-197.06</v>
          </cell>
          <cell r="AF252">
            <v>167</v>
          </cell>
          <cell r="AG252">
            <v>0</v>
          </cell>
          <cell r="AH252">
            <v>0</v>
          </cell>
          <cell r="AI252">
            <v>0</v>
          </cell>
          <cell r="AJ252">
            <v>30.06</v>
          </cell>
          <cell r="AK252">
            <v>1</v>
          </cell>
          <cell r="AL252" t="str">
            <v>NATIONAL</v>
          </cell>
          <cell r="AM252">
            <v>3770</v>
          </cell>
          <cell r="AN252">
            <v>-2859.779</v>
          </cell>
          <cell r="AO252">
            <v>0</v>
          </cell>
          <cell r="AP252">
            <v>-2859.779</v>
          </cell>
          <cell r="AQ252">
            <v>901.28099999999995</v>
          </cell>
          <cell r="AR252">
            <v>-197.06</v>
          </cell>
          <cell r="AS252">
            <v>-3564</v>
          </cell>
          <cell r="AV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3020.34</v>
          </cell>
          <cell r="BP252">
            <v>18</v>
          </cell>
          <cell r="BQ252">
            <v>0</v>
          </cell>
          <cell r="BR252">
            <v>0</v>
          </cell>
          <cell r="BS252">
            <v>0</v>
          </cell>
          <cell r="BT252">
            <v>0.5</v>
          </cell>
          <cell r="BU252">
            <v>0</v>
          </cell>
          <cell r="BV252">
            <v>0</v>
          </cell>
          <cell r="BW252">
            <v>0.1</v>
          </cell>
          <cell r="BX252" t="str">
            <v>Tiny Kingdom</v>
          </cell>
          <cell r="BY252" t="str">
            <v>Girls</v>
          </cell>
          <cell r="BZ252" t="str">
            <v>External</v>
          </cell>
          <cell r="CA252" t="str">
            <v>Clothing Set</v>
          </cell>
          <cell r="CB252" t="str">
            <v>ON_HAND</v>
          </cell>
          <cell r="CC252" t="b">
            <v>0</v>
          </cell>
          <cell r="CD252" t="str">
            <v>**********</v>
          </cell>
          <cell r="CE252">
            <v>637214</v>
          </cell>
          <cell r="CF252" t="str">
            <v>27AXUPC8425A1ZH</v>
          </cell>
          <cell r="CH252" t="str">
            <v>29AAECM9636P1ZJ</v>
          </cell>
          <cell r="CI252" t="str">
            <v>Mumbai</v>
          </cell>
          <cell r="CJ252">
            <v>400013</v>
          </cell>
          <cell r="CK252" t="str">
            <v>maharashtra</v>
          </cell>
          <cell r="CL252" t="str">
            <v>MH</v>
          </cell>
          <cell r="CN252">
            <v>0</v>
          </cell>
          <cell r="CO252">
            <v>883.15899999999999</v>
          </cell>
          <cell r="CP252">
            <v>883.15899999999999</v>
          </cell>
          <cell r="CQ252">
            <v>0</v>
          </cell>
          <cell r="CR252">
            <v>0</v>
          </cell>
          <cell r="CS252">
            <v>0</v>
          </cell>
          <cell r="CT252">
            <v>230</v>
          </cell>
          <cell r="CU252">
            <v>3.02034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E252" t="str">
            <v>ef20eac0-eb9e-4fa8-9c55-50cc8c975f8d</v>
          </cell>
          <cell r="DF252">
            <v>100084000000</v>
          </cell>
          <cell r="DG252">
            <v>15.102</v>
          </cell>
          <cell r="DH252">
            <v>0</v>
          </cell>
          <cell r="DI252">
            <v>3.02</v>
          </cell>
          <cell r="DJ252">
            <v>0</v>
          </cell>
          <cell r="DK252" t="str">
            <v>BRONZE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 t="str">
            <v>NA</v>
          </cell>
          <cell r="DU252" t="str">
            <v>NA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FG252" t="str">
            <v>unsettled</v>
          </cell>
          <cell r="FH252">
            <v>3770</v>
          </cell>
          <cell r="FI252">
            <v>2859.779</v>
          </cell>
          <cell r="FJ252">
            <v>901.28099999999995</v>
          </cell>
          <cell r="FK252">
            <v>197.06</v>
          </cell>
        </row>
        <row r="253">
          <cell r="A253">
            <v>8680270452</v>
          </cell>
          <cell r="B253">
            <v>10680196035</v>
          </cell>
          <cell r="C253" t="str">
            <v>return_refund</v>
          </cell>
          <cell r="D253">
            <v>45929.689583333333</v>
          </cell>
          <cell r="E253">
            <v>45918.544444444444</v>
          </cell>
          <cell r="F253">
            <v>44557</v>
          </cell>
          <cell r="G253" t="str">
            <v>Myntra Designs Pvt Ltd</v>
          </cell>
          <cell r="H253" t="str">
            <v>TNBYCLST96143590</v>
          </cell>
          <cell r="I253" t="str">
            <v>\I2726TK000002980\""</v>
          </cell>
          <cell r="J253">
            <v>8680270452</v>
          </cell>
          <cell r="K253">
            <v>62042300</v>
          </cell>
          <cell r="L253" t="str">
            <v>Apparel</v>
          </cell>
          <cell r="M253" t="str">
            <v>INR</v>
          </cell>
          <cell r="N253">
            <v>1994</v>
          </cell>
          <cell r="O253">
            <v>1977.941</v>
          </cell>
          <cell r="P253">
            <v>16.059000000000001</v>
          </cell>
          <cell r="Q253">
            <v>2750</v>
          </cell>
          <cell r="R253">
            <v>550</v>
          </cell>
          <cell r="S253" t="str">
            <v>Inter-State</v>
          </cell>
          <cell r="T253">
            <v>12</v>
          </cell>
          <cell r="U253">
            <v>213.64</v>
          </cell>
          <cell r="V253">
            <v>0</v>
          </cell>
          <cell r="W253">
            <v>0</v>
          </cell>
          <cell r="X253">
            <v>8.9019999999999992</v>
          </cell>
          <cell r="Y253">
            <v>1.78</v>
          </cell>
          <cell r="AA253">
            <v>0</v>
          </cell>
          <cell r="AB253">
            <v>541.17100000000005</v>
          </cell>
          <cell r="AC253">
            <v>541.17100000000005</v>
          </cell>
          <cell r="AD253">
            <v>551.85299999999995</v>
          </cell>
          <cell r="AE253">
            <v>-197.06</v>
          </cell>
          <cell r="AF253">
            <v>167</v>
          </cell>
          <cell r="AG253">
            <v>0</v>
          </cell>
          <cell r="AH253">
            <v>0</v>
          </cell>
          <cell r="AI253">
            <v>0</v>
          </cell>
          <cell r="AJ253">
            <v>30.06</v>
          </cell>
          <cell r="AK253">
            <v>1</v>
          </cell>
          <cell r="AL253" t="str">
            <v>NATIONAL</v>
          </cell>
          <cell r="AM253">
            <v>2200</v>
          </cell>
          <cell r="AN253">
            <v>-1639.2070000000001</v>
          </cell>
          <cell r="AO253">
            <v>0</v>
          </cell>
          <cell r="AP253">
            <v>-1639.2070000000001</v>
          </cell>
          <cell r="AQ253">
            <v>4.444</v>
          </cell>
          <cell r="AR253">
            <v>-1.5871</v>
          </cell>
          <cell r="AS253">
            <v>-16.059000000000001</v>
          </cell>
          <cell r="AT253">
            <v>547.40899999999999</v>
          </cell>
          <cell r="AU253">
            <v>-195.47290000000001</v>
          </cell>
          <cell r="AV253">
            <v>-1977.941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1780.36</v>
          </cell>
          <cell r="BP253">
            <v>12</v>
          </cell>
          <cell r="BQ253">
            <v>0</v>
          </cell>
          <cell r="BR253">
            <v>0</v>
          </cell>
          <cell r="BS253">
            <v>0</v>
          </cell>
          <cell r="BT253">
            <v>0.5</v>
          </cell>
          <cell r="BU253">
            <v>0</v>
          </cell>
          <cell r="BV253">
            <v>0</v>
          </cell>
          <cell r="BW253">
            <v>0.1</v>
          </cell>
          <cell r="BX253" t="str">
            <v>Tiny Baby</v>
          </cell>
          <cell r="BY253" t="str">
            <v>Girls</v>
          </cell>
          <cell r="BZ253" t="str">
            <v>External</v>
          </cell>
          <cell r="CA253" t="str">
            <v>Clothing Set</v>
          </cell>
          <cell r="CB253" t="str">
            <v>ON_HAND</v>
          </cell>
          <cell r="CC253" t="b">
            <v>0</v>
          </cell>
          <cell r="CD253" t="str">
            <v>**********</v>
          </cell>
          <cell r="CE253">
            <v>700039</v>
          </cell>
          <cell r="CF253" t="str">
            <v>27AXUPC8425A1ZH</v>
          </cell>
          <cell r="CH253" t="str">
            <v>29AAECM9636P1ZJ</v>
          </cell>
          <cell r="CI253" t="str">
            <v>Mumbai</v>
          </cell>
          <cell r="CJ253">
            <v>400013</v>
          </cell>
          <cell r="CK253" t="str">
            <v>maharashtra</v>
          </cell>
          <cell r="CL253" t="str">
            <v>MH</v>
          </cell>
          <cell r="CN253">
            <v>0</v>
          </cell>
          <cell r="CO253">
            <v>4.3579999999999997</v>
          </cell>
          <cell r="CP253">
            <v>4.3579999999999997</v>
          </cell>
          <cell r="CQ253">
            <v>0</v>
          </cell>
          <cell r="CR253">
            <v>0</v>
          </cell>
          <cell r="CS253">
            <v>0</v>
          </cell>
          <cell r="CT253">
            <v>550</v>
          </cell>
          <cell r="CU253">
            <v>1.7803599999999999</v>
          </cell>
          <cell r="CW253">
            <v>0</v>
          </cell>
          <cell r="CX253">
            <v>536.81299999999999</v>
          </cell>
          <cell r="CY253">
            <v>536.81299999999999</v>
          </cell>
          <cell r="CZ253">
            <v>0</v>
          </cell>
          <cell r="DA253">
            <v>0</v>
          </cell>
          <cell r="DB253">
            <v>0</v>
          </cell>
          <cell r="DC253">
            <v>550</v>
          </cell>
          <cell r="DD253">
            <v>1.7803599999999999</v>
          </cell>
          <cell r="DE253" t="str">
            <v>4ef0e60d-675f-4aab-af4d-b379e96f377b</v>
          </cell>
          <cell r="DF253">
            <v>100082000000</v>
          </cell>
          <cell r="DG253">
            <v>7.1999999999999995E-2</v>
          </cell>
          <cell r="DH253">
            <v>8.83</v>
          </cell>
          <cell r="DI253">
            <v>1.4E-2</v>
          </cell>
          <cell r="DJ253">
            <v>1.766</v>
          </cell>
          <cell r="DK253" t="str">
            <v>BRONZE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 t="str">
            <v>NA</v>
          </cell>
          <cell r="DU253" t="str">
            <v>NA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FG253" t="str">
            <v>unsettled</v>
          </cell>
          <cell r="FH253">
            <v>2200</v>
          </cell>
          <cell r="FI253">
            <v>1639.2070000000001</v>
          </cell>
          <cell r="FJ253">
            <v>551.85299999999995</v>
          </cell>
          <cell r="FK253">
            <v>197.06</v>
          </cell>
        </row>
        <row r="254">
          <cell r="A254">
            <v>8679284151</v>
          </cell>
          <cell r="B254">
            <v>10679209400</v>
          </cell>
          <cell r="C254" t="str">
            <v>return_refund</v>
          </cell>
          <cell r="D254">
            <v>45923.559027777781</v>
          </cell>
          <cell r="E254">
            <v>45918.445138888892</v>
          </cell>
          <cell r="F254">
            <v>44555</v>
          </cell>
          <cell r="G254" t="str">
            <v>Myntra Designs Pvt Ltd</v>
          </cell>
          <cell r="H254" t="str">
            <v>TIKIDRSS101406983</v>
          </cell>
          <cell r="I254" t="str">
            <v>\I2726TK000002975\""</v>
          </cell>
          <cell r="J254">
            <v>8679284151</v>
          </cell>
          <cell r="K254">
            <v>62042300</v>
          </cell>
          <cell r="L254" t="str">
            <v>Apparel</v>
          </cell>
          <cell r="M254" t="str">
            <v>INR</v>
          </cell>
          <cell r="N254">
            <v>2994</v>
          </cell>
          <cell r="O254">
            <v>0</v>
          </cell>
          <cell r="P254">
            <v>2993.98</v>
          </cell>
          <cell r="Q254">
            <v>4000</v>
          </cell>
          <cell r="R254">
            <v>800</v>
          </cell>
          <cell r="S254" t="str">
            <v>Intra-State</v>
          </cell>
          <cell r="T254">
            <v>12</v>
          </cell>
          <cell r="U254">
            <v>0</v>
          </cell>
          <cell r="V254">
            <v>160.38999999999999</v>
          </cell>
          <cell r="W254">
            <v>160.38999999999999</v>
          </cell>
          <cell r="X254">
            <v>13.366</v>
          </cell>
          <cell r="Y254">
            <v>2.673</v>
          </cell>
          <cell r="AA254">
            <v>0</v>
          </cell>
          <cell r="AB254">
            <v>635.92100000000005</v>
          </cell>
          <cell r="AC254">
            <v>635.92100000000005</v>
          </cell>
          <cell r="AD254">
            <v>651.96</v>
          </cell>
          <cell r="AE254">
            <v>-132.16</v>
          </cell>
          <cell r="AF254">
            <v>112</v>
          </cell>
          <cell r="AG254">
            <v>0</v>
          </cell>
          <cell r="AH254">
            <v>0</v>
          </cell>
          <cell r="AI254">
            <v>0</v>
          </cell>
          <cell r="AJ254">
            <v>20.16</v>
          </cell>
          <cell r="AK254">
            <v>1</v>
          </cell>
          <cell r="AL254" t="str">
            <v>ZONAL</v>
          </cell>
          <cell r="AM254">
            <v>3200</v>
          </cell>
          <cell r="AN254">
            <v>-2474.1799999999998</v>
          </cell>
          <cell r="AO254">
            <v>0</v>
          </cell>
          <cell r="AP254">
            <v>-2474.1799999999998</v>
          </cell>
          <cell r="AQ254">
            <v>651.96</v>
          </cell>
          <cell r="AR254">
            <v>-132.16</v>
          </cell>
          <cell r="AS254">
            <v>-2993.98</v>
          </cell>
          <cell r="AV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2673.22</v>
          </cell>
          <cell r="BP254">
            <v>0</v>
          </cell>
          <cell r="BQ254">
            <v>6</v>
          </cell>
          <cell r="BR254">
            <v>6</v>
          </cell>
          <cell r="BS254">
            <v>0</v>
          </cell>
          <cell r="BT254">
            <v>0</v>
          </cell>
          <cell r="BU254">
            <v>0.25</v>
          </cell>
          <cell r="BV254">
            <v>0.25</v>
          </cell>
          <cell r="BW254">
            <v>0.1</v>
          </cell>
          <cell r="BX254" t="str">
            <v>Tiny Kingdom</v>
          </cell>
          <cell r="BY254" t="str">
            <v>Girls</v>
          </cell>
          <cell r="BZ254" t="str">
            <v>External</v>
          </cell>
          <cell r="CA254" t="str">
            <v>Dresses</v>
          </cell>
          <cell r="CB254" t="str">
            <v>ON_HAND</v>
          </cell>
          <cell r="CC254" t="b">
            <v>0</v>
          </cell>
          <cell r="CD254" t="str">
            <v>**********</v>
          </cell>
          <cell r="CE254">
            <v>431001</v>
          </cell>
          <cell r="CF254" t="str">
            <v>27AXUPC8425A1ZH</v>
          </cell>
          <cell r="CH254" t="str">
            <v>29AAECM9636P1ZJ</v>
          </cell>
          <cell r="CI254" t="str">
            <v>Mumbai</v>
          </cell>
          <cell r="CJ254">
            <v>400013</v>
          </cell>
          <cell r="CK254" t="str">
            <v>maharashtra</v>
          </cell>
          <cell r="CL254" t="str">
            <v>MH</v>
          </cell>
          <cell r="CN254">
            <v>0</v>
          </cell>
          <cell r="CO254">
            <v>635.92100000000005</v>
          </cell>
          <cell r="CP254">
            <v>635.92100000000005</v>
          </cell>
          <cell r="CQ254">
            <v>0</v>
          </cell>
          <cell r="CR254">
            <v>0</v>
          </cell>
          <cell r="CS254">
            <v>0</v>
          </cell>
          <cell r="CT254">
            <v>800</v>
          </cell>
          <cell r="CU254">
            <v>2.6732200000000002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E254" t="str">
            <v>6448e2e7-3928-411d-aae8-cf44698ce7e9</v>
          </cell>
          <cell r="DF254">
            <v>100081000000</v>
          </cell>
          <cell r="DG254">
            <v>13.366</v>
          </cell>
          <cell r="DH254">
            <v>0</v>
          </cell>
          <cell r="DI254">
            <v>2.673</v>
          </cell>
          <cell r="DJ254">
            <v>0</v>
          </cell>
          <cell r="DK254" t="str">
            <v>BRONZE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 t="str">
            <v>NA</v>
          </cell>
          <cell r="DU254" t="str">
            <v>NA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FG254" t="str">
            <v>unsettled</v>
          </cell>
          <cell r="FH254">
            <v>3200</v>
          </cell>
          <cell r="FI254">
            <v>2474.1799999999998</v>
          </cell>
          <cell r="FJ254">
            <v>651.96</v>
          </cell>
          <cell r="FK254">
            <v>132.16</v>
          </cell>
        </row>
        <row r="255">
          <cell r="A255">
            <v>8698964265</v>
          </cell>
          <cell r="B255">
            <v>10698893595</v>
          </cell>
          <cell r="C255" t="str">
            <v>return_refund</v>
          </cell>
          <cell r="D255">
            <v>45926.542361111111</v>
          </cell>
          <cell r="E255">
            <v>45923.446527777778</v>
          </cell>
          <cell r="F255">
            <v>44569</v>
          </cell>
          <cell r="G255" t="str">
            <v>Myntra Designs Pvt Ltd</v>
          </cell>
          <cell r="H255" t="str">
            <v>TIKIDRSS103325546</v>
          </cell>
          <cell r="I255" t="str">
            <v>\I2726TK000003100\""</v>
          </cell>
          <cell r="J255">
            <v>9775417268</v>
          </cell>
          <cell r="K255">
            <v>62042300</v>
          </cell>
          <cell r="L255" t="str">
            <v>Apparel</v>
          </cell>
          <cell r="M255" t="str">
            <v>INR</v>
          </cell>
          <cell r="N255">
            <v>2432.02</v>
          </cell>
          <cell r="O255">
            <v>0</v>
          </cell>
          <cell r="P255">
            <v>2432</v>
          </cell>
          <cell r="Q255">
            <v>3500</v>
          </cell>
          <cell r="R255">
            <v>862</v>
          </cell>
          <cell r="S255" t="str">
            <v>Intra-State</v>
          </cell>
          <cell r="T255">
            <v>5</v>
          </cell>
          <cell r="U255">
            <v>0</v>
          </cell>
          <cell r="V255">
            <v>57.91</v>
          </cell>
          <cell r="W255">
            <v>57.91</v>
          </cell>
          <cell r="X255">
            <v>11.581</v>
          </cell>
          <cell r="Y255">
            <v>2.3159999999999998</v>
          </cell>
          <cell r="AA255">
            <v>0</v>
          </cell>
          <cell r="AB255">
            <v>516.55700000000002</v>
          </cell>
          <cell r="AC255">
            <v>516.55700000000002</v>
          </cell>
          <cell r="AD255">
            <v>530.45399999999995</v>
          </cell>
          <cell r="AE255">
            <v>-107.38</v>
          </cell>
          <cell r="AF255">
            <v>91</v>
          </cell>
          <cell r="AG255">
            <v>0</v>
          </cell>
          <cell r="AH255">
            <v>0</v>
          </cell>
          <cell r="AI255">
            <v>0</v>
          </cell>
          <cell r="AJ255">
            <v>16.38</v>
          </cell>
          <cell r="AK255">
            <v>1</v>
          </cell>
          <cell r="AL255" t="str">
            <v>LOCAL</v>
          </cell>
          <cell r="AM255">
            <v>2638</v>
          </cell>
          <cell r="AN255">
            <v>-2008.9259999999999</v>
          </cell>
          <cell r="AO255">
            <v>0</v>
          </cell>
          <cell r="AP255">
            <v>-2008.9259999999999</v>
          </cell>
          <cell r="AQ255">
            <v>530.45399999999995</v>
          </cell>
          <cell r="AR255">
            <v>-107.38</v>
          </cell>
          <cell r="AS255">
            <v>-2432</v>
          </cell>
          <cell r="AV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2316.1999999999998</v>
          </cell>
          <cell r="BP255">
            <v>0</v>
          </cell>
          <cell r="BQ255">
            <v>2.5</v>
          </cell>
          <cell r="BR255">
            <v>2.5</v>
          </cell>
          <cell r="BS255">
            <v>0</v>
          </cell>
          <cell r="BT255">
            <v>0</v>
          </cell>
          <cell r="BU255">
            <v>0.25</v>
          </cell>
          <cell r="BV255">
            <v>0.25</v>
          </cell>
          <cell r="BW255">
            <v>0.1</v>
          </cell>
          <cell r="BX255" t="str">
            <v>Tiny Kingdom</v>
          </cell>
          <cell r="BY255" t="str">
            <v>Girls</v>
          </cell>
          <cell r="BZ255" t="str">
            <v>External</v>
          </cell>
          <cell r="CA255" t="str">
            <v>Dresses</v>
          </cell>
          <cell r="CB255" t="str">
            <v>ON_HAND</v>
          </cell>
          <cell r="CC255" t="b">
            <v>0</v>
          </cell>
          <cell r="CD255" t="str">
            <v>**********</v>
          </cell>
          <cell r="CE255">
            <v>410210</v>
          </cell>
          <cell r="CF255" t="str">
            <v>27AXUPC8425A1ZH</v>
          </cell>
          <cell r="CH255" t="str">
            <v>29AAECM9636P1ZJ</v>
          </cell>
          <cell r="CI255" t="str">
            <v>Mumbai</v>
          </cell>
          <cell r="CJ255">
            <v>400013</v>
          </cell>
          <cell r="CK255" t="str">
            <v>maharashtra</v>
          </cell>
          <cell r="CL255" t="str">
            <v>MH</v>
          </cell>
          <cell r="CN255">
            <v>0</v>
          </cell>
          <cell r="CO255">
            <v>516.55700000000002</v>
          </cell>
          <cell r="CP255">
            <v>516.55700000000002</v>
          </cell>
          <cell r="CQ255">
            <v>0</v>
          </cell>
          <cell r="CR255">
            <v>0</v>
          </cell>
          <cell r="CS255">
            <v>0</v>
          </cell>
          <cell r="CT255">
            <v>862</v>
          </cell>
          <cell r="CU255">
            <v>2.3161999999999998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E255" t="str">
            <v>9f747780-1f43-4e53-8e69-b7a4b5ab4642</v>
          </cell>
          <cell r="DF255">
            <v>100082000000</v>
          </cell>
          <cell r="DG255">
            <v>11.581</v>
          </cell>
          <cell r="DH255">
            <v>0</v>
          </cell>
          <cell r="DI255">
            <v>2.3159999999999998</v>
          </cell>
          <cell r="DJ255">
            <v>0</v>
          </cell>
          <cell r="DK255" t="str">
            <v>BRONZE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 t="str">
            <v>NA</v>
          </cell>
          <cell r="DU255" t="str">
            <v>NA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FG255" t="str">
            <v>unsettled</v>
          </cell>
          <cell r="FH255">
            <v>2638</v>
          </cell>
          <cell r="FI255">
            <v>2008.9259999999999</v>
          </cell>
          <cell r="FJ255">
            <v>530.45399999999995</v>
          </cell>
          <cell r="FK255">
            <v>107.38</v>
          </cell>
        </row>
        <row r="256">
          <cell r="A256">
            <v>8686759194</v>
          </cell>
          <cell r="B256">
            <v>10686686593</v>
          </cell>
          <cell r="C256" t="str">
            <v>return_refund</v>
          </cell>
          <cell r="D256">
            <v>45925.540972222225</v>
          </cell>
          <cell r="E256">
            <v>45920.538888888892</v>
          </cell>
          <cell r="G256" t="str">
            <v>Myntra Designs Pvt Ltd</v>
          </cell>
          <cell r="H256" t="str">
            <v>TIKICLST103607741</v>
          </cell>
          <cell r="I256" t="str">
            <v>\I2726TK000003017\""</v>
          </cell>
          <cell r="J256">
            <v>8686759194</v>
          </cell>
          <cell r="K256">
            <v>62042300</v>
          </cell>
          <cell r="L256" t="str">
            <v>Apparel</v>
          </cell>
          <cell r="M256" t="str">
            <v>INR</v>
          </cell>
          <cell r="N256">
            <v>3544</v>
          </cell>
          <cell r="O256">
            <v>0</v>
          </cell>
          <cell r="P256">
            <v>3544</v>
          </cell>
          <cell r="Q256">
            <v>5000</v>
          </cell>
          <cell r="R256">
            <v>1250</v>
          </cell>
          <cell r="S256" t="str">
            <v>Inter-State</v>
          </cell>
          <cell r="T256">
            <v>12</v>
          </cell>
          <cell r="U256">
            <v>379.71</v>
          </cell>
          <cell r="V256">
            <v>0</v>
          </cell>
          <cell r="W256">
            <v>0</v>
          </cell>
          <cell r="X256">
            <v>15.821</v>
          </cell>
          <cell r="Y256">
            <v>3.1640000000000001</v>
          </cell>
          <cell r="AA256">
            <v>0</v>
          </cell>
          <cell r="AB256">
            <v>920.02200000000005</v>
          </cell>
          <cell r="AC256">
            <v>920.02200000000005</v>
          </cell>
          <cell r="AD256">
            <v>939.00699999999995</v>
          </cell>
          <cell r="AE256">
            <v>-197.06</v>
          </cell>
          <cell r="AF256">
            <v>167</v>
          </cell>
          <cell r="AG256">
            <v>0</v>
          </cell>
          <cell r="AH256">
            <v>0</v>
          </cell>
          <cell r="AI256">
            <v>0</v>
          </cell>
          <cell r="AJ256">
            <v>30.06</v>
          </cell>
          <cell r="AK256">
            <v>1</v>
          </cell>
          <cell r="AL256" t="str">
            <v>NATIONAL</v>
          </cell>
          <cell r="AM256">
            <v>3750</v>
          </cell>
          <cell r="AN256">
            <v>-2802.0529999999999</v>
          </cell>
          <cell r="AO256">
            <v>0</v>
          </cell>
          <cell r="AP256">
            <v>-2802.0529999999999</v>
          </cell>
          <cell r="AQ256">
            <v>939.00699999999995</v>
          </cell>
          <cell r="AR256">
            <v>-197.06</v>
          </cell>
          <cell r="AS256">
            <v>-3544</v>
          </cell>
          <cell r="AV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3164.29</v>
          </cell>
          <cell r="BP256">
            <v>12</v>
          </cell>
          <cell r="BQ256">
            <v>0</v>
          </cell>
          <cell r="BR256">
            <v>0</v>
          </cell>
          <cell r="BS256">
            <v>0</v>
          </cell>
          <cell r="BT256">
            <v>0.5</v>
          </cell>
          <cell r="BU256">
            <v>0</v>
          </cell>
          <cell r="BV256">
            <v>0</v>
          </cell>
          <cell r="BW256">
            <v>0.1</v>
          </cell>
          <cell r="BX256" t="str">
            <v>Tiny Kingdom</v>
          </cell>
          <cell r="BY256" t="str">
            <v>Girls</v>
          </cell>
          <cell r="BZ256" t="str">
            <v>External</v>
          </cell>
          <cell r="CA256" t="str">
            <v>Kurta Sets</v>
          </cell>
          <cell r="CB256" t="str">
            <v>ON_HAND</v>
          </cell>
          <cell r="CC256" t="b">
            <v>0</v>
          </cell>
          <cell r="CD256" t="str">
            <v>**********</v>
          </cell>
          <cell r="CE256">
            <v>110063</v>
          </cell>
          <cell r="CF256" t="str">
            <v>27AXUPC8425A1ZH</v>
          </cell>
          <cell r="CH256" t="str">
            <v>29AAECM9636P1ZJ</v>
          </cell>
          <cell r="CI256" t="str">
            <v>Mumbai</v>
          </cell>
          <cell r="CJ256">
            <v>400013</v>
          </cell>
          <cell r="CK256" t="str">
            <v>maharashtra</v>
          </cell>
          <cell r="CL256" t="str">
            <v>MH</v>
          </cell>
          <cell r="CN256">
            <v>0</v>
          </cell>
          <cell r="CO256">
            <v>920.02200000000005</v>
          </cell>
          <cell r="CP256">
            <v>920.02200000000005</v>
          </cell>
          <cell r="CQ256">
            <v>0</v>
          </cell>
          <cell r="CR256">
            <v>0</v>
          </cell>
          <cell r="CS256">
            <v>0</v>
          </cell>
          <cell r="CT256">
            <v>1250</v>
          </cell>
          <cell r="CU256">
            <v>3.1642899999999998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E256" t="str">
            <v>adf75b7a-d763-4f20-910d-f4d8a338f5b9</v>
          </cell>
          <cell r="DF256">
            <v>100082000000</v>
          </cell>
          <cell r="DG256">
            <v>15.821</v>
          </cell>
          <cell r="DH256">
            <v>0</v>
          </cell>
          <cell r="DI256">
            <v>3.1640000000000001</v>
          </cell>
          <cell r="DJ256">
            <v>0</v>
          </cell>
          <cell r="DK256" t="str">
            <v>BRONZE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 t="str">
            <v>NA</v>
          </cell>
          <cell r="DU256" t="str">
            <v>NA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FG256" t="str">
            <v>unsettled</v>
          </cell>
          <cell r="FH256">
            <v>3750</v>
          </cell>
          <cell r="FI256">
            <v>2802.0529999999999</v>
          </cell>
          <cell r="FJ256">
            <v>939.00699999999995</v>
          </cell>
          <cell r="FK256">
            <v>197.06</v>
          </cell>
        </row>
        <row r="257">
          <cell r="A257">
            <v>8696157014</v>
          </cell>
          <cell r="B257">
            <v>10696085789</v>
          </cell>
          <cell r="C257" t="str">
            <v>return_refund</v>
          </cell>
          <cell r="D257">
            <v>45930.76666666667</v>
          </cell>
          <cell r="E257">
            <v>45922.444444444445</v>
          </cell>
          <cell r="G257" t="str">
            <v>Myntra Designs Pvt Ltd</v>
          </cell>
          <cell r="H257" t="str">
            <v>BETYDRSS85575244</v>
          </cell>
          <cell r="I257" t="str">
            <v>\I2726TK000003076\""</v>
          </cell>
          <cell r="J257">
            <v>8696157014</v>
          </cell>
          <cell r="K257">
            <v>62042300</v>
          </cell>
          <cell r="L257" t="str">
            <v>Apparel</v>
          </cell>
          <cell r="M257" t="str">
            <v>INR</v>
          </cell>
          <cell r="N257">
            <v>2150</v>
          </cell>
          <cell r="O257">
            <v>2150</v>
          </cell>
          <cell r="P257">
            <v>0</v>
          </cell>
          <cell r="Q257">
            <v>4750</v>
          </cell>
          <cell r="R257">
            <v>2394</v>
          </cell>
          <cell r="S257" t="str">
            <v>Inter-State</v>
          </cell>
          <cell r="T257">
            <v>5</v>
          </cell>
          <cell r="U257">
            <v>102.38</v>
          </cell>
          <cell r="V257">
            <v>0</v>
          </cell>
          <cell r="W257">
            <v>0</v>
          </cell>
          <cell r="X257">
            <v>10.238</v>
          </cell>
          <cell r="Y257">
            <v>2.048</v>
          </cell>
          <cell r="AA257">
            <v>0</v>
          </cell>
          <cell r="AB257">
            <v>684.99</v>
          </cell>
          <cell r="AC257">
            <v>684.99</v>
          </cell>
          <cell r="AD257">
            <v>697.27599999999995</v>
          </cell>
          <cell r="AE257">
            <v>-197.06</v>
          </cell>
          <cell r="AF257">
            <v>167</v>
          </cell>
          <cell r="AG257">
            <v>0</v>
          </cell>
          <cell r="AH257">
            <v>0</v>
          </cell>
          <cell r="AI257">
            <v>0</v>
          </cell>
          <cell r="AJ257">
            <v>30.06</v>
          </cell>
          <cell r="AK257">
            <v>1</v>
          </cell>
          <cell r="AL257" t="str">
            <v>NATIONAL</v>
          </cell>
          <cell r="AM257">
            <v>2356</v>
          </cell>
          <cell r="AN257">
            <v>-1649.7840000000001</v>
          </cell>
          <cell r="AO257">
            <v>0</v>
          </cell>
          <cell r="AP257">
            <v>-1649.7840000000001</v>
          </cell>
          <cell r="AS257">
            <v>0</v>
          </cell>
          <cell r="AT257">
            <v>697.27599999999995</v>
          </cell>
          <cell r="AU257">
            <v>-197.06</v>
          </cell>
          <cell r="AV257">
            <v>-2150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2047.62</v>
          </cell>
          <cell r="BP257">
            <v>5</v>
          </cell>
          <cell r="BQ257">
            <v>0</v>
          </cell>
          <cell r="BR257">
            <v>0</v>
          </cell>
          <cell r="BS257">
            <v>0</v>
          </cell>
          <cell r="BT257">
            <v>0.5</v>
          </cell>
          <cell r="BU257">
            <v>0</v>
          </cell>
          <cell r="BV257">
            <v>0</v>
          </cell>
          <cell r="BW257">
            <v>0.1</v>
          </cell>
          <cell r="BX257" t="str">
            <v>BETTY</v>
          </cell>
          <cell r="BY257" t="str">
            <v>Girls</v>
          </cell>
          <cell r="BZ257" t="str">
            <v>External</v>
          </cell>
          <cell r="CA257" t="str">
            <v>Dresses</v>
          </cell>
          <cell r="CB257" t="str">
            <v>ON_HAND</v>
          </cell>
          <cell r="CC257" t="b">
            <v>0</v>
          </cell>
          <cell r="CD257" t="str">
            <v>**********</v>
          </cell>
          <cell r="CE257">
            <v>160022</v>
          </cell>
          <cell r="CF257" t="str">
            <v>27AXUPC8425A1ZH</v>
          </cell>
          <cell r="CH257" t="str">
            <v>29AAECM9636P1ZJ</v>
          </cell>
          <cell r="CI257" t="str">
            <v>Mumbai</v>
          </cell>
          <cell r="CJ257">
            <v>400013</v>
          </cell>
          <cell r="CK257" t="str">
            <v>maharashtra</v>
          </cell>
          <cell r="CL257" t="str">
            <v>MH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W257">
            <v>0</v>
          </cell>
          <cell r="CX257">
            <v>684.99</v>
          </cell>
          <cell r="CY257">
            <v>684.99</v>
          </cell>
          <cell r="CZ257">
            <v>0</v>
          </cell>
          <cell r="DA257">
            <v>0</v>
          </cell>
          <cell r="DB257">
            <v>0</v>
          </cell>
          <cell r="DC257">
            <v>2394</v>
          </cell>
          <cell r="DD257">
            <v>2.0476200000000002</v>
          </cell>
          <cell r="DE257" t="str">
            <v>5a3e492a-415f-4f26-89f0-c3575555477c</v>
          </cell>
          <cell r="DF257">
            <v>100083000000</v>
          </cell>
          <cell r="DG257">
            <v>0</v>
          </cell>
          <cell r="DH257">
            <v>10.238</v>
          </cell>
          <cell r="DI257">
            <v>0</v>
          </cell>
          <cell r="DJ257">
            <v>2.048</v>
          </cell>
          <cell r="DK257" t="str">
            <v>BRONZE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 t="str">
            <v>NA</v>
          </cell>
          <cell r="DU257" t="str">
            <v>NA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FG257" t="str">
            <v>unsettled</v>
          </cell>
          <cell r="FH257">
            <v>2356</v>
          </cell>
          <cell r="FI257">
            <v>1649.7840000000001</v>
          </cell>
          <cell r="FJ257">
            <v>697.27599999999995</v>
          </cell>
          <cell r="FK257">
            <v>197.06</v>
          </cell>
        </row>
        <row r="258">
          <cell r="A258">
            <v>8673378655</v>
          </cell>
          <cell r="B258">
            <v>10673303140</v>
          </cell>
          <cell r="C258" t="str">
            <v>return_refund</v>
          </cell>
          <cell r="D258">
            <v>45924.568055555559</v>
          </cell>
          <cell r="E258">
            <v>45916.459722222222</v>
          </cell>
          <cell r="F258">
            <v>44551</v>
          </cell>
          <cell r="G258" t="str">
            <v>Myntra Designs Pvt Ltd</v>
          </cell>
          <cell r="H258" t="str">
            <v>TNBYCLST79241168</v>
          </cell>
          <cell r="I258" t="str">
            <v>\I2726TK000002939\""</v>
          </cell>
          <cell r="J258">
            <v>8673378655</v>
          </cell>
          <cell r="K258">
            <v>62042300</v>
          </cell>
          <cell r="L258" t="str">
            <v>Apparel</v>
          </cell>
          <cell r="M258" t="str">
            <v>INR</v>
          </cell>
          <cell r="N258">
            <v>1894</v>
          </cell>
          <cell r="O258">
            <v>0</v>
          </cell>
          <cell r="P258">
            <v>1894</v>
          </cell>
          <cell r="Q258">
            <v>3000</v>
          </cell>
          <cell r="R258">
            <v>900</v>
          </cell>
          <cell r="S258" t="str">
            <v>Inter-State</v>
          </cell>
          <cell r="T258">
            <v>12</v>
          </cell>
          <cell r="U258">
            <v>202.93</v>
          </cell>
          <cell r="V258">
            <v>0</v>
          </cell>
          <cell r="W258">
            <v>0</v>
          </cell>
          <cell r="X258">
            <v>8.4550000000000001</v>
          </cell>
          <cell r="Y258">
            <v>1.6910000000000001</v>
          </cell>
          <cell r="AA258">
            <v>0</v>
          </cell>
          <cell r="AB258">
            <v>514.03200000000004</v>
          </cell>
          <cell r="AC258">
            <v>514.03200000000004</v>
          </cell>
          <cell r="AD258">
            <v>524.178</v>
          </cell>
          <cell r="AE258">
            <v>-197.06</v>
          </cell>
          <cell r="AF258">
            <v>167</v>
          </cell>
          <cell r="AG258">
            <v>0</v>
          </cell>
          <cell r="AH258">
            <v>0</v>
          </cell>
          <cell r="AI258">
            <v>0</v>
          </cell>
          <cell r="AJ258">
            <v>30.06</v>
          </cell>
          <cell r="AK258">
            <v>1</v>
          </cell>
          <cell r="AL258" t="str">
            <v>NATIONAL</v>
          </cell>
          <cell r="AM258">
            <v>2100</v>
          </cell>
          <cell r="AN258">
            <v>-1566.8820000000001</v>
          </cell>
          <cell r="AO258">
            <v>0</v>
          </cell>
          <cell r="AP258">
            <v>-1566.8820000000001</v>
          </cell>
          <cell r="AQ258">
            <v>524.178</v>
          </cell>
          <cell r="AR258">
            <v>-197.06</v>
          </cell>
          <cell r="AS258">
            <v>-1894</v>
          </cell>
          <cell r="AV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1691.07</v>
          </cell>
          <cell r="BP258">
            <v>12</v>
          </cell>
          <cell r="BQ258">
            <v>0</v>
          </cell>
          <cell r="BR258">
            <v>0</v>
          </cell>
          <cell r="BS258">
            <v>0</v>
          </cell>
          <cell r="BT258">
            <v>0.5</v>
          </cell>
          <cell r="BU258">
            <v>0</v>
          </cell>
          <cell r="BV258">
            <v>0</v>
          </cell>
          <cell r="BW258">
            <v>0.1</v>
          </cell>
          <cell r="BX258" t="str">
            <v>Tiny Baby</v>
          </cell>
          <cell r="BY258" t="str">
            <v>Girls</v>
          </cell>
          <cell r="BZ258" t="str">
            <v>External</v>
          </cell>
          <cell r="CA258" t="str">
            <v>Clothing Set</v>
          </cell>
          <cell r="CB258" t="str">
            <v>ON_HAND</v>
          </cell>
          <cell r="CC258" t="b">
            <v>0</v>
          </cell>
          <cell r="CD258" t="str">
            <v>**********</v>
          </cell>
          <cell r="CE258">
            <v>783301</v>
          </cell>
          <cell r="CF258" t="str">
            <v>27AXUPC8425A1ZH</v>
          </cell>
          <cell r="CH258" t="str">
            <v>29AAECM9636P1ZJ</v>
          </cell>
          <cell r="CI258" t="str">
            <v>Mumbai</v>
          </cell>
          <cell r="CJ258">
            <v>400013</v>
          </cell>
          <cell r="CK258" t="str">
            <v>maharashtra</v>
          </cell>
          <cell r="CL258" t="str">
            <v>MH</v>
          </cell>
          <cell r="CN258">
            <v>0</v>
          </cell>
          <cell r="CO258">
            <v>514.03200000000004</v>
          </cell>
          <cell r="CP258">
            <v>514.03200000000004</v>
          </cell>
          <cell r="CQ258">
            <v>0</v>
          </cell>
          <cell r="CR258">
            <v>0</v>
          </cell>
          <cell r="CS258">
            <v>0</v>
          </cell>
          <cell r="CT258">
            <v>900</v>
          </cell>
          <cell r="CU258">
            <v>1.6910700000000001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E258" t="str">
            <v>a15fc004-47c4-4ea7-8484-5f0010c45264</v>
          </cell>
          <cell r="DF258">
            <v>100081000000</v>
          </cell>
          <cell r="DG258">
            <v>8.4550000000000001</v>
          </cell>
          <cell r="DH258">
            <v>0</v>
          </cell>
          <cell r="DI258">
            <v>1.6910000000000001</v>
          </cell>
          <cell r="DJ258">
            <v>0</v>
          </cell>
          <cell r="DK258" t="str">
            <v>BRONZE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 t="str">
            <v>NA</v>
          </cell>
          <cell r="DU258" t="str">
            <v>NA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FG258" t="str">
            <v>unsettled</v>
          </cell>
          <cell r="FH258">
            <v>2100</v>
          </cell>
          <cell r="FI258">
            <v>1566.8820000000001</v>
          </cell>
          <cell r="FJ258">
            <v>524.178</v>
          </cell>
          <cell r="FK258">
            <v>197.06</v>
          </cell>
        </row>
        <row r="259">
          <cell r="A259">
            <v>8687890011</v>
          </cell>
          <cell r="B259">
            <v>10687817704</v>
          </cell>
          <cell r="C259" t="str">
            <v>return_refund</v>
          </cell>
          <cell r="D259">
            <v>45926.600694444445</v>
          </cell>
          <cell r="E259">
            <v>45922.443055555559</v>
          </cell>
          <cell r="F259">
            <v>44563</v>
          </cell>
          <cell r="G259" t="str">
            <v>Myntra Designs Pvt Ltd</v>
          </cell>
          <cell r="H259" t="str">
            <v>TIKILHNC106661972</v>
          </cell>
          <cell r="I259" t="str">
            <v>\I2726TK000003071\""</v>
          </cell>
          <cell r="J259">
            <v>8687890011</v>
          </cell>
          <cell r="K259">
            <v>62042300</v>
          </cell>
          <cell r="L259" t="str">
            <v>Apparel</v>
          </cell>
          <cell r="M259" t="str">
            <v>INR</v>
          </cell>
          <cell r="N259">
            <v>4219</v>
          </cell>
          <cell r="O259">
            <v>0</v>
          </cell>
          <cell r="P259">
            <v>4219</v>
          </cell>
          <cell r="Q259">
            <v>5000</v>
          </cell>
          <cell r="R259">
            <v>575</v>
          </cell>
          <cell r="S259" t="str">
            <v>Intra-State</v>
          </cell>
          <cell r="T259">
            <v>18</v>
          </cell>
          <cell r="U259">
            <v>0</v>
          </cell>
          <cell r="V259">
            <v>321.79000000000002</v>
          </cell>
          <cell r="W259">
            <v>321.79000000000002</v>
          </cell>
          <cell r="X259">
            <v>17.876999999999999</v>
          </cell>
          <cell r="Y259">
            <v>3.5750000000000002</v>
          </cell>
          <cell r="AA259">
            <v>0</v>
          </cell>
          <cell r="AB259">
            <v>1045.4680000000001</v>
          </cell>
          <cell r="AC259">
            <v>1045.4680000000001</v>
          </cell>
          <cell r="AD259">
            <v>1066.92</v>
          </cell>
          <cell r="AE259">
            <v>-107.38</v>
          </cell>
          <cell r="AF259">
            <v>91</v>
          </cell>
          <cell r="AG259">
            <v>0</v>
          </cell>
          <cell r="AH259">
            <v>0</v>
          </cell>
          <cell r="AI259">
            <v>0</v>
          </cell>
          <cell r="AJ259">
            <v>16.38</v>
          </cell>
          <cell r="AK259">
            <v>1</v>
          </cell>
          <cell r="AL259" t="str">
            <v>LOCAL</v>
          </cell>
          <cell r="AM259">
            <v>4425</v>
          </cell>
          <cell r="AN259">
            <v>-3259.46</v>
          </cell>
          <cell r="AO259">
            <v>0</v>
          </cell>
          <cell r="AP259">
            <v>-3259.46</v>
          </cell>
          <cell r="AQ259">
            <v>1066.92</v>
          </cell>
          <cell r="AR259">
            <v>-107.38</v>
          </cell>
          <cell r="AS259">
            <v>-4219</v>
          </cell>
          <cell r="AV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3575.42</v>
          </cell>
          <cell r="BP259">
            <v>0</v>
          </cell>
          <cell r="BQ259">
            <v>9</v>
          </cell>
          <cell r="BR259">
            <v>9</v>
          </cell>
          <cell r="BS259">
            <v>0</v>
          </cell>
          <cell r="BT259">
            <v>0</v>
          </cell>
          <cell r="BU259">
            <v>0.25</v>
          </cell>
          <cell r="BV259">
            <v>0.25</v>
          </cell>
          <cell r="BW259">
            <v>0.1</v>
          </cell>
          <cell r="BX259" t="str">
            <v>Tiny Kingdom</v>
          </cell>
          <cell r="BY259" t="str">
            <v>Girls</v>
          </cell>
          <cell r="BZ259" t="str">
            <v>External</v>
          </cell>
          <cell r="CA259" t="str">
            <v>Lehenga Choli</v>
          </cell>
          <cell r="CB259" t="str">
            <v>ON_HAND</v>
          </cell>
          <cell r="CC259" t="b">
            <v>0</v>
          </cell>
          <cell r="CD259" t="str">
            <v>**********</v>
          </cell>
          <cell r="CE259">
            <v>411013</v>
          </cell>
          <cell r="CF259" t="str">
            <v>27AXUPC8425A1ZH</v>
          </cell>
          <cell r="CH259" t="str">
            <v>29AAECM9636P1ZJ</v>
          </cell>
          <cell r="CI259" t="str">
            <v>Mumbai</v>
          </cell>
          <cell r="CJ259">
            <v>400013</v>
          </cell>
          <cell r="CK259" t="str">
            <v>maharashtra</v>
          </cell>
          <cell r="CL259" t="str">
            <v>MH</v>
          </cell>
          <cell r="CN259">
            <v>0</v>
          </cell>
          <cell r="CO259">
            <v>1045.4680000000001</v>
          </cell>
          <cell r="CP259">
            <v>1045.4680000000001</v>
          </cell>
          <cell r="CQ259">
            <v>0</v>
          </cell>
          <cell r="CR259">
            <v>0</v>
          </cell>
          <cell r="CS259">
            <v>0</v>
          </cell>
          <cell r="CT259">
            <v>575</v>
          </cell>
          <cell r="CU259">
            <v>3.5754199999999998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E259" t="str">
            <v>c091501b-c32b-47fc-a359-7ecf4f40d91f</v>
          </cell>
          <cell r="DF259">
            <v>100082000000</v>
          </cell>
          <cell r="DG259">
            <v>17.876999999999999</v>
          </cell>
          <cell r="DH259">
            <v>0</v>
          </cell>
          <cell r="DI259">
            <v>3.5750000000000002</v>
          </cell>
          <cell r="DJ259">
            <v>0</v>
          </cell>
          <cell r="DK259" t="str">
            <v>BRONZE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 t="str">
            <v>NA</v>
          </cell>
          <cell r="DU259" t="str">
            <v>NA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FG259" t="str">
            <v>unsettled</v>
          </cell>
          <cell r="FH259">
            <v>4425</v>
          </cell>
          <cell r="FI259">
            <v>3259.46</v>
          </cell>
          <cell r="FJ259">
            <v>1066.92</v>
          </cell>
          <cell r="FK259">
            <v>107.38</v>
          </cell>
        </row>
        <row r="260">
          <cell r="A260">
            <v>8666747268</v>
          </cell>
          <cell r="B260">
            <v>10666671360</v>
          </cell>
          <cell r="C260" t="str">
            <v>return_refund</v>
          </cell>
          <cell r="D260">
            <v>45924.575694444444</v>
          </cell>
          <cell r="E260">
            <v>45913.771527777775</v>
          </cell>
          <cell r="F260">
            <v>44552</v>
          </cell>
          <cell r="G260" t="str">
            <v>Myntra Designs Pvt Ltd</v>
          </cell>
          <cell r="H260" t="str">
            <v>TIKIDRSS113553910</v>
          </cell>
          <cell r="I260" t="str">
            <v>\I2726TK000002900\""</v>
          </cell>
          <cell r="J260">
            <v>8666747268</v>
          </cell>
          <cell r="K260">
            <v>62042300</v>
          </cell>
          <cell r="L260" t="str">
            <v>Apparel</v>
          </cell>
          <cell r="M260" t="str">
            <v>INR</v>
          </cell>
          <cell r="N260">
            <v>2594</v>
          </cell>
          <cell r="O260">
            <v>0</v>
          </cell>
          <cell r="P260">
            <v>2594</v>
          </cell>
          <cell r="Q260">
            <v>3500</v>
          </cell>
          <cell r="R260">
            <v>700</v>
          </cell>
          <cell r="S260" t="str">
            <v>Inter-State</v>
          </cell>
          <cell r="T260">
            <v>12</v>
          </cell>
          <cell r="U260">
            <v>277.93</v>
          </cell>
          <cell r="V260">
            <v>0</v>
          </cell>
          <cell r="W260">
            <v>0</v>
          </cell>
          <cell r="X260">
            <v>11.58</v>
          </cell>
          <cell r="Y260">
            <v>2.3159999999999998</v>
          </cell>
          <cell r="AA260">
            <v>0</v>
          </cell>
          <cell r="AB260">
            <v>550.96600000000001</v>
          </cell>
          <cell r="AC260">
            <v>550.96600000000001</v>
          </cell>
          <cell r="AD260">
            <v>564.86199999999997</v>
          </cell>
          <cell r="AE260">
            <v>-197.06</v>
          </cell>
          <cell r="AF260">
            <v>167</v>
          </cell>
          <cell r="AG260">
            <v>0</v>
          </cell>
          <cell r="AH260">
            <v>0</v>
          </cell>
          <cell r="AI260">
            <v>0</v>
          </cell>
          <cell r="AJ260">
            <v>30.06</v>
          </cell>
          <cell r="AK260">
            <v>1</v>
          </cell>
          <cell r="AL260" t="str">
            <v>NATIONAL</v>
          </cell>
          <cell r="AM260">
            <v>2800</v>
          </cell>
          <cell r="AN260">
            <v>-2226.1979999999999</v>
          </cell>
          <cell r="AO260">
            <v>0</v>
          </cell>
          <cell r="AP260">
            <v>-2226.1979999999999</v>
          </cell>
          <cell r="AQ260">
            <v>564.86199999999997</v>
          </cell>
          <cell r="AR260">
            <v>-197.06</v>
          </cell>
          <cell r="AS260">
            <v>-2594</v>
          </cell>
          <cell r="AV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2316.0700000000002</v>
          </cell>
          <cell r="BP260">
            <v>12</v>
          </cell>
          <cell r="BQ260">
            <v>0</v>
          </cell>
          <cell r="BR260">
            <v>0</v>
          </cell>
          <cell r="BS260">
            <v>0</v>
          </cell>
          <cell r="BT260">
            <v>0.5</v>
          </cell>
          <cell r="BU260">
            <v>0</v>
          </cell>
          <cell r="BV260">
            <v>0</v>
          </cell>
          <cell r="BW260">
            <v>0.1</v>
          </cell>
          <cell r="BX260" t="str">
            <v>Tiny Kingdom</v>
          </cell>
          <cell r="BY260" t="str">
            <v>Girls</v>
          </cell>
          <cell r="BZ260" t="str">
            <v>External</v>
          </cell>
          <cell r="CA260" t="str">
            <v>Dresses</v>
          </cell>
          <cell r="CB260" t="str">
            <v>ON_HAND</v>
          </cell>
          <cell r="CC260" t="b">
            <v>0</v>
          </cell>
          <cell r="CD260" t="str">
            <v>**********</v>
          </cell>
          <cell r="CE260">
            <v>755019</v>
          </cell>
          <cell r="CF260" t="str">
            <v>27AXUPC8425A1ZH</v>
          </cell>
          <cell r="CH260" t="str">
            <v>29AAECM9636P1ZJ</v>
          </cell>
          <cell r="CI260" t="str">
            <v>Mumbai</v>
          </cell>
          <cell r="CJ260">
            <v>400013</v>
          </cell>
          <cell r="CK260" t="str">
            <v>maharashtra</v>
          </cell>
          <cell r="CL260" t="str">
            <v>MH</v>
          </cell>
          <cell r="CN260">
            <v>0</v>
          </cell>
          <cell r="CO260">
            <v>550.96600000000001</v>
          </cell>
          <cell r="CP260">
            <v>550.96600000000001</v>
          </cell>
          <cell r="CQ260">
            <v>0</v>
          </cell>
          <cell r="CR260">
            <v>0</v>
          </cell>
          <cell r="CS260">
            <v>0</v>
          </cell>
          <cell r="CT260">
            <v>700</v>
          </cell>
          <cell r="CU260">
            <v>2.3160699999999999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E260" t="str">
            <v>3dfdb018-279b-4418-9a9b-1ffcd870a378</v>
          </cell>
          <cell r="DF260">
            <v>100081000000</v>
          </cell>
          <cell r="DG260">
            <v>11.58</v>
          </cell>
          <cell r="DH260">
            <v>0</v>
          </cell>
          <cell r="DI260">
            <v>2.3159999999999998</v>
          </cell>
          <cell r="DJ260">
            <v>0</v>
          </cell>
          <cell r="DK260" t="str">
            <v>BRONZE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 t="str">
            <v>NA</v>
          </cell>
          <cell r="DU260" t="str">
            <v>NA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FG260" t="str">
            <v>unsettled</v>
          </cell>
          <cell r="FH260">
            <v>2800</v>
          </cell>
          <cell r="FI260">
            <v>2226.1979999999999</v>
          </cell>
          <cell r="FJ260">
            <v>564.86199999999997</v>
          </cell>
          <cell r="FK260">
            <v>197.06</v>
          </cell>
        </row>
        <row r="261">
          <cell r="A261">
            <v>8663883621</v>
          </cell>
          <cell r="B261">
            <v>10663807683</v>
          </cell>
          <cell r="C261" t="str">
            <v>return_refund</v>
          </cell>
          <cell r="D261">
            <v>45926.365972222222</v>
          </cell>
          <cell r="E261">
            <v>45912.803472222222</v>
          </cell>
          <cell r="F261">
            <v>44552</v>
          </cell>
          <cell r="G261" t="str">
            <v>Myntra Designs Pvt Ltd</v>
          </cell>
          <cell r="H261" t="str">
            <v>BETYDRSS43027364</v>
          </cell>
          <cell r="I261" t="str">
            <v>\I2726TK000002880\""</v>
          </cell>
          <cell r="J261">
            <v>8663883621</v>
          </cell>
          <cell r="K261">
            <v>62043300</v>
          </cell>
          <cell r="L261" t="str">
            <v>Apparel</v>
          </cell>
          <cell r="M261" t="str">
            <v>INR</v>
          </cell>
          <cell r="N261">
            <v>881</v>
          </cell>
          <cell r="O261">
            <v>881</v>
          </cell>
          <cell r="P261">
            <v>0</v>
          </cell>
          <cell r="Q261">
            <v>3250</v>
          </cell>
          <cell r="R261">
            <v>2275</v>
          </cell>
          <cell r="S261" t="str">
            <v>Intra-State</v>
          </cell>
          <cell r="T261">
            <v>5</v>
          </cell>
          <cell r="U261">
            <v>0</v>
          </cell>
          <cell r="V261">
            <v>20.98</v>
          </cell>
          <cell r="W261">
            <v>20.98</v>
          </cell>
          <cell r="X261">
            <v>4.1950000000000003</v>
          </cell>
          <cell r="Y261">
            <v>0.83899999999999997</v>
          </cell>
          <cell r="AA261">
            <v>0</v>
          </cell>
          <cell r="AB261">
            <v>291.08199999999999</v>
          </cell>
          <cell r="AC261">
            <v>291.08199999999999</v>
          </cell>
          <cell r="AD261">
            <v>296.11599999999999</v>
          </cell>
          <cell r="AE261">
            <v>-197.06</v>
          </cell>
          <cell r="AF261">
            <v>167</v>
          </cell>
          <cell r="AG261">
            <v>0</v>
          </cell>
          <cell r="AH261">
            <v>0</v>
          </cell>
          <cell r="AI261">
            <v>0</v>
          </cell>
          <cell r="AJ261">
            <v>30.06</v>
          </cell>
          <cell r="AK261">
            <v>1</v>
          </cell>
          <cell r="AL261" t="str">
            <v>NATIONAL</v>
          </cell>
          <cell r="AM261">
            <v>975</v>
          </cell>
          <cell r="AN261">
            <v>-781.94399999999996</v>
          </cell>
          <cell r="AO261">
            <v>0</v>
          </cell>
          <cell r="AP261">
            <v>-781.94399999999996</v>
          </cell>
          <cell r="AS261">
            <v>0</v>
          </cell>
          <cell r="AT261">
            <v>296.11599999999999</v>
          </cell>
          <cell r="AU261">
            <v>-197.06</v>
          </cell>
          <cell r="AV261">
            <v>-881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839.04</v>
          </cell>
          <cell r="BP261">
            <v>0</v>
          </cell>
          <cell r="BQ261">
            <v>2.5</v>
          </cell>
          <cell r="BR261">
            <v>2.5</v>
          </cell>
          <cell r="BS261">
            <v>0</v>
          </cell>
          <cell r="BT261">
            <v>0</v>
          </cell>
          <cell r="BU261">
            <v>0.25</v>
          </cell>
          <cell r="BV261">
            <v>0.25</v>
          </cell>
          <cell r="BW261">
            <v>0.1</v>
          </cell>
          <cell r="BX261" t="str">
            <v>BETTY</v>
          </cell>
          <cell r="BY261" t="str">
            <v>Girls</v>
          </cell>
          <cell r="BZ261" t="str">
            <v>External</v>
          </cell>
          <cell r="CA261" t="str">
            <v>Dresses</v>
          </cell>
          <cell r="CB261" t="str">
            <v>JUST_IN_TIME</v>
          </cell>
          <cell r="CC261" t="b">
            <v>0</v>
          </cell>
          <cell r="CD261" t="str">
            <v>**********</v>
          </cell>
          <cell r="CE261">
            <v>444906</v>
          </cell>
          <cell r="CF261" t="str">
            <v>27AXUPC8425A1ZH</v>
          </cell>
          <cell r="CH261" t="str">
            <v>29AAECM9636P1ZJ</v>
          </cell>
          <cell r="CI261" t="str">
            <v>Mumbai</v>
          </cell>
          <cell r="CJ261">
            <v>400013</v>
          </cell>
          <cell r="CK261" t="str">
            <v>maharashtra</v>
          </cell>
          <cell r="CL261" t="str">
            <v>MH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W261">
            <v>0</v>
          </cell>
          <cell r="CX261">
            <v>291.08199999999999</v>
          </cell>
          <cell r="CY261">
            <v>291.08199999999999</v>
          </cell>
          <cell r="CZ261">
            <v>0</v>
          </cell>
          <cell r="DA261">
            <v>0</v>
          </cell>
          <cell r="DB261">
            <v>0</v>
          </cell>
          <cell r="DC261">
            <v>2275</v>
          </cell>
          <cell r="DD261">
            <v>0.83904000000000001</v>
          </cell>
          <cell r="DE261" t="str">
            <v>77355a6a-4206-47f7-956b-80e589f68c53</v>
          </cell>
          <cell r="DF261">
            <v>100081000000</v>
          </cell>
          <cell r="DG261">
            <v>0</v>
          </cell>
          <cell r="DH261">
            <v>4.1950000000000003</v>
          </cell>
          <cell r="DI261">
            <v>0</v>
          </cell>
          <cell r="DJ261">
            <v>0.83899999999999997</v>
          </cell>
          <cell r="DK261" t="str">
            <v>BRONZE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 t="str">
            <v>NA</v>
          </cell>
          <cell r="DU261" t="str">
            <v>NA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FG261" t="str">
            <v>unsettled</v>
          </cell>
          <cell r="FH261">
            <v>975</v>
          </cell>
          <cell r="FI261">
            <v>781.94399999999996</v>
          </cell>
          <cell r="FJ261">
            <v>296.11599999999999</v>
          </cell>
          <cell r="FK261">
            <v>197.06</v>
          </cell>
        </row>
        <row r="262">
          <cell r="A262">
            <v>8668327470</v>
          </cell>
          <cell r="B262">
            <v>10668251566</v>
          </cell>
          <cell r="C262" t="str">
            <v>return_refund</v>
          </cell>
          <cell r="D262">
            <v>45928.574305555558</v>
          </cell>
          <cell r="E262">
            <v>45915.47152777778</v>
          </cell>
          <cell r="F262">
            <v>44550</v>
          </cell>
          <cell r="G262" t="str">
            <v>Myntra Designs Pvt Ltd</v>
          </cell>
          <cell r="H262" t="str">
            <v>BETYDRSS112339722</v>
          </cell>
          <cell r="I262" t="str">
            <v>\I2726TK000002904\""</v>
          </cell>
          <cell r="J262">
            <v>8668327470</v>
          </cell>
          <cell r="K262">
            <v>62042300</v>
          </cell>
          <cell r="L262" t="str">
            <v>Apparel</v>
          </cell>
          <cell r="M262" t="str">
            <v>INR</v>
          </cell>
          <cell r="N262">
            <v>4045</v>
          </cell>
          <cell r="O262">
            <v>0</v>
          </cell>
          <cell r="P262">
            <v>4045</v>
          </cell>
          <cell r="Q262">
            <v>5450</v>
          </cell>
          <cell r="R262">
            <v>1199</v>
          </cell>
          <cell r="S262" t="str">
            <v>Inter-State</v>
          </cell>
          <cell r="T262">
            <v>12</v>
          </cell>
          <cell r="U262">
            <v>433.39</v>
          </cell>
          <cell r="V262">
            <v>0</v>
          </cell>
          <cell r="W262">
            <v>0</v>
          </cell>
          <cell r="X262">
            <v>18.058</v>
          </cell>
          <cell r="Y262">
            <v>3.6120000000000001</v>
          </cell>
          <cell r="AA262">
            <v>0</v>
          </cell>
          <cell r="AB262">
            <v>1288.7370000000001</v>
          </cell>
          <cell r="AC262">
            <v>1288.7370000000001</v>
          </cell>
          <cell r="AD262">
            <v>1310.4069999999999</v>
          </cell>
          <cell r="AE262">
            <v>-197.06</v>
          </cell>
          <cell r="AF262">
            <v>167</v>
          </cell>
          <cell r="AG262">
            <v>0</v>
          </cell>
          <cell r="AH262">
            <v>0</v>
          </cell>
          <cell r="AI262">
            <v>0</v>
          </cell>
          <cell r="AJ262">
            <v>30.06</v>
          </cell>
          <cell r="AK262">
            <v>1</v>
          </cell>
          <cell r="AL262" t="str">
            <v>NATIONAL</v>
          </cell>
          <cell r="AM262">
            <v>4251</v>
          </cell>
          <cell r="AN262">
            <v>-2931.6529999999998</v>
          </cell>
          <cell r="AO262">
            <v>0</v>
          </cell>
          <cell r="AP262">
            <v>-2931.6529999999998</v>
          </cell>
          <cell r="AQ262">
            <v>1310.4069999999999</v>
          </cell>
          <cell r="AR262">
            <v>-197.06</v>
          </cell>
          <cell r="AS262">
            <v>-4045</v>
          </cell>
          <cell r="AV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3611.61</v>
          </cell>
          <cell r="BP262">
            <v>12</v>
          </cell>
          <cell r="BQ262">
            <v>0</v>
          </cell>
          <cell r="BR262">
            <v>0</v>
          </cell>
          <cell r="BS262">
            <v>0</v>
          </cell>
          <cell r="BT262">
            <v>0.5</v>
          </cell>
          <cell r="BU262">
            <v>0</v>
          </cell>
          <cell r="BV262">
            <v>0</v>
          </cell>
          <cell r="BW262">
            <v>0.1</v>
          </cell>
          <cell r="BX262" t="str">
            <v>BETTY</v>
          </cell>
          <cell r="BY262" t="str">
            <v>Girls</v>
          </cell>
          <cell r="BZ262" t="str">
            <v>External</v>
          </cell>
          <cell r="CA262" t="str">
            <v>Dresses</v>
          </cell>
          <cell r="CB262" t="str">
            <v>ON_HAND</v>
          </cell>
          <cell r="CC262" t="b">
            <v>0</v>
          </cell>
          <cell r="CD262" t="str">
            <v>**********</v>
          </cell>
          <cell r="CE262">
            <v>247667</v>
          </cell>
          <cell r="CF262" t="str">
            <v>27AXUPC8425A1ZH</v>
          </cell>
          <cell r="CH262" t="str">
            <v>29AAECM9636P1ZJ</v>
          </cell>
          <cell r="CI262" t="str">
            <v>Mumbai</v>
          </cell>
          <cell r="CJ262">
            <v>400013</v>
          </cell>
          <cell r="CK262" t="str">
            <v>maharashtra</v>
          </cell>
          <cell r="CL262" t="str">
            <v>MH</v>
          </cell>
          <cell r="CN262">
            <v>0</v>
          </cell>
          <cell r="CO262">
            <v>1288.7370000000001</v>
          </cell>
          <cell r="CP262">
            <v>1288.7370000000001</v>
          </cell>
          <cell r="CQ262">
            <v>0</v>
          </cell>
          <cell r="CR262">
            <v>0</v>
          </cell>
          <cell r="CS262">
            <v>0</v>
          </cell>
          <cell r="CT262">
            <v>1199</v>
          </cell>
          <cell r="CU262">
            <v>3.6116100000000002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E262" t="str">
            <v>ca3e73f1-9766-49d1-a935-da2b5486348a</v>
          </cell>
          <cell r="DF262">
            <v>100082000000</v>
          </cell>
          <cell r="DG262">
            <v>18.058</v>
          </cell>
          <cell r="DH262">
            <v>0</v>
          </cell>
          <cell r="DI262">
            <v>3.6120000000000001</v>
          </cell>
          <cell r="DJ262">
            <v>0</v>
          </cell>
          <cell r="DK262" t="str">
            <v>BRONZE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 t="str">
            <v>NA</v>
          </cell>
          <cell r="DU262" t="str">
            <v>NA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FG262" t="str">
            <v>unsettled</v>
          </cell>
          <cell r="FH262">
            <v>4251</v>
          </cell>
          <cell r="FI262">
            <v>2931.6529999999998</v>
          </cell>
          <cell r="FJ262">
            <v>1310.4069999999999</v>
          </cell>
          <cell r="FK262">
            <v>197.06</v>
          </cell>
        </row>
        <row r="263">
          <cell r="A263">
            <v>8675526093</v>
          </cell>
          <cell r="B263">
            <v>10675450810</v>
          </cell>
          <cell r="C263" t="str">
            <v>return_refund</v>
          </cell>
          <cell r="D263">
            <v>45922.536805555559</v>
          </cell>
          <cell r="E263">
            <v>45916.818055555559</v>
          </cell>
          <cell r="G263" t="str">
            <v>Myntra Designs Pvt Ltd</v>
          </cell>
          <cell r="H263" t="str">
            <v>TIKILHNC101907525</v>
          </cell>
          <cell r="I263" t="str">
            <v>\I2726TK000002958\""</v>
          </cell>
          <cell r="J263">
            <v>8675526093</v>
          </cell>
          <cell r="K263">
            <v>62042300</v>
          </cell>
          <cell r="L263" t="str">
            <v>Apparel</v>
          </cell>
          <cell r="M263" t="str">
            <v>INR</v>
          </cell>
          <cell r="N263">
            <v>1079</v>
          </cell>
          <cell r="O263">
            <v>0</v>
          </cell>
          <cell r="P263">
            <v>1079</v>
          </cell>
          <cell r="Q263">
            <v>2500</v>
          </cell>
          <cell r="R263">
            <v>1250</v>
          </cell>
          <cell r="S263" t="str">
            <v>Inter-State</v>
          </cell>
          <cell r="T263">
            <v>12</v>
          </cell>
          <cell r="U263">
            <v>115.61</v>
          </cell>
          <cell r="V263">
            <v>0</v>
          </cell>
          <cell r="W263">
            <v>0</v>
          </cell>
          <cell r="X263">
            <v>4.8170000000000002</v>
          </cell>
          <cell r="Y263">
            <v>0.96299999999999997</v>
          </cell>
          <cell r="AA263">
            <v>0</v>
          </cell>
          <cell r="AB263">
            <v>267.37599999999998</v>
          </cell>
          <cell r="AC263">
            <v>267.37599999999998</v>
          </cell>
          <cell r="AD263">
            <v>273.15600000000001</v>
          </cell>
          <cell r="AE263">
            <v>-132.16</v>
          </cell>
          <cell r="AF263">
            <v>112</v>
          </cell>
          <cell r="AG263">
            <v>0</v>
          </cell>
          <cell r="AH263">
            <v>0</v>
          </cell>
          <cell r="AI263">
            <v>0</v>
          </cell>
          <cell r="AJ263">
            <v>20.16</v>
          </cell>
          <cell r="AK263">
            <v>1</v>
          </cell>
          <cell r="AL263" t="str">
            <v>ZONAL</v>
          </cell>
          <cell r="AM263">
            <v>1250</v>
          </cell>
          <cell r="AN263">
            <v>-938.00400000000002</v>
          </cell>
          <cell r="AO263">
            <v>0</v>
          </cell>
          <cell r="AP263">
            <v>-938.00400000000002</v>
          </cell>
          <cell r="AQ263">
            <v>273.15600000000001</v>
          </cell>
          <cell r="AR263">
            <v>-132.16</v>
          </cell>
          <cell r="AS263">
            <v>-1079</v>
          </cell>
          <cell r="AV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963.39</v>
          </cell>
          <cell r="BP263">
            <v>12</v>
          </cell>
          <cell r="BQ263">
            <v>0</v>
          </cell>
          <cell r="BR263">
            <v>0</v>
          </cell>
          <cell r="BS263">
            <v>0</v>
          </cell>
          <cell r="BT263">
            <v>0.5</v>
          </cell>
          <cell r="BU263">
            <v>0</v>
          </cell>
          <cell r="BV263">
            <v>0</v>
          </cell>
          <cell r="BW263">
            <v>0.1</v>
          </cell>
          <cell r="BX263" t="str">
            <v>Tiny Kingdom</v>
          </cell>
          <cell r="BY263" t="str">
            <v>Girls</v>
          </cell>
          <cell r="BZ263" t="str">
            <v>External</v>
          </cell>
          <cell r="CA263" t="str">
            <v>Lehenga Choli</v>
          </cell>
          <cell r="CB263" t="str">
            <v>ON_HAND</v>
          </cell>
          <cell r="CC263" t="b">
            <v>0</v>
          </cell>
          <cell r="CD263" t="str">
            <v>**********</v>
          </cell>
          <cell r="CE263">
            <v>560068</v>
          </cell>
          <cell r="CF263" t="str">
            <v>27AXUPC8425A1ZH</v>
          </cell>
          <cell r="CH263" t="str">
            <v>29AAECM9636P1ZJ</v>
          </cell>
          <cell r="CI263" t="str">
            <v>Mumbai</v>
          </cell>
          <cell r="CJ263">
            <v>400013</v>
          </cell>
          <cell r="CK263" t="str">
            <v>maharashtra</v>
          </cell>
          <cell r="CL263" t="str">
            <v>MH</v>
          </cell>
          <cell r="CN263">
            <v>0</v>
          </cell>
          <cell r="CO263">
            <v>267.37599999999998</v>
          </cell>
          <cell r="CP263">
            <v>267.37599999999998</v>
          </cell>
          <cell r="CQ263">
            <v>0</v>
          </cell>
          <cell r="CR263">
            <v>0</v>
          </cell>
          <cell r="CS263">
            <v>0</v>
          </cell>
          <cell r="CT263">
            <v>1250</v>
          </cell>
          <cell r="CU263">
            <v>0.96338999999999997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E263" t="str">
            <v>1b7fae89-1787-4809-8efa-b87234501944</v>
          </cell>
          <cell r="DF263">
            <v>100081000000</v>
          </cell>
          <cell r="DG263">
            <v>4.8170000000000002</v>
          </cell>
          <cell r="DH263">
            <v>0</v>
          </cell>
          <cell r="DI263">
            <v>0.96299999999999997</v>
          </cell>
          <cell r="DJ263">
            <v>0</v>
          </cell>
          <cell r="DK263" t="str">
            <v>BRONZE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 t="str">
            <v>NA</v>
          </cell>
          <cell r="DU263" t="str">
            <v>NA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FG263" t="str">
            <v>unsettled</v>
          </cell>
          <cell r="FH263">
            <v>1250</v>
          </cell>
          <cell r="FI263">
            <v>938.00400000000002</v>
          </cell>
          <cell r="FJ263">
            <v>273.15600000000001</v>
          </cell>
          <cell r="FK263">
            <v>132.16</v>
          </cell>
        </row>
        <row r="264">
          <cell r="A264">
            <v>8665449739</v>
          </cell>
          <cell r="B264">
            <v>10665373800</v>
          </cell>
          <cell r="C264" t="str">
            <v>return_refund</v>
          </cell>
          <cell r="D264">
            <v>45922.499305555553</v>
          </cell>
          <cell r="E264">
            <v>45913.570833333331</v>
          </cell>
          <cell r="F264">
            <v>44550</v>
          </cell>
          <cell r="G264" t="str">
            <v>Myntra Designs Pvt Ltd</v>
          </cell>
          <cell r="H264" t="str">
            <v>TIKIDRSS103324813</v>
          </cell>
          <cell r="I264" t="str">
            <v>\I2726TK000002896\""</v>
          </cell>
          <cell r="J264">
            <v>8665449739</v>
          </cell>
          <cell r="K264">
            <v>62042300</v>
          </cell>
          <cell r="L264" t="str">
            <v>Apparel</v>
          </cell>
          <cell r="M264" t="str">
            <v>INR</v>
          </cell>
          <cell r="N264">
            <v>2994</v>
          </cell>
          <cell r="O264">
            <v>0</v>
          </cell>
          <cell r="P264">
            <v>2994</v>
          </cell>
          <cell r="Q264">
            <v>4000</v>
          </cell>
          <cell r="R264">
            <v>800</v>
          </cell>
          <cell r="S264" t="str">
            <v>Inter-State</v>
          </cell>
          <cell r="T264">
            <v>12</v>
          </cell>
          <cell r="U264">
            <v>320.79000000000002</v>
          </cell>
          <cell r="V264">
            <v>0</v>
          </cell>
          <cell r="W264">
            <v>0</v>
          </cell>
          <cell r="X264">
            <v>13.366</v>
          </cell>
          <cell r="Y264">
            <v>2.673</v>
          </cell>
          <cell r="AA264">
            <v>0</v>
          </cell>
          <cell r="AB264">
            <v>635.92600000000004</v>
          </cell>
          <cell r="AC264">
            <v>635.92600000000004</v>
          </cell>
          <cell r="AD264">
            <v>651.96500000000003</v>
          </cell>
          <cell r="AE264">
            <v>-132.16</v>
          </cell>
          <cell r="AF264">
            <v>112</v>
          </cell>
          <cell r="AG264">
            <v>0</v>
          </cell>
          <cell r="AH264">
            <v>0</v>
          </cell>
          <cell r="AI264">
            <v>0</v>
          </cell>
          <cell r="AJ264">
            <v>20.16</v>
          </cell>
          <cell r="AK264">
            <v>1</v>
          </cell>
          <cell r="AL264" t="str">
            <v>ZONAL</v>
          </cell>
          <cell r="AM264">
            <v>3200</v>
          </cell>
          <cell r="AN264">
            <v>-2474.1950000000002</v>
          </cell>
          <cell r="AO264">
            <v>0</v>
          </cell>
          <cell r="AP264">
            <v>-2474.1950000000002</v>
          </cell>
          <cell r="AQ264">
            <v>651.96500000000003</v>
          </cell>
          <cell r="AR264">
            <v>-132.16</v>
          </cell>
          <cell r="AS264">
            <v>-2994</v>
          </cell>
          <cell r="AV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2673.21</v>
          </cell>
          <cell r="BP264">
            <v>12</v>
          </cell>
          <cell r="BQ264">
            <v>0</v>
          </cell>
          <cell r="BR264">
            <v>0</v>
          </cell>
          <cell r="BS264">
            <v>0</v>
          </cell>
          <cell r="BT264">
            <v>0.5</v>
          </cell>
          <cell r="BU264">
            <v>0</v>
          </cell>
          <cell r="BV264">
            <v>0</v>
          </cell>
          <cell r="BW264">
            <v>0.1</v>
          </cell>
          <cell r="BX264" t="str">
            <v>Tiny Kingdom</v>
          </cell>
          <cell r="BY264" t="str">
            <v>Girls</v>
          </cell>
          <cell r="BZ264" t="str">
            <v>External</v>
          </cell>
          <cell r="CA264" t="str">
            <v>Dresses</v>
          </cell>
          <cell r="CB264" t="str">
            <v>ON_HAND</v>
          </cell>
          <cell r="CC264" t="b">
            <v>0</v>
          </cell>
          <cell r="CD264" t="str">
            <v>**********</v>
          </cell>
          <cell r="CE264">
            <v>560064</v>
          </cell>
          <cell r="CF264" t="str">
            <v>27AXUPC8425A1ZH</v>
          </cell>
          <cell r="CH264" t="str">
            <v>29AAECM9636P1ZJ</v>
          </cell>
          <cell r="CI264" t="str">
            <v>Mumbai</v>
          </cell>
          <cell r="CJ264">
            <v>400013</v>
          </cell>
          <cell r="CK264" t="str">
            <v>maharashtra</v>
          </cell>
          <cell r="CL264" t="str">
            <v>MH</v>
          </cell>
          <cell r="CN264">
            <v>0</v>
          </cell>
          <cell r="CO264">
            <v>635.92600000000004</v>
          </cell>
          <cell r="CP264">
            <v>635.92600000000004</v>
          </cell>
          <cell r="CQ264">
            <v>0</v>
          </cell>
          <cell r="CR264">
            <v>0</v>
          </cell>
          <cell r="CS264">
            <v>0</v>
          </cell>
          <cell r="CT264">
            <v>800</v>
          </cell>
          <cell r="CU264">
            <v>2.6732100000000001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E264" t="str">
            <v>52325f17-27c2-427c-a0e6-85d72c2401c1</v>
          </cell>
          <cell r="DF264">
            <v>100081000000</v>
          </cell>
          <cell r="DG264">
            <v>13.366</v>
          </cell>
          <cell r="DH264">
            <v>0</v>
          </cell>
          <cell r="DI264">
            <v>2.673</v>
          </cell>
          <cell r="DJ264">
            <v>0</v>
          </cell>
          <cell r="DK264" t="str">
            <v>BRONZE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 t="str">
            <v>NA</v>
          </cell>
          <cell r="DU264" t="str">
            <v>NA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FG264" t="str">
            <v>unsettled</v>
          </cell>
          <cell r="FH264">
            <v>3200</v>
          </cell>
          <cell r="FI264">
            <v>2474.1950000000002</v>
          </cell>
          <cell r="FJ264">
            <v>651.96500000000003</v>
          </cell>
          <cell r="FK264">
            <v>132.16</v>
          </cell>
        </row>
        <row r="265">
          <cell r="A265">
            <v>8689247484</v>
          </cell>
          <cell r="B265">
            <v>10689175467</v>
          </cell>
          <cell r="C265" t="str">
            <v>return_refund</v>
          </cell>
          <cell r="D265">
            <v>45929.456944444442</v>
          </cell>
          <cell r="E265">
            <v>45922.443055555559</v>
          </cell>
          <cell r="G265" t="str">
            <v>Myntra Designs Pvt Ltd</v>
          </cell>
          <cell r="H265" t="str">
            <v>TIKICLST112288676</v>
          </cell>
          <cell r="I265" t="str">
            <v>\I2726TK000003062\""</v>
          </cell>
          <cell r="J265">
            <v>9774312398</v>
          </cell>
          <cell r="K265">
            <v>62042300</v>
          </cell>
          <cell r="L265" t="str">
            <v>Apparel</v>
          </cell>
          <cell r="M265" t="str">
            <v>INR</v>
          </cell>
          <cell r="N265">
            <v>3789</v>
          </cell>
          <cell r="O265">
            <v>0</v>
          </cell>
          <cell r="P265">
            <v>3789</v>
          </cell>
          <cell r="Q265">
            <v>4500</v>
          </cell>
          <cell r="R265">
            <v>505</v>
          </cell>
          <cell r="S265" t="str">
            <v>Inter-State</v>
          </cell>
          <cell r="T265">
            <v>18</v>
          </cell>
          <cell r="U265">
            <v>577.98</v>
          </cell>
          <cell r="V265">
            <v>0</v>
          </cell>
          <cell r="W265">
            <v>0</v>
          </cell>
          <cell r="X265">
            <v>16.055</v>
          </cell>
          <cell r="Y265">
            <v>3.2109999999999999</v>
          </cell>
          <cell r="AA265">
            <v>0</v>
          </cell>
          <cell r="AB265">
            <v>938.91399999999999</v>
          </cell>
          <cell r="AC265">
            <v>938.91399999999999</v>
          </cell>
          <cell r="AD265">
            <v>958.18</v>
          </cell>
          <cell r="AE265">
            <v>-197.06</v>
          </cell>
          <cell r="AF265">
            <v>167</v>
          </cell>
          <cell r="AG265">
            <v>0</v>
          </cell>
          <cell r="AH265">
            <v>0</v>
          </cell>
          <cell r="AI265">
            <v>0</v>
          </cell>
          <cell r="AJ265">
            <v>30.06</v>
          </cell>
          <cell r="AK265">
            <v>1</v>
          </cell>
          <cell r="AL265" t="str">
            <v>NATIONAL</v>
          </cell>
          <cell r="AM265">
            <v>3995</v>
          </cell>
          <cell r="AN265">
            <v>-3027.88</v>
          </cell>
          <cell r="AO265">
            <v>0</v>
          </cell>
          <cell r="AP265">
            <v>-3027.88</v>
          </cell>
          <cell r="AQ265">
            <v>958.18</v>
          </cell>
          <cell r="AR265">
            <v>-197.06</v>
          </cell>
          <cell r="AS265">
            <v>-3789</v>
          </cell>
          <cell r="AV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3211.02</v>
          </cell>
          <cell r="BP265">
            <v>18</v>
          </cell>
          <cell r="BQ265">
            <v>0</v>
          </cell>
          <cell r="BR265">
            <v>0</v>
          </cell>
          <cell r="BS265">
            <v>0</v>
          </cell>
          <cell r="BT265">
            <v>0.5</v>
          </cell>
          <cell r="BU265">
            <v>0</v>
          </cell>
          <cell r="BV265">
            <v>0</v>
          </cell>
          <cell r="BW265">
            <v>0.1</v>
          </cell>
          <cell r="BX265" t="str">
            <v>Tiny Kingdom</v>
          </cell>
          <cell r="BY265" t="str">
            <v>Girls</v>
          </cell>
          <cell r="BZ265" t="str">
            <v>External</v>
          </cell>
          <cell r="CA265" t="str">
            <v>Clothing Set</v>
          </cell>
          <cell r="CB265" t="str">
            <v>ON_HAND</v>
          </cell>
          <cell r="CC265" t="b">
            <v>0</v>
          </cell>
          <cell r="CD265" t="str">
            <v>**********</v>
          </cell>
          <cell r="CE265">
            <v>637214</v>
          </cell>
          <cell r="CF265" t="str">
            <v>27AXUPC8425A1ZH</v>
          </cell>
          <cell r="CH265" t="str">
            <v>29AAECM9636P1ZJ</v>
          </cell>
          <cell r="CI265" t="str">
            <v>Mumbai</v>
          </cell>
          <cell r="CJ265">
            <v>400013</v>
          </cell>
          <cell r="CK265" t="str">
            <v>maharashtra</v>
          </cell>
          <cell r="CL265" t="str">
            <v>MH</v>
          </cell>
          <cell r="CN265">
            <v>0</v>
          </cell>
          <cell r="CO265">
            <v>938.91399999999999</v>
          </cell>
          <cell r="CP265">
            <v>938.91399999999999</v>
          </cell>
          <cell r="CQ265">
            <v>0</v>
          </cell>
          <cell r="CR265">
            <v>0</v>
          </cell>
          <cell r="CS265">
            <v>0</v>
          </cell>
          <cell r="CT265">
            <v>505</v>
          </cell>
          <cell r="CU265">
            <v>3.21102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E265" t="str">
            <v>ef20eac0-eb9e-4fa8-9c55-50cc8c975f8d</v>
          </cell>
          <cell r="DF265">
            <v>100084000000</v>
          </cell>
          <cell r="DG265">
            <v>16.055</v>
          </cell>
          <cell r="DH265">
            <v>0</v>
          </cell>
          <cell r="DI265">
            <v>3.2109999999999999</v>
          </cell>
          <cell r="DJ265">
            <v>0</v>
          </cell>
          <cell r="DK265" t="str">
            <v>BRONZE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 t="str">
            <v>NA</v>
          </cell>
          <cell r="DU265" t="str">
            <v>NA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FG265" t="str">
            <v>unsettled</v>
          </cell>
          <cell r="FH265">
            <v>3995</v>
          </cell>
          <cell r="FI265">
            <v>3027.88</v>
          </cell>
          <cell r="FJ265">
            <v>958.18</v>
          </cell>
          <cell r="FK265">
            <v>197.06</v>
          </cell>
        </row>
        <row r="266">
          <cell r="A266">
            <v>8701295928</v>
          </cell>
          <cell r="B266">
            <v>10701226560</v>
          </cell>
          <cell r="C266" t="str">
            <v>return_refund</v>
          </cell>
          <cell r="D266">
            <v>45930.445833333331</v>
          </cell>
          <cell r="E266">
            <v>45923.806944444441</v>
          </cell>
          <cell r="F266">
            <v>44575</v>
          </cell>
          <cell r="G266" t="str">
            <v>Myntra Designs Pvt Ltd</v>
          </cell>
          <cell r="H266" t="str">
            <v>TIKILHNC101907530</v>
          </cell>
          <cell r="I266" t="str">
            <v>\I2726TK000003103\""</v>
          </cell>
          <cell r="J266">
            <v>8701295928</v>
          </cell>
          <cell r="K266">
            <v>62042300</v>
          </cell>
          <cell r="L266" t="str">
            <v>Apparel</v>
          </cell>
          <cell r="M266" t="str">
            <v>INR</v>
          </cell>
          <cell r="N266">
            <v>1012</v>
          </cell>
          <cell r="O266">
            <v>0</v>
          </cell>
          <cell r="P266">
            <v>1012</v>
          </cell>
          <cell r="Q266">
            <v>2500</v>
          </cell>
          <cell r="R266">
            <v>1317</v>
          </cell>
          <cell r="S266" t="str">
            <v>Inter-State</v>
          </cell>
          <cell r="T266">
            <v>5</v>
          </cell>
          <cell r="U266">
            <v>48.19</v>
          </cell>
          <cell r="V266">
            <v>0</v>
          </cell>
          <cell r="W266">
            <v>0</v>
          </cell>
          <cell r="X266">
            <v>4.819</v>
          </cell>
          <cell r="Y266">
            <v>0.96399999999999997</v>
          </cell>
          <cell r="AA266">
            <v>0</v>
          </cell>
          <cell r="AB266">
            <v>250.774</v>
          </cell>
          <cell r="AC266">
            <v>250.774</v>
          </cell>
          <cell r="AD266">
            <v>256.55700000000002</v>
          </cell>
          <cell r="AE266">
            <v>-197.06</v>
          </cell>
          <cell r="AF266">
            <v>167</v>
          </cell>
          <cell r="AG266">
            <v>0</v>
          </cell>
          <cell r="AH266">
            <v>0</v>
          </cell>
          <cell r="AI266">
            <v>0</v>
          </cell>
          <cell r="AJ266">
            <v>30.06</v>
          </cell>
          <cell r="AK266">
            <v>1</v>
          </cell>
          <cell r="AL266" t="str">
            <v>NATIONAL</v>
          </cell>
          <cell r="AM266">
            <v>1183</v>
          </cell>
          <cell r="AN266">
            <v>-952.50300000000004</v>
          </cell>
          <cell r="AO266">
            <v>0</v>
          </cell>
          <cell r="AP266">
            <v>-952.50300000000004</v>
          </cell>
          <cell r="AQ266">
            <v>256.55700000000002</v>
          </cell>
          <cell r="AR266">
            <v>-197.06</v>
          </cell>
          <cell r="AS266">
            <v>-1012</v>
          </cell>
          <cell r="AV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963.81</v>
          </cell>
          <cell r="BP266">
            <v>5</v>
          </cell>
          <cell r="BQ266">
            <v>0</v>
          </cell>
          <cell r="BR266">
            <v>0</v>
          </cell>
          <cell r="BS266">
            <v>0</v>
          </cell>
          <cell r="BT266">
            <v>0.5</v>
          </cell>
          <cell r="BU266">
            <v>0</v>
          </cell>
          <cell r="BV266">
            <v>0</v>
          </cell>
          <cell r="BW266">
            <v>0.1</v>
          </cell>
          <cell r="BX266" t="str">
            <v>Tiny Kingdom</v>
          </cell>
          <cell r="BY266" t="str">
            <v>Girls</v>
          </cell>
          <cell r="BZ266" t="str">
            <v>External</v>
          </cell>
          <cell r="CA266" t="str">
            <v>Lehenga Choli</v>
          </cell>
          <cell r="CB266" t="str">
            <v>ON_HAND</v>
          </cell>
          <cell r="CC266" t="b">
            <v>0</v>
          </cell>
          <cell r="CD266" t="str">
            <v>**********</v>
          </cell>
          <cell r="CE266">
            <v>110075</v>
          </cell>
          <cell r="CF266" t="str">
            <v>27AXUPC8425A1ZH</v>
          </cell>
          <cell r="CH266" t="str">
            <v>29AAECM9636P1ZJ</v>
          </cell>
          <cell r="CI266" t="str">
            <v>Mumbai</v>
          </cell>
          <cell r="CJ266">
            <v>400013</v>
          </cell>
          <cell r="CK266" t="str">
            <v>maharashtra</v>
          </cell>
          <cell r="CL266" t="str">
            <v>MH</v>
          </cell>
          <cell r="CN266">
            <v>0</v>
          </cell>
          <cell r="CO266">
            <v>250.774</v>
          </cell>
          <cell r="CP266">
            <v>250.774</v>
          </cell>
          <cell r="CQ266">
            <v>0</v>
          </cell>
          <cell r="CR266">
            <v>0</v>
          </cell>
          <cell r="CS266">
            <v>0</v>
          </cell>
          <cell r="CT266">
            <v>1317</v>
          </cell>
          <cell r="CU266">
            <v>0.96380999999999994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E266" t="str">
            <v>895d6df0-b553-49a5-8722-d4ac0d53cc75</v>
          </cell>
          <cell r="DF266">
            <v>100084000000</v>
          </cell>
          <cell r="DG266">
            <v>4.819</v>
          </cell>
          <cell r="DH266">
            <v>0</v>
          </cell>
          <cell r="DI266">
            <v>0.96399999999999997</v>
          </cell>
          <cell r="DJ266">
            <v>0</v>
          </cell>
          <cell r="DK266" t="str">
            <v>BRONZE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 t="str">
            <v>NA</v>
          </cell>
          <cell r="DU266" t="str">
            <v>NA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FG266" t="str">
            <v>unsettled</v>
          </cell>
          <cell r="FH266">
            <v>1183</v>
          </cell>
          <cell r="FI266">
            <v>952.50300000000004</v>
          </cell>
          <cell r="FJ266">
            <v>256.55700000000002</v>
          </cell>
          <cell r="FK266">
            <v>197.06</v>
          </cell>
        </row>
        <row r="267">
          <cell r="A267">
            <v>8675330506</v>
          </cell>
          <cell r="B267">
            <v>10675255157</v>
          </cell>
          <cell r="C267" t="str">
            <v>return_refund</v>
          </cell>
          <cell r="D267">
            <v>45928.506249999999</v>
          </cell>
          <cell r="E267">
            <v>45916.560416666667</v>
          </cell>
          <cell r="G267" t="str">
            <v>Myntra Designs Pvt Ltd</v>
          </cell>
          <cell r="H267" t="str">
            <v>TNBYCLST97661402</v>
          </cell>
          <cell r="I267" t="str">
            <v>\I2726TK000002951\""</v>
          </cell>
          <cell r="J267">
            <v>8675330506</v>
          </cell>
          <cell r="K267">
            <v>62042300</v>
          </cell>
          <cell r="L267" t="str">
            <v>Apparel</v>
          </cell>
          <cell r="M267" t="str">
            <v>INR</v>
          </cell>
          <cell r="N267">
            <v>1579</v>
          </cell>
          <cell r="O267">
            <v>1579</v>
          </cell>
          <cell r="P267">
            <v>0</v>
          </cell>
          <cell r="Q267">
            <v>2500</v>
          </cell>
          <cell r="R267">
            <v>750</v>
          </cell>
          <cell r="S267" t="str">
            <v>Inter-State</v>
          </cell>
          <cell r="T267">
            <v>12</v>
          </cell>
          <cell r="U267">
            <v>169.18</v>
          </cell>
          <cell r="V267">
            <v>0</v>
          </cell>
          <cell r="W267">
            <v>0</v>
          </cell>
          <cell r="X267">
            <v>7.0490000000000004</v>
          </cell>
          <cell r="Y267">
            <v>1.41</v>
          </cell>
          <cell r="AA267">
            <v>0</v>
          </cell>
          <cell r="AB267">
            <v>428.541</v>
          </cell>
          <cell r="AC267">
            <v>428.541</v>
          </cell>
          <cell r="AD267">
            <v>437</v>
          </cell>
          <cell r="AE267">
            <v>-197.06</v>
          </cell>
          <cell r="AF267">
            <v>167</v>
          </cell>
          <cell r="AG267">
            <v>0</v>
          </cell>
          <cell r="AH267">
            <v>0</v>
          </cell>
          <cell r="AI267">
            <v>0</v>
          </cell>
          <cell r="AJ267">
            <v>30.06</v>
          </cell>
          <cell r="AK267">
            <v>1</v>
          </cell>
          <cell r="AL267" t="str">
            <v>NATIONAL</v>
          </cell>
          <cell r="AM267">
            <v>1750</v>
          </cell>
          <cell r="AN267">
            <v>-1339.06</v>
          </cell>
          <cell r="AO267">
            <v>0</v>
          </cell>
          <cell r="AP267">
            <v>-1339.06</v>
          </cell>
          <cell r="AS267">
            <v>0</v>
          </cell>
          <cell r="AT267">
            <v>437</v>
          </cell>
          <cell r="AU267">
            <v>-197.06</v>
          </cell>
          <cell r="AV267">
            <v>-1579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1409.82</v>
          </cell>
          <cell r="BP267">
            <v>12</v>
          </cell>
          <cell r="BQ267">
            <v>0</v>
          </cell>
          <cell r="BR267">
            <v>0</v>
          </cell>
          <cell r="BS267">
            <v>0</v>
          </cell>
          <cell r="BT267">
            <v>0.5</v>
          </cell>
          <cell r="BU267">
            <v>0</v>
          </cell>
          <cell r="BV267">
            <v>0</v>
          </cell>
          <cell r="BW267">
            <v>0.1</v>
          </cell>
          <cell r="BX267" t="str">
            <v>Tiny Baby</v>
          </cell>
          <cell r="BY267" t="str">
            <v>Girls</v>
          </cell>
          <cell r="BZ267" t="str">
            <v>External</v>
          </cell>
          <cell r="CA267" t="str">
            <v>Clothing Set</v>
          </cell>
          <cell r="CB267" t="str">
            <v>ON_HAND</v>
          </cell>
          <cell r="CC267" t="b">
            <v>0</v>
          </cell>
          <cell r="CD267" t="str">
            <v>**********</v>
          </cell>
          <cell r="CE267">
            <v>788161</v>
          </cell>
          <cell r="CF267" t="str">
            <v>27AXUPC8425A1ZH</v>
          </cell>
          <cell r="CH267" t="str">
            <v>29AAECM9636P1ZJ</v>
          </cell>
          <cell r="CI267" t="str">
            <v>Mumbai</v>
          </cell>
          <cell r="CJ267">
            <v>400013</v>
          </cell>
          <cell r="CK267" t="str">
            <v>maharashtra</v>
          </cell>
          <cell r="CL267" t="str">
            <v>MH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W267">
            <v>0</v>
          </cell>
          <cell r="CX267">
            <v>428.541</v>
          </cell>
          <cell r="CY267">
            <v>428.541</v>
          </cell>
          <cell r="CZ267">
            <v>0</v>
          </cell>
          <cell r="DA267">
            <v>0</v>
          </cell>
          <cell r="DB267">
            <v>0</v>
          </cell>
          <cell r="DC267">
            <v>750</v>
          </cell>
          <cell r="DD267">
            <v>1.4098200000000001</v>
          </cell>
          <cell r="DE267" t="str">
            <v>b4495cda-6658-454b-be63-4a799945868f</v>
          </cell>
          <cell r="DF267">
            <v>100083000000</v>
          </cell>
          <cell r="DG267">
            <v>0</v>
          </cell>
          <cell r="DH267">
            <v>7.0490000000000004</v>
          </cell>
          <cell r="DI267">
            <v>0</v>
          </cell>
          <cell r="DJ267">
            <v>1.41</v>
          </cell>
          <cell r="DK267" t="str">
            <v>BRONZE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 t="str">
            <v>NA</v>
          </cell>
          <cell r="DU267" t="str">
            <v>NA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FG267" t="str">
            <v>unsettled</v>
          </cell>
          <cell r="FH267">
            <v>1750</v>
          </cell>
          <cell r="FI267">
            <v>1339.06</v>
          </cell>
          <cell r="FJ267">
            <v>437</v>
          </cell>
          <cell r="FK267">
            <v>197.06</v>
          </cell>
        </row>
        <row r="268">
          <cell r="A268">
            <v>6982985963</v>
          </cell>
          <cell r="C268" t="str">
            <v>exchange</v>
          </cell>
          <cell r="D268">
            <v>44789.801388888889</v>
          </cell>
          <cell r="I268" t="str">
            <v>\null\""</v>
          </cell>
          <cell r="M268" t="str">
            <v>INR</v>
          </cell>
          <cell r="X268">
            <v>33.213999999999999</v>
          </cell>
          <cell r="Y268">
            <v>33.213999999999999</v>
          </cell>
          <cell r="Z268">
            <v>22.42</v>
          </cell>
          <cell r="AA268">
            <v>0</v>
          </cell>
          <cell r="AB268">
            <v>834.024</v>
          </cell>
          <cell r="AC268">
            <v>834.024</v>
          </cell>
          <cell r="AD268">
            <v>900.452</v>
          </cell>
          <cell r="AE268">
            <v>-53.1</v>
          </cell>
          <cell r="AF268">
            <v>75</v>
          </cell>
          <cell r="AG268">
            <v>30</v>
          </cell>
          <cell r="AH268">
            <v>0</v>
          </cell>
          <cell r="AI268">
            <v>0</v>
          </cell>
          <cell r="AJ268">
            <v>8.1</v>
          </cell>
          <cell r="AK268">
            <v>1</v>
          </cell>
          <cell r="AL268" t="str">
            <v>NATIONAL</v>
          </cell>
          <cell r="AM268">
            <v>3720</v>
          </cell>
          <cell r="AN268">
            <v>-2872.6480000000001</v>
          </cell>
          <cell r="AO268">
            <v>0</v>
          </cell>
          <cell r="AP268">
            <v>-2872.6480000000001</v>
          </cell>
          <cell r="AQ268">
            <v>935.85199999999998</v>
          </cell>
          <cell r="AR268">
            <v>-88.5</v>
          </cell>
          <cell r="AS268">
            <v>-3720</v>
          </cell>
          <cell r="AV268">
            <v>0</v>
          </cell>
          <cell r="BW268">
            <v>1</v>
          </cell>
          <cell r="CD268" t="str">
            <v>**********</v>
          </cell>
          <cell r="CF268" t="str">
            <v>27AXUPC8425A1ZH</v>
          </cell>
          <cell r="CH268" t="str">
            <v>29AAECM9636P1ZJ</v>
          </cell>
          <cell r="CM268">
            <v>22.42</v>
          </cell>
          <cell r="CN268">
            <v>0</v>
          </cell>
          <cell r="CO268">
            <v>834.024</v>
          </cell>
          <cell r="CP268">
            <v>834.024</v>
          </cell>
          <cell r="CQ268">
            <v>0</v>
          </cell>
          <cell r="CR268">
            <v>0</v>
          </cell>
          <cell r="CS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G268">
            <v>33.213999999999999</v>
          </cell>
          <cell r="DH268">
            <v>0</v>
          </cell>
          <cell r="DI268">
            <v>33.213999999999999</v>
          </cell>
          <cell r="DJ268">
            <v>0</v>
          </cell>
          <cell r="DK268" t="str">
            <v>BRONZE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 t="str">
            <v>NA</v>
          </cell>
          <cell r="DU268" t="str">
            <v>NA</v>
          </cell>
          <cell r="DV268">
            <v>0</v>
          </cell>
          <cell r="DW268">
            <v>0</v>
          </cell>
          <cell r="DY268">
            <v>0</v>
          </cell>
          <cell r="FG268" t="str">
            <v>unsettled</v>
          </cell>
          <cell r="FH268">
            <v>3720</v>
          </cell>
          <cell r="FI268">
            <v>2872.6480000000001</v>
          </cell>
          <cell r="FJ268">
            <v>935.85199999999998</v>
          </cell>
          <cell r="FK268">
            <v>88.5</v>
          </cell>
        </row>
        <row r="269">
          <cell r="A269">
            <v>8677429792</v>
          </cell>
          <cell r="B269">
            <v>10677354868</v>
          </cell>
          <cell r="C269" t="str">
            <v>return_refund</v>
          </cell>
          <cell r="D269">
            <v>45922.397916666669</v>
          </cell>
          <cell r="E269">
            <v>45917.434027777781</v>
          </cell>
          <cell r="G269" t="str">
            <v>Myntra Designs Pvt Ltd</v>
          </cell>
          <cell r="H269" t="str">
            <v>BETYDRSS112339752</v>
          </cell>
          <cell r="I269" t="str">
            <v>\I2726TK000002961\""</v>
          </cell>
          <cell r="J269">
            <v>9770367832</v>
          </cell>
          <cell r="K269">
            <v>62042300</v>
          </cell>
          <cell r="L269" t="str">
            <v>Apparel</v>
          </cell>
          <cell r="M269" t="str">
            <v>INR</v>
          </cell>
          <cell r="N269">
            <v>4045</v>
          </cell>
          <cell r="O269">
            <v>4011.3049999999998</v>
          </cell>
          <cell r="P269">
            <v>33.685000000000002</v>
          </cell>
          <cell r="Q269">
            <v>5450</v>
          </cell>
          <cell r="R269">
            <v>1199</v>
          </cell>
          <cell r="S269" t="str">
            <v>Inter-State</v>
          </cell>
          <cell r="T269">
            <v>12</v>
          </cell>
          <cell r="U269">
            <v>433.39</v>
          </cell>
          <cell r="V269">
            <v>0</v>
          </cell>
          <cell r="W269">
            <v>0</v>
          </cell>
          <cell r="X269">
            <v>18.058</v>
          </cell>
          <cell r="Y269">
            <v>3.6120000000000001</v>
          </cell>
          <cell r="AA269">
            <v>0</v>
          </cell>
          <cell r="AB269">
            <v>1288.7339999999999</v>
          </cell>
          <cell r="AC269">
            <v>1288.7339999999999</v>
          </cell>
          <cell r="AD269">
            <v>1310.404</v>
          </cell>
          <cell r="AE269">
            <v>-197.06</v>
          </cell>
          <cell r="AF269">
            <v>167</v>
          </cell>
          <cell r="AG269">
            <v>0</v>
          </cell>
          <cell r="AH269">
            <v>0</v>
          </cell>
          <cell r="AI269">
            <v>0</v>
          </cell>
          <cell r="AJ269">
            <v>30.06</v>
          </cell>
          <cell r="AK269">
            <v>1</v>
          </cell>
          <cell r="AL269" t="str">
            <v>NATIONAL</v>
          </cell>
          <cell r="AM269">
            <v>4251</v>
          </cell>
          <cell r="AN269">
            <v>-2931.6460000000002</v>
          </cell>
          <cell r="AO269">
            <v>0</v>
          </cell>
          <cell r="AP269">
            <v>-2931.6460000000002</v>
          </cell>
          <cell r="AQ269">
            <v>10.912000000000001</v>
          </cell>
          <cell r="AR269">
            <v>-1.6413800000000001</v>
          </cell>
          <cell r="AS269">
            <v>-33.685000000000002</v>
          </cell>
          <cell r="AT269">
            <v>1299.492</v>
          </cell>
          <cell r="AU269">
            <v>-195.41862</v>
          </cell>
          <cell r="AV269">
            <v>-4011.3049999999998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3611.61</v>
          </cell>
          <cell r="BP269">
            <v>12</v>
          </cell>
          <cell r="BQ269">
            <v>0</v>
          </cell>
          <cell r="BR269">
            <v>0</v>
          </cell>
          <cell r="BS269">
            <v>0</v>
          </cell>
          <cell r="BT269">
            <v>0.5</v>
          </cell>
          <cell r="BU269">
            <v>0</v>
          </cell>
          <cell r="BV269">
            <v>0</v>
          </cell>
          <cell r="BW269">
            <v>0.1</v>
          </cell>
          <cell r="BX269" t="str">
            <v>BETTY</v>
          </cell>
          <cell r="BY269" t="str">
            <v>Girls</v>
          </cell>
          <cell r="BZ269" t="str">
            <v>External</v>
          </cell>
          <cell r="CA269" t="str">
            <v>Dresses</v>
          </cell>
          <cell r="CB269" t="str">
            <v>ON_HAND</v>
          </cell>
          <cell r="CC269" t="b">
            <v>0</v>
          </cell>
          <cell r="CD269" t="str">
            <v>**********</v>
          </cell>
          <cell r="CE269">
            <v>202001</v>
          </cell>
          <cell r="CF269" t="str">
            <v>27AXUPC8425A1ZH</v>
          </cell>
          <cell r="CH269" t="str">
            <v>29AAECM9636P1ZJ</v>
          </cell>
          <cell r="CI269" t="str">
            <v>Mumbai</v>
          </cell>
          <cell r="CJ269">
            <v>400013</v>
          </cell>
          <cell r="CK269" t="str">
            <v>maharashtra</v>
          </cell>
          <cell r="CL269" t="str">
            <v>MH</v>
          </cell>
          <cell r="CN269">
            <v>0</v>
          </cell>
          <cell r="CO269">
            <v>10.731999999999999</v>
          </cell>
          <cell r="CP269">
            <v>10.731999999999999</v>
          </cell>
          <cell r="CQ269">
            <v>0</v>
          </cell>
          <cell r="CR269">
            <v>0</v>
          </cell>
          <cell r="CS269">
            <v>0</v>
          </cell>
          <cell r="CT269">
            <v>1199</v>
          </cell>
          <cell r="CU269">
            <v>3.6116100000000002</v>
          </cell>
          <cell r="CW269">
            <v>0</v>
          </cell>
          <cell r="CX269">
            <v>1278.002</v>
          </cell>
          <cell r="CY269">
            <v>1278.002</v>
          </cell>
          <cell r="CZ269">
            <v>0</v>
          </cell>
          <cell r="DA269">
            <v>0</v>
          </cell>
          <cell r="DB269">
            <v>0</v>
          </cell>
          <cell r="DC269">
            <v>1199</v>
          </cell>
          <cell r="DD269">
            <v>3.6116100000000002</v>
          </cell>
          <cell r="DE269" t="str">
            <v>3fc8b6ed-9ac3-40a8-aa91-88f3a76900c2</v>
          </cell>
          <cell r="DF269">
            <v>100081000000</v>
          </cell>
          <cell r="DG269">
            <v>0.15</v>
          </cell>
          <cell r="DH269">
            <v>17.908000000000001</v>
          </cell>
          <cell r="DI269">
            <v>0.03</v>
          </cell>
          <cell r="DJ269">
            <v>3.5819999999999999</v>
          </cell>
          <cell r="DK269" t="str">
            <v>BRONZE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 t="str">
            <v>NA</v>
          </cell>
          <cell r="DU269" t="str">
            <v>NA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FG269" t="str">
            <v>unsettled</v>
          </cell>
          <cell r="FH269">
            <v>4251</v>
          </cell>
          <cell r="FI269">
            <v>2931.6460000000002</v>
          </cell>
          <cell r="FJ269">
            <v>1310.404</v>
          </cell>
          <cell r="FK269">
            <v>197.06</v>
          </cell>
        </row>
        <row r="270">
          <cell r="A270">
            <v>8695661593</v>
          </cell>
          <cell r="B270">
            <v>10695590144</v>
          </cell>
          <cell r="C270" t="str">
            <v>return_refund</v>
          </cell>
          <cell r="D270">
            <v>45928.355555555558</v>
          </cell>
          <cell r="E270">
            <v>45922.443055555559</v>
          </cell>
          <cell r="F270">
            <v>44569</v>
          </cell>
          <cell r="G270" t="str">
            <v>Myntra Designs Pvt Ltd</v>
          </cell>
          <cell r="H270" t="str">
            <v>TIKILHNC106661943</v>
          </cell>
          <cell r="I270" t="str">
            <v>\I2726TK000003075\""</v>
          </cell>
          <cell r="J270">
            <v>8695661593</v>
          </cell>
          <cell r="K270">
            <v>62042300</v>
          </cell>
          <cell r="L270" t="str">
            <v>Apparel</v>
          </cell>
          <cell r="M270" t="str">
            <v>INR</v>
          </cell>
          <cell r="N270">
            <v>2150</v>
          </cell>
          <cell r="O270">
            <v>0</v>
          </cell>
          <cell r="P270">
            <v>2149.9899999999998</v>
          </cell>
          <cell r="Q270">
            <v>4500</v>
          </cell>
          <cell r="R270">
            <v>2144</v>
          </cell>
          <cell r="S270" t="str">
            <v>Inter-State</v>
          </cell>
          <cell r="T270">
            <v>5</v>
          </cell>
          <cell r="U270">
            <v>102.38</v>
          </cell>
          <cell r="V270">
            <v>0</v>
          </cell>
          <cell r="W270">
            <v>0</v>
          </cell>
          <cell r="X270">
            <v>10.238</v>
          </cell>
          <cell r="Y270">
            <v>2.048</v>
          </cell>
          <cell r="AA270">
            <v>0</v>
          </cell>
          <cell r="AB270">
            <v>532.77200000000005</v>
          </cell>
          <cell r="AC270">
            <v>532.77200000000005</v>
          </cell>
          <cell r="AD270">
            <v>545.05799999999999</v>
          </cell>
          <cell r="AE270">
            <v>-197.06</v>
          </cell>
          <cell r="AF270">
            <v>167</v>
          </cell>
          <cell r="AG270">
            <v>0</v>
          </cell>
          <cell r="AH270">
            <v>0</v>
          </cell>
          <cell r="AI270">
            <v>0</v>
          </cell>
          <cell r="AJ270">
            <v>30.06</v>
          </cell>
          <cell r="AK270">
            <v>1</v>
          </cell>
          <cell r="AL270" t="str">
            <v>NATIONAL</v>
          </cell>
          <cell r="AM270">
            <v>2356</v>
          </cell>
          <cell r="AN270">
            <v>-1802.0119999999999</v>
          </cell>
          <cell r="AO270">
            <v>0</v>
          </cell>
          <cell r="AP270">
            <v>-1802.0119999999999</v>
          </cell>
          <cell r="AQ270">
            <v>545.05799999999999</v>
          </cell>
          <cell r="AR270">
            <v>-197.06</v>
          </cell>
          <cell r="AS270">
            <v>-2150.0100000000002</v>
          </cell>
          <cell r="AV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2047.62</v>
          </cell>
          <cell r="BP270">
            <v>5</v>
          </cell>
          <cell r="BQ270">
            <v>0</v>
          </cell>
          <cell r="BR270">
            <v>0</v>
          </cell>
          <cell r="BS270">
            <v>0</v>
          </cell>
          <cell r="BT270">
            <v>0.5</v>
          </cell>
          <cell r="BU270">
            <v>0</v>
          </cell>
          <cell r="BV270">
            <v>0</v>
          </cell>
          <cell r="BW270">
            <v>0.1</v>
          </cell>
          <cell r="BX270" t="str">
            <v>Tiny Kingdom</v>
          </cell>
          <cell r="BY270" t="str">
            <v>Girls</v>
          </cell>
          <cell r="BZ270" t="str">
            <v>External</v>
          </cell>
          <cell r="CA270" t="str">
            <v>Lehenga Choli</v>
          </cell>
          <cell r="CB270" t="str">
            <v>ON_HAND</v>
          </cell>
          <cell r="CC270" t="b">
            <v>0</v>
          </cell>
          <cell r="CD270" t="str">
            <v>**********</v>
          </cell>
          <cell r="CE270">
            <v>803213</v>
          </cell>
          <cell r="CF270" t="str">
            <v>27AXUPC8425A1ZH</v>
          </cell>
          <cell r="CH270" t="str">
            <v>29AAECM9636P1ZJ</v>
          </cell>
          <cell r="CI270" t="str">
            <v>Mumbai</v>
          </cell>
          <cell r="CJ270">
            <v>400013</v>
          </cell>
          <cell r="CK270" t="str">
            <v>maharashtra</v>
          </cell>
          <cell r="CL270" t="str">
            <v>MH</v>
          </cell>
          <cell r="CN270">
            <v>0</v>
          </cell>
          <cell r="CO270">
            <v>532.77200000000005</v>
          </cell>
          <cell r="CP270">
            <v>532.77200000000005</v>
          </cell>
          <cell r="CQ270">
            <v>0</v>
          </cell>
          <cell r="CR270">
            <v>0</v>
          </cell>
          <cell r="CS270">
            <v>0</v>
          </cell>
          <cell r="CT270">
            <v>2144</v>
          </cell>
          <cell r="CU270">
            <v>2.0476200000000002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E270" t="str">
            <v>a3a665f5-de77-4fcd-b428-7ccb8bcb2846</v>
          </cell>
          <cell r="DF270">
            <v>100083000000</v>
          </cell>
          <cell r="DG270">
            <v>10.238</v>
          </cell>
          <cell r="DH270">
            <v>0</v>
          </cell>
          <cell r="DI270">
            <v>2.048</v>
          </cell>
          <cell r="DJ270">
            <v>0</v>
          </cell>
          <cell r="DK270" t="str">
            <v>BRONZE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 t="str">
            <v>NA</v>
          </cell>
          <cell r="DU270" t="str">
            <v>NA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FG270" t="str">
            <v>unsettled</v>
          </cell>
          <cell r="FH270">
            <v>2356</v>
          </cell>
          <cell r="FI270">
            <v>1802.0119999999999</v>
          </cell>
          <cell r="FJ270">
            <v>545.05799999999999</v>
          </cell>
          <cell r="FK270">
            <v>197.06</v>
          </cell>
        </row>
        <row r="271">
          <cell r="A271">
            <v>8680872278</v>
          </cell>
          <cell r="B271">
            <v>10680798037</v>
          </cell>
          <cell r="C271" t="str">
            <v>return_refund</v>
          </cell>
          <cell r="D271">
            <v>45927.626388888886</v>
          </cell>
          <cell r="E271">
            <v>45918.800694444442</v>
          </cell>
          <cell r="F271">
            <v>44557</v>
          </cell>
          <cell r="G271" t="str">
            <v>Myntra Designs Pvt Ltd</v>
          </cell>
          <cell r="H271" t="str">
            <v>TIKICLST98837549</v>
          </cell>
          <cell r="I271" t="str">
            <v>\I2726TK000002984\""</v>
          </cell>
          <cell r="J271">
            <v>8680872278</v>
          </cell>
          <cell r="K271">
            <v>62042300</v>
          </cell>
          <cell r="L271" t="str">
            <v>Apparel</v>
          </cell>
          <cell r="M271" t="str">
            <v>INR</v>
          </cell>
          <cell r="N271">
            <v>2406</v>
          </cell>
          <cell r="O271">
            <v>2361.0830000000001</v>
          </cell>
          <cell r="P271">
            <v>44.917000000000002</v>
          </cell>
          <cell r="Q271">
            <v>4750</v>
          </cell>
          <cell r="R271">
            <v>2138</v>
          </cell>
          <cell r="S271" t="str">
            <v>Inter-State</v>
          </cell>
          <cell r="T271">
            <v>12</v>
          </cell>
          <cell r="U271">
            <v>257.79000000000002</v>
          </cell>
          <cell r="V271">
            <v>0</v>
          </cell>
          <cell r="W271">
            <v>0</v>
          </cell>
          <cell r="X271">
            <v>10.742000000000001</v>
          </cell>
          <cell r="Y271">
            <v>2.1480000000000001</v>
          </cell>
          <cell r="AA271">
            <v>0</v>
          </cell>
          <cell r="AB271">
            <v>596.20699999999999</v>
          </cell>
          <cell r="AC271">
            <v>596.20699999999999</v>
          </cell>
          <cell r="AD271">
            <v>609.09699999999998</v>
          </cell>
          <cell r="AE271">
            <v>-197.06</v>
          </cell>
          <cell r="AF271">
            <v>167</v>
          </cell>
          <cell r="AG271">
            <v>0</v>
          </cell>
          <cell r="AH271">
            <v>0</v>
          </cell>
          <cell r="AI271">
            <v>0</v>
          </cell>
          <cell r="AJ271">
            <v>30.06</v>
          </cell>
          <cell r="AK271">
            <v>1</v>
          </cell>
          <cell r="AL271" t="str">
            <v>NATIONAL</v>
          </cell>
          <cell r="AM271">
            <v>2612</v>
          </cell>
          <cell r="AN271">
            <v>-1993.963</v>
          </cell>
          <cell r="AO271">
            <v>0</v>
          </cell>
          <cell r="AP271">
            <v>-1993.963</v>
          </cell>
          <cell r="AQ271">
            <v>11.372</v>
          </cell>
          <cell r="AR271">
            <v>-3.6792400000000001</v>
          </cell>
          <cell r="AS271">
            <v>-44.917000000000002</v>
          </cell>
          <cell r="AT271">
            <v>597.72500000000002</v>
          </cell>
          <cell r="AU271">
            <v>-193.38076000000001</v>
          </cell>
          <cell r="AV271">
            <v>-2361.0830000000001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150</v>
          </cell>
          <cell r="BN271">
            <v>0</v>
          </cell>
          <cell r="BO271">
            <v>2148.21</v>
          </cell>
          <cell r="BP271">
            <v>12</v>
          </cell>
          <cell r="BQ271">
            <v>0</v>
          </cell>
          <cell r="BR271">
            <v>0</v>
          </cell>
          <cell r="BS271">
            <v>0</v>
          </cell>
          <cell r="BT271">
            <v>0.5</v>
          </cell>
          <cell r="BU271">
            <v>0</v>
          </cell>
          <cell r="BV271">
            <v>0</v>
          </cell>
          <cell r="BW271">
            <v>0.1</v>
          </cell>
          <cell r="BX271" t="str">
            <v>Tiny Kingdom</v>
          </cell>
          <cell r="BY271" t="str">
            <v>Girls</v>
          </cell>
          <cell r="BZ271" t="str">
            <v>External</v>
          </cell>
          <cell r="CA271" t="str">
            <v>Clothing Set</v>
          </cell>
          <cell r="CB271" t="str">
            <v>ON_HAND</v>
          </cell>
          <cell r="CC271" t="b">
            <v>0</v>
          </cell>
          <cell r="CD271" t="str">
            <v>**********</v>
          </cell>
          <cell r="CE271">
            <v>800020</v>
          </cell>
          <cell r="CF271" t="str">
            <v>27AXUPC8425A1ZH</v>
          </cell>
          <cell r="CH271" t="str">
            <v>29AAECM9636P1ZJ</v>
          </cell>
          <cell r="CI271" t="str">
            <v>Mumbai</v>
          </cell>
          <cell r="CJ271">
            <v>400013</v>
          </cell>
          <cell r="CK271" t="str">
            <v>maharashtra</v>
          </cell>
          <cell r="CL271" t="str">
            <v>MH</v>
          </cell>
          <cell r="CN271">
            <v>0</v>
          </cell>
          <cell r="CO271">
            <v>11.131</v>
          </cell>
          <cell r="CP271">
            <v>11.131</v>
          </cell>
          <cell r="CQ271">
            <v>0</v>
          </cell>
          <cell r="CR271">
            <v>0</v>
          </cell>
          <cell r="CS271">
            <v>0</v>
          </cell>
          <cell r="CT271">
            <v>2138</v>
          </cell>
          <cell r="CU271">
            <v>2.1482100000000002</v>
          </cell>
          <cell r="CW271">
            <v>0</v>
          </cell>
          <cell r="CX271">
            <v>585.07600000000002</v>
          </cell>
          <cell r="CY271">
            <v>585.07600000000002</v>
          </cell>
          <cell r="CZ271">
            <v>0</v>
          </cell>
          <cell r="DA271">
            <v>0</v>
          </cell>
          <cell r="DB271">
            <v>0</v>
          </cell>
          <cell r="DC271">
            <v>2138</v>
          </cell>
          <cell r="DD271">
            <v>2.1482100000000002</v>
          </cell>
          <cell r="DE271" t="str">
            <v>7b2fddd4-c1f6-4393-b233-c04187d5e6b5</v>
          </cell>
          <cell r="DF271">
            <v>100083000000</v>
          </cell>
          <cell r="DG271">
            <v>0.20100000000000001</v>
          </cell>
          <cell r="DH271">
            <v>10.541</v>
          </cell>
          <cell r="DI271">
            <v>0.04</v>
          </cell>
          <cell r="DJ271">
            <v>2.1080000000000001</v>
          </cell>
          <cell r="DK271" t="str">
            <v>BRONZE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 t="str">
            <v>NA</v>
          </cell>
          <cell r="DU271" t="str">
            <v>NA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FG271" t="str">
            <v>unsettled</v>
          </cell>
          <cell r="FH271">
            <v>2612</v>
          </cell>
          <cell r="FI271">
            <v>1993.963</v>
          </cell>
          <cell r="FJ271">
            <v>609.09699999999998</v>
          </cell>
          <cell r="FK271">
            <v>197.06</v>
          </cell>
        </row>
        <row r="272">
          <cell r="A272">
            <v>8695924416</v>
          </cell>
          <cell r="B272">
            <v>10695853086</v>
          </cell>
          <cell r="C272" t="str">
            <v>return_refund</v>
          </cell>
          <cell r="D272">
            <v>45930.665277777778</v>
          </cell>
          <cell r="E272">
            <v>45922.443055555559</v>
          </cell>
          <cell r="F272">
            <v>44567</v>
          </cell>
          <cell r="G272" t="str">
            <v>Myntra Designs Pvt Ltd</v>
          </cell>
          <cell r="H272" t="str">
            <v>TNBYCLST90488948</v>
          </cell>
          <cell r="I272" t="str">
            <v>\I2726TK000003041\""</v>
          </cell>
          <cell r="J272">
            <v>8695924416</v>
          </cell>
          <cell r="K272">
            <v>62042300</v>
          </cell>
          <cell r="L272" t="str">
            <v>Apparel</v>
          </cell>
          <cell r="M272" t="str">
            <v>INR</v>
          </cell>
          <cell r="N272">
            <v>2244</v>
          </cell>
          <cell r="O272">
            <v>2244</v>
          </cell>
          <cell r="P272">
            <v>0</v>
          </cell>
          <cell r="Q272">
            <v>3250</v>
          </cell>
          <cell r="R272">
            <v>800</v>
          </cell>
          <cell r="S272" t="str">
            <v>Inter-State</v>
          </cell>
          <cell r="T272">
            <v>5</v>
          </cell>
          <cell r="U272">
            <v>106.86</v>
          </cell>
          <cell r="V272">
            <v>0</v>
          </cell>
          <cell r="W272">
            <v>0</v>
          </cell>
          <cell r="X272">
            <v>10.686</v>
          </cell>
          <cell r="Y272">
            <v>2.137</v>
          </cell>
          <cell r="AA272">
            <v>0</v>
          </cell>
          <cell r="AB272">
            <v>582.54200000000003</v>
          </cell>
          <cell r="AC272">
            <v>582.54200000000003</v>
          </cell>
          <cell r="AD272">
            <v>595.36500000000001</v>
          </cell>
          <cell r="AE272">
            <v>-197.06</v>
          </cell>
          <cell r="AF272">
            <v>167</v>
          </cell>
          <cell r="AG272">
            <v>0</v>
          </cell>
          <cell r="AH272">
            <v>0</v>
          </cell>
          <cell r="AI272">
            <v>0</v>
          </cell>
          <cell r="AJ272">
            <v>30.06</v>
          </cell>
          <cell r="AK272">
            <v>1</v>
          </cell>
          <cell r="AL272" t="str">
            <v>NATIONAL</v>
          </cell>
          <cell r="AM272">
            <v>2450</v>
          </cell>
          <cell r="AN272">
            <v>-1845.6949999999999</v>
          </cell>
          <cell r="AO272">
            <v>0</v>
          </cell>
          <cell r="AP272">
            <v>-1845.6949999999999</v>
          </cell>
          <cell r="AS272">
            <v>0</v>
          </cell>
          <cell r="AT272">
            <v>595.36500000000001</v>
          </cell>
          <cell r="AU272">
            <v>-197.06</v>
          </cell>
          <cell r="AV272">
            <v>-2244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2137.14</v>
          </cell>
          <cell r="BP272">
            <v>5</v>
          </cell>
          <cell r="BQ272">
            <v>0</v>
          </cell>
          <cell r="BR272">
            <v>0</v>
          </cell>
          <cell r="BS272">
            <v>0</v>
          </cell>
          <cell r="BT272">
            <v>0.5</v>
          </cell>
          <cell r="BU272">
            <v>0</v>
          </cell>
          <cell r="BV272">
            <v>0</v>
          </cell>
          <cell r="BW272">
            <v>0.1</v>
          </cell>
          <cell r="BX272" t="str">
            <v>Tiny Baby</v>
          </cell>
          <cell r="BY272" t="str">
            <v>Girls</v>
          </cell>
          <cell r="BZ272" t="str">
            <v>External</v>
          </cell>
          <cell r="CA272" t="str">
            <v>Clothing Set</v>
          </cell>
          <cell r="CB272" t="str">
            <v>ON_HAND</v>
          </cell>
          <cell r="CC272" t="b">
            <v>0</v>
          </cell>
          <cell r="CD272" t="str">
            <v>**********</v>
          </cell>
          <cell r="CE272">
            <v>228001</v>
          </cell>
          <cell r="CF272" t="str">
            <v>27AXUPC8425A1ZH</v>
          </cell>
          <cell r="CH272" t="str">
            <v>29AAECM9636P1ZJ</v>
          </cell>
          <cell r="CI272" t="str">
            <v>Mumbai</v>
          </cell>
          <cell r="CJ272">
            <v>400013</v>
          </cell>
          <cell r="CK272" t="str">
            <v>maharashtra</v>
          </cell>
          <cell r="CL272" t="str">
            <v>MH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W272">
            <v>0</v>
          </cell>
          <cell r="CX272">
            <v>582.54200000000003</v>
          </cell>
          <cell r="CY272">
            <v>582.54200000000003</v>
          </cell>
          <cell r="CZ272">
            <v>0</v>
          </cell>
          <cell r="DA272">
            <v>0</v>
          </cell>
          <cell r="DB272">
            <v>0</v>
          </cell>
          <cell r="DC272">
            <v>800</v>
          </cell>
          <cell r="DD272">
            <v>2.13714</v>
          </cell>
          <cell r="DE272" t="str">
            <v>63c671fa-00c3-4177-9307-bdcc0459c1dc</v>
          </cell>
          <cell r="DF272">
            <v>100083000000</v>
          </cell>
          <cell r="DG272">
            <v>0</v>
          </cell>
          <cell r="DH272">
            <v>10.686</v>
          </cell>
          <cell r="DI272">
            <v>0</v>
          </cell>
          <cell r="DJ272">
            <v>2.137</v>
          </cell>
          <cell r="DK272" t="str">
            <v>BRONZE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 t="str">
            <v>NA</v>
          </cell>
          <cell r="DU272" t="str">
            <v>NA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FG272" t="str">
            <v>unsettled</v>
          </cell>
          <cell r="FH272">
            <v>2450</v>
          </cell>
          <cell r="FI272">
            <v>1845.6949999999999</v>
          </cell>
          <cell r="FJ272">
            <v>595.36500000000001</v>
          </cell>
          <cell r="FK272">
            <v>197.06</v>
          </cell>
        </row>
        <row r="273">
          <cell r="A273">
            <v>8672771876</v>
          </cell>
          <cell r="B273">
            <v>10672696295</v>
          </cell>
          <cell r="C273" t="str">
            <v>return_refund</v>
          </cell>
          <cell r="D273">
            <v>45920.495138888888</v>
          </cell>
          <cell r="E273">
            <v>45915.789583333331</v>
          </cell>
          <cell r="F273">
            <v>44555</v>
          </cell>
          <cell r="G273" t="str">
            <v>Myntra Designs Pvt Ltd</v>
          </cell>
          <cell r="H273" t="str">
            <v>TIKIDRSS106641774</v>
          </cell>
          <cell r="I273" t="str">
            <v>\I2726TK000002929\""</v>
          </cell>
          <cell r="J273">
            <v>8672771876</v>
          </cell>
          <cell r="K273">
            <v>62042300</v>
          </cell>
          <cell r="L273" t="str">
            <v>Apparel</v>
          </cell>
          <cell r="M273" t="str">
            <v>INR</v>
          </cell>
          <cell r="N273">
            <v>2606</v>
          </cell>
          <cell r="O273">
            <v>161.857</v>
          </cell>
          <cell r="P273">
            <v>2444.1529999999998</v>
          </cell>
          <cell r="Q273">
            <v>3750</v>
          </cell>
          <cell r="R273">
            <v>938</v>
          </cell>
          <cell r="S273" t="str">
            <v>Intra-State</v>
          </cell>
          <cell r="T273">
            <v>12</v>
          </cell>
          <cell r="U273">
            <v>0</v>
          </cell>
          <cell r="V273">
            <v>139.61000000000001</v>
          </cell>
          <cell r="W273">
            <v>139.61000000000001</v>
          </cell>
          <cell r="X273">
            <v>11.634</v>
          </cell>
          <cell r="Y273">
            <v>2.327</v>
          </cell>
          <cell r="AA273">
            <v>0</v>
          </cell>
          <cell r="AB273">
            <v>553.51599999999996</v>
          </cell>
          <cell r="AC273">
            <v>553.51599999999996</v>
          </cell>
          <cell r="AD273">
            <v>567.47699999999998</v>
          </cell>
          <cell r="AE273">
            <v>-107.38</v>
          </cell>
          <cell r="AF273">
            <v>91</v>
          </cell>
          <cell r="AG273">
            <v>0</v>
          </cell>
          <cell r="AH273">
            <v>0</v>
          </cell>
          <cell r="AI273">
            <v>0</v>
          </cell>
          <cell r="AJ273">
            <v>16.38</v>
          </cell>
          <cell r="AK273">
            <v>1</v>
          </cell>
          <cell r="AL273" t="str">
            <v>LOCAL</v>
          </cell>
          <cell r="AM273">
            <v>2812</v>
          </cell>
          <cell r="AN273">
            <v>-2145.913</v>
          </cell>
          <cell r="AO273">
            <v>0</v>
          </cell>
          <cell r="AP273">
            <v>-2145.913</v>
          </cell>
          <cell r="AQ273">
            <v>532.23099999999999</v>
          </cell>
          <cell r="AR273">
            <v>-100.71064</v>
          </cell>
          <cell r="AS273">
            <v>-2444.1529999999998</v>
          </cell>
          <cell r="AT273">
            <v>35.246000000000002</v>
          </cell>
          <cell r="AU273">
            <v>-6.6693600000000002</v>
          </cell>
          <cell r="AV273">
            <v>-161.857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150</v>
          </cell>
          <cell r="BN273">
            <v>0</v>
          </cell>
          <cell r="BO273">
            <v>2326.7800000000002</v>
          </cell>
          <cell r="BP273">
            <v>0</v>
          </cell>
          <cell r="BQ273">
            <v>6</v>
          </cell>
          <cell r="BR273">
            <v>6</v>
          </cell>
          <cell r="BS273">
            <v>0</v>
          </cell>
          <cell r="BT273">
            <v>0</v>
          </cell>
          <cell r="BU273">
            <v>0.25</v>
          </cell>
          <cell r="BV273">
            <v>0.25</v>
          </cell>
          <cell r="BW273">
            <v>0.1</v>
          </cell>
          <cell r="BX273" t="str">
            <v>Tiny Kingdom</v>
          </cell>
          <cell r="BY273" t="str">
            <v>Girls</v>
          </cell>
          <cell r="BZ273" t="str">
            <v>External</v>
          </cell>
          <cell r="CA273" t="str">
            <v>Dresses</v>
          </cell>
          <cell r="CB273" t="str">
            <v>ON_HAND</v>
          </cell>
          <cell r="CC273" t="b">
            <v>0</v>
          </cell>
          <cell r="CD273" t="str">
            <v>**********</v>
          </cell>
          <cell r="CE273">
            <v>400051</v>
          </cell>
          <cell r="CF273" t="str">
            <v>27AXUPC8425A1ZH</v>
          </cell>
          <cell r="CH273" t="str">
            <v>29AAECM9636P1ZJ</v>
          </cell>
          <cell r="CI273" t="str">
            <v>Mumbai</v>
          </cell>
          <cell r="CJ273">
            <v>400013</v>
          </cell>
          <cell r="CK273" t="str">
            <v>maharashtra</v>
          </cell>
          <cell r="CL273" t="str">
            <v>MH</v>
          </cell>
          <cell r="CN273">
            <v>0</v>
          </cell>
          <cell r="CO273">
            <v>519.13800000000003</v>
          </cell>
          <cell r="CP273">
            <v>519.13800000000003</v>
          </cell>
          <cell r="CQ273">
            <v>0</v>
          </cell>
          <cell r="CR273">
            <v>0</v>
          </cell>
          <cell r="CS273">
            <v>0</v>
          </cell>
          <cell r="CT273">
            <v>938</v>
          </cell>
          <cell r="CU273">
            <v>2.3267799999999998</v>
          </cell>
          <cell r="CW273">
            <v>0</v>
          </cell>
          <cell r="CX273">
            <v>34.378</v>
          </cell>
          <cell r="CY273">
            <v>34.378</v>
          </cell>
          <cell r="CZ273">
            <v>0</v>
          </cell>
          <cell r="DA273">
            <v>0</v>
          </cell>
          <cell r="DB273">
            <v>0</v>
          </cell>
          <cell r="DC273">
            <v>938</v>
          </cell>
          <cell r="DD273">
            <v>2.3267799999999998</v>
          </cell>
          <cell r="DE273" t="str">
            <v>8e6c4622-6c84-4e03-a7c6-ac7c4420d7aa</v>
          </cell>
          <cell r="DF273">
            <v>100080000000</v>
          </cell>
          <cell r="DG273">
            <v>10.911</v>
          </cell>
          <cell r="DH273">
            <v>0.72299999999999998</v>
          </cell>
          <cell r="DI273">
            <v>2.1819999999999999</v>
          </cell>
          <cell r="DJ273">
            <v>0.14499999999999999</v>
          </cell>
          <cell r="DK273" t="str">
            <v>BRONZE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 t="str">
            <v>NA</v>
          </cell>
          <cell r="DU273" t="str">
            <v>NA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FG273" t="str">
            <v>unsettled</v>
          </cell>
          <cell r="FH273">
            <v>2812</v>
          </cell>
          <cell r="FI273">
            <v>2145.913</v>
          </cell>
          <cell r="FJ273">
            <v>567.47699999999998</v>
          </cell>
          <cell r="FK273">
            <v>107.38</v>
          </cell>
        </row>
        <row r="274">
          <cell r="A274">
            <v>8704665177</v>
          </cell>
          <cell r="B274">
            <v>10704597212</v>
          </cell>
          <cell r="C274" t="str">
            <v>return_refund</v>
          </cell>
          <cell r="D274">
            <v>45930.329861111109</v>
          </cell>
          <cell r="E274">
            <v>45924.55</v>
          </cell>
          <cell r="F274">
            <v>44579</v>
          </cell>
          <cell r="G274" t="str">
            <v>Myntra Designs Pvt Ltd</v>
          </cell>
          <cell r="H274" t="str">
            <v>BETYDRSS85575502</v>
          </cell>
          <cell r="I274" t="str">
            <v>\I2726TK000003111\""</v>
          </cell>
          <cell r="J274">
            <v>8704665177</v>
          </cell>
          <cell r="K274">
            <v>62042300</v>
          </cell>
          <cell r="L274" t="str">
            <v>Apparel</v>
          </cell>
          <cell r="M274" t="str">
            <v>INR</v>
          </cell>
          <cell r="N274">
            <v>2150</v>
          </cell>
          <cell r="O274">
            <v>2150</v>
          </cell>
          <cell r="P274">
            <v>0</v>
          </cell>
          <cell r="Q274">
            <v>3750</v>
          </cell>
          <cell r="R274">
            <v>1394</v>
          </cell>
          <cell r="S274" t="str">
            <v>Inter-State</v>
          </cell>
          <cell r="T274">
            <v>5</v>
          </cell>
          <cell r="U274">
            <v>102.38</v>
          </cell>
          <cell r="V274">
            <v>0</v>
          </cell>
          <cell r="W274">
            <v>0</v>
          </cell>
          <cell r="X274">
            <v>10.238</v>
          </cell>
          <cell r="Y274">
            <v>2.048</v>
          </cell>
          <cell r="AA274">
            <v>0</v>
          </cell>
          <cell r="AB274">
            <v>684.99</v>
          </cell>
          <cell r="AC274">
            <v>684.99</v>
          </cell>
          <cell r="AD274">
            <v>697.27599999999995</v>
          </cell>
          <cell r="AE274">
            <v>-197.06</v>
          </cell>
          <cell r="AF274">
            <v>167</v>
          </cell>
          <cell r="AG274">
            <v>0</v>
          </cell>
          <cell r="AH274">
            <v>0</v>
          </cell>
          <cell r="AI274">
            <v>0</v>
          </cell>
          <cell r="AJ274">
            <v>30.06</v>
          </cell>
          <cell r="AK274">
            <v>1</v>
          </cell>
          <cell r="AL274" t="str">
            <v>NATIONAL</v>
          </cell>
          <cell r="AM274">
            <v>2356</v>
          </cell>
          <cell r="AN274">
            <v>-1649.7840000000001</v>
          </cell>
          <cell r="AO274">
            <v>0</v>
          </cell>
          <cell r="AP274">
            <v>-1649.7840000000001</v>
          </cell>
          <cell r="AS274">
            <v>0</v>
          </cell>
          <cell r="AT274">
            <v>697.27599999999995</v>
          </cell>
          <cell r="AU274">
            <v>-197.06</v>
          </cell>
          <cell r="AV274">
            <v>-2150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2047.62</v>
          </cell>
          <cell r="BP274">
            <v>5</v>
          </cell>
          <cell r="BQ274">
            <v>0</v>
          </cell>
          <cell r="BR274">
            <v>0</v>
          </cell>
          <cell r="BS274">
            <v>0</v>
          </cell>
          <cell r="BT274">
            <v>0.5</v>
          </cell>
          <cell r="BU274">
            <v>0</v>
          </cell>
          <cell r="BV274">
            <v>0</v>
          </cell>
          <cell r="BW274">
            <v>0.1</v>
          </cell>
          <cell r="BX274" t="str">
            <v>BETTY</v>
          </cell>
          <cell r="BY274" t="str">
            <v>Girls</v>
          </cell>
          <cell r="BZ274" t="str">
            <v>External</v>
          </cell>
          <cell r="CA274" t="str">
            <v>Dresses</v>
          </cell>
          <cell r="CB274" t="str">
            <v>ON_HAND</v>
          </cell>
          <cell r="CC274" t="b">
            <v>0</v>
          </cell>
          <cell r="CD274" t="str">
            <v>**********</v>
          </cell>
          <cell r="CE274">
            <v>201016</v>
          </cell>
          <cell r="CF274" t="str">
            <v>27AXUPC8425A1ZH</v>
          </cell>
          <cell r="CH274" t="str">
            <v>29AAECM9636P1ZJ</v>
          </cell>
          <cell r="CI274" t="str">
            <v>Mumbai</v>
          </cell>
          <cell r="CJ274">
            <v>400013</v>
          </cell>
          <cell r="CK274" t="str">
            <v>maharashtra</v>
          </cell>
          <cell r="CL274" t="str">
            <v>MH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W274">
            <v>0</v>
          </cell>
          <cell r="CX274">
            <v>684.99</v>
          </cell>
          <cell r="CY274">
            <v>684.99</v>
          </cell>
          <cell r="CZ274">
            <v>0</v>
          </cell>
          <cell r="DA274">
            <v>0</v>
          </cell>
          <cell r="DB274">
            <v>0</v>
          </cell>
          <cell r="DC274">
            <v>1394</v>
          </cell>
          <cell r="DD274">
            <v>2.0476200000000002</v>
          </cell>
          <cell r="DE274" t="str">
            <v>bf553fe6-5a00-4827-be89-b07015f77b63</v>
          </cell>
          <cell r="DF274">
            <v>100084000000</v>
          </cell>
          <cell r="DG274">
            <v>0</v>
          </cell>
          <cell r="DH274">
            <v>10.238</v>
          </cell>
          <cell r="DI274">
            <v>0</v>
          </cell>
          <cell r="DJ274">
            <v>2.048</v>
          </cell>
          <cell r="DK274" t="str">
            <v>BRONZE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 t="str">
            <v>NA</v>
          </cell>
          <cell r="DU274" t="str">
            <v>NA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FG274" t="str">
            <v>unsettled</v>
          </cell>
          <cell r="FH274">
            <v>2356</v>
          </cell>
          <cell r="FI274">
            <v>1649.7840000000001</v>
          </cell>
          <cell r="FJ274">
            <v>697.27599999999995</v>
          </cell>
          <cell r="FK274">
            <v>197.06</v>
          </cell>
        </row>
        <row r="275">
          <cell r="A275">
            <v>8670004888</v>
          </cell>
          <cell r="B275">
            <v>10669929034</v>
          </cell>
          <cell r="C275" t="str">
            <v>return_refund</v>
          </cell>
          <cell r="D275">
            <v>45920.646527777775</v>
          </cell>
          <cell r="E275">
            <v>45915.47152777778</v>
          </cell>
          <cell r="F275">
            <v>44553</v>
          </cell>
          <cell r="G275" t="str">
            <v>Myntra Designs Pvt Ltd</v>
          </cell>
          <cell r="H275" t="str">
            <v>BETYDRSS59437730</v>
          </cell>
          <cell r="I275" t="str">
            <v>\I2726TK000002922\""</v>
          </cell>
          <cell r="J275">
            <v>9768978178</v>
          </cell>
          <cell r="K275">
            <v>62042300</v>
          </cell>
          <cell r="L275" t="str">
            <v>Apparel</v>
          </cell>
          <cell r="M275" t="str">
            <v>INR</v>
          </cell>
          <cell r="N275">
            <v>1259</v>
          </cell>
          <cell r="O275">
            <v>1259</v>
          </cell>
          <cell r="P275">
            <v>0</v>
          </cell>
          <cell r="Q275">
            <v>2600</v>
          </cell>
          <cell r="R275">
            <v>1170</v>
          </cell>
          <cell r="S275" t="str">
            <v>Inter-State</v>
          </cell>
          <cell r="T275">
            <v>12</v>
          </cell>
          <cell r="U275">
            <v>134.88999999999999</v>
          </cell>
          <cell r="V275">
            <v>0</v>
          </cell>
          <cell r="W275">
            <v>0</v>
          </cell>
          <cell r="X275">
            <v>5.6210000000000004</v>
          </cell>
          <cell r="Y275">
            <v>1.1240000000000001</v>
          </cell>
          <cell r="AA275">
            <v>0</v>
          </cell>
          <cell r="AB275">
            <v>415.97399999999999</v>
          </cell>
          <cell r="AC275">
            <v>415.97399999999999</v>
          </cell>
          <cell r="AD275">
            <v>422.71899999999999</v>
          </cell>
          <cell r="AE275">
            <v>-132.16</v>
          </cell>
          <cell r="AF275">
            <v>112</v>
          </cell>
          <cell r="AG275">
            <v>0</v>
          </cell>
          <cell r="AH275">
            <v>0</v>
          </cell>
          <cell r="AI275">
            <v>0</v>
          </cell>
          <cell r="AJ275">
            <v>20.16</v>
          </cell>
          <cell r="AK275">
            <v>1</v>
          </cell>
          <cell r="AL275" t="str">
            <v>ZONAL</v>
          </cell>
          <cell r="AM275">
            <v>1430</v>
          </cell>
          <cell r="AN275">
            <v>-968.44100000000003</v>
          </cell>
          <cell r="AO275">
            <v>0</v>
          </cell>
          <cell r="AP275">
            <v>-968.44100000000003</v>
          </cell>
          <cell r="AS275">
            <v>0</v>
          </cell>
          <cell r="AT275">
            <v>422.71899999999999</v>
          </cell>
          <cell r="AU275">
            <v>-132.16</v>
          </cell>
          <cell r="AV275">
            <v>-1259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1124.1099999999999</v>
          </cell>
          <cell r="BP275">
            <v>12</v>
          </cell>
          <cell r="BQ275">
            <v>0</v>
          </cell>
          <cell r="BR275">
            <v>0</v>
          </cell>
          <cell r="BS275">
            <v>0</v>
          </cell>
          <cell r="BT275">
            <v>0.5</v>
          </cell>
          <cell r="BU275">
            <v>0</v>
          </cell>
          <cell r="BV275">
            <v>0</v>
          </cell>
          <cell r="BW275">
            <v>0.1</v>
          </cell>
          <cell r="BX275" t="str">
            <v>BETTY</v>
          </cell>
          <cell r="BY275" t="str">
            <v>Girls</v>
          </cell>
          <cell r="BZ275" t="str">
            <v>External</v>
          </cell>
          <cell r="CA275" t="str">
            <v>Dresses</v>
          </cell>
          <cell r="CB275" t="str">
            <v>ON_HAND</v>
          </cell>
          <cell r="CC275" t="b">
            <v>0</v>
          </cell>
          <cell r="CD275" t="str">
            <v>**********</v>
          </cell>
          <cell r="CE275">
            <v>500070</v>
          </cell>
          <cell r="CF275" t="str">
            <v>27AXUPC8425A1ZH</v>
          </cell>
          <cell r="CH275" t="str">
            <v>29AAECM9636P1ZJ</v>
          </cell>
          <cell r="CI275" t="str">
            <v>Mumbai</v>
          </cell>
          <cell r="CJ275">
            <v>400013</v>
          </cell>
          <cell r="CK275" t="str">
            <v>maharashtra</v>
          </cell>
          <cell r="CL275" t="str">
            <v>MH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W275">
            <v>0</v>
          </cell>
          <cell r="CX275">
            <v>415.97399999999999</v>
          </cell>
          <cell r="CY275">
            <v>415.97399999999999</v>
          </cell>
          <cell r="CZ275">
            <v>0</v>
          </cell>
          <cell r="DA275">
            <v>0</v>
          </cell>
          <cell r="DB275">
            <v>0</v>
          </cell>
          <cell r="DC275">
            <v>1170</v>
          </cell>
          <cell r="DD275">
            <v>1.1241099999999999</v>
          </cell>
          <cell r="DE275" t="str">
            <v>890ddc80-92a2-4d47-93f5-e0c92ac152f2</v>
          </cell>
          <cell r="DF275">
            <v>100080000000</v>
          </cell>
          <cell r="DG275">
            <v>0</v>
          </cell>
          <cell r="DH275">
            <v>5.6210000000000004</v>
          </cell>
          <cell r="DI275">
            <v>0</v>
          </cell>
          <cell r="DJ275">
            <v>1.1240000000000001</v>
          </cell>
          <cell r="DK275" t="str">
            <v>BRONZE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 t="str">
            <v>NA</v>
          </cell>
          <cell r="DU275" t="str">
            <v>NA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FG275" t="str">
            <v>unsettled</v>
          </cell>
          <cell r="FH275">
            <v>1430</v>
          </cell>
          <cell r="FI275">
            <v>968.44100000000003</v>
          </cell>
          <cell r="FJ275">
            <v>422.71899999999999</v>
          </cell>
          <cell r="FK275">
            <v>132.16</v>
          </cell>
        </row>
        <row r="276">
          <cell r="A276">
            <v>8699000629</v>
          </cell>
          <cell r="B276">
            <v>10698929955</v>
          </cell>
          <cell r="C276" t="str">
            <v>return_refund</v>
          </cell>
          <cell r="D276">
            <v>45930.604861111111</v>
          </cell>
          <cell r="E276">
            <v>45923.446527777778</v>
          </cell>
          <cell r="F276">
            <v>44573</v>
          </cell>
          <cell r="G276" t="str">
            <v>Myntra Designs Pvt Ltd</v>
          </cell>
          <cell r="H276" t="str">
            <v>TIKIDRSS108364096</v>
          </cell>
          <cell r="I276" t="str">
            <v>\I2726TK000003088\""</v>
          </cell>
          <cell r="J276">
            <v>8699000629</v>
          </cell>
          <cell r="K276">
            <v>62042300</v>
          </cell>
          <cell r="L276" t="str">
            <v>Apparel</v>
          </cell>
          <cell r="M276" t="str">
            <v>INR</v>
          </cell>
          <cell r="N276">
            <v>3154</v>
          </cell>
          <cell r="O276">
            <v>3154</v>
          </cell>
          <cell r="P276">
            <v>0</v>
          </cell>
          <cell r="Q276">
            <v>4000</v>
          </cell>
          <cell r="R276">
            <v>640</v>
          </cell>
          <cell r="S276" t="str">
            <v>Inter-State</v>
          </cell>
          <cell r="T276">
            <v>18</v>
          </cell>
          <cell r="U276">
            <v>481.12</v>
          </cell>
          <cell r="V276">
            <v>0</v>
          </cell>
          <cell r="W276">
            <v>0</v>
          </cell>
          <cell r="X276">
            <v>13.364000000000001</v>
          </cell>
          <cell r="Y276">
            <v>2.673</v>
          </cell>
          <cell r="AA276">
            <v>0</v>
          </cell>
          <cell r="AB276">
            <v>669.91</v>
          </cell>
          <cell r="AC276">
            <v>669.91</v>
          </cell>
          <cell r="AD276">
            <v>685.947</v>
          </cell>
          <cell r="AE276">
            <v>-197.06</v>
          </cell>
          <cell r="AF276">
            <v>167</v>
          </cell>
          <cell r="AG276">
            <v>0</v>
          </cell>
          <cell r="AH276">
            <v>0</v>
          </cell>
          <cell r="AI276">
            <v>0</v>
          </cell>
          <cell r="AJ276">
            <v>30.06</v>
          </cell>
          <cell r="AK276">
            <v>1</v>
          </cell>
          <cell r="AL276" t="str">
            <v>NATIONAL</v>
          </cell>
          <cell r="AM276">
            <v>3360</v>
          </cell>
          <cell r="AN276">
            <v>-2665.1129999999998</v>
          </cell>
          <cell r="AO276">
            <v>0</v>
          </cell>
          <cell r="AP276">
            <v>-2665.1129999999998</v>
          </cell>
          <cell r="AS276">
            <v>0</v>
          </cell>
          <cell r="AT276">
            <v>685.947</v>
          </cell>
          <cell r="AU276">
            <v>-197.06</v>
          </cell>
          <cell r="AV276">
            <v>-3154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2672.88</v>
          </cell>
          <cell r="BP276">
            <v>18</v>
          </cell>
          <cell r="BQ276">
            <v>0</v>
          </cell>
          <cell r="BR276">
            <v>0</v>
          </cell>
          <cell r="BS276">
            <v>0</v>
          </cell>
          <cell r="BT276">
            <v>0.5</v>
          </cell>
          <cell r="BU276">
            <v>0</v>
          </cell>
          <cell r="BV276">
            <v>0</v>
          </cell>
          <cell r="BW276">
            <v>0.1</v>
          </cell>
          <cell r="BX276" t="str">
            <v>Tiny Kingdom</v>
          </cell>
          <cell r="BY276" t="str">
            <v>Girls</v>
          </cell>
          <cell r="BZ276" t="str">
            <v>External</v>
          </cell>
          <cell r="CA276" t="str">
            <v>Dresses</v>
          </cell>
          <cell r="CB276" t="str">
            <v>ON_HAND</v>
          </cell>
          <cell r="CC276" t="b">
            <v>0</v>
          </cell>
          <cell r="CD276" t="str">
            <v>**********</v>
          </cell>
          <cell r="CE276">
            <v>263139</v>
          </cell>
          <cell r="CF276" t="str">
            <v>27AXUPC8425A1ZH</v>
          </cell>
          <cell r="CH276" t="str">
            <v>29AAECM9636P1ZJ</v>
          </cell>
          <cell r="CI276" t="str">
            <v>Mumbai</v>
          </cell>
          <cell r="CJ276">
            <v>400013</v>
          </cell>
          <cell r="CK276" t="str">
            <v>maharashtra</v>
          </cell>
          <cell r="CL276" t="str">
            <v>MH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W276">
            <v>0</v>
          </cell>
          <cell r="CX276">
            <v>669.91</v>
          </cell>
          <cell r="CY276">
            <v>669.91</v>
          </cell>
          <cell r="CZ276">
            <v>0</v>
          </cell>
          <cell r="DA276">
            <v>0</v>
          </cell>
          <cell r="DB276">
            <v>0</v>
          </cell>
          <cell r="DC276">
            <v>640</v>
          </cell>
          <cell r="DD276">
            <v>2.6728800000000001</v>
          </cell>
          <cell r="DE276" t="str">
            <v>51c88e9e-8696-4833-9d72-4a059445a315</v>
          </cell>
          <cell r="DF276">
            <v>100084000000</v>
          </cell>
          <cell r="DG276">
            <v>0</v>
          </cell>
          <cell r="DH276">
            <v>13.364000000000001</v>
          </cell>
          <cell r="DI276">
            <v>0</v>
          </cell>
          <cell r="DJ276">
            <v>2.673</v>
          </cell>
          <cell r="DK276" t="str">
            <v>BRONZE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 t="str">
            <v>NA</v>
          </cell>
          <cell r="DU276" t="str">
            <v>NA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FG276" t="str">
            <v>unsettled</v>
          </cell>
          <cell r="FH276">
            <v>3360</v>
          </cell>
          <cell r="FI276">
            <v>2665.1129999999998</v>
          </cell>
          <cell r="FJ276">
            <v>685.947</v>
          </cell>
          <cell r="FK276">
            <v>197.06</v>
          </cell>
        </row>
        <row r="277">
          <cell r="A277">
            <v>8666939756</v>
          </cell>
          <cell r="B277">
            <v>10666863848</v>
          </cell>
          <cell r="C277" t="str">
            <v>return_refund</v>
          </cell>
          <cell r="D277">
            <v>45920.631249999999</v>
          </cell>
          <cell r="E277">
            <v>45913.771527777775</v>
          </cell>
          <cell r="F277">
            <v>44551</v>
          </cell>
          <cell r="G277" t="str">
            <v>Myntra Designs Pvt Ltd</v>
          </cell>
          <cell r="H277" t="str">
            <v>TIKICLST103607748</v>
          </cell>
          <cell r="I277" t="str">
            <v>\I2726TK000002901\""</v>
          </cell>
          <cell r="J277">
            <v>8666939756</v>
          </cell>
          <cell r="K277">
            <v>62042300</v>
          </cell>
          <cell r="L277" t="str">
            <v>Apparel</v>
          </cell>
          <cell r="M277" t="str">
            <v>INR</v>
          </cell>
          <cell r="N277">
            <v>3000</v>
          </cell>
          <cell r="O277">
            <v>0</v>
          </cell>
          <cell r="P277">
            <v>3000</v>
          </cell>
          <cell r="Q277">
            <v>4500</v>
          </cell>
          <cell r="R277">
            <v>1125</v>
          </cell>
          <cell r="S277" t="str">
            <v>Inter-State</v>
          </cell>
          <cell r="T277">
            <v>12</v>
          </cell>
          <cell r="U277">
            <v>321.43</v>
          </cell>
          <cell r="V277">
            <v>0</v>
          </cell>
          <cell r="W277">
            <v>0</v>
          </cell>
          <cell r="X277">
            <v>13.393000000000001</v>
          </cell>
          <cell r="Y277">
            <v>2.6789999999999998</v>
          </cell>
          <cell r="AA277">
            <v>0</v>
          </cell>
          <cell r="AB277">
            <v>778.8</v>
          </cell>
          <cell r="AC277">
            <v>778.8</v>
          </cell>
          <cell r="AD277">
            <v>794.87199999999996</v>
          </cell>
          <cell r="AE277">
            <v>-197.06</v>
          </cell>
          <cell r="AF277">
            <v>167</v>
          </cell>
          <cell r="AG277">
            <v>0</v>
          </cell>
          <cell r="AH277">
            <v>0</v>
          </cell>
          <cell r="AI277">
            <v>0</v>
          </cell>
          <cell r="AJ277">
            <v>30.06</v>
          </cell>
          <cell r="AK277">
            <v>1</v>
          </cell>
          <cell r="AL277" t="str">
            <v>NATIONAL</v>
          </cell>
          <cell r="AM277">
            <v>3206</v>
          </cell>
          <cell r="AN277">
            <v>-2402.1880000000001</v>
          </cell>
          <cell r="AO277">
            <v>0</v>
          </cell>
          <cell r="AP277">
            <v>-2402.1880000000001</v>
          </cell>
          <cell r="AQ277">
            <v>794.87199999999996</v>
          </cell>
          <cell r="AR277">
            <v>-197.06</v>
          </cell>
          <cell r="AS277">
            <v>-3000</v>
          </cell>
          <cell r="AV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2678.57</v>
          </cell>
          <cell r="BP277">
            <v>12</v>
          </cell>
          <cell r="BQ277">
            <v>0</v>
          </cell>
          <cell r="BR277">
            <v>0</v>
          </cell>
          <cell r="BS277">
            <v>0</v>
          </cell>
          <cell r="BT277">
            <v>0.5</v>
          </cell>
          <cell r="BU277">
            <v>0</v>
          </cell>
          <cell r="BV277">
            <v>0</v>
          </cell>
          <cell r="BW277">
            <v>0.1</v>
          </cell>
          <cell r="BX277" t="str">
            <v>Tiny Kingdom</v>
          </cell>
          <cell r="BY277" t="str">
            <v>Girls</v>
          </cell>
          <cell r="BZ277" t="str">
            <v>External</v>
          </cell>
          <cell r="CA277" t="str">
            <v>Kurta Sets</v>
          </cell>
          <cell r="CB277" t="str">
            <v>ON_HAND</v>
          </cell>
          <cell r="CC277" t="b">
            <v>0</v>
          </cell>
          <cell r="CD277" t="str">
            <v>**********</v>
          </cell>
          <cell r="CE277">
            <v>110076</v>
          </cell>
          <cell r="CF277" t="str">
            <v>27AXUPC8425A1ZH</v>
          </cell>
          <cell r="CH277" t="str">
            <v>29AAECM9636P1ZJ</v>
          </cell>
          <cell r="CI277" t="str">
            <v>Mumbai</v>
          </cell>
          <cell r="CJ277">
            <v>400013</v>
          </cell>
          <cell r="CK277" t="str">
            <v>maharashtra</v>
          </cell>
          <cell r="CL277" t="str">
            <v>MH</v>
          </cell>
          <cell r="CN277">
            <v>0</v>
          </cell>
          <cell r="CO277">
            <v>778.8</v>
          </cell>
          <cell r="CP277">
            <v>778.8</v>
          </cell>
          <cell r="CQ277">
            <v>0</v>
          </cell>
          <cell r="CR277">
            <v>0</v>
          </cell>
          <cell r="CS277">
            <v>0</v>
          </cell>
          <cell r="CT277">
            <v>1125</v>
          </cell>
          <cell r="CU277">
            <v>2.6785700000000001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E277" t="str">
            <v>cdb7838c-6fb0-450e-9073-1df3e6e8f1e5</v>
          </cell>
          <cell r="DF277">
            <v>100080000000</v>
          </cell>
          <cell r="DG277">
            <v>13.393000000000001</v>
          </cell>
          <cell r="DH277">
            <v>0</v>
          </cell>
          <cell r="DI277">
            <v>2.6789999999999998</v>
          </cell>
          <cell r="DJ277">
            <v>0</v>
          </cell>
          <cell r="DK277" t="str">
            <v>BRONZE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 t="str">
            <v>NA</v>
          </cell>
          <cell r="DU277" t="str">
            <v>NA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FG277" t="str">
            <v>unsettled</v>
          </cell>
          <cell r="FH277">
            <v>3206</v>
          </cell>
          <cell r="FI277">
            <v>2402.1880000000001</v>
          </cell>
          <cell r="FJ277">
            <v>794.87199999999996</v>
          </cell>
          <cell r="FK277">
            <v>197.06</v>
          </cell>
        </row>
        <row r="278">
          <cell r="A278">
            <v>8696609594</v>
          </cell>
          <cell r="B278">
            <v>10696538397</v>
          </cell>
          <cell r="C278" t="str">
            <v>return_refund</v>
          </cell>
          <cell r="D278">
            <v>45927.232638888891</v>
          </cell>
          <cell r="E278">
            <v>45922.532638888886</v>
          </cell>
          <cell r="G278" t="str">
            <v>Myntra Designs Pvt Ltd</v>
          </cell>
          <cell r="H278" t="str">
            <v>TIKIDRSS116452706</v>
          </cell>
          <cell r="I278" t="str">
            <v>\I2726TK000003078\""</v>
          </cell>
          <cell r="J278">
            <v>8696609594</v>
          </cell>
          <cell r="K278">
            <v>62042300</v>
          </cell>
          <cell r="L278" t="str">
            <v>Apparel</v>
          </cell>
          <cell r="M278" t="str">
            <v>INR</v>
          </cell>
          <cell r="N278">
            <v>3044</v>
          </cell>
          <cell r="O278">
            <v>2653.1819999999998</v>
          </cell>
          <cell r="P278">
            <v>390.81799999999998</v>
          </cell>
          <cell r="Q278">
            <v>3500</v>
          </cell>
          <cell r="R278">
            <v>250</v>
          </cell>
          <cell r="S278" t="str">
            <v>Inter-State</v>
          </cell>
          <cell r="T278">
            <v>18</v>
          </cell>
          <cell r="U278">
            <v>464.34</v>
          </cell>
          <cell r="V278">
            <v>0</v>
          </cell>
          <cell r="W278">
            <v>0</v>
          </cell>
          <cell r="X278">
            <v>12.898</v>
          </cell>
          <cell r="Y278">
            <v>2.5790000000000002</v>
          </cell>
          <cell r="AA278">
            <v>0</v>
          </cell>
          <cell r="AB278">
            <v>646.54600000000005</v>
          </cell>
          <cell r="AC278">
            <v>646.54600000000005</v>
          </cell>
          <cell r="AD278">
            <v>662.02300000000002</v>
          </cell>
          <cell r="AE278">
            <v>-197.06</v>
          </cell>
          <cell r="AF278">
            <v>167</v>
          </cell>
          <cell r="AG278">
            <v>0</v>
          </cell>
          <cell r="AH278">
            <v>0</v>
          </cell>
          <cell r="AI278">
            <v>0</v>
          </cell>
          <cell r="AJ278">
            <v>30.06</v>
          </cell>
          <cell r="AK278">
            <v>1</v>
          </cell>
          <cell r="AL278" t="str">
            <v>NATIONAL</v>
          </cell>
          <cell r="AM278">
            <v>3250</v>
          </cell>
          <cell r="AN278">
            <v>-2579.0369999999998</v>
          </cell>
          <cell r="AO278">
            <v>0</v>
          </cell>
          <cell r="AP278">
            <v>-2579.0369999999998</v>
          </cell>
          <cell r="AQ278">
            <v>84.997</v>
          </cell>
          <cell r="AR278">
            <v>-25.300380000000001</v>
          </cell>
          <cell r="AS278">
            <v>-390.81799999999998</v>
          </cell>
          <cell r="AT278">
            <v>577.02599999999995</v>
          </cell>
          <cell r="AU278">
            <v>-171.75962000000001</v>
          </cell>
          <cell r="AV278">
            <v>-2653.1819999999998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2579.66</v>
          </cell>
          <cell r="BP278">
            <v>18</v>
          </cell>
          <cell r="BQ278">
            <v>0</v>
          </cell>
          <cell r="BR278">
            <v>0</v>
          </cell>
          <cell r="BS278">
            <v>0</v>
          </cell>
          <cell r="BT278">
            <v>0.5</v>
          </cell>
          <cell r="BU278">
            <v>0</v>
          </cell>
          <cell r="BV278">
            <v>0</v>
          </cell>
          <cell r="BW278">
            <v>0.1</v>
          </cell>
          <cell r="BX278" t="str">
            <v>Tiny Kingdom</v>
          </cell>
          <cell r="BY278" t="str">
            <v>Girls</v>
          </cell>
          <cell r="BZ278" t="str">
            <v>External</v>
          </cell>
          <cell r="CA278" t="str">
            <v>Dresses</v>
          </cell>
          <cell r="CB278" t="str">
            <v>ON_HAND</v>
          </cell>
          <cell r="CC278" t="b">
            <v>0</v>
          </cell>
          <cell r="CD278" t="str">
            <v>**********</v>
          </cell>
          <cell r="CE278">
            <v>515001</v>
          </cell>
          <cell r="CF278" t="str">
            <v>27AXUPC8425A1ZH</v>
          </cell>
          <cell r="CH278" t="str">
            <v>29AAECM9636P1ZJ</v>
          </cell>
          <cell r="CI278" t="str">
            <v>Mumbai</v>
          </cell>
          <cell r="CJ278">
            <v>400013</v>
          </cell>
          <cell r="CK278" t="str">
            <v>maharashtra</v>
          </cell>
          <cell r="CL278" t="str">
            <v>MH</v>
          </cell>
          <cell r="CN278">
            <v>0</v>
          </cell>
          <cell r="CO278">
            <v>83.01</v>
          </cell>
          <cell r="CP278">
            <v>83.01</v>
          </cell>
          <cell r="CQ278">
            <v>0</v>
          </cell>
          <cell r="CR278">
            <v>0</v>
          </cell>
          <cell r="CS278">
            <v>0</v>
          </cell>
          <cell r="CT278">
            <v>250</v>
          </cell>
          <cell r="CU278">
            <v>2.5796600000000001</v>
          </cell>
          <cell r="CW278">
            <v>0</v>
          </cell>
          <cell r="CX278">
            <v>563.53599999999994</v>
          </cell>
          <cell r="CY278">
            <v>563.53599999999994</v>
          </cell>
          <cell r="CZ278">
            <v>0</v>
          </cell>
          <cell r="DA278">
            <v>0</v>
          </cell>
          <cell r="DB278">
            <v>0</v>
          </cell>
          <cell r="DC278">
            <v>250</v>
          </cell>
          <cell r="DD278">
            <v>2.5796600000000001</v>
          </cell>
          <cell r="DE278" t="str">
            <v>829f280f-e562-4611-8d43-3d2d198ce292</v>
          </cell>
          <cell r="DF278">
            <v>100083000000</v>
          </cell>
          <cell r="DG278">
            <v>1.6559999999999999</v>
          </cell>
          <cell r="DH278">
            <v>11.242000000000001</v>
          </cell>
          <cell r="DI278">
            <v>0.33100000000000002</v>
          </cell>
          <cell r="DJ278">
            <v>2.2480000000000002</v>
          </cell>
          <cell r="DK278" t="str">
            <v>BRONZE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 t="str">
            <v>NA</v>
          </cell>
          <cell r="DU278" t="str">
            <v>NA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FG278" t="str">
            <v>unsettled</v>
          </cell>
          <cell r="FH278">
            <v>3250</v>
          </cell>
          <cell r="FI278">
            <v>2579.0369999999998</v>
          </cell>
          <cell r="FJ278">
            <v>662.02299999999991</v>
          </cell>
          <cell r="FK278">
            <v>197.06</v>
          </cell>
        </row>
        <row r="279">
          <cell r="A279">
            <v>8663926203</v>
          </cell>
          <cell r="B279">
            <v>10663850265</v>
          </cell>
          <cell r="C279" t="str">
            <v>return_refund</v>
          </cell>
          <cell r="D279">
            <v>45923.64166666667</v>
          </cell>
          <cell r="E279">
            <v>45912.803472222222</v>
          </cell>
          <cell r="F279">
            <v>44548</v>
          </cell>
          <cell r="G279" t="str">
            <v>Myntra Designs Pvt Ltd</v>
          </cell>
          <cell r="H279" t="str">
            <v>TIKIDRSS97455131</v>
          </cell>
          <cell r="I279" t="str">
            <v>\I2726TK000002882\""</v>
          </cell>
          <cell r="J279">
            <v>8663926203</v>
          </cell>
          <cell r="K279">
            <v>62042300</v>
          </cell>
          <cell r="L279" t="str">
            <v>Apparel</v>
          </cell>
          <cell r="M279" t="str">
            <v>INR</v>
          </cell>
          <cell r="N279">
            <v>1454</v>
          </cell>
          <cell r="O279">
            <v>1454</v>
          </cell>
          <cell r="P279">
            <v>0</v>
          </cell>
          <cell r="Q279">
            <v>3250</v>
          </cell>
          <cell r="R279">
            <v>1625</v>
          </cell>
          <cell r="S279" t="str">
            <v>Inter-State</v>
          </cell>
          <cell r="T279">
            <v>12</v>
          </cell>
          <cell r="U279">
            <v>155.79</v>
          </cell>
          <cell r="V279">
            <v>0</v>
          </cell>
          <cell r="W279">
            <v>0</v>
          </cell>
          <cell r="X279">
            <v>6.4909999999999997</v>
          </cell>
          <cell r="Y279">
            <v>1.298</v>
          </cell>
          <cell r="AA279">
            <v>0</v>
          </cell>
          <cell r="AB279">
            <v>325.98700000000002</v>
          </cell>
          <cell r="AC279">
            <v>325.98700000000002</v>
          </cell>
          <cell r="AD279">
            <v>333.77600000000001</v>
          </cell>
          <cell r="AE279">
            <v>-197.06</v>
          </cell>
          <cell r="AF279">
            <v>167</v>
          </cell>
          <cell r="AG279">
            <v>0</v>
          </cell>
          <cell r="AH279">
            <v>0</v>
          </cell>
          <cell r="AI279">
            <v>0</v>
          </cell>
          <cell r="AJ279">
            <v>30.06</v>
          </cell>
          <cell r="AK279">
            <v>1</v>
          </cell>
          <cell r="AL279" t="str">
            <v>NATIONAL</v>
          </cell>
          <cell r="AM279">
            <v>1625</v>
          </cell>
          <cell r="AN279">
            <v>-1317.2840000000001</v>
          </cell>
          <cell r="AO279">
            <v>0</v>
          </cell>
          <cell r="AP279">
            <v>-1317.2840000000001</v>
          </cell>
          <cell r="AS279">
            <v>0</v>
          </cell>
          <cell r="AT279">
            <v>333.77600000000001</v>
          </cell>
          <cell r="AU279">
            <v>-197.06</v>
          </cell>
          <cell r="AV279">
            <v>-1454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1298.21</v>
          </cell>
          <cell r="BP279">
            <v>12</v>
          </cell>
          <cell r="BQ279">
            <v>0</v>
          </cell>
          <cell r="BR279">
            <v>0</v>
          </cell>
          <cell r="BS279">
            <v>0</v>
          </cell>
          <cell r="BT279">
            <v>0.5</v>
          </cell>
          <cell r="BU279">
            <v>0</v>
          </cell>
          <cell r="BV279">
            <v>0</v>
          </cell>
          <cell r="BW279">
            <v>0.1</v>
          </cell>
          <cell r="BX279" t="str">
            <v>Tiny Kingdom</v>
          </cell>
          <cell r="BY279" t="str">
            <v>Girls</v>
          </cell>
          <cell r="BZ279" t="str">
            <v>External</v>
          </cell>
          <cell r="CA279" t="str">
            <v>Dresses</v>
          </cell>
          <cell r="CB279" t="str">
            <v>ON_HAND</v>
          </cell>
          <cell r="CC279" t="b">
            <v>0</v>
          </cell>
          <cell r="CD279" t="str">
            <v>**********</v>
          </cell>
          <cell r="CE279">
            <v>226008</v>
          </cell>
          <cell r="CF279" t="str">
            <v>27AXUPC8425A1ZH</v>
          </cell>
          <cell r="CH279" t="str">
            <v>29AAECM9636P1ZJ</v>
          </cell>
          <cell r="CI279" t="str">
            <v>Mumbai</v>
          </cell>
          <cell r="CJ279">
            <v>400013</v>
          </cell>
          <cell r="CK279" t="str">
            <v>maharashtra</v>
          </cell>
          <cell r="CL279" t="str">
            <v>MH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W279">
            <v>0</v>
          </cell>
          <cell r="CX279">
            <v>325.98700000000002</v>
          </cell>
          <cell r="CY279">
            <v>325.98700000000002</v>
          </cell>
          <cell r="CZ279">
            <v>0</v>
          </cell>
          <cell r="DA279">
            <v>0</v>
          </cell>
          <cell r="DB279">
            <v>0</v>
          </cell>
          <cell r="DC279">
            <v>1625</v>
          </cell>
          <cell r="DD279">
            <v>1.2982100000000001</v>
          </cell>
          <cell r="DE279" t="str">
            <v>020eb887-9733-4981-833d-54a0cda5413d</v>
          </cell>
          <cell r="DF279">
            <v>100081000000</v>
          </cell>
          <cell r="DG279">
            <v>0</v>
          </cell>
          <cell r="DH279">
            <v>6.4909999999999997</v>
          </cell>
          <cell r="DI279">
            <v>0</v>
          </cell>
          <cell r="DJ279">
            <v>1.298</v>
          </cell>
          <cell r="DK279" t="str">
            <v>BRONZE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 t="str">
            <v>NA</v>
          </cell>
          <cell r="DU279" t="str">
            <v>NA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FG279" t="str">
            <v>unsettled</v>
          </cell>
          <cell r="FH279">
            <v>1625</v>
          </cell>
          <cell r="FI279">
            <v>1317.2840000000001</v>
          </cell>
          <cell r="FJ279">
            <v>333.77600000000001</v>
          </cell>
          <cell r="FK279">
            <v>197.06</v>
          </cell>
        </row>
        <row r="280">
          <cell r="A280">
            <v>8695941287</v>
          </cell>
          <cell r="B280">
            <v>10695869958</v>
          </cell>
          <cell r="C280" t="str">
            <v>return_refund</v>
          </cell>
          <cell r="D280">
            <v>45926.386111111111</v>
          </cell>
          <cell r="E280">
            <v>45922.443055555559</v>
          </cell>
          <cell r="F280">
            <v>44567</v>
          </cell>
          <cell r="G280" t="str">
            <v>Myntra Designs Pvt Ltd</v>
          </cell>
          <cell r="H280" t="str">
            <v>TIKILHNC115963211</v>
          </cell>
          <cell r="I280" t="str">
            <v>\I2726TK000003069\""</v>
          </cell>
          <cell r="J280">
            <v>9774312395</v>
          </cell>
          <cell r="K280">
            <v>62042300</v>
          </cell>
          <cell r="L280" t="str">
            <v>Apparel</v>
          </cell>
          <cell r="M280" t="str">
            <v>INR</v>
          </cell>
          <cell r="N280">
            <v>3564</v>
          </cell>
          <cell r="O280">
            <v>0</v>
          </cell>
          <cell r="P280">
            <v>3564</v>
          </cell>
          <cell r="Q280">
            <v>4000</v>
          </cell>
          <cell r="R280">
            <v>230</v>
          </cell>
          <cell r="S280" t="str">
            <v>Inter-State</v>
          </cell>
          <cell r="T280">
            <v>18</v>
          </cell>
          <cell r="U280">
            <v>543.66</v>
          </cell>
          <cell r="V280">
            <v>0</v>
          </cell>
          <cell r="W280">
            <v>0</v>
          </cell>
          <cell r="X280">
            <v>15.102</v>
          </cell>
          <cell r="Y280">
            <v>3.02</v>
          </cell>
          <cell r="AA280">
            <v>0</v>
          </cell>
          <cell r="AB280">
            <v>883.15899999999999</v>
          </cell>
          <cell r="AC280">
            <v>883.15899999999999</v>
          </cell>
          <cell r="AD280">
            <v>901.28099999999995</v>
          </cell>
          <cell r="AE280">
            <v>-132.16</v>
          </cell>
          <cell r="AF280">
            <v>112</v>
          </cell>
          <cell r="AG280">
            <v>0</v>
          </cell>
          <cell r="AH280">
            <v>0</v>
          </cell>
          <cell r="AI280">
            <v>0</v>
          </cell>
          <cell r="AJ280">
            <v>20.16</v>
          </cell>
          <cell r="AK280">
            <v>1</v>
          </cell>
          <cell r="AL280" t="str">
            <v>ZONAL</v>
          </cell>
          <cell r="AM280">
            <v>3770</v>
          </cell>
          <cell r="AN280">
            <v>-2794.8789999999999</v>
          </cell>
          <cell r="AO280">
            <v>0</v>
          </cell>
          <cell r="AP280">
            <v>-2794.8789999999999</v>
          </cell>
          <cell r="AQ280">
            <v>901.28099999999995</v>
          </cell>
          <cell r="AR280">
            <v>-132.16</v>
          </cell>
          <cell r="AS280">
            <v>-3564</v>
          </cell>
          <cell r="AV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3020.34</v>
          </cell>
          <cell r="BP280">
            <v>18</v>
          </cell>
          <cell r="BQ280">
            <v>0</v>
          </cell>
          <cell r="BR280">
            <v>0</v>
          </cell>
          <cell r="BS280">
            <v>0</v>
          </cell>
          <cell r="BT280">
            <v>0.5</v>
          </cell>
          <cell r="BU280">
            <v>0</v>
          </cell>
          <cell r="BV280">
            <v>0</v>
          </cell>
          <cell r="BW280">
            <v>0.1</v>
          </cell>
          <cell r="BX280" t="str">
            <v>Tiny Kingdom</v>
          </cell>
          <cell r="BY280" t="str">
            <v>Girls</v>
          </cell>
          <cell r="BZ280" t="str">
            <v>External</v>
          </cell>
          <cell r="CA280" t="str">
            <v>Lehenga Choli</v>
          </cell>
          <cell r="CB280" t="str">
            <v>ON_HAND</v>
          </cell>
          <cell r="CC280" t="b">
            <v>0</v>
          </cell>
          <cell r="CD280" t="str">
            <v>**********</v>
          </cell>
          <cell r="CE280">
            <v>560102</v>
          </cell>
          <cell r="CF280" t="str">
            <v>27AXUPC8425A1ZH</v>
          </cell>
          <cell r="CH280" t="str">
            <v>29AAECM9636P1ZJ</v>
          </cell>
          <cell r="CI280" t="str">
            <v>Mumbai</v>
          </cell>
          <cell r="CJ280">
            <v>400013</v>
          </cell>
          <cell r="CK280" t="str">
            <v>maharashtra</v>
          </cell>
          <cell r="CL280" t="str">
            <v>MH</v>
          </cell>
          <cell r="CN280">
            <v>0</v>
          </cell>
          <cell r="CO280">
            <v>883.15899999999999</v>
          </cell>
          <cell r="CP280">
            <v>883.15899999999999</v>
          </cell>
          <cell r="CQ280">
            <v>0</v>
          </cell>
          <cell r="CR280">
            <v>0</v>
          </cell>
          <cell r="CS280">
            <v>0</v>
          </cell>
          <cell r="CT280">
            <v>230</v>
          </cell>
          <cell r="CU280">
            <v>3.02034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E280" t="str">
            <v>24a6849a-a746-4df0-a017-b8396c85e6fc</v>
          </cell>
          <cell r="DF280">
            <v>100082000000</v>
          </cell>
          <cell r="DG280">
            <v>15.102</v>
          </cell>
          <cell r="DH280">
            <v>0</v>
          </cell>
          <cell r="DI280">
            <v>3.02</v>
          </cell>
          <cell r="DJ280">
            <v>0</v>
          </cell>
          <cell r="DK280" t="str">
            <v>BRONZE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 t="str">
            <v>NA</v>
          </cell>
          <cell r="DU280" t="str">
            <v>NA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FG280" t="str">
            <v>unsettled</v>
          </cell>
          <cell r="FH280">
            <v>3770</v>
          </cell>
          <cell r="FI280">
            <v>2794.8789999999999</v>
          </cell>
          <cell r="FJ280">
            <v>901.28099999999995</v>
          </cell>
          <cell r="FK280">
            <v>132.16</v>
          </cell>
        </row>
        <row r="281">
          <cell r="A281">
            <v>8680581306</v>
          </cell>
          <cell r="B281">
            <v>10680507030</v>
          </cell>
          <cell r="C281" t="str">
            <v>return_refund</v>
          </cell>
          <cell r="D281">
            <v>45926.536111111112</v>
          </cell>
          <cell r="E281">
            <v>45918.800694444442</v>
          </cell>
          <cell r="F281">
            <v>44557</v>
          </cell>
          <cell r="G281" t="str">
            <v>Myntra Designs Pvt Ltd</v>
          </cell>
          <cell r="H281" t="str">
            <v>BETYDRSS100320403</v>
          </cell>
          <cell r="I281" t="str">
            <v>\I2726TK000002983\""</v>
          </cell>
          <cell r="J281">
            <v>8680581306</v>
          </cell>
          <cell r="K281">
            <v>62042300</v>
          </cell>
          <cell r="L281" t="str">
            <v>Apparel</v>
          </cell>
          <cell r="M281" t="str">
            <v>INR</v>
          </cell>
          <cell r="N281">
            <v>3994</v>
          </cell>
          <cell r="O281">
            <v>315.47300000000001</v>
          </cell>
          <cell r="P281">
            <v>3678.527</v>
          </cell>
          <cell r="Q281">
            <v>6000</v>
          </cell>
          <cell r="R281">
            <v>1800</v>
          </cell>
          <cell r="S281" t="str">
            <v>Inter-State</v>
          </cell>
          <cell r="T281">
            <v>12</v>
          </cell>
          <cell r="U281">
            <v>427.93</v>
          </cell>
          <cell r="V281">
            <v>0</v>
          </cell>
          <cell r="W281">
            <v>0</v>
          </cell>
          <cell r="X281">
            <v>17.829999999999998</v>
          </cell>
          <cell r="Y281">
            <v>3.5659999999999998</v>
          </cell>
          <cell r="AA281">
            <v>0</v>
          </cell>
          <cell r="AB281">
            <v>1272.489</v>
          </cell>
          <cell r="AC281">
            <v>1272.489</v>
          </cell>
          <cell r="AD281">
            <v>1293.885</v>
          </cell>
          <cell r="AE281">
            <v>-197.06</v>
          </cell>
          <cell r="AF281">
            <v>167</v>
          </cell>
          <cell r="AG281">
            <v>0</v>
          </cell>
          <cell r="AH281">
            <v>0</v>
          </cell>
          <cell r="AI281">
            <v>0</v>
          </cell>
          <cell r="AJ281">
            <v>30.06</v>
          </cell>
          <cell r="AK281">
            <v>1</v>
          </cell>
          <cell r="AL281" t="str">
            <v>NATIONAL</v>
          </cell>
          <cell r="AM281">
            <v>4200</v>
          </cell>
          <cell r="AN281">
            <v>-2897.1750000000002</v>
          </cell>
          <cell r="AO281">
            <v>0</v>
          </cell>
          <cell r="AP281">
            <v>-2897.1750000000002</v>
          </cell>
          <cell r="AQ281">
            <v>1191.6849999999999</v>
          </cell>
          <cell r="AR281">
            <v>-181.49462</v>
          </cell>
          <cell r="AS281">
            <v>-3678.527</v>
          </cell>
          <cell r="AT281">
            <v>102.2</v>
          </cell>
          <cell r="AU281">
            <v>-15.565379999999999</v>
          </cell>
          <cell r="AV281">
            <v>-315.47300000000001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300</v>
          </cell>
          <cell r="BN281">
            <v>0</v>
          </cell>
          <cell r="BO281">
            <v>3566.07</v>
          </cell>
          <cell r="BP281">
            <v>12</v>
          </cell>
          <cell r="BQ281">
            <v>0</v>
          </cell>
          <cell r="BR281">
            <v>0</v>
          </cell>
          <cell r="BS281">
            <v>0</v>
          </cell>
          <cell r="BT281">
            <v>0.5</v>
          </cell>
          <cell r="BU281">
            <v>0</v>
          </cell>
          <cell r="BV281">
            <v>0</v>
          </cell>
          <cell r="BW281">
            <v>0.1</v>
          </cell>
          <cell r="BX281" t="str">
            <v>BETTY</v>
          </cell>
          <cell r="BY281" t="str">
            <v>Girls</v>
          </cell>
          <cell r="BZ281" t="str">
            <v>External</v>
          </cell>
          <cell r="CA281" t="str">
            <v>Dresses</v>
          </cell>
          <cell r="CB281" t="str">
            <v>ON_HAND</v>
          </cell>
          <cell r="CC281" t="b">
            <v>0</v>
          </cell>
          <cell r="CD281" t="str">
            <v>**********</v>
          </cell>
          <cell r="CE281">
            <v>244713</v>
          </cell>
          <cell r="CF281" t="str">
            <v>27AXUPC8425A1ZH</v>
          </cell>
          <cell r="CH281" t="str">
            <v>29AAECM9636P1ZJ</v>
          </cell>
          <cell r="CI281" t="str">
            <v>Mumbai</v>
          </cell>
          <cell r="CJ281">
            <v>400013</v>
          </cell>
          <cell r="CK281" t="str">
            <v>maharashtra</v>
          </cell>
          <cell r="CL281" t="str">
            <v>MH</v>
          </cell>
          <cell r="CN281">
            <v>0</v>
          </cell>
          <cell r="CO281">
            <v>1171.979</v>
          </cell>
          <cell r="CP281">
            <v>1171.979</v>
          </cell>
          <cell r="CQ281">
            <v>0</v>
          </cell>
          <cell r="CR281">
            <v>0</v>
          </cell>
          <cell r="CS281">
            <v>0</v>
          </cell>
          <cell r="CT281">
            <v>1800</v>
          </cell>
          <cell r="CU281">
            <v>3.5660699999999999</v>
          </cell>
          <cell r="CW281">
            <v>0</v>
          </cell>
          <cell r="CX281">
            <v>100.51</v>
          </cell>
          <cell r="CY281">
            <v>100.51</v>
          </cell>
          <cell r="CZ281">
            <v>0</v>
          </cell>
          <cell r="DA281">
            <v>0</v>
          </cell>
          <cell r="DB281">
            <v>0</v>
          </cell>
          <cell r="DC281">
            <v>1800</v>
          </cell>
          <cell r="DD281">
            <v>3.5660699999999999</v>
          </cell>
          <cell r="DE281" t="str">
            <v>d17fc283-5fca-4de9-9c0e-0d469b3885ef</v>
          </cell>
          <cell r="DF281">
            <v>100082000000</v>
          </cell>
          <cell r="DG281">
            <v>16.422000000000001</v>
          </cell>
          <cell r="DH281">
            <v>1.4079999999999999</v>
          </cell>
          <cell r="DI281">
            <v>3.2839999999999998</v>
          </cell>
          <cell r="DJ281">
            <v>0.28199999999999997</v>
          </cell>
          <cell r="DK281" t="str">
            <v>BRONZE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 t="str">
            <v>NA</v>
          </cell>
          <cell r="DU281" t="str">
            <v>NA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FG281" t="str">
            <v>unsettled</v>
          </cell>
          <cell r="FH281">
            <v>4200</v>
          </cell>
          <cell r="FI281">
            <v>2897.1750000000002</v>
          </cell>
          <cell r="FJ281">
            <v>1293.885</v>
          </cell>
          <cell r="FK281">
            <v>197.06</v>
          </cell>
        </row>
      </sheetData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Sufiyan Mujawar" refreshedDate="45946.139101504632" createdVersion="8" refreshedVersion="8" minRefreshableVersion="3" recordCount="641" xr:uid="{77716055-988B-4458-9205-48E4230876DA}">
  <cacheSource type="worksheet">
    <worksheetSource ref="A1:N642" sheet="PGReconsile"/>
  </cacheSource>
  <cacheFields count="16">
    <cacheField name="order_id" numFmtId="0">
      <sharedItems containsSemiMixedTypes="0" containsString="0" containsNumber="1" containsInteger="1" minValue="8378115534" maxValue="8710495331"/>
    </cacheField>
    <cacheField name="Customer_Paid" numFmtId="0">
      <sharedItems containsSemiMixedTypes="0" containsString="0" containsNumber="1" minValue="150" maxValue="5701"/>
    </cacheField>
    <cacheField name="Commission" numFmtId="2">
      <sharedItems containsSemiMixedTypes="0" containsString="0" containsNumber="1" minValue="9.2279999999999998" maxValue="1749.067"/>
    </cacheField>
    <cacheField name="Logistics" numFmtId="2">
      <sharedItems containsSemiMixedTypes="0" containsString="0" containsNumber="1" minValue="31.86" maxValue="240.41319999999999"/>
    </cacheField>
    <cacheField name="GST_taxes" numFmtId="2">
      <sharedItems containsSemiMixedTypes="0" containsString="0" containsNumber="1" minValue="7.8539999999999992" maxValue="841.27699999999993"/>
    </cacheField>
    <cacheField name="Myntra_Settlement" numFmtId="0">
      <sharedItems containsSemiMixedTypes="0" containsString="0" containsNumber="1" minValue="99.582999999999998" maxValue="3849.4119999999998"/>
    </cacheField>
    <cacheField name="Final_Settlement" numFmtId="2">
      <sharedItems containsSemiMixedTypes="0" containsString="0" containsNumber="1" minValue="91.728999999999999" maxValue="3213.1409999999996"/>
    </cacheField>
    <cacheField name="Difference (what Myntra kept per order)" numFmtId="0">
      <sharedItems containsSemiMixedTypes="0" containsString="0" containsNumber="1" minValue="43.322000000000003" maxValue="1851.5880000000002"/>
    </cacheField>
    <cacheField name="Charges while Return" numFmtId="2">
      <sharedItems containsSemiMixedTypes="0" containsString="0" containsNumber="1" minValue="0" maxValue="197.06"/>
    </cacheField>
    <cacheField name="Reverse Settlement" numFmtId="2">
      <sharedItems containsMixedTypes="1" containsNumber="1" minValue="263.60299999999995" maxValue="3640.4009999999998"/>
    </cacheField>
    <cacheField name="Net Settlement" numFmtId="2">
      <sharedItems containsSemiMixedTypes="0" containsString="0" containsNumber="1" minValue="-269.04000000000019" maxValue="3849.4119999999998"/>
    </cacheField>
    <cacheField name="Order_status" numFmtId="0">
      <sharedItems/>
    </cacheField>
    <cacheField name="PG_status" numFmtId="0">
      <sharedItems/>
    </cacheField>
    <cacheField name="Date" numFmtId="165">
      <sharedItems containsSemiMixedTypes="0" containsNonDate="0" containsDate="1" containsString="0" minDate="2025-03-21T18:23:00" maxDate="2025-09-26T10:43:00" count="129">
        <d v="2025-09-09T13:00:00"/>
        <d v="2025-08-19T11:25:00"/>
        <d v="2025-08-21T11:00:00"/>
        <d v="2025-09-05T10:49:00"/>
        <d v="2025-09-02T18:36:00"/>
        <d v="2025-08-01T10:48:00"/>
        <d v="2025-08-28T10:35:00"/>
        <d v="2025-08-30T10:37:00"/>
        <d v="2025-08-29T18:36:00"/>
        <d v="2025-08-25T10:52:00"/>
        <d v="2025-08-13T10:53:00"/>
        <d v="2025-08-19T18:38:00"/>
        <d v="2025-08-14T12:41:00"/>
        <d v="2025-08-04T10:56:00"/>
        <d v="2025-09-01T11:01:00"/>
        <d v="2025-08-02T10:35:00"/>
        <d v="2025-09-08T11:36:00"/>
        <d v="2025-09-04T11:41:00"/>
        <d v="2025-09-02T10:46:00"/>
        <d v="2025-08-31T16:39:00"/>
        <d v="2025-08-26T10:44:00"/>
        <d v="2025-08-26T18:53:00"/>
        <d v="2025-08-18T10:52:00"/>
        <d v="2025-08-21T15:44:00"/>
        <d v="2025-08-13T18:27:00"/>
        <d v="2025-08-09T16:41:00"/>
        <d v="2025-08-14T19:07:00"/>
        <d v="2025-08-16T11:07:00"/>
        <d v="2025-08-05T11:10:00"/>
        <d v="2025-08-11T13:22:00"/>
        <d v="2025-08-29T10:41:00"/>
        <d v="2025-08-11T11:09:00"/>
        <d v="2025-09-10T11:02:00"/>
        <d v="2025-09-08T18:55:00"/>
        <d v="2025-08-23T10:23:00"/>
        <d v="2025-08-11T18:33:00"/>
        <d v="2025-08-30T18:20:00"/>
        <d v="2025-09-05T19:20:00"/>
        <d v="2025-09-02T13:27:00"/>
        <d v="2025-08-29T19:16:00"/>
        <d v="2025-09-01T18:51:00"/>
        <d v="2025-09-13T10:49:00"/>
        <d v="2025-09-12T11:25:00"/>
        <d v="2025-08-13T10:57:00"/>
        <d v="2025-08-31T11:00:00"/>
        <d v="2025-08-12T11:20:00"/>
        <d v="2025-08-20T18:45:00"/>
        <d v="2025-09-08T13:24:00"/>
        <d v="2025-09-11T11:01:00"/>
        <d v="2025-08-07T19:00:00"/>
        <d v="2025-09-03T13:31:00"/>
        <d v="2025-08-14T10:43:00"/>
        <d v="2025-08-18T13:31:00"/>
        <d v="2025-09-02T15:48:00"/>
        <d v="2025-08-23T16:19:00"/>
        <d v="2025-08-11T11:00:00"/>
        <d v="2025-08-28T19:09:00"/>
        <d v="2025-09-03T11:10:00"/>
        <d v="2025-08-29T10:48:00"/>
        <d v="2025-08-20T10:36:00"/>
        <d v="2025-09-09T10:57:00"/>
        <d v="2025-08-07T10:52:00"/>
        <d v="2025-08-20T11:01:00"/>
        <d v="2025-08-06T12:54:00"/>
        <d v="2025-08-20T18:58:00"/>
        <d v="2025-08-22T18:57:00"/>
        <d v="2025-09-01T11:54:00"/>
        <d v="2025-08-22T11:18:00"/>
        <d v="2025-09-06T11:25:00"/>
        <d v="2025-09-09T19:00:00"/>
        <d v="2025-09-11T18:48:00"/>
        <d v="2025-09-06T16:07:00"/>
        <d v="2025-08-28T12:46:00"/>
        <d v="2025-09-10T18:35:00"/>
        <d v="2025-08-18T18:04:00"/>
        <d v="2025-08-21T19:00:00"/>
        <d v="2025-08-22T13:01:00"/>
        <d v="2025-08-12T18:31:00"/>
        <d v="2025-09-05T13:53:00"/>
        <d v="2025-09-04T19:39:00"/>
        <d v="2025-08-14T19:11:00"/>
        <d v="2025-08-25T19:47:00"/>
        <d v="2025-08-30T13:09:00"/>
        <d v="2025-09-05T13:54:00"/>
        <d v="2025-08-23T19:13:00"/>
        <d v="2025-08-28T13:33:00"/>
        <d v="2025-08-28T15:16:00"/>
        <d v="2025-08-04T10:57:00"/>
        <d v="2025-08-08T10:50:00"/>
        <d v="2025-08-01T18:44:00"/>
        <d v="2025-09-18T19:13:00"/>
        <d v="2025-09-22T10:38:00"/>
        <d v="2025-09-13T18:31:00"/>
        <d v="2025-09-16T13:27:00"/>
        <d v="2025-09-17T12:54:00"/>
        <d v="2025-09-16T11:02:00"/>
        <d v="2025-09-19T19:09:00"/>
        <d v="2025-09-23T10:43:00"/>
        <d v="2025-09-23T13:08:00"/>
        <d v="2025-09-18T13:04:00"/>
        <d v="2025-09-15T11:19:00"/>
        <d v="2025-09-20T11:22:00"/>
        <d v="2025-09-17T10:25:00"/>
        <d v="2025-09-19T12:36:00"/>
        <d v="2025-09-16T19:38:00"/>
        <d v="2025-09-24T13:12:00"/>
        <d v="2025-09-12T19:17:00"/>
        <d v="2025-09-19T10:25:00"/>
        <d v="2025-09-25T10:50:00"/>
        <d v="2025-09-13T13:44:00"/>
        <d v="2025-09-18T10:41:00"/>
        <d v="2025-09-23T19:22:00"/>
        <d v="2025-09-24T10:36:00"/>
        <d v="2025-09-20T13:49:00"/>
        <d v="2025-09-22T18:43:00"/>
        <d v="2025-09-22T12:47:00"/>
        <d v="2025-09-18T19:15:00"/>
        <d v="2025-09-15T13:12:00"/>
        <d v="2025-09-17T19:01:00"/>
        <d v="2025-03-21T18:23:00"/>
        <d v="2025-09-20T12:56:00"/>
        <d v="2025-09-26T10:41:00"/>
        <d v="2025-08-04T15:02:00"/>
        <d v="2025-09-15T18:57:00"/>
        <d v="2025-09-18T19:42:00"/>
        <d v="2025-09-13T13:42:00"/>
        <d v="2025-09-15T18:59:00"/>
        <d v="2025-09-26T10:43:00"/>
        <d v="2025-09-22T10:40:00"/>
      </sharedItems>
      <fieldGroup par="15"/>
    </cacheField>
    <cacheField name="Days (Date)" numFmtId="0" databaseField="0">
      <fieldGroup base="13">
        <rangePr groupBy="days" startDate="2025-03-21T18:23:00" endDate="2025-09-26T10:43:00"/>
        <groupItems count="368">
          <s v="&lt;21-03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09-2025"/>
        </groupItems>
      </fieldGroup>
    </cacheField>
    <cacheField name="Months (Date)" numFmtId="0" databaseField="0">
      <fieldGroup base="13">
        <rangePr groupBy="months" startDate="2025-03-21T18:23:00" endDate="2025-09-26T10:43:00"/>
        <groupItems count="14">
          <s v="&lt;21-03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n v="8657309311"/>
    <n v="4193.99"/>
    <n v="1336.2049999999999"/>
    <n v="71.98"/>
    <n v="468.084"/>
    <n v="2763.337"/>
    <n v="2295.2530000000002"/>
    <n v="1430.6529999999998"/>
    <n v="0"/>
    <s v="-"/>
    <n v="2763.337"/>
    <s v="Completed"/>
    <s v="Settled"/>
    <x v="0"/>
  </r>
  <r>
    <n v="8622766805"/>
    <n v="2419"/>
    <n v="513.79499999999996"/>
    <n v="71.98"/>
    <n v="269.97899999999998"/>
    <n v="1820.2660000000001"/>
    <n v="1550.287"/>
    <n v="598.73399999999992"/>
    <n v="0"/>
    <s v="-"/>
    <n v="1820.2660000000001"/>
    <s v="Completed"/>
    <s v="Settled"/>
    <x v="1"/>
  </r>
  <r>
    <n v="8625934871"/>
    <n v="2944"/>
    <n v="764.26199999999994"/>
    <n v="71.98"/>
    <n v="328.57299999999998"/>
    <n v="2091.9859999999999"/>
    <n v="1763.413"/>
    <n v="852.01400000000012"/>
    <n v="0"/>
    <s v="-"/>
    <n v="2091.9859999999999"/>
    <s v="Completed"/>
    <s v="Settled"/>
    <x v="2"/>
  </r>
  <r>
    <n v="8648874948"/>
    <n v="364"/>
    <n v="34.362000000000002"/>
    <n v="31.86"/>
    <n v="19.062999999999999"/>
    <n v="295.69799999999998"/>
    <n v="276.63499999999999"/>
    <n v="68.302000000000021"/>
    <n v="197.06"/>
    <n v="524.61799999999994"/>
    <n v="-228.91999999999996"/>
    <s v="Return"/>
    <s v="Settled"/>
    <x v="3"/>
  </r>
  <r>
    <n v="8644779341"/>
    <n v="2794"/>
    <n v="692.35299999999995"/>
    <n v="71.98"/>
    <n v="311.83300000000003"/>
    <n v="2014.6990000000001"/>
    <n v="1702.866"/>
    <n v="779.30099999999993"/>
    <n v="0"/>
    <s v="-"/>
    <n v="2014.6990000000001"/>
    <s v="Completed"/>
    <s v="Settled"/>
    <x v="4"/>
  </r>
  <r>
    <n v="8592986686"/>
    <n v="2406"/>
    <n v="596.20699999999999"/>
    <n v="71.98"/>
    <n v="268.53100000000001"/>
    <n v="1724.924"/>
    <n v="1456.393"/>
    <n v="681.07600000000002"/>
    <n v="0"/>
    <s v="-"/>
    <n v="1724.924"/>
    <s v="Completed"/>
    <s v="Settled"/>
    <x v="5"/>
  </r>
  <r>
    <n v="8634879839"/>
    <n v="2719"/>
    <n v="673.76800000000003"/>
    <n v="71.98"/>
    <n v="303.45799999999997"/>
    <n v="1958.6859999999999"/>
    <n v="1655.2280000000001"/>
    <n v="760.31400000000008"/>
    <n v="197.06"/>
    <n v="2227.7260000000001"/>
    <n v="-269.04000000000019"/>
    <s v="Return"/>
    <s v="Settled"/>
    <x v="6"/>
  </r>
  <r>
    <n v="8622910273"/>
    <n v="3994"/>
    <n v="1272.4880000000001"/>
    <n v="71.98"/>
    <n v="445.76"/>
    <n v="2628.136"/>
    <n v="2182.3760000000002"/>
    <n v="1365.864"/>
    <n v="197.06"/>
    <n v="2897.1759999999999"/>
    <n v="-269.03999999999996"/>
    <s v="Return"/>
    <s v="Settled"/>
    <x v="1"/>
  </r>
  <r>
    <n v="8638525832"/>
    <n v="2643.9900000000002"/>
    <n v="561.58399999999995"/>
    <n v="71.98"/>
    <n v="295.09399999999999"/>
    <n v="1996.2619999999999"/>
    <n v="1701.1679999999999"/>
    <n v="647.72800000000029"/>
    <n v="197.06"/>
    <n v="2265.3019999999997"/>
    <n v="-269.03999999999974"/>
    <s v="Return"/>
    <s v="Settled"/>
    <x v="7"/>
  </r>
  <r>
    <n v="8637560672"/>
    <n v="1794"/>
    <n v="444.553"/>
    <n v="53.1"/>
    <n v="200.21899999999999"/>
    <n v="1286.7360000000001"/>
    <n v="1086.5170000000001"/>
    <n v="507.2639999999999"/>
    <n v="132.16"/>
    <n v="1471.9960000000001"/>
    <n v="-185.26"/>
    <s v="Return"/>
    <s v="Settled"/>
    <x v="8"/>
  </r>
  <r>
    <n v="8631845358"/>
    <n v="3169"/>
    <n v="822.67200000000003"/>
    <n v="71.98"/>
    <n v="353.68700000000001"/>
    <n v="2257.3719999999998"/>
    <n v="1903.6849999999999"/>
    <n v="911.62800000000016"/>
    <n v="0"/>
    <s v="-"/>
    <n v="2257.3719999999998"/>
    <s v="Completed"/>
    <s v="Settled"/>
    <x v="9"/>
  </r>
  <r>
    <n v="8614350224"/>
    <n v="2994"/>
    <n v="635.92600000000004"/>
    <n v="71.98"/>
    <n v="334.15600000000001"/>
    <n v="2270.0549999999998"/>
    <n v="1935.8989999999999"/>
    <n v="723.94500000000016"/>
    <n v="0"/>
    <s v="-"/>
    <n v="2270.0549999999998"/>
    <s v="Completed"/>
    <s v="Settled"/>
    <x v="10"/>
  </r>
  <r>
    <n v="8623704786"/>
    <n v="3294"/>
    <n v="816.25300000000004"/>
    <n v="71.98"/>
    <n v="367.63499999999999"/>
    <n v="2388.1210000000001"/>
    <n v="2020.4860000000001"/>
    <n v="905.87899999999991"/>
    <n v="132.16"/>
    <n v="2592.261"/>
    <n v="-204.13999999999987"/>
    <s v="Return"/>
    <s v="Settled"/>
    <x v="11"/>
  </r>
  <r>
    <n v="8616454045"/>
    <n v="3294"/>
    <n v="816.25300000000004"/>
    <n v="71.98"/>
    <n v="367.63499999999999"/>
    <n v="2388.1210000000001"/>
    <n v="2020.4860000000001"/>
    <n v="905.87899999999991"/>
    <n v="197.06"/>
    <n v="2657.1610000000001"/>
    <n v="-269.03999999999996"/>
    <s v="Return"/>
    <s v="Settled"/>
    <x v="12"/>
  </r>
  <r>
    <n v="8598134488"/>
    <n v="1204"/>
    <n v="298.351"/>
    <n v="53.1"/>
    <n v="134.375"/>
    <n v="846.09900000000005"/>
    <n v="711.72400000000005"/>
    <n v="357.90099999999995"/>
    <n v="0"/>
    <s v="-"/>
    <n v="846.09900000000005"/>
    <s v="Completed"/>
    <s v="Settled"/>
    <x v="13"/>
  </r>
  <r>
    <n v="8641487358"/>
    <n v="1704"/>
    <n v="442.358"/>
    <n v="53.1"/>
    <n v="190.17699999999999"/>
    <n v="1199.414"/>
    <n v="1009.237"/>
    <n v="504.58600000000001"/>
    <n v="197.06"/>
    <n v="1449.5739999999998"/>
    <n v="-250.15999999999985"/>
    <s v="Return"/>
    <s v="Settled"/>
    <x v="14"/>
  </r>
  <r>
    <n v="8623738388"/>
    <n v="3169"/>
    <n v="972.24900000000002"/>
    <n v="71.98"/>
    <n v="353.68700000000001"/>
    <n v="2107.7950000000001"/>
    <n v="1754.1080000000002"/>
    <n v="1061.2049999999999"/>
    <n v="197.06"/>
    <n v="2376.835"/>
    <n v="-269.03999999999996"/>
    <s v="Return"/>
    <s v="Settled"/>
    <x v="11"/>
  </r>
  <r>
    <n v="8594147199"/>
    <n v="2343.9899999999998"/>
    <n v="608.5"/>
    <n v="71.97999999999999"/>
    <n v="261.60399999999998"/>
    <n v="1650.953"/>
    <n v="1389.3489999999999"/>
    <n v="693.03699999999981"/>
    <n v="0"/>
    <s v="-"/>
    <n v="1650.953"/>
    <s v="Completed"/>
    <s v="Settled"/>
    <x v="15"/>
  </r>
  <r>
    <n v="8631135329"/>
    <n v="3294"/>
    <n v="816.25300000000004"/>
    <n v="71.98"/>
    <n v="367.63499999999999"/>
    <n v="2388.1210000000001"/>
    <n v="2020.4860000000001"/>
    <n v="905.87899999999991"/>
    <n v="0"/>
    <s v="-"/>
    <n v="2388.1210000000001"/>
    <s v="Completed"/>
    <s v="Settled"/>
    <x v="9"/>
  </r>
  <r>
    <n v="8614451899"/>
    <n v="2044.01"/>
    <n v="506.50599999999997"/>
    <n v="71.98"/>
    <n v="228.125"/>
    <n v="1454.5740000000001"/>
    <n v="1226.4490000000001"/>
    <n v="589.43599999999992"/>
    <n v="197.06"/>
    <n v="1723.614"/>
    <n v="-269.03999999999996"/>
    <s v="Return"/>
    <s v="Settled"/>
    <x v="10"/>
  </r>
  <r>
    <n v="8631283767"/>
    <n v="3674"/>
    <n v="1127.183"/>
    <n v="71.98"/>
    <n v="410.04199999999997"/>
    <n v="2455.1550000000002"/>
    <n v="2045.1130000000003"/>
    <n v="1218.8449999999998"/>
    <n v="0"/>
    <s v="-"/>
    <n v="2455.1550000000002"/>
    <s v="Completed"/>
    <s v="Settled"/>
    <x v="9"/>
  </r>
  <r>
    <n v="8619882203"/>
    <n v="2156"/>
    <n v="457.93400000000003"/>
    <n v="71.98"/>
    <n v="240.625"/>
    <n v="1614.5360000000001"/>
    <n v="1373.9110000000001"/>
    <n v="541.46399999999994"/>
    <n v="0"/>
    <s v="-"/>
    <n v="1614.5360000000001"/>
    <s v="Completed"/>
    <s v="Settled"/>
    <x v="1"/>
  </r>
  <r>
    <n v="8657350152"/>
    <n v="1994"/>
    <n v="541.17200000000003"/>
    <n v="53.1"/>
    <n v="222.54199999999997"/>
    <n v="1389.046"/>
    <n v="1166.5040000000001"/>
    <n v="604.95399999999995"/>
    <n v="107.38"/>
    <n v="1549.5259999999998"/>
    <n v="-160.47999999999979"/>
    <s v="Return"/>
    <s v="Settled"/>
    <x v="0"/>
  </r>
  <r>
    <n v="8655198144"/>
    <n v="3594"/>
    <n v="890.59299999999996"/>
    <n v="71.98"/>
    <n v="401.11500000000001"/>
    <n v="2612.1729999999998"/>
    <n v="2211.058"/>
    <n v="981.82700000000023"/>
    <n v="132.16"/>
    <n v="2816.3129999999996"/>
    <n v="-204.13999999999987"/>
    <s v="Return"/>
    <s v="Settled"/>
    <x v="16"/>
  </r>
  <r>
    <n v="8647972516"/>
    <n v="3194"/>
    <n v="791.47299999999996"/>
    <n v="71.98"/>
    <n v="356.46899999999999"/>
    <n v="2313.4360000000001"/>
    <n v="1956.9670000000001"/>
    <n v="880.56399999999985"/>
    <n v="197.06"/>
    <n v="2582.4760000000001"/>
    <n v="-269.03999999999996"/>
    <s v="Return"/>
    <s v="Settled"/>
    <x v="17"/>
  </r>
  <r>
    <n v="8643095523"/>
    <n v="3544"/>
    <n v="920.02200000000005"/>
    <n v="71.98"/>
    <n v="395.53100000000001"/>
    <n v="2533.0129999999999"/>
    <n v="2137.482"/>
    <n v="1010.9870000000001"/>
    <n v="0"/>
    <s v="-"/>
    <n v="2533.0129999999999"/>
    <s v="Completed"/>
    <s v="Settled"/>
    <x v="18"/>
  </r>
  <r>
    <n v="8643991542"/>
    <n v="2644.0099999999998"/>
    <n v="561.58799999999997"/>
    <n v="71.98"/>
    <n v="295.09399999999999"/>
    <n v="1996.277"/>
    <n v="1701.183"/>
    <n v="647.73299999999972"/>
    <n v="132.16"/>
    <n v="2200.4169999999999"/>
    <n v="-204.13999999999987"/>
    <s v="Return"/>
    <s v="Settled"/>
    <x v="18"/>
  </r>
  <r>
    <n v="8647294613"/>
    <n v="1079"/>
    <n v="267.37599999999998"/>
    <n v="53.1"/>
    <n v="120.417"/>
    <n v="752.74400000000003"/>
    <n v="632.327"/>
    <n v="326.25599999999997"/>
    <n v="0"/>
    <s v="-"/>
    <n v="752.74400000000003"/>
    <s v="Completed"/>
    <s v="Settled"/>
    <x v="17"/>
  </r>
  <r>
    <n v="8642965420"/>
    <n v="2556"/>
    <n v="633.37699999999995"/>
    <n v="71.98"/>
    <n v="285.27100000000002"/>
    <n v="1836.95"/>
    <n v="1551.6790000000001"/>
    <n v="719.05"/>
    <n v="0"/>
    <s v="-"/>
    <n v="1836.95"/>
    <s v="Completed"/>
    <s v="Settled"/>
    <x v="18"/>
  </r>
  <r>
    <n v="8640366432"/>
    <n v="2981"/>
    <n v="738.69200000000001"/>
    <n v="71.98"/>
    <n v="332.69799999999998"/>
    <n v="2154.3580000000002"/>
    <n v="1821.6600000000003"/>
    <n v="826.64199999999983"/>
    <n v="197.06"/>
    <n v="2423.3980000000001"/>
    <n v="-269.03999999999996"/>
    <s v="Return"/>
    <s v="Settled"/>
    <x v="19"/>
  </r>
  <r>
    <n v="8633233419"/>
    <n v="2981"/>
    <n v="738.69200000000001"/>
    <n v="71.98"/>
    <n v="332.69799999999998"/>
    <n v="2154.3580000000002"/>
    <n v="1821.6600000000003"/>
    <n v="826.64199999999983"/>
    <n v="0"/>
    <s v="-"/>
    <n v="2154.3580000000002"/>
    <s v="Completed"/>
    <s v="Settled"/>
    <x v="20"/>
  </r>
  <r>
    <n v="8634212307"/>
    <n v="1516"/>
    <n v="339.887"/>
    <n v="53.1"/>
    <n v="169.19800000000001"/>
    <n v="1114.8910000000001"/>
    <n v="945.6930000000001"/>
    <n v="401.10899999999992"/>
    <n v="0"/>
    <s v="-"/>
    <n v="1114.8910000000001"/>
    <s v="Completed"/>
    <s v="Settled"/>
    <x v="21"/>
  </r>
  <r>
    <n v="8620217140"/>
    <n v="5006"/>
    <n v="1535.8409999999999"/>
    <n v="71.98"/>
    <n v="558.70799999999997"/>
    <n v="3371.3609999999999"/>
    <n v="2812.6529999999998"/>
    <n v="1634.6390000000001"/>
    <n v="197.06"/>
    <n v="3640.4009999999998"/>
    <n v="-269.03999999999996"/>
    <s v="Return"/>
    <s v="Settled"/>
    <x v="22"/>
  </r>
  <r>
    <n v="8626237350"/>
    <n v="3294"/>
    <n v="816.25300000000004"/>
    <n v="71.98"/>
    <n v="367.63499999999999"/>
    <n v="2388.1210000000001"/>
    <n v="2020.4860000000001"/>
    <n v="905.87899999999991"/>
    <n v="0"/>
    <s v="-"/>
    <n v="2388.1210000000001"/>
    <s v="Completed"/>
    <s v="Settled"/>
    <x v="23"/>
  </r>
  <r>
    <n v="8615334100"/>
    <n v="954"/>
    <n v="258.916"/>
    <n v="31.86"/>
    <n v="49.972999999999999"/>
    <n v="657.77200000000005"/>
    <n v="607.79900000000009"/>
    <n v="296.22799999999995"/>
    <n v="0"/>
    <s v="-"/>
    <n v="657.77200000000005"/>
    <s v="Completed"/>
    <s v="Settled"/>
    <x v="24"/>
  </r>
  <r>
    <n v="8608720011"/>
    <n v="2944"/>
    <n v="729.52300000000002"/>
    <n v="71.98"/>
    <n v="328.57299999999998"/>
    <n v="2126.7249999999999"/>
    <n v="1798.152"/>
    <n v="817.27500000000009"/>
    <n v="0"/>
    <s v="-"/>
    <n v="2126.7249999999999"/>
    <s v="Completed"/>
    <s v="Settled"/>
    <x v="25"/>
  </r>
  <r>
    <n v="8616771946"/>
    <n v="4293.9900000000007"/>
    <n v="1317.396"/>
    <n v="71.97999999999999"/>
    <n v="479.23899999999998"/>
    <n v="2881.6109999999999"/>
    <n v="2402.3719999999998"/>
    <n v="1412.3790000000008"/>
    <n v="197.06"/>
    <n v="3150.6509999999998"/>
    <n v="-269.03999999999996"/>
    <s v="Return"/>
    <s v="Settled"/>
    <x v="26"/>
  </r>
  <r>
    <n v="8640582446"/>
    <n v="2831"/>
    <n v="734.928"/>
    <n v="71.98"/>
    <n v="315.95799999999997"/>
    <n v="2008.9259999999999"/>
    <n v="1692.9679999999998"/>
    <n v="822.07400000000007"/>
    <n v="197.06"/>
    <n v="2277.9659999999999"/>
    <n v="-269.03999999999996"/>
    <s v="Return"/>
    <s v="Settled"/>
    <x v="19"/>
  </r>
  <r>
    <n v="8617707567"/>
    <n v="2786"/>
    <n v="591.74599999999998"/>
    <n v="71.98"/>
    <n v="310.93799999999999"/>
    <n v="2107.348"/>
    <n v="1796.4099999999999"/>
    <n v="678.65200000000004"/>
    <n v="0"/>
    <s v="-"/>
    <n v="2107.348"/>
    <s v="Completed"/>
    <s v="Settled"/>
    <x v="27"/>
  </r>
  <r>
    <n v="8601398846"/>
    <n v="2131"/>
    <n v="553.20799999999997"/>
    <n v="71.98"/>
    <n v="237.833"/>
    <n v="1494.396"/>
    <n v="1256.5629999999999"/>
    <n v="636.60400000000004"/>
    <n v="0"/>
    <s v="-"/>
    <n v="1494.396"/>
    <s v="Completed"/>
    <s v="Settled"/>
    <x v="28"/>
  </r>
  <r>
    <n v="8655513263"/>
    <n v="3294"/>
    <n v="1049.4680000000001"/>
    <n v="71.98"/>
    <n v="367.63600000000002"/>
    <n v="2154.9050000000002"/>
    <n v="1787.2690000000002"/>
    <n v="1139.0949999999998"/>
    <n v="197.06"/>
    <n v="2423.9450000000002"/>
    <n v="-269.03999999999996"/>
    <s v="Return"/>
    <s v="Settled"/>
    <x v="16"/>
  </r>
  <r>
    <n v="8618679840"/>
    <n v="3169"/>
    <n v="822.67200000000003"/>
    <n v="71.98"/>
    <n v="353.68700000000001"/>
    <n v="2257.3719999999998"/>
    <n v="1903.6849999999999"/>
    <n v="911.62800000000016"/>
    <n v="107.38"/>
    <n v="2436.732"/>
    <n v="-179.36000000000013"/>
    <s v="Return"/>
    <s v="Settled"/>
    <x v="27"/>
  </r>
  <r>
    <n v="8618164100"/>
    <n v="2994"/>
    <n v="635.92600000000004"/>
    <n v="71.98"/>
    <n v="334.14599999999996"/>
    <n v="2270.0549999999998"/>
    <n v="1935.9089999999999"/>
    <n v="723.94500000000016"/>
    <n v="0"/>
    <s v="-"/>
    <n v="2270.0549999999998"/>
    <s v="Completed"/>
    <s v="Settled"/>
    <x v="27"/>
  </r>
  <r>
    <n v="8611927891"/>
    <n v="2131"/>
    <n v="553.20799999999997"/>
    <n v="71.98"/>
    <n v="237.833"/>
    <n v="1494.396"/>
    <n v="1256.5629999999999"/>
    <n v="636.60400000000004"/>
    <n v="0"/>
    <s v="-"/>
    <n v="1494.396"/>
    <s v="Completed"/>
    <s v="Settled"/>
    <x v="29"/>
  </r>
  <r>
    <n v="8633660254"/>
    <n v="2981"/>
    <n v="738.69200000000001"/>
    <n v="71.98"/>
    <n v="332.69799999999998"/>
    <n v="2154.3580000000002"/>
    <n v="1821.6600000000003"/>
    <n v="826.64199999999983"/>
    <n v="0"/>
    <s v="-"/>
    <n v="2154.3580000000002"/>
    <s v="Completed"/>
    <s v="Settled"/>
    <x v="20"/>
  </r>
  <r>
    <n v="8620040747"/>
    <n v="2606"/>
    <n v="553.51400000000001"/>
    <n v="71.98"/>
    <n v="290.84399999999999"/>
    <n v="1966.5450000000001"/>
    <n v="1675.701"/>
    <n v="639.45499999999993"/>
    <n v="132.16"/>
    <n v="2170.6849999999999"/>
    <n v="-204.13999999999987"/>
    <s v="Return"/>
    <s v="Settled"/>
    <x v="22"/>
  </r>
  <r>
    <n v="8631868697"/>
    <n v="2244"/>
    <n v="476.62599999999998"/>
    <n v="71.98"/>
    <n v="250.44800000000001"/>
    <n v="1683.3720000000001"/>
    <n v="1432.924"/>
    <n v="560.62799999999993"/>
    <n v="0"/>
    <s v="-"/>
    <n v="1683.3720000000001"/>
    <s v="Completed"/>
    <s v="Settled"/>
    <x v="9"/>
  </r>
  <r>
    <n v="8636986750"/>
    <n v="2769"/>
    <n v="588.13599999999997"/>
    <n v="71.98"/>
    <n v="309.04200000000003"/>
    <n v="2094.0500000000002"/>
    <n v="1785.0080000000003"/>
    <n v="674.94999999999982"/>
    <n v="197.06"/>
    <n v="2363.09"/>
    <n v="-269.03999999999996"/>
    <s v="Return"/>
    <s v="Settled"/>
    <x v="30"/>
  </r>
  <r>
    <n v="8634176784"/>
    <n v="966"/>
    <n v="227.976"/>
    <n v="31.86"/>
    <n v="50.6"/>
    <n v="700.64400000000001"/>
    <n v="650.04399999999998"/>
    <n v="265.35599999999999"/>
    <n v="132.16"/>
    <n v="864.66399999999999"/>
    <n v="-164.01999999999998"/>
    <s v="Return"/>
    <s v="Settled"/>
    <x v="21"/>
  </r>
  <r>
    <n v="8611806865"/>
    <n v="4593.99"/>
    <n v="1301.018"/>
    <n v="71.98"/>
    <n v="512.71899999999994"/>
    <n v="3196.3809999999999"/>
    <n v="2683.6619999999998"/>
    <n v="1397.6089999999999"/>
    <n v="197.06"/>
    <n v="3465.4209999999998"/>
    <n v="-269.03999999999996"/>
    <s v="Return"/>
    <s v="Settled"/>
    <x v="31"/>
  </r>
  <r>
    <n v="8657935085"/>
    <n v="2943.99"/>
    <n v="729.52"/>
    <n v="71.97999999999999"/>
    <n v="328.57299999999998"/>
    <n v="2126.7179999999998"/>
    <n v="1798.145"/>
    <n v="817.27199999999993"/>
    <n v="132.16"/>
    <n v="2330.8579999999997"/>
    <n v="-204.13999999999987"/>
    <s v="Return"/>
    <s v="Settled"/>
    <x v="32"/>
  </r>
  <r>
    <n v="8656288035"/>
    <n v="2994"/>
    <n v="777.24199999999996"/>
    <n v="71.98"/>
    <n v="334.15600000000001"/>
    <n v="2128.739"/>
    <n v="1794.5830000000001"/>
    <n v="865.26099999999997"/>
    <n v="132.16"/>
    <n v="2332.8789999999999"/>
    <n v="-204.13999999999987"/>
    <s v="Return"/>
    <s v="Settled"/>
    <x v="33"/>
  </r>
  <r>
    <n v="8629466445"/>
    <n v="3544"/>
    <n v="920.02200000000005"/>
    <n v="71.98"/>
    <n v="395.53100000000001"/>
    <n v="2533.0129999999999"/>
    <n v="2137.482"/>
    <n v="1010.9870000000001"/>
    <n v="197.06"/>
    <n v="2802.0529999999999"/>
    <n v="-269.03999999999996"/>
    <s v="Return"/>
    <s v="Settled"/>
    <x v="34"/>
  </r>
  <r>
    <n v="8620719877"/>
    <n v="3394"/>
    <n v="841.03300000000002"/>
    <n v="71.98"/>
    <n v="378.79199999999997"/>
    <n v="2462.8040000000001"/>
    <n v="2084.0120000000002"/>
    <n v="931.19599999999991"/>
    <n v="0"/>
    <s v="-"/>
    <n v="2462.8040000000001"/>
    <s v="Completed"/>
    <s v="Settled"/>
    <x v="22"/>
  </r>
  <r>
    <n v="8612040958"/>
    <n v="3544"/>
    <n v="920.02200000000005"/>
    <n v="71.98"/>
    <n v="395.53100000000001"/>
    <n v="2533.0129999999999"/>
    <n v="2137.482"/>
    <n v="1010.9870000000001"/>
    <n v="197.06"/>
    <n v="2802.0529999999999"/>
    <n v="-269.03999999999996"/>
    <s v="Return"/>
    <s v="Settled"/>
    <x v="35"/>
  </r>
  <r>
    <n v="8623066496"/>
    <n v="2594"/>
    <n v="550.96600000000001"/>
    <n v="71.98"/>
    <n v="289.5"/>
    <n v="1957.1579999999999"/>
    <n v="1667.6579999999999"/>
    <n v="636.8420000000001"/>
    <n v="0"/>
    <s v="-"/>
    <n v="1957.1579999999999"/>
    <s v="Completed"/>
    <s v="Settled"/>
    <x v="1"/>
  </r>
  <r>
    <n v="8655144624"/>
    <n v="2794"/>
    <n v="593.44600000000003"/>
    <n v="71.98"/>
    <n v="311.83300000000003"/>
    <n v="2113.6060000000002"/>
    <n v="1801.7730000000001"/>
    <n v="680.39399999999978"/>
    <n v="0"/>
    <s v="-"/>
    <n v="2113.6060000000002"/>
    <s v="Completed"/>
    <s v="Settled"/>
    <x v="16"/>
  </r>
  <r>
    <n v="8639002063"/>
    <n v="2194"/>
    <n v="466.00599999999997"/>
    <n v="71.98"/>
    <n v="244.86499999999998"/>
    <n v="1644.26"/>
    <n v="1399.395"/>
    <n v="549.74"/>
    <n v="197.06"/>
    <n v="1913.3"/>
    <n v="-269.03999999999996"/>
    <s v="Return"/>
    <s v="Settled"/>
    <x v="36"/>
  </r>
  <r>
    <n v="8649996593"/>
    <n v="2594"/>
    <n v="550.96600000000001"/>
    <n v="71.98"/>
    <n v="289.5"/>
    <n v="1957.1579999999999"/>
    <n v="1667.6579999999999"/>
    <n v="636.8420000000001"/>
    <n v="0"/>
    <s v="-"/>
    <n v="1957.1579999999999"/>
    <s v="Completed"/>
    <s v="Settled"/>
    <x v="37"/>
  </r>
  <r>
    <n v="8634757737"/>
    <n v="3194"/>
    <n v="791.47299999999996"/>
    <n v="71.98"/>
    <n v="356.47900000000004"/>
    <n v="2313.4360000000001"/>
    <n v="1956.9570000000001"/>
    <n v="880.56399999999985"/>
    <n v="107.38"/>
    <n v="2492.7960000000003"/>
    <n v="-179.36000000000013"/>
    <s v="Return"/>
    <s v="Settled"/>
    <x v="6"/>
  </r>
  <r>
    <n v="8644200717"/>
    <n v="4594"/>
    <n v="1409.4390000000001"/>
    <n v="71.98"/>
    <n v="512.71899999999994"/>
    <n v="3087.97"/>
    <n v="2575.2509999999997"/>
    <n v="1506.0300000000002"/>
    <n v="197.06"/>
    <n v="3357.0099999999998"/>
    <n v="-269.03999999999996"/>
    <s v="Return"/>
    <s v="Settled"/>
    <x v="38"/>
  </r>
  <r>
    <n v="8637941448"/>
    <n v="3544"/>
    <n v="920.02200000000005"/>
    <n v="71.98"/>
    <n v="395.53100000000001"/>
    <n v="2533.0129999999999"/>
    <n v="2137.482"/>
    <n v="1010.9870000000001"/>
    <n v="0"/>
    <s v="-"/>
    <n v="2533.0129999999999"/>
    <s v="Completed"/>
    <s v="Settled"/>
    <x v="39"/>
  </r>
  <r>
    <n v="8615512711"/>
    <n v="2419"/>
    <n v="513.79600000000005"/>
    <n v="71.98"/>
    <n v="269.97899999999998"/>
    <n v="1820.2650000000001"/>
    <n v="1550.2860000000001"/>
    <n v="598.7349999999999"/>
    <n v="0"/>
    <s v="-"/>
    <n v="1820.2650000000001"/>
    <s v="Completed"/>
    <s v="Settled"/>
    <x v="1"/>
  </r>
  <r>
    <n v="8654231853"/>
    <n v="2194"/>
    <n v="466.00599999999997"/>
    <n v="71.98"/>
    <n v="244.86499999999998"/>
    <n v="1644.26"/>
    <n v="1399.395"/>
    <n v="549.74"/>
    <n v="0"/>
    <s v="-"/>
    <n v="1644.26"/>
    <s v="Completed"/>
    <s v="Settled"/>
    <x v="16"/>
  </r>
  <r>
    <n v="8629059218"/>
    <n v="3169"/>
    <n v="822.67200000000003"/>
    <n v="71.98"/>
    <n v="353.68700000000001"/>
    <n v="2257.3719999999998"/>
    <n v="1903.6849999999999"/>
    <n v="911.62800000000016"/>
    <n v="197.06"/>
    <n v="2526.4119999999998"/>
    <n v="-269.03999999999996"/>
    <s v="Return"/>
    <s v="Settled"/>
    <x v="34"/>
  </r>
  <r>
    <n v="8642596173"/>
    <n v="3644"/>
    <n v="1117.979"/>
    <n v="71.98"/>
    <n v="406.68799999999999"/>
    <n v="2434.5189999999998"/>
    <n v="2027.8309999999997"/>
    <n v="1209.4810000000002"/>
    <n v="107.38"/>
    <n v="2613.8789999999999"/>
    <n v="-179.36000000000013"/>
    <s v="Return"/>
    <s v="Settled"/>
    <x v="40"/>
  </r>
  <r>
    <n v="8641095253"/>
    <n v="3994"/>
    <n v="1272.4880000000001"/>
    <n v="71.98"/>
    <n v="445.76"/>
    <n v="2628.136"/>
    <n v="2182.3760000000002"/>
    <n v="1365.864"/>
    <n v="197.06"/>
    <n v="2897.1759999999999"/>
    <n v="-269.03999999999996"/>
    <s v="Return"/>
    <s v="Settled"/>
    <x v="14"/>
  </r>
  <r>
    <n v="8664266778"/>
    <n v="2994"/>
    <n v="741.91300000000001"/>
    <n v="71.98"/>
    <n v="334.15600000000001"/>
    <n v="2164.0680000000002"/>
    <n v="1829.9120000000003"/>
    <n v="829.93199999999979"/>
    <n v="0"/>
    <s v="-"/>
    <n v="2164.0680000000002"/>
    <s v="Completed"/>
    <s v="Settled"/>
    <x v="41"/>
  </r>
  <r>
    <n v="8661941772"/>
    <n v="2993.99"/>
    <n v="741.91099999999994"/>
    <n v="71.98"/>
    <n v="334.15600000000001"/>
    <n v="2164.06"/>
    <n v="1829.904"/>
    <n v="829.92999999999984"/>
    <n v="0"/>
    <s v="-"/>
    <n v="2164.06"/>
    <s v="Completed"/>
    <s v="Settled"/>
    <x v="42"/>
  </r>
  <r>
    <n v="8622529723"/>
    <n v="3294"/>
    <n v="816.25300000000004"/>
    <n v="71.98"/>
    <n v="367.63499999999999"/>
    <n v="2388.1210000000001"/>
    <n v="2020.4860000000001"/>
    <n v="905.87899999999991"/>
    <n v="132.16"/>
    <n v="2592.261"/>
    <n v="-204.13999999999987"/>
    <s v="Return"/>
    <s v="Settled"/>
    <x v="1"/>
  </r>
  <r>
    <n v="8614858318"/>
    <n v="3844"/>
    <n v="952.54300000000001"/>
    <n v="71.98"/>
    <n v="429.02100000000002"/>
    <n v="2798.884"/>
    <n v="2369.8629999999998"/>
    <n v="1045.116"/>
    <n v="0"/>
    <s v="-"/>
    <n v="2798.884"/>
    <s v="Completed"/>
    <s v="Settled"/>
    <x v="43"/>
  </r>
  <r>
    <n v="8655672020"/>
    <n v="2169"/>
    <n v="537.47799999999995"/>
    <n v="71.98"/>
    <n v="242.07299999999998"/>
    <n v="1547.922"/>
    <n v="1305.8490000000002"/>
    <n v="621.07799999999997"/>
    <n v="132.16"/>
    <n v="1752.0620000000001"/>
    <n v="-204.1400000000001"/>
    <s v="Return"/>
    <s v="Settled"/>
    <x v="16"/>
  </r>
  <r>
    <n v="8630979515"/>
    <n v="2821"/>
    <n v="599.17999999999995"/>
    <n v="71.98"/>
    <n v="314.84399999999999"/>
    <n v="2134.7269999999999"/>
    <n v="1819.8829999999998"/>
    <n v="686.27300000000014"/>
    <n v="0"/>
    <s v="-"/>
    <n v="2134.7269999999999"/>
    <s v="Completed"/>
    <s v="Settled"/>
    <x v="9"/>
  </r>
  <r>
    <n v="8653894535"/>
    <n v="2994"/>
    <n v="741.91300000000001"/>
    <n v="71.98"/>
    <n v="334.15600000000001"/>
    <n v="2164.0680000000002"/>
    <n v="1829.9120000000003"/>
    <n v="829.93199999999979"/>
    <n v="0"/>
    <s v="-"/>
    <n v="2164.0680000000002"/>
    <s v="Completed"/>
    <s v="Settled"/>
    <x v="16"/>
  </r>
  <r>
    <n v="8662493509"/>
    <n v="2794"/>
    <n v="593.44600000000003"/>
    <n v="71.98"/>
    <n v="311.83300000000003"/>
    <n v="2113.6060000000002"/>
    <n v="1801.7730000000001"/>
    <n v="680.39399999999978"/>
    <n v="0"/>
    <s v="-"/>
    <n v="2113.6060000000002"/>
    <s v="Completed"/>
    <s v="Settled"/>
    <x v="42"/>
  </r>
  <r>
    <n v="8631067091"/>
    <n v="1794"/>
    <n v="529.23"/>
    <n v="53.1"/>
    <n v="200.21899999999999"/>
    <n v="1202.059"/>
    <n v="1001.8399999999999"/>
    <n v="591.94100000000003"/>
    <n v="0"/>
    <s v="-"/>
    <n v="1202.059"/>
    <s v="Completed"/>
    <s v="Settled"/>
    <x v="9"/>
  </r>
  <r>
    <n v="8619859831"/>
    <n v="2044"/>
    <n v="651.21799999999996"/>
    <n v="71.98"/>
    <n v="228.125"/>
    <n v="1309.8520000000001"/>
    <n v="1081.7270000000001"/>
    <n v="734.14799999999991"/>
    <n v="0"/>
    <s v="-"/>
    <n v="1309.8520000000001"/>
    <s v="Completed"/>
    <s v="Settled"/>
    <x v="1"/>
  </r>
  <r>
    <n v="8611998481"/>
    <n v="2944"/>
    <n v="729.52300000000002"/>
    <n v="71.98"/>
    <n v="328.57299999999998"/>
    <n v="2126.7249999999999"/>
    <n v="1798.152"/>
    <n v="817.27500000000009"/>
    <n v="0"/>
    <s v="-"/>
    <n v="2126.7249999999999"/>
    <s v="Completed"/>
    <s v="Settled"/>
    <x v="29"/>
  </r>
  <r>
    <n v="8639804045"/>
    <n v="3543.98"/>
    <n v="920.01700000000005"/>
    <n v="71.98"/>
    <n v="395.53100000000001"/>
    <n v="2532.998"/>
    <n v="2137.4670000000001"/>
    <n v="1010.982"/>
    <n v="197.06"/>
    <n v="2802.038"/>
    <n v="-269.03999999999996"/>
    <s v="Return"/>
    <s v="Settled"/>
    <x v="44"/>
  </r>
  <r>
    <n v="8612636944"/>
    <n v="1793.99"/>
    <n v="444.55099999999999"/>
    <n v="53.1"/>
    <n v="200.21899999999999"/>
    <n v="1286.7280000000001"/>
    <n v="1086.509"/>
    <n v="507.26199999999994"/>
    <n v="132.16"/>
    <n v="1471.9880000000001"/>
    <n v="-185.26"/>
    <s v="Return"/>
    <s v="Settled"/>
    <x v="45"/>
  </r>
  <r>
    <n v="8613217978"/>
    <n v="2344"/>
    <n v="580.84299999999996"/>
    <n v="71.98"/>
    <n v="261.60399999999998"/>
    <n v="1678.62"/>
    <n v="1417.0159999999998"/>
    <n v="665.38000000000011"/>
    <n v="0"/>
    <s v="-"/>
    <n v="1678.62"/>
    <s v="Completed"/>
    <s v="Settled"/>
    <x v="45"/>
  </r>
  <r>
    <n v="8649618848"/>
    <n v="3643.98"/>
    <n v="1160.972"/>
    <n v="71.98"/>
    <n v="406.69799999999998"/>
    <n v="2391.5059999999999"/>
    <n v="1984.808"/>
    <n v="1252.4740000000002"/>
    <n v="0"/>
    <s v="-"/>
    <n v="2391.5059999999999"/>
    <s v="Completed"/>
    <s v="Settled"/>
    <x v="3"/>
  </r>
  <r>
    <n v="8625454150"/>
    <n v="3294"/>
    <n v="1049.4680000000001"/>
    <n v="71.98"/>
    <n v="367.625"/>
    <n v="2154.9059999999999"/>
    <n v="1787.2809999999999"/>
    <n v="1139.0940000000001"/>
    <n v="197.06"/>
    <n v="2423.9459999999999"/>
    <n v="-269.03999999999996"/>
    <s v="Return"/>
    <s v="Settled"/>
    <x v="2"/>
  </r>
  <r>
    <n v="8648759873"/>
    <n v="2556"/>
    <n v="633.37699999999995"/>
    <n v="71.98"/>
    <n v="285.27100000000002"/>
    <n v="1836.95"/>
    <n v="1551.6790000000001"/>
    <n v="719.05"/>
    <n v="0"/>
    <s v="-"/>
    <n v="1836.95"/>
    <s v="Completed"/>
    <s v="Settled"/>
    <x v="3"/>
  </r>
  <r>
    <n v="8612316631"/>
    <n v="2069"/>
    <n v="659.18299999999999"/>
    <n v="71.98"/>
    <n v="230.917"/>
    <n v="1326.7529999999999"/>
    <n v="1095.836"/>
    <n v="742.24700000000007"/>
    <n v="197.06"/>
    <n v="1595.7929999999999"/>
    <n v="-269.03999999999996"/>
    <s v="Return"/>
    <s v="Settled"/>
    <x v="35"/>
  </r>
  <r>
    <n v="8595142933"/>
    <n v="2156.0099999999998"/>
    <n v="457.93599999999998"/>
    <n v="71.98"/>
    <n v="240.625"/>
    <n v="1614.5440000000001"/>
    <n v="1373.9190000000001"/>
    <n v="541.46599999999967"/>
    <n v="0"/>
    <s v="-"/>
    <n v="1614.5440000000001"/>
    <s v="Completed"/>
    <s v="Settled"/>
    <x v="15"/>
  </r>
  <r>
    <n v="8634561172"/>
    <n v="1999"/>
    <n v="448.17599999999999"/>
    <n v="53.1"/>
    <n v="223.10400000000001"/>
    <n v="1487.0150000000001"/>
    <n v="1263.9110000000001"/>
    <n v="511.9849999999999"/>
    <n v="197.06"/>
    <n v="1737.175"/>
    <n v="-250.15999999999985"/>
    <s v="Return"/>
    <s v="Settled"/>
    <x v="6"/>
  </r>
  <r>
    <n v="8634169145"/>
    <n v="2769"/>
    <n v="686.15800000000002"/>
    <n v="71.98"/>
    <n v="309.04200000000003"/>
    <n v="1996.028"/>
    <n v="1686.9859999999999"/>
    <n v="772.97199999999998"/>
    <n v="197.06"/>
    <n v="2265.0679999999998"/>
    <n v="-269.03999999999974"/>
    <s v="Return"/>
    <s v="Settled"/>
    <x v="21"/>
  </r>
  <r>
    <n v="8612775582"/>
    <n v="4294"/>
    <n v="1317.3989999999999"/>
    <n v="71.98"/>
    <n v="479.24"/>
    <n v="2881.6170000000002"/>
    <n v="2402.3770000000004"/>
    <n v="1412.3829999999998"/>
    <n v="197.06"/>
    <n v="3150.6570000000002"/>
    <n v="-269.03999999999996"/>
    <s v="Return"/>
    <s v="Settled"/>
    <x v="45"/>
  </r>
  <r>
    <n v="8624894778"/>
    <n v="3194"/>
    <n v="791.47299999999996"/>
    <n v="71.98"/>
    <n v="356.47900000000004"/>
    <n v="2313.4360000000001"/>
    <n v="1956.9570000000001"/>
    <n v="880.56399999999985"/>
    <n v="0"/>
    <s v="-"/>
    <n v="2313.4360000000001"/>
    <s v="Completed"/>
    <s v="Settled"/>
    <x v="46"/>
  </r>
  <r>
    <n v="8615334101"/>
    <n v="954"/>
    <n v="258.916"/>
    <n v="31.86"/>
    <n v="49.972999999999999"/>
    <n v="657.77200000000005"/>
    <n v="607.79900000000009"/>
    <n v="296.22799999999995"/>
    <n v="197.06"/>
    <n v="886.69200000000001"/>
    <n v="-228.91999999999996"/>
    <s v="Return"/>
    <s v="Settled"/>
    <x v="24"/>
  </r>
  <r>
    <n v="8632189753"/>
    <n v="2089"/>
    <n v="542.30399999999997"/>
    <n v="71.98"/>
    <n v="233.14599999999999"/>
    <n v="1463.5250000000001"/>
    <n v="1230.3790000000001"/>
    <n v="625.47499999999991"/>
    <n v="0"/>
    <s v="-"/>
    <n v="1463.5250000000001"/>
    <s v="Completed"/>
    <s v="Settled"/>
    <x v="9"/>
  </r>
  <r>
    <n v="8637715863"/>
    <n v="3644"/>
    <n v="1117.979"/>
    <n v="71.98"/>
    <n v="406.69799999999998"/>
    <n v="2434.5189999999998"/>
    <n v="2027.8209999999999"/>
    <n v="1209.4810000000002"/>
    <n v="197.06"/>
    <n v="2703.5589999999997"/>
    <n v="-269.03999999999996"/>
    <s v="Return"/>
    <s v="Settled"/>
    <x v="8"/>
  </r>
  <r>
    <n v="8655940273"/>
    <n v="2994"/>
    <n v="741.91300000000001"/>
    <n v="71.98"/>
    <n v="334.15600000000001"/>
    <n v="2164.0680000000002"/>
    <n v="1829.9120000000003"/>
    <n v="829.93199999999979"/>
    <n v="0"/>
    <s v="-"/>
    <n v="2164.0680000000002"/>
    <s v="Completed"/>
    <s v="Settled"/>
    <x v="47"/>
  </r>
  <r>
    <n v="8633269027"/>
    <n v="3644"/>
    <n v="1117.979"/>
    <n v="71.98"/>
    <n v="406.69799999999998"/>
    <n v="2434.5189999999998"/>
    <n v="2027.8209999999999"/>
    <n v="1209.4810000000002"/>
    <n v="0"/>
    <s v="-"/>
    <n v="2434.5189999999998"/>
    <s v="Completed"/>
    <s v="Settled"/>
    <x v="20"/>
  </r>
  <r>
    <n v="8659789290"/>
    <n v="2194"/>
    <n v="466.00599999999997"/>
    <n v="71.98"/>
    <n v="244.86499999999998"/>
    <n v="1644.26"/>
    <n v="1399.395"/>
    <n v="549.74"/>
    <n v="197.06"/>
    <n v="1913.3"/>
    <n v="-269.03999999999996"/>
    <s v="Return"/>
    <s v="Settled"/>
    <x v="48"/>
  </r>
  <r>
    <n v="8605655495"/>
    <n v="1516"/>
    <n v="500.88600000000002"/>
    <n v="53.1"/>
    <n v="169.19800000000001"/>
    <n v="953.89200000000005"/>
    <n v="784.69400000000007"/>
    <n v="562.10799999999995"/>
    <n v="0"/>
    <s v="-"/>
    <n v="953.89200000000005"/>
    <s v="Completed"/>
    <s v="Settled"/>
    <x v="49"/>
  </r>
  <r>
    <n v="8635882443"/>
    <n v="2981"/>
    <n v="738.69200000000001"/>
    <n v="71.98"/>
    <n v="332.69799999999998"/>
    <n v="2154.3580000000002"/>
    <n v="1821.6600000000003"/>
    <n v="826.64199999999983"/>
    <n v="0"/>
    <s v="-"/>
    <n v="2154.3580000000002"/>
    <s v="Completed"/>
    <s v="Settled"/>
    <x v="6"/>
  </r>
  <r>
    <n v="8646141428"/>
    <n v="1994"/>
    <n v="541.17200000000003"/>
    <n v="53.1"/>
    <n v="222.54199999999997"/>
    <n v="1389.046"/>
    <n v="1166.5040000000001"/>
    <n v="604.95399999999995"/>
    <n v="0"/>
    <s v="-"/>
    <n v="1389.046"/>
    <s v="Completed"/>
    <s v="Settled"/>
    <x v="50"/>
  </r>
  <r>
    <n v="8615626226"/>
    <n v="1374"/>
    <n v="453.97"/>
    <n v="53.099999999999994"/>
    <n v="153.35399999999998"/>
    <n v="859.56899999999996"/>
    <n v="706.21499999999992"/>
    <n v="514.43100000000004"/>
    <n v="107.38000000000001"/>
    <n v="1020.049"/>
    <n v="-160.48000000000002"/>
    <s v="Return"/>
    <s v="Settled"/>
    <x v="51"/>
  </r>
  <r>
    <n v="8646561051"/>
    <n v="1329"/>
    <n v="360.69099999999997"/>
    <n v="53.1"/>
    <n v="148.32299999999998"/>
    <n v="908.08900000000006"/>
    <n v="759.76600000000008"/>
    <n v="420.91099999999994"/>
    <n v="0"/>
    <s v="-"/>
    <n v="908.08900000000006"/>
    <s v="Completed"/>
    <s v="Settled"/>
    <x v="17"/>
  </r>
  <r>
    <n v="8636977287"/>
    <n v="3274"/>
    <n v="695.39800000000002"/>
    <n v="71.98"/>
    <n v="365.40600000000001"/>
    <n v="2489.0830000000001"/>
    <n v="2123.6770000000001"/>
    <n v="784.91699999999992"/>
    <n v="132.16"/>
    <n v="2693.223"/>
    <n v="-204.13999999999987"/>
    <s v="Return"/>
    <s v="Settled"/>
    <x v="30"/>
  </r>
  <r>
    <n v="8611998482"/>
    <n v="2944"/>
    <n v="729.52300000000002"/>
    <n v="71.98"/>
    <n v="328.57299999999998"/>
    <n v="2126.7249999999999"/>
    <n v="1798.152"/>
    <n v="817.27500000000009"/>
    <n v="0"/>
    <s v="-"/>
    <n v="2126.7249999999999"/>
    <s v="Completed"/>
    <s v="Settled"/>
    <x v="29"/>
  </r>
  <r>
    <n v="8622049270"/>
    <n v="446"/>
    <n v="36.840000000000003"/>
    <n v="31.86"/>
    <n v="23.363999999999997"/>
    <n v="369.48899999999998"/>
    <n v="346.125"/>
    <n v="76.511000000000024"/>
    <n v="132.16"/>
    <n v="533.50900000000001"/>
    <n v="-164.02000000000004"/>
    <s v="Return"/>
    <s v="Settled"/>
    <x v="52"/>
  </r>
  <r>
    <n v="8622249725"/>
    <n v="2606"/>
    <n v="553.51400000000001"/>
    <n v="71.98"/>
    <n v="290.84399999999999"/>
    <n v="1966.5450000000001"/>
    <n v="1675.701"/>
    <n v="639.45499999999993"/>
    <n v="0"/>
    <s v="-"/>
    <n v="1966.5450000000001"/>
    <s v="Completed"/>
    <s v="Settled"/>
    <x v="1"/>
  </r>
  <r>
    <n v="8644756300"/>
    <n v="766"/>
    <n v="253.08600000000001"/>
    <n v="31.86"/>
    <n v="40.128"/>
    <n v="476.67599999999999"/>
    <n v="436.548"/>
    <n v="289.32400000000001"/>
    <n v="132.16"/>
    <n v="640.69600000000003"/>
    <n v="-164.02000000000004"/>
    <s v="Return"/>
    <s v="Settled"/>
    <x v="4"/>
  </r>
  <r>
    <n v="8634483521"/>
    <n v="3274"/>
    <n v="695.39800000000002"/>
    <n v="71.98"/>
    <n v="365.39599999999996"/>
    <n v="2489.0830000000001"/>
    <n v="2123.6869999999999"/>
    <n v="784.91699999999992"/>
    <n v="0"/>
    <s v="-"/>
    <n v="2489.0830000000001"/>
    <s v="Completed"/>
    <s v="Settled"/>
    <x v="6"/>
  </r>
  <r>
    <n v="8665229227"/>
    <n v="829"/>
    <n v="215.209"/>
    <n v="31.86"/>
    <n v="43.427"/>
    <n v="577.19399999999996"/>
    <n v="533.76699999999994"/>
    <n v="251.80600000000004"/>
    <n v="0"/>
    <s v="-"/>
    <n v="577.19399999999996"/>
    <s v="Completed"/>
    <s v="Settled"/>
    <x v="41"/>
  </r>
  <r>
    <n v="8639804850"/>
    <n v="245"/>
    <n v="23.128"/>
    <n v="31.86"/>
    <n v="12.837"/>
    <n v="188.61199999999999"/>
    <n v="175.77500000000001"/>
    <n v="56.388000000000005"/>
    <n v="0"/>
    <s v="-"/>
    <n v="188.61199999999999"/>
    <s v="Completed"/>
    <s v="Settled"/>
    <x v="44"/>
  </r>
  <r>
    <n v="8620997934"/>
    <n v="2994"/>
    <n v="635.92600000000004"/>
    <n v="71.98"/>
    <n v="334.15600000000001"/>
    <n v="2270.0549999999998"/>
    <n v="1935.8989999999999"/>
    <n v="723.94500000000016"/>
    <n v="0"/>
    <s v="-"/>
    <n v="2270.0549999999998"/>
    <s v="Completed"/>
    <s v="Settled"/>
    <x v="1"/>
  </r>
  <r>
    <n v="8612316632"/>
    <n v="2494"/>
    <n v="794.58799999999997"/>
    <n v="71.98"/>
    <n v="278.34399999999999"/>
    <n v="1614.0709999999999"/>
    <n v="1335.7269999999999"/>
    <n v="879.92900000000009"/>
    <n v="197.06"/>
    <n v="1883.1109999999999"/>
    <n v="-269.03999999999996"/>
    <s v="Return"/>
    <s v="Settled"/>
    <x v="35"/>
  </r>
  <r>
    <n v="8640972995"/>
    <n v="3056"/>
    <n v="649.09400000000005"/>
    <n v="71.98"/>
    <n v="341.07299999999998"/>
    <n v="2318.5540000000001"/>
    <n v="1977.4810000000002"/>
    <n v="737.44599999999991"/>
    <n v="197.06"/>
    <n v="2587.5940000000001"/>
    <n v="-269.03999999999996"/>
    <s v="Return"/>
    <s v="Settled"/>
    <x v="14"/>
  </r>
  <r>
    <n v="8614858323"/>
    <n v="2556"/>
    <n v="633.37699999999995"/>
    <n v="71.98"/>
    <n v="285.27100000000002"/>
    <n v="1836.95"/>
    <n v="1551.6790000000001"/>
    <n v="719.05"/>
    <n v="0"/>
    <s v="-"/>
    <n v="1836.95"/>
    <s v="Completed"/>
    <s v="Settled"/>
    <x v="43"/>
  </r>
  <r>
    <n v="8644439800"/>
    <n v="829"/>
    <n v="215.208"/>
    <n v="31.86"/>
    <n v="43.427999999999997"/>
    <n v="577.19399999999996"/>
    <n v="533.76599999999996"/>
    <n v="251.80600000000004"/>
    <n v="0"/>
    <s v="-"/>
    <n v="577.19399999999996"/>
    <s v="Completed"/>
    <s v="Settled"/>
    <x v="53"/>
  </r>
  <r>
    <n v="8620680302"/>
    <n v="1998.99"/>
    <n v="448.17399999999998"/>
    <n v="53.1"/>
    <n v="223.10400000000001"/>
    <n v="1487.0070000000001"/>
    <n v="1263.903"/>
    <n v="511.98299999999995"/>
    <n v="0"/>
    <s v="-"/>
    <n v="1487.0070000000001"/>
    <s v="Completed"/>
    <s v="Settled"/>
    <x v="1"/>
  </r>
  <r>
    <n v="8650305629"/>
    <n v="150"/>
    <n v="17.7"/>
    <n v="31.86"/>
    <n v="7.8539999999999992"/>
    <n v="99.582999999999998"/>
    <n v="91.728999999999999"/>
    <n v="50.417000000000002"/>
    <n v="0"/>
    <s v="-"/>
    <n v="99.582999999999998"/>
    <s v="Completed"/>
    <s v="Settled"/>
    <x v="37"/>
  </r>
  <r>
    <n v="8622783699"/>
    <n v="1754"/>
    <n v="579.52200000000005"/>
    <n v="53.1"/>
    <n v="195.76000000000002"/>
    <n v="1111.982"/>
    <n v="916.22199999999998"/>
    <n v="642.01800000000003"/>
    <n v="0"/>
    <s v="-"/>
    <n v="1111.982"/>
    <s v="Completed"/>
    <s v="Settled"/>
    <x v="1"/>
  </r>
  <r>
    <n v="8629832600"/>
    <n v="4594"/>
    <n v="1409.4390000000001"/>
    <n v="71.98"/>
    <n v="512.71899999999994"/>
    <n v="3087.97"/>
    <n v="2575.2509999999997"/>
    <n v="1506.0300000000002"/>
    <n v="132.16"/>
    <n v="3292.1099999999997"/>
    <n v="-204.13999999999987"/>
    <s v="Return"/>
    <s v="Settled"/>
    <x v="54"/>
  </r>
  <r>
    <n v="8618858030"/>
    <n v="1454"/>
    <n v="325.98700000000002"/>
    <n v="53.1"/>
    <n v="162.28100000000001"/>
    <n v="1067.124"/>
    <n v="904.84300000000007"/>
    <n v="386.87599999999998"/>
    <n v="0"/>
    <s v="-"/>
    <n v="1067.124"/>
    <s v="Completed"/>
    <s v="Settled"/>
    <x v="27"/>
  </r>
  <r>
    <n v="8655224652"/>
    <n v="3644"/>
    <n v="1160.9780000000001"/>
    <n v="71.98"/>
    <n v="406.69799999999998"/>
    <n v="2391.52"/>
    <n v="1984.8220000000001"/>
    <n v="1252.48"/>
    <n v="0"/>
    <s v="-"/>
    <n v="2391.52"/>
    <s v="Completed"/>
    <s v="Settled"/>
    <x v="16"/>
  </r>
  <r>
    <n v="8635410357"/>
    <n v="2981"/>
    <n v="738.69200000000001"/>
    <n v="71.98"/>
    <n v="332.70799999999997"/>
    <n v="2154.3580000000002"/>
    <n v="1821.65"/>
    <n v="826.64199999999983"/>
    <n v="0"/>
    <s v="-"/>
    <n v="2154.3580000000002"/>
    <s v="Completed"/>
    <s v="Settled"/>
    <x v="6"/>
  </r>
  <r>
    <n v="8655711888"/>
    <n v="1479"/>
    <n v="401.40100000000001"/>
    <n v="53.1"/>
    <n v="165.06300000000002"/>
    <n v="1016.575"/>
    <n v="851.51200000000006"/>
    <n v="462.42499999999995"/>
    <n v="0"/>
    <s v="-"/>
    <n v="1016.575"/>
    <s v="Completed"/>
    <s v="Settled"/>
    <x v="16"/>
  </r>
  <r>
    <n v="8610217098"/>
    <n v="1894"/>
    <n v="514.03200000000004"/>
    <n v="53.1"/>
    <n v="211.38500000000002"/>
    <n v="1316.722"/>
    <n v="1105.337"/>
    <n v="577.27800000000002"/>
    <n v="197.06"/>
    <n v="1566.8819999999998"/>
    <n v="-250.15999999999985"/>
    <s v="Return"/>
    <s v="Settled"/>
    <x v="55"/>
  </r>
  <r>
    <n v="8655711145"/>
    <n v="2794"/>
    <n v="692.35299999999995"/>
    <n v="71.98"/>
    <n v="311.83300000000003"/>
    <n v="2014.6990000000001"/>
    <n v="1702.866"/>
    <n v="779.30099999999993"/>
    <n v="197.06"/>
    <n v="2283.739"/>
    <n v="-269.03999999999996"/>
    <s v="Return"/>
    <s v="Settled"/>
    <x v="16"/>
  </r>
  <r>
    <n v="8639964081"/>
    <n v="2294"/>
    <n v="568.45299999999997"/>
    <n v="71.98"/>
    <n v="256.03100000000001"/>
    <n v="1641.278"/>
    <n v="1385.2470000000001"/>
    <n v="652.72199999999998"/>
    <n v="132.16"/>
    <n v="1845.4180000000001"/>
    <n v="-204.1400000000001"/>
    <s v="Return"/>
    <s v="Settled"/>
    <x v="44"/>
  </r>
  <r>
    <n v="8660538231"/>
    <n v="1794"/>
    <n v="486.892"/>
    <n v="53.1"/>
    <n v="200.22899999999998"/>
    <n v="1244.3969999999999"/>
    <n v="1044.1679999999999"/>
    <n v="549.60300000000007"/>
    <n v="107.38"/>
    <n v="1404.877"/>
    <n v="-160.48000000000002"/>
    <s v="Return"/>
    <s v="Settled"/>
    <x v="48"/>
  </r>
  <r>
    <n v="8635287351"/>
    <n v="2944"/>
    <n v="937.95799999999997"/>
    <n v="71.98"/>
    <n v="328.57299999999998"/>
    <n v="1918.29"/>
    <n v="1589.7170000000001"/>
    <n v="1025.71"/>
    <n v="0"/>
    <s v="-"/>
    <n v="1918.29"/>
    <s v="Completed"/>
    <s v="Settled"/>
    <x v="6"/>
  </r>
  <r>
    <n v="8642386129"/>
    <n v="2769"/>
    <n v="686.15800000000002"/>
    <n v="71.98"/>
    <n v="309.04200000000003"/>
    <n v="1996.028"/>
    <n v="1686.9859999999999"/>
    <n v="772.97199999999998"/>
    <n v="0"/>
    <s v="-"/>
    <n v="1996.028"/>
    <s v="Completed"/>
    <s v="Settled"/>
    <x v="40"/>
  </r>
  <r>
    <n v="8658028844"/>
    <n v="2994"/>
    <n v="777.24199999999996"/>
    <n v="71.98"/>
    <n v="334.15600000000001"/>
    <n v="2128.739"/>
    <n v="1794.5830000000001"/>
    <n v="865.26099999999997"/>
    <n v="0"/>
    <s v="-"/>
    <n v="2128.739"/>
    <s v="Completed"/>
    <s v="Settled"/>
    <x v="32"/>
  </r>
  <r>
    <n v="8635735486"/>
    <n v="1329"/>
    <n v="345.00799999999998"/>
    <n v="53.1"/>
    <n v="148.32299999999998"/>
    <n v="923.77200000000005"/>
    <n v="775.44900000000007"/>
    <n v="405.22799999999995"/>
    <n v="197.06"/>
    <n v="1173.932"/>
    <n v="-250.15999999999997"/>
    <s v="Return"/>
    <s v="Settled"/>
    <x v="6"/>
  </r>
  <r>
    <n v="8624683467"/>
    <n v="1794"/>
    <n v="444.553"/>
    <n v="53.1"/>
    <n v="200.22899999999998"/>
    <n v="1286.7360000000001"/>
    <n v="1086.5070000000001"/>
    <n v="507.2639999999999"/>
    <n v="107.38"/>
    <n v="1447.2159999999999"/>
    <n v="-160.47999999999979"/>
    <s v="Return"/>
    <s v="Settled"/>
    <x v="46"/>
  </r>
  <r>
    <n v="8623285922"/>
    <n v="1794"/>
    <n v="444.553"/>
    <n v="53.1"/>
    <n v="200.21899999999999"/>
    <n v="1286.7360000000001"/>
    <n v="1086.5170000000001"/>
    <n v="507.2639999999999"/>
    <n v="0"/>
    <s v="-"/>
    <n v="1286.7360000000001"/>
    <s v="Completed"/>
    <s v="Settled"/>
    <x v="1"/>
  </r>
  <r>
    <n v="8636449239"/>
    <n v="2944"/>
    <n v="729.52300000000002"/>
    <n v="71.98"/>
    <n v="328.57299999999998"/>
    <n v="2126.7249999999999"/>
    <n v="1798.152"/>
    <n v="817.27500000000009"/>
    <n v="0"/>
    <s v="-"/>
    <n v="2126.7249999999999"/>
    <s v="Completed"/>
    <s v="Settled"/>
    <x v="56"/>
  </r>
  <r>
    <n v="8633441706"/>
    <n v="503"/>
    <n v="136.51400000000001"/>
    <n v="31.86"/>
    <n v="26.344999999999999"/>
    <n v="331.75200000000001"/>
    <n v="305.40700000000004"/>
    <n v="171.24799999999999"/>
    <n v="197.06"/>
    <n v="560.67200000000003"/>
    <n v="-228.92000000000002"/>
    <s v="Return"/>
    <s v="Settled"/>
    <x v="20"/>
  </r>
  <r>
    <n v="8610667779"/>
    <n v="2944"/>
    <n v="764.26199999999994"/>
    <n v="71.98"/>
    <n v="328.57299999999998"/>
    <n v="2091.9859999999999"/>
    <n v="1763.413"/>
    <n v="852.01400000000012"/>
    <n v="197.06"/>
    <n v="2361.0259999999998"/>
    <n v="-269.03999999999996"/>
    <s v="Return"/>
    <s v="Settled"/>
    <x v="55"/>
  </r>
  <r>
    <n v="8621454433"/>
    <n v="2944"/>
    <n v="729.52300000000002"/>
    <n v="71.98"/>
    <n v="328.57299999999998"/>
    <n v="2126.7249999999999"/>
    <n v="1798.152"/>
    <n v="817.27500000000009"/>
    <n v="197.06"/>
    <n v="2395.7649999999999"/>
    <n v="-269.03999999999996"/>
    <s v="Return"/>
    <s v="Settled"/>
    <x v="1"/>
  </r>
  <r>
    <n v="8644832787"/>
    <n v="954"/>
    <n v="258.916"/>
    <n v="31.86"/>
    <n v="49.972999999999999"/>
    <n v="657.77200000000005"/>
    <n v="607.79900000000009"/>
    <n v="296.22799999999995"/>
    <n v="0"/>
    <s v="-"/>
    <n v="657.77200000000005"/>
    <s v="Completed"/>
    <s v="Settled"/>
    <x v="57"/>
  </r>
  <r>
    <n v="8637335372"/>
    <n v="3394"/>
    <n v="1081.328"/>
    <n v="71.98"/>
    <n v="378.79199999999997"/>
    <n v="2222.5100000000002"/>
    <n v="1843.7180000000003"/>
    <n v="1171.4899999999998"/>
    <n v="197.06"/>
    <n v="2491.5500000000002"/>
    <n v="-269.03999999999996"/>
    <s v="Return"/>
    <s v="Settled"/>
    <x v="58"/>
  </r>
  <r>
    <n v="8624339982"/>
    <n v="1204"/>
    <n v="298.351"/>
    <n v="53.1"/>
    <n v="134.375"/>
    <n v="846.09900000000005"/>
    <n v="711.72400000000005"/>
    <n v="357.90099999999995"/>
    <n v="132.16"/>
    <n v="1031.3590000000002"/>
    <n v="-185.2600000000001"/>
    <s v="Return"/>
    <s v="Settled"/>
    <x v="59"/>
  </r>
  <r>
    <n v="8657871207"/>
    <n v="2343.9899999999998"/>
    <n v="746.79499999999996"/>
    <n v="71.98"/>
    <n v="261.60399999999998"/>
    <n v="1512.6579999999999"/>
    <n v="1251.0539999999999"/>
    <n v="831.33199999999988"/>
    <n v="0"/>
    <s v="-"/>
    <n v="1512.6579999999999"/>
    <s v="Completed"/>
    <s v="Settled"/>
    <x v="32"/>
  </r>
  <r>
    <n v="8601039770"/>
    <n v="503"/>
    <n v="136.51400000000001"/>
    <n v="31.86"/>
    <n v="26.344999999999999"/>
    <n v="331.75200000000001"/>
    <n v="305.40700000000004"/>
    <n v="171.24799999999999"/>
    <n v="0"/>
    <s v="-"/>
    <n v="331.75200000000001"/>
    <s v="Completed"/>
    <s v="Settled"/>
    <x v="28"/>
  </r>
  <r>
    <n v="8656222867"/>
    <n v="2994"/>
    <n v="777.24199999999996"/>
    <n v="71.98"/>
    <n v="334.15600000000001"/>
    <n v="2128.739"/>
    <n v="1794.5830000000001"/>
    <n v="865.26099999999997"/>
    <n v="0"/>
    <s v="-"/>
    <n v="2128.739"/>
    <s v="Completed"/>
    <s v="Settled"/>
    <x v="33"/>
  </r>
  <r>
    <n v="8654195528"/>
    <n v="1204"/>
    <n v="312.55799999999999"/>
    <n v="53.1"/>
    <n v="134.375"/>
    <n v="831.89200000000005"/>
    <n v="697.51700000000005"/>
    <n v="372.10799999999995"/>
    <n v="0"/>
    <s v="-"/>
    <n v="831.89200000000005"/>
    <s v="Completed"/>
    <s v="Settled"/>
    <x v="16"/>
  </r>
  <r>
    <n v="8638593036"/>
    <n v="2719"/>
    <n v="705.85199999999998"/>
    <n v="71.98"/>
    <n v="303.45799999999997"/>
    <n v="1926.6020000000001"/>
    <n v="1623.1440000000002"/>
    <n v="792.39799999999991"/>
    <n v="0"/>
    <s v="-"/>
    <n v="1926.6020000000001"/>
    <s v="Completed"/>
    <s v="Settled"/>
    <x v="7"/>
  </r>
  <r>
    <n v="8656573052"/>
    <n v="2944"/>
    <n v="764.26199999999994"/>
    <n v="71.98"/>
    <n v="328.57299999999998"/>
    <n v="2091.9859999999999"/>
    <n v="1763.413"/>
    <n v="852.01400000000012"/>
    <n v="0"/>
    <s v="-"/>
    <n v="2091.9859999999999"/>
    <s v="Completed"/>
    <s v="Settled"/>
    <x v="60"/>
  </r>
  <r>
    <n v="8637124975"/>
    <n v="3194"/>
    <n v="791.47299999999996"/>
    <n v="71.98"/>
    <n v="356.46899999999999"/>
    <n v="2313.4360000000001"/>
    <n v="1956.9670000000001"/>
    <n v="880.56399999999985"/>
    <n v="197.06"/>
    <n v="2582.4760000000001"/>
    <n v="-269.03999999999996"/>
    <s v="Return"/>
    <s v="Settled"/>
    <x v="30"/>
  </r>
  <r>
    <n v="8634034187"/>
    <n v="2769"/>
    <n v="588.13599999999997"/>
    <n v="71.98"/>
    <n v="309.04200000000003"/>
    <n v="2094.0500000000002"/>
    <n v="1785.0080000000003"/>
    <n v="674.94999999999982"/>
    <n v="0"/>
    <s v="-"/>
    <n v="2094.0500000000002"/>
    <s v="Completed"/>
    <s v="Settled"/>
    <x v="21"/>
  </r>
  <r>
    <n v="8637711047"/>
    <n v="3194"/>
    <n v="791.47299999999996"/>
    <n v="71.98"/>
    <n v="356.46899999999999"/>
    <n v="2313.4360000000001"/>
    <n v="1956.9670000000001"/>
    <n v="880.56399999999985"/>
    <n v="197.06"/>
    <n v="2582.4760000000001"/>
    <n v="-269.03999999999996"/>
    <s v="Return"/>
    <s v="Settled"/>
    <x v="8"/>
  </r>
  <r>
    <n v="8650282943"/>
    <n v="2719"/>
    <n v="705.85199999999998"/>
    <n v="71.98"/>
    <n v="303.45799999999997"/>
    <n v="1926.6020000000001"/>
    <n v="1623.1440000000002"/>
    <n v="792.39799999999991"/>
    <n v="107.38"/>
    <n v="2105.962"/>
    <n v="-179.3599999999999"/>
    <s v="Return"/>
    <s v="Settled"/>
    <x v="37"/>
  </r>
  <r>
    <n v="8617018913"/>
    <n v="4069"/>
    <n v="1008.298"/>
    <n v="71.98"/>
    <n v="454.125"/>
    <n v="2966.924"/>
    <n v="2512.799"/>
    <n v="1102.076"/>
    <n v="0"/>
    <s v="-"/>
    <n v="2966.924"/>
    <s v="Completed"/>
    <s v="Settled"/>
    <x v="27"/>
  </r>
  <r>
    <n v="8611755278"/>
    <n v="2294"/>
    <n v="703.79899999999998"/>
    <n v="71.98"/>
    <n v="256.03100000000001"/>
    <n v="1505.932"/>
    <n v="1249.9010000000001"/>
    <n v="788.06799999999998"/>
    <n v="132.16"/>
    <n v="1710.0720000000001"/>
    <n v="-204.1400000000001"/>
    <s v="Return"/>
    <s v="Settled"/>
    <x v="55"/>
  </r>
  <r>
    <n v="8639784997"/>
    <n v="2294"/>
    <n v="703.79899999999998"/>
    <n v="71.98"/>
    <n v="256.02100000000002"/>
    <n v="1505.932"/>
    <n v="1249.9110000000001"/>
    <n v="788.06799999999998"/>
    <n v="107.38"/>
    <n v="1685.2919999999999"/>
    <n v="-179.3599999999999"/>
    <s v="Return"/>
    <s v="Settled"/>
    <x v="44"/>
  </r>
  <r>
    <n v="8612739940"/>
    <n v="4544"/>
    <n v="1126.0029999999999"/>
    <n v="71.98"/>
    <n v="507.14600000000002"/>
    <n v="3321.674"/>
    <n v="2814.5279999999998"/>
    <n v="1222.326"/>
    <n v="197.06"/>
    <n v="3590.7139999999999"/>
    <n v="-269.03999999999996"/>
    <s v="Return"/>
    <s v="Settled"/>
    <x v="45"/>
  </r>
  <r>
    <n v="8654767449"/>
    <n v="2344"/>
    <n v="580.84299999999996"/>
    <n v="71.98"/>
    <n v="261.60399999999998"/>
    <n v="1678.62"/>
    <n v="1417.0159999999998"/>
    <n v="665.38000000000011"/>
    <n v="197.06"/>
    <n v="1947.6599999999999"/>
    <n v="-269.03999999999996"/>
    <s v="Return"/>
    <s v="Settled"/>
    <x v="16"/>
  </r>
  <r>
    <n v="8654080323"/>
    <n v="2994"/>
    <n v="741.91300000000001"/>
    <n v="71.98"/>
    <n v="334.15600000000001"/>
    <n v="2164.0680000000002"/>
    <n v="1829.9120000000003"/>
    <n v="829.93199999999979"/>
    <n v="132.16"/>
    <n v="2368.2080000000001"/>
    <n v="-204.13999999999987"/>
    <s v="Return"/>
    <s v="Settled"/>
    <x v="16"/>
  </r>
  <r>
    <n v="8654459527"/>
    <n v="2794"/>
    <n v="692.35299999999995"/>
    <n v="71.98"/>
    <n v="311.83300000000003"/>
    <n v="2014.6990000000001"/>
    <n v="1702.866"/>
    <n v="779.30099999999993"/>
    <n v="132.16"/>
    <n v="2218.8389999999999"/>
    <n v="-204.13999999999987"/>
    <s v="Return"/>
    <s v="Settled"/>
    <x v="16"/>
  </r>
  <r>
    <n v="8630722093"/>
    <n v="5006"/>
    <n v="1535.8409999999999"/>
    <n v="71.98"/>
    <n v="558.70799999999997"/>
    <n v="3371.3609999999999"/>
    <n v="2812.6529999999998"/>
    <n v="1634.6390000000001"/>
    <n v="0"/>
    <s v="-"/>
    <n v="3371.3609999999999"/>
    <s v="Completed"/>
    <s v="Settled"/>
    <x v="9"/>
  </r>
  <r>
    <n v="8637107040"/>
    <n v="3643.9799999999996"/>
    <n v="1160.972"/>
    <n v="71.98"/>
    <n v="406.697"/>
    <n v="2391.5079999999998"/>
    <n v="1984.8109999999997"/>
    <n v="1252.4719999999998"/>
    <n v="197.06"/>
    <n v="2660.5479999999998"/>
    <n v="-269.03999999999996"/>
    <s v="Return"/>
    <s v="Settled"/>
    <x v="30"/>
  </r>
  <r>
    <n v="8615086353"/>
    <n v="3919"/>
    <n v="971.12800000000004"/>
    <n v="71.98"/>
    <n v="437.38599999999997"/>
    <n v="2854.8969999999999"/>
    <n v="2417.511"/>
    <n v="1064.1030000000001"/>
    <n v="197.06"/>
    <n v="3123.9369999999999"/>
    <n v="-269.03999999999996"/>
    <s v="Return"/>
    <s v="Settled"/>
    <x v="24"/>
  </r>
  <r>
    <n v="8658705104"/>
    <n v="2594"/>
    <n v="550.96600000000001"/>
    <n v="71.98"/>
    <n v="289.51"/>
    <n v="1957.1579999999999"/>
    <n v="1667.6479999999999"/>
    <n v="636.8420000000001"/>
    <n v="197.06"/>
    <n v="2226.1979999999999"/>
    <n v="-269.03999999999996"/>
    <s v="Return"/>
    <s v="Settled"/>
    <x v="32"/>
  </r>
  <r>
    <n v="8612529781"/>
    <n v="2044"/>
    <n v="506.50299999999999"/>
    <n v="71.98"/>
    <n v="228.125"/>
    <n v="1454.567"/>
    <n v="1226.442"/>
    <n v="589.43299999999999"/>
    <n v="197.06"/>
    <n v="1723.607"/>
    <n v="-269.03999999999996"/>
    <s v="Return"/>
    <s v="Settled"/>
    <x v="45"/>
  </r>
  <r>
    <n v="8655960955"/>
    <n v="2719"/>
    <n v="705.85199999999998"/>
    <n v="71.98"/>
    <n v="303.45799999999997"/>
    <n v="1926.6020000000001"/>
    <n v="1623.1440000000002"/>
    <n v="792.39799999999991"/>
    <n v="0"/>
    <s v="-"/>
    <n v="1926.6020000000001"/>
    <s v="Completed"/>
    <s v="Settled"/>
    <x v="47"/>
  </r>
  <r>
    <n v="8610375507"/>
    <n v="2293.98"/>
    <n v="730.86199999999997"/>
    <n v="71.98"/>
    <n v="256.03100000000001"/>
    <n v="1478.8489999999999"/>
    <n v="1222.818"/>
    <n v="815.13100000000009"/>
    <n v="197.06"/>
    <n v="1747.8889999999999"/>
    <n v="-269.03999999999996"/>
    <s v="Return"/>
    <s v="Settled"/>
    <x v="55"/>
  </r>
  <r>
    <n v="8617656468"/>
    <n v="2156"/>
    <n v="457.93400000000003"/>
    <n v="71.98"/>
    <n v="240.625"/>
    <n v="1614.5360000000001"/>
    <n v="1373.9110000000001"/>
    <n v="541.46399999999994"/>
    <n v="0"/>
    <s v="-"/>
    <n v="1614.5360000000001"/>
    <s v="Completed"/>
    <s v="Settled"/>
    <x v="22"/>
  </r>
  <r>
    <n v="8610108292"/>
    <n v="1078.99"/>
    <n v="267.37400000000002"/>
    <n v="53.1"/>
    <n v="120.426"/>
    <n v="752.73699999999997"/>
    <n v="632.31099999999992"/>
    <n v="326.25300000000004"/>
    <n v="197.06"/>
    <n v="1002.8969999999999"/>
    <n v="-250.15999999999997"/>
    <s v="Return"/>
    <s v="Settled"/>
    <x v="55"/>
  </r>
  <r>
    <n v="8625958524"/>
    <n v="2944"/>
    <n v="729.52300000000002"/>
    <n v="71.98"/>
    <n v="328.57299999999998"/>
    <n v="2126.7249999999999"/>
    <n v="1798.152"/>
    <n v="817.27500000000009"/>
    <n v="197.06"/>
    <n v="2395.7649999999999"/>
    <n v="-269.03999999999996"/>
    <s v="Return"/>
    <s v="Settled"/>
    <x v="2"/>
  </r>
  <r>
    <n v="8604969678"/>
    <n v="3394"/>
    <n v="841.03300000000002"/>
    <n v="71.98"/>
    <n v="378.79199999999997"/>
    <n v="2462.8049999999998"/>
    <n v="2084.0129999999999"/>
    <n v="931.19500000000016"/>
    <n v="0"/>
    <s v="-"/>
    <n v="2462.8049999999998"/>
    <s v="Completed"/>
    <s v="Settled"/>
    <x v="61"/>
  </r>
  <r>
    <n v="8657839426"/>
    <n v="1372"/>
    <n v="356.17200000000003"/>
    <n v="53.099999999999994"/>
    <n v="153.125"/>
    <n v="955.37800000000004"/>
    <n v="802.25300000000004"/>
    <n v="416.62199999999996"/>
    <n v="0"/>
    <s v="-"/>
    <n v="955.37800000000004"/>
    <s v="Completed"/>
    <s v="Settled"/>
    <x v="32"/>
  </r>
  <r>
    <n v="8647172312"/>
    <n v="4594"/>
    <n v="1301.021"/>
    <n v="71.98"/>
    <n v="512.71899999999994"/>
    <n v="3196.3879999999999"/>
    <n v="2683.6689999999999"/>
    <n v="1397.6120000000001"/>
    <n v="197.06"/>
    <n v="3465.4279999999999"/>
    <n v="-269.03999999999996"/>
    <s v="Return"/>
    <s v="Settled"/>
    <x v="17"/>
  </r>
  <r>
    <n v="8654866662"/>
    <n v="3794"/>
    <n v="940.15300000000002"/>
    <n v="71.98"/>
    <n v="423.43700000000001"/>
    <n v="2761.5419999999999"/>
    <n v="2338.105"/>
    <n v="1032.4580000000001"/>
    <n v="197.06"/>
    <n v="3030.5819999999999"/>
    <n v="-269.03999999999996"/>
    <s v="Return"/>
    <s v="Settled"/>
    <x v="16"/>
  </r>
  <r>
    <n v="8659781850"/>
    <n v="2794"/>
    <n v="692.35299999999995"/>
    <n v="71.98"/>
    <n v="311.83300000000003"/>
    <n v="2014.6990000000001"/>
    <n v="1702.866"/>
    <n v="779.30099999999993"/>
    <n v="132.16"/>
    <n v="2218.8389999999999"/>
    <n v="-204.13999999999987"/>
    <s v="Return"/>
    <s v="Settled"/>
    <x v="48"/>
  </r>
  <r>
    <n v="8624085547"/>
    <n v="2324"/>
    <n v="575.88699999999994"/>
    <n v="71.98"/>
    <n v="259.375"/>
    <n v="1663.683"/>
    <n v="1404.308"/>
    <n v="660.31700000000001"/>
    <n v="0"/>
    <s v="-"/>
    <n v="1663.683"/>
    <s v="Completed"/>
    <s v="Settled"/>
    <x v="62"/>
  </r>
  <r>
    <n v="8603426729"/>
    <n v="1204"/>
    <n v="312.55799999999999"/>
    <n v="53.1"/>
    <n v="134.375"/>
    <n v="831.89200000000005"/>
    <n v="697.51700000000005"/>
    <n v="372.10799999999995"/>
    <n v="197.06"/>
    <n v="1082.0520000000001"/>
    <n v="-250.16000000000008"/>
    <s v="Return"/>
    <s v="Settled"/>
    <x v="63"/>
  </r>
  <r>
    <n v="8616286171"/>
    <n v="3394"/>
    <n v="841.03300000000002"/>
    <n v="71.98"/>
    <n v="378.79199999999997"/>
    <n v="2462.8049999999998"/>
    <n v="2084.0129999999999"/>
    <n v="931.19500000000016"/>
    <n v="0"/>
    <s v="-"/>
    <n v="2462.8049999999998"/>
    <s v="Completed"/>
    <s v="Settled"/>
    <x v="51"/>
  </r>
  <r>
    <n v="8625147027"/>
    <n v="2629"/>
    <n v="651.46600000000001"/>
    <n v="71.98"/>
    <n v="293.41700000000003"/>
    <n v="1891.47"/>
    <n v="1598.0529999999999"/>
    <n v="737.53"/>
    <n v="0"/>
    <s v="-"/>
    <n v="1891.47"/>
    <s v="Completed"/>
    <s v="Settled"/>
    <x v="64"/>
  </r>
  <r>
    <n v="8628691316"/>
    <n v="150"/>
    <n v="17.7"/>
    <n v="31.86"/>
    <n v="7.8539999999999992"/>
    <n v="99.582999999999998"/>
    <n v="91.728999999999999"/>
    <n v="50.417000000000002"/>
    <n v="132.16"/>
    <n v="263.60299999999995"/>
    <n v="-164.01999999999995"/>
    <s v="Return"/>
    <s v="Settled"/>
    <x v="65"/>
  </r>
  <r>
    <n v="8659785912"/>
    <n v="3594"/>
    <n v="890.59299999999996"/>
    <n v="71.98"/>
    <n v="401.11500000000001"/>
    <n v="2612.1729999999998"/>
    <n v="2211.058"/>
    <n v="981.82700000000023"/>
    <n v="197.06"/>
    <n v="2881.2129999999997"/>
    <n v="-269.03999999999996"/>
    <s v="Return"/>
    <s v="Settled"/>
    <x v="48"/>
  </r>
  <r>
    <n v="8630548620"/>
    <n v="2944"/>
    <n v="729.52300000000002"/>
    <n v="71.98"/>
    <n v="328.57299999999998"/>
    <n v="2126.7249999999999"/>
    <n v="1798.152"/>
    <n v="817.27500000000009"/>
    <n v="0"/>
    <s v="-"/>
    <n v="2126.7249999999999"/>
    <s v="Completed"/>
    <s v="Settled"/>
    <x v="9"/>
  </r>
  <r>
    <n v="8642027320"/>
    <n v="2768.99"/>
    <n v="588.13300000000004"/>
    <n v="71.98"/>
    <n v="309.04200000000003"/>
    <n v="2094.0430000000001"/>
    <n v="1785.0010000000002"/>
    <n v="674.94699999999966"/>
    <n v="0"/>
    <s v="-"/>
    <n v="2094.0430000000001"/>
    <s v="Completed"/>
    <s v="Settled"/>
    <x v="66"/>
  </r>
  <r>
    <n v="8634985043"/>
    <n v="2629"/>
    <n v="651.46600000000001"/>
    <n v="71.98"/>
    <n v="293.41700000000003"/>
    <n v="1891.47"/>
    <n v="1598.0529999999999"/>
    <n v="737.53"/>
    <n v="0"/>
    <s v="-"/>
    <n v="1891.47"/>
    <s v="Completed"/>
    <s v="Settled"/>
    <x v="6"/>
  </r>
  <r>
    <n v="8627160408"/>
    <n v="2244"/>
    <n v="476.62599999999998"/>
    <n v="71.98"/>
    <n v="250.44800000000001"/>
    <n v="1683.3720000000001"/>
    <n v="1432.924"/>
    <n v="560.62799999999993"/>
    <n v="0"/>
    <s v="-"/>
    <n v="1683.3720000000001"/>
    <s v="Completed"/>
    <s v="Settled"/>
    <x v="67"/>
  </r>
  <r>
    <n v="8643430475"/>
    <n v="1629"/>
    <n v="422.88799999999998"/>
    <n v="53.1"/>
    <n v="181.81199999999998"/>
    <n v="1144.2860000000001"/>
    <n v="962.47400000000005"/>
    <n v="484.71399999999994"/>
    <n v="107.38"/>
    <n v="1304.7660000000001"/>
    <n v="-160.48000000000002"/>
    <s v="Return"/>
    <s v="Settled"/>
    <x v="18"/>
  </r>
  <r>
    <n v="8650798775"/>
    <n v="2719"/>
    <n v="705.85199999999998"/>
    <n v="71.98"/>
    <n v="303.45799999999997"/>
    <n v="1926.6020000000001"/>
    <n v="1623.1440000000002"/>
    <n v="792.39799999999991"/>
    <n v="197.06"/>
    <n v="2195.6420000000003"/>
    <n v="-269.04000000000019"/>
    <s v="Return"/>
    <s v="Settled"/>
    <x v="68"/>
  </r>
  <r>
    <n v="8657535433"/>
    <n v="2994"/>
    <n v="777.24199999999996"/>
    <n v="71.98"/>
    <n v="334.14599999999996"/>
    <n v="2128.739"/>
    <n v="1794.5930000000001"/>
    <n v="865.26099999999997"/>
    <n v="0"/>
    <s v="-"/>
    <n v="2128.739"/>
    <s v="Completed"/>
    <s v="Settled"/>
    <x v="69"/>
  </r>
  <r>
    <n v="8625537944"/>
    <n v="1179"/>
    <n v="306.06799999999998"/>
    <n v="53.1"/>
    <n v="131.583"/>
    <n v="813.51599999999996"/>
    <n v="681.93299999999999"/>
    <n v="365.48400000000004"/>
    <n v="0"/>
    <s v="-"/>
    <n v="813.51599999999996"/>
    <s v="Completed"/>
    <s v="Settled"/>
    <x v="2"/>
  </r>
  <r>
    <n v="8631473616"/>
    <n v="2606"/>
    <n v="553.51400000000001"/>
    <n v="71.98"/>
    <n v="290.84399999999999"/>
    <n v="1966.5450000000001"/>
    <n v="1675.701"/>
    <n v="639.45499999999993"/>
    <n v="132.16"/>
    <n v="2170.6849999999999"/>
    <n v="-204.13999999999987"/>
    <s v="Return"/>
    <s v="Settled"/>
    <x v="9"/>
  </r>
  <r>
    <n v="8637117652"/>
    <n v="4579"/>
    <n v="1134.6759999999999"/>
    <n v="71.98"/>
    <n v="511.05200000000002"/>
    <n v="3347.8139999999999"/>
    <n v="2836.7619999999997"/>
    <n v="1231.1860000000001"/>
    <n v="197.06"/>
    <n v="3616.8539999999998"/>
    <n v="-269.03999999999996"/>
    <s v="Return"/>
    <s v="Settled"/>
    <x v="30"/>
  </r>
  <r>
    <n v="8623193877"/>
    <n v="2244"/>
    <n v="476.62599999999998"/>
    <n v="71.98"/>
    <n v="250.44800000000001"/>
    <n v="1683.3720000000001"/>
    <n v="1432.924"/>
    <n v="560.62799999999993"/>
    <n v="0"/>
    <s v="-"/>
    <n v="1683.3720000000001"/>
    <s v="Completed"/>
    <s v="Settled"/>
    <x v="1"/>
  </r>
  <r>
    <n v="8629976627"/>
    <n v="2629"/>
    <n v="651.46600000000001"/>
    <n v="71.98"/>
    <n v="293.41700000000003"/>
    <n v="1891.47"/>
    <n v="1598.0529999999999"/>
    <n v="737.53"/>
    <n v="0"/>
    <s v="-"/>
    <n v="1891.47"/>
    <s v="Completed"/>
    <s v="Settled"/>
    <x v="54"/>
  </r>
  <r>
    <n v="8614858315"/>
    <n v="2419"/>
    <n v="513.79600000000005"/>
    <n v="71.98"/>
    <n v="269.97899999999998"/>
    <n v="1820.2650000000001"/>
    <n v="1550.2860000000001"/>
    <n v="598.7349999999999"/>
    <n v="0"/>
    <s v="-"/>
    <n v="1820.2650000000001"/>
    <s v="Completed"/>
    <s v="Settled"/>
    <x v="43"/>
  </r>
  <r>
    <n v="8634524687"/>
    <n v="2926"/>
    <n v="621.48199999999997"/>
    <n v="71.98"/>
    <n v="326.56200000000001"/>
    <n v="2216.864"/>
    <n v="1890.3020000000001"/>
    <n v="709.13599999999997"/>
    <n v="0"/>
    <s v="-"/>
    <n v="2216.864"/>
    <s v="Completed"/>
    <s v="Settled"/>
    <x v="6"/>
  </r>
  <r>
    <n v="8636814714"/>
    <n v="3544"/>
    <n v="920.02200000000005"/>
    <n v="71.98"/>
    <n v="395.53100000000001"/>
    <n v="2533.0129999999999"/>
    <n v="2137.482"/>
    <n v="1010.9870000000001"/>
    <n v="197.06"/>
    <n v="2802.0529999999999"/>
    <n v="-269.03999999999996"/>
    <s v="Return"/>
    <s v="Settled"/>
    <x v="30"/>
  </r>
  <r>
    <n v="8629162385"/>
    <n v="2821"/>
    <n v="699.04399999999998"/>
    <n v="71.98"/>
    <n v="314.84399999999999"/>
    <n v="2034.8630000000001"/>
    <n v="1720.019"/>
    <n v="786.13699999999994"/>
    <n v="0"/>
    <s v="-"/>
    <n v="2034.8630000000001"/>
    <s v="Completed"/>
    <s v="Settled"/>
    <x v="34"/>
  </r>
  <r>
    <n v="8661193481"/>
    <n v="1079"/>
    <n v="267.37599999999998"/>
    <n v="53.1"/>
    <n v="120.417"/>
    <n v="752.74400000000003"/>
    <n v="632.327"/>
    <n v="326.25599999999997"/>
    <n v="107.38"/>
    <n v="913.22400000000005"/>
    <n v="-160.48000000000002"/>
    <s v="Return"/>
    <s v="Settled"/>
    <x v="70"/>
  </r>
  <r>
    <n v="8652565766"/>
    <n v="1794"/>
    <n v="486.892"/>
    <n v="53.1"/>
    <n v="200.22899999999998"/>
    <n v="1244.3969999999999"/>
    <n v="1044.1679999999999"/>
    <n v="549.60300000000007"/>
    <n v="107.38"/>
    <n v="1404.877"/>
    <n v="-160.48000000000002"/>
    <s v="Return"/>
    <s v="Settled"/>
    <x v="71"/>
  </r>
  <r>
    <n v="8624024901"/>
    <n v="2944"/>
    <n v="903.21900000000005"/>
    <n v="71.98"/>
    <n v="328.57299999999998"/>
    <n v="1953.029"/>
    <n v="1624.4560000000001"/>
    <n v="990.971"/>
    <n v="0"/>
    <s v="-"/>
    <n v="1953.029"/>
    <s v="Completed"/>
    <s v="Settled"/>
    <x v="59"/>
  </r>
  <r>
    <n v="8616771948"/>
    <n v="3169"/>
    <n v="785.279"/>
    <n v="71.97999999999999"/>
    <n v="353.68700000000001"/>
    <n v="2294.7640000000001"/>
    <n v="1941.0770000000002"/>
    <n v="874.23599999999988"/>
    <n v="197.06"/>
    <n v="2563.8040000000001"/>
    <n v="-269.03999999999996"/>
    <s v="Return"/>
    <s v="Settled"/>
    <x v="26"/>
  </r>
  <r>
    <n v="8636224352"/>
    <n v="1179"/>
    <n v="306.06799999999998"/>
    <n v="53.1"/>
    <n v="131.583"/>
    <n v="813.51599999999996"/>
    <n v="681.93299999999999"/>
    <n v="365.48400000000004"/>
    <n v="0"/>
    <s v="-"/>
    <n v="813.51599999999996"/>
    <s v="Completed"/>
    <s v="Settled"/>
    <x v="72"/>
  </r>
  <r>
    <n v="8632082388"/>
    <n v="4594"/>
    <n v="1301.021"/>
    <n v="71.98"/>
    <n v="512.71899999999994"/>
    <n v="3196.3879999999999"/>
    <n v="2683.6689999999999"/>
    <n v="1397.6120000000001"/>
    <n v="197.06"/>
    <n v="3465.4279999999999"/>
    <n v="-269.03999999999996"/>
    <s v="Return"/>
    <s v="Settled"/>
    <x v="9"/>
  </r>
  <r>
    <n v="8650648101"/>
    <n v="2794"/>
    <n v="692.35299999999995"/>
    <n v="71.98"/>
    <n v="311.83300000000003"/>
    <n v="2014.6990000000001"/>
    <n v="1702.866"/>
    <n v="779.30099999999993"/>
    <n v="0"/>
    <s v="-"/>
    <n v="2014.6990000000001"/>
    <s v="Completed"/>
    <s v="Settled"/>
    <x v="68"/>
  </r>
  <r>
    <n v="8618668909"/>
    <n v="1919"/>
    <n v="475.52800000000002"/>
    <n v="53.1"/>
    <n v="214.17700000000002"/>
    <n v="1380.0920000000001"/>
    <n v="1165.915"/>
    <n v="538.9079999999999"/>
    <n v="0"/>
    <s v="-"/>
    <n v="1380.0920000000001"/>
    <s v="Completed"/>
    <s v="Settled"/>
    <x v="1"/>
  </r>
  <r>
    <n v="8603486464"/>
    <n v="1054"/>
    <n v="273.61799999999999"/>
    <n v="53.1"/>
    <n v="117.625"/>
    <n v="721.63599999999997"/>
    <n v="604.01099999999997"/>
    <n v="332.36400000000003"/>
    <n v="0"/>
    <s v="-"/>
    <n v="721.63599999999997"/>
    <s v="Completed"/>
    <s v="Settled"/>
    <x v="63"/>
  </r>
  <r>
    <n v="8657028777"/>
    <n v="2834"/>
    <n v="702.26499999999999"/>
    <n v="71.98"/>
    <n v="316.29199999999997"/>
    <n v="2044.5730000000001"/>
    <n v="1728.2810000000002"/>
    <n v="789.42699999999991"/>
    <n v="0"/>
    <s v="-"/>
    <n v="2044.5730000000001"/>
    <s v="Completed"/>
    <s v="Settled"/>
    <x v="60"/>
  </r>
  <r>
    <n v="8635637442"/>
    <n v="2044"/>
    <n v="506.50299999999999"/>
    <n v="71.98"/>
    <n v="228.125"/>
    <n v="1454.567"/>
    <n v="1226.442"/>
    <n v="589.43299999999999"/>
    <n v="0"/>
    <s v="-"/>
    <n v="1454.567"/>
    <s v="Completed"/>
    <s v="Settled"/>
    <x v="6"/>
  </r>
  <r>
    <n v="8659204086"/>
    <n v="1079"/>
    <n v="280.108"/>
    <n v="53.1"/>
    <n v="120.42699999999999"/>
    <n v="740.01199999999994"/>
    <n v="619.58499999999992"/>
    <n v="338.98800000000006"/>
    <n v="197.06"/>
    <n v="990.17200000000003"/>
    <n v="-250.16000000000008"/>
    <s v="Return"/>
    <s v="Settled"/>
    <x v="73"/>
  </r>
  <r>
    <n v="8622201619"/>
    <n v="1819"/>
    <n v="536.60500000000002"/>
    <n v="53.1"/>
    <n v="203.011"/>
    <n v="1219.55"/>
    <n v="1016.539"/>
    <n v="599.45000000000005"/>
    <n v="197.06"/>
    <n v="1469.7099999999998"/>
    <n v="-250.15999999999985"/>
    <s v="Return"/>
    <s v="Settled"/>
    <x v="74"/>
  </r>
  <r>
    <n v="8632532798"/>
    <n v="2594"/>
    <n v="826.44799999999998"/>
    <n v="71.98"/>
    <n v="289.51"/>
    <n v="1681.6759999999999"/>
    <n v="1392.1659999999999"/>
    <n v="912.32400000000007"/>
    <n v="132.16"/>
    <n v="1885.816"/>
    <n v="-204.1400000000001"/>
    <s v="Return"/>
    <s v="Settled"/>
    <x v="9"/>
  </r>
  <r>
    <n v="8626412492"/>
    <n v="2419"/>
    <n v="513.79600000000005"/>
    <n v="71.98"/>
    <n v="269.97899999999998"/>
    <n v="1820.2650000000001"/>
    <n v="1550.2860000000001"/>
    <n v="598.7349999999999"/>
    <n v="197.06"/>
    <n v="2089.3050000000003"/>
    <n v="-269.04000000000019"/>
    <s v="Return"/>
    <s v="Settled"/>
    <x v="75"/>
  </r>
  <r>
    <n v="8628375004"/>
    <n v="3294"/>
    <n v="1049.4680000000001"/>
    <n v="71.98"/>
    <n v="367.63499999999999"/>
    <n v="2154.9059999999999"/>
    <n v="1787.271"/>
    <n v="1139.0940000000001"/>
    <n v="0"/>
    <s v="-"/>
    <n v="2154.9059999999999"/>
    <s v="Completed"/>
    <s v="Settled"/>
    <x v="76"/>
  </r>
  <r>
    <n v="8643430473"/>
    <n v="1919"/>
    <n v="520.81700000000001"/>
    <n v="53.1"/>
    <n v="214.167"/>
    <n v="1334.8030000000001"/>
    <n v="1120.6360000000002"/>
    <n v="584.19699999999989"/>
    <n v="0"/>
    <s v="-"/>
    <n v="1334.8030000000001"/>
    <s v="Completed"/>
    <s v="Settled"/>
    <x v="18"/>
  </r>
  <r>
    <n v="8634260648"/>
    <n v="150"/>
    <n v="17.7"/>
    <n v="31.86"/>
    <n v="7.8539999999999992"/>
    <n v="99.582999999999998"/>
    <n v="91.728999999999999"/>
    <n v="50.417000000000002"/>
    <n v="0"/>
    <s v="-"/>
    <n v="99.582999999999998"/>
    <s v="Completed"/>
    <s v="Settled"/>
    <x v="21"/>
  </r>
  <r>
    <n v="8647113461"/>
    <n v="3469.01"/>
    <n v="1105.2270000000001"/>
    <n v="71.98"/>
    <n v="387.16700000000003"/>
    <n v="2273.2190000000001"/>
    <n v="1886.0520000000001"/>
    <n v="1195.7910000000002"/>
    <n v="0"/>
    <s v="-"/>
    <n v="2273.2190000000001"/>
    <s v="Completed"/>
    <s v="Settled"/>
    <x v="17"/>
  </r>
  <r>
    <n v="8665279897"/>
    <n v="2994"/>
    <n v="741.91300000000001"/>
    <n v="71.98"/>
    <n v="334.14599999999996"/>
    <n v="2164.0680000000002"/>
    <n v="1829.9220000000003"/>
    <n v="829.93199999999979"/>
    <n v="0"/>
    <s v="-"/>
    <n v="2164.0680000000002"/>
    <s v="Completed"/>
    <s v="Settled"/>
    <x v="41"/>
  </r>
  <r>
    <n v="8622099781"/>
    <n v="2944"/>
    <n v="729.52300000000002"/>
    <n v="71.98"/>
    <n v="328.56299999999999"/>
    <n v="2126.7249999999999"/>
    <n v="1798.1619999999998"/>
    <n v="817.27500000000009"/>
    <n v="132.16"/>
    <n v="2330.8649999999998"/>
    <n v="-204.13999999999987"/>
    <s v="Return"/>
    <s v="Settled"/>
    <x v="52"/>
  </r>
  <r>
    <n v="8638232224"/>
    <n v="2419"/>
    <n v="599.428"/>
    <n v="71.98"/>
    <n v="269.97899999999998"/>
    <n v="1734.633"/>
    <n v="1464.654"/>
    <n v="684.36699999999996"/>
    <n v="132.16"/>
    <n v="1938.7730000000001"/>
    <n v="-204.1400000000001"/>
    <s v="Return"/>
    <s v="Settled"/>
    <x v="7"/>
  </r>
  <r>
    <n v="8615996506"/>
    <n v="1079"/>
    <n v="267.37599999999998"/>
    <n v="53.1"/>
    <n v="120.42699999999999"/>
    <n v="752.74400000000003"/>
    <n v="632.31700000000001"/>
    <n v="326.25599999999997"/>
    <n v="197.06"/>
    <n v="1002.904"/>
    <n v="-250.15999999999997"/>
    <s v="Return"/>
    <s v="Settled"/>
    <x v="51"/>
  </r>
  <r>
    <n v="8621926796"/>
    <n v="2474"/>
    <n v="642.25"/>
    <n v="71.98"/>
    <n v="276.11500000000001"/>
    <n v="1746.5160000000001"/>
    <n v="1470.4010000000001"/>
    <n v="727.48399999999992"/>
    <n v="197.06"/>
    <n v="2015.556"/>
    <n v="-269.03999999999996"/>
    <s v="Return"/>
    <s v="Settled"/>
    <x v="22"/>
  </r>
  <r>
    <n v="8648759871"/>
    <n v="3394"/>
    <n v="841.03300000000002"/>
    <n v="71.98"/>
    <n v="378.79199999999997"/>
    <n v="2462.8049999999998"/>
    <n v="2084.0129999999999"/>
    <n v="931.19500000000016"/>
    <n v="197.06"/>
    <n v="2731.8449999999998"/>
    <n v="-269.03999999999996"/>
    <s v="Return"/>
    <s v="Settled"/>
    <x v="3"/>
  </r>
  <r>
    <n v="8634912774"/>
    <n v="3294"/>
    <n v="1049.4680000000001"/>
    <n v="71.98"/>
    <n v="367.63499999999999"/>
    <n v="2154.9059999999999"/>
    <n v="1787.271"/>
    <n v="1139.0940000000001"/>
    <n v="197.06"/>
    <n v="2423.9459999999999"/>
    <n v="-269.03999999999996"/>
    <s v="Return"/>
    <s v="Settled"/>
    <x v="6"/>
  </r>
  <r>
    <n v="8613805161"/>
    <n v="2606"/>
    <n v="553.51400000000001"/>
    <n v="71.98"/>
    <n v="290.84399999999999"/>
    <n v="1966.5450000000001"/>
    <n v="1675.701"/>
    <n v="639.45499999999993"/>
    <n v="197.06"/>
    <n v="2235.585"/>
    <n v="-269.03999999999996"/>
    <s v="Return"/>
    <s v="Settled"/>
    <x v="77"/>
  </r>
  <r>
    <n v="8596386099"/>
    <n v="2606"/>
    <n v="553.51400000000001"/>
    <n v="71.98"/>
    <n v="290.84399999999999"/>
    <n v="1966.5450000000001"/>
    <n v="1675.701"/>
    <n v="639.45499999999993"/>
    <n v="0"/>
    <s v="-"/>
    <n v="1966.5450000000001"/>
    <s v="Completed"/>
    <s v="Settled"/>
    <x v="13"/>
  </r>
  <r>
    <n v="8642584889"/>
    <n v="2044"/>
    <n v="506.50299999999999"/>
    <n v="71.98"/>
    <n v="228.125"/>
    <n v="1454.567"/>
    <n v="1226.442"/>
    <n v="589.43299999999999"/>
    <n v="0"/>
    <s v="-"/>
    <n v="1454.567"/>
    <s v="Completed"/>
    <s v="Settled"/>
    <x v="40"/>
  </r>
  <r>
    <n v="8625651297"/>
    <n v="2994"/>
    <n v="635.92600000000004"/>
    <n v="71.98"/>
    <n v="334.15600000000001"/>
    <n v="2270.0549999999998"/>
    <n v="1935.8989999999999"/>
    <n v="723.94500000000016"/>
    <n v="197.06"/>
    <n v="2539.0949999999998"/>
    <n v="-269.03999999999996"/>
    <s v="Return"/>
    <s v="Settled"/>
    <x v="2"/>
  </r>
  <r>
    <n v="8642884331"/>
    <n v="2359"/>
    <n v="612.39599999999996"/>
    <n v="71.98"/>
    <n v="263.28100000000001"/>
    <n v="1661.9870000000001"/>
    <n v="1398.7060000000001"/>
    <n v="697.01299999999992"/>
    <n v="0"/>
    <s v="-"/>
    <n v="1661.9870000000001"/>
    <s v="Completed"/>
    <s v="Settled"/>
    <x v="18"/>
  </r>
  <r>
    <n v="8632319068"/>
    <n v="2324"/>
    <n v="493.61799999999999"/>
    <n v="71.98"/>
    <n v="259.375"/>
    <n v="1745.952"/>
    <n v="1486.577"/>
    <n v="578.048"/>
    <n v="0"/>
    <s v="-"/>
    <n v="1745.952"/>
    <s v="Completed"/>
    <s v="Settled"/>
    <x v="9"/>
  </r>
  <r>
    <n v="8622701191"/>
    <n v="2786"/>
    <n v="591.74599999999998"/>
    <n v="71.98"/>
    <n v="310.93799999999999"/>
    <n v="2107.348"/>
    <n v="1796.4099999999999"/>
    <n v="678.65200000000004"/>
    <n v="0"/>
    <s v="-"/>
    <n v="2107.348"/>
    <s v="Completed"/>
    <s v="Settled"/>
    <x v="1"/>
  </r>
  <r>
    <n v="8653424809"/>
    <n v="2344"/>
    <n v="608.50199999999995"/>
    <n v="71.98"/>
    <n v="261.60399999999998"/>
    <n v="1650.961"/>
    <n v="1389.357"/>
    <n v="693.03899999999999"/>
    <n v="107.38"/>
    <n v="1830.3209999999999"/>
    <n v="-179.3599999999999"/>
    <s v="Return"/>
    <s v="Settled"/>
    <x v="16"/>
  </r>
  <r>
    <n v="8594583529"/>
    <n v="3294"/>
    <n v="1049.4680000000001"/>
    <n v="71.98"/>
    <n v="367.63499999999999"/>
    <n v="2154.9059999999999"/>
    <n v="1787.271"/>
    <n v="1139.0940000000001"/>
    <n v="0"/>
    <s v="-"/>
    <n v="2154.9059999999999"/>
    <s v="Completed"/>
    <s v="Settled"/>
    <x v="15"/>
  </r>
  <r>
    <n v="8629218604"/>
    <n v="2719"/>
    <n v="673.76800000000003"/>
    <n v="71.98"/>
    <n v="303.45799999999997"/>
    <n v="1958.6859999999999"/>
    <n v="1655.2280000000001"/>
    <n v="760.31400000000008"/>
    <n v="197.06"/>
    <n v="2227.7260000000001"/>
    <n v="-269.04000000000019"/>
    <s v="Return"/>
    <s v="Settled"/>
    <x v="34"/>
  </r>
  <r>
    <n v="8612022945"/>
    <n v="2944"/>
    <n v="729.52300000000002"/>
    <n v="71.98"/>
    <n v="328.57299999999998"/>
    <n v="2126.7249999999999"/>
    <n v="1798.152"/>
    <n v="817.27500000000009"/>
    <n v="197.06"/>
    <n v="2395.7649999999999"/>
    <n v="-269.03999999999996"/>
    <s v="Return"/>
    <s v="Settled"/>
    <x v="35"/>
  </r>
  <r>
    <n v="8622272769"/>
    <n v="2493.98"/>
    <n v="765.154"/>
    <n v="71.97999999999999"/>
    <n v="278.34399999999999"/>
    <n v="1643.4849999999999"/>
    <n v="1365.1409999999998"/>
    <n v="850.49500000000012"/>
    <n v="0"/>
    <s v="-"/>
    <n v="1643.4849999999999"/>
    <s v="Completed"/>
    <s v="Settled"/>
    <x v="74"/>
  </r>
  <r>
    <n v="8628844817"/>
    <n v="1079"/>
    <n v="267.37599999999998"/>
    <n v="53.1"/>
    <n v="120.417"/>
    <n v="752.74400000000003"/>
    <n v="632.327"/>
    <n v="326.25599999999997"/>
    <n v="0"/>
    <s v="-"/>
    <n v="752.74400000000003"/>
    <s v="Completed"/>
    <s v="Settled"/>
    <x v="65"/>
  </r>
  <r>
    <n v="8650825318"/>
    <n v="2594"/>
    <n v="642.79300000000001"/>
    <n v="71.98"/>
    <n v="289.51"/>
    <n v="1865.3309999999999"/>
    <n v="1575.8209999999999"/>
    <n v="728.6690000000001"/>
    <n v="197.06"/>
    <n v="2134.3710000000001"/>
    <n v="-269.04000000000019"/>
    <s v="Return"/>
    <s v="Settled"/>
    <x v="68"/>
  </r>
  <r>
    <n v="8619132751"/>
    <n v="3394"/>
    <n v="841.03300000000002"/>
    <n v="71.98"/>
    <n v="378.79199999999997"/>
    <n v="2462.8049999999998"/>
    <n v="2084.0129999999999"/>
    <n v="931.19500000000016"/>
    <n v="0"/>
    <s v="-"/>
    <n v="2462.8049999999998"/>
    <s v="Completed"/>
    <s v="Settled"/>
    <x v="27"/>
  </r>
  <r>
    <n v="8598520386"/>
    <n v="3544"/>
    <n v="920.02200000000005"/>
    <n v="71.98"/>
    <n v="395.53100000000001"/>
    <n v="2533.0129999999999"/>
    <n v="2137.482"/>
    <n v="1010.9870000000001"/>
    <n v="0"/>
    <s v="-"/>
    <n v="2533.0129999999999"/>
    <s v="Completed"/>
    <s v="Settled"/>
    <x v="13"/>
  </r>
  <r>
    <n v="8640221165"/>
    <n v="4594"/>
    <n v="1409.4390000000001"/>
    <n v="71.98"/>
    <n v="512.72900000000004"/>
    <n v="3087.97"/>
    <n v="2575.241"/>
    <n v="1506.0300000000002"/>
    <n v="0"/>
    <s v="-"/>
    <n v="3087.97"/>
    <s v="Completed"/>
    <s v="Settled"/>
    <x v="19"/>
  </r>
  <r>
    <n v="8638580090"/>
    <n v="2769"/>
    <n v="686.15800000000002"/>
    <n v="71.98"/>
    <n v="309.04200000000003"/>
    <n v="1996.028"/>
    <n v="1686.9859999999999"/>
    <n v="772.97199999999998"/>
    <n v="0"/>
    <s v="-"/>
    <n v="1996.028"/>
    <s v="Completed"/>
    <s v="Settled"/>
    <x v="7"/>
  </r>
  <r>
    <n v="8614786485"/>
    <n v="2994"/>
    <n v="635.92600000000004"/>
    <n v="71.97999999999999"/>
    <n v="334.15600000000001"/>
    <n v="2270.0549999999998"/>
    <n v="1935.8989999999999"/>
    <n v="723.94500000000016"/>
    <n v="0"/>
    <s v="-"/>
    <n v="2270.0549999999998"/>
    <s v="Completed"/>
    <s v="Settled"/>
    <x v="10"/>
  </r>
  <r>
    <n v="8650143286"/>
    <n v="3294"/>
    <n v="1049.4690000000001"/>
    <n v="71.98"/>
    <n v="367.63499999999999"/>
    <n v="2154.9050000000002"/>
    <n v="1787.2700000000002"/>
    <n v="1139.0949999999998"/>
    <n v="0"/>
    <s v="-"/>
    <n v="2154.9050000000002"/>
    <s v="Completed"/>
    <s v="Settled"/>
    <x v="37"/>
  </r>
  <r>
    <n v="8655246903"/>
    <n v="1919"/>
    <n v="430.24"/>
    <n v="53.1"/>
    <n v="214.17700000000002"/>
    <n v="1425.38"/>
    <n v="1211.203"/>
    <n v="493.61999999999989"/>
    <n v="0"/>
    <s v="-"/>
    <n v="1425.38"/>
    <s v="Completed"/>
    <s v="Settled"/>
    <x v="16"/>
  </r>
  <r>
    <n v="8642965422"/>
    <n v="2556"/>
    <n v="633.37699999999995"/>
    <n v="71.98"/>
    <n v="285.27100000000002"/>
    <n v="1836.95"/>
    <n v="1551.6790000000001"/>
    <n v="719.05"/>
    <n v="0"/>
    <s v="-"/>
    <n v="1836.95"/>
    <s v="Completed"/>
    <s v="Settled"/>
    <x v="18"/>
  </r>
  <r>
    <n v="8649864856"/>
    <n v="3294"/>
    <n v="1049.4680000000001"/>
    <n v="71.98"/>
    <n v="367.63499999999999"/>
    <n v="2154.9059999999999"/>
    <n v="1787.271"/>
    <n v="1139.0940000000001"/>
    <n v="197.06"/>
    <n v="2423.9459999999999"/>
    <n v="-269.03999999999996"/>
    <s v="Return"/>
    <s v="Settled"/>
    <x v="78"/>
  </r>
  <r>
    <n v="8657183923"/>
    <n v="2994"/>
    <n v="741.91300000000001"/>
    <n v="71.98"/>
    <n v="334.15600000000001"/>
    <n v="2164.0680000000002"/>
    <n v="1829.9120000000003"/>
    <n v="829.93199999999979"/>
    <n v="0"/>
    <s v="-"/>
    <n v="2164.0680000000002"/>
    <s v="Completed"/>
    <s v="Settled"/>
    <x v="60"/>
  </r>
  <r>
    <n v="8630036288"/>
    <n v="954"/>
    <n v="258.916"/>
    <n v="31.86"/>
    <n v="49.972999999999999"/>
    <n v="657.77200000000005"/>
    <n v="607.79900000000009"/>
    <n v="296.22799999999995"/>
    <n v="0"/>
    <s v="-"/>
    <n v="657.77200000000005"/>
    <s v="Completed"/>
    <s v="Settled"/>
    <x v="54"/>
  </r>
  <r>
    <n v="8617829141"/>
    <n v="3294"/>
    <n v="1049.4680000000001"/>
    <n v="71.98"/>
    <n v="367.63499999999999"/>
    <n v="2154.9059999999999"/>
    <n v="1787.271"/>
    <n v="1139.0940000000001"/>
    <n v="132.16"/>
    <n v="2359.0459999999998"/>
    <n v="-204.13999999999987"/>
    <s v="Return"/>
    <s v="Settled"/>
    <x v="1"/>
  </r>
  <r>
    <n v="8624683466"/>
    <n v="2719"/>
    <n v="673.76800000000003"/>
    <n v="71.98"/>
    <n v="303.45799999999997"/>
    <n v="1958.6859999999999"/>
    <n v="1655.2280000000001"/>
    <n v="760.31400000000008"/>
    <n v="107.38"/>
    <n v="2138.0459999999998"/>
    <n v="-179.3599999999999"/>
    <s v="Return"/>
    <s v="Settled"/>
    <x v="46"/>
  </r>
  <r>
    <n v="8635171830"/>
    <n v="3056"/>
    <n v="649.09400000000005"/>
    <n v="71.97999999999999"/>
    <n v="341.06299999999999"/>
    <n v="2318.5540000000001"/>
    <n v="1977.491"/>
    <n v="737.44599999999991"/>
    <n v="132.16"/>
    <n v="2522.694"/>
    <n v="-204.13999999999987"/>
    <s v="Return"/>
    <s v="Settled"/>
    <x v="6"/>
  </r>
  <r>
    <n v="8613771637"/>
    <n v="4594"/>
    <n v="1301.021"/>
    <n v="71.98"/>
    <n v="512.71899999999994"/>
    <n v="3196.3879999999999"/>
    <n v="2683.6689999999999"/>
    <n v="1397.6120000000001"/>
    <n v="197.06"/>
    <n v="3465.4279999999999"/>
    <n v="-269.03999999999996"/>
    <s v="Return"/>
    <s v="Settled"/>
    <x v="77"/>
  </r>
  <r>
    <n v="8624909764"/>
    <n v="1109"/>
    <n v="248.63800000000001"/>
    <n v="53.1"/>
    <n v="123.77099999999999"/>
    <n v="801.32100000000003"/>
    <n v="677.55000000000007"/>
    <n v="307.67899999999997"/>
    <n v="0"/>
    <s v="-"/>
    <n v="801.32100000000003"/>
    <s v="Completed"/>
    <s v="Settled"/>
    <x v="46"/>
  </r>
  <r>
    <n v="8642873485"/>
    <n v="729"/>
    <n v="215.05500000000001"/>
    <n v="31.86"/>
    <n v="38.180999999999997"/>
    <n v="477.92"/>
    <n v="439.73900000000003"/>
    <n v="251.07999999999998"/>
    <n v="0"/>
    <s v="-"/>
    <n v="477.92"/>
    <s v="Completed"/>
    <s v="Settled"/>
    <x v="18"/>
  </r>
  <r>
    <n v="8622999029"/>
    <n v="2606"/>
    <n v="645.76700000000005"/>
    <n v="71.98"/>
    <n v="290.84399999999999"/>
    <n v="1874.2919999999999"/>
    <n v="1583.4479999999999"/>
    <n v="731.70800000000008"/>
    <n v="132.16"/>
    <n v="2078.4319999999998"/>
    <n v="-204.13999999999987"/>
    <s v="Return"/>
    <s v="Settled"/>
    <x v="1"/>
  </r>
  <r>
    <n v="8658713369"/>
    <n v="3644"/>
    <n v="1160.9780000000001"/>
    <n v="71.98"/>
    <n v="406.68799999999999"/>
    <n v="2391.52"/>
    <n v="1984.8319999999999"/>
    <n v="1252.48"/>
    <n v="107.38"/>
    <n v="2570.88"/>
    <n v="-179.36000000000013"/>
    <s v="Return"/>
    <s v="Settled"/>
    <x v="32"/>
  </r>
  <r>
    <n v="8627097597"/>
    <n v="3594"/>
    <n v="1102.6389999999999"/>
    <n v="71.98"/>
    <n v="401.11500000000001"/>
    <n v="2400.127"/>
    <n v="1999.0119999999999"/>
    <n v="1193.873"/>
    <n v="197.06"/>
    <n v="2669.1669999999999"/>
    <n v="-269.03999999999996"/>
    <s v="Return"/>
    <s v="Settled"/>
    <x v="67"/>
  </r>
  <r>
    <n v="8647895633"/>
    <n v="2768.99"/>
    <n v="588.13300000000004"/>
    <n v="71.98"/>
    <n v="309.04200000000003"/>
    <n v="2094.0430000000001"/>
    <n v="1785.0010000000002"/>
    <n v="674.94699999999966"/>
    <n v="132.16"/>
    <n v="2298.183"/>
    <n v="-204.13999999999987"/>
    <s v="Return"/>
    <s v="Settled"/>
    <x v="17"/>
  </r>
  <r>
    <n v="8652499305"/>
    <n v="2344"/>
    <n v="746.798"/>
    <n v="71.98"/>
    <n v="261.60399999999998"/>
    <n v="1512.665"/>
    <n v="1251.0609999999999"/>
    <n v="831.33500000000004"/>
    <n v="107.38"/>
    <n v="1692.0250000000001"/>
    <n v="-179.36000000000013"/>
    <s v="Return"/>
    <s v="Settled"/>
    <x v="71"/>
  </r>
  <r>
    <n v="8641175399"/>
    <n v="2419"/>
    <n v="513.79600000000005"/>
    <n v="71.98"/>
    <n v="269.97899999999998"/>
    <n v="1820.2650000000001"/>
    <n v="1550.2860000000001"/>
    <n v="598.7349999999999"/>
    <n v="0"/>
    <s v="-"/>
    <n v="1820.2650000000001"/>
    <s v="Completed"/>
    <s v="Settled"/>
    <x v="14"/>
  </r>
  <r>
    <n v="8639253705"/>
    <n v="2944"/>
    <n v="729.52300000000002"/>
    <n v="71.98"/>
    <n v="328.57299999999998"/>
    <n v="2126.7249999999999"/>
    <n v="1798.152"/>
    <n v="817.27500000000009"/>
    <n v="197.06"/>
    <n v="2395.7649999999999"/>
    <n v="-269.03999999999996"/>
    <s v="Return"/>
    <s v="Settled"/>
    <x v="36"/>
  </r>
  <r>
    <n v="8642965423"/>
    <n v="2769"/>
    <n v="686.15800000000002"/>
    <n v="71.98"/>
    <n v="309.04200000000003"/>
    <n v="1996.028"/>
    <n v="1686.9859999999999"/>
    <n v="772.97199999999998"/>
    <n v="0"/>
    <s v="-"/>
    <n v="1996.028"/>
    <s v="Completed"/>
    <s v="Settled"/>
    <x v="18"/>
  </r>
  <r>
    <n v="8648630547"/>
    <n v="3994"/>
    <n v="1272.4880000000001"/>
    <n v="71.98"/>
    <n v="445.76100000000002"/>
    <n v="2628.1350000000002"/>
    <n v="2182.3740000000003"/>
    <n v="1365.8649999999998"/>
    <n v="0"/>
    <s v="-"/>
    <n v="2628.1350000000002"/>
    <s v="Completed"/>
    <s v="Settled"/>
    <x v="79"/>
  </r>
  <r>
    <n v="8616941569"/>
    <n v="2494"/>
    <n v="794.58799999999997"/>
    <n v="71.98"/>
    <n v="278.34399999999999"/>
    <n v="1614.0709999999999"/>
    <n v="1335.7269999999999"/>
    <n v="879.92900000000009"/>
    <n v="197.06"/>
    <n v="1883.1109999999999"/>
    <n v="-269.03999999999996"/>
    <s v="Return"/>
    <s v="Settled"/>
    <x v="80"/>
  </r>
  <r>
    <n v="8656641164"/>
    <n v="2994"/>
    <n v="741.91300000000001"/>
    <n v="71.98"/>
    <n v="334.15600000000001"/>
    <n v="2164.0680000000002"/>
    <n v="1829.9120000000003"/>
    <n v="829.93199999999979"/>
    <n v="0"/>
    <s v="-"/>
    <n v="2164.0680000000002"/>
    <s v="Completed"/>
    <s v="Settled"/>
    <x v="60"/>
  </r>
  <r>
    <n v="8640417637"/>
    <n v="3194"/>
    <n v="791.47299999999996"/>
    <n v="71.98"/>
    <n v="356.46899999999999"/>
    <n v="2313.4360000000001"/>
    <n v="1956.9670000000001"/>
    <n v="880.56399999999985"/>
    <n v="197.06"/>
    <n v="2582.4760000000001"/>
    <n v="-269.03999999999996"/>
    <s v="Return"/>
    <s v="Settled"/>
    <x v="19"/>
  </r>
  <r>
    <n v="8637571130"/>
    <n v="3619"/>
    <n v="896.78800000000001"/>
    <n v="71.98"/>
    <n v="403.90600000000001"/>
    <n v="2630.8449999999998"/>
    <n v="2226.9389999999999"/>
    <n v="988.1550000000002"/>
    <n v="197.06"/>
    <n v="2899.8849999999998"/>
    <n v="-269.03999999999996"/>
    <s v="Return"/>
    <s v="Settled"/>
    <x v="8"/>
  </r>
  <r>
    <n v="8618096250"/>
    <n v="1066"/>
    <n v="276.73399999999998"/>
    <n v="53.1"/>
    <n v="118.96899999999999"/>
    <n v="730.45500000000004"/>
    <n v="611.4860000000001"/>
    <n v="335.54499999999996"/>
    <n v="0"/>
    <s v="-"/>
    <n v="730.45500000000004"/>
    <s v="Completed"/>
    <s v="Settled"/>
    <x v="27"/>
  </r>
  <r>
    <n v="8626206228"/>
    <n v="2981"/>
    <n v="738.69200000000001"/>
    <n v="71.98"/>
    <n v="332.69799999999998"/>
    <n v="2154.3580000000002"/>
    <n v="1821.6600000000003"/>
    <n v="826.64199999999983"/>
    <n v="0"/>
    <s v="-"/>
    <n v="2154.3580000000002"/>
    <s v="Completed"/>
    <s v="Settled"/>
    <x v="23"/>
  </r>
  <r>
    <n v="8639701061"/>
    <n v="3194"/>
    <n v="791.47299999999996"/>
    <n v="71.98"/>
    <n v="356.47900000000004"/>
    <n v="2313.4360000000001"/>
    <n v="1956.9570000000001"/>
    <n v="880.56399999999985"/>
    <n v="0"/>
    <s v="-"/>
    <n v="2313.4360000000001"/>
    <s v="Completed"/>
    <s v="Settled"/>
    <x v="44"/>
  </r>
  <r>
    <n v="8644828432"/>
    <n v="3194"/>
    <n v="791.47299999999996"/>
    <n v="71.98"/>
    <n v="356.46899999999999"/>
    <n v="2313.4360000000001"/>
    <n v="1956.9670000000001"/>
    <n v="880.56399999999985"/>
    <n v="0"/>
    <s v="-"/>
    <n v="2313.4360000000001"/>
    <s v="Completed"/>
    <s v="Settled"/>
    <x v="57"/>
  </r>
  <r>
    <n v="8639764517"/>
    <n v="2981"/>
    <n v="738.69200000000001"/>
    <n v="71.98"/>
    <n v="332.69799999999998"/>
    <n v="2154.3580000000002"/>
    <n v="1821.6600000000003"/>
    <n v="826.64199999999983"/>
    <n v="132.16"/>
    <n v="2358.498"/>
    <n v="-204.13999999999987"/>
    <s v="Return"/>
    <s v="Settled"/>
    <x v="44"/>
  </r>
  <r>
    <n v="8631678076"/>
    <n v="2419"/>
    <n v="513.79600000000005"/>
    <n v="71.98"/>
    <n v="269.97899999999998"/>
    <n v="1820.2660000000001"/>
    <n v="1550.287"/>
    <n v="598.73399999999992"/>
    <n v="0"/>
    <s v="-"/>
    <n v="1820.2660000000001"/>
    <s v="Completed"/>
    <s v="Settled"/>
    <x v="9"/>
  </r>
  <r>
    <n v="8640576578"/>
    <n v="3194"/>
    <n v="791.47299999999996"/>
    <n v="71.98"/>
    <n v="356.46899999999999"/>
    <n v="2313.4360000000001"/>
    <n v="1956.9670000000001"/>
    <n v="880.56399999999985"/>
    <n v="0"/>
    <s v="-"/>
    <n v="2313.4360000000001"/>
    <s v="Completed"/>
    <s v="Settled"/>
    <x v="19"/>
  </r>
  <r>
    <n v="8633202707"/>
    <n v="2606"/>
    <n v="553.51400000000001"/>
    <n v="71.98"/>
    <n v="290.84399999999999"/>
    <n v="1966.5450000000001"/>
    <n v="1675.701"/>
    <n v="639.45499999999993"/>
    <n v="0"/>
    <s v="-"/>
    <n v="1966.5450000000001"/>
    <s v="Completed"/>
    <s v="Settled"/>
    <x v="81"/>
  </r>
  <r>
    <n v="8613337691"/>
    <n v="3544"/>
    <n v="920.02200000000005"/>
    <n v="71.98"/>
    <n v="395.53100000000001"/>
    <n v="2533.0129999999999"/>
    <n v="2137.482"/>
    <n v="1010.9870000000001"/>
    <n v="0"/>
    <s v="-"/>
    <n v="2533.0129999999999"/>
    <s v="Completed"/>
    <s v="Settled"/>
    <x v="45"/>
  </r>
  <r>
    <n v="8631713530"/>
    <n v="2719"/>
    <n v="705.85199999999998"/>
    <n v="71.98"/>
    <n v="303.45799999999997"/>
    <n v="1926.6020000000001"/>
    <n v="1623.1440000000002"/>
    <n v="792.39799999999991"/>
    <n v="0"/>
    <s v="-"/>
    <n v="1926.6020000000001"/>
    <s v="Completed"/>
    <s v="Settled"/>
    <x v="9"/>
  </r>
  <r>
    <n v="8656567847"/>
    <n v="2344"/>
    <n v="608.50199999999995"/>
    <n v="71.98"/>
    <n v="261.60399999999998"/>
    <n v="1650.961"/>
    <n v="1389.357"/>
    <n v="693.03899999999999"/>
    <n v="0"/>
    <s v="-"/>
    <n v="1650.961"/>
    <s v="Completed"/>
    <s v="Settled"/>
    <x v="60"/>
  </r>
  <r>
    <n v="8643130128"/>
    <n v="2719"/>
    <n v="705.85199999999998"/>
    <n v="71.98"/>
    <n v="303.45799999999997"/>
    <n v="1926.6020000000001"/>
    <n v="1623.1440000000002"/>
    <n v="792.39799999999991"/>
    <n v="0"/>
    <s v="-"/>
    <n v="1926.6020000000001"/>
    <s v="Completed"/>
    <s v="Settled"/>
    <x v="18"/>
  </r>
  <r>
    <n v="8635414105"/>
    <n v="3274"/>
    <n v="695.39800000000002"/>
    <n v="71.98"/>
    <n v="365.39599999999996"/>
    <n v="2489.0830000000001"/>
    <n v="2123.6869999999999"/>
    <n v="784.91699999999992"/>
    <n v="107.38"/>
    <n v="2668.4430000000002"/>
    <n v="-179.36000000000013"/>
    <s v="Return"/>
    <s v="Settled"/>
    <x v="6"/>
  </r>
  <r>
    <n v="8645076729"/>
    <n v="3274"/>
    <n v="695.39800000000002"/>
    <n v="71.98"/>
    <n v="365.40600000000001"/>
    <n v="2489.0830000000001"/>
    <n v="2123.6770000000001"/>
    <n v="784.91699999999992"/>
    <n v="0"/>
    <s v="-"/>
    <n v="2489.0830000000001"/>
    <s v="Completed"/>
    <s v="Settled"/>
    <x v="57"/>
  </r>
  <r>
    <n v="8615659103"/>
    <n v="2556"/>
    <n v="663.53800000000001"/>
    <n v="71.98"/>
    <n v="285.27100000000002"/>
    <n v="1806.789"/>
    <n v="1521.518"/>
    <n v="749.21100000000001"/>
    <n v="197.06"/>
    <n v="2075.8290000000002"/>
    <n v="-269.04000000000019"/>
    <s v="Return"/>
    <s v="Settled"/>
    <x v="51"/>
  </r>
  <r>
    <n v="8657127242"/>
    <n v="1794"/>
    <n v="465.72300000000001"/>
    <n v="53.1"/>
    <n v="200.21899999999999"/>
    <n v="1265.566"/>
    <n v="1065.347"/>
    <n v="528.43399999999997"/>
    <n v="132.16"/>
    <n v="1450.826"/>
    <n v="-185.26"/>
    <s v="Return"/>
    <s v="Settled"/>
    <x v="60"/>
  </r>
  <r>
    <n v="8624711194"/>
    <n v="2494"/>
    <n v="765.15899999999999"/>
    <n v="71.98"/>
    <n v="278.34399999999999"/>
    <n v="1643.5"/>
    <n v="1365.1559999999999"/>
    <n v="850.5"/>
    <n v="0"/>
    <s v="-"/>
    <n v="1643.5"/>
    <s v="Completed"/>
    <s v="Settled"/>
    <x v="46"/>
  </r>
  <r>
    <n v="8623225789"/>
    <n v="3844"/>
    <n v="952.54300000000001"/>
    <n v="71.98"/>
    <n v="429.02100000000002"/>
    <n v="2798.884"/>
    <n v="2369.8629999999998"/>
    <n v="1045.116"/>
    <n v="197.06"/>
    <n v="3067.924"/>
    <n v="-269.03999999999996"/>
    <s v="Return"/>
    <s v="Settled"/>
    <x v="1"/>
  </r>
  <r>
    <n v="8629194974"/>
    <n v="1429"/>
    <n v="421.55500000000001"/>
    <n v="53.1"/>
    <n v="159.489"/>
    <n v="946.69"/>
    <n v="787.20100000000002"/>
    <n v="482.30999999999995"/>
    <n v="197.06"/>
    <n v="1196.8500000000001"/>
    <n v="-250.16000000000008"/>
    <s v="Return"/>
    <s v="Settled"/>
    <x v="34"/>
  </r>
  <r>
    <n v="8630654919"/>
    <n v="2044"/>
    <n v="506.50299999999999"/>
    <n v="71.98"/>
    <n v="228.125"/>
    <n v="1454.567"/>
    <n v="1226.442"/>
    <n v="589.43299999999999"/>
    <n v="0"/>
    <s v="-"/>
    <n v="1454.567"/>
    <s v="Completed"/>
    <s v="Settled"/>
    <x v="9"/>
  </r>
  <r>
    <n v="8626971555"/>
    <n v="1079"/>
    <n v="267.37599999999998"/>
    <n v="53.1"/>
    <n v="120.42699999999999"/>
    <n v="752.74400000000003"/>
    <n v="632.31700000000001"/>
    <n v="326.25599999999997"/>
    <n v="197.06"/>
    <n v="1002.904"/>
    <n v="-250.15999999999997"/>
    <s v="Return"/>
    <s v="Settled"/>
    <x v="67"/>
  </r>
  <r>
    <n v="8641458109"/>
    <n v="1179.01"/>
    <n v="306.07100000000003"/>
    <n v="53.099999999999994"/>
    <n v="131.584"/>
    <n v="813.52200000000005"/>
    <n v="681.9380000000001"/>
    <n v="365.48799999999994"/>
    <n v="0"/>
    <s v="-"/>
    <n v="813.52200000000005"/>
    <s v="Completed"/>
    <s v="Settled"/>
    <x v="14"/>
  </r>
  <r>
    <n v="8638752799"/>
    <n v="3274"/>
    <n v="695.39800000000002"/>
    <n v="71.98"/>
    <n v="365.40600000000001"/>
    <n v="2489.0830000000001"/>
    <n v="2123.6770000000001"/>
    <n v="784.91699999999992"/>
    <n v="197.06"/>
    <n v="2758.123"/>
    <n v="-269.03999999999996"/>
    <s v="Return"/>
    <s v="Settled"/>
    <x v="82"/>
  </r>
  <r>
    <n v="8649750336"/>
    <n v="2419"/>
    <n v="770.69299999999998"/>
    <n v="71.98"/>
    <n v="269.97899999999998"/>
    <n v="1563.3679999999999"/>
    <n v="1293.3889999999999"/>
    <n v="855.63200000000006"/>
    <n v="197.06"/>
    <n v="1832.4079999999999"/>
    <n v="-269.03999999999996"/>
    <s v="Return"/>
    <s v="Settled"/>
    <x v="83"/>
  </r>
  <r>
    <n v="8655200769"/>
    <n v="2419"/>
    <n v="513.79600000000005"/>
    <n v="71.98"/>
    <n v="269.97899999999998"/>
    <n v="1820.2650000000001"/>
    <n v="1550.2860000000001"/>
    <n v="598.7349999999999"/>
    <n v="132.16"/>
    <n v="2024.4050000000002"/>
    <n v="-204.1400000000001"/>
    <s v="Return"/>
    <s v="Settled"/>
    <x v="16"/>
  </r>
  <r>
    <n v="8646617700"/>
    <n v="3056"/>
    <n v="649.09400000000005"/>
    <n v="71.98"/>
    <n v="341.07299999999998"/>
    <n v="2318.5540000000001"/>
    <n v="1977.4810000000002"/>
    <n v="737.44599999999991"/>
    <n v="197.06"/>
    <n v="2587.5940000000001"/>
    <n v="-269.03999999999996"/>
    <s v="Return"/>
    <s v="Settled"/>
    <x v="17"/>
  </r>
  <r>
    <n v="8625548146"/>
    <n v="1704"/>
    <n v="382.03699999999998"/>
    <n v="53.1"/>
    <n v="190.17699999999999"/>
    <n v="1259.7349999999999"/>
    <n v="1069.558"/>
    <n v="444.2650000000001"/>
    <n v="132.16"/>
    <n v="1444.9949999999999"/>
    <n v="-185.26"/>
    <s v="Return"/>
    <s v="Settled"/>
    <x v="2"/>
  </r>
  <r>
    <n v="8630231099"/>
    <n v="3169"/>
    <n v="822.67200000000003"/>
    <n v="71.98"/>
    <n v="353.68700000000001"/>
    <n v="2257.3719999999998"/>
    <n v="1903.6849999999999"/>
    <n v="911.62800000000016"/>
    <n v="0"/>
    <s v="-"/>
    <n v="2257.3719999999998"/>
    <s v="Completed"/>
    <s v="Settled"/>
    <x v="84"/>
  </r>
  <r>
    <n v="8660566214"/>
    <n v="3194"/>
    <n v="829.16200000000003"/>
    <n v="71.98"/>
    <n v="356.46899999999999"/>
    <n v="2275.7469999999998"/>
    <n v="1919.2779999999998"/>
    <n v="918.25300000000016"/>
    <n v="197.06"/>
    <n v="2544.7869999999998"/>
    <n v="-269.03999999999996"/>
    <s v="Return"/>
    <s v="Settled"/>
    <x v="48"/>
  </r>
  <r>
    <n v="8626239043"/>
    <n v="2769"/>
    <n v="588.13599999999997"/>
    <n v="71.98"/>
    <n v="309.04200000000003"/>
    <n v="2094.0500000000002"/>
    <n v="1785.0080000000003"/>
    <n v="674.94999999999982"/>
    <n v="107.38"/>
    <n v="2273.4100000000003"/>
    <n v="-179.36000000000013"/>
    <s v="Return"/>
    <s v="Settled"/>
    <x v="23"/>
  </r>
  <r>
    <n v="8649151095"/>
    <n v="2994"/>
    <n v="777.24199999999996"/>
    <n v="71.98"/>
    <n v="334.15600000000001"/>
    <n v="2128.739"/>
    <n v="1794.5830000000001"/>
    <n v="865.26099999999997"/>
    <n v="0"/>
    <s v="-"/>
    <n v="2128.739"/>
    <s v="Completed"/>
    <s v="Settled"/>
    <x v="3"/>
  </r>
  <r>
    <n v="8639335995"/>
    <n v="1204"/>
    <n v="312.55799999999999"/>
    <n v="53.099999999999994"/>
    <n v="134.375"/>
    <n v="831.89200000000005"/>
    <n v="697.51700000000005"/>
    <n v="372.10799999999995"/>
    <n v="197.06"/>
    <n v="1082.0520000000001"/>
    <n v="-250.16000000000008"/>
    <s v="Return"/>
    <s v="Settled"/>
    <x v="44"/>
  </r>
  <r>
    <n v="8642584741"/>
    <n v="1079"/>
    <n v="267.37599999999998"/>
    <n v="53.1"/>
    <n v="120.42699999999999"/>
    <n v="752.74400000000003"/>
    <n v="632.31700000000001"/>
    <n v="326.25599999999997"/>
    <n v="132.16"/>
    <n v="938.00400000000002"/>
    <n v="-185.26"/>
    <s v="Return"/>
    <s v="Settled"/>
    <x v="40"/>
  </r>
  <r>
    <n v="8658171088"/>
    <n v="1135"/>
    <n v="294.64600000000002"/>
    <n v="53.1"/>
    <n v="126.67699999999999"/>
    <n v="781.17399999999998"/>
    <n v="654.49699999999996"/>
    <n v="353.82600000000002"/>
    <n v="0"/>
    <s v="-"/>
    <n v="781.17399999999998"/>
    <s v="Completed"/>
    <s v="Settled"/>
    <x v="32"/>
  </r>
  <r>
    <n v="8657990645"/>
    <n v="2994"/>
    <n v="777.24199999999996"/>
    <n v="71.98"/>
    <n v="334.15600000000001"/>
    <n v="2128.739"/>
    <n v="1794.5830000000001"/>
    <n v="865.26099999999997"/>
    <n v="197.06"/>
    <n v="2397.779"/>
    <n v="-269.03999999999996"/>
    <s v="Return"/>
    <s v="Settled"/>
    <x v="32"/>
  </r>
  <r>
    <n v="8650725377"/>
    <n v="2419"/>
    <n v="513.79600000000005"/>
    <n v="71.98"/>
    <n v="269.97899999999998"/>
    <n v="1820.2650000000001"/>
    <n v="1550.2860000000001"/>
    <n v="598.7349999999999"/>
    <n v="0"/>
    <s v="-"/>
    <n v="1820.2650000000001"/>
    <s v="Completed"/>
    <s v="Settled"/>
    <x v="68"/>
  </r>
  <r>
    <n v="8643967266"/>
    <n v="4594"/>
    <n v="1301.021"/>
    <n v="71.98"/>
    <n v="512.71899999999994"/>
    <n v="3196.3879999999999"/>
    <n v="2683.6689999999999"/>
    <n v="1397.6120000000001"/>
    <n v="132.16"/>
    <n v="3400.5279999999998"/>
    <n v="-204.13999999999987"/>
    <s v="Return"/>
    <s v="Settled"/>
    <x v="18"/>
  </r>
  <r>
    <n v="8653075542"/>
    <n v="1079"/>
    <n v="267.37599999999998"/>
    <n v="53.1"/>
    <n v="120.42699999999999"/>
    <n v="752.74400000000003"/>
    <n v="632.31700000000001"/>
    <n v="326.25599999999997"/>
    <n v="0"/>
    <s v="-"/>
    <n v="752.74400000000003"/>
    <s v="Completed"/>
    <s v="Settled"/>
    <x v="16"/>
  </r>
  <r>
    <n v="8644294847"/>
    <n v="2944"/>
    <n v="729.52300000000002"/>
    <n v="71.98"/>
    <n v="328.57299999999998"/>
    <n v="2126.7249999999999"/>
    <n v="1798.152"/>
    <n v="817.27500000000009"/>
    <n v="0"/>
    <s v="-"/>
    <n v="2126.7249999999999"/>
    <s v="Completed"/>
    <s v="Settled"/>
    <x v="53"/>
  </r>
  <r>
    <n v="8621653964"/>
    <n v="3169"/>
    <n v="673.096"/>
    <n v="71.98"/>
    <n v="353.68700000000001"/>
    <n v="2406.9479999999999"/>
    <n v="2053.261"/>
    <n v="762.05200000000013"/>
    <n v="0"/>
    <s v="-"/>
    <n v="2406.9479999999999"/>
    <s v="Completed"/>
    <s v="Settled"/>
    <x v="22"/>
  </r>
  <r>
    <n v="8594510488"/>
    <n v="2944"/>
    <n v="729.52300000000002"/>
    <n v="71.98"/>
    <n v="328.57299999999998"/>
    <n v="2126.7249999999999"/>
    <n v="1798.152"/>
    <n v="817.27500000000009"/>
    <n v="0"/>
    <s v="-"/>
    <n v="2126.7249999999999"/>
    <s v="Completed"/>
    <s v="Settled"/>
    <x v="15"/>
  </r>
  <r>
    <n v="8615408852"/>
    <n v="2719"/>
    <n v="673.76800000000003"/>
    <n v="71.98"/>
    <n v="303.45799999999997"/>
    <n v="1958.6859999999999"/>
    <n v="1655.2280000000001"/>
    <n v="760.31400000000008"/>
    <n v="0"/>
    <s v="-"/>
    <n v="1958.6859999999999"/>
    <s v="Completed"/>
    <s v="Settled"/>
    <x v="24"/>
  </r>
  <r>
    <n v="8636288291"/>
    <n v="3024"/>
    <n v="749.34699999999998"/>
    <n v="71.98"/>
    <n v="337.5"/>
    <n v="2186.473"/>
    <n v="1848.973"/>
    <n v="837.52700000000004"/>
    <n v="0"/>
    <s v="-"/>
    <n v="2186.473"/>
    <s v="Completed"/>
    <s v="Settled"/>
    <x v="85"/>
  </r>
  <r>
    <n v="8621952556"/>
    <n v="2719"/>
    <n v="673.76800000000003"/>
    <n v="71.98"/>
    <n v="303.45799999999997"/>
    <n v="1958.6859999999999"/>
    <n v="1655.2280000000001"/>
    <n v="760.31400000000008"/>
    <n v="0"/>
    <s v="-"/>
    <n v="1958.6859999999999"/>
    <s v="Completed"/>
    <s v="Settled"/>
    <x v="1"/>
  </r>
  <r>
    <n v="8617657782"/>
    <n v="2944"/>
    <n v="729.52300000000002"/>
    <n v="71.98"/>
    <n v="328.56299999999999"/>
    <n v="2126.7249999999999"/>
    <n v="1798.1619999999998"/>
    <n v="817.27500000000009"/>
    <n v="0"/>
    <s v="-"/>
    <n v="2126.7249999999999"/>
    <s v="Completed"/>
    <s v="Settled"/>
    <x v="1"/>
  </r>
  <r>
    <n v="8658003073"/>
    <n v="2419"/>
    <n v="513.79600000000005"/>
    <n v="71.98"/>
    <n v="269.97899999999998"/>
    <n v="1820.2650000000001"/>
    <n v="1550.2860000000001"/>
    <n v="598.7349999999999"/>
    <n v="0"/>
    <s v="-"/>
    <n v="1820.2650000000001"/>
    <s v="Completed"/>
    <s v="Settled"/>
    <x v="32"/>
  </r>
  <r>
    <n v="8637335371"/>
    <n v="3994"/>
    <n v="1272.4880000000001"/>
    <n v="71.98"/>
    <n v="445.76"/>
    <n v="2628.136"/>
    <n v="2182.3760000000002"/>
    <n v="1365.864"/>
    <n v="197.06"/>
    <n v="2897.1759999999999"/>
    <n v="-269.03999999999996"/>
    <s v="Return"/>
    <s v="Settled"/>
    <x v="58"/>
  </r>
  <r>
    <n v="8636867538"/>
    <n v="2194"/>
    <n v="466.00599999999997"/>
    <n v="71.98"/>
    <n v="244.86499999999998"/>
    <n v="1644.26"/>
    <n v="1399.395"/>
    <n v="549.74"/>
    <n v="0"/>
    <s v="-"/>
    <n v="1644.26"/>
    <s v="Completed"/>
    <s v="Settled"/>
    <x v="30"/>
  </r>
  <r>
    <n v="8645334629"/>
    <n v="3294"/>
    <n v="1049.4680000000001"/>
    <n v="71.98"/>
    <n v="367.63499999999999"/>
    <n v="2154.9059999999999"/>
    <n v="1787.271"/>
    <n v="1139.0940000000001"/>
    <n v="197.06"/>
    <n v="2423.9459999999999"/>
    <n v="-269.03999999999996"/>
    <s v="Return"/>
    <s v="Settled"/>
    <x v="57"/>
  </r>
  <r>
    <n v="8634990032"/>
    <n v="2944"/>
    <n v="937.95799999999997"/>
    <n v="71.98"/>
    <n v="328.57299999999998"/>
    <n v="1918.29"/>
    <n v="1589.7170000000001"/>
    <n v="1025.71"/>
    <n v="0"/>
    <s v="-"/>
    <n v="1918.29"/>
    <s v="Completed"/>
    <s v="Settled"/>
    <x v="6"/>
  </r>
  <r>
    <n v="8616196476"/>
    <n v="3394"/>
    <n v="841.03300000000002"/>
    <n v="71.98"/>
    <n v="378.79199999999997"/>
    <n v="2462.8049999999998"/>
    <n v="2084.0129999999999"/>
    <n v="931.19500000000016"/>
    <n v="197.06"/>
    <n v="2731.8449999999998"/>
    <n v="-269.03999999999996"/>
    <s v="Return"/>
    <s v="Settled"/>
    <x v="51"/>
  </r>
  <r>
    <n v="8649077969"/>
    <n v="2994"/>
    <n v="777.24199999999996"/>
    <n v="71.98"/>
    <n v="334.15600000000001"/>
    <n v="2128.739"/>
    <n v="1794.5830000000001"/>
    <n v="865.26099999999997"/>
    <n v="0"/>
    <s v="-"/>
    <n v="2128.739"/>
    <s v="Completed"/>
    <s v="Settled"/>
    <x v="3"/>
  </r>
  <r>
    <n v="8653183954"/>
    <n v="2644"/>
    <n v="561.58600000000001"/>
    <n v="71.98"/>
    <n v="295.09399999999999"/>
    <n v="1996.269"/>
    <n v="1701.175"/>
    <n v="647.73099999999999"/>
    <n v="0"/>
    <s v="-"/>
    <n v="1996.269"/>
    <s v="Completed"/>
    <s v="Settled"/>
    <x v="16"/>
  </r>
  <r>
    <n v="8626935106"/>
    <n v="2944"/>
    <n v="729.52300000000002"/>
    <n v="71.98"/>
    <n v="328.57299999999998"/>
    <n v="2126.7249999999999"/>
    <n v="1798.152"/>
    <n v="817.27500000000009"/>
    <n v="132.16"/>
    <n v="2330.8649999999998"/>
    <n v="-204.13999999999987"/>
    <s v="Return"/>
    <s v="Settled"/>
    <x v="67"/>
  </r>
  <r>
    <n v="8612608577"/>
    <n v="3844"/>
    <n v="952.54399999999998"/>
    <n v="71.98"/>
    <n v="429.02100000000002"/>
    <n v="2798.8829999999998"/>
    <n v="2369.8619999999996"/>
    <n v="1045.1170000000002"/>
    <n v="0"/>
    <s v="-"/>
    <n v="2798.8829999999998"/>
    <s v="Completed"/>
    <s v="Settled"/>
    <x v="45"/>
  </r>
  <r>
    <n v="8641770468"/>
    <n v="1594"/>
    <n v="470.23"/>
    <n v="53.1"/>
    <n v="177.90600000000001"/>
    <n v="1062.1310000000001"/>
    <n v="884.22500000000014"/>
    <n v="531.86899999999991"/>
    <n v="197.06"/>
    <n v="1312.2909999999999"/>
    <n v="-250.15999999999985"/>
    <s v="Return"/>
    <s v="Settled"/>
    <x v="14"/>
  </r>
  <r>
    <n v="8653144719"/>
    <n v="2593.98"/>
    <n v="550.96100000000001"/>
    <n v="71.98"/>
    <n v="289.51"/>
    <n v="1957.143"/>
    <n v="1667.633"/>
    <n v="636.83699999999999"/>
    <n v="0"/>
    <s v="-"/>
    <n v="1957.143"/>
    <s v="Completed"/>
    <s v="Settled"/>
    <x v="16"/>
  </r>
  <r>
    <n v="8646141427"/>
    <n v="1994"/>
    <n v="541.17200000000003"/>
    <n v="53.1"/>
    <n v="222.54199999999997"/>
    <n v="1389.046"/>
    <n v="1166.5040000000001"/>
    <n v="604.95399999999995"/>
    <n v="0"/>
    <s v="-"/>
    <n v="1389.046"/>
    <s v="Completed"/>
    <s v="Settled"/>
    <x v="50"/>
  </r>
  <r>
    <n v="8618007109"/>
    <n v="3294"/>
    <n v="1049.4680000000001"/>
    <n v="71.98"/>
    <n v="367.63499999999999"/>
    <n v="2154.9059999999999"/>
    <n v="1787.271"/>
    <n v="1139.0940000000001"/>
    <n v="132.16"/>
    <n v="2359.0459999999998"/>
    <n v="-204.13999999999987"/>
    <s v="Return"/>
    <s v="Settled"/>
    <x v="1"/>
  </r>
  <r>
    <n v="8620565101"/>
    <n v="3169"/>
    <n v="822.67200000000003"/>
    <n v="71.98"/>
    <n v="353.68700000000001"/>
    <n v="2257.3719999999998"/>
    <n v="1903.6849999999999"/>
    <n v="911.62800000000016"/>
    <n v="107.38"/>
    <n v="2436.732"/>
    <n v="-179.36000000000013"/>
    <s v="Return"/>
    <s v="Settled"/>
    <x v="22"/>
  </r>
  <r>
    <n v="8623259829"/>
    <n v="3294"/>
    <n v="1049.4680000000001"/>
    <n v="71.98"/>
    <n v="367.63499999999999"/>
    <n v="2154.9059999999999"/>
    <n v="1787.271"/>
    <n v="1139.0940000000001"/>
    <n v="0"/>
    <s v="-"/>
    <n v="2154.9059999999999"/>
    <s v="Completed"/>
    <s v="Settled"/>
    <x v="1"/>
  </r>
  <r>
    <n v="8640576575"/>
    <n v="2769"/>
    <n v="686.15800000000002"/>
    <n v="71.98"/>
    <n v="309.04200000000003"/>
    <n v="1996.028"/>
    <n v="1686.9859999999999"/>
    <n v="772.97199999999998"/>
    <n v="197.06"/>
    <n v="2265.0679999999998"/>
    <n v="-269.03999999999974"/>
    <s v="Return"/>
    <s v="Settled"/>
    <x v="19"/>
  </r>
  <r>
    <n v="8621921134"/>
    <n v="3169"/>
    <n v="785.27800000000002"/>
    <n v="71.98"/>
    <n v="353.68700000000001"/>
    <n v="2294.7660000000001"/>
    <n v="1941.0790000000002"/>
    <n v="874.23399999999992"/>
    <n v="0"/>
    <s v="-"/>
    <n v="2294.7660000000001"/>
    <s v="Completed"/>
    <s v="Settled"/>
    <x v="86"/>
  </r>
  <r>
    <n v="8658000528"/>
    <n v="2719"/>
    <n v="673.76800000000003"/>
    <n v="71.98"/>
    <n v="303.45799999999997"/>
    <n v="1958.6859999999999"/>
    <n v="1655.2280000000001"/>
    <n v="760.31400000000008"/>
    <n v="0"/>
    <s v="-"/>
    <n v="1958.6859999999999"/>
    <s v="Completed"/>
    <s v="Settled"/>
    <x v="32"/>
  </r>
  <r>
    <n v="8620149668"/>
    <n v="1704"/>
    <n v="382.03699999999998"/>
    <n v="53.1"/>
    <n v="190.18700000000001"/>
    <n v="1259.7349999999999"/>
    <n v="1069.5479999999998"/>
    <n v="444.2650000000001"/>
    <n v="107.38"/>
    <n v="1420.2149999999997"/>
    <n v="-160.47999999999979"/>
    <s v="Return"/>
    <s v="Settled"/>
    <x v="22"/>
  </r>
  <r>
    <n v="8614145438"/>
    <n v="1954"/>
    <n v="438.08699999999999"/>
    <n v="53.1"/>
    <n v="218.08300000000003"/>
    <n v="1452.345"/>
    <n v="1234.2619999999999"/>
    <n v="501.65499999999997"/>
    <n v="0"/>
    <s v="-"/>
    <n v="1452.345"/>
    <s v="Completed"/>
    <s v="Settled"/>
    <x v="10"/>
  </r>
  <r>
    <n v="8632124182"/>
    <n v="2719"/>
    <n v="673.76800000000003"/>
    <n v="71.98"/>
    <n v="303.45799999999997"/>
    <n v="1958.6859999999999"/>
    <n v="1655.2280000000001"/>
    <n v="760.31400000000008"/>
    <n v="0"/>
    <s v="-"/>
    <n v="1958.6859999999999"/>
    <s v="Completed"/>
    <s v="Settled"/>
    <x v="9"/>
  </r>
  <r>
    <n v="8611739283"/>
    <n v="2944"/>
    <n v="729.52300000000002"/>
    <n v="71.98"/>
    <n v="328.57299999999998"/>
    <n v="2126.7249999999999"/>
    <n v="1798.152"/>
    <n v="817.27500000000009"/>
    <n v="0"/>
    <s v="-"/>
    <n v="2126.7249999999999"/>
    <s v="Completed"/>
    <s v="Settled"/>
    <x v="55"/>
  </r>
  <r>
    <n v="8613861450"/>
    <n v="2606"/>
    <n v="553.51400000000001"/>
    <n v="71.98"/>
    <n v="290.84399999999999"/>
    <n v="1966.5450000000001"/>
    <n v="1675.701"/>
    <n v="639.45499999999993"/>
    <n v="197.06"/>
    <n v="2235.585"/>
    <n v="-269.03999999999996"/>
    <s v="Return"/>
    <s v="Settled"/>
    <x v="77"/>
  </r>
  <r>
    <n v="8623616712"/>
    <n v="656"/>
    <n v="178.03800000000001"/>
    <n v="31.86"/>
    <n v="34.363999999999997"/>
    <n v="442.35300000000001"/>
    <n v="407.98900000000003"/>
    <n v="213.64699999999999"/>
    <n v="107.38"/>
    <n v="581.59300000000007"/>
    <n v="-139.24000000000007"/>
    <s v="Return"/>
    <s v="Settled"/>
    <x v="11"/>
  </r>
  <r>
    <n v="8644827450"/>
    <n v="3194"/>
    <n v="791.47299999999996"/>
    <n v="71.98"/>
    <n v="356.46899999999999"/>
    <n v="2313.4360000000001"/>
    <n v="1956.9670000000001"/>
    <n v="880.56399999999985"/>
    <n v="197.06"/>
    <n v="2582.4760000000001"/>
    <n v="-269.03999999999996"/>
    <s v="Return"/>
    <s v="Settled"/>
    <x v="57"/>
  </r>
  <r>
    <n v="8630677968"/>
    <n v="3169"/>
    <n v="822.67200000000003"/>
    <n v="71.98"/>
    <n v="353.68700000000001"/>
    <n v="2257.3719999999998"/>
    <n v="1903.6849999999999"/>
    <n v="911.62800000000016"/>
    <n v="197.06"/>
    <n v="2526.4119999999998"/>
    <n v="-269.03999999999996"/>
    <s v="Return"/>
    <s v="Settled"/>
    <x v="9"/>
  </r>
  <r>
    <n v="8641995562"/>
    <n v="3274"/>
    <n v="695.39800000000002"/>
    <n v="71.98"/>
    <n v="365.40600000000001"/>
    <n v="2489.0830000000001"/>
    <n v="2123.6770000000001"/>
    <n v="784.91699999999992"/>
    <n v="197.06"/>
    <n v="2758.123"/>
    <n v="-269.03999999999996"/>
    <s v="Return"/>
    <s v="Settled"/>
    <x v="14"/>
  </r>
  <r>
    <n v="8612636946"/>
    <n v="1079"/>
    <n v="267.37599999999998"/>
    <n v="53.1"/>
    <n v="120.42699999999999"/>
    <n v="752.74400000000003"/>
    <n v="632.31700000000001"/>
    <n v="326.25599999999997"/>
    <n v="132.16"/>
    <n v="938.00400000000002"/>
    <n v="-185.26"/>
    <s v="Return"/>
    <s v="Settled"/>
    <x v="45"/>
  </r>
  <r>
    <n v="8612316630"/>
    <n v="3994"/>
    <n v="1272.4880000000001"/>
    <n v="71.98"/>
    <n v="445.76"/>
    <n v="2628.136"/>
    <n v="2182.3760000000002"/>
    <n v="1365.864"/>
    <n v="197.06"/>
    <n v="2897.1759999999999"/>
    <n v="-269.03999999999996"/>
    <s v="Return"/>
    <s v="Settled"/>
    <x v="35"/>
  </r>
  <r>
    <n v="8625453494"/>
    <n v="2244"/>
    <n v="476.62599999999998"/>
    <n v="71.98"/>
    <n v="250.44800000000001"/>
    <n v="1683.3720000000001"/>
    <n v="1432.924"/>
    <n v="560.62799999999993"/>
    <n v="0"/>
    <s v="-"/>
    <n v="1683.3720000000001"/>
    <s v="Completed"/>
    <s v="Settled"/>
    <x v="2"/>
  </r>
  <r>
    <n v="8635172599"/>
    <n v="500"/>
    <n v="135.69999999999999"/>
    <n v="31.86"/>
    <n v="26.190999999999999"/>
    <n v="329.58300000000003"/>
    <n v="303.39200000000005"/>
    <n v="170.41699999999997"/>
    <n v="0"/>
    <s v="-"/>
    <n v="329.58300000000003"/>
    <s v="Completed"/>
    <s v="Settled"/>
    <x v="6"/>
  </r>
  <r>
    <n v="8643430474"/>
    <n v="1629"/>
    <n v="422.88799999999998"/>
    <n v="53.1"/>
    <n v="181.81199999999998"/>
    <n v="1144.2860000000001"/>
    <n v="962.47400000000005"/>
    <n v="484.71399999999994"/>
    <n v="107.38"/>
    <n v="1304.7660000000001"/>
    <n v="-160.48000000000002"/>
    <s v="Return"/>
    <s v="Settled"/>
    <x v="18"/>
  </r>
  <r>
    <n v="8629057586"/>
    <n v="2981"/>
    <n v="738.69200000000001"/>
    <n v="71.98"/>
    <n v="332.69799999999998"/>
    <n v="2154.3580000000002"/>
    <n v="1821.6600000000003"/>
    <n v="826.64199999999983"/>
    <n v="132.16"/>
    <n v="2358.498"/>
    <n v="-204.13999999999987"/>
    <s v="Return"/>
    <s v="Settled"/>
    <x v="34"/>
  </r>
  <r>
    <n v="8662683431"/>
    <n v="1229"/>
    <n v="275.54199999999997"/>
    <n v="53.1"/>
    <n v="137.167"/>
    <n v="893.774"/>
    <n v="756.60699999999997"/>
    <n v="335.226"/>
    <n v="0"/>
    <s v="-"/>
    <n v="893.774"/>
    <s v="Completed"/>
    <s v="Settled"/>
    <x v="42"/>
  </r>
  <r>
    <n v="8620565102"/>
    <n v="3169"/>
    <n v="822.67200000000003"/>
    <n v="71.98"/>
    <n v="353.68700000000001"/>
    <n v="2257.3719999999998"/>
    <n v="1903.6849999999999"/>
    <n v="911.62800000000016"/>
    <n v="0"/>
    <s v="-"/>
    <n v="2257.3719999999998"/>
    <s v="Completed"/>
    <s v="Settled"/>
    <x v="22"/>
  </r>
  <r>
    <n v="8622022828"/>
    <n v="3169"/>
    <n v="822.67200000000003"/>
    <n v="71.98"/>
    <n v="353.68700000000001"/>
    <n v="2257.3719999999998"/>
    <n v="1903.6849999999999"/>
    <n v="911.62800000000016"/>
    <n v="107.38"/>
    <n v="2436.732"/>
    <n v="-179.36000000000013"/>
    <s v="Return"/>
    <s v="Settled"/>
    <x v="52"/>
  </r>
  <r>
    <n v="8632189754"/>
    <n v="2089"/>
    <n v="542.30399999999997"/>
    <n v="71.98"/>
    <n v="233.14599999999999"/>
    <n v="1463.5250000000001"/>
    <n v="1230.3790000000001"/>
    <n v="625.47499999999991"/>
    <n v="0"/>
    <s v="-"/>
    <n v="1463.5250000000001"/>
    <s v="Completed"/>
    <s v="Settled"/>
    <x v="9"/>
  </r>
  <r>
    <n v="8626914564"/>
    <n v="1629"/>
    <n v="403.666"/>
    <n v="53.1"/>
    <n v="181.81199999999998"/>
    <n v="1163.508"/>
    <n v="981.69600000000003"/>
    <n v="465.49199999999996"/>
    <n v="0"/>
    <s v="-"/>
    <n v="1163.508"/>
    <s v="Completed"/>
    <s v="Settled"/>
    <x v="67"/>
  </r>
  <r>
    <n v="8636814713"/>
    <n v="3544"/>
    <n v="920.02200000000005"/>
    <n v="71.98"/>
    <n v="395.53100000000001"/>
    <n v="2533.0129999999999"/>
    <n v="2137.482"/>
    <n v="1010.9870000000001"/>
    <n v="197.06"/>
    <n v="2802.0529999999999"/>
    <n v="-269.03999999999996"/>
    <s v="Return"/>
    <s v="Settled"/>
    <x v="30"/>
  </r>
  <r>
    <n v="8599574787"/>
    <n v="1594.01"/>
    <n v="394.99599999999998"/>
    <n v="53.1"/>
    <n v="177.90600000000001"/>
    <n v="1137.375"/>
    <n v="959.46900000000005"/>
    <n v="456.63499999999999"/>
    <n v="0"/>
    <s v="-"/>
    <n v="1137.375"/>
    <s v="Completed"/>
    <s v="Settled"/>
    <x v="87"/>
  </r>
  <r>
    <n v="8616438555"/>
    <n v="2794"/>
    <n v="692.35299999999995"/>
    <n v="71.98"/>
    <n v="311.83300000000003"/>
    <n v="2014.6990000000001"/>
    <n v="1702.866"/>
    <n v="779.30099999999993"/>
    <n v="0"/>
    <s v="-"/>
    <n v="2014.6990000000001"/>
    <s v="Completed"/>
    <s v="Settled"/>
    <x v="12"/>
  </r>
  <r>
    <n v="8614328413"/>
    <n v="1454"/>
    <n v="325.98700000000002"/>
    <n v="53.1"/>
    <n v="162.28100000000001"/>
    <n v="1067.124"/>
    <n v="904.84300000000007"/>
    <n v="386.87599999999998"/>
    <n v="132.16"/>
    <n v="1252.384"/>
    <n v="-185.26"/>
    <s v="Return"/>
    <s v="Settled"/>
    <x v="10"/>
  </r>
  <r>
    <n v="8620040748"/>
    <n v="2606"/>
    <n v="553.51400000000001"/>
    <n v="71.98"/>
    <n v="290.84399999999999"/>
    <n v="1966.5450000000001"/>
    <n v="1675.701"/>
    <n v="639.45499999999993"/>
    <n v="132.16"/>
    <n v="2170.6849999999999"/>
    <n v="-204.13999999999987"/>
    <s v="Return"/>
    <s v="Settled"/>
    <x v="22"/>
  </r>
  <r>
    <n v="8612072167"/>
    <n v="2426"/>
    <n v="601.16300000000001"/>
    <n v="71.98"/>
    <n v="270.76"/>
    <n v="1739.8610000000001"/>
    <n v="1469.1010000000001"/>
    <n v="686.1389999999999"/>
    <n v="0"/>
    <s v="-"/>
    <n v="1739.8610000000001"/>
    <s v="Completed"/>
    <s v="Settled"/>
    <x v="35"/>
  </r>
  <r>
    <n v="8646062383"/>
    <n v="2156"/>
    <n v="457.93400000000003"/>
    <n v="71.98"/>
    <n v="240.625"/>
    <n v="1614.5360000000001"/>
    <n v="1373.9110000000001"/>
    <n v="541.46399999999994"/>
    <n v="0"/>
    <s v="-"/>
    <n v="1614.5360000000001"/>
    <s v="Completed"/>
    <s v="Settled"/>
    <x v="50"/>
  </r>
  <r>
    <n v="8615996505"/>
    <n v="2606"/>
    <n v="553.51400000000001"/>
    <n v="71.98"/>
    <n v="290.84399999999999"/>
    <n v="1966.5450000000001"/>
    <n v="1675.701"/>
    <n v="639.45499999999993"/>
    <n v="0"/>
    <s v="-"/>
    <n v="1966.5450000000001"/>
    <s v="Completed"/>
    <s v="Settled"/>
    <x v="51"/>
  </r>
  <r>
    <n v="8650311281"/>
    <n v="3644"/>
    <n v="1160.9780000000001"/>
    <n v="71.98"/>
    <n v="406.69799999999998"/>
    <n v="2391.52"/>
    <n v="1984.8220000000001"/>
    <n v="1252.48"/>
    <n v="0"/>
    <s v="-"/>
    <n v="2391.52"/>
    <s v="Completed"/>
    <s v="Settled"/>
    <x v="37"/>
  </r>
  <r>
    <n v="8614721402"/>
    <n v="2294"/>
    <n v="730.86800000000005"/>
    <n v="71.98"/>
    <n v="256.03100000000001"/>
    <n v="1478.8630000000001"/>
    <n v="1222.8320000000001"/>
    <n v="815.13699999999994"/>
    <n v="0"/>
    <s v="-"/>
    <n v="1478.8630000000001"/>
    <s v="Completed"/>
    <s v="Settled"/>
    <x v="10"/>
  </r>
  <r>
    <n v="8627479783"/>
    <n v="2494"/>
    <n v="647.44200000000001"/>
    <n v="71.98"/>
    <n v="278.34399999999999"/>
    <n v="1761.2170000000001"/>
    <n v="1482.873"/>
    <n v="732.7829999999999"/>
    <n v="0"/>
    <s v="-"/>
    <n v="1761.2170000000001"/>
    <s v="Completed"/>
    <s v="Settled"/>
    <x v="67"/>
  </r>
  <r>
    <n v="8654426480"/>
    <n v="2594"/>
    <n v="550.96600000000001"/>
    <n v="71.98"/>
    <n v="289.51"/>
    <n v="1957.1579999999999"/>
    <n v="1667.6479999999999"/>
    <n v="636.8420000000001"/>
    <n v="0"/>
    <s v="-"/>
    <n v="1957.1579999999999"/>
    <s v="Completed"/>
    <s v="Settled"/>
    <x v="16"/>
  </r>
  <r>
    <n v="8625377329"/>
    <n v="1999"/>
    <n v="448.17599999999999"/>
    <n v="53.1"/>
    <n v="223.10400000000001"/>
    <n v="1487.0150000000001"/>
    <n v="1263.9110000000001"/>
    <n v="511.9849999999999"/>
    <n v="0"/>
    <s v="-"/>
    <n v="1487.0150000000001"/>
    <s v="Completed"/>
    <s v="Settled"/>
    <x v="2"/>
  </r>
  <r>
    <n v="8615334103"/>
    <n v="1079"/>
    <n v="267.37599999999998"/>
    <n v="53.1"/>
    <n v="120.42699999999999"/>
    <n v="752.74400000000003"/>
    <n v="632.31700000000001"/>
    <n v="326.25599999999997"/>
    <n v="197.06"/>
    <n v="1002.904"/>
    <n v="-250.15999999999997"/>
    <s v="Return"/>
    <s v="Settled"/>
    <x v="24"/>
  </r>
  <r>
    <n v="8640417638"/>
    <n v="2769"/>
    <n v="686.15800000000002"/>
    <n v="71.98"/>
    <n v="309.04200000000003"/>
    <n v="1996.028"/>
    <n v="1686.9859999999999"/>
    <n v="772.97199999999998"/>
    <n v="197.06"/>
    <n v="2265.0679999999998"/>
    <n v="-269.03999999999974"/>
    <s v="Return"/>
    <s v="Settled"/>
    <x v="19"/>
  </r>
  <r>
    <n v="8655175667"/>
    <n v="3294"/>
    <n v="1049.4680000000001"/>
    <n v="71.98"/>
    <n v="367.63499999999999"/>
    <n v="2154.9059999999999"/>
    <n v="1787.271"/>
    <n v="1139.0940000000001"/>
    <n v="0"/>
    <s v="-"/>
    <n v="2154.9059999999999"/>
    <s v="Completed"/>
    <s v="Settled"/>
    <x v="16"/>
  </r>
  <r>
    <n v="8613337698"/>
    <n v="3544"/>
    <n v="920.02200000000005"/>
    <n v="71.98"/>
    <n v="395.53100000000001"/>
    <n v="2533.0129999999999"/>
    <n v="2137.482"/>
    <n v="1010.9870000000001"/>
    <n v="0"/>
    <s v="-"/>
    <n v="2533.0129999999999"/>
    <s v="Completed"/>
    <s v="Settled"/>
    <x v="45"/>
  </r>
  <r>
    <n v="8613337694"/>
    <n v="3544"/>
    <n v="920.02200000000005"/>
    <n v="71.98"/>
    <n v="395.53100000000001"/>
    <n v="2533.0129999999999"/>
    <n v="2137.482"/>
    <n v="1010.9870000000001"/>
    <n v="0"/>
    <s v="-"/>
    <n v="2533.0129999999999"/>
    <s v="Completed"/>
    <s v="Settled"/>
    <x v="45"/>
  </r>
  <r>
    <n v="8628968104"/>
    <n v="2620"/>
    <n v="649.23599999999999"/>
    <n v="71.98"/>
    <n v="292.40600000000001"/>
    <n v="1884.749"/>
    <n v="1592.3430000000001"/>
    <n v="735.25099999999998"/>
    <n v="0"/>
    <s v="-"/>
    <n v="1884.749"/>
    <s v="Completed"/>
    <s v="Settled"/>
    <x v="65"/>
  </r>
  <r>
    <n v="8631478326"/>
    <n v="150"/>
    <n v="17.7"/>
    <n v="31.86"/>
    <n v="7.8539999999999992"/>
    <n v="99.582999999999998"/>
    <n v="91.728999999999999"/>
    <n v="50.417000000000002"/>
    <n v="0"/>
    <s v="-"/>
    <n v="99.582999999999998"/>
    <s v="Completed"/>
    <s v="Settled"/>
    <x v="9"/>
  </r>
  <r>
    <n v="8645072481"/>
    <n v="2629"/>
    <n v="651.46600000000001"/>
    <n v="71.98"/>
    <n v="293.41700000000003"/>
    <n v="1891.47"/>
    <n v="1598.0529999999999"/>
    <n v="737.53"/>
    <n v="0"/>
    <s v="-"/>
    <n v="1891.47"/>
    <s v="Completed"/>
    <s v="Settled"/>
    <x v="57"/>
  </r>
  <r>
    <n v="8626971554"/>
    <n v="2419"/>
    <n v="599.428"/>
    <n v="71.98"/>
    <n v="269.97899999999998"/>
    <n v="1734.633"/>
    <n v="1464.654"/>
    <n v="684.36699999999996"/>
    <n v="0"/>
    <s v="-"/>
    <n v="1734.633"/>
    <s v="Completed"/>
    <s v="Settled"/>
    <x v="67"/>
  </r>
  <r>
    <n v="8640796782"/>
    <n v="1516"/>
    <n v="393.55399999999997"/>
    <n v="53.1"/>
    <n v="169.19800000000001"/>
    <n v="1061.2239999999999"/>
    <n v="892.02599999999995"/>
    <n v="454.77600000000007"/>
    <n v="0"/>
    <s v="-"/>
    <n v="1061.2239999999999"/>
    <s v="Completed"/>
    <s v="Settled"/>
    <x v="14"/>
  </r>
  <r>
    <n v="8636543222"/>
    <n v="2794"/>
    <n v="692.35299999999995"/>
    <n v="71.98"/>
    <n v="311.83300000000003"/>
    <n v="2014.6990000000001"/>
    <n v="1702.866"/>
    <n v="779.30099999999993"/>
    <n v="0"/>
    <s v="-"/>
    <n v="2014.6990000000001"/>
    <s v="Completed"/>
    <s v="Settled"/>
    <x v="56"/>
  </r>
  <r>
    <n v="8612799933"/>
    <n v="3644"/>
    <n v="945.98199999999997"/>
    <n v="71.98"/>
    <n v="406.69799999999998"/>
    <n v="2606.5160000000001"/>
    <n v="2199.8180000000002"/>
    <n v="1037.4839999999999"/>
    <n v="0"/>
    <s v="-"/>
    <n v="2606.5160000000001"/>
    <s v="Completed"/>
    <s v="Settled"/>
    <x v="45"/>
  </r>
  <r>
    <n v="8635882444"/>
    <n v="2419"/>
    <n v="513.79600000000005"/>
    <n v="71.98"/>
    <n v="269.97899999999998"/>
    <n v="1820.2650000000001"/>
    <n v="1550.2860000000001"/>
    <n v="598.7349999999999"/>
    <n v="0"/>
    <s v="-"/>
    <n v="1820.2650000000001"/>
    <s v="Completed"/>
    <s v="Settled"/>
    <x v="6"/>
  </r>
  <r>
    <n v="8605901006"/>
    <n v="3294"/>
    <n v="1049.4680000000001"/>
    <n v="71.98"/>
    <n v="367.63499999999999"/>
    <n v="2154.9059999999999"/>
    <n v="1787.271"/>
    <n v="1139.0940000000001"/>
    <n v="197.06"/>
    <n v="2423.9459999999999"/>
    <n v="-269.03999999999996"/>
    <s v="Return"/>
    <s v="Settled"/>
    <x v="88"/>
  </r>
  <r>
    <n v="8653424812"/>
    <n v="2394"/>
    <n v="621.48199999999997"/>
    <n v="71.98"/>
    <n v="267.18799999999999"/>
    <n v="1687.713"/>
    <n v="1420.5250000000001"/>
    <n v="706.28700000000003"/>
    <n v="0"/>
    <s v="-"/>
    <n v="1687.713"/>
    <s v="Completed"/>
    <s v="Settled"/>
    <x v="16"/>
  </r>
  <r>
    <n v="8642433391"/>
    <n v="2044"/>
    <n v="506.50299999999999"/>
    <n v="71.98"/>
    <n v="228.125"/>
    <n v="1454.567"/>
    <n v="1226.442"/>
    <n v="589.43299999999999"/>
    <n v="0"/>
    <s v="-"/>
    <n v="1454.567"/>
    <s v="Completed"/>
    <s v="Settled"/>
    <x v="40"/>
  </r>
  <r>
    <n v="8630957553"/>
    <n v="2294"/>
    <n v="703.79899999999998"/>
    <n v="71.98"/>
    <n v="256.02100000000002"/>
    <n v="1505.932"/>
    <n v="1249.9110000000001"/>
    <n v="788.06799999999998"/>
    <n v="0"/>
    <s v="-"/>
    <n v="1505.932"/>
    <s v="Completed"/>
    <s v="Settled"/>
    <x v="9"/>
  </r>
  <r>
    <n v="8658158921"/>
    <n v="1629"/>
    <n v="422.88799999999998"/>
    <n v="53.1"/>
    <n v="181.81199999999998"/>
    <n v="1144.2860000000001"/>
    <n v="962.47400000000005"/>
    <n v="484.71399999999994"/>
    <n v="0"/>
    <s v="-"/>
    <n v="1144.2860000000001"/>
    <s v="Completed"/>
    <s v="Settled"/>
    <x v="32"/>
  </r>
  <r>
    <n v="8649047784"/>
    <n v="1454.02"/>
    <n v="325.99099999999999"/>
    <n v="53.1"/>
    <n v="162.28100000000001"/>
    <n v="1067.1400000000001"/>
    <n v="904.85900000000015"/>
    <n v="386.87999999999988"/>
    <n v="197.06"/>
    <n v="1317.3"/>
    <n v="-250.15999999999985"/>
    <s v="Return"/>
    <s v="Settled"/>
    <x v="3"/>
  </r>
  <r>
    <n v="8625549457"/>
    <n v="2944"/>
    <n v="729.52300000000002"/>
    <n v="71.97999999999999"/>
    <n v="328.57299999999998"/>
    <n v="2126.7249999999999"/>
    <n v="1798.152"/>
    <n v="817.27500000000009"/>
    <n v="197.06"/>
    <n v="2395.7649999999999"/>
    <n v="-269.03999999999996"/>
    <s v="Return"/>
    <s v="Settled"/>
    <x v="2"/>
  </r>
  <r>
    <n v="8656088933"/>
    <n v="3169"/>
    <n v="822.67200000000003"/>
    <n v="71.98"/>
    <n v="353.68700000000001"/>
    <n v="2257.3719999999998"/>
    <n v="1903.6849999999999"/>
    <n v="911.62800000000016"/>
    <n v="197.06"/>
    <n v="2526.4119999999998"/>
    <n v="-269.03999999999996"/>
    <s v="Return"/>
    <s v="Settled"/>
    <x v="33"/>
  </r>
  <r>
    <n v="8654592035"/>
    <n v="2994"/>
    <n v="741.91300000000001"/>
    <n v="71.98"/>
    <n v="334.15600000000001"/>
    <n v="2164.0680000000002"/>
    <n v="1829.9120000000003"/>
    <n v="829.93199999999979"/>
    <n v="0"/>
    <s v="-"/>
    <n v="2164.0680000000002"/>
    <s v="Completed"/>
    <s v="Settled"/>
    <x v="16"/>
  </r>
  <r>
    <n v="8615448972"/>
    <n v="461"/>
    <n v="114.236"/>
    <n v="31.86"/>
    <n v="24.155000000000001"/>
    <n v="312.27"/>
    <n v="288.11500000000001"/>
    <n v="148.73000000000002"/>
    <n v="0"/>
    <s v="-"/>
    <n v="312.27"/>
    <s v="Completed"/>
    <s v="Settled"/>
    <x v="24"/>
  </r>
  <r>
    <n v="8630702581"/>
    <n v="2243.9900000000002"/>
    <n v="476.62400000000002"/>
    <n v="71.97999999999999"/>
    <n v="250.44800000000001"/>
    <n v="1683.365"/>
    <n v="1432.9169999999999"/>
    <n v="560.62500000000023"/>
    <n v="132.16000000000003"/>
    <n v="1887.5050000000001"/>
    <n v="-204.1400000000001"/>
    <s v="Return"/>
    <s v="Settled"/>
    <x v="9"/>
  </r>
  <r>
    <n v="8619059124"/>
    <n v="2944"/>
    <n v="625.30600000000004"/>
    <n v="71.98"/>
    <n v="328.57299999999998"/>
    <n v="2230.942"/>
    <n v="1902.3690000000001"/>
    <n v="713.05799999999999"/>
    <n v="0"/>
    <s v="-"/>
    <n v="2230.942"/>
    <s v="Completed"/>
    <s v="Settled"/>
    <x v="27"/>
  </r>
  <r>
    <n v="8619663048"/>
    <n v="1794"/>
    <n v="465.72199999999998"/>
    <n v="53.1"/>
    <n v="200.21899999999999"/>
    <n v="1265.567"/>
    <n v="1065.348"/>
    <n v="528.43299999999999"/>
    <n v="0"/>
    <s v="-"/>
    <n v="1265.567"/>
    <s v="Completed"/>
    <s v="Settled"/>
    <x v="1"/>
  </r>
  <r>
    <n v="8594122312"/>
    <n v="2419"/>
    <n v="513.79600000000005"/>
    <n v="71.98"/>
    <n v="269.97899999999998"/>
    <n v="1820.2650000000001"/>
    <n v="1550.2860000000001"/>
    <n v="598.7349999999999"/>
    <n v="0"/>
    <s v="-"/>
    <n v="1820.2650000000001"/>
    <s v="Completed"/>
    <s v="Settled"/>
    <x v="89"/>
  </r>
  <r>
    <n v="8641769544"/>
    <n v="3294"/>
    <n v="816.25300000000004"/>
    <n v="71.98"/>
    <n v="367.63499999999999"/>
    <n v="2388.1210000000001"/>
    <n v="2020.4860000000001"/>
    <n v="905.87899999999991"/>
    <n v="197.06"/>
    <n v="2657.1610000000001"/>
    <n v="-269.03999999999996"/>
    <s v="Return"/>
    <s v="Settled"/>
    <x v="14"/>
  </r>
  <r>
    <n v="8612178217"/>
    <n v="1629"/>
    <n v="422.88799999999998"/>
    <n v="53.1"/>
    <n v="181.81299999999999"/>
    <n v="1144.2840000000001"/>
    <n v="962.47100000000012"/>
    <n v="484.71599999999989"/>
    <n v="0"/>
    <s v="-"/>
    <n v="1144.2840000000001"/>
    <s v="Completed"/>
    <s v="Settled"/>
    <x v="35"/>
  </r>
  <r>
    <n v="8617154389"/>
    <n v="2831"/>
    <n v="734.928"/>
    <n v="71.98"/>
    <n v="315.95799999999997"/>
    <n v="2008.9259999999999"/>
    <n v="1692.9679999999998"/>
    <n v="822.07400000000007"/>
    <n v="197.06"/>
    <n v="2277.9659999999999"/>
    <n v="-269.03999999999996"/>
    <s v="Return"/>
    <s v="Settled"/>
    <x v="27"/>
  </r>
  <r>
    <n v="8644874924"/>
    <n v="2344"/>
    <n v="580.84299999999996"/>
    <n v="71.98"/>
    <n v="261.60399999999998"/>
    <n v="1678.62"/>
    <n v="1417.0159999999998"/>
    <n v="665.38000000000011"/>
    <n v="197.06"/>
    <n v="1947.6599999999999"/>
    <n v="-269.03999999999996"/>
    <s v="Return"/>
    <s v="Settled"/>
    <x v="57"/>
  </r>
  <r>
    <n v="8614694734"/>
    <n v="2719"/>
    <n v="673.76800000000003"/>
    <n v="71.98"/>
    <n v="303.45799999999997"/>
    <n v="1958.6859999999999"/>
    <n v="1655.2280000000001"/>
    <n v="760.31400000000008"/>
    <n v="0"/>
    <s v="-"/>
    <n v="1958.6859999999999"/>
    <s v="Completed"/>
    <s v="Settled"/>
    <x v="10"/>
  </r>
  <r>
    <n v="8615659105"/>
    <n v="2556"/>
    <n v="663.53800000000001"/>
    <n v="71.98"/>
    <n v="285.27100000000002"/>
    <n v="1806.789"/>
    <n v="1521.518"/>
    <n v="749.21100000000001"/>
    <n v="197.06"/>
    <n v="2075.8290000000002"/>
    <n v="-269.04000000000019"/>
    <s v="Return"/>
    <s v="Settled"/>
    <x v="51"/>
  </r>
  <r>
    <n v="8635410358"/>
    <n v="3194"/>
    <n v="791.47299999999996"/>
    <n v="71.98"/>
    <n v="356.47900000000004"/>
    <n v="2313.4360000000001"/>
    <n v="1956.9570000000001"/>
    <n v="880.56399999999985"/>
    <n v="0"/>
    <s v="-"/>
    <n v="2313.4360000000001"/>
    <s v="Completed"/>
    <s v="Settled"/>
    <x v="6"/>
  </r>
  <r>
    <n v="8648738364"/>
    <n v="2044"/>
    <n v="651.21799999999996"/>
    <n v="71.98"/>
    <n v="228.125"/>
    <n v="1309.8520000000001"/>
    <n v="1081.7270000000001"/>
    <n v="734.14799999999991"/>
    <n v="197.06"/>
    <n v="1578.8920000000001"/>
    <n v="-269.03999999999996"/>
    <s v="Return"/>
    <s v="Settled"/>
    <x v="3"/>
  </r>
  <r>
    <n v="8612950081"/>
    <n v="1204"/>
    <n v="298.351"/>
    <n v="53.1"/>
    <n v="134.375"/>
    <n v="846.09900000000005"/>
    <n v="711.72400000000005"/>
    <n v="357.90099999999995"/>
    <n v="0"/>
    <s v="-"/>
    <n v="846.09900000000005"/>
    <s v="Completed"/>
    <s v="Settled"/>
    <x v="45"/>
  </r>
  <r>
    <n v="8619901287"/>
    <n v="2674"/>
    <n v="567.95799999999997"/>
    <n v="71.98"/>
    <n v="298.43700000000001"/>
    <n v="2019.7370000000001"/>
    <n v="1721.3000000000002"/>
    <n v="654.26299999999992"/>
    <n v="197.06"/>
    <n v="2288.777"/>
    <n v="-269.03999999999996"/>
    <s v="Return"/>
    <s v="Settled"/>
    <x v="1"/>
  </r>
  <r>
    <n v="8593854887"/>
    <n v="1066"/>
    <n v="264.15499999999997"/>
    <n v="53.1"/>
    <n v="118.96899999999999"/>
    <n v="743.03399999999999"/>
    <n v="624.06500000000005"/>
    <n v="322.96600000000001"/>
    <n v="0"/>
    <s v="-"/>
    <n v="743.03399999999999"/>
    <s v="Completed"/>
    <s v="Settled"/>
    <x v="89"/>
  </r>
  <r>
    <n v="8634183880"/>
    <n v="2244"/>
    <n v="476.62599999999998"/>
    <n v="71.98"/>
    <n v="250.44800000000001"/>
    <n v="1683.3720000000001"/>
    <n v="1432.924"/>
    <n v="560.62799999999993"/>
    <n v="0"/>
    <s v="-"/>
    <n v="1683.3720000000001"/>
    <s v="Completed"/>
    <s v="Settled"/>
    <x v="21"/>
  </r>
  <r>
    <n v="8654954892"/>
    <n v="1794"/>
    <n v="444.553"/>
    <n v="53.1"/>
    <n v="200.21899999999999"/>
    <n v="1286.7360000000001"/>
    <n v="1086.5170000000001"/>
    <n v="507.2639999999999"/>
    <n v="0"/>
    <s v="-"/>
    <n v="1286.7360000000001"/>
    <s v="Completed"/>
    <s v="Settled"/>
    <x v="16"/>
  </r>
  <r>
    <n v="8632281492"/>
    <n v="3294"/>
    <n v="1049.4690000000001"/>
    <n v="71.98"/>
    <n v="367.63499999999999"/>
    <n v="2154.9050000000002"/>
    <n v="1787.2700000000002"/>
    <n v="1139.0949999999998"/>
    <n v="132.16"/>
    <n v="2359.0450000000001"/>
    <n v="-204.13999999999987"/>
    <s v="Return"/>
    <s v="Settled"/>
    <x v="9"/>
  </r>
  <r>
    <n v="8617654049"/>
    <n v="3294"/>
    <n v="816.25300000000004"/>
    <n v="71.98"/>
    <n v="367.63499999999999"/>
    <n v="2388.1210000000001"/>
    <n v="2020.4860000000001"/>
    <n v="905.87899999999991"/>
    <n v="197.06"/>
    <n v="2657.1610000000001"/>
    <n v="-269.03999999999996"/>
    <s v="Return"/>
    <s v="Settled"/>
    <x v="1"/>
  </r>
  <r>
    <n v="8635504663"/>
    <n v="2719"/>
    <n v="673.76800000000003"/>
    <n v="71.98"/>
    <n v="303.45799999999997"/>
    <n v="1958.6859999999999"/>
    <n v="1655.2280000000001"/>
    <n v="760.31400000000008"/>
    <n v="0"/>
    <s v="-"/>
    <n v="1958.6859999999999"/>
    <s v="Completed"/>
    <s v="Settled"/>
    <x v="6"/>
  </r>
  <r>
    <n v="8616665867"/>
    <n v="3194"/>
    <n v="791.47299999999996"/>
    <n v="71.98"/>
    <n v="356.46899999999999"/>
    <n v="2313.4369999999999"/>
    <n v="1956.9679999999998"/>
    <n v="880.5630000000001"/>
    <n v="197.06"/>
    <n v="2582.4769999999999"/>
    <n v="-269.03999999999996"/>
    <s v="Return"/>
    <s v="Settled"/>
    <x v="26"/>
  </r>
  <r>
    <n v="8662412310"/>
    <n v="2644"/>
    <n v="561.58600000000001"/>
    <n v="71.98"/>
    <n v="295.08399999999995"/>
    <n v="1996.269"/>
    <n v="1701.1849999999999"/>
    <n v="647.73099999999999"/>
    <n v="0"/>
    <s v="-"/>
    <n v="1996.269"/>
    <s v="Completed"/>
    <s v="Settled"/>
    <x v="42"/>
  </r>
  <r>
    <n v="8612775581"/>
    <n v="2419"/>
    <n v="770.69299999999998"/>
    <n v="71.98"/>
    <n v="269.97899999999998"/>
    <n v="1563.3679999999999"/>
    <n v="1293.3889999999999"/>
    <n v="855.63200000000006"/>
    <n v="197.06"/>
    <n v="1832.4079999999999"/>
    <n v="-269.03999999999996"/>
    <s v="Return"/>
    <s v="Settled"/>
    <x v="45"/>
  </r>
  <r>
    <n v="8614542450"/>
    <n v="2224"/>
    <n v="708.56600000000003"/>
    <n v="71.98"/>
    <n v="248.21899999999999"/>
    <n v="1431.539"/>
    <n v="1183.32"/>
    <n v="792.46100000000001"/>
    <n v="0"/>
    <s v="-"/>
    <n v="1431.539"/>
    <s v="Completed"/>
    <s v="Settled"/>
    <x v="10"/>
  </r>
  <r>
    <n v="8621146296"/>
    <n v="3169"/>
    <n v="822.67200000000003"/>
    <n v="71.98"/>
    <n v="353.68700000000001"/>
    <n v="2257.3719999999998"/>
    <n v="1903.6849999999999"/>
    <n v="911.62800000000016"/>
    <n v="197.06"/>
    <n v="2526.4119999999998"/>
    <n v="-269.03999999999996"/>
    <s v="Return"/>
    <s v="Settled"/>
    <x v="22"/>
  </r>
  <r>
    <n v="8637164643"/>
    <n v="3543.99"/>
    <n v="920.02"/>
    <n v="71.98"/>
    <n v="395.53199999999998"/>
    <n v="2533.0030000000002"/>
    <n v="2137.471"/>
    <n v="1010.9869999999996"/>
    <n v="0"/>
    <s v="-"/>
    <n v="2533.0030000000002"/>
    <s v="Completed"/>
    <s v="Settled"/>
    <x v="30"/>
  </r>
  <r>
    <n v="8680967376"/>
    <n v="2794"/>
    <n v="593.44600000000003"/>
    <n v="71.98"/>
    <n v="311.83300000000003"/>
    <n v="2113.6060000000002"/>
    <n v="1801.7730000000001"/>
    <n v="680.39399999999978"/>
    <n v="197.06"/>
    <n v="2382.6460000000002"/>
    <n v="-269.03999999999996"/>
    <s v="Return"/>
    <s v="Pending"/>
    <x v="90"/>
  </r>
  <r>
    <n v="8687890011"/>
    <n v="4219"/>
    <n v="1045.4680000000001"/>
    <n v="71.98"/>
    <n v="661.45699999999999"/>
    <n v="3080.1"/>
    <n v="2418.643"/>
    <n v="1138.9000000000001"/>
    <n v="107.38"/>
    <n v="3259.46"/>
    <n v="-179.36000000000013"/>
    <s v="Return"/>
    <s v="Pending"/>
    <x v="91"/>
  </r>
  <r>
    <n v="8662691485"/>
    <n v="1538.99"/>
    <n v="417.68200000000002"/>
    <n v="53.1"/>
    <n v="171.76"/>
    <n v="1059.9570000000001"/>
    <n v="888.19700000000012"/>
    <n v="479.0329999999999"/>
    <n v="0"/>
    <s v="-"/>
    <n v="1059.9570000000001"/>
    <s v="Completed"/>
    <s v="Pending"/>
    <x v="42"/>
  </r>
  <r>
    <n v="8666939756"/>
    <n v="3000"/>
    <n v="778.8"/>
    <n v="71.98"/>
    <n v="334.82299999999998"/>
    <n v="2133.1480000000001"/>
    <n v="1798.3250000000003"/>
    <n v="866.85199999999986"/>
    <n v="197.06"/>
    <n v="2402.1880000000001"/>
    <n v="-269.03999999999996"/>
    <s v="Return"/>
    <s v="Pending"/>
    <x v="92"/>
  </r>
  <r>
    <n v="8695472254"/>
    <n v="3329"/>
    <n v="707.08"/>
    <n v="71.98"/>
    <n v="521.91600000000005"/>
    <n v="2533.0129999999999"/>
    <n v="2011.0969999999998"/>
    <n v="795.98700000000008"/>
    <n v="0"/>
    <s v="-"/>
    <n v="2533.0129999999999"/>
    <s v="Completed"/>
    <s v="Pending"/>
    <x v="91"/>
  </r>
  <r>
    <n v="8675330506"/>
    <n v="1579"/>
    <n v="428.541"/>
    <n v="53.1"/>
    <n v="176.22900000000001"/>
    <n v="1088.9000000000001"/>
    <n v="912.67100000000005"/>
    <n v="490.09999999999991"/>
    <n v="197.06"/>
    <n v="1339.06"/>
    <n v="-250.15999999999985"/>
    <s v="Return"/>
    <s v="Pending"/>
    <x v="93"/>
  </r>
  <r>
    <n v="8677721405"/>
    <n v="3451"/>
    <n v="1099.4880000000001"/>
    <n v="71.98"/>
    <n v="385.15699999999998"/>
    <n v="2261.0430000000001"/>
    <n v="1875.8860000000002"/>
    <n v="1189.9569999999999"/>
    <n v="0"/>
    <s v="-"/>
    <n v="2261.0430000000001"/>
    <s v="Completed"/>
    <s v="Pending"/>
    <x v="94"/>
  </r>
  <r>
    <n v="8673430085"/>
    <n v="3214"/>
    <n v="796.42899999999997"/>
    <n v="71.98"/>
    <n v="358.70800000000003"/>
    <n v="2328.373"/>
    <n v="1969.665"/>
    <n v="885.62699999999995"/>
    <n v="0"/>
    <s v="-"/>
    <n v="2328.373"/>
    <s v="Completed"/>
    <s v="Pending"/>
    <x v="95"/>
  </r>
  <r>
    <n v="8682570667"/>
    <n v="3629"/>
    <n v="1156.1990000000001"/>
    <n v="71.98"/>
    <n v="405.02100000000002"/>
    <n v="2381.38"/>
    <n v="1976.3590000000002"/>
    <n v="1247.6199999999999"/>
    <n v="0"/>
    <s v="-"/>
    <n v="2381.38"/>
    <s v="Completed"/>
    <s v="Pending"/>
    <x v="96"/>
  </r>
  <r>
    <n v="8698417103"/>
    <n v="2146"/>
    <n v="455.81"/>
    <n v="71.98"/>
    <n v="112.40899999999999"/>
    <n v="1605.9469999999999"/>
    <n v="1493.538"/>
    <n v="540.05300000000011"/>
    <n v="0"/>
    <s v="-"/>
    <n v="1605.9469999999999"/>
    <s v="Completed"/>
    <s v="Pending"/>
    <x v="97"/>
  </r>
  <r>
    <n v="8689247485"/>
    <n v="3564"/>
    <n v="883.15899999999999"/>
    <n v="71.98"/>
    <n v="558.76199999999994"/>
    <n v="2590.739"/>
    <n v="2031.9770000000001"/>
    <n v="973.26099999999997"/>
    <n v="197.06"/>
    <n v="2859.779"/>
    <n v="-269.03999999999996"/>
    <s v="Return"/>
    <s v="Pending"/>
    <x v="91"/>
  </r>
  <r>
    <n v="8690835103"/>
    <n v="2419"/>
    <n v="513.79600000000005"/>
    <n v="71.98"/>
    <n v="126.709"/>
    <n v="1819.4010000000001"/>
    <n v="1692.692"/>
    <n v="599.59899999999993"/>
    <n v="0"/>
    <s v="-"/>
    <n v="1819.4010000000001"/>
    <s v="Completed"/>
    <s v="Pending"/>
    <x v="91"/>
  </r>
  <r>
    <n v="8693762991"/>
    <n v="4219"/>
    <n v="1045.4680000000001"/>
    <n v="71.98"/>
    <n v="661.45699999999999"/>
    <n v="3080.1"/>
    <n v="2418.643"/>
    <n v="1138.9000000000001"/>
    <n v="0"/>
    <s v="-"/>
    <n v="3080.1"/>
    <s v="Completed"/>
    <s v="Pending"/>
    <x v="91"/>
  </r>
  <r>
    <n v="8700661740"/>
    <n v="1940"/>
    <n v="434.94799999999998"/>
    <n v="53.1"/>
    <n v="101.61799999999999"/>
    <n v="1440.866"/>
    <n v="1339.248"/>
    <n v="499.13400000000001"/>
    <n v="0"/>
    <s v="-"/>
    <n v="1440.866"/>
    <s v="Completed"/>
    <s v="Pending"/>
    <x v="98"/>
  </r>
  <r>
    <n v="8675097216"/>
    <n v="3594"/>
    <n v="890.59299999999996"/>
    <n v="71.98"/>
    <n v="401.11500000000001"/>
    <n v="2612.1729999999998"/>
    <n v="2211.058"/>
    <n v="981.82700000000023"/>
    <n v="132.16"/>
    <n v="2816.3129999999996"/>
    <n v="-204.13999999999987"/>
    <s v="Return"/>
    <s v="Pending"/>
    <x v="93"/>
  </r>
  <r>
    <n v="8680316333"/>
    <n v="2994"/>
    <n v="741.91300000000001"/>
    <n v="71.98"/>
    <n v="334.15600000000001"/>
    <n v="2164.0680000000002"/>
    <n v="1829.9120000000003"/>
    <n v="829.93199999999979"/>
    <n v="0"/>
    <s v="-"/>
    <n v="2164.0680000000002"/>
    <s v="Completed"/>
    <s v="Pending"/>
    <x v="99"/>
  </r>
  <r>
    <n v="8700291971"/>
    <n v="1128.99"/>
    <n v="279.76400000000001"/>
    <n v="53.1"/>
    <n v="59.137"/>
    <n v="789.673"/>
    <n v="730.53600000000006"/>
    <n v="339.31700000000001"/>
    <n v="0"/>
    <s v="-"/>
    <n v="789.673"/>
    <s v="Completed"/>
    <s v="Pending"/>
    <x v="97"/>
  </r>
  <r>
    <n v="8668586101"/>
    <n v="3356"/>
    <n v="871.21799999999996"/>
    <n v="71.98"/>
    <n v="374.55200000000002"/>
    <n v="2394.8240000000001"/>
    <n v="2020.2719999999999"/>
    <n v="961.17599999999993"/>
    <n v="0"/>
    <s v="-"/>
    <n v="2394.8240000000001"/>
    <s v="Completed"/>
    <s v="Pending"/>
    <x v="100"/>
  </r>
  <r>
    <n v="8695880488"/>
    <n v="4219"/>
    <n v="1045.4680000000001"/>
    <n v="71.98"/>
    <n v="661.45699999999999"/>
    <n v="3080.1"/>
    <n v="2418.643"/>
    <n v="1138.9000000000001"/>
    <n v="197.06"/>
    <n v="3349.14"/>
    <n v="-269.03999999999996"/>
    <s v="Return"/>
    <s v="Pending"/>
    <x v="91"/>
  </r>
  <r>
    <n v="8674645012"/>
    <n v="3469"/>
    <n v="1105.223"/>
    <n v="71.98"/>
    <n v="387.16700000000003"/>
    <n v="2273.2130000000002"/>
    <n v="1886.0460000000003"/>
    <n v="1195.7869999999998"/>
    <n v="0"/>
    <s v="-"/>
    <n v="2273.2130000000002"/>
    <s v="Completed"/>
    <s v="Pending"/>
    <x v="95"/>
  </r>
  <r>
    <n v="8686235629"/>
    <n v="4219"/>
    <n v="1045.4680000000001"/>
    <n v="71.98"/>
    <n v="470.875"/>
    <n v="3078.95"/>
    <n v="2608.0749999999998"/>
    <n v="1140.0500000000002"/>
    <n v="0"/>
    <s v="-"/>
    <n v="3078.95"/>
    <s v="Completed"/>
    <s v="Pending"/>
    <x v="101"/>
  </r>
  <r>
    <n v="8699000629"/>
    <n v="3154"/>
    <n v="669.91"/>
    <n v="71.98"/>
    <n v="494.48399999999998"/>
    <n v="2396.0729999999999"/>
    <n v="1901.5889999999999"/>
    <n v="757.92700000000013"/>
    <n v="197.06"/>
    <n v="2665.1129999999998"/>
    <n v="-269.03999999999996"/>
    <s v="Return"/>
    <s v="Pending"/>
    <x v="97"/>
  </r>
  <r>
    <n v="8676318892"/>
    <n v="2594"/>
    <n v="642.79300000000001"/>
    <n v="71.98"/>
    <n v="289.51"/>
    <n v="1865.3309999999999"/>
    <n v="1575.8209999999999"/>
    <n v="728.6690000000001"/>
    <n v="0"/>
    <s v="-"/>
    <n v="1865.3309999999999"/>
    <s v="Completed"/>
    <s v="Pending"/>
    <x v="102"/>
  </r>
  <r>
    <n v="8682082418"/>
    <n v="1694"/>
    <n v="499.73"/>
    <n v="53.1"/>
    <n v="189.06200000000001"/>
    <n v="1132.096"/>
    <n v="943.03399999999999"/>
    <n v="561.904"/>
    <n v="0"/>
    <s v="-"/>
    <n v="1132.096"/>
    <s v="Completed"/>
    <s v="Pending"/>
    <x v="103"/>
  </r>
  <r>
    <n v="8700034488"/>
    <n v="3143"/>
    <n v="667.57299999999998"/>
    <n v="71.98"/>
    <n v="492.75799999999998"/>
    <n v="2387.4650000000001"/>
    <n v="1894.7070000000001"/>
    <n v="755.53499999999985"/>
    <n v="0"/>
    <s v="-"/>
    <n v="2387.4650000000001"/>
    <s v="Completed"/>
    <s v="Pending"/>
    <x v="97"/>
  </r>
  <r>
    <n v="8676045557"/>
    <n v="2494"/>
    <n v="794.58799999999997"/>
    <n v="71.98"/>
    <n v="278.34399999999999"/>
    <n v="1614.0709999999999"/>
    <n v="1335.7269999999999"/>
    <n v="879.92900000000009"/>
    <n v="0"/>
    <s v="-"/>
    <n v="1614.0709999999999"/>
    <s v="Completed"/>
    <s v="Pending"/>
    <x v="104"/>
  </r>
  <r>
    <n v="8688316765"/>
    <n v="2594"/>
    <n v="550.96600000000001"/>
    <n v="71.98"/>
    <n v="135.87199999999999"/>
    <n v="1956.232"/>
    <n v="1820.36"/>
    <n v="637.76800000000003"/>
    <n v="0"/>
    <s v="-"/>
    <n v="1956.232"/>
    <s v="Completed"/>
    <s v="Pending"/>
    <x v="91"/>
  </r>
  <r>
    <n v="8704408298"/>
    <n v="2548.9899999999998"/>
    <n v="661.71799999999996"/>
    <n v="71.98"/>
    <n v="133.518"/>
    <n v="1800.741"/>
    <n v="1667.223"/>
    <n v="748.2489999999998"/>
    <n v="0"/>
    <s v="-"/>
    <n v="1800.741"/>
    <s v="Completed"/>
    <s v="Pending"/>
    <x v="105"/>
  </r>
  <r>
    <n v="8663980354"/>
    <n v="4193.99"/>
    <n v="1336.2049999999999"/>
    <n v="71.98"/>
    <n v="468.08300000000003"/>
    <n v="2763.337"/>
    <n v="2295.2539999999999"/>
    <n v="1430.6529999999998"/>
    <n v="197.06"/>
    <n v="3032.377"/>
    <n v="-269.03999999999996"/>
    <s v="Return"/>
    <s v="Pending"/>
    <x v="106"/>
  </r>
  <r>
    <n v="8677429792"/>
    <n v="4044.99"/>
    <n v="1288.7339999999999"/>
    <n v="71.98"/>
    <n v="451.44799999999998"/>
    <n v="2662.6060000000002"/>
    <n v="2211.1580000000004"/>
    <n v="1382.3839999999996"/>
    <n v="197.06"/>
    <n v="2931.6460000000002"/>
    <n v="-269.03999999999996"/>
    <s v="Return"/>
    <s v="Pending"/>
    <x v="102"/>
  </r>
  <r>
    <n v="8681405218"/>
    <n v="3564"/>
    <n v="883.15899999999999"/>
    <n v="71.98"/>
    <n v="397.77100000000002"/>
    <n v="2589.768"/>
    <n v="2191.9969999999998"/>
    <n v="974.23199999999997"/>
    <n v="107.38"/>
    <n v="2769.1280000000002"/>
    <n v="-179.36000000000013"/>
    <s v="Return"/>
    <s v="Pending"/>
    <x v="107"/>
  </r>
  <r>
    <n v="8704473352"/>
    <n v="3169"/>
    <n v="785.27800000000002"/>
    <n v="71.98"/>
    <n v="496.83800000000002"/>
    <n v="2295.6280000000002"/>
    <n v="1798.7900000000002"/>
    <n v="873.37199999999984"/>
    <n v="197.06"/>
    <n v="2564.6680000000001"/>
    <n v="-269.03999999999996"/>
    <s v="Return"/>
    <s v="Pending"/>
    <x v="105"/>
  </r>
  <r>
    <n v="8706216343"/>
    <n v="391"/>
    <n v="32.296999999999997"/>
    <n v="31.86"/>
    <n v="20.481999999999999"/>
    <n v="324.60899999999998"/>
    <n v="304.12699999999995"/>
    <n v="66.39100000000002"/>
    <n v="0"/>
    <s v="-"/>
    <n v="324.60899999999998"/>
    <s v="Completed"/>
    <s v="Pending"/>
    <x v="108"/>
  </r>
  <r>
    <n v="8687587807"/>
    <n v="3104"/>
    <n v="769.17100000000005"/>
    <n v="71.98"/>
    <n v="486.64300000000003"/>
    <n v="2247.0650000000001"/>
    <n v="1760.422"/>
    <n v="856.93499999999995"/>
    <n v="0"/>
    <s v="-"/>
    <n v="2247.0650000000001"/>
    <s v="Completed"/>
    <s v="Pending"/>
    <x v="91"/>
  </r>
  <r>
    <n v="8690989947"/>
    <n v="3594.01"/>
    <n v="933.005"/>
    <n v="71.98"/>
    <n v="563.46900000000005"/>
    <n v="2570.75"/>
    <n v="2007.2809999999999"/>
    <n v="1023.2600000000002"/>
    <n v="0"/>
    <s v="-"/>
    <n v="2570.75"/>
    <s v="Completed"/>
    <s v="Pending"/>
    <x v="91"/>
  </r>
  <r>
    <n v="8704611977"/>
    <n v="1012"/>
    <n v="250.773"/>
    <n v="53.1"/>
    <n v="53.019000000000005"/>
    <n v="702.34400000000005"/>
    <n v="649.32500000000005"/>
    <n v="309.65599999999995"/>
    <n v="132.16"/>
    <n v="887.60400000000004"/>
    <n v="-185.26"/>
    <s v="Return"/>
    <s v="Pending"/>
    <x v="105"/>
  </r>
  <r>
    <n v="8666527701"/>
    <n v="2994"/>
    <n v="635.92600000000004"/>
    <n v="71.98"/>
    <n v="334.15600000000001"/>
    <n v="2270.0549999999998"/>
    <n v="1935.8989999999999"/>
    <n v="723.94500000000016"/>
    <n v="197.06"/>
    <n v="2539.0949999999998"/>
    <n v="-269.03999999999996"/>
    <s v="Return"/>
    <s v="Pending"/>
    <x v="109"/>
  </r>
  <r>
    <n v="8680872278"/>
    <n v="2406"/>
    <n v="596.20699999999999"/>
    <n v="71.98"/>
    <n v="268.53200000000004"/>
    <n v="1724.923"/>
    <n v="1456.3910000000001"/>
    <n v="681.077"/>
    <n v="197.06"/>
    <n v="1993.963"/>
    <n v="-269.03999999999996"/>
    <s v="Return"/>
    <s v="Pending"/>
    <x v="90"/>
  </r>
  <r>
    <n v="8679706893"/>
    <n v="3394"/>
    <n v="841.03300000000002"/>
    <n v="71.98"/>
    <n v="378.79199999999997"/>
    <n v="2462.8049999999998"/>
    <n v="2084.0129999999999"/>
    <n v="931.19500000000016"/>
    <n v="132.16"/>
    <n v="2666.9449999999997"/>
    <n v="-204.13999999999987"/>
    <s v="Return"/>
    <s v="Pending"/>
    <x v="110"/>
  </r>
  <r>
    <n v="8694911052"/>
    <n v="3564"/>
    <n v="883.15899999999999"/>
    <n v="71.98"/>
    <n v="558.76199999999994"/>
    <n v="2590.739"/>
    <n v="2031.9770000000001"/>
    <n v="973.26099999999997"/>
    <n v="0"/>
    <s v="-"/>
    <n v="2590.739"/>
    <s v="Completed"/>
    <s v="Pending"/>
    <x v="91"/>
  </r>
  <r>
    <n v="8681666404"/>
    <n v="4069"/>
    <n v="1008.298"/>
    <n v="71.98"/>
    <n v="454.125"/>
    <n v="2966.924"/>
    <n v="2512.799"/>
    <n v="1102.076"/>
    <n v="197.06"/>
    <n v="3235.9639999999999"/>
    <n v="-269.03999999999996"/>
    <s v="Return"/>
    <s v="Pending"/>
    <x v="107"/>
  </r>
  <r>
    <n v="8682619946"/>
    <n v="3354"/>
    <n v="831.12099999999998"/>
    <n v="71.98"/>
    <n v="374.33300000000003"/>
    <n v="2432.931"/>
    <n v="2058.598"/>
    <n v="921.06899999999996"/>
    <n v="0"/>
    <s v="-"/>
    <n v="2432.931"/>
    <s v="Completed"/>
    <s v="Pending"/>
    <x v="96"/>
  </r>
  <r>
    <n v="8689881728"/>
    <n v="2293"/>
    <n v="568.20500000000004"/>
    <n v="71.98"/>
    <n v="120.10899999999999"/>
    <n v="1639.712"/>
    <n v="1519.6030000000001"/>
    <n v="653.28800000000001"/>
    <n v="197.06"/>
    <n v="1908.752"/>
    <n v="-269.03999999999996"/>
    <s v="Return"/>
    <s v="Pending"/>
    <x v="91"/>
  </r>
  <r>
    <n v="8688543757"/>
    <n v="3119"/>
    <n v="662.476"/>
    <n v="71.98"/>
    <n v="488.99599999999998"/>
    <n v="2368.6849999999999"/>
    <n v="1879.6889999999999"/>
    <n v="750.31500000000005"/>
    <n v="0"/>
    <s v="-"/>
    <n v="2368.6849999999999"/>
    <s v="Completed"/>
    <s v="Pending"/>
    <x v="91"/>
  </r>
  <r>
    <n v="8691678984"/>
    <n v="3564"/>
    <n v="883.16"/>
    <n v="71.97999999999999"/>
    <n v="558.76199999999994"/>
    <n v="2590.7379999999998"/>
    <n v="2031.9759999999999"/>
    <n v="973.26200000000017"/>
    <n v="197.06"/>
    <n v="2859.7779999999998"/>
    <n v="-269.03999999999996"/>
    <s v="Return"/>
    <s v="Pending"/>
    <x v="91"/>
  </r>
  <r>
    <n v="8701220872"/>
    <n v="3794"/>
    <n v="984.92200000000003"/>
    <n v="71.98"/>
    <n v="594.81600000000003"/>
    <n v="2717.8069999999998"/>
    <n v="2122.991"/>
    <n v="1076.1930000000002"/>
    <n v="0"/>
    <s v="-"/>
    <n v="2717.8069999999998"/>
    <s v="Completed"/>
    <s v="Pending"/>
    <x v="111"/>
  </r>
  <r>
    <n v="8670163180"/>
    <n v="1610"/>
    <n v="360.96199999999999"/>
    <n v="53.1"/>
    <n v="179.68799999999999"/>
    <n v="1187.3119999999999"/>
    <n v="1007.6239999999999"/>
    <n v="422.6880000000001"/>
    <n v="0"/>
    <s v="-"/>
    <n v="1187.3119999999999"/>
    <s v="Completed"/>
    <s v="Pending"/>
    <x v="100"/>
  </r>
  <r>
    <n v="8680310158"/>
    <n v="1109"/>
    <n v="248.63800000000001"/>
    <n v="53.1"/>
    <n v="123.77099999999999"/>
    <n v="801.32100000000003"/>
    <n v="677.55000000000007"/>
    <n v="307.67899999999997"/>
    <n v="0"/>
    <s v="-"/>
    <n v="801.32100000000003"/>
    <s v="Completed"/>
    <s v="Pending"/>
    <x v="99"/>
  </r>
  <r>
    <n v="8694225958"/>
    <n v="3563.98"/>
    <n v="883.154"/>
    <n v="71.98"/>
    <n v="558.76199999999994"/>
    <n v="2590.7240000000002"/>
    <n v="2031.9620000000002"/>
    <n v="973.25599999999986"/>
    <n v="0"/>
    <s v="-"/>
    <n v="2590.7240000000002"/>
    <s v="Completed"/>
    <s v="Pending"/>
    <x v="91"/>
  </r>
  <r>
    <n v="8702982660"/>
    <n v="1442"/>
    <n v="391.35899999999998"/>
    <n v="53.1"/>
    <n v="75.537000000000006"/>
    <n v="989.30100000000004"/>
    <n v="913.76400000000001"/>
    <n v="452.69899999999996"/>
    <n v="0"/>
    <s v="-"/>
    <n v="989.30100000000004"/>
    <s v="Completed"/>
    <s v="Pending"/>
    <x v="112"/>
  </r>
  <r>
    <n v="8675166482"/>
    <n v="2994"/>
    <n v="777.24199999999996"/>
    <n v="71.98"/>
    <n v="334.15600000000001"/>
    <n v="2128.739"/>
    <n v="1794.5830000000001"/>
    <n v="865.26099999999997"/>
    <n v="197.06"/>
    <n v="2397.779"/>
    <n v="-269.03999999999996"/>
    <s v="Return"/>
    <s v="Pending"/>
    <x v="93"/>
  </r>
  <r>
    <n v="8686993117"/>
    <n v="3119"/>
    <n v="662.476"/>
    <n v="71.98"/>
    <n v="348.10399999999998"/>
    <n v="2367.835"/>
    <n v="2019.731"/>
    <n v="751.16499999999996"/>
    <n v="0"/>
    <s v="-"/>
    <n v="2367.835"/>
    <s v="Completed"/>
    <s v="Pending"/>
    <x v="113"/>
  </r>
  <r>
    <n v="8674661455"/>
    <n v="1079"/>
    <n v="280.108"/>
    <n v="53.1"/>
    <n v="120.42699999999999"/>
    <n v="740.01199999999994"/>
    <n v="619.58499999999992"/>
    <n v="338.98800000000006"/>
    <n v="0"/>
    <s v="-"/>
    <n v="740.01199999999994"/>
    <s v="Completed"/>
    <s v="Pending"/>
    <x v="95"/>
  </r>
  <r>
    <n v="8698964259"/>
    <n v="2150"/>
    <n v="684.99"/>
    <n v="71.98"/>
    <n v="112.61799999999999"/>
    <n v="1380.7439999999999"/>
    <n v="1268.126"/>
    <n v="769.25600000000009"/>
    <n v="107.38"/>
    <n v="1560.1039999999998"/>
    <n v="-179.3599999999999"/>
    <s v="Return"/>
    <s v="Pending"/>
    <x v="97"/>
  </r>
  <r>
    <n v="8661246795"/>
    <n v="2994"/>
    <n v="777.24199999999996"/>
    <n v="71.98"/>
    <n v="334.15600000000001"/>
    <n v="2128.739"/>
    <n v="1794.5830000000001"/>
    <n v="865.26099999999997"/>
    <n v="197.06"/>
    <n v="2397.779"/>
    <n v="-269.03999999999996"/>
    <s v="Return"/>
    <s v="Pending"/>
    <x v="70"/>
  </r>
  <r>
    <n v="8680652612"/>
    <n v="2454"/>
    <n v="608.101"/>
    <n v="71.98"/>
    <n v="273.875"/>
    <n v="1760.7729999999999"/>
    <n v="1486.8979999999999"/>
    <n v="693.22700000000009"/>
    <n v="0"/>
    <s v="-"/>
    <n v="1760.7729999999999"/>
    <s v="Completed"/>
    <s v="Pending"/>
    <x v="90"/>
  </r>
  <r>
    <n v="8665242405"/>
    <n v="2834"/>
    <n v="702.26499999999999"/>
    <n v="71.98"/>
    <n v="316.29199999999997"/>
    <n v="2044.5730000000001"/>
    <n v="1728.2810000000002"/>
    <n v="789.42699999999991"/>
    <n v="132.16"/>
    <n v="2248.7129999999997"/>
    <n v="-204.13999999999965"/>
    <s v="Return"/>
    <s v="Pending"/>
    <x v="41"/>
  </r>
  <r>
    <n v="8697803935"/>
    <n v="2244"/>
    <n v="582.54200000000003"/>
    <n v="71.98"/>
    <n v="117.54599999999999"/>
    <n v="1576.655"/>
    <n v="1459.1089999999999"/>
    <n v="667.34500000000003"/>
    <n v="0"/>
    <s v="-"/>
    <n v="1576.655"/>
    <s v="Completed"/>
    <s v="Pending"/>
    <x v="114"/>
  </r>
  <r>
    <n v="8673378655"/>
    <n v="1894"/>
    <n v="514.03200000000004"/>
    <n v="53.1"/>
    <n v="211.38500000000002"/>
    <n v="1316.722"/>
    <n v="1105.337"/>
    <n v="577.27800000000002"/>
    <n v="197.06"/>
    <n v="1566.8819999999998"/>
    <n v="-250.15999999999985"/>
    <s v="Return"/>
    <s v="Pending"/>
    <x v="95"/>
  </r>
  <r>
    <n v="8688227979"/>
    <n v="3118.99"/>
    <n v="662.47299999999996"/>
    <n v="71.98"/>
    <n v="488.99599999999998"/>
    <n v="2368.6779999999999"/>
    <n v="1879.6819999999998"/>
    <n v="750.3119999999999"/>
    <n v="0"/>
    <s v="-"/>
    <n v="2368.6779999999999"/>
    <s v="Completed"/>
    <s v="Pending"/>
    <x v="91"/>
  </r>
  <r>
    <n v="8695941283"/>
    <n v="3564"/>
    <n v="883.15899999999999"/>
    <n v="71.98"/>
    <n v="558.76199999999994"/>
    <n v="2590.739"/>
    <n v="2031.9770000000001"/>
    <n v="973.26099999999997"/>
    <n v="132.16"/>
    <n v="2794.8789999999999"/>
    <n v="-204.13999999999987"/>
    <s v="Return"/>
    <s v="Pending"/>
    <x v="91"/>
  </r>
  <r>
    <n v="8690310002"/>
    <n v="3323.99"/>
    <n v="706.01499999999999"/>
    <n v="71.98"/>
    <n v="521.13499999999999"/>
    <n v="2529.0929999999998"/>
    <n v="2007.9579999999999"/>
    <n v="794.89699999999993"/>
    <n v="0"/>
    <s v="-"/>
    <n v="2529.0929999999998"/>
    <s v="Completed"/>
    <s v="Pending"/>
    <x v="91"/>
  </r>
  <r>
    <n v="8687823960"/>
    <n v="2264"/>
    <n v="641.16499999999996"/>
    <n v="71.98"/>
    <n v="118.59100000000001"/>
    <n v="1537.9179999999999"/>
    <n v="1419.3269999999998"/>
    <n v="726.08200000000011"/>
    <n v="132.16"/>
    <n v="1742.058"/>
    <n v="-204.1400000000001"/>
    <s v="Return"/>
    <s v="Pending"/>
    <x v="91"/>
  </r>
  <r>
    <n v="8698177391"/>
    <n v="1597"/>
    <n v="433.42599999999999"/>
    <n v="53.1"/>
    <n v="83.64500000000001"/>
    <n v="1101.348"/>
    <n v="1017.703"/>
    <n v="495.65200000000004"/>
    <n v="0"/>
    <s v="-"/>
    <n v="1101.348"/>
    <s v="Completed"/>
    <s v="Pending"/>
    <x v="97"/>
  </r>
  <r>
    <n v="8683928962"/>
    <n v="953.99"/>
    <n v="258.91300000000001"/>
    <n v="31.86"/>
    <n v="49.972999999999999"/>
    <n v="657.76599999999996"/>
    <n v="607.79300000000001"/>
    <n v="296.22400000000005"/>
    <n v="0"/>
    <s v="-"/>
    <n v="657.76599999999996"/>
    <s v="Completed"/>
    <s v="Pending"/>
    <x v="101"/>
  </r>
  <r>
    <n v="8697069469"/>
    <n v="5366"/>
    <n v="1709.6079999999999"/>
    <n v="71.98"/>
    <n v="841.27699999999993"/>
    <n v="3557.1280000000002"/>
    <n v="2715.8510000000001"/>
    <n v="1808.8719999999998"/>
    <n v="0"/>
    <s v="-"/>
    <n v="3557.1280000000002"/>
    <s v="Completed"/>
    <s v="Pending"/>
    <x v="114"/>
  </r>
  <r>
    <n v="8702278551"/>
    <n v="3564"/>
    <n v="883.15899999999999"/>
    <n v="71.98"/>
    <n v="558.76199999999994"/>
    <n v="2590.739"/>
    <n v="2031.9770000000001"/>
    <n v="973.26099999999997"/>
    <n v="0"/>
    <s v="-"/>
    <n v="2590.739"/>
    <s v="Completed"/>
    <s v="Pending"/>
    <x v="112"/>
  </r>
  <r>
    <n v="8662109200"/>
    <n v="2344"/>
    <n v="608.50199999999995"/>
    <n v="71.98"/>
    <n v="261.60399999999998"/>
    <n v="1650.961"/>
    <n v="1389.357"/>
    <n v="693.03899999999999"/>
    <n v="0"/>
    <s v="-"/>
    <n v="1650.961"/>
    <s v="Completed"/>
    <s v="Pending"/>
    <x v="42"/>
  </r>
  <r>
    <n v="8690582232"/>
    <n v="3104"/>
    <n v="769.17100000000005"/>
    <n v="71.98"/>
    <n v="486.65300000000002"/>
    <n v="2247.0650000000001"/>
    <n v="1760.412"/>
    <n v="856.93499999999995"/>
    <n v="0"/>
    <s v="-"/>
    <n v="2247.0650000000001"/>
    <s v="Completed"/>
    <s v="Pending"/>
    <x v="91"/>
  </r>
  <r>
    <n v="8696450403"/>
    <n v="3286"/>
    <n v="697.94600000000003"/>
    <n v="71.98"/>
    <n v="515.18399999999997"/>
    <n v="2499.3649999999998"/>
    <n v="1984.1809999999998"/>
    <n v="786.63500000000022"/>
    <n v="0"/>
    <s v="-"/>
    <n v="2499.3649999999998"/>
    <s v="Completed"/>
    <s v="Pending"/>
    <x v="115"/>
  </r>
  <r>
    <n v="8706673220"/>
    <n v="1811"/>
    <n v="406.02699999999999"/>
    <n v="53.099999999999994"/>
    <n v="94.86399999999999"/>
    <n v="1341.5250000000001"/>
    <n v="1246.6610000000001"/>
    <n v="469.47499999999991"/>
    <n v="0"/>
    <s v="-"/>
    <n v="1341.5250000000001"/>
    <s v="Completed"/>
    <s v="Pending"/>
    <x v="108"/>
  </r>
  <r>
    <n v="8658143949"/>
    <n v="2994"/>
    <n v="635.92600000000004"/>
    <n v="71.98"/>
    <n v="334.15600000000001"/>
    <n v="2270.0549999999998"/>
    <n v="1935.8989999999999"/>
    <n v="723.94500000000016"/>
    <n v="197.06"/>
    <n v="2539.0949999999998"/>
    <n v="-269.03999999999996"/>
    <s v="Return"/>
    <s v="Pending"/>
    <x v="32"/>
  </r>
  <r>
    <n v="8662876274"/>
    <n v="4354"/>
    <n v="1233.0530000000001"/>
    <n v="71.98"/>
    <n v="485.93700000000001"/>
    <n v="3025.643"/>
    <n v="2539.7060000000001"/>
    <n v="1328.357"/>
    <n v="0"/>
    <s v="-"/>
    <n v="3025.643"/>
    <s v="Completed"/>
    <s v="Pending"/>
    <x v="42"/>
  </r>
  <r>
    <n v="8684439845"/>
    <n v="3365"/>
    <n v="833.84699999999998"/>
    <n v="71.98"/>
    <n v="375.56200000000001"/>
    <n v="2441.1469999999999"/>
    <n v="2065.585"/>
    <n v="923.85300000000007"/>
    <n v="197.06"/>
    <n v="2710.1869999999999"/>
    <n v="-269.03999999999996"/>
    <s v="Return"/>
    <s v="Pending"/>
    <x v="101"/>
  </r>
  <r>
    <n v="8670314920"/>
    <n v="499"/>
    <n v="47.106000000000002"/>
    <n v="31.86"/>
    <n v="26.136000000000003"/>
    <n v="417.18299999999999"/>
    <n v="391.04699999999997"/>
    <n v="81.817000000000007"/>
    <n v="0"/>
    <s v="-"/>
    <n v="417.18299999999999"/>
    <s v="Completed"/>
    <s v="Pending"/>
    <x v="100"/>
  </r>
  <r>
    <n v="8681010160"/>
    <n v="3629"/>
    <n v="1156.1990000000001"/>
    <n v="71.98"/>
    <n v="405.02100000000002"/>
    <n v="2381.38"/>
    <n v="1976.3590000000002"/>
    <n v="1247.6199999999999"/>
    <n v="197.06"/>
    <n v="2650.42"/>
    <n v="-269.03999999999996"/>
    <s v="Return"/>
    <s v="Pending"/>
    <x v="116"/>
  </r>
  <r>
    <n v="8699197877"/>
    <n v="2526"/>
    <n v="536.52200000000005"/>
    <n v="71.98"/>
    <n v="132.31900000000002"/>
    <n v="1903.0630000000001"/>
    <n v="1770.7440000000001"/>
    <n v="622.9369999999999"/>
    <n v="197.06"/>
    <n v="2172.1030000000001"/>
    <n v="-269.03999999999996"/>
    <s v="Return"/>
    <s v="Pending"/>
    <x v="97"/>
  </r>
  <r>
    <n v="8680104988"/>
    <n v="1931"/>
    <n v="638.00199999999995"/>
    <n v="53.1"/>
    <n v="215.511"/>
    <n v="1229.5530000000001"/>
    <n v="1014.0420000000001"/>
    <n v="701.44699999999989"/>
    <n v="0"/>
    <s v="-"/>
    <n v="1229.5530000000001"/>
    <s v="Completed"/>
    <s v="Pending"/>
    <x v="110"/>
  </r>
  <r>
    <n v="8690920832"/>
    <n v="3789"/>
    <n v="938.91399999999999"/>
    <n v="71.98"/>
    <n v="594.03499999999997"/>
    <n v="2758.84"/>
    <n v="2164.8050000000003"/>
    <n v="1030.1599999999999"/>
    <n v="197.06"/>
    <n v="3027.88"/>
    <n v="-269.03999999999996"/>
    <s v="Return"/>
    <s v="Pending"/>
    <x v="91"/>
  </r>
  <r>
    <n v="8669740522"/>
    <n v="2216"/>
    <n v="575.274"/>
    <n v="71.97999999999999"/>
    <n v="247.32300000000001"/>
    <n v="1556.874"/>
    <n v="1309.5509999999999"/>
    <n v="659.12599999999998"/>
    <n v="197.06"/>
    <n v="1825.914"/>
    <n v="-269.03999999999996"/>
    <s v="Return"/>
    <s v="Pending"/>
    <x v="100"/>
  </r>
  <r>
    <n v="8671977338"/>
    <n v="2994"/>
    <n v="741.91300000000001"/>
    <n v="71.98"/>
    <n v="334.15600000000001"/>
    <n v="2164.0680000000002"/>
    <n v="1829.9120000000003"/>
    <n v="829.93199999999979"/>
    <n v="0"/>
    <s v="-"/>
    <n v="2164.0680000000002"/>
    <s v="Completed"/>
    <s v="Pending"/>
    <x v="117"/>
  </r>
  <r>
    <n v="8678600193"/>
    <n v="2269"/>
    <n v="589.03200000000004"/>
    <n v="71.98"/>
    <n v="253.239"/>
    <n v="1595.8330000000001"/>
    <n v="1342.5940000000001"/>
    <n v="673.16699999999992"/>
    <n v="0"/>
    <s v="-"/>
    <n v="1595.8330000000001"/>
    <s v="Completed"/>
    <s v="Pending"/>
    <x v="118"/>
  </r>
  <r>
    <n v="8681243759"/>
    <n v="2275"/>
    <n v="563.745"/>
    <n v="71.98"/>
    <n v="253.90600000000001"/>
    <n v="1627.088"/>
    <n v="1373.182"/>
    <n v="647.91200000000003"/>
    <n v="0"/>
    <s v="-"/>
    <n v="1627.088"/>
    <s v="Completed"/>
    <s v="Pending"/>
    <x v="107"/>
  </r>
  <r>
    <n v="8681438935"/>
    <n v="3629"/>
    <n v="1156.1990000000001"/>
    <n v="71.98"/>
    <n v="405.02100000000002"/>
    <n v="2381.38"/>
    <n v="1976.3590000000002"/>
    <n v="1247.6199999999999"/>
    <n v="0"/>
    <s v="-"/>
    <n v="2381.38"/>
    <s v="Completed"/>
    <s v="Pending"/>
    <x v="107"/>
  </r>
  <r>
    <n v="8691422928"/>
    <n v="3564"/>
    <n v="883.15899999999999"/>
    <n v="71.98"/>
    <n v="558.76199999999994"/>
    <n v="2590.739"/>
    <n v="2031.9770000000001"/>
    <n v="973.26099999999997"/>
    <n v="0"/>
    <s v="-"/>
    <n v="2590.739"/>
    <s v="Completed"/>
    <s v="Pending"/>
    <x v="91"/>
  </r>
  <r>
    <n v="8694664241"/>
    <n v="2293"/>
    <n v="730.55"/>
    <n v="71.97999999999999"/>
    <n v="120.119"/>
    <n v="1477.367"/>
    <n v="1357.248"/>
    <n v="815.63300000000004"/>
    <n v="107.38000000000001"/>
    <n v="1656.7270000000001"/>
    <n v="-179.36000000000013"/>
    <s v="Return"/>
    <s v="Pending"/>
    <x v="91"/>
  </r>
  <r>
    <n v="8378115534"/>
    <n v="3187"/>
    <n v="639.31200000000001"/>
    <n v="240.41319999999999"/>
    <n v="355.69299999999998"/>
    <n v="2290.2008000000001"/>
    <n v="1934.5078000000001"/>
    <n v="896.79919999999993"/>
    <n v="0"/>
    <s v="-"/>
    <n v="2290.2008000000001"/>
    <s v="Completed"/>
    <s v="Pending"/>
    <x v="119"/>
  </r>
  <r>
    <n v="8682097274"/>
    <n v="2769"/>
    <n v="718.83199999999999"/>
    <n v="71.98"/>
    <n v="309.04200000000003"/>
    <n v="1963.354"/>
    <n v="1654.3119999999999"/>
    <n v="805.64599999999996"/>
    <n v="0"/>
    <s v="-"/>
    <n v="1963.354"/>
    <s v="Completed"/>
    <s v="Pending"/>
    <x v="103"/>
  </r>
  <r>
    <n v="8664604018"/>
    <n v="3394"/>
    <n v="841.03300000000002"/>
    <n v="71.98"/>
    <n v="378.79199999999997"/>
    <n v="2462.8049999999998"/>
    <n v="2084.0129999999999"/>
    <n v="931.19500000000016"/>
    <n v="197.06"/>
    <n v="2731.8449999999998"/>
    <n v="-269.03999999999996"/>
    <s v="Return"/>
    <s v="Pending"/>
    <x v="41"/>
  </r>
  <r>
    <n v="8685565962"/>
    <n v="2556"/>
    <n v="633.37699999999995"/>
    <n v="71.98"/>
    <n v="285.27100000000002"/>
    <n v="1836.95"/>
    <n v="1551.6790000000001"/>
    <n v="719.05"/>
    <n v="0"/>
    <s v="-"/>
    <n v="1836.95"/>
    <s v="Completed"/>
    <s v="Pending"/>
    <x v="101"/>
  </r>
  <r>
    <n v="8669905946"/>
    <n v="3544"/>
    <n v="920.02200000000005"/>
    <n v="71.98"/>
    <n v="395.53100000000001"/>
    <n v="2533.0129999999999"/>
    <n v="2137.482"/>
    <n v="1010.9870000000001"/>
    <n v="0"/>
    <s v="-"/>
    <n v="2533.0129999999999"/>
    <s v="Completed"/>
    <s v="Pending"/>
    <x v="100"/>
  </r>
  <r>
    <n v="8692542512"/>
    <n v="1819"/>
    <n v="493.67599999999999"/>
    <n v="53.1"/>
    <n v="95.282000000000011"/>
    <n v="1261.829"/>
    <n v="1166.547"/>
    <n v="557.17100000000005"/>
    <n v="0"/>
    <s v="-"/>
    <n v="1261.829"/>
    <s v="Completed"/>
    <s v="Pending"/>
    <x v="91"/>
  </r>
  <r>
    <n v="8694412952"/>
    <n v="3788.98"/>
    <n v="938.90899999999999"/>
    <n v="71.98"/>
    <n v="594.03499999999997"/>
    <n v="2758.8249999999998"/>
    <n v="2164.79"/>
    <n v="1030.1550000000002"/>
    <n v="107.38"/>
    <n v="2938.1849999999999"/>
    <n v="-179.36000000000013"/>
    <s v="Return"/>
    <s v="Pending"/>
    <x v="91"/>
  </r>
  <r>
    <n v="8696609594"/>
    <n v="3044"/>
    <n v="646.54600000000005"/>
    <n v="71.97999999999999"/>
    <n v="477.238"/>
    <n v="2309.9969999999998"/>
    <n v="1832.7589999999998"/>
    <n v="734.00300000000016"/>
    <n v="197.06"/>
    <n v="2579.0369999999998"/>
    <n v="-269.03999999999996"/>
    <s v="Return"/>
    <s v="Pending"/>
    <x v="115"/>
  </r>
  <r>
    <n v="8691260646"/>
    <n v="3143"/>
    <n v="667.57299999999998"/>
    <n v="71.98"/>
    <n v="492.75799999999998"/>
    <n v="2387.4650000000001"/>
    <n v="1894.7070000000001"/>
    <n v="755.53499999999985"/>
    <n v="0"/>
    <s v="-"/>
    <n v="2387.4650000000001"/>
    <s v="Completed"/>
    <s v="Pending"/>
    <x v="91"/>
  </r>
  <r>
    <n v="8700420125"/>
    <n v="3119"/>
    <n v="662.476"/>
    <n v="71.98"/>
    <n v="488.99599999999998"/>
    <n v="2368.6849999999999"/>
    <n v="1879.6889999999999"/>
    <n v="750.31500000000005"/>
    <n v="132.16"/>
    <n v="2572.8249999999998"/>
    <n v="-204.13999999999987"/>
    <s v="Return"/>
    <s v="Pending"/>
    <x v="97"/>
  </r>
  <r>
    <n v="8663883621"/>
    <n v="881"/>
    <n v="291.08199999999999"/>
    <n v="31.86"/>
    <n v="46.155000000000001"/>
    <n v="553.024"/>
    <n v="506.86900000000003"/>
    <n v="327.976"/>
    <n v="197.06"/>
    <n v="781.94399999999996"/>
    <n v="-228.91999999999996"/>
    <s v="Return"/>
    <s v="Pending"/>
    <x v="106"/>
  </r>
  <r>
    <n v="8659518257"/>
    <n v="2556"/>
    <n v="633.37699999999995"/>
    <n v="71.98"/>
    <n v="285.27100000000002"/>
    <n v="1836.95"/>
    <n v="1551.6790000000001"/>
    <n v="719.05"/>
    <n v="0"/>
    <s v="-"/>
    <n v="1836.95"/>
    <s v="Completed"/>
    <s v="Pending"/>
    <x v="48"/>
  </r>
  <r>
    <n v="8682069874"/>
    <n v="3109"/>
    <n v="660.35199999999998"/>
    <n v="71.98"/>
    <n v="346.98900000000003"/>
    <n v="2360.0129999999999"/>
    <n v="2013.0239999999999"/>
    <n v="748.98700000000008"/>
    <n v="132.16"/>
    <n v="2564.1529999999998"/>
    <n v="-204.13999999999987"/>
    <s v="Return"/>
    <s v="Pending"/>
    <x v="103"/>
  </r>
  <r>
    <n v="8682749335"/>
    <n v="3294"/>
    <n v="699.64599999999996"/>
    <n v="71.98"/>
    <n v="367.63499999999999"/>
    <n v="2504.7280000000001"/>
    <n v="2137.0929999999998"/>
    <n v="789.27199999999993"/>
    <n v="197.06"/>
    <n v="2773.768"/>
    <n v="-269.03999999999996"/>
    <s v="Return"/>
    <s v="Pending"/>
    <x v="101"/>
  </r>
  <r>
    <n v="8668594339"/>
    <n v="3356"/>
    <n v="871.21799999999996"/>
    <n v="71.98"/>
    <n v="374.55200000000002"/>
    <n v="2394.8240000000001"/>
    <n v="2020.2719999999999"/>
    <n v="961.17599999999993"/>
    <n v="0"/>
    <s v="-"/>
    <n v="2394.8240000000001"/>
    <s v="Completed"/>
    <s v="Pending"/>
    <x v="100"/>
  </r>
  <r>
    <n v="8677363499"/>
    <n v="3994"/>
    <n v="1272.4880000000001"/>
    <n v="71.98"/>
    <n v="445.76"/>
    <n v="2628.136"/>
    <n v="2182.3760000000002"/>
    <n v="1365.864"/>
    <n v="0"/>
    <s v="-"/>
    <n v="2628.136"/>
    <s v="Completed"/>
    <s v="Pending"/>
    <x v="102"/>
  </r>
  <r>
    <n v="8679284151"/>
    <n v="2993.98"/>
    <n v="635.92100000000005"/>
    <n v="71.98"/>
    <n v="334.14599999999996"/>
    <n v="2270.04"/>
    <n v="1935.894"/>
    <n v="723.94"/>
    <n v="132.16"/>
    <n v="2474.1799999999998"/>
    <n v="-204.13999999999987"/>
    <s v="Return"/>
    <s v="Pending"/>
    <x v="110"/>
  </r>
  <r>
    <n v="8670004890"/>
    <n v="969"/>
    <n v="320.15800000000002"/>
    <n v="31.86"/>
    <n v="50.753999999999998"/>
    <n v="611.44500000000005"/>
    <n v="560.69100000000003"/>
    <n v="357.55499999999995"/>
    <n v="132.16"/>
    <n v="775.46500000000003"/>
    <n v="-164.01999999999998"/>
    <s v="Return"/>
    <s v="Pending"/>
    <x v="100"/>
  </r>
  <r>
    <n v="8673166572"/>
    <n v="1204"/>
    <n v="326.76600000000002"/>
    <n v="53.1"/>
    <n v="134.375"/>
    <n v="817.68399999999997"/>
    <n v="683.30899999999997"/>
    <n v="386.31600000000003"/>
    <n v="197.06"/>
    <n v="1067.8440000000001"/>
    <n v="-250.16000000000008"/>
    <s v="Return"/>
    <s v="Pending"/>
    <x v="95"/>
  </r>
  <r>
    <n v="8679406849"/>
    <n v="2594"/>
    <n v="550.96600000000001"/>
    <n v="71.98"/>
    <n v="289.51"/>
    <n v="1957.1579999999999"/>
    <n v="1667.6479999999999"/>
    <n v="636.8420000000001"/>
    <n v="0"/>
    <s v="-"/>
    <n v="1957.1579999999999"/>
    <s v="Completed"/>
    <s v="Pending"/>
    <x v="110"/>
  </r>
  <r>
    <n v="8668327470"/>
    <n v="4045"/>
    <n v="1288.7370000000001"/>
    <n v="71.98"/>
    <n v="451.44799999999998"/>
    <n v="2662.6129999999998"/>
    <n v="2211.165"/>
    <n v="1382.3870000000002"/>
    <n v="197.06"/>
    <n v="2931.6529999999998"/>
    <n v="-269.03999999999996"/>
    <s v="Return"/>
    <s v="Pending"/>
    <x v="100"/>
  </r>
  <r>
    <n v="8686759194"/>
    <n v="3544"/>
    <n v="920.02200000000005"/>
    <n v="71.98"/>
    <n v="395.53100000000001"/>
    <n v="2533.0129999999999"/>
    <n v="2137.482"/>
    <n v="1010.9870000000001"/>
    <n v="197.06"/>
    <n v="2802.0529999999999"/>
    <n v="-269.03999999999996"/>
    <s v="Return"/>
    <s v="Pending"/>
    <x v="120"/>
  </r>
  <r>
    <n v="8666983824"/>
    <n v="2419"/>
    <n v="513.79600000000005"/>
    <n v="71.98"/>
    <n v="269.97899999999998"/>
    <n v="1820.2650000000001"/>
    <n v="1550.2860000000001"/>
    <n v="598.7349999999999"/>
    <n v="0"/>
    <s v="-"/>
    <n v="1820.2650000000001"/>
    <s v="Completed"/>
    <s v="Pending"/>
    <x v="92"/>
  </r>
  <r>
    <n v="8681357466"/>
    <n v="2944"/>
    <n v="729.52300000000002"/>
    <n v="71.98"/>
    <n v="328.57299999999998"/>
    <n v="2126.7249999999999"/>
    <n v="1798.152"/>
    <n v="817.27500000000009"/>
    <n v="0"/>
    <s v="-"/>
    <n v="2126.7249999999999"/>
    <s v="Completed"/>
    <s v="Pending"/>
    <x v="107"/>
  </r>
  <r>
    <n v="8709211879"/>
    <n v="3329"/>
    <n v="707.08"/>
    <n v="71.98"/>
    <n v="521.91600000000005"/>
    <n v="2533.0129999999999"/>
    <n v="2011.0969999999998"/>
    <n v="795.98700000000008"/>
    <n v="0"/>
    <s v="-"/>
    <n v="2533.0129999999999"/>
    <s v="Completed"/>
    <s v="Pending"/>
    <x v="121"/>
  </r>
  <r>
    <n v="8659466063"/>
    <n v="1454"/>
    <n v="325.98700000000002"/>
    <n v="53.1"/>
    <n v="162.28100000000001"/>
    <n v="1067.124"/>
    <n v="904.84300000000007"/>
    <n v="386.87599999999998"/>
    <n v="0"/>
    <s v="-"/>
    <n v="1067.124"/>
    <s v="Completed"/>
    <s v="Pending"/>
    <x v="73"/>
  </r>
  <r>
    <n v="8675097215"/>
    <n v="2794"/>
    <n v="692.35299999999995"/>
    <n v="71.98"/>
    <n v="311.83300000000003"/>
    <n v="2014.6990000000001"/>
    <n v="1702.866"/>
    <n v="779.30099999999993"/>
    <n v="0"/>
    <s v="-"/>
    <n v="2014.6990000000001"/>
    <s v="Completed"/>
    <s v="Pending"/>
    <x v="93"/>
  </r>
  <r>
    <n v="8687098475"/>
    <n v="3643.98"/>
    <n v="1117.973"/>
    <n v="71.97999999999999"/>
    <n v="406.697"/>
    <n v="2434.5059999999999"/>
    <n v="2027.8089999999997"/>
    <n v="1209.4740000000002"/>
    <n v="0"/>
    <s v="-"/>
    <n v="2434.5059999999999"/>
    <s v="Completed"/>
    <s v="Pending"/>
    <x v="113"/>
  </r>
  <r>
    <n v="8694687361"/>
    <n v="3142.99"/>
    <n v="667.57100000000003"/>
    <n v="71.98"/>
    <n v="492.75799999999998"/>
    <n v="2387.4569999999999"/>
    <n v="1894.6989999999998"/>
    <n v="755.5329999999999"/>
    <n v="0"/>
    <s v="-"/>
    <n v="2387.4569999999999"/>
    <s v="Completed"/>
    <s v="Pending"/>
    <x v="91"/>
  </r>
  <r>
    <n v="8695543632"/>
    <n v="3143"/>
    <n v="667.57299999999998"/>
    <n v="71.98"/>
    <n v="492.75799999999998"/>
    <n v="2387.4650000000001"/>
    <n v="1894.7070000000001"/>
    <n v="755.53499999999985"/>
    <n v="0"/>
    <s v="-"/>
    <n v="2387.4650000000001"/>
    <s v="Completed"/>
    <s v="Pending"/>
    <x v="91"/>
  </r>
  <r>
    <n v="8704665177"/>
    <n v="2150"/>
    <n v="684.99"/>
    <n v="71.98"/>
    <n v="112.61799999999999"/>
    <n v="1380.7439999999999"/>
    <n v="1268.126"/>
    <n v="769.25600000000009"/>
    <n v="197.06"/>
    <n v="1649.7839999999999"/>
    <n v="-269.03999999999996"/>
    <s v="Return"/>
    <s v="Pending"/>
    <x v="105"/>
  </r>
  <r>
    <n v="8673411314"/>
    <n v="1794"/>
    <n v="444.553"/>
    <n v="53.1"/>
    <n v="200.21899999999999"/>
    <n v="1286.7360000000001"/>
    <n v="1086.5170000000001"/>
    <n v="507.2639999999999"/>
    <n v="0"/>
    <s v="-"/>
    <n v="1286.7360000000001"/>
    <s v="Completed"/>
    <s v="Pending"/>
    <x v="95"/>
  </r>
  <r>
    <n v="8665007762"/>
    <n v="5701"/>
    <n v="1749.067"/>
    <n v="71.98"/>
    <n v="636.27100000000007"/>
    <n v="3849.4119999999998"/>
    <n v="3213.1409999999996"/>
    <n v="1851.5880000000002"/>
    <n v="0"/>
    <s v="-"/>
    <n v="3849.4119999999998"/>
    <s v="Completed"/>
    <s v="Pending"/>
    <x v="41"/>
  </r>
  <r>
    <n v="8692891232"/>
    <n v="3564"/>
    <n v="883.15899999999999"/>
    <n v="71.98"/>
    <n v="558.76199999999994"/>
    <n v="2590.739"/>
    <n v="2031.9770000000001"/>
    <n v="973.26099999999997"/>
    <n v="0"/>
    <s v="-"/>
    <n v="2590.739"/>
    <s v="Completed"/>
    <s v="Pending"/>
    <x v="91"/>
  </r>
  <r>
    <n v="8679706877"/>
    <n v="3594"/>
    <n v="890.59299999999996"/>
    <n v="71.98"/>
    <n v="401.11500000000001"/>
    <n v="2612.1729999999998"/>
    <n v="2211.058"/>
    <n v="981.82700000000023"/>
    <n v="0"/>
    <s v="-"/>
    <n v="2612.1729999999998"/>
    <s v="Completed"/>
    <s v="Pending"/>
    <x v="110"/>
  </r>
  <r>
    <n v="8698964265"/>
    <n v="2432"/>
    <n v="516.55700000000002"/>
    <n v="71.98"/>
    <n v="127.401"/>
    <n v="1829.566"/>
    <n v="1702.165"/>
    <n v="602.43399999999997"/>
    <n v="107.38"/>
    <n v="2008.9259999999999"/>
    <n v="-179.3599999999999"/>
    <s v="Return"/>
    <s v="Pending"/>
    <x v="97"/>
  </r>
  <r>
    <n v="8689247484"/>
    <n v="3789"/>
    <n v="938.91399999999999"/>
    <n v="71.98"/>
    <n v="594.03499999999997"/>
    <n v="2758.84"/>
    <n v="2164.8050000000003"/>
    <n v="1030.1599999999999"/>
    <n v="197.06"/>
    <n v="3027.88"/>
    <n v="-269.03999999999996"/>
    <s v="Return"/>
    <s v="Pending"/>
    <x v="91"/>
  </r>
  <r>
    <n v="8695689853"/>
    <n v="3470"/>
    <n v="859.86599999999999"/>
    <n v="71.98"/>
    <n v="544.02300000000002"/>
    <n v="2520.5100000000002"/>
    <n v="1976.4870000000001"/>
    <n v="949.48999999999978"/>
    <n v="0"/>
    <s v="-"/>
    <n v="2520.5100000000002"/>
    <s v="Completed"/>
    <s v="Pending"/>
    <x v="91"/>
  </r>
  <r>
    <n v="8599978899"/>
    <n v="1179"/>
    <n v="292.15600000000001"/>
    <n v="53.1"/>
    <n v="131.583"/>
    <n v="827.428"/>
    <n v="695.84500000000003"/>
    <n v="351.572"/>
    <n v="0"/>
    <s v="-"/>
    <n v="827.428"/>
    <s v="Completed"/>
    <s v="Pending"/>
    <x v="122"/>
  </r>
  <r>
    <n v="8670087236"/>
    <n v="2344"/>
    <n v="608.50199999999995"/>
    <n v="71.98"/>
    <n v="261.60399999999998"/>
    <n v="1650.961"/>
    <n v="1389.357"/>
    <n v="693.03899999999999"/>
    <n v="0"/>
    <s v="-"/>
    <n v="1650.961"/>
    <s v="Completed"/>
    <s v="Pending"/>
    <x v="100"/>
  </r>
  <r>
    <n v="8701295928"/>
    <n v="1012"/>
    <n v="250.774"/>
    <n v="53.1"/>
    <n v="53.009"/>
    <n v="702.34299999999996"/>
    <n v="649.33399999999995"/>
    <n v="309.65700000000004"/>
    <n v="197.06"/>
    <n v="952.50299999999993"/>
    <n v="-250.15999999999997"/>
    <s v="Return"/>
    <s v="Pending"/>
    <x v="111"/>
  </r>
  <r>
    <n v="8672455122"/>
    <n v="2834"/>
    <n v="702.26499999999999"/>
    <n v="71.98"/>
    <n v="316.29199999999997"/>
    <n v="2044.5730000000001"/>
    <n v="1728.2810000000002"/>
    <n v="789.42699999999991"/>
    <n v="0"/>
    <s v="-"/>
    <n v="2044.5730000000001"/>
    <s v="Completed"/>
    <s v="Pending"/>
    <x v="123"/>
  </r>
  <r>
    <n v="8675526093"/>
    <n v="1079"/>
    <n v="267.37599999999998"/>
    <n v="53.1"/>
    <n v="120.42699999999999"/>
    <n v="752.74400000000003"/>
    <n v="632.31700000000001"/>
    <n v="326.25599999999997"/>
    <n v="132.16"/>
    <n v="938.00400000000002"/>
    <n v="-185.26"/>
    <s v="Return"/>
    <s v="Pending"/>
    <x v="104"/>
  </r>
  <r>
    <n v="8690835100"/>
    <n v="2293"/>
    <n v="730.55"/>
    <n v="71.98"/>
    <n v="120.10899999999999"/>
    <n v="1477.367"/>
    <n v="1357.258"/>
    <n v="815.63300000000004"/>
    <n v="0"/>
    <s v="-"/>
    <n v="1477.367"/>
    <s v="Completed"/>
    <s v="Pending"/>
    <x v="91"/>
  </r>
  <r>
    <n v="8663926203"/>
    <n v="1454"/>
    <n v="325.98700000000002"/>
    <n v="53.1"/>
    <n v="162.28100000000001"/>
    <n v="1067.124"/>
    <n v="904.84300000000007"/>
    <n v="386.87599999999998"/>
    <n v="197.06"/>
    <n v="1317.2839999999999"/>
    <n v="-250.15999999999985"/>
    <s v="Return"/>
    <s v="Pending"/>
    <x v="106"/>
  </r>
  <r>
    <n v="8706210922"/>
    <n v="391"/>
    <n v="9.2279999999999998"/>
    <n v="31.86"/>
    <n v="20.481999999999999"/>
    <n v="347.678"/>
    <n v="327.19600000000003"/>
    <n v="43.322000000000003"/>
    <n v="0"/>
    <s v="-"/>
    <n v="347.678"/>
    <s v="Completed"/>
    <s v="Pending"/>
    <x v="108"/>
  </r>
  <r>
    <n v="8681023356"/>
    <n v="3544"/>
    <n v="920.02200000000005"/>
    <n v="71.98"/>
    <n v="395.53100000000001"/>
    <n v="2533.0129999999999"/>
    <n v="2137.482"/>
    <n v="1010.9870000000001"/>
    <n v="0"/>
    <s v="-"/>
    <n v="2533.0129999999999"/>
    <s v="Completed"/>
    <s v="Pending"/>
    <x v="124"/>
  </r>
  <r>
    <n v="8700305809"/>
    <n v="3169"/>
    <n v="785.27800000000002"/>
    <n v="71.98"/>
    <n v="496.82799999999997"/>
    <n v="2295.6280000000002"/>
    <n v="1798.8000000000002"/>
    <n v="873.37199999999984"/>
    <n v="0"/>
    <s v="-"/>
    <n v="2295.6280000000002"/>
    <s v="Completed"/>
    <s v="Pending"/>
    <x v="97"/>
  </r>
  <r>
    <n v="8694911050"/>
    <n v="3564"/>
    <n v="883.15899999999999"/>
    <n v="71.98"/>
    <n v="558.76199999999994"/>
    <n v="2590.739"/>
    <n v="2031.9770000000001"/>
    <n v="973.26099999999997"/>
    <n v="0"/>
    <s v="-"/>
    <n v="2590.739"/>
    <s v="Completed"/>
    <s v="Pending"/>
    <x v="91"/>
  </r>
  <r>
    <n v="8702968798"/>
    <n v="3154"/>
    <n v="669.91"/>
    <n v="71.98"/>
    <n v="494.48399999999998"/>
    <n v="2396.0729999999999"/>
    <n v="1901.5889999999999"/>
    <n v="757.92700000000013"/>
    <n v="0"/>
    <s v="-"/>
    <n v="2396.0729999999999"/>
    <s v="Completed"/>
    <s v="Pending"/>
    <x v="112"/>
  </r>
  <r>
    <n v="8706180744"/>
    <n v="1480"/>
    <n v="384.20800000000003"/>
    <n v="53.1"/>
    <n v="77.528000000000006"/>
    <n v="1034.2339999999999"/>
    <n v="956.7059999999999"/>
    <n v="445.76600000000008"/>
    <n v="0"/>
    <s v="-"/>
    <n v="1034.2339999999999"/>
    <s v="Completed"/>
    <s v="Pending"/>
    <x v="108"/>
  </r>
  <r>
    <n v="8667562183"/>
    <n v="2994"/>
    <n v="741.91300000000001"/>
    <n v="71.98"/>
    <n v="334.14599999999996"/>
    <n v="2164.0680000000002"/>
    <n v="1829.9220000000003"/>
    <n v="829.93199999999979"/>
    <n v="0"/>
    <s v="-"/>
    <n v="2164.0680000000002"/>
    <s v="Completed"/>
    <s v="Pending"/>
    <x v="100"/>
  </r>
  <r>
    <n v="8676684709"/>
    <n v="2994"/>
    <n v="741.91300000000001"/>
    <n v="71.98"/>
    <n v="334.15600000000001"/>
    <n v="2164.0680000000002"/>
    <n v="1829.9120000000003"/>
    <n v="829.93199999999979"/>
    <n v="0"/>
    <s v="-"/>
    <n v="2164.0680000000002"/>
    <s v="Completed"/>
    <s v="Pending"/>
    <x v="102"/>
  </r>
  <r>
    <n v="8656967184"/>
    <n v="2419"/>
    <n v="513.79600000000005"/>
    <n v="71.98"/>
    <n v="269.97899999999998"/>
    <n v="1820.2650000000001"/>
    <n v="1550.2860000000001"/>
    <n v="598.7349999999999"/>
    <n v="0"/>
    <s v="-"/>
    <n v="1820.2650000000001"/>
    <s v="Completed"/>
    <s v="Pending"/>
    <x v="60"/>
  </r>
  <r>
    <n v="8672976504"/>
    <n v="2644"/>
    <n v="842.37800000000004"/>
    <n v="71.98"/>
    <n v="295.09399999999999"/>
    <n v="1715.4770000000001"/>
    <n v="1420.383"/>
    <n v="928.52299999999991"/>
    <n v="0"/>
    <s v="-"/>
    <n v="1715.4770000000001"/>
    <s v="Completed"/>
    <s v="Pending"/>
    <x v="95"/>
  </r>
  <r>
    <n v="8687284509"/>
    <n v="2168"/>
    <n v="690.72500000000002"/>
    <n v="71.98"/>
    <n v="113.56399999999999"/>
    <n v="1392.9059999999999"/>
    <n v="1279.3419999999999"/>
    <n v="775.09400000000005"/>
    <n v="0"/>
    <s v="-"/>
    <n v="1392.9059999999999"/>
    <s v="Completed"/>
    <s v="Pending"/>
    <x v="91"/>
  </r>
  <r>
    <n v="8672771876"/>
    <n v="2606.0099999999998"/>
    <n v="553.51599999999996"/>
    <n v="71.97999999999999"/>
    <n v="290.85400000000004"/>
    <n v="1966.5530000000001"/>
    <n v="1675.6990000000001"/>
    <n v="639.45699999999965"/>
    <n v="107.38"/>
    <n v="2145.913"/>
    <n v="-179.3599999999999"/>
    <s v="Return"/>
    <s v="Pending"/>
    <x v="123"/>
  </r>
  <r>
    <n v="8665449739"/>
    <n v="2994"/>
    <n v="635.92600000000004"/>
    <n v="71.98"/>
    <n v="334.15600000000001"/>
    <n v="2270.0549999999998"/>
    <n v="1935.8989999999999"/>
    <n v="723.94500000000016"/>
    <n v="132.16"/>
    <n v="2474.1949999999997"/>
    <n v="-204.13999999999987"/>
    <s v="Return"/>
    <s v="Pending"/>
    <x v="125"/>
  </r>
  <r>
    <n v="8672051089"/>
    <n v="1794"/>
    <n v="486.892"/>
    <n v="53.1"/>
    <n v="200.21899999999999"/>
    <n v="1244.3969999999999"/>
    <n v="1044.1779999999999"/>
    <n v="549.60300000000007"/>
    <n v="0"/>
    <s v="-"/>
    <n v="1244.3969999999999"/>
    <s v="Completed"/>
    <s v="Pending"/>
    <x v="117"/>
  </r>
  <r>
    <n v="8664301435"/>
    <n v="1108.99"/>
    <n v="248.636"/>
    <n v="53.1"/>
    <n v="123.77099999999999"/>
    <n v="801.31299999999999"/>
    <n v="677.54200000000003"/>
    <n v="307.67700000000002"/>
    <n v="0"/>
    <s v="-"/>
    <n v="801.31299999999999"/>
    <s v="Completed"/>
    <s v="Pending"/>
    <x v="41"/>
  </r>
  <r>
    <n v="8680458890"/>
    <n v="2834"/>
    <n v="735.70600000000002"/>
    <n v="71.98"/>
    <n v="316.29199999999997"/>
    <n v="2011.1320000000001"/>
    <n v="1694.8400000000001"/>
    <n v="822.86799999999994"/>
    <n v="0"/>
    <s v="-"/>
    <n v="2011.1320000000001"/>
    <s v="Completed"/>
    <s v="Pending"/>
    <x v="90"/>
  </r>
  <r>
    <n v="8657021789"/>
    <n v="706"/>
    <n v="208.27"/>
    <n v="31.86"/>
    <n v="36.981999999999999"/>
    <n v="461.83600000000001"/>
    <n v="424.85400000000004"/>
    <n v="244.16399999999999"/>
    <n v="0"/>
    <s v="-"/>
    <n v="461.83600000000001"/>
    <s v="Completed"/>
    <s v="Pending"/>
    <x v="60"/>
  </r>
  <r>
    <n v="8695544424"/>
    <n v="3143"/>
    <n v="667.57299999999998"/>
    <n v="71.98"/>
    <n v="492.75799999999998"/>
    <n v="2387.4650000000001"/>
    <n v="1894.7070000000001"/>
    <n v="755.53499999999985"/>
    <n v="0"/>
    <s v="-"/>
    <n v="2387.4650000000001"/>
    <s v="Completed"/>
    <s v="Pending"/>
    <x v="91"/>
  </r>
  <r>
    <n v="8661379163"/>
    <n v="1204"/>
    <n v="312.55799999999999"/>
    <n v="53.099999999999994"/>
    <n v="134.375"/>
    <n v="831.89200000000005"/>
    <n v="697.51700000000005"/>
    <n v="372.10799999999995"/>
    <n v="197.06"/>
    <n v="1082.0520000000001"/>
    <n v="-250.16000000000008"/>
    <s v="Return"/>
    <s v="Pending"/>
    <x v="70"/>
  </r>
  <r>
    <n v="8670004888"/>
    <n v="1259"/>
    <n v="415.97399999999999"/>
    <n v="53.1"/>
    <n v="140.511"/>
    <n v="783.18100000000004"/>
    <n v="642.67000000000007"/>
    <n v="475.81899999999996"/>
    <n v="132.16"/>
    <n v="968.44100000000003"/>
    <n v="-185.26"/>
    <s v="Return"/>
    <s v="Pending"/>
    <x v="100"/>
  </r>
  <r>
    <n v="8681830415"/>
    <n v="3544"/>
    <n v="920.02200000000005"/>
    <n v="71.98"/>
    <n v="395.53100000000001"/>
    <n v="2533.0129999999999"/>
    <n v="2137.482"/>
    <n v="1010.9870000000001"/>
    <n v="197.06"/>
    <n v="2802.0529999999999"/>
    <n v="-269.03999999999996"/>
    <s v="Return"/>
    <s v="Pending"/>
    <x v="107"/>
  </r>
  <r>
    <n v="8687468614"/>
    <n v="3104"/>
    <n v="769.17100000000005"/>
    <n v="71.98"/>
    <n v="486.64300000000003"/>
    <n v="2247.0650000000001"/>
    <n v="1760.422"/>
    <n v="856.93499999999995"/>
    <n v="197.06"/>
    <n v="2516.105"/>
    <n v="-269.03999999999996"/>
    <s v="Return"/>
    <s v="Pending"/>
    <x v="91"/>
  </r>
  <r>
    <n v="8680270452"/>
    <n v="1994"/>
    <n v="541.17100000000005"/>
    <n v="53.1"/>
    <n v="222.54199999999997"/>
    <n v="1389.047"/>
    <n v="1166.5050000000001"/>
    <n v="604.95299999999997"/>
    <n v="197.06"/>
    <n v="1639.2069999999999"/>
    <n v="-250.15999999999985"/>
    <s v="Return"/>
    <s v="Pending"/>
    <x v="99"/>
  </r>
  <r>
    <n v="8667648203"/>
    <n v="2644"/>
    <n v="655.18299999999999"/>
    <n v="71.98"/>
    <n v="295.09399999999999"/>
    <n v="1902.672"/>
    <n v="1607.578"/>
    <n v="741.32799999999997"/>
    <n v="0"/>
    <s v="-"/>
    <n v="1902.672"/>
    <s v="Completed"/>
    <s v="Pending"/>
    <x v="100"/>
  </r>
  <r>
    <n v="8680835728"/>
    <n v="2594"/>
    <n v="550.96600000000001"/>
    <n v="71.98"/>
    <n v="289.51"/>
    <n v="1957.1579999999999"/>
    <n v="1667.6479999999999"/>
    <n v="636.8420000000001"/>
    <n v="197.06"/>
    <n v="2226.1979999999999"/>
    <n v="-269.03999999999996"/>
    <s v="Return"/>
    <s v="Pending"/>
    <x v="90"/>
  </r>
  <r>
    <n v="8662341758"/>
    <n v="1931"/>
    <n v="638.00300000000004"/>
    <n v="53.1"/>
    <n v="215.51"/>
    <n v="1229.5530000000001"/>
    <n v="1014.0430000000001"/>
    <n v="701.44699999999989"/>
    <n v="0"/>
    <s v="-"/>
    <n v="1229.5530000000001"/>
    <s v="Completed"/>
    <s v="Pending"/>
    <x v="42"/>
  </r>
  <r>
    <n v="8690365732"/>
    <n v="4543.99"/>
    <n v="1126.001"/>
    <n v="71.98"/>
    <n v="712.404"/>
    <n v="3322.904"/>
    <n v="2610.5"/>
    <n v="1221.0859999999998"/>
    <n v="197.06"/>
    <n v="3591.944"/>
    <n v="-269.03999999999996"/>
    <s v="Return"/>
    <s v="Pending"/>
    <x v="91"/>
  </r>
  <r>
    <n v="8666896038"/>
    <n v="1204"/>
    <n v="312.55799999999999"/>
    <n v="53.1"/>
    <n v="134.375"/>
    <n v="831.89200000000005"/>
    <n v="697.51700000000005"/>
    <n v="372.10799999999995"/>
    <n v="197.06"/>
    <n v="1082.0520000000001"/>
    <n v="-250.16000000000008"/>
    <s v="Return"/>
    <s v="Pending"/>
    <x v="92"/>
  </r>
  <r>
    <n v="8685812812"/>
    <n v="3564"/>
    <n v="883.15899999999999"/>
    <n v="71.98"/>
    <n v="397.77100000000002"/>
    <n v="2589.768"/>
    <n v="2191.9969999999998"/>
    <n v="974.23199999999997"/>
    <n v="0"/>
    <s v="-"/>
    <n v="2589.768"/>
    <s v="Completed"/>
    <s v="Pending"/>
    <x v="101"/>
  </r>
  <r>
    <n v="8700359014"/>
    <n v="2396"/>
    <n v="593.72900000000004"/>
    <n v="71.98"/>
    <n v="125.50999999999999"/>
    <n v="1716.5989999999999"/>
    <n v="1591.0889999999999"/>
    <n v="679.40100000000007"/>
    <n v="0"/>
    <s v="-"/>
    <n v="1716.5989999999999"/>
    <s v="Completed"/>
    <s v="Pending"/>
    <x v="97"/>
  </r>
  <r>
    <n v="8680581306"/>
    <n v="3994"/>
    <n v="1272.489"/>
    <n v="71.97999999999999"/>
    <n v="445.76"/>
    <n v="2628.1350000000002"/>
    <n v="2182.375"/>
    <n v="1365.8649999999998"/>
    <n v="197.06"/>
    <n v="2897.1750000000002"/>
    <n v="-269.03999999999996"/>
    <s v="Return"/>
    <s v="Pending"/>
    <x v="90"/>
  </r>
  <r>
    <n v="8673241096"/>
    <n v="3169"/>
    <n v="822.67200000000003"/>
    <n v="71.98"/>
    <n v="353.68700000000001"/>
    <n v="2257.3719999999998"/>
    <n v="1903.6849999999999"/>
    <n v="911.62800000000016"/>
    <n v="107.38"/>
    <n v="2436.732"/>
    <n v="-179.36000000000013"/>
    <s v="Return"/>
    <s v="Pending"/>
    <x v="95"/>
  </r>
  <r>
    <n v="8696468577"/>
    <n v="3328.99"/>
    <n v="707.077"/>
    <n v="71.98"/>
    <n v="521.91600000000005"/>
    <n v="2533.0059999999999"/>
    <n v="2011.0899999999997"/>
    <n v="795.98399999999992"/>
    <n v="0"/>
    <s v="-"/>
    <n v="2533.0059999999999"/>
    <s v="Completed"/>
    <s v="Pending"/>
    <x v="115"/>
  </r>
  <r>
    <n v="8697412249"/>
    <n v="3109"/>
    <n v="660.35199999999998"/>
    <n v="71.98"/>
    <n v="487.43399999999997"/>
    <n v="2360.8589999999999"/>
    <n v="1873.425"/>
    <n v="748.14100000000008"/>
    <n v="0"/>
    <s v="-"/>
    <n v="2360.8589999999999"/>
    <s v="Completed"/>
    <s v="Pending"/>
    <x v="114"/>
  </r>
  <r>
    <n v="8661543409"/>
    <n v="2719"/>
    <n v="673.76800000000003"/>
    <n v="71.98"/>
    <n v="303.45799999999997"/>
    <n v="1958.6859999999999"/>
    <n v="1655.2280000000001"/>
    <n v="760.31400000000008"/>
    <n v="0"/>
    <s v="-"/>
    <n v="1958.6859999999999"/>
    <s v="Completed"/>
    <s v="Pending"/>
    <x v="42"/>
  </r>
  <r>
    <n v="8662707145"/>
    <n v="2993.99"/>
    <n v="777.24"/>
    <n v="71.98"/>
    <n v="334.15600000000001"/>
    <n v="2128.7310000000002"/>
    <n v="1794.5750000000003"/>
    <n v="865.25899999999956"/>
    <n v="0"/>
    <s v="-"/>
    <n v="2128.7310000000002"/>
    <s v="Completed"/>
    <s v="Pending"/>
    <x v="42"/>
  </r>
  <r>
    <n v="8695661593"/>
    <n v="2149.9899999999998"/>
    <n v="532.76800000000003"/>
    <n v="71.98"/>
    <n v="112.61799999999999"/>
    <n v="1532.9559999999999"/>
    <n v="1420.338"/>
    <n v="617.03399999999988"/>
    <n v="197.06"/>
    <n v="1801.9959999999999"/>
    <n v="-269.03999999999996"/>
    <s v="Return"/>
    <s v="Pending"/>
    <x v="91"/>
  </r>
  <r>
    <n v="8683699399"/>
    <n v="3563.99"/>
    <n v="883.15700000000004"/>
    <n v="71.98"/>
    <n v="397.77100000000002"/>
    <n v="2589.7600000000002"/>
    <n v="2191.989"/>
    <n v="974.22999999999956"/>
    <n v="0"/>
    <s v="-"/>
    <n v="2589.7600000000002"/>
    <s v="Completed"/>
    <s v="Pending"/>
    <x v="101"/>
  </r>
  <r>
    <n v="8694664242"/>
    <n v="2644"/>
    <n v="842.37800000000004"/>
    <n v="71.98"/>
    <n v="414.52299999999997"/>
    <n v="1716.1980000000001"/>
    <n v="1301.6750000000002"/>
    <n v="927.80199999999991"/>
    <n v="0"/>
    <s v="-"/>
    <n v="1716.1980000000001"/>
    <s v="Completed"/>
    <s v="Pending"/>
    <x v="91"/>
  </r>
  <r>
    <n v="8672940065"/>
    <n v="3544"/>
    <n v="920.02200000000005"/>
    <n v="71.98"/>
    <n v="395.53100000000001"/>
    <n v="2533.0129999999999"/>
    <n v="2137.482"/>
    <n v="1010.9870000000001"/>
    <n v="0"/>
    <s v="-"/>
    <n v="2533.0129999999999"/>
    <s v="Completed"/>
    <s v="Pending"/>
    <x v="95"/>
  </r>
  <r>
    <n v="8682620190"/>
    <n v="3563.99"/>
    <n v="883.15700000000004"/>
    <n v="71.98"/>
    <n v="397.77100000000002"/>
    <n v="2589.7600000000002"/>
    <n v="2191.989"/>
    <n v="974.22999999999956"/>
    <n v="0"/>
    <s v="-"/>
    <n v="2589.7600000000002"/>
    <s v="Completed"/>
    <s v="Pending"/>
    <x v="96"/>
  </r>
  <r>
    <n v="8683798730"/>
    <n v="2293"/>
    <n v="730.55"/>
    <n v="71.97999999999999"/>
    <n v="255.916"/>
    <n v="1478.1869999999999"/>
    <n v="1222.271"/>
    <n v="814.8130000000001"/>
    <n v="0"/>
    <s v="-"/>
    <n v="1478.1869999999999"/>
    <s v="Completed"/>
    <s v="Pending"/>
    <x v="101"/>
  </r>
  <r>
    <n v="8695941287"/>
    <n v="3564"/>
    <n v="883.15899999999999"/>
    <n v="71.98"/>
    <n v="558.76199999999994"/>
    <n v="2590.739"/>
    <n v="2031.9770000000001"/>
    <n v="973.26099999999997"/>
    <n v="132.16"/>
    <n v="2794.8789999999999"/>
    <n v="-204.13999999999987"/>
    <s v="Return"/>
    <s v="Pending"/>
    <x v="91"/>
  </r>
  <r>
    <n v="8663313597"/>
    <n v="2994"/>
    <n v="741.91300000000001"/>
    <n v="71.98"/>
    <n v="334.15600000000001"/>
    <n v="2164.0680000000002"/>
    <n v="1829.9120000000003"/>
    <n v="829.93199999999979"/>
    <n v="197.06"/>
    <n v="2433.1080000000002"/>
    <n v="-269.03999999999996"/>
    <s v="Return"/>
    <s v="Pending"/>
    <x v="106"/>
  </r>
  <r>
    <n v="8694664240"/>
    <n v="2293"/>
    <n v="730.55"/>
    <n v="71.97999999999999"/>
    <n v="120.119"/>
    <n v="1477.367"/>
    <n v="1357.248"/>
    <n v="815.63300000000004"/>
    <n v="107.38000000000001"/>
    <n v="1656.7270000000001"/>
    <n v="-179.36000000000013"/>
    <s v="Return"/>
    <s v="Pending"/>
    <x v="91"/>
  </r>
  <r>
    <n v="8672870386"/>
    <n v="150"/>
    <n v="17.7"/>
    <n v="31.86"/>
    <n v="7.8539999999999992"/>
    <n v="99.582999999999998"/>
    <n v="91.728999999999999"/>
    <n v="50.417000000000002"/>
    <n v="0"/>
    <s v="-"/>
    <n v="99.582999999999998"/>
    <s v="Completed"/>
    <s v="Pending"/>
    <x v="126"/>
  </r>
  <r>
    <n v="8693415291"/>
    <n v="3564"/>
    <n v="883.15899999999999"/>
    <n v="71.98"/>
    <n v="558.76199999999994"/>
    <n v="2590.739"/>
    <n v="2031.9770000000001"/>
    <n v="973.26099999999997"/>
    <n v="0"/>
    <s v="-"/>
    <n v="2590.739"/>
    <s v="Completed"/>
    <s v="Pending"/>
    <x v="91"/>
  </r>
  <r>
    <n v="8661360320"/>
    <n v="3794"/>
    <n v="940.15300000000002"/>
    <n v="71.98"/>
    <n v="423.43700000000001"/>
    <n v="2761.5419999999999"/>
    <n v="2338.105"/>
    <n v="1032.4580000000001"/>
    <n v="0"/>
    <s v="-"/>
    <n v="2761.5419999999999"/>
    <s v="Completed"/>
    <s v="Pending"/>
    <x v="70"/>
  </r>
  <r>
    <n v="8686513129"/>
    <n v="2417"/>
    <n v="627.45299999999997"/>
    <n v="71.98"/>
    <n v="269.75"/>
    <n v="1704.6189999999999"/>
    <n v="1434.8689999999999"/>
    <n v="712.38100000000009"/>
    <n v="0"/>
    <s v="-"/>
    <n v="1704.6189999999999"/>
    <s v="Completed"/>
    <s v="Pending"/>
    <x v="120"/>
  </r>
  <r>
    <n v="8698760848"/>
    <n v="3260"/>
    <n v="846.29600000000005"/>
    <n v="71.97999999999999"/>
    <n v="511.09399999999999"/>
    <n v="2325.1469999999999"/>
    <n v="1814.0529999999999"/>
    <n v="934.85300000000007"/>
    <n v="197.06"/>
    <n v="2594.1869999999999"/>
    <n v="-269.03999999999996"/>
    <s v="Return"/>
    <s v="Pending"/>
    <x v="97"/>
  </r>
  <r>
    <n v="8695924416"/>
    <n v="2244"/>
    <n v="582.54200000000003"/>
    <n v="71.98"/>
    <n v="117.54599999999999"/>
    <n v="1576.655"/>
    <n v="1459.1089999999999"/>
    <n v="667.34500000000003"/>
    <n v="197.06"/>
    <n v="1845.6949999999999"/>
    <n v="-269.03999999999996"/>
    <s v="Return"/>
    <s v="Pending"/>
    <x v="91"/>
  </r>
  <r>
    <n v="8665912845"/>
    <n v="1054"/>
    <n v="236.30699999999999"/>
    <n v="53.1"/>
    <n v="117.63500000000001"/>
    <n v="758.947"/>
    <n v="641.31200000000001"/>
    <n v="295.053"/>
    <n v="0"/>
    <s v="-"/>
    <n v="758.947"/>
    <s v="Completed"/>
    <s v="Pending"/>
    <x v="125"/>
  </r>
  <r>
    <n v="8710495331"/>
    <n v="2149.9900000000002"/>
    <n v="684.98699999999997"/>
    <n v="71.97999999999999"/>
    <n v="112.61799999999999"/>
    <n v="1380.7370000000001"/>
    <n v="1268.1190000000001"/>
    <n v="769.25300000000016"/>
    <n v="0"/>
    <s v="-"/>
    <n v="1380.7370000000001"/>
    <s v="Completed"/>
    <s v="Pending"/>
    <x v="127"/>
  </r>
  <r>
    <n v="8664041077"/>
    <n v="3119"/>
    <n v="993.71299999999997"/>
    <n v="71.98"/>
    <n v="348.10399999999998"/>
    <n v="2036.598"/>
    <n v="1688.4939999999999"/>
    <n v="1082.402"/>
    <n v="0"/>
    <s v="-"/>
    <n v="2036.598"/>
    <s v="Completed"/>
    <s v="Pending"/>
    <x v="41"/>
  </r>
  <r>
    <n v="8673164938"/>
    <n v="3543.99"/>
    <n v="920.02"/>
    <n v="71.98"/>
    <n v="395.53100000000001"/>
    <n v="2533.0050000000001"/>
    <n v="2137.4740000000002"/>
    <n v="1010.9849999999997"/>
    <n v="197.06"/>
    <n v="2802.0450000000001"/>
    <n v="-269.03999999999996"/>
    <s v="Return"/>
    <s v="Pending"/>
    <x v="95"/>
  </r>
  <r>
    <n v="8706210924"/>
    <n v="391"/>
    <n v="9.2279999999999998"/>
    <n v="31.86"/>
    <n v="20.481999999999999"/>
    <n v="347.678"/>
    <n v="327.19600000000003"/>
    <n v="43.322000000000003"/>
    <n v="0"/>
    <s v="-"/>
    <n v="347.678"/>
    <s v="Completed"/>
    <s v="Pending"/>
    <x v="108"/>
  </r>
  <r>
    <n v="8650709167"/>
    <n v="2594"/>
    <n v="642.79300000000001"/>
    <n v="71.97999999999999"/>
    <n v="289.51100000000002"/>
    <n v="1865.33"/>
    <n v="1575.819"/>
    <n v="728.67000000000007"/>
    <n v="0"/>
    <s v="-"/>
    <n v="1865.33"/>
    <s v="Completed"/>
    <s v="Pending"/>
    <x v="68"/>
  </r>
  <r>
    <n v="8672963529"/>
    <n v="2874"/>
    <n v="610.43700000000001"/>
    <n v="71.98"/>
    <n v="320.76"/>
    <n v="2176.1869999999999"/>
    <n v="1855.4269999999999"/>
    <n v="697.8130000000001"/>
    <n v="0"/>
    <s v="-"/>
    <n v="2176.1869999999999"/>
    <s v="Completed"/>
    <s v="Pending"/>
    <x v="95"/>
  </r>
  <r>
    <n v="8690634420"/>
    <n v="3294"/>
    <n v="816.25300000000004"/>
    <n v="71.98"/>
    <n v="516.43799999999999"/>
    <n v="2389.0169999999998"/>
    <n v="1872.5789999999997"/>
    <n v="904.98300000000017"/>
    <n v="197.06"/>
    <n v="2658.0569999999998"/>
    <n v="-269.03999999999996"/>
    <s v="Return"/>
    <s v="Pending"/>
    <x v="91"/>
  </r>
  <r>
    <n v="8672100659"/>
    <n v="1204"/>
    <n v="298.351"/>
    <n v="53.1"/>
    <n v="134.375"/>
    <n v="846.09900000000005"/>
    <n v="711.72400000000005"/>
    <n v="357.90099999999995"/>
    <n v="0"/>
    <s v="-"/>
    <n v="846.09900000000005"/>
    <s v="Completed"/>
    <s v="Pending"/>
    <x v="123"/>
  </r>
  <r>
    <n v="8689271567"/>
    <n v="2794"/>
    <n v="692.35299999999995"/>
    <n v="71.98"/>
    <n v="438.03899999999999"/>
    <n v="2015.46"/>
    <n v="1577.421"/>
    <n v="778.54"/>
    <n v="0"/>
    <s v="-"/>
    <n v="2015.46"/>
    <s v="Completed"/>
    <s v="Pending"/>
    <x v="91"/>
  </r>
  <r>
    <n v="8664000175"/>
    <n v="2594"/>
    <n v="550.96600000000001"/>
    <n v="71.98"/>
    <n v="289.51"/>
    <n v="1957.1579999999999"/>
    <n v="1667.6479999999999"/>
    <n v="636.8420000000001"/>
    <n v="0"/>
    <s v="-"/>
    <n v="1957.1579999999999"/>
    <s v="Completed"/>
    <s v="Pending"/>
    <x v="106"/>
  </r>
  <r>
    <n v="8675096594"/>
    <n v="2794"/>
    <n v="692.35299999999995"/>
    <n v="71.98"/>
    <n v="311.83300000000003"/>
    <n v="2014.6990000000001"/>
    <n v="1702.866"/>
    <n v="779.30099999999993"/>
    <n v="0"/>
    <s v="-"/>
    <n v="2014.6990000000001"/>
    <s v="Completed"/>
    <s v="Pending"/>
    <x v="93"/>
  </r>
  <r>
    <n v="8692031977"/>
    <n v="3564"/>
    <n v="883.15899999999999"/>
    <n v="71.98"/>
    <n v="558.76199999999994"/>
    <n v="2590.739"/>
    <n v="2031.9770000000001"/>
    <n v="973.26099999999997"/>
    <n v="132.16"/>
    <n v="2794.8789999999999"/>
    <n v="-204.13999999999987"/>
    <s v="Return"/>
    <s v="Pending"/>
    <x v="91"/>
  </r>
  <r>
    <n v="8658461828"/>
    <n v="2994"/>
    <n v="741.91300000000001"/>
    <n v="71.98"/>
    <n v="334.15600000000001"/>
    <n v="2164.0680000000002"/>
    <n v="1829.9120000000003"/>
    <n v="829.93199999999979"/>
    <n v="0"/>
    <s v="-"/>
    <n v="2164.0680000000002"/>
    <s v="Completed"/>
    <s v="Pending"/>
    <x v="32"/>
  </r>
  <r>
    <n v="8670048910"/>
    <n v="2169"/>
    <n v="691.04300000000001"/>
    <n v="71.98"/>
    <n v="242.07299999999998"/>
    <n v="1394.357"/>
    <n v="1152.2840000000001"/>
    <n v="774.64300000000003"/>
    <n v="0"/>
    <s v="-"/>
    <n v="1394.357"/>
    <s v="Completed"/>
    <s v="Pending"/>
    <x v="100"/>
  </r>
  <r>
    <n v="8672536845"/>
    <n v="2294"/>
    <n v="730.86800000000005"/>
    <n v="71.98"/>
    <n v="256.03100000000001"/>
    <n v="1478.8630000000001"/>
    <n v="1222.8320000000001"/>
    <n v="815.13699999999994"/>
    <n v="0"/>
    <s v="-"/>
    <n v="1478.8630000000001"/>
    <s v="Completed"/>
    <s v="Pending"/>
    <x v="123"/>
  </r>
  <r>
    <n v="8679854503"/>
    <n v="2419"/>
    <n v="513.79600000000005"/>
    <n v="71.98"/>
    <n v="269.97899999999998"/>
    <n v="1820.2650000000001"/>
    <n v="1550.2860000000001"/>
    <n v="598.7349999999999"/>
    <n v="132.16"/>
    <n v="2024.4050000000002"/>
    <n v="-204.1400000000001"/>
    <s v="Return"/>
    <s v="Pending"/>
    <x v="110"/>
  </r>
  <r>
    <n v="8700263061"/>
    <n v="3564"/>
    <n v="883.15899999999999"/>
    <n v="71.98"/>
    <n v="558.76199999999994"/>
    <n v="2590.739"/>
    <n v="2031.9770000000001"/>
    <n v="973.26099999999997"/>
    <n v="197.06"/>
    <n v="2859.779"/>
    <n v="-269.03999999999996"/>
    <s v="Return"/>
    <s v="Pending"/>
    <x v="97"/>
  </r>
  <r>
    <n v="8677429790"/>
    <n v="2594"/>
    <n v="550.96600000000001"/>
    <n v="71.98"/>
    <n v="289.51"/>
    <n v="1957.1579999999999"/>
    <n v="1667.6479999999999"/>
    <n v="636.8420000000001"/>
    <n v="197.06"/>
    <n v="2226.1979999999999"/>
    <n v="-269.03999999999996"/>
    <s v="Return"/>
    <s v="Pending"/>
    <x v="102"/>
  </r>
  <r>
    <n v="8695472253"/>
    <n v="3329"/>
    <n v="707.08"/>
    <n v="71.98"/>
    <n v="521.91600000000005"/>
    <n v="2533.0129999999999"/>
    <n v="2011.0969999999998"/>
    <n v="795.98700000000008"/>
    <n v="0"/>
    <s v="-"/>
    <n v="2533.0129999999999"/>
    <s v="Completed"/>
    <s v="Pending"/>
    <x v="91"/>
  </r>
  <r>
    <n v="8664113232"/>
    <n v="2406"/>
    <n v="596.20699999999999"/>
    <n v="71.98"/>
    <n v="268.53100000000001"/>
    <n v="1724.924"/>
    <n v="1456.393"/>
    <n v="681.07600000000002"/>
    <n v="197.06"/>
    <n v="1993.9639999999999"/>
    <n v="-269.03999999999996"/>
    <s v="Return"/>
    <s v="Pending"/>
    <x v="41"/>
  </r>
  <r>
    <n v="8681666403"/>
    <n v="3169"/>
    <n v="785.27800000000002"/>
    <n v="71.98"/>
    <n v="353.68700000000001"/>
    <n v="2294.7660000000001"/>
    <n v="1941.0790000000002"/>
    <n v="874.23399999999992"/>
    <n v="197.06"/>
    <n v="2563.806"/>
    <n v="-269.03999999999996"/>
    <s v="Return"/>
    <s v="Pending"/>
    <x v="107"/>
  </r>
  <r>
    <n v="8693566791"/>
    <n v="3294"/>
    <n v="816.25300000000004"/>
    <n v="71.98"/>
    <n v="516.43799999999999"/>
    <n v="2389.0169999999998"/>
    <n v="1872.5789999999997"/>
    <n v="904.98300000000017"/>
    <n v="197.06"/>
    <n v="2658.0569999999998"/>
    <n v="-269.03999999999996"/>
    <s v="Return"/>
    <s v="Pending"/>
    <x v="91"/>
  </r>
  <r>
    <n v="8696936954"/>
    <n v="3143"/>
    <n v="667.57299999999998"/>
    <n v="71.98"/>
    <n v="492.75799999999998"/>
    <n v="2387.4650000000001"/>
    <n v="1894.7070000000001"/>
    <n v="755.53499999999985"/>
    <n v="0"/>
    <s v="-"/>
    <n v="2387.4650000000001"/>
    <s v="Completed"/>
    <s v="Pending"/>
    <x v="114"/>
  </r>
  <r>
    <n v="8655681370"/>
    <n v="2944"/>
    <n v="729.52300000000002"/>
    <n v="71.98"/>
    <n v="328.57299999999998"/>
    <n v="2126.7249999999999"/>
    <n v="1798.152"/>
    <n v="817.27500000000009"/>
    <n v="197.06"/>
    <n v="2395.7649999999999"/>
    <n v="-269.03999999999996"/>
    <s v="Return"/>
    <s v="Pending"/>
    <x v="16"/>
  </r>
  <r>
    <n v="8663891760"/>
    <n v="1629"/>
    <n v="442.11099999999999"/>
    <n v="53.1"/>
    <n v="181.81199999999998"/>
    <n v="1125.0630000000001"/>
    <n v="943.25100000000009"/>
    <n v="503.9369999999999"/>
    <n v="0"/>
    <s v="-"/>
    <n v="1125.0630000000001"/>
    <s v="Completed"/>
    <s v="Pending"/>
    <x v="106"/>
  </r>
  <r>
    <n v="8675256419"/>
    <n v="2394"/>
    <n v="621.48199999999997"/>
    <n v="71.98"/>
    <n v="267.18799999999999"/>
    <n v="1687.713"/>
    <n v="1420.5250000000001"/>
    <n v="706.28700000000003"/>
    <n v="0"/>
    <s v="-"/>
    <n v="1687.713"/>
    <s v="Completed"/>
    <s v="Pending"/>
    <x v="93"/>
  </r>
  <r>
    <n v="8694116902"/>
    <n v="1204"/>
    <n v="326.76600000000002"/>
    <n v="53.1"/>
    <n v="63.062999999999995"/>
    <n v="817.25400000000002"/>
    <n v="754.19100000000003"/>
    <n v="386.74599999999998"/>
    <n v="0"/>
    <s v="-"/>
    <n v="817.25400000000002"/>
    <s v="Completed"/>
    <s v="Pending"/>
    <x v="91"/>
  </r>
  <r>
    <n v="8679197213"/>
    <n v="3794"/>
    <n v="940.15300000000002"/>
    <n v="71.98"/>
    <n v="423.43700000000001"/>
    <n v="2761.5419999999999"/>
    <n v="2338.105"/>
    <n v="1032.4580000000001"/>
    <n v="107.38"/>
    <n v="2940.902"/>
    <n v="-179.36000000000013"/>
    <s v="Return"/>
    <s v="Pending"/>
    <x v="118"/>
  </r>
  <r>
    <n v="8668992574"/>
    <n v="1818.99"/>
    <n v="536.60199999999998"/>
    <n v="53.1"/>
    <n v="203.02"/>
    <n v="1219.5440000000001"/>
    <n v="1016.5240000000001"/>
    <n v="599.44599999999991"/>
    <n v="0"/>
    <s v="-"/>
    <n v="1219.5440000000001"/>
    <s v="Completed"/>
    <s v="Pending"/>
    <x v="100"/>
  </r>
  <r>
    <n v="8696157014"/>
    <n v="2150"/>
    <n v="684.99"/>
    <n v="71.98"/>
    <n v="112.61799999999999"/>
    <n v="1380.7439999999999"/>
    <n v="1268.126"/>
    <n v="769.25600000000009"/>
    <n v="197.06"/>
    <n v="1649.7839999999999"/>
    <n v="-269.03999999999996"/>
    <s v="Return"/>
    <s v="Pending"/>
    <x v="128"/>
  </r>
  <r>
    <n v="8672924800"/>
    <n v="3213.9900000000002"/>
    <n v="796.42700000000002"/>
    <n v="71.98"/>
    <n v="358.70800000000003"/>
    <n v="2328.3649999999998"/>
    <n v="1969.6569999999997"/>
    <n v="885.62500000000045"/>
    <n v="0"/>
    <s v="-"/>
    <n v="2328.3649999999998"/>
    <s v="Completed"/>
    <s v="Pending"/>
    <x v="95"/>
  </r>
  <r>
    <n v="8662341757"/>
    <n v="3294"/>
    <n v="1049.4680000000001"/>
    <n v="71.98"/>
    <n v="367.63499999999999"/>
    <n v="2154.9059999999999"/>
    <n v="1787.271"/>
    <n v="1139.0940000000001"/>
    <n v="0"/>
    <s v="-"/>
    <n v="2154.9059999999999"/>
    <s v="Completed"/>
    <s v="Pending"/>
    <x v="42"/>
  </r>
  <r>
    <n v="8682748140"/>
    <n v="1169"/>
    <n v="262.08999999999997"/>
    <n v="53.1"/>
    <n v="130.46899999999999"/>
    <n v="847.54700000000003"/>
    <n v="717.07799999999997"/>
    <n v="321.45299999999997"/>
    <n v="0"/>
    <s v="-"/>
    <n v="847.54700000000003"/>
    <s v="Completed"/>
    <s v="Pending"/>
    <x v="101"/>
  </r>
  <r>
    <n v="8683362445"/>
    <n v="4219"/>
    <n v="1045.4680000000001"/>
    <n v="71.98"/>
    <n v="470.875"/>
    <n v="3078.95"/>
    <n v="2608.0749999999998"/>
    <n v="1140.0500000000002"/>
    <n v="0"/>
    <s v="-"/>
    <n v="3078.95"/>
    <s v="Completed"/>
    <s v="Pending"/>
    <x v="101"/>
  </r>
  <r>
    <n v="8649615155"/>
    <n v="2594"/>
    <n v="550.96600000000001"/>
    <n v="71.98"/>
    <n v="289.51"/>
    <n v="1957.1579999999999"/>
    <n v="1667.6479999999999"/>
    <n v="636.8420000000001"/>
    <n v="0"/>
    <s v="-"/>
    <n v="1957.1579999999999"/>
    <s v="Completed"/>
    <s v="Pending"/>
    <x v="3"/>
  </r>
  <r>
    <n v="8670260084"/>
    <n v="3544"/>
    <n v="920.02200000000005"/>
    <n v="71.98"/>
    <n v="395.53100000000001"/>
    <n v="2533.0129999999999"/>
    <n v="2137.482"/>
    <n v="1010.9870000000001"/>
    <n v="197.06"/>
    <n v="2802.0529999999999"/>
    <n v="-269.03999999999996"/>
    <s v="Return"/>
    <s v="Pending"/>
    <x v="100"/>
  </r>
  <r>
    <n v="8671776895"/>
    <n v="2594"/>
    <n v="550.96600000000001"/>
    <n v="71.98"/>
    <n v="289.51"/>
    <n v="1957.1579999999999"/>
    <n v="1667.6479999999999"/>
    <n v="636.8420000000001"/>
    <n v="0"/>
    <s v="-"/>
    <n v="1957.1579999999999"/>
    <s v="Completed"/>
    <s v="Pending"/>
    <x v="100"/>
  </r>
  <r>
    <n v="8676687007"/>
    <n v="1149"/>
    <n v="366.07100000000003"/>
    <n v="53.1"/>
    <n v="128.239"/>
    <n v="723.67399999999998"/>
    <n v="595.43499999999995"/>
    <n v="425.32600000000002"/>
    <n v="0"/>
    <s v="-"/>
    <n v="723.67399999999998"/>
    <s v="Completed"/>
    <s v="Pending"/>
    <x v="102"/>
  </r>
  <r>
    <n v="8689364850"/>
    <n v="1102"/>
    <n v="247.06800000000001"/>
    <n v="53.1"/>
    <n v="57.727999999999994"/>
    <n v="795.53499999999997"/>
    <n v="737.80700000000002"/>
    <n v="306.46500000000003"/>
    <n v="0"/>
    <s v="-"/>
    <n v="795.53499999999997"/>
    <s v="Completed"/>
    <s v="Pending"/>
    <x v="91"/>
  </r>
  <r>
    <n v="8695986634"/>
    <n v="3564"/>
    <n v="883.15899999999999"/>
    <n v="71.98"/>
    <n v="558.76199999999994"/>
    <n v="2590.739"/>
    <n v="2031.9770000000001"/>
    <n v="973.26099999999997"/>
    <n v="0"/>
    <s v="-"/>
    <n v="2590.739"/>
    <s v="Completed"/>
    <s v="Pending"/>
    <x v="91"/>
  </r>
  <r>
    <n v="8661889346"/>
    <n v="2556"/>
    <n v="663.53800000000001"/>
    <n v="71.98"/>
    <n v="285.27100000000002"/>
    <n v="1806.789"/>
    <n v="1521.518"/>
    <n v="749.21100000000001"/>
    <n v="0"/>
    <s v="-"/>
    <n v="1806.789"/>
    <s v="Completed"/>
    <s v="Pending"/>
    <x v="42"/>
  </r>
  <r>
    <n v="8672975238"/>
    <n v="2719"/>
    <n v="866.27300000000002"/>
    <n v="71.98"/>
    <n v="303.45799999999997"/>
    <n v="1766.181"/>
    <n v="1462.723"/>
    <n v="952.81899999999996"/>
    <n v="197.06"/>
    <n v="2035.221"/>
    <n v="-269.03999999999996"/>
    <s v="Return"/>
    <s v="Pending"/>
    <x v="95"/>
  </r>
  <r>
    <n v="8674661457"/>
    <n v="1079"/>
    <n v="280.108"/>
    <n v="53.1"/>
    <n v="120.42699999999999"/>
    <n v="740.01199999999994"/>
    <n v="619.58499999999992"/>
    <n v="338.98800000000006"/>
    <n v="0"/>
    <s v="-"/>
    <n v="740.01199999999994"/>
    <s v="Completed"/>
    <s v="Pending"/>
    <x v="95"/>
  </r>
  <r>
    <n v="8698580421"/>
    <n v="1716.99"/>
    <n v="465.99099999999999"/>
    <n v="53.1"/>
    <n v="89.936000000000007"/>
    <n v="1188.088"/>
    <n v="1098.152"/>
    <n v="528.90200000000004"/>
    <n v="0"/>
    <s v="-"/>
    <n v="1188.088"/>
    <s v="Completed"/>
    <s v="Pending"/>
    <x v="97"/>
  </r>
  <r>
    <n v="8661072455"/>
    <n v="2194.0100000000002"/>
    <n v="466.00799999999998"/>
    <n v="71.98"/>
    <n v="244.86499999999998"/>
    <n v="1644.268"/>
    <n v="1399.403"/>
    <n v="549.74200000000019"/>
    <n v="197.06"/>
    <n v="1913.308"/>
    <n v="-269.03999999999996"/>
    <s v="Return"/>
    <s v="Pending"/>
    <x v="70"/>
  </r>
  <r>
    <n v="8689877308"/>
    <n v="3294"/>
    <n v="816.25300000000004"/>
    <n v="71.98"/>
    <n v="516.43799999999999"/>
    <n v="2389.0169999999998"/>
    <n v="1872.5789999999997"/>
    <n v="904.98300000000017"/>
    <n v="197.06"/>
    <n v="2658.0569999999998"/>
    <n v="-269.03999999999996"/>
    <s v="Return"/>
    <s v="Pending"/>
    <x v="91"/>
  </r>
  <r>
    <n v="8666747268"/>
    <n v="2594"/>
    <n v="550.96600000000001"/>
    <n v="71.98"/>
    <n v="289.51"/>
    <n v="1957.1579999999999"/>
    <n v="1667.6479999999999"/>
    <n v="636.8420000000001"/>
    <n v="197.06"/>
    <n v="2226.1979999999999"/>
    <n v="-269.03999999999996"/>
    <s v="Return"/>
    <s v="Pending"/>
    <x v="92"/>
  </r>
  <r>
    <n v="8673323216"/>
    <n v="2993.98"/>
    <n v="635.92100000000005"/>
    <n v="71.98"/>
    <n v="334.14599999999996"/>
    <n v="2270.04"/>
    <n v="1935.894"/>
    <n v="723.94"/>
    <n v="0"/>
    <s v="-"/>
    <n v="2270.04"/>
    <s v="Completed"/>
    <s v="Pending"/>
    <x v="95"/>
  </r>
  <r>
    <n v="8690064005"/>
    <n v="2719"/>
    <n v="705.85199999999998"/>
    <n v="71.98"/>
    <n v="426.28100000000001"/>
    <n v="1927.3430000000001"/>
    <n v="1501.0620000000001"/>
    <n v="791.65699999999993"/>
    <n v="0"/>
    <s v="-"/>
    <n v="1927.3430000000001"/>
    <s v="Completed"/>
    <s v="Pending"/>
    <x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53C82-A5C8-4215-8442-D0CEC29D412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>
  <location ref="D1048560:E1048564" firstHeaderRow="1" firstDataRow="1" firstDataCol="1"/>
  <pivotFields count="16">
    <pivotField showAll="0"/>
    <pivotField showAll="0"/>
    <pivotField numFmtId="2" showAll="0"/>
    <pivotField numFmtId="2" showAll="0"/>
    <pivotField numFmtId="2" showAll="0"/>
    <pivotField showAll="0"/>
    <pivotField numFmtId="2" showAll="0"/>
    <pivotField showAll="0"/>
    <pivotField numFmtId="2" showAll="0"/>
    <pivotField showAll="0"/>
    <pivotField dataField="1" numFmtId="2" showAll="0"/>
    <pivotField showAll="0"/>
    <pivotField showAll="0"/>
    <pivotField numFmtId="165" showAll="0">
      <items count="130">
        <item x="119"/>
        <item x="5"/>
        <item x="89"/>
        <item x="15"/>
        <item x="13"/>
        <item x="87"/>
        <item x="122"/>
        <item x="28"/>
        <item x="63"/>
        <item x="61"/>
        <item x="49"/>
        <item x="88"/>
        <item x="25"/>
        <item x="55"/>
        <item x="31"/>
        <item x="29"/>
        <item x="35"/>
        <item x="45"/>
        <item x="77"/>
        <item x="10"/>
        <item x="43"/>
        <item x="24"/>
        <item x="51"/>
        <item x="12"/>
        <item x="26"/>
        <item x="80"/>
        <item x="27"/>
        <item x="22"/>
        <item x="52"/>
        <item x="74"/>
        <item x="1"/>
        <item x="11"/>
        <item x="59"/>
        <item x="62"/>
        <item x="46"/>
        <item x="64"/>
        <item x="2"/>
        <item x="23"/>
        <item x="75"/>
        <item x="67"/>
        <item x="76"/>
        <item x="65"/>
        <item x="34"/>
        <item x="54"/>
        <item x="84"/>
        <item x="9"/>
        <item x="81"/>
        <item x="20"/>
        <item x="21"/>
        <item x="6"/>
        <item x="72"/>
        <item x="85"/>
        <item x="86"/>
        <item x="56"/>
        <item x="30"/>
        <item x="58"/>
        <item x="8"/>
        <item x="39"/>
        <item x="7"/>
        <item x="82"/>
        <item x="36"/>
        <item x="44"/>
        <item x="19"/>
        <item x="14"/>
        <item x="66"/>
        <item x="40"/>
        <item x="18"/>
        <item x="38"/>
        <item x="53"/>
        <item x="4"/>
        <item x="57"/>
        <item x="50"/>
        <item x="17"/>
        <item x="79"/>
        <item x="3"/>
        <item x="78"/>
        <item x="83"/>
        <item x="37"/>
        <item x="68"/>
        <item x="71"/>
        <item x="16"/>
        <item x="47"/>
        <item x="33"/>
        <item x="60"/>
        <item x="0"/>
        <item x="69"/>
        <item x="32"/>
        <item x="73"/>
        <item x="48"/>
        <item x="70"/>
        <item x="42"/>
        <item x="106"/>
        <item x="41"/>
        <item x="125"/>
        <item x="109"/>
        <item x="92"/>
        <item x="100"/>
        <item x="117"/>
        <item x="123"/>
        <item x="126"/>
        <item x="95"/>
        <item x="93"/>
        <item x="104"/>
        <item x="102"/>
        <item x="94"/>
        <item x="118"/>
        <item x="110"/>
        <item x="99"/>
        <item x="90"/>
        <item x="116"/>
        <item x="124"/>
        <item x="107"/>
        <item x="103"/>
        <item x="96"/>
        <item x="101"/>
        <item x="120"/>
        <item x="113"/>
        <item x="91"/>
        <item x="128"/>
        <item x="115"/>
        <item x="114"/>
        <item x="97"/>
        <item x="98"/>
        <item x="111"/>
        <item x="112"/>
        <item x="105"/>
        <item x="108"/>
        <item x="121"/>
        <item x="12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4">
    <i>
      <x v="3"/>
    </i>
    <i>
      <x v="8"/>
    </i>
    <i>
      <x v="9"/>
    </i>
    <i t="grand">
      <x/>
    </i>
  </rowItems>
  <colItems count="1">
    <i/>
  </colItems>
  <dataFields count="1">
    <dataField name="Sum of Net Settlement" fld="10" baseField="0" baseItem="0" numFmtId="2"/>
  </dataFields>
  <chartFormats count="1"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3D4BF-156D-4870-96B9-282E79675895}" name="Table2" displayName="Table2" ref="A1048560:B1048566" totalsRowShown="0" headerRowDxfId="5" headerRowBorderDxfId="4" tableBorderDxfId="3" totalsRowBorderDxfId="2">
  <autoFilter ref="A1048560:B1048566" xr:uid="{3223D4BF-156D-4870-96B9-282E79675895}"/>
  <tableColumns count="2">
    <tableColumn id="1" xr3:uid="{D2A5EFB5-9536-49C3-8D47-CE5DF81F6E2D}" name="Item" dataDxfId="1"/>
    <tableColumn id="2" xr3:uid="{FF8FFB54-394E-43EB-907C-71D24BF509BA}" name="Amount" dataDxfId="0">
      <calculatedColumnFormula>VLOOKUP(A1048561,A20:D27,4,0)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F3F6-C6E9-4A58-A088-7D8AF7DAB665}">
  <dimension ref="A1:O643"/>
  <sheetViews>
    <sheetView workbookViewId="0">
      <selection activeCell="H16" sqref="H16"/>
    </sheetView>
  </sheetViews>
  <sheetFormatPr defaultRowHeight="14.4" x14ac:dyDescent="0.3"/>
  <cols>
    <col min="1" max="1" width="11" bestFit="1" customWidth="1"/>
    <col min="2" max="2" width="13.88671875" bestFit="1" customWidth="1"/>
    <col min="3" max="3" width="11.21875" bestFit="1" customWidth="1"/>
    <col min="4" max="4" width="8" bestFit="1" customWidth="1"/>
    <col min="5" max="5" width="9.5546875" bestFit="1" customWidth="1"/>
    <col min="6" max="6" width="17.6640625" bestFit="1" customWidth="1"/>
    <col min="7" max="7" width="15.21875" bestFit="1" customWidth="1"/>
    <col min="8" max="8" width="35.44140625" style="5" bestFit="1" customWidth="1"/>
    <col min="9" max="9" width="18.88671875" style="5" bestFit="1" customWidth="1"/>
    <col min="10" max="10" width="17.44140625" style="5" bestFit="1" customWidth="1"/>
    <col min="11" max="11" width="13.77734375" style="5" bestFit="1" customWidth="1"/>
    <col min="12" max="12" width="11.77734375" bestFit="1" customWidth="1"/>
    <col min="13" max="13" width="9.33203125" bestFit="1" customWidth="1"/>
    <col min="14" max="14" width="16.77734375" bestFit="1" customWidth="1"/>
    <col min="15" max="15" width="12.77734375" bestFit="1" customWidth="1"/>
    <col min="16" max="16" width="9.55468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</v>
      </c>
      <c r="H1" s="3" t="s">
        <v>6</v>
      </c>
      <c r="I1" s="3" t="s">
        <v>23</v>
      </c>
      <c r="J1" s="3" t="s">
        <v>24</v>
      </c>
      <c r="K1" s="3" t="s">
        <v>22</v>
      </c>
      <c r="L1" s="2" t="s">
        <v>13</v>
      </c>
      <c r="M1" s="2" t="s">
        <v>14</v>
      </c>
      <c r="N1" s="2" t="s">
        <v>64</v>
      </c>
    </row>
    <row r="2" spans="1:15" x14ac:dyDescent="0.3">
      <c r="A2">
        <v>8657309311</v>
      </c>
      <c r="B2">
        <v>4193.99</v>
      </c>
      <c r="C2" s="1">
        <v>1336.2049999999999</v>
      </c>
      <c r="D2" s="1">
        <v>71.98</v>
      </c>
      <c r="E2" s="1">
        <v>468.084</v>
      </c>
      <c r="F2">
        <v>2763.337</v>
      </c>
      <c r="G2" s="1">
        <f>F2-E2</f>
        <v>2295.2530000000002</v>
      </c>
      <c r="H2" s="4">
        <v>1430.6529999999998</v>
      </c>
      <c r="I2" s="4">
        <v>0</v>
      </c>
      <c r="J2" s="4" t="s">
        <v>25</v>
      </c>
      <c r="K2" s="8">
        <v>2763.337</v>
      </c>
      <c r="L2" t="s">
        <v>12</v>
      </c>
      <c r="M2" t="s">
        <v>9</v>
      </c>
      <c r="N2" s="26">
        <f>VLOOKUP(A2,[1]PGReconsile!$A$1:$E$642,5,0)</f>
        <v>45909.541666666664</v>
      </c>
      <c r="O2" s="1"/>
    </row>
    <row r="3" spans="1:15" x14ac:dyDescent="0.3">
      <c r="A3">
        <v>8622766805</v>
      </c>
      <c r="B3">
        <v>2419</v>
      </c>
      <c r="C3" s="1">
        <v>513.79499999999996</v>
      </c>
      <c r="D3" s="1">
        <v>71.98</v>
      </c>
      <c r="E3" s="1">
        <v>269.97899999999998</v>
      </c>
      <c r="F3">
        <v>1820.2660000000001</v>
      </c>
      <c r="G3" s="1">
        <f t="shared" ref="G3:G66" si="0">F3-E3</f>
        <v>1550.287</v>
      </c>
      <c r="H3" s="4">
        <v>598.73399999999992</v>
      </c>
      <c r="I3" s="4">
        <v>0</v>
      </c>
      <c r="J3" s="4" t="s">
        <v>25</v>
      </c>
      <c r="K3" s="8">
        <v>1820.2660000000001</v>
      </c>
      <c r="L3" t="s">
        <v>12</v>
      </c>
      <c r="M3" t="s">
        <v>9</v>
      </c>
      <c r="N3" s="26">
        <f>VLOOKUP(A3,[1]PGReconsile!$A$1:$E$642,5,0)</f>
        <v>45888.475694444445</v>
      </c>
    </row>
    <row r="4" spans="1:15" x14ac:dyDescent="0.3">
      <c r="A4">
        <v>8625934871</v>
      </c>
      <c r="B4">
        <v>2944</v>
      </c>
      <c r="C4" s="1">
        <v>764.26199999999994</v>
      </c>
      <c r="D4" s="1">
        <v>71.98</v>
      </c>
      <c r="E4" s="1">
        <v>328.57299999999998</v>
      </c>
      <c r="F4">
        <v>2091.9859999999999</v>
      </c>
      <c r="G4" s="1">
        <f t="shared" si="0"/>
        <v>1763.413</v>
      </c>
      <c r="H4" s="4">
        <v>852.01400000000012</v>
      </c>
      <c r="I4" s="4">
        <v>0</v>
      </c>
      <c r="J4" s="4" t="s">
        <v>25</v>
      </c>
      <c r="K4" s="8">
        <v>2091.9859999999999</v>
      </c>
      <c r="L4" t="s">
        <v>12</v>
      </c>
      <c r="M4" t="s">
        <v>9</v>
      </c>
      <c r="N4" s="26">
        <f>VLOOKUP(A4,[1]PGReconsile!$A$1:$E$642,5,0)</f>
        <v>45890.458333333336</v>
      </c>
    </row>
    <row r="5" spans="1:15" x14ac:dyDescent="0.3">
      <c r="A5">
        <v>8648874948</v>
      </c>
      <c r="B5">
        <v>364</v>
      </c>
      <c r="C5" s="1">
        <v>34.362000000000002</v>
      </c>
      <c r="D5" s="1">
        <v>31.86</v>
      </c>
      <c r="E5" s="1">
        <v>19.062999999999999</v>
      </c>
      <c r="F5">
        <v>295.69799999999998</v>
      </c>
      <c r="G5" s="1">
        <f t="shared" si="0"/>
        <v>276.63499999999999</v>
      </c>
      <c r="H5" s="4">
        <v>68.302000000000021</v>
      </c>
      <c r="I5" s="4">
        <f>VLOOKUP(A5,[1]PGReverse_all!$A$1:$FK$281,167,0)</f>
        <v>197.06</v>
      </c>
      <c r="J5" s="4">
        <f>F5+D5+I5</f>
        <v>524.61799999999994</v>
      </c>
      <c r="K5" s="7">
        <v>-228.91999999999996</v>
      </c>
      <c r="L5" t="s">
        <v>11</v>
      </c>
      <c r="M5" t="s">
        <v>9</v>
      </c>
      <c r="N5" s="26">
        <f>VLOOKUP(A5,[1]PGReconsile!$A$1:$E$642,5,0)</f>
        <v>45905.450694444444</v>
      </c>
    </row>
    <row r="6" spans="1:15" x14ac:dyDescent="0.3">
      <c r="A6">
        <v>8644779341</v>
      </c>
      <c r="B6">
        <v>2794</v>
      </c>
      <c r="C6" s="1">
        <v>692.35299999999995</v>
      </c>
      <c r="D6" s="1">
        <v>71.98</v>
      </c>
      <c r="E6" s="1">
        <v>311.83300000000003</v>
      </c>
      <c r="F6">
        <v>2014.6990000000001</v>
      </c>
      <c r="G6" s="1">
        <f t="shared" si="0"/>
        <v>1702.866</v>
      </c>
      <c r="H6" s="4">
        <v>779.30099999999993</v>
      </c>
      <c r="I6" s="4">
        <v>0</v>
      </c>
      <c r="J6" s="4" t="s">
        <v>25</v>
      </c>
      <c r="K6" s="8">
        <v>2014.6990000000001</v>
      </c>
      <c r="L6" t="s">
        <v>12</v>
      </c>
      <c r="M6" t="s">
        <v>9</v>
      </c>
      <c r="N6" s="26">
        <f>VLOOKUP(A6,[1]PGReconsile!$A$1:$E$642,5,0)</f>
        <v>45902.775000000001</v>
      </c>
    </row>
    <row r="7" spans="1:15" x14ac:dyDescent="0.3">
      <c r="A7">
        <v>8592986686</v>
      </c>
      <c r="B7">
        <v>2406</v>
      </c>
      <c r="C7" s="1">
        <v>596.20699999999999</v>
      </c>
      <c r="D7" s="1">
        <v>71.98</v>
      </c>
      <c r="E7" s="1">
        <v>268.53100000000001</v>
      </c>
      <c r="F7">
        <v>1724.924</v>
      </c>
      <c r="G7" s="1">
        <f t="shared" si="0"/>
        <v>1456.393</v>
      </c>
      <c r="H7" s="4">
        <v>681.07600000000002</v>
      </c>
      <c r="I7" s="4">
        <v>0</v>
      </c>
      <c r="J7" s="4" t="s">
        <v>25</v>
      </c>
      <c r="K7" s="8">
        <v>1724.924</v>
      </c>
      <c r="L7" t="s">
        <v>12</v>
      </c>
      <c r="M7" t="s">
        <v>9</v>
      </c>
      <c r="N7" s="26">
        <f>VLOOKUP(A7,[1]PGReconsile!$A$1:$E$642,5,0)</f>
        <v>45870.45</v>
      </c>
    </row>
    <row r="8" spans="1:15" x14ac:dyDescent="0.3">
      <c r="A8">
        <v>8634879839</v>
      </c>
      <c r="B8">
        <v>2719</v>
      </c>
      <c r="C8" s="1">
        <v>673.76800000000003</v>
      </c>
      <c r="D8" s="1">
        <v>71.98</v>
      </c>
      <c r="E8" s="1">
        <v>303.45799999999997</v>
      </c>
      <c r="F8">
        <v>1958.6859999999999</v>
      </c>
      <c r="G8" s="1">
        <f t="shared" si="0"/>
        <v>1655.2280000000001</v>
      </c>
      <c r="H8" s="4">
        <v>760.31400000000008</v>
      </c>
      <c r="I8" s="4">
        <f>VLOOKUP(A8,[1]PGReverse_all!$A$1:$FK$281,167,0)</f>
        <v>197.06</v>
      </c>
      <c r="J8" s="4">
        <f t="shared" ref="J8:J11" si="1">F8+D8+I8</f>
        <v>2227.7260000000001</v>
      </c>
      <c r="K8" s="7">
        <v>-269.04000000000019</v>
      </c>
      <c r="L8" t="s">
        <v>11</v>
      </c>
      <c r="M8" t="s">
        <v>9</v>
      </c>
      <c r="N8" s="26">
        <f>VLOOKUP(A8,[1]PGReconsile!$A$1:$E$642,5,0)</f>
        <v>45897.440972222219</v>
      </c>
    </row>
    <row r="9" spans="1:15" x14ac:dyDescent="0.3">
      <c r="A9">
        <v>8622910273</v>
      </c>
      <c r="B9">
        <v>3994</v>
      </c>
      <c r="C9" s="1">
        <v>1272.4880000000001</v>
      </c>
      <c r="D9" s="1">
        <v>71.98</v>
      </c>
      <c r="E9" s="1">
        <v>445.76</v>
      </c>
      <c r="F9">
        <v>2628.136</v>
      </c>
      <c r="G9" s="1">
        <f t="shared" si="0"/>
        <v>2182.3760000000002</v>
      </c>
      <c r="H9" s="4">
        <v>1365.864</v>
      </c>
      <c r="I9" s="4">
        <f>VLOOKUP(A9,[1]PGReverse_all!$A$1:$FK$281,167,0)</f>
        <v>197.06</v>
      </c>
      <c r="J9" s="4">
        <f t="shared" si="1"/>
        <v>2897.1759999999999</v>
      </c>
      <c r="K9" s="7">
        <v>-269.03999999999996</v>
      </c>
      <c r="L9" t="s">
        <v>11</v>
      </c>
      <c r="M9" t="s">
        <v>9</v>
      </c>
      <c r="N9" s="26">
        <f>VLOOKUP(A9,[1]PGReconsile!$A$1:$E$642,5,0)</f>
        <v>45888.475694444445</v>
      </c>
    </row>
    <row r="10" spans="1:15" x14ac:dyDescent="0.3">
      <c r="A10">
        <v>8638525832</v>
      </c>
      <c r="B10">
        <v>2643.9900000000002</v>
      </c>
      <c r="C10" s="1">
        <v>561.58399999999995</v>
      </c>
      <c r="D10" s="1">
        <v>71.98</v>
      </c>
      <c r="E10" s="1">
        <v>295.09399999999999</v>
      </c>
      <c r="F10">
        <v>1996.2619999999999</v>
      </c>
      <c r="G10" s="1">
        <f t="shared" si="0"/>
        <v>1701.1679999999999</v>
      </c>
      <c r="H10" s="4">
        <v>647.72800000000029</v>
      </c>
      <c r="I10" s="4">
        <f>VLOOKUP(A10,[1]PGReverse_all!$A$1:$FK$281,167,0)</f>
        <v>197.06</v>
      </c>
      <c r="J10" s="4">
        <f t="shared" si="1"/>
        <v>2265.3019999999997</v>
      </c>
      <c r="K10" s="7">
        <v>-269.03999999999974</v>
      </c>
      <c r="L10" t="s">
        <v>11</v>
      </c>
      <c r="M10" t="s">
        <v>9</v>
      </c>
      <c r="N10" s="26">
        <f>VLOOKUP(A10,[1]PGReconsile!$A$1:$E$642,5,0)</f>
        <v>45899.442361111112</v>
      </c>
    </row>
    <row r="11" spans="1:15" x14ac:dyDescent="0.3">
      <c r="A11">
        <v>8637560672</v>
      </c>
      <c r="B11">
        <v>1794</v>
      </c>
      <c r="C11" s="1">
        <v>444.553</v>
      </c>
      <c r="D11" s="1">
        <v>53.1</v>
      </c>
      <c r="E11" s="1">
        <v>200.21899999999999</v>
      </c>
      <c r="F11">
        <v>1286.7360000000001</v>
      </c>
      <c r="G11" s="1">
        <f t="shared" si="0"/>
        <v>1086.5170000000001</v>
      </c>
      <c r="H11" s="4">
        <v>507.2639999999999</v>
      </c>
      <c r="I11" s="4">
        <f>VLOOKUP(A11,[1]PGReverse_all!$A$1:$FK$281,167,0)</f>
        <v>132.16</v>
      </c>
      <c r="J11" s="4">
        <f t="shared" si="1"/>
        <v>1471.9960000000001</v>
      </c>
      <c r="K11" s="7">
        <v>-185.26</v>
      </c>
      <c r="L11" t="s">
        <v>11</v>
      </c>
      <c r="M11" t="s">
        <v>9</v>
      </c>
      <c r="N11" s="26">
        <f>VLOOKUP(A11,[1]PGReconsile!$A$1:$E$642,5,0)</f>
        <v>45898.775000000001</v>
      </c>
    </row>
    <row r="12" spans="1:15" x14ac:dyDescent="0.3">
      <c r="A12">
        <v>8631845358</v>
      </c>
      <c r="B12">
        <v>3169</v>
      </c>
      <c r="C12" s="1">
        <v>822.67200000000003</v>
      </c>
      <c r="D12" s="1">
        <v>71.98</v>
      </c>
      <c r="E12" s="1">
        <v>353.68700000000001</v>
      </c>
      <c r="F12">
        <v>2257.3719999999998</v>
      </c>
      <c r="G12" s="1">
        <f t="shared" si="0"/>
        <v>1903.6849999999999</v>
      </c>
      <c r="H12" s="4">
        <v>911.62800000000016</v>
      </c>
      <c r="I12" s="4">
        <v>0</v>
      </c>
      <c r="J12" s="4" t="s">
        <v>25</v>
      </c>
      <c r="K12" s="8">
        <v>2257.3719999999998</v>
      </c>
      <c r="L12" t="s">
        <v>12</v>
      </c>
      <c r="M12" t="s">
        <v>9</v>
      </c>
      <c r="N12" s="26">
        <f>VLOOKUP(A12,[1]PGReconsile!$A$1:$E$642,5,0)</f>
        <v>45894.452777777777</v>
      </c>
    </row>
    <row r="13" spans="1:15" x14ac:dyDescent="0.3">
      <c r="A13">
        <v>8614350224</v>
      </c>
      <c r="B13">
        <v>2994</v>
      </c>
      <c r="C13" s="1">
        <v>635.92600000000004</v>
      </c>
      <c r="D13" s="1">
        <v>71.98</v>
      </c>
      <c r="E13" s="1">
        <v>334.15600000000001</v>
      </c>
      <c r="F13">
        <v>2270.0549999999998</v>
      </c>
      <c r="G13" s="1">
        <f t="shared" si="0"/>
        <v>1935.8989999999999</v>
      </c>
      <c r="H13" s="4">
        <v>723.94500000000016</v>
      </c>
      <c r="I13" s="4">
        <v>0</v>
      </c>
      <c r="J13" s="4" t="s">
        <v>25</v>
      </c>
      <c r="K13" s="8">
        <v>2270.0549999999998</v>
      </c>
      <c r="L13" t="s">
        <v>12</v>
      </c>
      <c r="M13" t="s">
        <v>9</v>
      </c>
      <c r="N13" s="26">
        <f>VLOOKUP(A13,[1]PGReconsile!$A$1:$E$642,5,0)</f>
        <v>45882.453472222223</v>
      </c>
    </row>
    <row r="14" spans="1:15" x14ac:dyDescent="0.3">
      <c r="A14">
        <v>8623704786</v>
      </c>
      <c r="B14">
        <v>3294</v>
      </c>
      <c r="C14" s="1">
        <v>816.25300000000004</v>
      </c>
      <c r="D14" s="1">
        <v>71.98</v>
      </c>
      <c r="E14" s="1">
        <v>367.63499999999999</v>
      </c>
      <c r="F14">
        <v>2388.1210000000001</v>
      </c>
      <c r="G14" s="1">
        <f t="shared" si="0"/>
        <v>2020.4860000000001</v>
      </c>
      <c r="H14" s="4">
        <v>905.87899999999991</v>
      </c>
      <c r="I14" s="4">
        <f>VLOOKUP(A14,[1]PGReverse_all!$A$1:$FK$281,167,0)</f>
        <v>132.16</v>
      </c>
      <c r="J14" s="4">
        <f t="shared" ref="J14:J15" si="2">F14+D14+I14</f>
        <v>2592.261</v>
      </c>
      <c r="K14" s="7">
        <v>-204.13999999999987</v>
      </c>
      <c r="L14" t="s">
        <v>11</v>
      </c>
      <c r="M14" t="s">
        <v>9</v>
      </c>
      <c r="N14" s="26">
        <f>VLOOKUP(A14,[1]PGReconsile!$A$1:$E$642,5,0)</f>
        <v>45888.776388888888</v>
      </c>
    </row>
    <row r="15" spans="1:15" x14ac:dyDescent="0.3">
      <c r="A15">
        <v>8616454045</v>
      </c>
      <c r="B15">
        <v>3294</v>
      </c>
      <c r="C15" s="1">
        <v>816.25300000000004</v>
      </c>
      <c r="D15" s="1">
        <v>71.98</v>
      </c>
      <c r="E15" s="1">
        <v>367.63499999999999</v>
      </c>
      <c r="F15">
        <v>2388.1210000000001</v>
      </c>
      <c r="G15" s="1">
        <f t="shared" si="0"/>
        <v>2020.4860000000001</v>
      </c>
      <c r="H15" s="4">
        <v>905.87899999999991</v>
      </c>
      <c r="I15" s="4">
        <f>VLOOKUP(A15,[1]PGReverse_all!$A$1:$FK$281,167,0)</f>
        <v>197.06</v>
      </c>
      <c r="J15" s="4">
        <f t="shared" si="2"/>
        <v>2657.1610000000001</v>
      </c>
      <c r="K15" s="7">
        <v>-269.03999999999996</v>
      </c>
      <c r="L15" t="s">
        <v>11</v>
      </c>
      <c r="M15" t="s">
        <v>9</v>
      </c>
      <c r="N15" s="26">
        <f>VLOOKUP(A15,[1]PGReconsile!$A$1:$E$642,5,0)</f>
        <v>45883.52847222222</v>
      </c>
    </row>
    <row r="16" spans="1:15" x14ac:dyDescent="0.3">
      <c r="A16">
        <v>8598134488</v>
      </c>
      <c r="B16">
        <v>1204</v>
      </c>
      <c r="C16" s="1">
        <v>298.351</v>
      </c>
      <c r="D16" s="1">
        <v>53.1</v>
      </c>
      <c r="E16" s="1">
        <v>134.375</v>
      </c>
      <c r="F16">
        <v>846.09900000000005</v>
      </c>
      <c r="G16" s="1">
        <f t="shared" si="0"/>
        <v>711.72400000000005</v>
      </c>
      <c r="H16" s="4">
        <v>357.90099999999995</v>
      </c>
      <c r="I16" s="4">
        <v>0</v>
      </c>
      <c r="J16" s="4" t="s">
        <v>25</v>
      </c>
      <c r="K16" s="8">
        <v>846.09900000000005</v>
      </c>
      <c r="L16" t="s">
        <v>12</v>
      </c>
      <c r="M16" t="s">
        <v>9</v>
      </c>
      <c r="N16" s="26">
        <f>VLOOKUP(A16,[1]PGReconsile!$A$1:$E$642,5,0)</f>
        <v>45873.455555555556</v>
      </c>
    </row>
    <row r="17" spans="1:14" x14ac:dyDescent="0.3">
      <c r="A17">
        <v>8641487358</v>
      </c>
      <c r="B17">
        <v>1704</v>
      </c>
      <c r="C17" s="1">
        <v>442.358</v>
      </c>
      <c r="D17" s="1">
        <v>53.1</v>
      </c>
      <c r="E17" s="1">
        <v>190.17699999999999</v>
      </c>
      <c r="F17">
        <v>1199.414</v>
      </c>
      <c r="G17" s="1">
        <f t="shared" si="0"/>
        <v>1009.237</v>
      </c>
      <c r="H17" s="4">
        <v>504.58600000000001</v>
      </c>
      <c r="I17" s="4">
        <f>VLOOKUP(A17,[1]PGReverse_all!$A$1:$FK$281,167,0)</f>
        <v>197.06</v>
      </c>
      <c r="J17" s="4">
        <f t="shared" ref="J17:J18" si="3">F17+D17+I17</f>
        <v>1449.5739999999998</v>
      </c>
      <c r="K17" s="7">
        <v>-250.15999999999985</v>
      </c>
      <c r="L17" t="s">
        <v>11</v>
      </c>
      <c r="M17" t="s">
        <v>9</v>
      </c>
      <c r="N17" s="26">
        <f>VLOOKUP(A17,[1]PGReconsile!$A$1:$E$642,5,0)</f>
        <v>45901.459027777775</v>
      </c>
    </row>
    <row r="18" spans="1:14" x14ac:dyDescent="0.3">
      <c r="A18">
        <v>8623738388</v>
      </c>
      <c r="B18">
        <v>3169</v>
      </c>
      <c r="C18" s="1">
        <v>972.24900000000002</v>
      </c>
      <c r="D18" s="1">
        <v>71.98</v>
      </c>
      <c r="E18" s="1">
        <v>353.68700000000001</v>
      </c>
      <c r="F18">
        <v>2107.7950000000001</v>
      </c>
      <c r="G18" s="1">
        <f t="shared" si="0"/>
        <v>1754.1080000000002</v>
      </c>
      <c r="H18" s="4">
        <v>1061.2049999999999</v>
      </c>
      <c r="I18" s="4">
        <f>VLOOKUP(A18,[1]PGReverse_all!$A$1:$FK$281,167,0)</f>
        <v>197.06</v>
      </c>
      <c r="J18" s="4">
        <f t="shared" si="3"/>
        <v>2376.835</v>
      </c>
      <c r="K18" s="7">
        <v>-269.03999999999996</v>
      </c>
      <c r="L18" t="s">
        <v>11</v>
      </c>
      <c r="M18" t="s">
        <v>9</v>
      </c>
      <c r="N18" s="26">
        <f>VLOOKUP(A18,[1]PGReconsile!$A$1:$E$642,5,0)</f>
        <v>45888.776388888888</v>
      </c>
    </row>
    <row r="19" spans="1:14" x14ac:dyDescent="0.3">
      <c r="A19">
        <v>8594147199</v>
      </c>
      <c r="B19">
        <v>2343.9899999999998</v>
      </c>
      <c r="C19" s="1">
        <v>608.5</v>
      </c>
      <c r="D19" s="1">
        <v>71.97999999999999</v>
      </c>
      <c r="E19" s="1">
        <v>261.60399999999998</v>
      </c>
      <c r="F19">
        <v>1650.953</v>
      </c>
      <c r="G19" s="1">
        <f t="shared" si="0"/>
        <v>1389.3489999999999</v>
      </c>
      <c r="H19" s="4">
        <v>693.03699999999981</v>
      </c>
      <c r="I19" s="4">
        <v>0</v>
      </c>
      <c r="J19" s="4" t="s">
        <v>25</v>
      </c>
      <c r="K19" s="8">
        <v>1650.953</v>
      </c>
      <c r="L19" t="s">
        <v>12</v>
      </c>
      <c r="M19" t="s">
        <v>9</v>
      </c>
      <c r="N19" s="26">
        <f>VLOOKUP(A19,[1]PGReconsile!$A$1:$E$642,5,0)</f>
        <v>45871.440972222219</v>
      </c>
    </row>
    <row r="20" spans="1:14" x14ac:dyDescent="0.3">
      <c r="A20">
        <v>8631135329</v>
      </c>
      <c r="B20">
        <v>3294</v>
      </c>
      <c r="C20" s="1">
        <v>816.25300000000004</v>
      </c>
      <c r="D20" s="1">
        <v>71.98</v>
      </c>
      <c r="E20" s="1">
        <v>367.63499999999999</v>
      </c>
      <c r="F20">
        <v>2388.1210000000001</v>
      </c>
      <c r="G20" s="1">
        <f t="shared" si="0"/>
        <v>2020.4860000000001</v>
      </c>
      <c r="H20" s="4">
        <v>905.87899999999991</v>
      </c>
      <c r="I20" s="4">
        <v>0</v>
      </c>
      <c r="J20" s="4" t="s">
        <v>25</v>
      </c>
      <c r="K20" s="8">
        <v>2388.1210000000001</v>
      </c>
      <c r="L20" t="s">
        <v>12</v>
      </c>
      <c r="M20" t="s">
        <v>9</v>
      </c>
      <c r="N20" s="26">
        <f>VLOOKUP(A20,[1]PGReconsile!$A$1:$E$642,5,0)</f>
        <v>45894.452777777777</v>
      </c>
    </row>
    <row r="21" spans="1:14" x14ac:dyDescent="0.3">
      <c r="A21">
        <v>8614451899</v>
      </c>
      <c r="B21">
        <v>2044.01</v>
      </c>
      <c r="C21" s="1">
        <v>506.50599999999997</v>
      </c>
      <c r="D21" s="1">
        <v>71.98</v>
      </c>
      <c r="E21" s="1">
        <v>228.125</v>
      </c>
      <c r="F21">
        <v>1454.5740000000001</v>
      </c>
      <c r="G21" s="1">
        <f t="shared" si="0"/>
        <v>1226.4490000000001</v>
      </c>
      <c r="H21" s="4">
        <v>589.43599999999992</v>
      </c>
      <c r="I21" s="4">
        <f>VLOOKUP(A21,[1]PGReverse_all!$A$1:$FK$281,167,0)</f>
        <v>197.06</v>
      </c>
      <c r="J21" s="4">
        <f>F21+D21+I21</f>
        <v>1723.614</v>
      </c>
      <c r="K21" s="7">
        <v>-269.03999999999996</v>
      </c>
      <c r="L21" t="s">
        <v>11</v>
      </c>
      <c r="M21" t="s">
        <v>9</v>
      </c>
      <c r="N21" s="26">
        <f>VLOOKUP(A21,[1]PGReconsile!$A$1:$E$642,5,0)</f>
        <v>45882.453472222223</v>
      </c>
    </row>
    <row r="22" spans="1:14" x14ac:dyDescent="0.3">
      <c r="A22">
        <v>8631283767</v>
      </c>
      <c r="B22">
        <v>3674</v>
      </c>
      <c r="C22" s="1">
        <v>1127.183</v>
      </c>
      <c r="D22" s="1">
        <v>71.98</v>
      </c>
      <c r="E22" s="1">
        <v>410.04199999999997</v>
      </c>
      <c r="F22">
        <v>2455.1550000000002</v>
      </c>
      <c r="G22" s="1">
        <f t="shared" si="0"/>
        <v>2045.1130000000003</v>
      </c>
      <c r="H22" s="4">
        <v>1218.8449999999998</v>
      </c>
      <c r="I22" s="4">
        <v>0</v>
      </c>
      <c r="J22" s="4" t="s">
        <v>25</v>
      </c>
      <c r="K22" s="8">
        <v>2455.1550000000002</v>
      </c>
      <c r="L22" t="s">
        <v>12</v>
      </c>
      <c r="M22" t="s">
        <v>9</v>
      </c>
      <c r="N22" s="26">
        <f>VLOOKUP(A22,[1]PGReconsile!$A$1:$E$642,5,0)</f>
        <v>45894.452777777777</v>
      </c>
    </row>
    <row r="23" spans="1:14" x14ac:dyDescent="0.3">
      <c r="A23">
        <v>8619882203</v>
      </c>
      <c r="B23">
        <v>2156</v>
      </c>
      <c r="C23" s="1">
        <v>457.93400000000003</v>
      </c>
      <c r="D23" s="1">
        <v>71.98</v>
      </c>
      <c r="E23" s="1">
        <v>240.625</v>
      </c>
      <c r="F23">
        <v>1614.5360000000001</v>
      </c>
      <c r="G23" s="1">
        <f t="shared" si="0"/>
        <v>1373.9110000000001</v>
      </c>
      <c r="H23" s="4">
        <v>541.46399999999994</v>
      </c>
      <c r="I23" s="4">
        <v>0</v>
      </c>
      <c r="J23" s="4" t="s">
        <v>25</v>
      </c>
      <c r="K23" s="8">
        <v>1614.5360000000001</v>
      </c>
      <c r="L23" t="s">
        <v>12</v>
      </c>
      <c r="M23" t="s">
        <v>9</v>
      </c>
      <c r="N23" s="26">
        <f>VLOOKUP(A23,[1]PGReconsile!$A$1:$E$642,5,0)</f>
        <v>45888.475694444445</v>
      </c>
    </row>
    <row r="24" spans="1:14" x14ac:dyDescent="0.3">
      <c r="A24">
        <v>8657350152</v>
      </c>
      <c r="B24">
        <v>1994</v>
      </c>
      <c r="C24" s="1">
        <v>541.17200000000003</v>
      </c>
      <c r="D24" s="1">
        <v>53.1</v>
      </c>
      <c r="E24" s="1">
        <v>222.54199999999997</v>
      </c>
      <c r="F24">
        <v>1389.046</v>
      </c>
      <c r="G24" s="1">
        <f t="shared" si="0"/>
        <v>1166.5040000000001</v>
      </c>
      <c r="H24" s="4">
        <v>604.95399999999995</v>
      </c>
      <c r="I24" s="4">
        <f>VLOOKUP(A24,[1]PGReverse_all!$A$1:$FK$281,167,0)</f>
        <v>107.38</v>
      </c>
      <c r="J24" s="4">
        <f t="shared" ref="J24:J26" si="4">F24+D24+I24</f>
        <v>1549.5259999999998</v>
      </c>
      <c r="K24" s="7">
        <v>-160.47999999999979</v>
      </c>
      <c r="L24" t="s">
        <v>11</v>
      </c>
      <c r="M24" t="s">
        <v>9</v>
      </c>
      <c r="N24" s="26">
        <f>VLOOKUP(A24,[1]PGReconsile!$A$1:$E$642,5,0)</f>
        <v>45909.541666666664</v>
      </c>
    </row>
    <row r="25" spans="1:14" x14ac:dyDescent="0.3">
      <c r="A25">
        <v>8655198144</v>
      </c>
      <c r="B25">
        <v>3594</v>
      </c>
      <c r="C25" s="1">
        <v>890.59299999999996</v>
      </c>
      <c r="D25" s="1">
        <v>71.98</v>
      </c>
      <c r="E25" s="1">
        <v>401.11500000000001</v>
      </c>
      <c r="F25">
        <v>2612.1729999999998</v>
      </c>
      <c r="G25" s="1">
        <f t="shared" si="0"/>
        <v>2211.058</v>
      </c>
      <c r="H25" s="4">
        <v>981.82700000000023</v>
      </c>
      <c r="I25" s="4">
        <f>VLOOKUP(A25,[1]PGReverse_all!$A$1:$FK$281,167,0)</f>
        <v>132.16</v>
      </c>
      <c r="J25" s="4">
        <f t="shared" si="4"/>
        <v>2816.3129999999996</v>
      </c>
      <c r="K25" s="7">
        <v>-204.13999999999987</v>
      </c>
      <c r="L25" t="s">
        <v>11</v>
      </c>
      <c r="M25" t="s">
        <v>9</v>
      </c>
      <c r="N25" s="26">
        <f>VLOOKUP(A25,[1]PGReconsile!$A$1:$E$642,5,0)</f>
        <v>45908.48333333333</v>
      </c>
    </row>
    <row r="26" spans="1:14" x14ac:dyDescent="0.3">
      <c r="A26">
        <v>8647972516</v>
      </c>
      <c r="B26">
        <v>3194</v>
      </c>
      <c r="C26" s="1">
        <v>791.47299999999996</v>
      </c>
      <c r="D26" s="1">
        <v>71.98</v>
      </c>
      <c r="E26" s="1">
        <v>356.46899999999999</v>
      </c>
      <c r="F26">
        <v>2313.4360000000001</v>
      </c>
      <c r="G26" s="1">
        <f t="shared" si="0"/>
        <v>1956.9670000000001</v>
      </c>
      <c r="H26" s="4">
        <v>880.56399999999985</v>
      </c>
      <c r="I26" s="4">
        <f>VLOOKUP(A26,[1]PGReverse_all!$A$1:$FK$281,167,0)</f>
        <v>197.06</v>
      </c>
      <c r="J26" s="4">
        <f t="shared" si="4"/>
        <v>2582.4760000000001</v>
      </c>
      <c r="K26" s="7">
        <v>-269.03999999999996</v>
      </c>
      <c r="L26" t="s">
        <v>11</v>
      </c>
      <c r="M26" t="s">
        <v>9</v>
      </c>
      <c r="N26" s="26">
        <f>VLOOKUP(A26,[1]PGReconsile!$A$1:$E$642,5,0)</f>
        <v>45904.486805555556</v>
      </c>
    </row>
    <row r="27" spans="1:14" x14ac:dyDescent="0.3">
      <c r="A27">
        <v>8643095523</v>
      </c>
      <c r="B27">
        <v>3544</v>
      </c>
      <c r="C27" s="1">
        <v>920.02200000000005</v>
      </c>
      <c r="D27" s="1">
        <v>71.98</v>
      </c>
      <c r="E27" s="1">
        <v>395.53100000000001</v>
      </c>
      <c r="F27">
        <v>2533.0129999999999</v>
      </c>
      <c r="G27" s="1">
        <f t="shared" si="0"/>
        <v>2137.482</v>
      </c>
      <c r="H27" s="4">
        <v>1010.9870000000001</v>
      </c>
      <c r="I27" s="4">
        <v>0</v>
      </c>
      <c r="J27" s="4" t="s">
        <v>25</v>
      </c>
      <c r="K27" s="8">
        <v>2533.0129999999999</v>
      </c>
      <c r="L27" t="s">
        <v>12</v>
      </c>
      <c r="M27" t="s">
        <v>9</v>
      </c>
      <c r="N27" s="26">
        <f>VLOOKUP(A27,[1]PGReconsile!$A$1:$E$642,5,0)</f>
        <v>45902.448611111111</v>
      </c>
    </row>
    <row r="28" spans="1:14" x14ac:dyDescent="0.3">
      <c r="A28">
        <v>8643991542</v>
      </c>
      <c r="B28">
        <v>2644.0099999999998</v>
      </c>
      <c r="C28" s="1">
        <v>561.58799999999997</v>
      </c>
      <c r="D28" s="1">
        <v>71.98</v>
      </c>
      <c r="E28" s="1">
        <v>295.09399999999999</v>
      </c>
      <c r="F28">
        <v>1996.277</v>
      </c>
      <c r="G28" s="1">
        <f t="shared" si="0"/>
        <v>1701.183</v>
      </c>
      <c r="H28" s="4">
        <v>647.73299999999972</v>
      </c>
      <c r="I28" s="4">
        <f>VLOOKUP(A28,[1]PGReverse_all!$A$1:$FK$281,167,0)</f>
        <v>132.16</v>
      </c>
      <c r="J28" s="4">
        <f>F28+D28+I28</f>
        <v>2200.4169999999999</v>
      </c>
      <c r="K28" s="7">
        <v>-204.13999999999987</v>
      </c>
      <c r="L28" t="s">
        <v>11</v>
      </c>
      <c r="M28" t="s">
        <v>9</v>
      </c>
      <c r="N28" s="26">
        <f>VLOOKUP(A28,[1]PGReconsile!$A$1:$E$642,5,0)</f>
        <v>45902.448611111111</v>
      </c>
    </row>
    <row r="29" spans="1:14" x14ac:dyDescent="0.3">
      <c r="A29">
        <v>8647294613</v>
      </c>
      <c r="B29">
        <v>1079</v>
      </c>
      <c r="C29" s="1">
        <v>267.37599999999998</v>
      </c>
      <c r="D29" s="1">
        <v>53.1</v>
      </c>
      <c r="E29" s="1">
        <v>120.417</v>
      </c>
      <c r="F29">
        <v>752.74400000000003</v>
      </c>
      <c r="G29" s="1">
        <f t="shared" si="0"/>
        <v>632.327</v>
      </c>
      <c r="H29" s="4">
        <v>326.25599999999997</v>
      </c>
      <c r="I29" s="4">
        <v>0</v>
      </c>
      <c r="J29" s="4" t="s">
        <v>25</v>
      </c>
      <c r="K29" s="8">
        <v>752.74400000000003</v>
      </c>
      <c r="L29" t="s">
        <v>12</v>
      </c>
      <c r="M29" t="s">
        <v>9</v>
      </c>
      <c r="N29" s="26">
        <f>VLOOKUP(A29,[1]PGReconsile!$A$1:$E$642,5,0)</f>
        <v>45904.486805555556</v>
      </c>
    </row>
    <row r="30" spans="1:14" x14ac:dyDescent="0.3">
      <c r="A30">
        <v>8642965420</v>
      </c>
      <c r="B30">
        <v>2556</v>
      </c>
      <c r="C30" s="1">
        <v>633.37699999999995</v>
      </c>
      <c r="D30" s="1">
        <v>71.98</v>
      </c>
      <c r="E30" s="1">
        <v>285.27100000000002</v>
      </c>
      <c r="F30">
        <v>1836.95</v>
      </c>
      <c r="G30" s="1">
        <f t="shared" si="0"/>
        <v>1551.6790000000001</v>
      </c>
      <c r="H30" s="4">
        <v>719.05</v>
      </c>
      <c r="I30" s="4">
        <v>0</v>
      </c>
      <c r="J30" s="4" t="s">
        <v>25</v>
      </c>
      <c r="K30" s="8">
        <v>1836.95</v>
      </c>
      <c r="L30" t="s">
        <v>12</v>
      </c>
      <c r="M30" t="s">
        <v>9</v>
      </c>
      <c r="N30" s="26">
        <f>VLOOKUP(A30,[1]PGReconsile!$A$1:$E$642,5,0)</f>
        <v>45902.448611111111</v>
      </c>
    </row>
    <row r="31" spans="1:14" x14ac:dyDescent="0.3">
      <c r="A31">
        <v>8640366432</v>
      </c>
      <c r="B31">
        <v>2981</v>
      </c>
      <c r="C31" s="1">
        <v>738.69200000000001</v>
      </c>
      <c r="D31" s="1">
        <v>71.98</v>
      </c>
      <c r="E31" s="1">
        <v>332.69799999999998</v>
      </c>
      <c r="F31">
        <v>2154.3580000000002</v>
      </c>
      <c r="G31" s="1">
        <f t="shared" si="0"/>
        <v>1821.6600000000003</v>
      </c>
      <c r="H31" s="4">
        <v>826.64199999999983</v>
      </c>
      <c r="I31" s="4">
        <f>VLOOKUP(A31,[1]PGReverse_all!$A$1:$FK$281,167,0)</f>
        <v>197.06</v>
      </c>
      <c r="J31" s="4">
        <f>F31+D31+I31</f>
        <v>2423.3980000000001</v>
      </c>
      <c r="K31" s="7">
        <v>-269.03999999999996</v>
      </c>
      <c r="L31" t="s">
        <v>11</v>
      </c>
      <c r="M31" t="s">
        <v>9</v>
      </c>
      <c r="N31" s="26">
        <f>VLOOKUP(A31,[1]PGReconsile!$A$1:$E$642,5,0)</f>
        <v>45900.693749999999</v>
      </c>
    </row>
    <row r="32" spans="1:14" x14ac:dyDescent="0.3">
      <c r="A32">
        <v>8633233419</v>
      </c>
      <c r="B32">
        <v>2981</v>
      </c>
      <c r="C32" s="1">
        <v>738.69200000000001</v>
      </c>
      <c r="D32" s="1">
        <v>71.98</v>
      </c>
      <c r="E32" s="1">
        <v>332.69799999999998</v>
      </c>
      <c r="F32">
        <v>2154.3580000000002</v>
      </c>
      <c r="G32" s="1">
        <f t="shared" si="0"/>
        <v>1821.6600000000003</v>
      </c>
      <c r="H32" s="4">
        <v>826.64199999999983</v>
      </c>
      <c r="I32" s="4">
        <v>0</v>
      </c>
      <c r="J32" s="4" t="s">
        <v>25</v>
      </c>
      <c r="K32" s="8">
        <v>2154.3580000000002</v>
      </c>
      <c r="L32" t="s">
        <v>12</v>
      </c>
      <c r="M32" t="s">
        <v>9</v>
      </c>
      <c r="N32" s="26">
        <f>VLOOKUP(A32,[1]PGReconsile!$A$1:$E$642,5,0)</f>
        <v>45895.447222222225</v>
      </c>
    </row>
    <row r="33" spans="1:14" x14ac:dyDescent="0.3">
      <c r="A33">
        <v>8634212307</v>
      </c>
      <c r="B33">
        <v>1516</v>
      </c>
      <c r="C33" s="1">
        <v>339.887</v>
      </c>
      <c r="D33" s="1">
        <v>53.1</v>
      </c>
      <c r="E33" s="1">
        <v>169.19800000000001</v>
      </c>
      <c r="F33">
        <v>1114.8910000000001</v>
      </c>
      <c r="G33" s="1">
        <f t="shared" si="0"/>
        <v>945.6930000000001</v>
      </c>
      <c r="H33" s="4">
        <v>401.10899999999992</v>
      </c>
      <c r="I33" s="4">
        <v>0</v>
      </c>
      <c r="J33" s="4" t="s">
        <v>25</v>
      </c>
      <c r="K33" s="8">
        <v>1114.8910000000001</v>
      </c>
      <c r="L33" t="s">
        <v>12</v>
      </c>
      <c r="M33" t="s">
        <v>9</v>
      </c>
      <c r="N33" s="26">
        <f>VLOOKUP(A33,[1]PGReconsile!$A$1:$E$642,5,0)</f>
        <v>45895.786805555559</v>
      </c>
    </row>
    <row r="34" spans="1:14" x14ac:dyDescent="0.3">
      <c r="A34">
        <v>8620217140</v>
      </c>
      <c r="B34">
        <v>5006</v>
      </c>
      <c r="C34" s="1">
        <v>1535.8409999999999</v>
      </c>
      <c r="D34" s="1">
        <v>71.98</v>
      </c>
      <c r="E34" s="1">
        <v>558.70799999999997</v>
      </c>
      <c r="F34">
        <v>3371.3609999999999</v>
      </c>
      <c r="G34" s="1">
        <f t="shared" si="0"/>
        <v>2812.6529999999998</v>
      </c>
      <c r="H34" s="4">
        <v>1634.6390000000001</v>
      </c>
      <c r="I34" s="4">
        <f>VLOOKUP(A34,[1]PGReverse_all!$A$1:$FK$281,167,0)</f>
        <v>197.06</v>
      </c>
      <c r="J34" s="4">
        <f>F34+D34+I34</f>
        <v>3640.4009999999998</v>
      </c>
      <c r="K34" s="7">
        <v>-269.03999999999996</v>
      </c>
      <c r="L34" t="s">
        <v>11</v>
      </c>
      <c r="M34" t="s">
        <v>9</v>
      </c>
      <c r="N34" s="26">
        <f>VLOOKUP(A34,[1]PGReconsile!$A$1:$E$642,5,0)</f>
        <v>45887.452777777777</v>
      </c>
    </row>
    <row r="35" spans="1:14" x14ac:dyDescent="0.3">
      <c r="A35">
        <v>8626237350</v>
      </c>
      <c r="B35">
        <v>3294</v>
      </c>
      <c r="C35" s="1">
        <v>816.25300000000004</v>
      </c>
      <c r="D35" s="1">
        <v>71.98</v>
      </c>
      <c r="E35" s="1">
        <v>367.63499999999999</v>
      </c>
      <c r="F35">
        <v>2388.1210000000001</v>
      </c>
      <c r="G35" s="1">
        <f t="shared" si="0"/>
        <v>2020.4860000000001</v>
      </c>
      <c r="H35" s="4">
        <v>905.87899999999991</v>
      </c>
      <c r="I35" s="4">
        <v>0</v>
      </c>
      <c r="J35" s="4" t="s">
        <v>25</v>
      </c>
      <c r="K35" s="8">
        <v>2388.1210000000001</v>
      </c>
      <c r="L35" t="s">
        <v>12</v>
      </c>
      <c r="M35" t="s">
        <v>9</v>
      </c>
      <c r="N35" s="26">
        <f>VLOOKUP(A35,[1]PGReconsile!$A$1:$E$642,5,0)</f>
        <v>45890.655555555553</v>
      </c>
    </row>
    <row r="36" spans="1:14" x14ac:dyDescent="0.3">
      <c r="A36">
        <v>8615334100</v>
      </c>
      <c r="B36">
        <v>954</v>
      </c>
      <c r="C36" s="1">
        <v>258.916</v>
      </c>
      <c r="D36" s="1">
        <v>31.86</v>
      </c>
      <c r="E36" s="1">
        <v>49.972999999999999</v>
      </c>
      <c r="F36">
        <v>657.77200000000005</v>
      </c>
      <c r="G36" s="1">
        <f t="shared" si="0"/>
        <v>607.79900000000009</v>
      </c>
      <c r="H36" s="4">
        <v>296.22799999999995</v>
      </c>
      <c r="I36" s="4">
        <v>0</v>
      </c>
      <c r="J36" s="4" t="s">
        <v>25</v>
      </c>
      <c r="K36" s="8">
        <v>657.77200000000005</v>
      </c>
      <c r="L36" t="s">
        <v>12</v>
      </c>
      <c r="M36" t="s">
        <v>9</v>
      </c>
      <c r="N36" s="26">
        <f>VLOOKUP(A36,[1]PGReconsile!$A$1:$E$642,5,0)</f>
        <v>45882.768750000003</v>
      </c>
    </row>
    <row r="37" spans="1:14" x14ac:dyDescent="0.3">
      <c r="A37">
        <v>8608720011</v>
      </c>
      <c r="B37">
        <v>2944</v>
      </c>
      <c r="C37" s="1">
        <v>729.52300000000002</v>
      </c>
      <c r="D37" s="1">
        <v>71.98</v>
      </c>
      <c r="E37" s="1">
        <v>328.57299999999998</v>
      </c>
      <c r="F37">
        <v>2126.7249999999999</v>
      </c>
      <c r="G37" s="1">
        <f t="shared" si="0"/>
        <v>1798.152</v>
      </c>
      <c r="H37" s="4">
        <v>817.27500000000009</v>
      </c>
      <c r="I37" s="4">
        <v>0</v>
      </c>
      <c r="J37" s="4" t="s">
        <v>25</v>
      </c>
      <c r="K37" s="8">
        <v>2126.7249999999999</v>
      </c>
      <c r="L37" t="s">
        <v>12</v>
      </c>
      <c r="M37" t="s">
        <v>9</v>
      </c>
      <c r="N37" s="26">
        <f>VLOOKUP(A37,[1]PGReconsile!$A$1:$E$642,5,0)</f>
        <v>45878.695138888892</v>
      </c>
    </row>
    <row r="38" spans="1:14" x14ac:dyDescent="0.3">
      <c r="A38">
        <v>8616771946</v>
      </c>
      <c r="B38">
        <v>4293.9900000000007</v>
      </c>
      <c r="C38" s="1">
        <v>1317.396</v>
      </c>
      <c r="D38" s="1">
        <v>71.97999999999999</v>
      </c>
      <c r="E38" s="1">
        <v>479.23899999999998</v>
      </c>
      <c r="F38">
        <v>2881.6109999999999</v>
      </c>
      <c r="G38" s="1">
        <f t="shared" si="0"/>
        <v>2402.3719999999998</v>
      </c>
      <c r="H38" s="4">
        <v>1412.3790000000008</v>
      </c>
      <c r="I38" s="4">
        <f>VLOOKUP(A38,[1]PGReverse_all!$A$1:$FK$281,167,0)</f>
        <v>197.06</v>
      </c>
      <c r="J38" s="4">
        <f t="shared" ref="J38:J39" si="5">F38+D38+I38</f>
        <v>3150.6509999999998</v>
      </c>
      <c r="K38" s="7">
        <v>-269.03999999999996</v>
      </c>
      <c r="L38" t="s">
        <v>11</v>
      </c>
      <c r="M38" t="s">
        <v>9</v>
      </c>
      <c r="N38" s="26">
        <f>VLOOKUP(A38,[1]PGReconsile!$A$1:$E$642,5,0)</f>
        <v>45883.796527777777</v>
      </c>
    </row>
    <row r="39" spans="1:14" x14ac:dyDescent="0.3">
      <c r="A39">
        <v>8640582446</v>
      </c>
      <c r="B39">
        <v>2831</v>
      </c>
      <c r="C39" s="1">
        <v>734.928</v>
      </c>
      <c r="D39" s="1">
        <v>71.98</v>
      </c>
      <c r="E39" s="1">
        <v>315.95799999999997</v>
      </c>
      <c r="F39">
        <v>2008.9259999999999</v>
      </c>
      <c r="G39" s="1">
        <f t="shared" si="0"/>
        <v>1692.9679999999998</v>
      </c>
      <c r="H39" s="4">
        <v>822.07400000000007</v>
      </c>
      <c r="I39" s="4">
        <f>VLOOKUP(A39,[1]PGReverse_all!$A$1:$FK$281,167,0)</f>
        <v>197.06</v>
      </c>
      <c r="J39" s="4">
        <f t="shared" si="5"/>
        <v>2277.9659999999999</v>
      </c>
      <c r="K39" s="7">
        <v>-269.03999999999996</v>
      </c>
      <c r="L39" t="s">
        <v>11</v>
      </c>
      <c r="M39" t="s">
        <v>9</v>
      </c>
      <c r="N39" s="26">
        <f>VLOOKUP(A39,[1]PGReconsile!$A$1:$E$642,5,0)</f>
        <v>45900.693749999999</v>
      </c>
    </row>
    <row r="40" spans="1:14" x14ac:dyDescent="0.3">
      <c r="A40">
        <v>8617707567</v>
      </c>
      <c r="B40">
        <v>2786</v>
      </c>
      <c r="C40" s="1">
        <v>591.74599999999998</v>
      </c>
      <c r="D40" s="1">
        <v>71.98</v>
      </c>
      <c r="E40" s="1">
        <v>310.93799999999999</v>
      </c>
      <c r="F40">
        <v>2107.348</v>
      </c>
      <c r="G40" s="1">
        <f t="shared" si="0"/>
        <v>1796.4099999999999</v>
      </c>
      <c r="H40" s="4">
        <v>678.65200000000004</v>
      </c>
      <c r="I40" s="4">
        <v>0</v>
      </c>
      <c r="J40" s="4" t="s">
        <v>25</v>
      </c>
      <c r="K40" s="8">
        <v>2107.348</v>
      </c>
      <c r="L40" t="s">
        <v>12</v>
      </c>
      <c r="M40" t="s">
        <v>9</v>
      </c>
      <c r="N40" s="26">
        <f>VLOOKUP(A40,[1]PGReconsile!$A$1:$E$642,5,0)</f>
        <v>45885.463194444441</v>
      </c>
    </row>
    <row r="41" spans="1:14" x14ac:dyDescent="0.3">
      <c r="A41">
        <v>8601398846</v>
      </c>
      <c r="B41">
        <v>2131</v>
      </c>
      <c r="C41" s="1">
        <v>553.20799999999997</v>
      </c>
      <c r="D41" s="1">
        <v>71.98</v>
      </c>
      <c r="E41" s="1">
        <v>237.833</v>
      </c>
      <c r="F41">
        <v>1494.396</v>
      </c>
      <c r="G41" s="1">
        <f t="shared" si="0"/>
        <v>1256.5629999999999</v>
      </c>
      <c r="H41" s="4">
        <v>636.60400000000004</v>
      </c>
      <c r="I41" s="4">
        <v>0</v>
      </c>
      <c r="J41" s="4" t="s">
        <v>25</v>
      </c>
      <c r="K41" s="8">
        <v>1494.396</v>
      </c>
      <c r="L41" t="s">
        <v>12</v>
      </c>
      <c r="M41" t="s">
        <v>9</v>
      </c>
      <c r="N41" s="26">
        <f>VLOOKUP(A41,[1]PGReconsile!$A$1:$E$642,5,0)</f>
        <v>45874.465277777781</v>
      </c>
    </row>
    <row r="42" spans="1:14" x14ac:dyDescent="0.3">
      <c r="A42">
        <v>8655513263</v>
      </c>
      <c r="B42">
        <v>3294</v>
      </c>
      <c r="C42" s="1">
        <v>1049.4680000000001</v>
      </c>
      <c r="D42" s="1">
        <v>71.98</v>
      </c>
      <c r="E42" s="1">
        <v>367.63600000000002</v>
      </c>
      <c r="F42">
        <v>2154.9050000000002</v>
      </c>
      <c r="G42" s="1">
        <f t="shared" si="0"/>
        <v>1787.2690000000002</v>
      </c>
      <c r="H42" s="4">
        <v>1139.0949999999998</v>
      </c>
      <c r="I42" s="4">
        <f>VLOOKUP(A42,[1]PGReverse_all!$A$1:$FK$281,167,0)</f>
        <v>197.06</v>
      </c>
      <c r="J42" s="4">
        <f t="shared" ref="J42:J43" si="6">F42+D42+I42</f>
        <v>2423.9450000000002</v>
      </c>
      <c r="K42" s="7">
        <v>-269.03999999999996</v>
      </c>
      <c r="L42" t="s">
        <v>11</v>
      </c>
      <c r="M42" t="s">
        <v>9</v>
      </c>
      <c r="N42" s="26">
        <f>VLOOKUP(A42,[1]PGReconsile!$A$1:$E$642,5,0)</f>
        <v>45908.48333333333</v>
      </c>
    </row>
    <row r="43" spans="1:14" x14ac:dyDescent="0.3">
      <c r="A43">
        <v>8618679840</v>
      </c>
      <c r="B43">
        <v>3169</v>
      </c>
      <c r="C43" s="1">
        <v>822.67200000000003</v>
      </c>
      <c r="D43" s="1">
        <v>71.98</v>
      </c>
      <c r="E43" s="1">
        <v>353.68700000000001</v>
      </c>
      <c r="F43">
        <v>2257.3719999999998</v>
      </c>
      <c r="G43" s="1">
        <f t="shared" si="0"/>
        <v>1903.6849999999999</v>
      </c>
      <c r="H43" s="4">
        <v>911.62800000000016</v>
      </c>
      <c r="I43" s="4">
        <f>VLOOKUP(A43,[1]PGReverse_all!$A$1:$FK$281,167,0)</f>
        <v>107.38</v>
      </c>
      <c r="J43" s="4">
        <f t="shared" si="6"/>
        <v>2436.732</v>
      </c>
      <c r="K43" s="7">
        <v>-179.36000000000013</v>
      </c>
      <c r="L43" t="s">
        <v>11</v>
      </c>
      <c r="M43" t="s">
        <v>9</v>
      </c>
      <c r="N43" s="26">
        <f>VLOOKUP(A43,[1]PGReconsile!$A$1:$E$642,5,0)</f>
        <v>45885.463194444441</v>
      </c>
    </row>
    <row r="44" spans="1:14" x14ac:dyDescent="0.3">
      <c r="A44">
        <v>8618164100</v>
      </c>
      <c r="B44">
        <v>2994</v>
      </c>
      <c r="C44" s="1">
        <v>635.92600000000004</v>
      </c>
      <c r="D44" s="1">
        <v>71.98</v>
      </c>
      <c r="E44" s="1">
        <v>334.14599999999996</v>
      </c>
      <c r="F44">
        <v>2270.0549999999998</v>
      </c>
      <c r="G44" s="1">
        <f t="shared" si="0"/>
        <v>1935.9089999999999</v>
      </c>
      <c r="H44" s="4">
        <v>723.94500000000016</v>
      </c>
      <c r="I44" s="4">
        <v>0</v>
      </c>
      <c r="J44" s="4" t="s">
        <v>25</v>
      </c>
      <c r="K44" s="8">
        <v>2270.0549999999998</v>
      </c>
      <c r="L44" t="s">
        <v>12</v>
      </c>
      <c r="M44" t="s">
        <v>9</v>
      </c>
      <c r="N44" s="26">
        <f>VLOOKUP(A44,[1]PGReconsile!$A$1:$E$642,5,0)</f>
        <v>45885.463194444441</v>
      </c>
    </row>
    <row r="45" spans="1:14" x14ac:dyDescent="0.3">
      <c r="A45">
        <v>8611927891</v>
      </c>
      <c r="B45">
        <v>2131</v>
      </c>
      <c r="C45" s="1">
        <v>553.20799999999997</v>
      </c>
      <c r="D45" s="1">
        <v>71.98</v>
      </c>
      <c r="E45" s="1">
        <v>237.833</v>
      </c>
      <c r="F45">
        <v>1494.396</v>
      </c>
      <c r="G45" s="1">
        <f t="shared" si="0"/>
        <v>1256.5629999999999</v>
      </c>
      <c r="H45" s="4">
        <v>636.60400000000004</v>
      </c>
      <c r="I45" s="4">
        <v>0</v>
      </c>
      <c r="J45" s="4" t="s">
        <v>25</v>
      </c>
      <c r="K45" s="8">
        <v>1494.396</v>
      </c>
      <c r="L45" t="s">
        <v>12</v>
      </c>
      <c r="M45" t="s">
        <v>9</v>
      </c>
      <c r="N45" s="26">
        <f>VLOOKUP(A45,[1]PGReconsile!$A$1:$E$642,5,0)</f>
        <v>45880.556944444441</v>
      </c>
    </row>
    <row r="46" spans="1:14" x14ac:dyDescent="0.3">
      <c r="A46">
        <v>8633660254</v>
      </c>
      <c r="B46">
        <v>2981</v>
      </c>
      <c r="C46" s="1">
        <v>738.69200000000001</v>
      </c>
      <c r="D46" s="1">
        <v>71.98</v>
      </c>
      <c r="E46" s="1">
        <v>332.69799999999998</v>
      </c>
      <c r="F46">
        <v>2154.3580000000002</v>
      </c>
      <c r="G46" s="1">
        <f t="shared" si="0"/>
        <v>1821.6600000000003</v>
      </c>
      <c r="H46" s="4">
        <v>826.64199999999983</v>
      </c>
      <c r="I46" s="4">
        <v>0</v>
      </c>
      <c r="J46" s="4" t="s">
        <v>25</v>
      </c>
      <c r="K46" s="8">
        <v>2154.3580000000002</v>
      </c>
      <c r="L46" t="s">
        <v>12</v>
      </c>
      <c r="M46" t="s">
        <v>9</v>
      </c>
      <c r="N46" s="26">
        <f>VLOOKUP(A46,[1]PGReconsile!$A$1:$E$642,5,0)</f>
        <v>45895.447222222225</v>
      </c>
    </row>
    <row r="47" spans="1:14" x14ac:dyDescent="0.3">
      <c r="A47">
        <v>8620040747</v>
      </c>
      <c r="B47">
        <v>2606</v>
      </c>
      <c r="C47" s="1">
        <v>553.51400000000001</v>
      </c>
      <c r="D47" s="1">
        <v>71.98</v>
      </c>
      <c r="E47" s="1">
        <v>290.84399999999999</v>
      </c>
      <c r="F47">
        <v>1966.5450000000001</v>
      </c>
      <c r="G47" s="1">
        <f t="shared" si="0"/>
        <v>1675.701</v>
      </c>
      <c r="H47" s="4">
        <v>639.45499999999993</v>
      </c>
      <c r="I47" s="4">
        <f>VLOOKUP(A47,[1]PGReverse_all!$A$1:$FK$281,167,0)</f>
        <v>132.16</v>
      </c>
      <c r="J47" s="4">
        <f>F47+D47+I47</f>
        <v>2170.6849999999999</v>
      </c>
      <c r="K47" s="7">
        <v>-204.13999999999987</v>
      </c>
      <c r="L47" t="s">
        <v>11</v>
      </c>
      <c r="M47" t="s">
        <v>9</v>
      </c>
      <c r="N47" s="26">
        <f>VLOOKUP(A47,[1]PGReconsile!$A$1:$E$642,5,0)</f>
        <v>45887.452777777777</v>
      </c>
    </row>
    <row r="48" spans="1:14" x14ac:dyDescent="0.3">
      <c r="A48">
        <v>8631868697</v>
      </c>
      <c r="B48">
        <v>2244</v>
      </c>
      <c r="C48" s="1">
        <v>476.62599999999998</v>
      </c>
      <c r="D48" s="1">
        <v>71.98</v>
      </c>
      <c r="E48" s="1">
        <v>250.44800000000001</v>
      </c>
      <c r="F48">
        <v>1683.3720000000001</v>
      </c>
      <c r="G48" s="1">
        <f t="shared" si="0"/>
        <v>1432.924</v>
      </c>
      <c r="H48" s="4">
        <v>560.62799999999993</v>
      </c>
      <c r="I48" s="4">
        <v>0</v>
      </c>
      <c r="J48" s="4" t="s">
        <v>25</v>
      </c>
      <c r="K48" s="8">
        <v>1683.3720000000001</v>
      </c>
      <c r="L48" t="s">
        <v>12</v>
      </c>
      <c r="M48" t="s">
        <v>9</v>
      </c>
      <c r="N48" s="26">
        <f>VLOOKUP(A48,[1]PGReconsile!$A$1:$E$642,5,0)</f>
        <v>45894.452777777777</v>
      </c>
    </row>
    <row r="49" spans="1:14" x14ac:dyDescent="0.3">
      <c r="A49">
        <v>8636986750</v>
      </c>
      <c r="B49">
        <v>2769</v>
      </c>
      <c r="C49" s="1">
        <v>588.13599999999997</v>
      </c>
      <c r="D49" s="1">
        <v>71.98</v>
      </c>
      <c r="E49" s="1">
        <v>309.04200000000003</v>
      </c>
      <c r="F49">
        <v>2094.0500000000002</v>
      </c>
      <c r="G49" s="1">
        <f t="shared" si="0"/>
        <v>1785.0080000000003</v>
      </c>
      <c r="H49" s="4">
        <v>674.94999999999982</v>
      </c>
      <c r="I49" s="4">
        <f>VLOOKUP(A49,[1]PGReverse_all!$A$1:$FK$281,167,0)</f>
        <v>197.06</v>
      </c>
      <c r="J49" s="4">
        <f t="shared" ref="J49:J54" si="7">F49+D49+I49</f>
        <v>2363.09</v>
      </c>
      <c r="K49" s="7">
        <v>-269.03999999999996</v>
      </c>
      <c r="L49" t="s">
        <v>11</v>
      </c>
      <c r="M49" t="s">
        <v>9</v>
      </c>
      <c r="N49" s="26">
        <f>VLOOKUP(A49,[1]PGReconsile!$A$1:$E$642,5,0)</f>
        <v>45898.445138888892</v>
      </c>
    </row>
    <row r="50" spans="1:14" x14ac:dyDescent="0.3">
      <c r="A50">
        <v>8634176784</v>
      </c>
      <c r="B50">
        <v>966</v>
      </c>
      <c r="C50" s="1">
        <v>227.976</v>
      </c>
      <c r="D50" s="1">
        <v>31.86</v>
      </c>
      <c r="E50" s="1">
        <v>50.6</v>
      </c>
      <c r="F50">
        <v>700.64400000000001</v>
      </c>
      <c r="G50" s="1">
        <f t="shared" si="0"/>
        <v>650.04399999999998</v>
      </c>
      <c r="H50" s="4">
        <v>265.35599999999999</v>
      </c>
      <c r="I50" s="4">
        <f>VLOOKUP(A50,[1]PGReverse_all!$A$1:$FK$281,167,0)</f>
        <v>132.16</v>
      </c>
      <c r="J50" s="4">
        <f t="shared" si="7"/>
        <v>864.66399999999999</v>
      </c>
      <c r="K50" s="7">
        <v>-164.01999999999998</v>
      </c>
      <c r="L50" t="s">
        <v>11</v>
      </c>
      <c r="M50" t="s">
        <v>9</v>
      </c>
      <c r="N50" s="26">
        <f>VLOOKUP(A50,[1]PGReconsile!$A$1:$E$642,5,0)</f>
        <v>45895.786805555559</v>
      </c>
    </row>
    <row r="51" spans="1:14" x14ac:dyDescent="0.3">
      <c r="A51">
        <v>8611806865</v>
      </c>
      <c r="B51">
        <v>4593.99</v>
      </c>
      <c r="C51" s="1">
        <v>1301.018</v>
      </c>
      <c r="D51" s="1">
        <v>71.98</v>
      </c>
      <c r="E51" s="1">
        <v>512.71899999999994</v>
      </c>
      <c r="F51">
        <v>3196.3809999999999</v>
      </c>
      <c r="G51" s="1">
        <f t="shared" si="0"/>
        <v>2683.6619999999998</v>
      </c>
      <c r="H51" s="4">
        <v>1397.6089999999999</v>
      </c>
      <c r="I51" s="4">
        <f>VLOOKUP(A51,[1]PGReverse_all!$A$1:$FK$281,167,0)</f>
        <v>197.06</v>
      </c>
      <c r="J51" s="4">
        <f t="shared" si="7"/>
        <v>3465.4209999999998</v>
      </c>
      <c r="K51" s="7">
        <v>-269.03999999999996</v>
      </c>
      <c r="L51" t="s">
        <v>11</v>
      </c>
      <c r="M51" t="s">
        <v>9</v>
      </c>
      <c r="N51" s="26">
        <f>VLOOKUP(A51,[1]PGReconsile!$A$1:$E$642,5,0)</f>
        <v>45880.464583333334</v>
      </c>
    </row>
    <row r="52" spans="1:14" x14ac:dyDescent="0.3">
      <c r="A52">
        <v>8657935085</v>
      </c>
      <c r="B52">
        <v>2943.99</v>
      </c>
      <c r="C52" s="1">
        <v>729.52</v>
      </c>
      <c r="D52" s="1">
        <v>71.97999999999999</v>
      </c>
      <c r="E52" s="1">
        <v>328.57299999999998</v>
      </c>
      <c r="F52">
        <v>2126.7179999999998</v>
      </c>
      <c r="G52" s="1">
        <f t="shared" si="0"/>
        <v>1798.145</v>
      </c>
      <c r="H52" s="4">
        <v>817.27199999999993</v>
      </c>
      <c r="I52" s="4">
        <f>VLOOKUP(A52,[1]PGReverse_all!$A$1:$FK$281,167,0)</f>
        <v>132.16</v>
      </c>
      <c r="J52" s="4">
        <f t="shared" si="7"/>
        <v>2330.8579999999997</v>
      </c>
      <c r="K52" s="7">
        <v>-204.13999999999987</v>
      </c>
      <c r="L52" t="s">
        <v>11</v>
      </c>
      <c r="M52" t="s">
        <v>9</v>
      </c>
      <c r="N52" s="26">
        <f>VLOOKUP(A52,[1]PGReconsile!$A$1:$E$642,5,0)</f>
        <v>45910.459722222222</v>
      </c>
    </row>
    <row r="53" spans="1:14" x14ac:dyDescent="0.3">
      <c r="A53">
        <v>8656288035</v>
      </c>
      <c r="B53">
        <v>2994</v>
      </c>
      <c r="C53" s="1">
        <v>777.24199999999996</v>
      </c>
      <c r="D53" s="1">
        <v>71.98</v>
      </c>
      <c r="E53" s="1">
        <v>334.15600000000001</v>
      </c>
      <c r="F53">
        <v>2128.739</v>
      </c>
      <c r="G53" s="1">
        <f t="shared" si="0"/>
        <v>1794.5830000000001</v>
      </c>
      <c r="H53" s="4">
        <v>865.26099999999997</v>
      </c>
      <c r="I53" s="4">
        <f>VLOOKUP(A53,[1]PGReverse_all!$A$1:$FK$281,167,0)</f>
        <v>132.16</v>
      </c>
      <c r="J53" s="4">
        <f t="shared" si="7"/>
        <v>2332.8789999999999</v>
      </c>
      <c r="K53" s="7">
        <v>-204.13999999999987</v>
      </c>
      <c r="L53" t="s">
        <v>11</v>
      </c>
      <c r="M53" t="s">
        <v>9</v>
      </c>
      <c r="N53" s="26">
        <f>VLOOKUP(A53,[1]PGReconsile!$A$1:$E$642,5,0)</f>
        <v>45908.788194444445</v>
      </c>
    </row>
    <row r="54" spans="1:14" x14ac:dyDescent="0.3">
      <c r="A54">
        <v>8629466445</v>
      </c>
      <c r="B54">
        <v>3544</v>
      </c>
      <c r="C54" s="1">
        <v>920.02200000000005</v>
      </c>
      <c r="D54" s="1">
        <v>71.98</v>
      </c>
      <c r="E54" s="1">
        <v>395.53100000000001</v>
      </c>
      <c r="F54">
        <v>2533.0129999999999</v>
      </c>
      <c r="G54" s="1">
        <f t="shared" si="0"/>
        <v>2137.482</v>
      </c>
      <c r="H54" s="4">
        <v>1010.9870000000001</v>
      </c>
      <c r="I54" s="4">
        <f>VLOOKUP(A54,[1]PGReverse_all!$A$1:$FK$281,167,0)</f>
        <v>197.06</v>
      </c>
      <c r="J54" s="4">
        <f t="shared" si="7"/>
        <v>2802.0529999999999</v>
      </c>
      <c r="K54" s="7">
        <v>-269.03999999999996</v>
      </c>
      <c r="L54" t="s">
        <v>11</v>
      </c>
      <c r="M54" t="s">
        <v>9</v>
      </c>
      <c r="N54" s="26">
        <f>VLOOKUP(A54,[1]PGReconsile!$A$1:$E$642,5,0)</f>
        <v>45892.432638888888</v>
      </c>
    </row>
    <row r="55" spans="1:14" x14ac:dyDescent="0.3">
      <c r="A55">
        <v>8620719877</v>
      </c>
      <c r="B55">
        <v>3394</v>
      </c>
      <c r="C55" s="1">
        <v>841.03300000000002</v>
      </c>
      <c r="D55" s="1">
        <v>71.98</v>
      </c>
      <c r="E55" s="1">
        <v>378.79199999999997</v>
      </c>
      <c r="F55">
        <v>2462.8040000000001</v>
      </c>
      <c r="G55" s="1">
        <f t="shared" si="0"/>
        <v>2084.0120000000002</v>
      </c>
      <c r="H55" s="4">
        <v>931.19599999999991</v>
      </c>
      <c r="I55" s="4">
        <v>0</v>
      </c>
      <c r="J55" s="4" t="s">
        <v>25</v>
      </c>
      <c r="K55" s="8">
        <v>2462.8040000000001</v>
      </c>
      <c r="L55" t="s">
        <v>12</v>
      </c>
      <c r="M55" t="s">
        <v>9</v>
      </c>
      <c r="N55" s="26">
        <f>VLOOKUP(A55,[1]PGReconsile!$A$1:$E$642,5,0)</f>
        <v>45887.452777777777</v>
      </c>
    </row>
    <row r="56" spans="1:14" x14ac:dyDescent="0.3">
      <c r="A56">
        <v>8612040958</v>
      </c>
      <c r="B56">
        <v>3544</v>
      </c>
      <c r="C56" s="1">
        <v>920.02200000000005</v>
      </c>
      <c r="D56" s="1">
        <v>71.98</v>
      </c>
      <c r="E56" s="1">
        <v>395.53100000000001</v>
      </c>
      <c r="F56">
        <v>2533.0129999999999</v>
      </c>
      <c r="G56" s="1">
        <f t="shared" si="0"/>
        <v>2137.482</v>
      </c>
      <c r="H56" s="4">
        <v>1010.9870000000001</v>
      </c>
      <c r="I56" s="4">
        <f>VLOOKUP(A56,[1]PGReverse_all!$A$1:$FK$281,167,0)</f>
        <v>197.06</v>
      </c>
      <c r="J56" s="4">
        <f>F56+D56+I56</f>
        <v>2802.0529999999999</v>
      </c>
      <c r="K56" s="7">
        <v>-269.03999999999996</v>
      </c>
      <c r="L56" t="s">
        <v>11</v>
      </c>
      <c r="M56" t="s">
        <v>9</v>
      </c>
      <c r="N56" s="26">
        <f>VLOOKUP(A56,[1]PGReconsile!$A$1:$E$642,5,0)</f>
        <v>45880.772916666669</v>
      </c>
    </row>
    <row r="57" spans="1:14" x14ac:dyDescent="0.3">
      <c r="A57">
        <v>8623066496</v>
      </c>
      <c r="B57">
        <v>2594</v>
      </c>
      <c r="C57" s="1">
        <v>550.96600000000001</v>
      </c>
      <c r="D57" s="1">
        <v>71.98</v>
      </c>
      <c r="E57" s="1">
        <v>289.5</v>
      </c>
      <c r="F57">
        <v>1957.1579999999999</v>
      </c>
      <c r="G57" s="1">
        <f t="shared" si="0"/>
        <v>1667.6579999999999</v>
      </c>
      <c r="H57" s="4">
        <v>636.8420000000001</v>
      </c>
      <c r="I57" s="4">
        <v>0</v>
      </c>
      <c r="J57" s="4" t="s">
        <v>25</v>
      </c>
      <c r="K57" s="8">
        <v>1957.1579999999999</v>
      </c>
      <c r="L57" t="s">
        <v>12</v>
      </c>
      <c r="M57" t="s">
        <v>9</v>
      </c>
      <c r="N57" s="26">
        <f>VLOOKUP(A57,[1]PGReconsile!$A$1:$E$642,5,0)</f>
        <v>45888.475694444445</v>
      </c>
    </row>
    <row r="58" spans="1:14" x14ac:dyDescent="0.3">
      <c r="A58">
        <v>8655144624</v>
      </c>
      <c r="B58">
        <v>2794</v>
      </c>
      <c r="C58" s="1">
        <v>593.44600000000003</v>
      </c>
      <c r="D58" s="1">
        <v>71.98</v>
      </c>
      <c r="E58" s="1">
        <v>311.83300000000003</v>
      </c>
      <c r="F58">
        <v>2113.6060000000002</v>
      </c>
      <c r="G58" s="1">
        <f t="shared" si="0"/>
        <v>1801.7730000000001</v>
      </c>
      <c r="H58" s="4">
        <v>680.39399999999978</v>
      </c>
      <c r="I58" s="4">
        <v>0</v>
      </c>
      <c r="J58" s="4" t="s">
        <v>25</v>
      </c>
      <c r="K58" s="8">
        <v>2113.6060000000002</v>
      </c>
      <c r="L58" t="s">
        <v>12</v>
      </c>
      <c r="M58" t="s">
        <v>9</v>
      </c>
      <c r="N58" s="26">
        <f>VLOOKUP(A58,[1]PGReconsile!$A$1:$E$642,5,0)</f>
        <v>45908.48333333333</v>
      </c>
    </row>
    <row r="59" spans="1:14" x14ac:dyDescent="0.3">
      <c r="A59">
        <v>8639002063</v>
      </c>
      <c r="B59">
        <v>2194</v>
      </c>
      <c r="C59" s="1">
        <v>466.00599999999997</v>
      </c>
      <c r="D59" s="1">
        <v>71.98</v>
      </c>
      <c r="E59" s="1">
        <v>244.86499999999998</v>
      </c>
      <c r="F59">
        <v>1644.26</v>
      </c>
      <c r="G59" s="1">
        <f t="shared" si="0"/>
        <v>1399.395</v>
      </c>
      <c r="H59" s="4">
        <v>549.74</v>
      </c>
      <c r="I59" s="4">
        <f>VLOOKUP(A59,[1]PGReverse_all!$A$1:$FK$281,167,0)</f>
        <v>197.06</v>
      </c>
      <c r="J59" s="4">
        <f>F59+D59+I59</f>
        <v>1913.3</v>
      </c>
      <c r="K59" s="7">
        <v>-269.03999999999996</v>
      </c>
      <c r="L59" t="s">
        <v>11</v>
      </c>
      <c r="M59" t="s">
        <v>9</v>
      </c>
      <c r="N59" s="26">
        <f>VLOOKUP(A59,[1]PGReconsile!$A$1:$E$642,5,0)</f>
        <v>45899.763888888891</v>
      </c>
    </row>
    <row r="60" spans="1:14" x14ac:dyDescent="0.3">
      <c r="A60">
        <v>8649996593</v>
      </c>
      <c r="B60">
        <v>2594</v>
      </c>
      <c r="C60" s="1">
        <v>550.96600000000001</v>
      </c>
      <c r="D60" s="1">
        <v>71.98</v>
      </c>
      <c r="E60" s="1">
        <v>289.5</v>
      </c>
      <c r="F60">
        <v>1957.1579999999999</v>
      </c>
      <c r="G60" s="1">
        <f t="shared" si="0"/>
        <v>1667.6579999999999</v>
      </c>
      <c r="H60" s="4">
        <v>636.8420000000001</v>
      </c>
      <c r="I60" s="4">
        <v>0</v>
      </c>
      <c r="J60" s="4" t="s">
        <v>25</v>
      </c>
      <c r="K60" s="8">
        <v>1957.1579999999999</v>
      </c>
      <c r="L60" t="s">
        <v>12</v>
      </c>
      <c r="M60" t="s">
        <v>9</v>
      </c>
      <c r="N60" s="26">
        <f>VLOOKUP(A60,[1]PGReconsile!$A$1:$E$642,5,0)</f>
        <v>45905.805555555555</v>
      </c>
    </row>
    <row r="61" spans="1:14" x14ac:dyDescent="0.3">
      <c r="A61">
        <v>8634757737</v>
      </c>
      <c r="B61">
        <v>3194</v>
      </c>
      <c r="C61" s="1">
        <v>791.47299999999996</v>
      </c>
      <c r="D61" s="1">
        <v>71.98</v>
      </c>
      <c r="E61" s="1">
        <v>356.47900000000004</v>
      </c>
      <c r="F61">
        <v>2313.4360000000001</v>
      </c>
      <c r="G61" s="1">
        <f t="shared" si="0"/>
        <v>1956.9570000000001</v>
      </c>
      <c r="H61" s="4">
        <v>880.56399999999985</v>
      </c>
      <c r="I61" s="4">
        <f>VLOOKUP(A61,[1]PGReverse_all!$A$1:$FK$281,167,0)</f>
        <v>107.38</v>
      </c>
      <c r="J61" s="4">
        <f t="shared" ref="J61:J62" si="8">F61+D61+I61</f>
        <v>2492.7960000000003</v>
      </c>
      <c r="K61" s="7">
        <v>-179.36000000000013</v>
      </c>
      <c r="L61" t="s">
        <v>11</v>
      </c>
      <c r="M61" t="s">
        <v>9</v>
      </c>
      <c r="N61" s="26">
        <f>VLOOKUP(A61,[1]PGReconsile!$A$1:$E$642,5,0)</f>
        <v>45897.440972222219</v>
      </c>
    </row>
    <row r="62" spans="1:14" x14ac:dyDescent="0.3">
      <c r="A62">
        <v>8644200717</v>
      </c>
      <c r="B62">
        <v>4594</v>
      </c>
      <c r="C62" s="1">
        <v>1409.4390000000001</v>
      </c>
      <c r="D62" s="1">
        <v>71.98</v>
      </c>
      <c r="E62" s="1">
        <v>512.71899999999994</v>
      </c>
      <c r="F62">
        <v>3087.97</v>
      </c>
      <c r="G62" s="1">
        <f t="shared" si="0"/>
        <v>2575.2509999999997</v>
      </c>
      <c r="H62" s="4">
        <v>1506.0300000000002</v>
      </c>
      <c r="I62" s="4">
        <f>VLOOKUP(A62,[1]PGReverse_all!$A$1:$FK$281,167,0)</f>
        <v>197.06</v>
      </c>
      <c r="J62" s="4">
        <f t="shared" si="8"/>
        <v>3357.0099999999998</v>
      </c>
      <c r="K62" s="7">
        <v>-269.03999999999996</v>
      </c>
      <c r="L62" t="s">
        <v>11</v>
      </c>
      <c r="M62" t="s">
        <v>9</v>
      </c>
      <c r="N62" s="26">
        <f>VLOOKUP(A62,[1]PGReconsile!$A$1:$E$642,5,0)</f>
        <v>45902.560416666667</v>
      </c>
    </row>
    <row r="63" spans="1:14" x14ac:dyDescent="0.3">
      <c r="A63">
        <v>8637941448</v>
      </c>
      <c r="B63">
        <v>3544</v>
      </c>
      <c r="C63" s="1">
        <v>920.02200000000005</v>
      </c>
      <c r="D63" s="1">
        <v>71.98</v>
      </c>
      <c r="E63" s="1">
        <v>395.53100000000001</v>
      </c>
      <c r="F63">
        <v>2533.0129999999999</v>
      </c>
      <c r="G63" s="1">
        <f t="shared" si="0"/>
        <v>2137.482</v>
      </c>
      <c r="H63" s="4">
        <v>1010.9870000000001</v>
      </c>
      <c r="I63" s="4">
        <v>0</v>
      </c>
      <c r="J63" s="4" t="s">
        <v>25</v>
      </c>
      <c r="K63" s="8">
        <v>2533.0129999999999</v>
      </c>
      <c r="L63" t="s">
        <v>12</v>
      </c>
      <c r="M63" t="s">
        <v>9</v>
      </c>
      <c r="N63" s="26">
        <f>VLOOKUP(A63,[1]PGReconsile!$A$1:$E$642,5,0)</f>
        <v>45898.802777777775</v>
      </c>
    </row>
    <row r="64" spans="1:14" x14ac:dyDescent="0.3">
      <c r="A64">
        <v>8615512711</v>
      </c>
      <c r="B64">
        <v>2419</v>
      </c>
      <c r="C64" s="1">
        <v>513.79600000000005</v>
      </c>
      <c r="D64" s="1">
        <v>71.98</v>
      </c>
      <c r="E64" s="1">
        <v>269.97899999999998</v>
      </c>
      <c r="F64">
        <v>1820.2650000000001</v>
      </c>
      <c r="G64" s="1">
        <f t="shared" si="0"/>
        <v>1550.2860000000001</v>
      </c>
      <c r="H64" s="4">
        <v>598.7349999999999</v>
      </c>
      <c r="I64" s="4">
        <v>0</v>
      </c>
      <c r="J64" s="4" t="s">
        <v>25</v>
      </c>
      <c r="K64" s="8">
        <v>1820.2650000000001</v>
      </c>
      <c r="L64" t="s">
        <v>12</v>
      </c>
      <c r="M64" t="s">
        <v>9</v>
      </c>
      <c r="N64" s="26">
        <f>VLOOKUP(A64,[1]PGReconsile!$A$1:$E$642,5,0)</f>
        <v>45888.475694444445</v>
      </c>
    </row>
    <row r="65" spans="1:14" x14ac:dyDescent="0.3">
      <c r="A65">
        <v>8654231853</v>
      </c>
      <c r="B65">
        <v>2194</v>
      </c>
      <c r="C65" s="1">
        <v>466.00599999999997</v>
      </c>
      <c r="D65" s="1">
        <v>71.98</v>
      </c>
      <c r="E65" s="1">
        <v>244.86499999999998</v>
      </c>
      <c r="F65">
        <v>1644.26</v>
      </c>
      <c r="G65" s="1">
        <f t="shared" si="0"/>
        <v>1399.395</v>
      </c>
      <c r="H65" s="4">
        <v>549.74</v>
      </c>
      <c r="I65" s="4">
        <v>0</v>
      </c>
      <c r="J65" s="4" t="s">
        <v>25</v>
      </c>
      <c r="K65" s="8">
        <v>1644.26</v>
      </c>
      <c r="L65" t="s">
        <v>12</v>
      </c>
      <c r="M65" t="s">
        <v>9</v>
      </c>
      <c r="N65" s="26">
        <f>VLOOKUP(A65,[1]PGReconsile!$A$1:$E$642,5,0)</f>
        <v>45908.48333333333</v>
      </c>
    </row>
    <row r="66" spans="1:14" x14ac:dyDescent="0.3">
      <c r="A66">
        <v>8629059218</v>
      </c>
      <c r="B66">
        <v>3169</v>
      </c>
      <c r="C66" s="1">
        <v>822.67200000000003</v>
      </c>
      <c r="D66" s="1">
        <v>71.98</v>
      </c>
      <c r="E66" s="1">
        <v>353.68700000000001</v>
      </c>
      <c r="F66">
        <v>2257.3719999999998</v>
      </c>
      <c r="G66" s="1">
        <f t="shared" si="0"/>
        <v>1903.6849999999999</v>
      </c>
      <c r="H66" s="4">
        <v>911.62800000000016</v>
      </c>
      <c r="I66" s="4">
        <f>VLOOKUP(A66,[1]PGReverse_all!$A$1:$FK$281,167,0)</f>
        <v>197.06</v>
      </c>
      <c r="J66" s="4">
        <f t="shared" ref="J66:J68" si="9">F66+D66+I66</f>
        <v>2526.4119999999998</v>
      </c>
      <c r="K66" s="7">
        <v>-269.03999999999996</v>
      </c>
      <c r="L66" t="s">
        <v>11</v>
      </c>
      <c r="M66" t="s">
        <v>9</v>
      </c>
      <c r="N66" s="26">
        <f>VLOOKUP(A66,[1]PGReconsile!$A$1:$E$642,5,0)</f>
        <v>45892.432638888888</v>
      </c>
    </row>
    <row r="67" spans="1:14" x14ac:dyDescent="0.3">
      <c r="A67">
        <v>8642596173</v>
      </c>
      <c r="B67">
        <v>3644</v>
      </c>
      <c r="C67" s="1">
        <v>1117.979</v>
      </c>
      <c r="D67" s="1">
        <v>71.98</v>
      </c>
      <c r="E67" s="1">
        <v>406.68799999999999</v>
      </c>
      <c r="F67">
        <v>2434.5189999999998</v>
      </c>
      <c r="G67" s="1">
        <f t="shared" ref="G67:G130" si="10">F67-E67</f>
        <v>2027.8309999999997</v>
      </c>
      <c r="H67" s="4">
        <v>1209.4810000000002</v>
      </c>
      <c r="I67" s="4">
        <f>VLOOKUP(A67,[1]PGReverse_all!$A$1:$FK$281,167,0)</f>
        <v>107.38</v>
      </c>
      <c r="J67" s="4">
        <f t="shared" si="9"/>
        <v>2613.8789999999999</v>
      </c>
      <c r="K67" s="7">
        <v>-179.36000000000013</v>
      </c>
      <c r="L67" t="s">
        <v>11</v>
      </c>
      <c r="M67" t="s">
        <v>9</v>
      </c>
      <c r="N67" s="26">
        <f>VLOOKUP(A67,[1]PGReconsile!$A$1:$E$642,5,0)</f>
        <v>45901.785416666666</v>
      </c>
    </row>
    <row r="68" spans="1:14" x14ac:dyDescent="0.3">
      <c r="A68">
        <v>8641095253</v>
      </c>
      <c r="B68">
        <v>3994</v>
      </c>
      <c r="C68" s="1">
        <v>1272.4880000000001</v>
      </c>
      <c r="D68" s="1">
        <v>71.98</v>
      </c>
      <c r="E68" s="1">
        <v>445.76</v>
      </c>
      <c r="F68">
        <v>2628.136</v>
      </c>
      <c r="G68" s="1">
        <f t="shared" si="10"/>
        <v>2182.3760000000002</v>
      </c>
      <c r="H68" s="4">
        <v>1365.864</v>
      </c>
      <c r="I68" s="4">
        <f>VLOOKUP(A68,[1]PGReverse_all!$A$1:$FK$281,167,0)</f>
        <v>197.06</v>
      </c>
      <c r="J68" s="4">
        <f t="shared" si="9"/>
        <v>2897.1759999999999</v>
      </c>
      <c r="K68" s="7">
        <v>-269.03999999999996</v>
      </c>
      <c r="L68" t="s">
        <v>11</v>
      </c>
      <c r="M68" t="s">
        <v>9</v>
      </c>
      <c r="N68" s="26">
        <f>VLOOKUP(A68,[1]PGReconsile!$A$1:$E$642,5,0)</f>
        <v>45901.459027777775</v>
      </c>
    </row>
    <row r="69" spans="1:14" x14ac:dyDescent="0.3">
      <c r="A69">
        <v>8664266778</v>
      </c>
      <c r="B69">
        <v>2994</v>
      </c>
      <c r="C69" s="1">
        <v>741.91300000000001</v>
      </c>
      <c r="D69" s="1">
        <v>71.98</v>
      </c>
      <c r="E69" s="1">
        <v>334.15600000000001</v>
      </c>
      <c r="F69">
        <v>2164.0680000000002</v>
      </c>
      <c r="G69" s="1">
        <f t="shared" si="10"/>
        <v>1829.9120000000003</v>
      </c>
      <c r="H69" s="4">
        <v>829.93199999999979</v>
      </c>
      <c r="I69" s="4">
        <v>0</v>
      </c>
      <c r="J69" s="4" t="s">
        <v>25</v>
      </c>
      <c r="K69" s="8">
        <v>2164.0680000000002</v>
      </c>
      <c r="L69" t="s">
        <v>12</v>
      </c>
      <c r="M69" t="s">
        <v>9</v>
      </c>
      <c r="N69" s="26">
        <f>VLOOKUP(A69,[1]PGReconsile!$A$1:$E$642,5,0)</f>
        <v>45913.450694444444</v>
      </c>
    </row>
    <row r="70" spans="1:14" x14ac:dyDescent="0.3">
      <c r="A70">
        <v>8661941772</v>
      </c>
      <c r="B70">
        <v>2993.99</v>
      </c>
      <c r="C70" s="1">
        <v>741.91099999999994</v>
      </c>
      <c r="D70" s="1">
        <v>71.98</v>
      </c>
      <c r="E70" s="1">
        <v>334.15600000000001</v>
      </c>
      <c r="F70">
        <v>2164.06</v>
      </c>
      <c r="G70" s="1">
        <f t="shared" si="10"/>
        <v>1829.904</v>
      </c>
      <c r="H70" s="4">
        <v>829.92999999999984</v>
      </c>
      <c r="I70" s="4">
        <v>0</v>
      </c>
      <c r="J70" s="4" t="s">
        <v>25</v>
      </c>
      <c r="K70" s="8">
        <v>2164.06</v>
      </c>
      <c r="L70" t="s">
        <v>12</v>
      </c>
      <c r="M70" t="s">
        <v>9</v>
      </c>
      <c r="N70" s="26">
        <f>VLOOKUP(A70,[1]PGReconsile!$A$1:$E$642,5,0)</f>
        <v>45912.475694444445</v>
      </c>
    </row>
    <row r="71" spans="1:14" x14ac:dyDescent="0.3">
      <c r="A71">
        <v>8622529723</v>
      </c>
      <c r="B71">
        <v>3294</v>
      </c>
      <c r="C71" s="1">
        <v>816.25300000000004</v>
      </c>
      <c r="D71" s="1">
        <v>71.98</v>
      </c>
      <c r="E71" s="1">
        <v>367.63499999999999</v>
      </c>
      <c r="F71">
        <v>2388.1210000000001</v>
      </c>
      <c r="G71" s="1">
        <f t="shared" si="10"/>
        <v>2020.4860000000001</v>
      </c>
      <c r="H71" s="4">
        <v>905.87899999999991</v>
      </c>
      <c r="I71" s="4">
        <f>VLOOKUP(A71,[1]PGReverse_all!$A$1:$FK$281,167,0)</f>
        <v>132.16</v>
      </c>
      <c r="J71" s="4">
        <f>F71+D71+I71</f>
        <v>2592.261</v>
      </c>
      <c r="K71" s="7">
        <v>-204.13999999999987</v>
      </c>
      <c r="L71" t="s">
        <v>11</v>
      </c>
      <c r="M71" t="s">
        <v>9</v>
      </c>
      <c r="N71" s="26">
        <f>VLOOKUP(A71,[1]PGReconsile!$A$1:$E$642,5,0)</f>
        <v>45888.475694444445</v>
      </c>
    </row>
    <row r="72" spans="1:14" x14ac:dyDescent="0.3">
      <c r="A72">
        <v>8614858318</v>
      </c>
      <c r="B72">
        <v>3844</v>
      </c>
      <c r="C72" s="1">
        <v>952.54300000000001</v>
      </c>
      <c r="D72" s="1">
        <v>71.98</v>
      </c>
      <c r="E72" s="1">
        <v>429.02100000000002</v>
      </c>
      <c r="F72">
        <v>2798.884</v>
      </c>
      <c r="G72" s="1">
        <f t="shared" si="10"/>
        <v>2369.8629999999998</v>
      </c>
      <c r="H72" s="4">
        <v>1045.116</v>
      </c>
      <c r="I72" s="4">
        <v>0</v>
      </c>
      <c r="J72" s="4" t="s">
        <v>25</v>
      </c>
      <c r="K72" s="8">
        <v>2798.884</v>
      </c>
      <c r="L72" t="s">
        <v>12</v>
      </c>
      <c r="M72" t="s">
        <v>9</v>
      </c>
      <c r="N72" s="26">
        <f>VLOOKUP(A72,[1]PGReconsile!$A$1:$E$642,5,0)</f>
        <v>45882.456250000003</v>
      </c>
    </row>
    <row r="73" spans="1:14" x14ac:dyDescent="0.3">
      <c r="A73">
        <v>8655672020</v>
      </c>
      <c r="B73">
        <v>2169</v>
      </c>
      <c r="C73" s="1">
        <v>537.47799999999995</v>
      </c>
      <c r="D73" s="1">
        <v>71.98</v>
      </c>
      <c r="E73" s="1">
        <v>242.07299999999998</v>
      </c>
      <c r="F73">
        <v>1547.922</v>
      </c>
      <c r="G73" s="1">
        <f t="shared" si="10"/>
        <v>1305.8490000000002</v>
      </c>
      <c r="H73" s="4">
        <v>621.07799999999997</v>
      </c>
      <c r="I73" s="4">
        <f>VLOOKUP(A73,[1]PGReverse_all!$A$1:$FK$281,167,0)</f>
        <v>132.16</v>
      </c>
      <c r="J73" s="4">
        <f>F73+D73+I73</f>
        <v>1752.0620000000001</v>
      </c>
      <c r="K73" s="7">
        <v>-204.1400000000001</v>
      </c>
      <c r="L73" t="s">
        <v>11</v>
      </c>
      <c r="M73" t="s">
        <v>9</v>
      </c>
      <c r="N73" s="26">
        <f>VLOOKUP(A73,[1]PGReconsile!$A$1:$E$642,5,0)</f>
        <v>45908.48333333333</v>
      </c>
    </row>
    <row r="74" spans="1:14" x14ac:dyDescent="0.3">
      <c r="A74">
        <v>8630979515</v>
      </c>
      <c r="B74">
        <v>2821</v>
      </c>
      <c r="C74" s="1">
        <v>599.17999999999995</v>
      </c>
      <c r="D74" s="1">
        <v>71.98</v>
      </c>
      <c r="E74" s="1">
        <v>314.84399999999999</v>
      </c>
      <c r="F74">
        <v>2134.7269999999999</v>
      </c>
      <c r="G74" s="1">
        <f t="shared" si="10"/>
        <v>1819.8829999999998</v>
      </c>
      <c r="H74" s="4">
        <v>686.27300000000014</v>
      </c>
      <c r="I74" s="4">
        <v>0</v>
      </c>
      <c r="J74" s="4" t="s">
        <v>25</v>
      </c>
      <c r="K74" s="8">
        <v>2134.7269999999999</v>
      </c>
      <c r="L74" t="s">
        <v>12</v>
      </c>
      <c r="M74" t="s">
        <v>9</v>
      </c>
      <c r="N74" s="26">
        <f>VLOOKUP(A74,[1]PGReconsile!$A$1:$E$642,5,0)</f>
        <v>45894.452777777777</v>
      </c>
    </row>
    <row r="75" spans="1:14" x14ac:dyDescent="0.3">
      <c r="A75">
        <v>8653894535</v>
      </c>
      <c r="B75">
        <v>2994</v>
      </c>
      <c r="C75" s="1">
        <v>741.91300000000001</v>
      </c>
      <c r="D75" s="1">
        <v>71.98</v>
      </c>
      <c r="E75" s="1">
        <v>334.15600000000001</v>
      </c>
      <c r="F75">
        <v>2164.0680000000002</v>
      </c>
      <c r="G75" s="1">
        <f t="shared" si="10"/>
        <v>1829.9120000000003</v>
      </c>
      <c r="H75" s="4">
        <v>829.93199999999979</v>
      </c>
      <c r="I75" s="4">
        <v>0</v>
      </c>
      <c r="J75" s="4" t="s">
        <v>25</v>
      </c>
      <c r="K75" s="8">
        <v>2164.0680000000002</v>
      </c>
      <c r="L75" t="s">
        <v>12</v>
      </c>
      <c r="M75" t="s">
        <v>9</v>
      </c>
      <c r="N75" s="26">
        <f>VLOOKUP(A75,[1]PGReconsile!$A$1:$E$642,5,0)</f>
        <v>45908.48333333333</v>
      </c>
    </row>
    <row r="76" spans="1:14" x14ac:dyDescent="0.3">
      <c r="A76">
        <v>8662493509</v>
      </c>
      <c r="B76">
        <v>2794</v>
      </c>
      <c r="C76" s="1">
        <v>593.44600000000003</v>
      </c>
      <c r="D76" s="1">
        <v>71.98</v>
      </c>
      <c r="E76" s="1">
        <v>311.83300000000003</v>
      </c>
      <c r="F76">
        <v>2113.6060000000002</v>
      </c>
      <c r="G76" s="1">
        <f t="shared" si="10"/>
        <v>1801.7730000000001</v>
      </c>
      <c r="H76" s="4">
        <v>680.39399999999978</v>
      </c>
      <c r="I76" s="4">
        <v>0</v>
      </c>
      <c r="J76" s="4" t="s">
        <v>25</v>
      </c>
      <c r="K76" s="8">
        <v>2113.6060000000002</v>
      </c>
      <c r="L76" t="s">
        <v>12</v>
      </c>
      <c r="M76" t="s">
        <v>9</v>
      </c>
      <c r="N76" s="26">
        <f>VLOOKUP(A76,[1]PGReconsile!$A$1:$E$642,5,0)</f>
        <v>45912.475694444445</v>
      </c>
    </row>
    <row r="77" spans="1:14" x14ac:dyDescent="0.3">
      <c r="A77">
        <v>8631067091</v>
      </c>
      <c r="B77">
        <v>1794</v>
      </c>
      <c r="C77" s="1">
        <v>529.23</v>
      </c>
      <c r="D77" s="1">
        <v>53.1</v>
      </c>
      <c r="E77" s="1">
        <v>200.21899999999999</v>
      </c>
      <c r="F77">
        <v>1202.059</v>
      </c>
      <c r="G77" s="1">
        <f t="shared" si="10"/>
        <v>1001.8399999999999</v>
      </c>
      <c r="H77" s="4">
        <v>591.94100000000003</v>
      </c>
      <c r="I77" s="4">
        <v>0</v>
      </c>
      <c r="J77" s="4" t="s">
        <v>25</v>
      </c>
      <c r="K77" s="8">
        <v>1202.059</v>
      </c>
      <c r="L77" t="s">
        <v>12</v>
      </c>
      <c r="M77" t="s">
        <v>9</v>
      </c>
      <c r="N77" s="26">
        <f>VLOOKUP(A77,[1]PGReconsile!$A$1:$E$642,5,0)</f>
        <v>45894.452777777777</v>
      </c>
    </row>
    <row r="78" spans="1:14" x14ac:dyDescent="0.3">
      <c r="A78">
        <v>8619859831</v>
      </c>
      <c r="B78">
        <v>2044</v>
      </c>
      <c r="C78" s="1">
        <v>651.21799999999996</v>
      </c>
      <c r="D78" s="1">
        <v>71.98</v>
      </c>
      <c r="E78" s="1">
        <v>228.125</v>
      </c>
      <c r="F78">
        <v>1309.8520000000001</v>
      </c>
      <c r="G78" s="1">
        <f t="shared" si="10"/>
        <v>1081.7270000000001</v>
      </c>
      <c r="H78" s="4">
        <v>734.14799999999991</v>
      </c>
      <c r="I78" s="4">
        <v>0</v>
      </c>
      <c r="J78" s="4" t="s">
        <v>25</v>
      </c>
      <c r="K78" s="8">
        <v>1309.8520000000001</v>
      </c>
      <c r="L78" t="s">
        <v>12</v>
      </c>
      <c r="M78" t="s">
        <v>9</v>
      </c>
      <c r="N78" s="26">
        <f>VLOOKUP(A78,[1]PGReconsile!$A$1:$E$642,5,0)</f>
        <v>45888.475694444445</v>
      </c>
    </row>
    <row r="79" spans="1:14" x14ac:dyDescent="0.3">
      <c r="A79">
        <v>8611998481</v>
      </c>
      <c r="B79">
        <v>2944</v>
      </c>
      <c r="C79" s="1">
        <v>729.52300000000002</v>
      </c>
      <c r="D79" s="1">
        <v>71.98</v>
      </c>
      <c r="E79" s="1">
        <v>328.57299999999998</v>
      </c>
      <c r="F79">
        <v>2126.7249999999999</v>
      </c>
      <c r="G79" s="1">
        <f t="shared" si="10"/>
        <v>1798.152</v>
      </c>
      <c r="H79" s="4">
        <v>817.27500000000009</v>
      </c>
      <c r="I79" s="4">
        <v>0</v>
      </c>
      <c r="J79" s="4" t="s">
        <v>25</v>
      </c>
      <c r="K79" s="8">
        <v>2126.7249999999999</v>
      </c>
      <c r="L79" t="s">
        <v>12</v>
      </c>
      <c r="M79" t="s">
        <v>9</v>
      </c>
      <c r="N79" s="26">
        <f>VLOOKUP(A79,[1]PGReconsile!$A$1:$E$642,5,0)</f>
        <v>45880.556944444441</v>
      </c>
    </row>
    <row r="80" spans="1:14" x14ac:dyDescent="0.3">
      <c r="A80">
        <v>8639804045</v>
      </c>
      <c r="B80">
        <v>3543.98</v>
      </c>
      <c r="C80" s="1">
        <v>920.01700000000005</v>
      </c>
      <c r="D80" s="1">
        <v>71.98</v>
      </c>
      <c r="E80" s="1">
        <v>395.53100000000001</v>
      </c>
      <c r="F80">
        <v>2532.998</v>
      </c>
      <c r="G80" s="1">
        <f t="shared" si="10"/>
        <v>2137.4670000000001</v>
      </c>
      <c r="H80" s="4">
        <v>1010.982</v>
      </c>
      <c r="I80" s="4">
        <f>VLOOKUP(A80,[1]PGReverse_all!$A$1:$FK$281,167,0)</f>
        <v>197.06</v>
      </c>
      <c r="J80" s="4">
        <f t="shared" ref="J80:J81" si="11">F80+D80+I80</f>
        <v>2802.038</v>
      </c>
      <c r="K80" s="7">
        <v>-269.03999999999996</v>
      </c>
      <c r="L80" t="s">
        <v>11</v>
      </c>
      <c r="M80" t="s">
        <v>9</v>
      </c>
      <c r="N80" s="26">
        <f>VLOOKUP(A80,[1]PGReconsile!$A$1:$E$642,5,0)</f>
        <v>45900.458333333336</v>
      </c>
    </row>
    <row r="81" spans="1:14" x14ac:dyDescent="0.3">
      <c r="A81">
        <v>8612636944</v>
      </c>
      <c r="B81">
        <v>1793.99</v>
      </c>
      <c r="C81" s="1">
        <v>444.55099999999999</v>
      </c>
      <c r="D81" s="1">
        <v>53.1</v>
      </c>
      <c r="E81" s="1">
        <v>200.21899999999999</v>
      </c>
      <c r="F81">
        <v>1286.7280000000001</v>
      </c>
      <c r="G81" s="1">
        <f t="shared" si="10"/>
        <v>1086.509</v>
      </c>
      <c r="H81" s="4">
        <v>507.26199999999994</v>
      </c>
      <c r="I81" s="4">
        <f>VLOOKUP(A81,[1]PGReverse_all!$A$1:$FK$281,167,0)</f>
        <v>132.16</v>
      </c>
      <c r="J81" s="4">
        <f t="shared" si="11"/>
        <v>1471.9880000000001</v>
      </c>
      <c r="K81" s="7">
        <v>-185.26</v>
      </c>
      <c r="L81" t="s">
        <v>11</v>
      </c>
      <c r="M81" t="s">
        <v>9</v>
      </c>
      <c r="N81" s="26">
        <f>VLOOKUP(A81,[1]PGReconsile!$A$1:$E$642,5,0)</f>
        <v>45881.472222222219</v>
      </c>
    </row>
    <row r="82" spans="1:14" x14ac:dyDescent="0.3">
      <c r="A82">
        <v>8613217978</v>
      </c>
      <c r="B82">
        <v>2344</v>
      </c>
      <c r="C82" s="1">
        <v>580.84299999999996</v>
      </c>
      <c r="D82" s="1">
        <v>71.98</v>
      </c>
      <c r="E82" s="1">
        <v>261.60399999999998</v>
      </c>
      <c r="F82">
        <v>1678.62</v>
      </c>
      <c r="G82" s="1">
        <f t="shared" si="10"/>
        <v>1417.0159999999998</v>
      </c>
      <c r="H82" s="4">
        <v>665.38000000000011</v>
      </c>
      <c r="I82" s="4">
        <v>0</v>
      </c>
      <c r="J82" s="4" t="s">
        <v>25</v>
      </c>
      <c r="K82" s="8">
        <v>1678.62</v>
      </c>
      <c r="L82" t="s">
        <v>12</v>
      </c>
      <c r="M82" t="s">
        <v>9</v>
      </c>
      <c r="N82" s="26">
        <f>VLOOKUP(A82,[1]PGReconsile!$A$1:$E$642,5,0)</f>
        <v>45881.472222222219</v>
      </c>
    </row>
    <row r="83" spans="1:14" x14ac:dyDescent="0.3">
      <c r="A83">
        <v>8649618848</v>
      </c>
      <c r="B83">
        <v>3643.98</v>
      </c>
      <c r="C83" s="1">
        <v>1160.972</v>
      </c>
      <c r="D83" s="1">
        <v>71.98</v>
      </c>
      <c r="E83" s="1">
        <v>406.69799999999998</v>
      </c>
      <c r="F83">
        <v>2391.5059999999999</v>
      </c>
      <c r="G83" s="1">
        <f t="shared" si="10"/>
        <v>1984.808</v>
      </c>
      <c r="H83" s="4">
        <v>1252.4740000000002</v>
      </c>
      <c r="I83" s="4">
        <v>0</v>
      </c>
      <c r="J83" s="4" t="s">
        <v>25</v>
      </c>
      <c r="K83" s="8">
        <v>2391.5059999999999</v>
      </c>
      <c r="L83" t="s">
        <v>12</v>
      </c>
      <c r="M83" t="s">
        <v>9</v>
      </c>
      <c r="N83" s="26">
        <f>VLOOKUP(A83,[1]PGReconsile!$A$1:$E$642,5,0)</f>
        <v>45905.450694444444</v>
      </c>
    </row>
    <row r="84" spans="1:14" x14ac:dyDescent="0.3">
      <c r="A84">
        <v>8625454150</v>
      </c>
      <c r="B84">
        <v>3294</v>
      </c>
      <c r="C84" s="1">
        <v>1049.4680000000001</v>
      </c>
      <c r="D84" s="1">
        <v>71.98</v>
      </c>
      <c r="E84" s="1">
        <v>367.625</v>
      </c>
      <c r="F84">
        <v>2154.9059999999999</v>
      </c>
      <c r="G84" s="1">
        <f t="shared" si="10"/>
        <v>1787.2809999999999</v>
      </c>
      <c r="H84" s="4">
        <v>1139.0940000000001</v>
      </c>
      <c r="I84" s="4">
        <f>VLOOKUP(A84,[1]PGReverse_all!$A$1:$FK$281,167,0)</f>
        <v>197.06</v>
      </c>
      <c r="J84" s="4">
        <f>F84+D84+I84</f>
        <v>2423.9459999999999</v>
      </c>
      <c r="K84" s="7">
        <v>-269.03999999999996</v>
      </c>
      <c r="L84" t="s">
        <v>11</v>
      </c>
      <c r="M84" t="s">
        <v>9</v>
      </c>
      <c r="N84" s="26">
        <f>VLOOKUP(A84,[1]PGReconsile!$A$1:$E$642,5,0)</f>
        <v>45890.458333333336</v>
      </c>
    </row>
    <row r="85" spans="1:14" x14ac:dyDescent="0.3">
      <c r="A85">
        <v>8648759873</v>
      </c>
      <c r="B85">
        <v>2556</v>
      </c>
      <c r="C85" s="1">
        <v>633.37699999999995</v>
      </c>
      <c r="D85" s="1">
        <v>71.98</v>
      </c>
      <c r="E85" s="1">
        <v>285.27100000000002</v>
      </c>
      <c r="F85">
        <v>1836.95</v>
      </c>
      <c r="G85" s="1">
        <f t="shared" si="10"/>
        <v>1551.6790000000001</v>
      </c>
      <c r="H85" s="4">
        <v>719.05</v>
      </c>
      <c r="I85" s="4">
        <v>0</v>
      </c>
      <c r="J85" s="4" t="s">
        <v>25</v>
      </c>
      <c r="K85" s="8">
        <v>1836.95</v>
      </c>
      <c r="L85" t="s">
        <v>12</v>
      </c>
      <c r="M85" t="s">
        <v>9</v>
      </c>
      <c r="N85" s="26">
        <f>VLOOKUP(A85,[1]PGReconsile!$A$1:$E$642,5,0)</f>
        <v>45905.450694444444</v>
      </c>
    </row>
    <row r="86" spans="1:14" x14ac:dyDescent="0.3">
      <c r="A86">
        <v>8612316631</v>
      </c>
      <c r="B86">
        <v>2069</v>
      </c>
      <c r="C86" s="1">
        <v>659.18299999999999</v>
      </c>
      <c r="D86" s="1">
        <v>71.98</v>
      </c>
      <c r="E86" s="1">
        <v>230.917</v>
      </c>
      <c r="F86">
        <v>1326.7529999999999</v>
      </c>
      <c r="G86" s="1">
        <f t="shared" si="10"/>
        <v>1095.836</v>
      </c>
      <c r="H86" s="4">
        <v>742.24700000000007</v>
      </c>
      <c r="I86" s="4">
        <f>VLOOKUP(A86,[1]PGReverse_all!$A$1:$FK$281,167,0)</f>
        <v>197.06</v>
      </c>
      <c r="J86" s="4">
        <f>F86+D86+I86</f>
        <v>1595.7929999999999</v>
      </c>
      <c r="K86" s="7">
        <v>-269.03999999999996</v>
      </c>
      <c r="L86" t="s">
        <v>11</v>
      </c>
      <c r="M86" t="s">
        <v>9</v>
      </c>
      <c r="N86" s="26">
        <f>VLOOKUP(A86,[1]PGReconsile!$A$1:$E$642,5,0)</f>
        <v>45880.772916666669</v>
      </c>
    </row>
    <row r="87" spans="1:14" x14ac:dyDescent="0.3">
      <c r="A87">
        <v>8595142933</v>
      </c>
      <c r="B87">
        <v>2156.0099999999998</v>
      </c>
      <c r="C87" s="1">
        <v>457.93599999999998</v>
      </c>
      <c r="D87" s="1">
        <v>71.98</v>
      </c>
      <c r="E87" s="1">
        <v>240.625</v>
      </c>
      <c r="F87">
        <v>1614.5440000000001</v>
      </c>
      <c r="G87" s="1">
        <f t="shared" si="10"/>
        <v>1373.9190000000001</v>
      </c>
      <c r="H87" s="4">
        <v>541.46599999999967</v>
      </c>
      <c r="I87" s="4">
        <v>0</v>
      </c>
      <c r="J87" s="4" t="s">
        <v>25</v>
      </c>
      <c r="K87" s="8">
        <v>1614.5440000000001</v>
      </c>
      <c r="L87" t="s">
        <v>12</v>
      </c>
      <c r="M87" t="s">
        <v>9</v>
      </c>
      <c r="N87" s="26">
        <f>VLOOKUP(A87,[1]PGReconsile!$A$1:$E$642,5,0)</f>
        <v>45871.440972222219</v>
      </c>
    </row>
    <row r="88" spans="1:14" x14ac:dyDescent="0.3">
      <c r="A88">
        <v>8634561172</v>
      </c>
      <c r="B88">
        <v>1999</v>
      </c>
      <c r="C88" s="1">
        <v>448.17599999999999</v>
      </c>
      <c r="D88" s="1">
        <v>53.1</v>
      </c>
      <c r="E88" s="1">
        <v>223.10400000000001</v>
      </c>
      <c r="F88">
        <v>1487.0150000000001</v>
      </c>
      <c r="G88" s="1">
        <f t="shared" si="10"/>
        <v>1263.9110000000001</v>
      </c>
      <c r="H88" s="4">
        <v>511.9849999999999</v>
      </c>
      <c r="I88" s="4">
        <f>VLOOKUP(A88,[1]PGReverse_all!$A$1:$FK$281,167,0)</f>
        <v>197.06</v>
      </c>
      <c r="J88" s="4">
        <f t="shared" ref="J88:J90" si="12">F88+D88+I88</f>
        <v>1737.175</v>
      </c>
      <c r="K88" s="7">
        <v>-250.15999999999985</v>
      </c>
      <c r="L88" t="s">
        <v>11</v>
      </c>
      <c r="M88" t="s">
        <v>9</v>
      </c>
      <c r="N88" s="26">
        <f>VLOOKUP(A88,[1]PGReconsile!$A$1:$E$642,5,0)</f>
        <v>45897.440972222219</v>
      </c>
    </row>
    <row r="89" spans="1:14" x14ac:dyDescent="0.3">
      <c r="A89">
        <v>8634169145</v>
      </c>
      <c r="B89">
        <v>2769</v>
      </c>
      <c r="C89" s="1">
        <v>686.15800000000002</v>
      </c>
      <c r="D89" s="1">
        <v>71.98</v>
      </c>
      <c r="E89" s="1">
        <v>309.04200000000003</v>
      </c>
      <c r="F89">
        <v>1996.028</v>
      </c>
      <c r="G89" s="1">
        <f t="shared" si="10"/>
        <v>1686.9859999999999</v>
      </c>
      <c r="H89" s="4">
        <v>772.97199999999998</v>
      </c>
      <c r="I89" s="4">
        <f>VLOOKUP(A89,[1]PGReverse_all!$A$1:$FK$281,167,0)</f>
        <v>197.06</v>
      </c>
      <c r="J89" s="4">
        <f t="shared" si="12"/>
        <v>2265.0679999999998</v>
      </c>
      <c r="K89" s="7">
        <v>-269.03999999999974</v>
      </c>
      <c r="L89" t="s">
        <v>11</v>
      </c>
      <c r="M89" t="s">
        <v>9</v>
      </c>
      <c r="N89" s="26">
        <f>VLOOKUP(A89,[1]PGReconsile!$A$1:$E$642,5,0)</f>
        <v>45895.786805555559</v>
      </c>
    </row>
    <row r="90" spans="1:14" x14ac:dyDescent="0.3">
      <c r="A90">
        <v>8612775582</v>
      </c>
      <c r="B90">
        <v>4294</v>
      </c>
      <c r="C90" s="1">
        <v>1317.3989999999999</v>
      </c>
      <c r="D90" s="1">
        <v>71.98</v>
      </c>
      <c r="E90" s="1">
        <v>479.24</v>
      </c>
      <c r="F90">
        <v>2881.6170000000002</v>
      </c>
      <c r="G90" s="1">
        <f t="shared" si="10"/>
        <v>2402.3770000000004</v>
      </c>
      <c r="H90" s="4">
        <v>1412.3829999999998</v>
      </c>
      <c r="I90" s="4">
        <f>VLOOKUP(A90,[1]PGReverse_all!$A$1:$FK$281,167,0)</f>
        <v>197.06</v>
      </c>
      <c r="J90" s="4">
        <f t="shared" si="12"/>
        <v>3150.6570000000002</v>
      </c>
      <c r="K90" s="7">
        <v>-269.03999999999996</v>
      </c>
      <c r="L90" t="s">
        <v>11</v>
      </c>
      <c r="M90" t="s">
        <v>9</v>
      </c>
      <c r="N90" s="26">
        <f>VLOOKUP(A90,[1]PGReconsile!$A$1:$E$642,5,0)</f>
        <v>45881.472222222219</v>
      </c>
    </row>
    <row r="91" spans="1:14" x14ac:dyDescent="0.3">
      <c r="A91">
        <v>8624894778</v>
      </c>
      <c r="B91">
        <v>3194</v>
      </c>
      <c r="C91" s="1">
        <v>791.47299999999996</v>
      </c>
      <c r="D91" s="1">
        <v>71.98</v>
      </c>
      <c r="E91" s="1">
        <v>356.47900000000004</v>
      </c>
      <c r="F91">
        <v>2313.4360000000001</v>
      </c>
      <c r="G91" s="1">
        <f t="shared" si="10"/>
        <v>1956.9570000000001</v>
      </c>
      <c r="H91" s="4">
        <v>880.56399999999985</v>
      </c>
      <c r="I91" s="4">
        <v>0</v>
      </c>
      <c r="J91" s="4" t="s">
        <v>25</v>
      </c>
      <c r="K91" s="8">
        <v>2313.4360000000001</v>
      </c>
      <c r="L91" t="s">
        <v>12</v>
      </c>
      <c r="M91" t="s">
        <v>9</v>
      </c>
      <c r="N91" s="26">
        <f>VLOOKUP(A91,[1]PGReconsile!$A$1:$E$642,5,0)</f>
        <v>45889.78125</v>
      </c>
    </row>
    <row r="92" spans="1:14" x14ac:dyDescent="0.3">
      <c r="A92">
        <v>8615334101</v>
      </c>
      <c r="B92">
        <v>954</v>
      </c>
      <c r="C92" s="1">
        <v>258.916</v>
      </c>
      <c r="D92" s="1">
        <v>31.86</v>
      </c>
      <c r="E92" s="1">
        <v>49.972999999999999</v>
      </c>
      <c r="F92">
        <v>657.77200000000005</v>
      </c>
      <c r="G92" s="1">
        <f t="shared" si="10"/>
        <v>607.79900000000009</v>
      </c>
      <c r="H92" s="4">
        <v>296.22799999999995</v>
      </c>
      <c r="I92" s="4">
        <f>VLOOKUP(A92,[1]PGReverse_all!$A$1:$FK$281,167,0)</f>
        <v>197.06</v>
      </c>
      <c r="J92" s="4">
        <f>F92+D92+I92</f>
        <v>886.69200000000001</v>
      </c>
      <c r="K92" s="7">
        <v>-228.91999999999996</v>
      </c>
      <c r="L92" t="s">
        <v>11</v>
      </c>
      <c r="M92" t="s">
        <v>9</v>
      </c>
      <c r="N92" s="26">
        <f>VLOOKUP(A92,[1]PGReconsile!$A$1:$E$642,5,0)</f>
        <v>45882.768750000003</v>
      </c>
    </row>
    <row r="93" spans="1:14" x14ac:dyDescent="0.3">
      <c r="A93">
        <v>8632189753</v>
      </c>
      <c r="B93">
        <v>2089</v>
      </c>
      <c r="C93" s="1">
        <v>542.30399999999997</v>
      </c>
      <c r="D93" s="1">
        <v>71.98</v>
      </c>
      <c r="E93" s="1">
        <v>233.14599999999999</v>
      </c>
      <c r="F93">
        <v>1463.5250000000001</v>
      </c>
      <c r="G93" s="1">
        <f t="shared" si="10"/>
        <v>1230.3790000000001</v>
      </c>
      <c r="H93" s="4">
        <v>625.47499999999991</v>
      </c>
      <c r="I93" s="4">
        <v>0</v>
      </c>
      <c r="J93" s="4" t="s">
        <v>25</v>
      </c>
      <c r="K93" s="8">
        <v>1463.5250000000001</v>
      </c>
      <c r="L93" t="s">
        <v>12</v>
      </c>
      <c r="M93" t="s">
        <v>9</v>
      </c>
      <c r="N93" s="26">
        <f>VLOOKUP(A93,[1]PGReconsile!$A$1:$E$642,5,0)</f>
        <v>45894.452777777777</v>
      </c>
    </row>
    <row r="94" spans="1:14" x14ac:dyDescent="0.3">
      <c r="A94">
        <v>8637715863</v>
      </c>
      <c r="B94">
        <v>3644</v>
      </c>
      <c r="C94" s="1">
        <v>1117.979</v>
      </c>
      <c r="D94" s="1">
        <v>71.98</v>
      </c>
      <c r="E94" s="1">
        <v>406.69799999999998</v>
      </c>
      <c r="F94">
        <v>2434.5189999999998</v>
      </c>
      <c r="G94" s="1">
        <f t="shared" si="10"/>
        <v>2027.8209999999999</v>
      </c>
      <c r="H94" s="4">
        <v>1209.4810000000002</v>
      </c>
      <c r="I94" s="4">
        <f>VLOOKUP(A94,[1]PGReverse_all!$A$1:$FK$281,167,0)</f>
        <v>197.06</v>
      </c>
      <c r="J94" s="4">
        <f>F94+D94+I94</f>
        <v>2703.5589999999997</v>
      </c>
      <c r="K94" s="7">
        <v>-269.03999999999996</v>
      </c>
      <c r="L94" t="s">
        <v>11</v>
      </c>
      <c r="M94" t="s">
        <v>9</v>
      </c>
      <c r="N94" s="26">
        <f>VLOOKUP(A94,[1]PGReconsile!$A$1:$E$642,5,0)</f>
        <v>45898.775000000001</v>
      </c>
    </row>
    <row r="95" spans="1:14" x14ac:dyDescent="0.3">
      <c r="A95">
        <v>8655940273</v>
      </c>
      <c r="B95">
        <v>2994</v>
      </c>
      <c r="C95" s="1">
        <v>741.91300000000001</v>
      </c>
      <c r="D95" s="1">
        <v>71.98</v>
      </c>
      <c r="E95" s="1">
        <v>334.15600000000001</v>
      </c>
      <c r="F95">
        <v>2164.0680000000002</v>
      </c>
      <c r="G95" s="1">
        <f t="shared" si="10"/>
        <v>1829.9120000000003</v>
      </c>
      <c r="H95" s="4">
        <v>829.93199999999979</v>
      </c>
      <c r="I95" s="4">
        <v>0</v>
      </c>
      <c r="J95" s="4" t="s">
        <v>25</v>
      </c>
      <c r="K95" s="8">
        <v>2164.0680000000002</v>
      </c>
      <c r="L95" t="s">
        <v>12</v>
      </c>
      <c r="M95" t="s">
        <v>9</v>
      </c>
      <c r="N95" s="26">
        <f>VLOOKUP(A95,[1]PGReconsile!$A$1:$E$642,5,0)</f>
        <v>45908.558333333334</v>
      </c>
    </row>
    <row r="96" spans="1:14" x14ac:dyDescent="0.3">
      <c r="A96">
        <v>8633269027</v>
      </c>
      <c r="B96">
        <v>3644</v>
      </c>
      <c r="C96" s="1">
        <v>1117.979</v>
      </c>
      <c r="D96" s="1">
        <v>71.98</v>
      </c>
      <c r="E96" s="1">
        <v>406.69799999999998</v>
      </c>
      <c r="F96">
        <v>2434.5189999999998</v>
      </c>
      <c r="G96" s="1">
        <f t="shared" si="10"/>
        <v>2027.8209999999999</v>
      </c>
      <c r="H96" s="4">
        <v>1209.4810000000002</v>
      </c>
      <c r="I96" s="4">
        <v>0</v>
      </c>
      <c r="J96" s="4" t="s">
        <v>25</v>
      </c>
      <c r="K96" s="8">
        <v>2434.5189999999998</v>
      </c>
      <c r="L96" t="s">
        <v>12</v>
      </c>
      <c r="M96" t="s">
        <v>9</v>
      </c>
      <c r="N96" s="26">
        <f>VLOOKUP(A96,[1]PGReconsile!$A$1:$E$642,5,0)</f>
        <v>45895.447222222225</v>
      </c>
    </row>
    <row r="97" spans="1:14" x14ac:dyDescent="0.3">
      <c r="A97">
        <v>8659789290</v>
      </c>
      <c r="B97">
        <v>2194</v>
      </c>
      <c r="C97" s="1">
        <v>466.00599999999997</v>
      </c>
      <c r="D97" s="1">
        <v>71.98</v>
      </c>
      <c r="E97" s="1">
        <v>244.86499999999998</v>
      </c>
      <c r="F97">
        <v>1644.26</v>
      </c>
      <c r="G97" s="1">
        <f t="shared" si="10"/>
        <v>1399.395</v>
      </c>
      <c r="H97" s="4">
        <v>549.74</v>
      </c>
      <c r="I97" s="4">
        <f>VLOOKUP(A97,[1]PGReverse_all!$A$1:$FK$281,167,0)</f>
        <v>197.06</v>
      </c>
      <c r="J97" s="4">
        <f>F97+D97+I97</f>
        <v>1913.3</v>
      </c>
      <c r="K97" s="7">
        <v>-269.03999999999996</v>
      </c>
      <c r="L97" t="s">
        <v>11</v>
      </c>
      <c r="M97" t="s">
        <v>9</v>
      </c>
      <c r="N97" s="26">
        <f>VLOOKUP(A97,[1]PGReconsile!$A$1:$E$642,5,0)</f>
        <v>45911.459027777775</v>
      </c>
    </row>
    <row r="98" spans="1:14" x14ac:dyDescent="0.3">
      <c r="A98">
        <v>8605655495</v>
      </c>
      <c r="B98">
        <v>1516</v>
      </c>
      <c r="C98" s="1">
        <v>500.88600000000002</v>
      </c>
      <c r="D98" s="1">
        <v>53.1</v>
      </c>
      <c r="E98" s="1">
        <v>169.19800000000001</v>
      </c>
      <c r="F98">
        <v>953.89200000000005</v>
      </c>
      <c r="G98" s="1">
        <f t="shared" si="10"/>
        <v>784.69400000000007</v>
      </c>
      <c r="H98" s="4">
        <v>562.10799999999995</v>
      </c>
      <c r="I98" s="4">
        <v>0</v>
      </c>
      <c r="J98" s="4" t="s">
        <v>25</v>
      </c>
      <c r="K98" s="8">
        <v>953.89200000000005</v>
      </c>
      <c r="L98" t="s">
        <v>12</v>
      </c>
      <c r="M98" t="s">
        <v>9</v>
      </c>
      <c r="N98" s="26">
        <f>VLOOKUP(A98,[1]PGReconsile!$A$1:$E$642,5,0)</f>
        <v>45876.791666666664</v>
      </c>
    </row>
    <row r="99" spans="1:14" x14ac:dyDescent="0.3">
      <c r="A99">
        <v>8635882443</v>
      </c>
      <c r="B99">
        <v>2981</v>
      </c>
      <c r="C99" s="1">
        <v>738.69200000000001</v>
      </c>
      <c r="D99" s="1">
        <v>71.98</v>
      </c>
      <c r="E99" s="1">
        <v>332.69799999999998</v>
      </c>
      <c r="F99">
        <v>2154.3580000000002</v>
      </c>
      <c r="G99" s="1">
        <f t="shared" si="10"/>
        <v>1821.6600000000003</v>
      </c>
      <c r="H99" s="4">
        <v>826.64199999999983</v>
      </c>
      <c r="I99" s="4">
        <v>0</v>
      </c>
      <c r="J99" s="4" t="s">
        <v>25</v>
      </c>
      <c r="K99" s="8">
        <v>2154.3580000000002</v>
      </c>
      <c r="L99" t="s">
        <v>12</v>
      </c>
      <c r="M99" t="s">
        <v>9</v>
      </c>
      <c r="N99" s="26">
        <f>VLOOKUP(A99,[1]PGReconsile!$A$1:$E$642,5,0)</f>
        <v>45897.440972222219</v>
      </c>
    </row>
    <row r="100" spans="1:14" x14ac:dyDescent="0.3">
      <c r="A100">
        <v>8646141428</v>
      </c>
      <c r="B100">
        <v>1994</v>
      </c>
      <c r="C100" s="1">
        <v>541.17200000000003</v>
      </c>
      <c r="D100" s="1">
        <v>53.1</v>
      </c>
      <c r="E100" s="1">
        <v>222.54199999999997</v>
      </c>
      <c r="F100">
        <v>1389.046</v>
      </c>
      <c r="G100" s="1">
        <f t="shared" si="10"/>
        <v>1166.5040000000001</v>
      </c>
      <c r="H100" s="4">
        <v>604.95399999999995</v>
      </c>
      <c r="I100" s="4">
        <v>0</v>
      </c>
      <c r="J100" s="4" t="s">
        <v>25</v>
      </c>
      <c r="K100" s="8">
        <v>1389.046</v>
      </c>
      <c r="L100" t="s">
        <v>12</v>
      </c>
      <c r="M100" t="s">
        <v>9</v>
      </c>
      <c r="N100" s="26">
        <f>VLOOKUP(A100,[1]PGReconsile!$A$1:$E$642,5,0)</f>
        <v>45903.563194444447</v>
      </c>
    </row>
    <row r="101" spans="1:14" x14ac:dyDescent="0.3">
      <c r="A101">
        <v>8615626226</v>
      </c>
      <c r="B101">
        <v>1374</v>
      </c>
      <c r="C101" s="1">
        <v>453.97</v>
      </c>
      <c r="D101" s="1">
        <v>53.099999999999994</v>
      </c>
      <c r="E101" s="1">
        <v>153.35399999999998</v>
      </c>
      <c r="F101">
        <v>859.56899999999996</v>
      </c>
      <c r="G101" s="1">
        <f t="shared" si="10"/>
        <v>706.21499999999992</v>
      </c>
      <c r="H101" s="4">
        <v>514.43100000000004</v>
      </c>
      <c r="I101" s="4">
        <f>VLOOKUP(A101,[1]PGReverse_all!$A$1:$FK$281,167,0)</f>
        <v>107.38000000000001</v>
      </c>
      <c r="J101" s="4">
        <f>F101+D101+I101</f>
        <v>1020.049</v>
      </c>
      <c r="K101" s="7">
        <v>-160.48000000000002</v>
      </c>
      <c r="L101" t="s">
        <v>11</v>
      </c>
      <c r="M101" t="s">
        <v>9</v>
      </c>
      <c r="N101" s="26">
        <f>VLOOKUP(A101,[1]PGReconsile!$A$1:$E$642,5,0)</f>
        <v>45883.446527777778</v>
      </c>
    </row>
    <row r="102" spans="1:14" x14ac:dyDescent="0.3">
      <c r="A102">
        <v>8646561051</v>
      </c>
      <c r="B102">
        <v>1329</v>
      </c>
      <c r="C102" s="1">
        <v>360.69099999999997</v>
      </c>
      <c r="D102" s="1">
        <v>53.1</v>
      </c>
      <c r="E102" s="1">
        <v>148.32299999999998</v>
      </c>
      <c r="F102">
        <v>908.08900000000006</v>
      </c>
      <c r="G102" s="1">
        <f t="shared" si="10"/>
        <v>759.76600000000008</v>
      </c>
      <c r="H102" s="4">
        <v>420.91099999999994</v>
      </c>
      <c r="I102" s="4">
        <v>0</v>
      </c>
      <c r="J102" s="4" t="s">
        <v>25</v>
      </c>
      <c r="K102" s="8">
        <v>908.08900000000006</v>
      </c>
      <c r="L102" t="s">
        <v>12</v>
      </c>
      <c r="M102" t="s">
        <v>9</v>
      </c>
      <c r="N102" s="26">
        <f>VLOOKUP(A102,[1]PGReconsile!$A$1:$E$642,5,0)</f>
        <v>45904.486805555556</v>
      </c>
    </row>
    <row r="103" spans="1:14" x14ac:dyDescent="0.3">
      <c r="A103">
        <v>8636977287</v>
      </c>
      <c r="B103">
        <v>3274</v>
      </c>
      <c r="C103" s="1">
        <v>695.39800000000002</v>
      </c>
      <c r="D103" s="1">
        <v>71.98</v>
      </c>
      <c r="E103" s="1">
        <v>365.40600000000001</v>
      </c>
      <c r="F103">
        <v>2489.0830000000001</v>
      </c>
      <c r="G103" s="1">
        <f t="shared" si="10"/>
        <v>2123.6770000000001</v>
      </c>
      <c r="H103" s="4">
        <v>784.91699999999992</v>
      </c>
      <c r="I103" s="4">
        <f>VLOOKUP(A103,[1]PGReverse_all!$A$1:$FK$281,167,0)</f>
        <v>132.16</v>
      </c>
      <c r="J103" s="4">
        <f>F103+D103+I103</f>
        <v>2693.223</v>
      </c>
      <c r="K103" s="7">
        <v>-204.13999999999987</v>
      </c>
      <c r="L103" t="s">
        <v>11</v>
      </c>
      <c r="M103" t="s">
        <v>9</v>
      </c>
      <c r="N103" s="26">
        <f>VLOOKUP(A103,[1]PGReconsile!$A$1:$E$642,5,0)</f>
        <v>45898.445138888892</v>
      </c>
    </row>
    <row r="104" spans="1:14" x14ac:dyDescent="0.3">
      <c r="A104">
        <v>8611998482</v>
      </c>
      <c r="B104">
        <v>2944</v>
      </c>
      <c r="C104" s="1">
        <v>729.52300000000002</v>
      </c>
      <c r="D104" s="1">
        <v>71.98</v>
      </c>
      <c r="E104" s="1">
        <v>328.57299999999998</v>
      </c>
      <c r="F104">
        <v>2126.7249999999999</v>
      </c>
      <c r="G104" s="1">
        <f t="shared" si="10"/>
        <v>1798.152</v>
      </c>
      <c r="H104" s="4">
        <v>817.27500000000009</v>
      </c>
      <c r="I104" s="4">
        <v>0</v>
      </c>
      <c r="J104" s="4" t="s">
        <v>25</v>
      </c>
      <c r="K104" s="8">
        <v>2126.7249999999999</v>
      </c>
      <c r="L104" t="s">
        <v>12</v>
      </c>
      <c r="M104" t="s">
        <v>9</v>
      </c>
      <c r="N104" s="26">
        <f>VLOOKUP(A104,[1]PGReconsile!$A$1:$E$642,5,0)</f>
        <v>45880.556944444441</v>
      </c>
    </row>
    <row r="105" spans="1:14" x14ac:dyDescent="0.3">
      <c r="A105">
        <v>8622049270</v>
      </c>
      <c r="B105">
        <v>446</v>
      </c>
      <c r="C105" s="1">
        <v>36.840000000000003</v>
      </c>
      <c r="D105" s="1">
        <v>31.86</v>
      </c>
      <c r="E105" s="1">
        <v>23.363999999999997</v>
      </c>
      <c r="F105">
        <v>369.48899999999998</v>
      </c>
      <c r="G105" s="1">
        <f t="shared" si="10"/>
        <v>346.125</v>
      </c>
      <c r="H105" s="4">
        <v>76.511000000000024</v>
      </c>
      <c r="I105" s="4">
        <f>VLOOKUP(A105,[1]PGReverse_all!$A$1:$FK$281,167,0)</f>
        <v>132.16</v>
      </c>
      <c r="J105" s="4">
        <f>F105+D105+I105</f>
        <v>533.50900000000001</v>
      </c>
      <c r="K105" s="7">
        <v>-164.02000000000004</v>
      </c>
      <c r="L105" t="s">
        <v>11</v>
      </c>
      <c r="M105" t="s">
        <v>9</v>
      </c>
      <c r="N105" s="26">
        <f>VLOOKUP(A105,[1]PGReconsile!$A$1:$E$642,5,0)</f>
        <v>45887.563194444447</v>
      </c>
    </row>
    <row r="106" spans="1:14" x14ac:dyDescent="0.3">
      <c r="A106">
        <v>8622249725</v>
      </c>
      <c r="B106">
        <v>2606</v>
      </c>
      <c r="C106" s="1">
        <v>553.51400000000001</v>
      </c>
      <c r="D106" s="1">
        <v>71.98</v>
      </c>
      <c r="E106" s="1">
        <v>290.84399999999999</v>
      </c>
      <c r="F106">
        <v>1966.5450000000001</v>
      </c>
      <c r="G106" s="1">
        <f t="shared" si="10"/>
        <v>1675.701</v>
      </c>
      <c r="H106" s="4">
        <v>639.45499999999993</v>
      </c>
      <c r="I106" s="4">
        <v>0</v>
      </c>
      <c r="J106" s="4" t="s">
        <v>25</v>
      </c>
      <c r="K106" s="8">
        <v>1966.5450000000001</v>
      </c>
      <c r="L106" t="s">
        <v>12</v>
      </c>
      <c r="M106" t="s">
        <v>9</v>
      </c>
      <c r="N106" s="26">
        <f>VLOOKUP(A106,[1]PGReconsile!$A$1:$E$642,5,0)</f>
        <v>45888.475694444445</v>
      </c>
    </row>
    <row r="107" spans="1:14" x14ac:dyDescent="0.3">
      <c r="A107">
        <v>8644756300</v>
      </c>
      <c r="B107">
        <v>766</v>
      </c>
      <c r="C107" s="1">
        <v>253.08600000000001</v>
      </c>
      <c r="D107" s="1">
        <v>31.86</v>
      </c>
      <c r="E107" s="1">
        <v>40.128</v>
      </c>
      <c r="F107">
        <v>476.67599999999999</v>
      </c>
      <c r="G107" s="1">
        <f t="shared" si="10"/>
        <v>436.548</v>
      </c>
      <c r="H107" s="4">
        <v>289.32400000000001</v>
      </c>
      <c r="I107" s="4">
        <f>VLOOKUP(A107,[1]PGReverse_all!$A$1:$FK$281,167,0)</f>
        <v>132.16</v>
      </c>
      <c r="J107" s="4">
        <f>F107+D107+I107</f>
        <v>640.69600000000003</v>
      </c>
      <c r="K107" s="7">
        <v>-164.02000000000004</v>
      </c>
      <c r="L107" t="s">
        <v>11</v>
      </c>
      <c r="M107" t="s">
        <v>9</v>
      </c>
      <c r="N107" s="26">
        <f>VLOOKUP(A107,[1]PGReconsile!$A$1:$E$642,5,0)</f>
        <v>45902.775000000001</v>
      </c>
    </row>
    <row r="108" spans="1:14" x14ac:dyDescent="0.3">
      <c r="A108">
        <v>8634483521</v>
      </c>
      <c r="B108">
        <v>3274</v>
      </c>
      <c r="C108" s="1">
        <v>695.39800000000002</v>
      </c>
      <c r="D108" s="1">
        <v>71.98</v>
      </c>
      <c r="E108" s="1">
        <v>365.39599999999996</v>
      </c>
      <c r="F108">
        <v>2489.0830000000001</v>
      </c>
      <c r="G108" s="1">
        <f t="shared" si="10"/>
        <v>2123.6869999999999</v>
      </c>
      <c r="H108" s="4">
        <v>784.91699999999992</v>
      </c>
      <c r="I108" s="4">
        <v>0</v>
      </c>
      <c r="J108" s="4" t="s">
        <v>25</v>
      </c>
      <c r="K108" s="8">
        <v>2489.0830000000001</v>
      </c>
      <c r="L108" t="s">
        <v>12</v>
      </c>
      <c r="M108" t="s">
        <v>9</v>
      </c>
      <c r="N108" s="26">
        <f>VLOOKUP(A108,[1]PGReconsile!$A$1:$E$642,5,0)</f>
        <v>45897.440972222219</v>
      </c>
    </row>
    <row r="109" spans="1:14" x14ac:dyDescent="0.3">
      <c r="A109">
        <v>8665229227</v>
      </c>
      <c r="B109">
        <v>829</v>
      </c>
      <c r="C109" s="1">
        <v>215.209</v>
      </c>
      <c r="D109" s="1">
        <v>31.86</v>
      </c>
      <c r="E109" s="1">
        <v>43.427</v>
      </c>
      <c r="F109">
        <v>577.19399999999996</v>
      </c>
      <c r="G109" s="1">
        <f t="shared" si="10"/>
        <v>533.76699999999994</v>
      </c>
      <c r="H109" s="4">
        <v>251.80600000000004</v>
      </c>
      <c r="I109" s="4">
        <v>0</v>
      </c>
      <c r="J109" s="4" t="s">
        <v>25</v>
      </c>
      <c r="K109" s="8">
        <v>577.19399999999996</v>
      </c>
      <c r="L109" t="s">
        <v>12</v>
      </c>
      <c r="M109" t="s">
        <v>9</v>
      </c>
      <c r="N109" s="26">
        <f>VLOOKUP(A109,[1]PGReconsile!$A$1:$E$642,5,0)</f>
        <v>45913.450694444444</v>
      </c>
    </row>
    <row r="110" spans="1:14" x14ac:dyDescent="0.3">
      <c r="A110">
        <v>8639804850</v>
      </c>
      <c r="B110">
        <v>245</v>
      </c>
      <c r="C110" s="1">
        <v>23.128</v>
      </c>
      <c r="D110" s="1">
        <v>31.86</v>
      </c>
      <c r="E110" s="1">
        <v>12.837</v>
      </c>
      <c r="F110">
        <v>188.61199999999999</v>
      </c>
      <c r="G110" s="1">
        <f t="shared" si="10"/>
        <v>175.77500000000001</v>
      </c>
      <c r="H110" s="4">
        <v>56.388000000000005</v>
      </c>
      <c r="I110" s="4">
        <v>0</v>
      </c>
      <c r="J110" s="4" t="s">
        <v>25</v>
      </c>
      <c r="K110" s="8">
        <v>188.61199999999999</v>
      </c>
      <c r="L110" t="s">
        <v>12</v>
      </c>
      <c r="M110" t="s">
        <v>9</v>
      </c>
      <c r="N110" s="26">
        <f>VLOOKUP(A110,[1]PGReconsile!$A$1:$E$642,5,0)</f>
        <v>45900.458333333336</v>
      </c>
    </row>
    <row r="111" spans="1:14" x14ac:dyDescent="0.3">
      <c r="A111">
        <v>8620997934</v>
      </c>
      <c r="B111">
        <v>2994</v>
      </c>
      <c r="C111" s="1">
        <v>635.92600000000004</v>
      </c>
      <c r="D111" s="1">
        <v>71.98</v>
      </c>
      <c r="E111" s="1">
        <v>334.15600000000001</v>
      </c>
      <c r="F111">
        <v>2270.0549999999998</v>
      </c>
      <c r="G111" s="1">
        <f t="shared" si="10"/>
        <v>1935.8989999999999</v>
      </c>
      <c r="H111" s="4">
        <v>723.94500000000016</v>
      </c>
      <c r="I111" s="4">
        <v>0</v>
      </c>
      <c r="J111" s="4" t="s">
        <v>25</v>
      </c>
      <c r="K111" s="8">
        <v>2270.0549999999998</v>
      </c>
      <c r="L111" t="s">
        <v>12</v>
      </c>
      <c r="M111" t="s">
        <v>9</v>
      </c>
      <c r="N111" s="26">
        <f>VLOOKUP(A111,[1]PGReconsile!$A$1:$E$642,5,0)</f>
        <v>45888.475694444445</v>
      </c>
    </row>
    <row r="112" spans="1:14" x14ac:dyDescent="0.3">
      <c r="A112">
        <v>8612316632</v>
      </c>
      <c r="B112">
        <v>2494</v>
      </c>
      <c r="C112" s="1">
        <v>794.58799999999997</v>
      </c>
      <c r="D112" s="1">
        <v>71.98</v>
      </c>
      <c r="E112" s="1">
        <v>278.34399999999999</v>
      </c>
      <c r="F112">
        <v>1614.0709999999999</v>
      </c>
      <c r="G112" s="1">
        <f t="shared" si="10"/>
        <v>1335.7269999999999</v>
      </c>
      <c r="H112" s="4">
        <v>879.92900000000009</v>
      </c>
      <c r="I112" s="4">
        <f>VLOOKUP(A112,[1]PGReverse_all!$A$1:$FK$281,167,0)</f>
        <v>197.06</v>
      </c>
      <c r="J112" s="4">
        <f t="shared" ref="J112:J113" si="13">F112+D112+I112</f>
        <v>1883.1109999999999</v>
      </c>
      <c r="K112" s="7">
        <v>-269.03999999999996</v>
      </c>
      <c r="L112" t="s">
        <v>11</v>
      </c>
      <c r="M112" t="s">
        <v>9</v>
      </c>
      <c r="N112" s="26">
        <f>VLOOKUP(A112,[1]PGReconsile!$A$1:$E$642,5,0)</f>
        <v>45880.772916666669</v>
      </c>
    </row>
    <row r="113" spans="1:14" x14ac:dyDescent="0.3">
      <c r="A113">
        <v>8640972995</v>
      </c>
      <c r="B113">
        <v>3056</v>
      </c>
      <c r="C113" s="1">
        <v>649.09400000000005</v>
      </c>
      <c r="D113" s="1">
        <v>71.98</v>
      </c>
      <c r="E113" s="1">
        <v>341.07299999999998</v>
      </c>
      <c r="F113">
        <v>2318.5540000000001</v>
      </c>
      <c r="G113" s="1">
        <f t="shared" si="10"/>
        <v>1977.4810000000002</v>
      </c>
      <c r="H113" s="4">
        <v>737.44599999999991</v>
      </c>
      <c r="I113" s="4">
        <f>VLOOKUP(A113,[1]PGReverse_all!$A$1:$FK$281,167,0)</f>
        <v>197.06</v>
      </c>
      <c r="J113" s="4">
        <f t="shared" si="13"/>
        <v>2587.5940000000001</v>
      </c>
      <c r="K113" s="7">
        <v>-269.03999999999996</v>
      </c>
      <c r="L113" t="s">
        <v>11</v>
      </c>
      <c r="M113" t="s">
        <v>9</v>
      </c>
      <c r="N113" s="26">
        <f>VLOOKUP(A113,[1]PGReconsile!$A$1:$E$642,5,0)</f>
        <v>45901.459027777775</v>
      </c>
    </row>
    <row r="114" spans="1:14" x14ac:dyDescent="0.3">
      <c r="A114">
        <v>8614858323</v>
      </c>
      <c r="B114">
        <v>2556</v>
      </c>
      <c r="C114" s="1">
        <v>633.37699999999995</v>
      </c>
      <c r="D114" s="1">
        <v>71.98</v>
      </c>
      <c r="E114" s="1">
        <v>285.27100000000002</v>
      </c>
      <c r="F114">
        <v>1836.95</v>
      </c>
      <c r="G114" s="1">
        <f t="shared" si="10"/>
        <v>1551.6790000000001</v>
      </c>
      <c r="H114" s="4">
        <v>719.05</v>
      </c>
      <c r="I114" s="4">
        <v>0</v>
      </c>
      <c r="J114" s="4" t="s">
        <v>25</v>
      </c>
      <c r="K114" s="8">
        <v>1836.95</v>
      </c>
      <c r="L114" t="s">
        <v>12</v>
      </c>
      <c r="M114" t="s">
        <v>9</v>
      </c>
      <c r="N114" s="26">
        <f>VLOOKUP(A114,[1]PGReconsile!$A$1:$E$642,5,0)</f>
        <v>45882.456250000003</v>
      </c>
    </row>
    <row r="115" spans="1:14" x14ac:dyDescent="0.3">
      <c r="A115">
        <v>8644439800</v>
      </c>
      <c r="B115">
        <v>829</v>
      </c>
      <c r="C115" s="1">
        <v>215.208</v>
      </c>
      <c r="D115" s="1">
        <v>31.86</v>
      </c>
      <c r="E115" s="1">
        <v>43.427999999999997</v>
      </c>
      <c r="F115">
        <v>577.19399999999996</v>
      </c>
      <c r="G115" s="1">
        <f t="shared" si="10"/>
        <v>533.76599999999996</v>
      </c>
      <c r="H115" s="4">
        <v>251.80600000000004</v>
      </c>
      <c r="I115" s="4">
        <v>0</v>
      </c>
      <c r="J115" s="4" t="s">
        <v>25</v>
      </c>
      <c r="K115" s="8">
        <v>577.19399999999996</v>
      </c>
      <c r="L115" t="s">
        <v>12</v>
      </c>
      <c r="M115" t="s">
        <v>9</v>
      </c>
      <c r="N115" s="26">
        <f>VLOOKUP(A115,[1]PGReconsile!$A$1:$E$642,5,0)</f>
        <v>45902.658333333333</v>
      </c>
    </row>
    <row r="116" spans="1:14" x14ac:dyDescent="0.3">
      <c r="A116">
        <v>8620680302</v>
      </c>
      <c r="B116">
        <v>1998.99</v>
      </c>
      <c r="C116" s="1">
        <v>448.17399999999998</v>
      </c>
      <c r="D116" s="1">
        <v>53.1</v>
      </c>
      <c r="E116" s="1">
        <v>223.10400000000001</v>
      </c>
      <c r="F116">
        <v>1487.0070000000001</v>
      </c>
      <c r="G116" s="1">
        <f t="shared" si="10"/>
        <v>1263.903</v>
      </c>
      <c r="H116" s="4">
        <v>511.98299999999995</v>
      </c>
      <c r="I116" s="4">
        <v>0</v>
      </c>
      <c r="J116" s="4" t="s">
        <v>25</v>
      </c>
      <c r="K116" s="8">
        <v>1487.0070000000001</v>
      </c>
      <c r="L116" t="s">
        <v>12</v>
      </c>
      <c r="M116" t="s">
        <v>9</v>
      </c>
      <c r="N116" s="26">
        <f>VLOOKUP(A116,[1]PGReconsile!$A$1:$E$642,5,0)</f>
        <v>45888.475694444445</v>
      </c>
    </row>
    <row r="117" spans="1:14" x14ac:dyDescent="0.3">
      <c r="A117">
        <v>8650305629</v>
      </c>
      <c r="B117">
        <v>150</v>
      </c>
      <c r="C117" s="1">
        <v>17.7</v>
      </c>
      <c r="D117" s="1">
        <v>31.86</v>
      </c>
      <c r="E117" s="1">
        <v>7.8539999999999992</v>
      </c>
      <c r="F117">
        <v>99.582999999999998</v>
      </c>
      <c r="G117" s="1">
        <f t="shared" si="10"/>
        <v>91.728999999999999</v>
      </c>
      <c r="H117" s="4">
        <v>50.417000000000002</v>
      </c>
      <c r="I117" s="4">
        <v>0</v>
      </c>
      <c r="J117" s="4" t="s">
        <v>25</v>
      </c>
      <c r="K117" s="8">
        <v>99.582999999999998</v>
      </c>
      <c r="L117" t="s">
        <v>12</v>
      </c>
      <c r="M117" t="s">
        <v>9</v>
      </c>
      <c r="N117" s="26">
        <f>VLOOKUP(A117,[1]PGReconsile!$A$1:$E$642,5,0)</f>
        <v>45905.805555555555</v>
      </c>
    </row>
    <row r="118" spans="1:14" x14ac:dyDescent="0.3">
      <c r="A118">
        <v>8622783699</v>
      </c>
      <c r="B118">
        <v>1754</v>
      </c>
      <c r="C118" s="1">
        <v>579.52200000000005</v>
      </c>
      <c r="D118" s="1">
        <v>53.1</v>
      </c>
      <c r="E118" s="1">
        <v>195.76000000000002</v>
      </c>
      <c r="F118">
        <v>1111.982</v>
      </c>
      <c r="G118" s="1">
        <f t="shared" si="10"/>
        <v>916.22199999999998</v>
      </c>
      <c r="H118" s="4">
        <v>642.01800000000003</v>
      </c>
      <c r="I118" s="4">
        <v>0</v>
      </c>
      <c r="J118" s="4" t="s">
        <v>25</v>
      </c>
      <c r="K118" s="8">
        <v>1111.982</v>
      </c>
      <c r="L118" t="s">
        <v>12</v>
      </c>
      <c r="M118" t="s">
        <v>9</v>
      </c>
      <c r="N118" s="26">
        <f>VLOOKUP(A118,[1]PGReconsile!$A$1:$E$642,5,0)</f>
        <v>45888.475694444445</v>
      </c>
    </row>
    <row r="119" spans="1:14" x14ac:dyDescent="0.3">
      <c r="A119">
        <v>8629832600</v>
      </c>
      <c r="B119">
        <v>4594</v>
      </c>
      <c r="C119" s="1">
        <v>1409.4390000000001</v>
      </c>
      <c r="D119" s="1">
        <v>71.98</v>
      </c>
      <c r="E119" s="1">
        <v>512.71899999999994</v>
      </c>
      <c r="F119">
        <v>3087.97</v>
      </c>
      <c r="G119" s="1">
        <f t="shared" si="10"/>
        <v>2575.2509999999997</v>
      </c>
      <c r="H119" s="4">
        <v>1506.0300000000002</v>
      </c>
      <c r="I119" s="4">
        <f>VLOOKUP(A119,[1]PGReverse_all!$A$1:$FK$281,167,0)</f>
        <v>132.16</v>
      </c>
      <c r="J119" s="4">
        <f>F119+D119+I119</f>
        <v>3292.1099999999997</v>
      </c>
      <c r="K119" s="7">
        <v>-204.13999999999987</v>
      </c>
      <c r="L119" t="s">
        <v>11</v>
      </c>
      <c r="M119" t="s">
        <v>9</v>
      </c>
      <c r="N119" s="26">
        <f>VLOOKUP(A119,[1]PGReconsile!$A$1:$E$642,5,0)</f>
        <v>45892.679861111108</v>
      </c>
    </row>
    <row r="120" spans="1:14" x14ac:dyDescent="0.3">
      <c r="A120">
        <v>8618858030</v>
      </c>
      <c r="B120">
        <v>1454</v>
      </c>
      <c r="C120" s="1">
        <v>325.98700000000002</v>
      </c>
      <c r="D120" s="1">
        <v>53.1</v>
      </c>
      <c r="E120" s="1">
        <v>162.28100000000001</v>
      </c>
      <c r="F120">
        <v>1067.124</v>
      </c>
      <c r="G120" s="1">
        <f t="shared" si="10"/>
        <v>904.84300000000007</v>
      </c>
      <c r="H120" s="4">
        <v>386.87599999999998</v>
      </c>
      <c r="I120" s="4">
        <v>0</v>
      </c>
      <c r="J120" s="4" t="s">
        <v>25</v>
      </c>
      <c r="K120" s="8">
        <v>1067.124</v>
      </c>
      <c r="L120" t="s">
        <v>12</v>
      </c>
      <c r="M120" t="s">
        <v>9</v>
      </c>
      <c r="N120" s="26">
        <f>VLOOKUP(A120,[1]PGReconsile!$A$1:$E$642,5,0)</f>
        <v>45885.463194444441</v>
      </c>
    </row>
    <row r="121" spans="1:14" x14ac:dyDescent="0.3">
      <c r="A121">
        <v>8655224652</v>
      </c>
      <c r="B121">
        <v>3644</v>
      </c>
      <c r="C121" s="1">
        <v>1160.9780000000001</v>
      </c>
      <c r="D121" s="1">
        <v>71.98</v>
      </c>
      <c r="E121" s="1">
        <v>406.69799999999998</v>
      </c>
      <c r="F121">
        <v>2391.52</v>
      </c>
      <c r="G121" s="1">
        <f t="shared" si="10"/>
        <v>1984.8220000000001</v>
      </c>
      <c r="H121" s="4">
        <v>1252.48</v>
      </c>
      <c r="I121" s="4">
        <v>0</v>
      </c>
      <c r="J121" s="4" t="s">
        <v>25</v>
      </c>
      <c r="K121" s="8">
        <v>2391.52</v>
      </c>
      <c r="L121" t="s">
        <v>12</v>
      </c>
      <c r="M121" t="s">
        <v>9</v>
      </c>
      <c r="N121" s="26">
        <f>VLOOKUP(A121,[1]PGReconsile!$A$1:$E$642,5,0)</f>
        <v>45908.48333333333</v>
      </c>
    </row>
    <row r="122" spans="1:14" x14ac:dyDescent="0.3">
      <c r="A122">
        <v>8635410357</v>
      </c>
      <c r="B122">
        <v>2981</v>
      </c>
      <c r="C122" s="1">
        <v>738.69200000000001</v>
      </c>
      <c r="D122" s="1">
        <v>71.98</v>
      </c>
      <c r="E122" s="1">
        <v>332.70799999999997</v>
      </c>
      <c r="F122">
        <v>2154.3580000000002</v>
      </c>
      <c r="G122" s="1">
        <f t="shared" si="10"/>
        <v>1821.65</v>
      </c>
      <c r="H122" s="4">
        <v>826.64199999999983</v>
      </c>
      <c r="I122" s="4">
        <v>0</v>
      </c>
      <c r="J122" s="4" t="s">
        <v>25</v>
      </c>
      <c r="K122" s="8">
        <v>2154.3580000000002</v>
      </c>
      <c r="L122" t="s">
        <v>12</v>
      </c>
      <c r="M122" t="s">
        <v>9</v>
      </c>
      <c r="N122" s="26">
        <f>VLOOKUP(A122,[1]PGReconsile!$A$1:$E$642,5,0)</f>
        <v>45897.440972222219</v>
      </c>
    </row>
    <row r="123" spans="1:14" x14ac:dyDescent="0.3">
      <c r="A123">
        <v>8655711888</v>
      </c>
      <c r="B123">
        <v>1479</v>
      </c>
      <c r="C123" s="1">
        <v>401.40100000000001</v>
      </c>
      <c r="D123" s="1">
        <v>53.1</v>
      </c>
      <c r="E123" s="1">
        <v>165.06300000000002</v>
      </c>
      <c r="F123">
        <v>1016.575</v>
      </c>
      <c r="G123" s="1">
        <f t="shared" si="10"/>
        <v>851.51200000000006</v>
      </c>
      <c r="H123" s="4">
        <v>462.42499999999995</v>
      </c>
      <c r="I123" s="4">
        <v>0</v>
      </c>
      <c r="J123" s="4" t="s">
        <v>25</v>
      </c>
      <c r="K123" s="8">
        <v>1016.575</v>
      </c>
      <c r="L123" t="s">
        <v>12</v>
      </c>
      <c r="M123" t="s">
        <v>9</v>
      </c>
      <c r="N123" s="26">
        <f>VLOOKUP(A123,[1]PGReconsile!$A$1:$E$642,5,0)</f>
        <v>45908.48333333333</v>
      </c>
    </row>
    <row r="124" spans="1:14" x14ac:dyDescent="0.3">
      <c r="A124">
        <v>8610217098</v>
      </c>
      <c r="B124">
        <v>1894</v>
      </c>
      <c r="C124" s="1">
        <v>514.03200000000004</v>
      </c>
      <c r="D124" s="1">
        <v>53.1</v>
      </c>
      <c r="E124" s="1">
        <v>211.38500000000002</v>
      </c>
      <c r="F124">
        <v>1316.722</v>
      </c>
      <c r="G124" s="1">
        <f t="shared" si="10"/>
        <v>1105.337</v>
      </c>
      <c r="H124" s="4">
        <v>577.27800000000002</v>
      </c>
      <c r="I124" s="4">
        <f>VLOOKUP(A124,[1]PGReverse_all!$A$1:$FK$281,167,0)</f>
        <v>197.06</v>
      </c>
      <c r="J124" s="4">
        <f t="shared" ref="J124:J127" si="14">F124+D124+I124</f>
        <v>1566.8819999999998</v>
      </c>
      <c r="K124" s="7">
        <v>-250.15999999999985</v>
      </c>
      <c r="L124" t="s">
        <v>11</v>
      </c>
      <c r="M124" t="s">
        <v>9</v>
      </c>
      <c r="N124" s="26">
        <f>VLOOKUP(A124,[1]PGReconsile!$A$1:$E$642,5,0)</f>
        <v>45880.458333333336</v>
      </c>
    </row>
    <row r="125" spans="1:14" x14ac:dyDescent="0.3">
      <c r="A125">
        <v>8655711145</v>
      </c>
      <c r="B125">
        <v>2794</v>
      </c>
      <c r="C125" s="1">
        <v>692.35299999999995</v>
      </c>
      <c r="D125" s="1">
        <v>71.98</v>
      </c>
      <c r="E125" s="1">
        <v>311.83300000000003</v>
      </c>
      <c r="F125">
        <v>2014.6990000000001</v>
      </c>
      <c r="G125" s="1">
        <f t="shared" si="10"/>
        <v>1702.866</v>
      </c>
      <c r="H125" s="4">
        <v>779.30099999999993</v>
      </c>
      <c r="I125" s="4">
        <f>VLOOKUP(A125,[1]PGReverse_all!$A$1:$FK$281,167,0)</f>
        <v>197.06</v>
      </c>
      <c r="J125" s="4">
        <f t="shared" si="14"/>
        <v>2283.739</v>
      </c>
      <c r="K125" s="7">
        <v>-269.03999999999996</v>
      </c>
      <c r="L125" t="s">
        <v>11</v>
      </c>
      <c r="M125" t="s">
        <v>9</v>
      </c>
      <c r="N125" s="26">
        <f>VLOOKUP(A125,[1]PGReconsile!$A$1:$E$642,5,0)</f>
        <v>45908.48333333333</v>
      </c>
    </row>
    <row r="126" spans="1:14" x14ac:dyDescent="0.3">
      <c r="A126">
        <v>8639964081</v>
      </c>
      <c r="B126">
        <v>2294</v>
      </c>
      <c r="C126" s="1">
        <v>568.45299999999997</v>
      </c>
      <c r="D126" s="1">
        <v>71.98</v>
      </c>
      <c r="E126" s="1">
        <v>256.03100000000001</v>
      </c>
      <c r="F126">
        <v>1641.278</v>
      </c>
      <c r="G126" s="1">
        <f t="shared" si="10"/>
        <v>1385.2470000000001</v>
      </c>
      <c r="H126" s="4">
        <v>652.72199999999998</v>
      </c>
      <c r="I126" s="4">
        <f>VLOOKUP(A126,[1]PGReverse_all!$A$1:$FK$281,167,0)</f>
        <v>132.16</v>
      </c>
      <c r="J126" s="4">
        <f t="shared" si="14"/>
        <v>1845.4180000000001</v>
      </c>
      <c r="K126" s="7">
        <v>-204.1400000000001</v>
      </c>
      <c r="L126" t="s">
        <v>11</v>
      </c>
      <c r="M126" t="s">
        <v>9</v>
      </c>
      <c r="N126" s="26">
        <f>VLOOKUP(A126,[1]PGReconsile!$A$1:$E$642,5,0)</f>
        <v>45900.458333333336</v>
      </c>
    </row>
    <row r="127" spans="1:14" x14ac:dyDescent="0.3">
      <c r="A127">
        <v>8660538231</v>
      </c>
      <c r="B127">
        <v>1794</v>
      </c>
      <c r="C127" s="1">
        <v>486.892</v>
      </c>
      <c r="D127" s="1">
        <v>53.1</v>
      </c>
      <c r="E127" s="1">
        <v>200.22899999999998</v>
      </c>
      <c r="F127">
        <v>1244.3969999999999</v>
      </c>
      <c r="G127" s="1">
        <f t="shared" si="10"/>
        <v>1044.1679999999999</v>
      </c>
      <c r="H127" s="4">
        <v>549.60300000000007</v>
      </c>
      <c r="I127" s="4">
        <f>VLOOKUP(A127,[1]PGReverse_all!$A$1:$FK$281,167,0)</f>
        <v>107.38</v>
      </c>
      <c r="J127" s="4">
        <f t="shared" si="14"/>
        <v>1404.877</v>
      </c>
      <c r="K127" s="7">
        <v>-160.48000000000002</v>
      </c>
      <c r="L127" t="s">
        <v>11</v>
      </c>
      <c r="M127" t="s">
        <v>9</v>
      </c>
      <c r="N127" s="26">
        <f>VLOOKUP(A127,[1]PGReconsile!$A$1:$E$642,5,0)</f>
        <v>45911.459027777775</v>
      </c>
    </row>
    <row r="128" spans="1:14" x14ac:dyDescent="0.3">
      <c r="A128">
        <v>8635287351</v>
      </c>
      <c r="B128">
        <v>2944</v>
      </c>
      <c r="C128" s="1">
        <v>937.95799999999997</v>
      </c>
      <c r="D128" s="1">
        <v>71.98</v>
      </c>
      <c r="E128" s="1">
        <v>328.57299999999998</v>
      </c>
      <c r="F128">
        <v>1918.29</v>
      </c>
      <c r="G128" s="1">
        <f t="shared" si="10"/>
        <v>1589.7170000000001</v>
      </c>
      <c r="H128" s="4">
        <v>1025.71</v>
      </c>
      <c r="I128" s="4">
        <v>0</v>
      </c>
      <c r="J128" s="4" t="s">
        <v>25</v>
      </c>
      <c r="K128" s="8">
        <v>1918.29</v>
      </c>
      <c r="L128" t="s">
        <v>12</v>
      </c>
      <c r="M128" t="s">
        <v>9</v>
      </c>
      <c r="N128" s="26">
        <f>VLOOKUP(A128,[1]PGReconsile!$A$1:$E$642,5,0)</f>
        <v>45897.440972222219</v>
      </c>
    </row>
    <row r="129" spans="1:14" x14ac:dyDescent="0.3">
      <c r="A129">
        <v>8642386129</v>
      </c>
      <c r="B129">
        <v>2769</v>
      </c>
      <c r="C129" s="1">
        <v>686.15800000000002</v>
      </c>
      <c r="D129" s="1">
        <v>71.98</v>
      </c>
      <c r="E129" s="1">
        <v>309.04200000000003</v>
      </c>
      <c r="F129">
        <v>1996.028</v>
      </c>
      <c r="G129" s="1">
        <f t="shared" si="10"/>
        <v>1686.9859999999999</v>
      </c>
      <c r="H129" s="4">
        <v>772.97199999999998</v>
      </c>
      <c r="I129" s="4">
        <v>0</v>
      </c>
      <c r="J129" s="4" t="s">
        <v>25</v>
      </c>
      <c r="K129" s="8">
        <v>1996.028</v>
      </c>
      <c r="L129" t="s">
        <v>12</v>
      </c>
      <c r="M129" t="s">
        <v>9</v>
      </c>
      <c r="N129" s="26">
        <f>VLOOKUP(A129,[1]PGReconsile!$A$1:$E$642,5,0)</f>
        <v>45901.785416666666</v>
      </c>
    </row>
    <row r="130" spans="1:14" x14ac:dyDescent="0.3">
      <c r="A130">
        <v>8658028844</v>
      </c>
      <c r="B130">
        <v>2994</v>
      </c>
      <c r="C130" s="1">
        <v>777.24199999999996</v>
      </c>
      <c r="D130" s="1">
        <v>71.98</v>
      </c>
      <c r="E130" s="1">
        <v>334.15600000000001</v>
      </c>
      <c r="F130">
        <v>2128.739</v>
      </c>
      <c r="G130" s="1">
        <f t="shared" si="10"/>
        <v>1794.5830000000001</v>
      </c>
      <c r="H130" s="4">
        <v>865.26099999999997</v>
      </c>
      <c r="I130" s="4">
        <v>0</v>
      </c>
      <c r="J130" s="4" t="s">
        <v>25</v>
      </c>
      <c r="K130" s="8">
        <v>2128.739</v>
      </c>
      <c r="L130" t="s">
        <v>12</v>
      </c>
      <c r="M130" t="s">
        <v>9</v>
      </c>
      <c r="N130" s="26">
        <f>VLOOKUP(A130,[1]PGReconsile!$A$1:$E$642,5,0)</f>
        <v>45910.459722222222</v>
      </c>
    </row>
    <row r="131" spans="1:14" x14ac:dyDescent="0.3">
      <c r="A131">
        <v>8635735486</v>
      </c>
      <c r="B131">
        <v>1329</v>
      </c>
      <c r="C131" s="1">
        <v>345.00799999999998</v>
      </c>
      <c r="D131" s="1">
        <v>53.1</v>
      </c>
      <c r="E131" s="1">
        <v>148.32299999999998</v>
      </c>
      <c r="F131">
        <v>923.77200000000005</v>
      </c>
      <c r="G131" s="1">
        <f t="shared" ref="G131:G194" si="15">F131-E131</f>
        <v>775.44900000000007</v>
      </c>
      <c r="H131" s="4">
        <v>405.22799999999995</v>
      </c>
      <c r="I131" s="4">
        <f>VLOOKUP(A131,[1]PGReverse_all!$A$1:$FK$281,167,0)</f>
        <v>197.06</v>
      </c>
      <c r="J131" s="4">
        <f t="shared" ref="J131:J132" si="16">F131+D131+I131</f>
        <v>1173.932</v>
      </c>
      <c r="K131" s="7">
        <v>-250.15999999999997</v>
      </c>
      <c r="L131" t="s">
        <v>11</v>
      </c>
      <c r="M131" t="s">
        <v>9</v>
      </c>
      <c r="N131" s="26">
        <f>VLOOKUP(A131,[1]PGReconsile!$A$1:$E$642,5,0)</f>
        <v>45897.440972222219</v>
      </c>
    </row>
    <row r="132" spans="1:14" x14ac:dyDescent="0.3">
      <c r="A132">
        <v>8624683467</v>
      </c>
      <c r="B132">
        <v>1794</v>
      </c>
      <c r="C132" s="1">
        <v>444.553</v>
      </c>
      <c r="D132" s="1">
        <v>53.1</v>
      </c>
      <c r="E132" s="1">
        <v>200.22899999999998</v>
      </c>
      <c r="F132">
        <v>1286.7360000000001</v>
      </c>
      <c r="G132" s="1">
        <f t="shared" si="15"/>
        <v>1086.5070000000001</v>
      </c>
      <c r="H132" s="4">
        <v>507.2639999999999</v>
      </c>
      <c r="I132" s="4">
        <f>VLOOKUP(A132,[1]PGReverse_all!$A$1:$FK$281,167,0)</f>
        <v>107.38</v>
      </c>
      <c r="J132" s="4">
        <f t="shared" si="16"/>
        <v>1447.2159999999999</v>
      </c>
      <c r="K132" s="7">
        <v>-160.47999999999979</v>
      </c>
      <c r="L132" t="s">
        <v>11</v>
      </c>
      <c r="M132" t="s">
        <v>9</v>
      </c>
      <c r="N132" s="26">
        <f>VLOOKUP(A132,[1]PGReconsile!$A$1:$E$642,5,0)</f>
        <v>45889.78125</v>
      </c>
    </row>
    <row r="133" spans="1:14" x14ac:dyDescent="0.3">
      <c r="A133">
        <v>8623285922</v>
      </c>
      <c r="B133">
        <v>1794</v>
      </c>
      <c r="C133" s="1">
        <v>444.553</v>
      </c>
      <c r="D133" s="1">
        <v>53.1</v>
      </c>
      <c r="E133" s="1">
        <v>200.21899999999999</v>
      </c>
      <c r="F133">
        <v>1286.7360000000001</v>
      </c>
      <c r="G133" s="1">
        <f t="shared" si="15"/>
        <v>1086.5170000000001</v>
      </c>
      <c r="H133" s="4">
        <v>507.2639999999999</v>
      </c>
      <c r="I133" s="4">
        <v>0</v>
      </c>
      <c r="J133" s="4" t="s">
        <v>25</v>
      </c>
      <c r="K133" s="8">
        <v>1286.7360000000001</v>
      </c>
      <c r="L133" t="s">
        <v>12</v>
      </c>
      <c r="M133" t="s">
        <v>9</v>
      </c>
      <c r="N133" s="26">
        <f>VLOOKUP(A133,[1]PGReconsile!$A$1:$E$642,5,0)</f>
        <v>45888.475694444445</v>
      </c>
    </row>
    <row r="134" spans="1:14" x14ac:dyDescent="0.3">
      <c r="A134">
        <v>8636449239</v>
      </c>
      <c r="B134">
        <v>2944</v>
      </c>
      <c r="C134" s="1">
        <v>729.52300000000002</v>
      </c>
      <c r="D134" s="1">
        <v>71.98</v>
      </c>
      <c r="E134" s="1">
        <v>328.57299999999998</v>
      </c>
      <c r="F134">
        <v>2126.7249999999999</v>
      </c>
      <c r="G134" s="1">
        <f t="shared" si="15"/>
        <v>1798.152</v>
      </c>
      <c r="H134" s="4">
        <v>817.27500000000009</v>
      </c>
      <c r="I134" s="4">
        <v>0</v>
      </c>
      <c r="J134" s="4" t="s">
        <v>25</v>
      </c>
      <c r="K134" s="8">
        <v>2126.7249999999999</v>
      </c>
      <c r="L134" t="s">
        <v>12</v>
      </c>
      <c r="M134" t="s">
        <v>9</v>
      </c>
      <c r="N134" s="26">
        <f>VLOOKUP(A134,[1]PGReconsile!$A$1:$E$642,5,0)</f>
        <v>45897.79791666667</v>
      </c>
    </row>
    <row r="135" spans="1:14" x14ac:dyDescent="0.3">
      <c r="A135">
        <v>8633441706</v>
      </c>
      <c r="B135">
        <v>503</v>
      </c>
      <c r="C135" s="1">
        <v>136.51400000000001</v>
      </c>
      <c r="D135" s="1">
        <v>31.86</v>
      </c>
      <c r="E135" s="1">
        <v>26.344999999999999</v>
      </c>
      <c r="F135">
        <v>331.75200000000001</v>
      </c>
      <c r="G135" s="1">
        <f t="shared" si="15"/>
        <v>305.40700000000004</v>
      </c>
      <c r="H135" s="4">
        <v>171.24799999999999</v>
      </c>
      <c r="I135" s="4">
        <f>VLOOKUP(A135,[1]PGReverse_all!$A$1:$FK$281,167,0)</f>
        <v>197.06</v>
      </c>
      <c r="J135" s="4">
        <f t="shared" ref="J135:J137" si="17">F135+D135+I135</f>
        <v>560.67200000000003</v>
      </c>
      <c r="K135" s="7">
        <v>-228.92000000000002</v>
      </c>
      <c r="L135" t="s">
        <v>11</v>
      </c>
      <c r="M135" t="s">
        <v>9</v>
      </c>
      <c r="N135" s="26">
        <f>VLOOKUP(A135,[1]PGReconsile!$A$1:$E$642,5,0)</f>
        <v>45895.447222222225</v>
      </c>
    </row>
    <row r="136" spans="1:14" x14ac:dyDescent="0.3">
      <c r="A136">
        <v>8610667779</v>
      </c>
      <c r="B136">
        <v>2944</v>
      </c>
      <c r="C136" s="1">
        <v>764.26199999999994</v>
      </c>
      <c r="D136" s="1">
        <v>71.98</v>
      </c>
      <c r="E136" s="1">
        <v>328.57299999999998</v>
      </c>
      <c r="F136">
        <v>2091.9859999999999</v>
      </c>
      <c r="G136" s="1">
        <f t="shared" si="15"/>
        <v>1763.413</v>
      </c>
      <c r="H136" s="4">
        <v>852.01400000000012</v>
      </c>
      <c r="I136" s="4">
        <f>VLOOKUP(A136,[1]PGReverse_all!$A$1:$FK$281,167,0)</f>
        <v>197.06</v>
      </c>
      <c r="J136" s="4">
        <f t="shared" si="17"/>
        <v>2361.0259999999998</v>
      </c>
      <c r="K136" s="7">
        <v>-269.03999999999996</v>
      </c>
      <c r="L136" t="s">
        <v>11</v>
      </c>
      <c r="M136" t="s">
        <v>9</v>
      </c>
      <c r="N136" s="26">
        <f>VLOOKUP(A136,[1]PGReconsile!$A$1:$E$642,5,0)</f>
        <v>45880.458333333336</v>
      </c>
    </row>
    <row r="137" spans="1:14" x14ac:dyDescent="0.3">
      <c r="A137">
        <v>8621454433</v>
      </c>
      <c r="B137">
        <v>2944</v>
      </c>
      <c r="C137" s="1">
        <v>729.52300000000002</v>
      </c>
      <c r="D137" s="1">
        <v>71.98</v>
      </c>
      <c r="E137" s="1">
        <v>328.57299999999998</v>
      </c>
      <c r="F137">
        <v>2126.7249999999999</v>
      </c>
      <c r="G137" s="1">
        <f t="shared" si="15"/>
        <v>1798.152</v>
      </c>
      <c r="H137" s="4">
        <v>817.27500000000009</v>
      </c>
      <c r="I137" s="4">
        <f>VLOOKUP(A137,[1]PGReverse_all!$A$1:$FK$281,167,0)</f>
        <v>197.06</v>
      </c>
      <c r="J137" s="4">
        <f t="shared" si="17"/>
        <v>2395.7649999999999</v>
      </c>
      <c r="K137" s="7">
        <v>-269.03999999999996</v>
      </c>
      <c r="L137" t="s">
        <v>11</v>
      </c>
      <c r="M137" t="s">
        <v>9</v>
      </c>
      <c r="N137" s="26">
        <f>VLOOKUP(A137,[1]PGReconsile!$A$1:$E$642,5,0)</f>
        <v>45888.475694444445</v>
      </c>
    </row>
    <row r="138" spans="1:14" x14ac:dyDescent="0.3">
      <c r="A138">
        <v>8644832787</v>
      </c>
      <c r="B138">
        <v>954</v>
      </c>
      <c r="C138" s="1">
        <v>258.916</v>
      </c>
      <c r="D138" s="1">
        <v>31.86</v>
      </c>
      <c r="E138" s="1">
        <v>49.972999999999999</v>
      </c>
      <c r="F138">
        <v>657.77200000000005</v>
      </c>
      <c r="G138" s="1">
        <f t="shared" si="15"/>
        <v>607.79900000000009</v>
      </c>
      <c r="H138" s="4">
        <v>296.22799999999995</v>
      </c>
      <c r="I138" s="4">
        <v>0</v>
      </c>
      <c r="J138" s="4" t="s">
        <v>25</v>
      </c>
      <c r="K138" s="8">
        <v>657.77200000000005</v>
      </c>
      <c r="L138" t="s">
        <v>12</v>
      </c>
      <c r="M138" t="s">
        <v>9</v>
      </c>
      <c r="N138" s="26">
        <f>VLOOKUP(A138,[1]PGReconsile!$A$1:$E$642,5,0)</f>
        <v>45903.465277777781</v>
      </c>
    </row>
    <row r="139" spans="1:14" x14ac:dyDescent="0.3">
      <c r="A139">
        <v>8637335372</v>
      </c>
      <c r="B139">
        <v>3394</v>
      </c>
      <c r="C139" s="1">
        <v>1081.328</v>
      </c>
      <c r="D139" s="1">
        <v>71.98</v>
      </c>
      <c r="E139" s="1">
        <v>378.79199999999997</v>
      </c>
      <c r="F139">
        <v>2222.5100000000002</v>
      </c>
      <c r="G139" s="1">
        <f t="shared" si="15"/>
        <v>1843.7180000000003</v>
      </c>
      <c r="H139" s="4">
        <v>1171.4899999999998</v>
      </c>
      <c r="I139" s="4">
        <f>VLOOKUP(A139,[1]PGReverse_all!$A$1:$FK$281,167,0)</f>
        <v>197.06</v>
      </c>
      <c r="J139" s="4">
        <f t="shared" ref="J139:J140" si="18">F139+D139+I139</f>
        <v>2491.5500000000002</v>
      </c>
      <c r="K139" s="7">
        <v>-269.03999999999996</v>
      </c>
      <c r="L139" t="s">
        <v>11</v>
      </c>
      <c r="M139" t="s">
        <v>9</v>
      </c>
      <c r="N139" s="26">
        <f>VLOOKUP(A139,[1]PGReconsile!$A$1:$E$642,5,0)</f>
        <v>45898.45</v>
      </c>
    </row>
    <row r="140" spans="1:14" x14ac:dyDescent="0.3">
      <c r="A140">
        <v>8624339982</v>
      </c>
      <c r="B140">
        <v>1204</v>
      </c>
      <c r="C140" s="1">
        <v>298.351</v>
      </c>
      <c r="D140" s="1">
        <v>53.1</v>
      </c>
      <c r="E140" s="1">
        <v>134.375</v>
      </c>
      <c r="F140">
        <v>846.09900000000005</v>
      </c>
      <c r="G140" s="1">
        <f t="shared" si="15"/>
        <v>711.72400000000005</v>
      </c>
      <c r="H140" s="4">
        <v>357.90099999999995</v>
      </c>
      <c r="I140" s="4">
        <f>VLOOKUP(A140,[1]PGReverse_all!$A$1:$FK$281,167,0)</f>
        <v>132.16</v>
      </c>
      <c r="J140" s="4">
        <f t="shared" si="18"/>
        <v>1031.3590000000002</v>
      </c>
      <c r="K140" s="7">
        <v>-185.2600000000001</v>
      </c>
      <c r="L140" t="s">
        <v>11</v>
      </c>
      <c r="M140" t="s">
        <v>9</v>
      </c>
      <c r="N140" s="26">
        <f>VLOOKUP(A140,[1]PGReconsile!$A$1:$E$642,5,0)</f>
        <v>45889.441666666666</v>
      </c>
    </row>
    <row r="141" spans="1:14" x14ac:dyDescent="0.3">
      <c r="A141">
        <v>8657871207</v>
      </c>
      <c r="B141">
        <v>2343.9899999999998</v>
      </c>
      <c r="C141" s="1">
        <v>746.79499999999996</v>
      </c>
      <c r="D141" s="1">
        <v>71.98</v>
      </c>
      <c r="E141" s="1">
        <v>261.60399999999998</v>
      </c>
      <c r="F141">
        <v>1512.6579999999999</v>
      </c>
      <c r="G141" s="1">
        <f t="shared" si="15"/>
        <v>1251.0539999999999</v>
      </c>
      <c r="H141" s="4">
        <v>831.33199999999988</v>
      </c>
      <c r="I141" s="4">
        <v>0</v>
      </c>
      <c r="J141" s="4" t="s">
        <v>25</v>
      </c>
      <c r="K141" s="8">
        <v>1512.6579999999999</v>
      </c>
      <c r="L141" t="s">
        <v>12</v>
      </c>
      <c r="M141" t="s">
        <v>9</v>
      </c>
      <c r="N141" s="26">
        <f>VLOOKUP(A141,[1]PGReconsile!$A$1:$E$642,5,0)</f>
        <v>45910.459722222222</v>
      </c>
    </row>
    <row r="142" spans="1:14" x14ac:dyDescent="0.3">
      <c r="A142">
        <v>8601039770</v>
      </c>
      <c r="B142">
        <v>503</v>
      </c>
      <c r="C142" s="1">
        <v>136.51400000000001</v>
      </c>
      <c r="D142" s="1">
        <v>31.86</v>
      </c>
      <c r="E142" s="1">
        <v>26.344999999999999</v>
      </c>
      <c r="F142">
        <v>331.75200000000001</v>
      </c>
      <c r="G142" s="1">
        <f t="shared" si="15"/>
        <v>305.40700000000004</v>
      </c>
      <c r="H142" s="4">
        <v>171.24799999999999</v>
      </c>
      <c r="I142" s="4">
        <v>0</v>
      </c>
      <c r="J142" s="4" t="s">
        <v>25</v>
      </c>
      <c r="K142" s="8">
        <v>331.75200000000001</v>
      </c>
      <c r="L142" t="s">
        <v>12</v>
      </c>
      <c r="M142" t="s">
        <v>9</v>
      </c>
      <c r="N142" s="26">
        <f>VLOOKUP(A142,[1]PGReconsile!$A$1:$E$642,5,0)</f>
        <v>45874.465277777781</v>
      </c>
    </row>
    <row r="143" spans="1:14" x14ac:dyDescent="0.3">
      <c r="A143">
        <v>8656222867</v>
      </c>
      <c r="B143">
        <v>2994</v>
      </c>
      <c r="C143" s="1">
        <v>777.24199999999996</v>
      </c>
      <c r="D143" s="1">
        <v>71.98</v>
      </c>
      <c r="E143" s="1">
        <v>334.15600000000001</v>
      </c>
      <c r="F143">
        <v>2128.739</v>
      </c>
      <c r="G143" s="1">
        <f t="shared" si="15"/>
        <v>1794.5830000000001</v>
      </c>
      <c r="H143" s="4">
        <v>865.26099999999997</v>
      </c>
      <c r="I143" s="4">
        <v>0</v>
      </c>
      <c r="J143" s="4" t="s">
        <v>25</v>
      </c>
      <c r="K143" s="8">
        <v>2128.739</v>
      </c>
      <c r="L143" t="s">
        <v>12</v>
      </c>
      <c r="M143" t="s">
        <v>9</v>
      </c>
      <c r="N143" s="26">
        <f>VLOOKUP(A143,[1]PGReconsile!$A$1:$E$642,5,0)</f>
        <v>45908.788194444445</v>
      </c>
    </row>
    <row r="144" spans="1:14" x14ac:dyDescent="0.3">
      <c r="A144">
        <v>8654195528</v>
      </c>
      <c r="B144">
        <v>1204</v>
      </c>
      <c r="C144" s="1">
        <v>312.55799999999999</v>
      </c>
      <c r="D144" s="1">
        <v>53.1</v>
      </c>
      <c r="E144" s="1">
        <v>134.375</v>
      </c>
      <c r="F144">
        <v>831.89200000000005</v>
      </c>
      <c r="G144" s="1">
        <f t="shared" si="15"/>
        <v>697.51700000000005</v>
      </c>
      <c r="H144" s="4">
        <v>372.10799999999995</v>
      </c>
      <c r="I144" s="4">
        <v>0</v>
      </c>
      <c r="J144" s="4" t="s">
        <v>25</v>
      </c>
      <c r="K144" s="8">
        <v>831.89200000000005</v>
      </c>
      <c r="L144" t="s">
        <v>12</v>
      </c>
      <c r="M144" t="s">
        <v>9</v>
      </c>
      <c r="N144" s="26">
        <f>VLOOKUP(A144,[1]PGReconsile!$A$1:$E$642,5,0)</f>
        <v>45908.48333333333</v>
      </c>
    </row>
    <row r="145" spans="1:14" x14ac:dyDescent="0.3">
      <c r="A145">
        <v>8638593036</v>
      </c>
      <c r="B145">
        <v>2719</v>
      </c>
      <c r="C145" s="1">
        <v>705.85199999999998</v>
      </c>
      <c r="D145" s="1">
        <v>71.98</v>
      </c>
      <c r="E145" s="1">
        <v>303.45799999999997</v>
      </c>
      <c r="F145">
        <v>1926.6020000000001</v>
      </c>
      <c r="G145" s="1">
        <f t="shared" si="15"/>
        <v>1623.1440000000002</v>
      </c>
      <c r="H145" s="4">
        <v>792.39799999999991</v>
      </c>
      <c r="I145" s="4">
        <v>0</v>
      </c>
      <c r="J145" s="4" t="s">
        <v>25</v>
      </c>
      <c r="K145" s="8">
        <v>1926.6020000000001</v>
      </c>
      <c r="L145" t="s">
        <v>12</v>
      </c>
      <c r="M145" t="s">
        <v>9</v>
      </c>
      <c r="N145" s="26">
        <f>VLOOKUP(A145,[1]PGReconsile!$A$1:$E$642,5,0)</f>
        <v>45899.442361111112</v>
      </c>
    </row>
    <row r="146" spans="1:14" x14ac:dyDescent="0.3">
      <c r="A146">
        <v>8656573052</v>
      </c>
      <c r="B146">
        <v>2944</v>
      </c>
      <c r="C146" s="1">
        <v>764.26199999999994</v>
      </c>
      <c r="D146" s="1">
        <v>71.98</v>
      </c>
      <c r="E146" s="1">
        <v>328.57299999999998</v>
      </c>
      <c r="F146">
        <v>2091.9859999999999</v>
      </c>
      <c r="G146" s="1">
        <f t="shared" si="15"/>
        <v>1763.413</v>
      </c>
      <c r="H146" s="4">
        <v>852.01400000000012</v>
      </c>
      <c r="I146" s="4">
        <v>0</v>
      </c>
      <c r="J146" s="4" t="s">
        <v>25</v>
      </c>
      <c r="K146" s="8">
        <v>2091.9859999999999</v>
      </c>
      <c r="L146" t="s">
        <v>12</v>
      </c>
      <c r="M146" t="s">
        <v>9</v>
      </c>
      <c r="N146" s="26">
        <f>VLOOKUP(A146,[1]PGReconsile!$A$1:$E$642,5,0)</f>
        <v>45909.456250000003</v>
      </c>
    </row>
    <row r="147" spans="1:14" x14ac:dyDescent="0.3">
      <c r="A147">
        <v>8637124975</v>
      </c>
      <c r="B147">
        <v>3194</v>
      </c>
      <c r="C147" s="1">
        <v>791.47299999999996</v>
      </c>
      <c r="D147" s="1">
        <v>71.98</v>
      </c>
      <c r="E147" s="1">
        <v>356.46899999999999</v>
      </c>
      <c r="F147">
        <v>2313.4360000000001</v>
      </c>
      <c r="G147" s="1">
        <f t="shared" si="15"/>
        <v>1956.9670000000001</v>
      </c>
      <c r="H147" s="4">
        <v>880.56399999999985</v>
      </c>
      <c r="I147" s="4">
        <f>VLOOKUP(A147,[1]PGReverse_all!$A$1:$FK$281,167,0)</f>
        <v>197.06</v>
      </c>
      <c r="J147" s="4">
        <f>F147+D147+I147</f>
        <v>2582.4760000000001</v>
      </c>
      <c r="K147" s="7">
        <v>-269.03999999999996</v>
      </c>
      <c r="L147" t="s">
        <v>11</v>
      </c>
      <c r="M147" t="s">
        <v>9</v>
      </c>
      <c r="N147" s="26">
        <f>VLOOKUP(A147,[1]PGReconsile!$A$1:$E$642,5,0)</f>
        <v>45898.445138888892</v>
      </c>
    </row>
    <row r="148" spans="1:14" x14ac:dyDescent="0.3">
      <c r="A148">
        <v>8634034187</v>
      </c>
      <c r="B148">
        <v>2769</v>
      </c>
      <c r="C148" s="1">
        <v>588.13599999999997</v>
      </c>
      <c r="D148" s="1">
        <v>71.98</v>
      </c>
      <c r="E148" s="1">
        <v>309.04200000000003</v>
      </c>
      <c r="F148">
        <v>2094.0500000000002</v>
      </c>
      <c r="G148" s="1">
        <f t="shared" si="15"/>
        <v>1785.0080000000003</v>
      </c>
      <c r="H148" s="4">
        <v>674.94999999999982</v>
      </c>
      <c r="I148" s="4">
        <v>0</v>
      </c>
      <c r="J148" s="4" t="s">
        <v>25</v>
      </c>
      <c r="K148" s="8">
        <v>2094.0500000000002</v>
      </c>
      <c r="L148" t="s">
        <v>12</v>
      </c>
      <c r="M148" t="s">
        <v>9</v>
      </c>
      <c r="N148" s="26">
        <f>VLOOKUP(A148,[1]PGReconsile!$A$1:$E$642,5,0)</f>
        <v>45895.786805555559</v>
      </c>
    </row>
    <row r="149" spans="1:14" x14ac:dyDescent="0.3">
      <c r="A149">
        <v>8637711047</v>
      </c>
      <c r="B149">
        <v>3194</v>
      </c>
      <c r="C149" s="1">
        <v>791.47299999999996</v>
      </c>
      <c r="D149" s="1">
        <v>71.98</v>
      </c>
      <c r="E149" s="1">
        <v>356.46899999999999</v>
      </c>
      <c r="F149">
        <v>2313.4360000000001</v>
      </c>
      <c r="G149" s="1">
        <f t="shared" si="15"/>
        <v>1956.9670000000001</v>
      </c>
      <c r="H149" s="4">
        <v>880.56399999999985</v>
      </c>
      <c r="I149" s="4">
        <f>VLOOKUP(A149,[1]PGReverse_all!$A$1:$FK$281,167,0)</f>
        <v>197.06</v>
      </c>
      <c r="J149" s="4">
        <f t="shared" ref="J149:J150" si="19">F149+D149+I149</f>
        <v>2582.4760000000001</v>
      </c>
      <c r="K149" s="7">
        <v>-269.03999999999996</v>
      </c>
      <c r="L149" t="s">
        <v>11</v>
      </c>
      <c r="M149" t="s">
        <v>9</v>
      </c>
      <c r="N149" s="26">
        <f>VLOOKUP(A149,[1]PGReconsile!$A$1:$E$642,5,0)</f>
        <v>45898.775000000001</v>
      </c>
    </row>
    <row r="150" spans="1:14" x14ac:dyDescent="0.3">
      <c r="A150">
        <v>8650282943</v>
      </c>
      <c r="B150">
        <v>2719</v>
      </c>
      <c r="C150" s="1">
        <v>705.85199999999998</v>
      </c>
      <c r="D150" s="1">
        <v>71.98</v>
      </c>
      <c r="E150" s="1">
        <v>303.45799999999997</v>
      </c>
      <c r="F150">
        <v>1926.6020000000001</v>
      </c>
      <c r="G150" s="1">
        <f t="shared" si="15"/>
        <v>1623.1440000000002</v>
      </c>
      <c r="H150" s="4">
        <v>792.39799999999991</v>
      </c>
      <c r="I150" s="4">
        <f>VLOOKUP(A150,[1]PGReverse_all!$A$1:$FK$281,167,0)</f>
        <v>107.38</v>
      </c>
      <c r="J150" s="4">
        <f t="shared" si="19"/>
        <v>2105.962</v>
      </c>
      <c r="K150" s="7">
        <v>-179.3599999999999</v>
      </c>
      <c r="L150" t="s">
        <v>11</v>
      </c>
      <c r="M150" t="s">
        <v>9</v>
      </c>
      <c r="N150" s="26">
        <f>VLOOKUP(A150,[1]PGReconsile!$A$1:$E$642,5,0)</f>
        <v>45905.805555555555</v>
      </c>
    </row>
    <row r="151" spans="1:14" x14ac:dyDescent="0.3">
      <c r="A151">
        <v>8617018913</v>
      </c>
      <c r="B151">
        <v>4069</v>
      </c>
      <c r="C151" s="1">
        <v>1008.298</v>
      </c>
      <c r="D151" s="1">
        <v>71.98</v>
      </c>
      <c r="E151" s="1">
        <v>454.125</v>
      </c>
      <c r="F151">
        <v>2966.924</v>
      </c>
      <c r="G151" s="1">
        <f t="shared" si="15"/>
        <v>2512.799</v>
      </c>
      <c r="H151" s="4">
        <v>1102.076</v>
      </c>
      <c r="I151" s="4">
        <v>0</v>
      </c>
      <c r="J151" s="4" t="s">
        <v>25</v>
      </c>
      <c r="K151" s="8">
        <v>2966.924</v>
      </c>
      <c r="L151" t="s">
        <v>12</v>
      </c>
      <c r="M151" t="s">
        <v>9</v>
      </c>
      <c r="N151" s="26">
        <f>VLOOKUP(A151,[1]PGReconsile!$A$1:$E$642,5,0)</f>
        <v>45885.463194444441</v>
      </c>
    </row>
    <row r="152" spans="1:14" x14ac:dyDescent="0.3">
      <c r="A152">
        <v>8611755278</v>
      </c>
      <c r="B152">
        <v>2294</v>
      </c>
      <c r="C152" s="1">
        <v>703.79899999999998</v>
      </c>
      <c r="D152" s="1">
        <v>71.98</v>
      </c>
      <c r="E152" s="1">
        <v>256.03100000000001</v>
      </c>
      <c r="F152">
        <v>1505.932</v>
      </c>
      <c r="G152" s="1">
        <f t="shared" si="15"/>
        <v>1249.9010000000001</v>
      </c>
      <c r="H152" s="4">
        <v>788.06799999999998</v>
      </c>
      <c r="I152" s="4">
        <f>VLOOKUP(A152,[1]PGReverse_all!$A$1:$FK$281,167,0)</f>
        <v>132.16</v>
      </c>
      <c r="J152" s="4">
        <f t="shared" ref="J152:J157" si="20">F152+D152+I152</f>
        <v>1710.0720000000001</v>
      </c>
      <c r="K152" s="7">
        <v>-204.1400000000001</v>
      </c>
      <c r="L152" t="s">
        <v>11</v>
      </c>
      <c r="M152" t="s">
        <v>9</v>
      </c>
      <c r="N152" s="26">
        <f>VLOOKUP(A152,[1]PGReconsile!$A$1:$E$642,5,0)</f>
        <v>45880.458333333336</v>
      </c>
    </row>
    <row r="153" spans="1:14" x14ac:dyDescent="0.3">
      <c r="A153">
        <v>8639784997</v>
      </c>
      <c r="B153">
        <v>2294</v>
      </c>
      <c r="C153" s="1">
        <v>703.79899999999998</v>
      </c>
      <c r="D153" s="1">
        <v>71.98</v>
      </c>
      <c r="E153" s="1">
        <v>256.02100000000002</v>
      </c>
      <c r="F153">
        <v>1505.932</v>
      </c>
      <c r="G153" s="1">
        <f t="shared" si="15"/>
        <v>1249.9110000000001</v>
      </c>
      <c r="H153" s="4">
        <v>788.06799999999998</v>
      </c>
      <c r="I153" s="4">
        <f>VLOOKUP(A153,[1]PGReverse_all!$A$1:$FK$281,167,0)</f>
        <v>107.38</v>
      </c>
      <c r="J153" s="4">
        <f t="shared" si="20"/>
        <v>1685.2919999999999</v>
      </c>
      <c r="K153" s="7">
        <v>-179.3599999999999</v>
      </c>
      <c r="L153" t="s">
        <v>11</v>
      </c>
      <c r="M153" t="s">
        <v>9</v>
      </c>
      <c r="N153" s="26">
        <f>VLOOKUP(A153,[1]PGReconsile!$A$1:$E$642,5,0)</f>
        <v>45900.458333333336</v>
      </c>
    </row>
    <row r="154" spans="1:14" x14ac:dyDescent="0.3">
      <c r="A154">
        <v>8612739940</v>
      </c>
      <c r="B154">
        <v>4544</v>
      </c>
      <c r="C154" s="1">
        <v>1126.0029999999999</v>
      </c>
      <c r="D154" s="1">
        <v>71.98</v>
      </c>
      <c r="E154" s="1">
        <v>507.14600000000002</v>
      </c>
      <c r="F154">
        <v>3321.674</v>
      </c>
      <c r="G154" s="1">
        <f t="shared" si="15"/>
        <v>2814.5279999999998</v>
      </c>
      <c r="H154" s="4">
        <v>1222.326</v>
      </c>
      <c r="I154" s="4">
        <f>VLOOKUP(A154,[1]PGReverse_all!$A$1:$FK$281,167,0)</f>
        <v>197.06</v>
      </c>
      <c r="J154" s="4">
        <f t="shared" si="20"/>
        <v>3590.7139999999999</v>
      </c>
      <c r="K154" s="7">
        <v>-269.03999999999996</v>
      </c>
      <c r="L154" t="s">
        <v>11</v>
      </c>
      <c r="M154" t="s">
        <v>9</v>
      </c>
      <c r="N154" s="26">
        <f>VLOOKUP(A154,[1]PGReconsile!$A$1:$E$642,5,0)</f>
        <v>45881.472222222219</v>
      </c>
    </row>
    <row r="155" spans="1:14" x14ac:dyDescent="0.3">
      <c r="A155">
        <v>8654767449</v>
      </c>
      <c r="B155">
        <v>2344</v>
      </c>
      <c r="C155" s="1">
        <v>580.84299999999996</v>
      </c>
      <c r="D155" s="1">
        <v>71.98</v>
      </c>
      <c r="E155" s="1">
        <v>261.60399999999998</v>
      </c>
      <c r="F155">
        <v>1678.62</v>
      </c>
      <c r="G155" s="1">
        <f t="shared" si="15"/>
        <v>1417.0159999999998</v>
      </c>
      <c r="H155" s="4">
        <v>665.38000000000011</v>
      </c>
      <c r="I155" s="4">
        <f>VLOOKUP(A155,[1]PGReverse_all!$A$1:$FK$281,167,0)</f>
        <v>197.06</v>
      </c>
      <c r="J155" s="4">
        <f t="shared" si="20"/>
        <v>1947.6599999999999</v>
      </c>
      <c r="K155" s="7">
        <v>-269.03999999999996</v>
      </c>
      <c r="L155" t="s">
        <v>11</v>
      </c>
      <c r="M155" t="s">
        <v>9</v>
      </c>
      <c r="N155" s="26">
        <f>VLOOKUP(A155,[1]PGReconsile!$A$1:$E$642,5,0)</f>
        <v>45908.48333333333</v>
      </c>
    </row>
    <row r="156" spans="1:14" x14ac:dyDescent="0.3">
      <c r="A156">
        <v>8654080323</v>
      </c>
      <c r="B156">
        <v>2994</v>
      </c>
      <c r="C156" s="1">
        <v>741.91300000000001</v>
      </c>
      <c r="D156" s="1">
        <v>71.98</v>
      </c>
      <c r="E156" s="1">
        <v>334.15600000000001</v>
      </c>
      <c r="F156">
        <v>2164.0680000000002</v>
      </c>
      <c r="G156" s="1">
        <f t="shared" si="15"/>
        <v>1829.9120000000003</v>
      </c>
      <c r="H156" s="4">
        <v>829.93199999999979</v>
      </c>
      <c r="I156" s="4">
        <f>VLOOKUP(A156,[1]PGReverse_all!$A$1:$FK$281,167,0)</f>
        <v>132.16</v>
      </c>
      <c r="J156" s="4">
        <f t="shared" si="20"/>
        <v>2368.2080000000001</v>
      </c>
      <c r="K156" s="7">
        <v>-204.13999999999987</v>
      </c>
      <c r="L156" t="s">
        <v>11</v>
      </c>
      <c r="M156" t="s">
        <v>9</v>
      </c>
      <c r="N156" s="26">
        <f>VLOOKUP(A156,[1]PGReconsile!$A$1:$E$642,5,0)</f>
        <v>45908.48333333333</v>
      </c>
    </row>
    <row r="157" spans="1:14" x14ac:dyDescent="0.3">
      <c r="A157">
        <v>8654459527</v>
      </c>
      <c r="B157">
        <v>2794</v>
      </c>
      <c r="C157" s="1">
        <v>692.35299999999995</v>
      </c>
      <c r="D157" s="1">
        <v>71.98</v>
      </c>
      <c r="E157" s="1">
        <v>311.83300000000003</v>
      </c>
      <c r="F157">
        <v>2014.6990000000001</v>
      </c>
      <c r="G157" s="1">
        <f t="shared" si="15"/>
        <v>1702.866</v>
      </c>
      <c r="H157" s="4">
        <v>779.30099999999993</v>
      </c>
      <c r="I157" s="4">
        <f>VLOOKUP(A157,[1]PGReverse_all!$A$1:$FK$281,167,0)</f>
        <v>132.16</v>
      </c>
      <c r="J157" s="4">
        <f t="shared" si="20"/>
        <v>2218.8389999999999</v>
      </c>
      <c r="K157" s="7">
        <v>-204.13999999999987</v>
      </c>
      <c r="L157" t="s">
        <v>11</v>
      </c>
      <c r="M157" t="s">
        <v>9</v>
      </c>
      <c r="N157" s="26">
        <f>VLOOKUP(A157,[1]PGReconsile!$A$1:$E$642,5,0)</f>
        <v>45908.48333333333</v>
      </c>
    </row>
    <row r="158" spans="1:14" x14ac:dyDescent="0.3">
      <c r="A158">
        <v>8630722093</v>
      </c>
      <c r="B158">
        <v>5006</v>
      </c>
      <c r="C158" s="1">
        <v>1535.8409999999999</v>
      </c>
      <c r="D158" s="1">
        <v>71.98</v>
      </c>
      <c r="E158" s="1">
        <v>558.70799999999997</v>
      </c>
      <c r="F158">
        <v>3371.3609999999999</v>
      </c>
      <c r="G158" s="1">
        <f t="shared" si="15"/>
        <v>2812.6529999999998</v>
      </c>
      <c r="H158" s="4">
        <v>1634.6390000000001</v>
      </c>
      <c r="I158" s="4">
        <v>0</v>
      </c>
      <c r="J158" s="4" t="s">
        <v>25</v>
      </c>
      <c r="K158" s="8">
        <v>3371.3609999999999</v>
      </c>
      <c r="L158" t="s">
        <v>12</v>
      </c>
      <c r="M158" t="s">
        <v>9</v>
      </c>
      <c r="N158" s="26">
        <f>VLOOKUP(A158,[1]PGReconsile!$A$1:$E$642,5,0)</f>
        <v>45894.452777777777</v>
      </c>
    </row>
    <row r="159" spans="1:14" x14ac:dyDescent="0.3">
      <c r="A159">
        <v>8637107040</v>
      </c>
      <c r="B159">
        <v>3643.9799999999996</v>
      </c>
      <c r="C159" s="1">
        <v>1160.972</v>
      </c>
      <c r="D159" s="1">
        <v>71.98</v>
      </c>
      <c r="E159" s="1">
        <v>406.697</v>
      </c>
      <c r="F159">
        <v>2391.5079999999998</v>
      </c>
      <c r="G159" s="1">
        <f t="shared" si="15"/>
        <v>1984.8109999999997</v>
      </c>
      <c r="H159" s="4">
        <v>1252.4719999999998</v>
      </c>
      <c r="I159" s="4">
        <f>VLOOKUP(A159,[1]PGReverse_all!$A$1:$FK$281,167,0)</f>
        <v>197.06</v>
      </c>
      <c r="J159" s="4">
        <f t="shared" ref="J159:J162" si="21">F159+D159+I159</f>
        <v>2660.5479999999998</v>
      </c>
      <c r="K159" s="7">
        <v>-269.03999999999996</v>
      </c>
      <c r="L159" t="s">
        <v>11</v>
      </c>
      <c r="M159" t="s">
        <v>9</v>
      </c>
      <c r="N159" s="26">
        <f>VLOOKUP(A159,[1]PGReconsile!$A$1:$E$642,5,0)</f>
        <v>45898.445138888892</v>
      </c>
    </row>
    <row r="160" spans="1:14" x14ac:dyDescent="0.3">
      <c r="A160">
        <v>8615086353</v>
      </c>
      <c r="B160">
        <v>3919</v>
      </c>
      <c r="C160" s="1">
        <v>971.12800000000004</v>
      </c>
      <c r="D160" s="1">
        <v>71.98</v>
      </c>
      <c r="E160" s="1">
        <v>437.38599999999997</v>
      </c>
      <c r="F160">
        <v>2854.8969999999999</v>
      </c>
      <c r="G160" s="1">
        <f t="shared" si="15"/>
        <v>2417.511</v>
      </c>
      <c r="H160" s="4">
        <v>1064.1030000000001</v>
      </c>
      <c r="I160" s="4">
        <f>VLOOKUP(A160,[1]PGReverse_all!$A$1:$FK$281,167,0)</f>
        <v>197.06</v>
      </c>
      <c r="J160" s="4">
        <f t="shared" si="21"/>
        <v>3123.9369999999999</v>
      </c>
      <c r="K160" s="7">
        <v>-269.03999999999996</v>
      </c>
      <c r="L160" t="s">
        <v>11</v>
      </c>
      <c r="M160" t="s">
        <v>9</v>
      </c>
      <c r="N160" s="26">
        <f>VLOOKUP(A160,[1]PGReconsile!$A$1:$E$642,5,0)</f>
        <v>45882.768750000003</v>
      </c>
    </row>
    <row r="161" spans="1:14" x14ac:dyDescent="0.3">
      <c r="A161">
        <v>8658705104</v>
      </c>
      <c r="B161">
        <v>2594</v>
      </c>
      <c r="C161" s="1">
        <v>550.96600000000001</v>
      </c>
      <c r="D161" s="1">
        <v>71.98</v>
      </c>
      <c r="E161" s="1">
        <v>289.51</v>
      </c>
      <c r="F161">
        <v>1957.1579999999999</v>
      </c>
      <c r="G161" s="1">
        <f t="shared" si="15"/>
        <v>1667.6479999999999</v>
      </c>
      <c r="H161" s="4">
        <v>636.8420000000001</v>
      </c>
      <c r="I161" s="4">
        <f>VLOOKUP(A161,[1]PGReverse_all!$A$1:$FK$281,167,0)</f>
        <v>197.06</v>
      </c>
      <c r="J161" s="4">
        <f t="shared" si="21"/>
        <v>2226.1979999999999</v>
      </c>
      <c r="K161" s="7">
        <v>-269.03999999999996</v>
      </c>
      <c r="L161" t="s">
        <v>11</v>
      </c>
      <c r="M161" t="s">
        <v>9</v>
      </c>
      <c r="N161" s="26">
        <f>VLOOKUP(A161,[1]PGReconsile!$A$1:$E$642,5,0)</f>
        <v>45910.459722222222</v>
      </c>
    </row>
    <row r="162" spans="1:14" x14ac:dyDescent="0.3">
      <c r="A162">
        <v>8612529781</v>
      </c>
      <c r="B162">
        <v>2044</v>
      </c>
      <c r="C162" s="1">
        <v>506.50299999999999</v>
      </c>
      <c r="D162" s="1">
        <v>71.98</v>
      </c>
      <c r="E162" s="1">
        <v>228.125</v>
      </c>
      <c r="F162">
        <v>1454.567</v>
      </c>
      <c r="G162" s="1">
        <f t="shared" si="15"/>
        <v>1226.442</v>
      </c>
      <c r="H162" s="4">
        <v>589.43299999999999</v>
      </c>
      <c r="I162" s="4">
        <f>VLOOKUP(A162,[1]PGReverse_all!$A$1:$FK$281,167,0)</f>
        <v>197.06</v>
      </c>
      <c r="J162" s="4">
        <f t="shared" si="21"/>
        <v>1723.607</v>
      </c>
      <c r="K162" s="7">
        <v>-269.03999999999996</v>
      </c>
      <c r="L162" t="s">
        <v>11</v>
      </c>
      <c r="M162" t="s">
        <v>9</v>
      </c>
      <c r="N162" s="26">
        <f>VLOOKUP(A162,[1]PGReconsile!$A$1:$E$642,5,0)</f>
        <v>45881.472222222219</v>
      </c>
    </row>
    <row r="163" spans="1:14" x14ac:dyDescent="0.3">
      <c r="A163">
        <v>8655960955</v>
      </c>
      <c r="B163">
        <v>2719</v>
      </c>
      <c r="C163" s="1">
        <v>705.85199999999998</v>
      </c>
      <c r="D163" s="1">
        <v>71.98</v>
      </c>
      <c r="E163" s="1">
        <v>303.45799999999997</v>
      </c>
      <c r="F163">
        <v>1926.6020000000001</v>
      </c>
      <c r="G163" s="1">
        <f t="shared" si="15"/>
        <v>1623.1440000000002</v>
      </c>
      <c r="H163" s="4">
        <v>792.39799999999991</v>
      </c>
      <c r="I163" s="4">
        <v>0</v>
      </c>
      <c r="J163" s="4" t="s">
        <v>25</v>
      </c>
      <c r="K163" s="8">
        <v>1926.6020000000001</v>
      </c>
      <c r="L163" t="s">
        <v>12</v>
      </c>
      <c r="M163" t="s">
        <v>9</v>
      </c>
      <c r="N163" s="26">
        <f>VLOOKUP(A163,[1]PGReconsile!$A$1:$E$642,5,0)</f>
        <v>45908.558333333334</v>
      </c>
    </row>
    <row r="164" spans="1:14" x14ac:dyDescent="0.3">
      <c r="A164">
        <v>8610375507</v>
      </c>
      <c r="B164">
        <v>2293.98</v>
      </c>
      <c r="C164" s="1">
        <v>730.86199999999997</v>
      </c>
      <c r="D164" s="1">
        <v>71.98</v>
      </c>
      <c r="E164" s="1">
        <v>256.03100000000001</v>
      </c>
      <c r="F164">
        <v>1478.8489999999999</v>
      </c>
      <c r="G164" s="1">
        <f t="shared" si="15"/>
        <v>1222.818</v>
      </c>
      <c r="H164" s="4">
        <v>815.13100000000009</v>
      </c>
      <c r="I164" s="4">
        <f>VLOOKUP(A164,[1]PGReverse_all!$A$1:$FK$281,167,0)</f>
        <v>197.06</v>
      </c>
      <c r="J164" s="4">
        <f>F164+D164+I164</f>
        <v>1747.8889999999999</v>
      </c>
      <c r="K164" s="7">
        <v>-269.03999999999996</v>
      </c>
      <c r="L164" t="s">
        <v>11</v>
      </c>
      <c r="M164" t="s">
        <v>9</v>
      </c>
      <c r="N164" s="26">
        <f>VLOOKUP(A164,[1]PGReconsile!$A$1:$E$642,5,0)</f>
        <v>45880.458333333336</v>
      </c>
    </row>
    <row r="165" spans="1:14" x14ac:dyDescent="0.3">
      <c r="A165">
        <v>8617656468</v>
      </c>
      <c r="B165">
        <v>2156</v>
      </c>
      <c r="C165" s="1">
        <v>457.93400000000003</v>
      </c>
      <c r="D165" s="1">
        <v>71.98</v>
      </c>
      <c r="E165" s="1">
        <v>240.625</v>
      </c>
      <c r="F165">
        <v>1614.5360000000001</v>
      </c>
      <c r="G165" s="1">
        <f t="shared" si="15"/>
        <v>1373.9110000000001</v>
      </c>
      <c r="H165" s="4">
        <v>541.46399999999994</v>
      </c>
      <c r="I165" s="4">
        <v>0</v>
      </c>
      <c r="J165" s="4" t="s">
        <v>25</v>
      </c>
      <c r="K165" s="8">
        <v>1614.5360000000001</v>
      </c>
      <c r="L165" t="s">
        <v>12</v>
      </c>
      <c r="M165" t="s">
        <v>9</v>
      </c>
      <c r="N165" s="26">
        <f>VLOOKUP(A165,[1]PGReconsile!$A$1:$E$642,5,0)</f>
        <v>45887.452777777777</v>
      </c>
    </row>
    <row r="166" spans="1:14" x14ac:dyDescent="0.3">
      <c r="A166">
        <v>8610108292</v>
      </c>
      <c r="B166">
        <v>1078.99</v>
      </c>
      <c r="C166" s="1">
        <v>267.37400000000002</v>
      </c>
      <c r="D166" s="1">
        <v>53.1</v>
      </c>
      <c r="E166" s="1">
        <v>120.426</v>
      </c>
      <c r="F166">
        <v>752.73699999999997</v>
      </c>
      <c r="G166" s="1">
        <f t="shared" si="15"/>
        <v>632.31099999999992</v>
      </c>
      <c r="H166" s="4">
        <v>326.25300000000004</v>
      </c>
      <c r="I166" s="4">
        <f>VLOOKUP(A166,[1]PGReverse_all!$A$1:$FK$281,167,0)</f>
        <v>197.06</v>
      </c>
      <c r="J166" s="4">
        <f t="shared" ref="J166:J167" si="22">F166+D166+I166</f>
        <v>1002.8969999999999</v>
      </c>
      <c r="K166" s="7">
        <v>-250.15999999999997</v>
      </c>
      <c r="L166" t="s">
        <v>11</v>
      </c>
      <c r="M166" t="s">
        <v>9</v>
      </c>
      <c r="N166" s="26">
        <f>VLOOKUP(A166,[1]PGReconsile!$A$1:$E$642,5,0)</f>
        <v>45880.458333333336</v>
      </c>
    </row>
    <row r="167" spans="1:14" x14ac:dyDescent="0.3">
      <c r="A167">
        <v>8625958524</v>
      </c>
      <c r="B167">
        <v>2944</v>
      </c>
      <c r="C167" s="1">
        <v>729.52300000000002</v>
      </c>
      <c r="D167" s="1">
        <v>71.98</v>
      </c>
      <c r="E167" s="1">
        <v>328.57299999999998</v>
      </c>
      <c r="F167">
        <v>2126.7249999999999</v>
      </c>
      <c r="G167" s="1">
        <f t="shared" si="15"/>
        <v>1798.152</v>
      </c>
      <c r="H167" s="4">
        <v>817.27500000000009</v>
      </c>
      <c r="I167" s="4">
        <f>VLOOKUP(A167,[1]PGReverse_all!$A$1:$FK$281,167,0)</f>
        <v>197.06</v>
      </c>
      <c r="J167" s="4">
        <f t="shared" si="22"/>
        <v>2395.7649999999999</v>
      </c>
      <c r="K167" s="7">
        <v>-269.03999999999996</v>
      </c>
      <c r="L167" t="s">
        <v>11</v>
      </c>
      <c r="M167" t="s">
        <v>9</v>
      </c>
      <c r="N167" s="26">
        <f>VLOOKUP(A167,[1]PGReconsile!$A$1:$E$642,5,0)</f>
        <v>45890.458333333336</v>
      </c>
    </row>
    <row r="168" spans="1:14" x14ac:dyDescent="0.3">
      <c r="A168">
        <v>8604969678</v>
      </c>
      <c r="B168">
        <v>3394</v>
      </c>
      <c r="C168" s="1">
        <v>841.03300000000002</v>
      </c>
      <c r="D168" s="1">
        <v>71.98</v>
      </c>
      <c r="E168" s="1">
        <v>378.79199999999997</v>
      </c>
      <c r="F168">
        <v>2462.8049999999998</v>
      </c>
      <c r="G168" s="1">
        <f t="shared" si="15"/>
        <v>2084.0129999999999</v>
      </c>
      <c r="H168" s="4">
        <v>931.19500000000016</v>
      </c>
      <c r="I168" s="4">
        <v>0</v>
      </c>
      <c r="J168" s="4" t="s">
        <v>25</v>
      </c>
      <c r="K168" s="8">
        <v>2462.8049999999998</v>
      </c>
      <c r="L168" t="s">
        <v>12</v>
      </c>
      <c r="M168" t="s">
        <v>9</v>
      </c>
      <c r="N168" s="26">
        <f>VLOOKUP(A168,[1]PGReconsile!$A$1:$E$642,5,0)</f>
        <v>45876.452777777777</v>
      </c>
    </row>
    <row r="169" spans="1:14" x14ac:dyDescent="0.3">
      <c r="A169">
        <v>8657839426</v>
      </c>
      <c r="B169">
        <v>1372</v>
      </c>
      <c r="C169" s="1">
        <v>356.17200000000003</v>
      </c>
      <c r="D169" s="1">
        <v>53.099999999999994</v>
      </c>
      <c r="E169" s="1">
        <v>153.125</v>
      </c>
      <c r="F169">
        <v>955.37800000000004</v>
      </c>
      <c r="G169" s="1">
        <f t="shared" si="15"/>
        <v>802.25300000000004</v>
      </c>
      <c r="H169" s="4">
        <v>416.62199999999996</v>
      </c>
      <c r="I169" s="4">
        <v>0</v>
      </c>
      <c r="J169" s="4" t="s">
        <v>25</v>
      </c>
      <c r="K169" s="8">
        <v>955.37800000000004</v>
      </c>
      <c r="L169" t="s">
        <v>12</v>
      </c>
      <c r="M169" t="s">
        <v>9</v>
      </c>
      <c r="N169" s="26">
        <f>VLOOKUP(A169,[1]PGReconsile!$A$1:$E$642,5,0)</f>
        <v>45910.459722222222</v>
      </c>
    </row>
    <row r="170" spans="1:14" x14ac:dyDescent="0.3">
      <c r="A170">
        <v>8647172312</v>
      </c>
      <c r="B170">
        <v>4594</v>
      </c>
      <c r="C170" s="1">
        <v>1301.021</v>
      </c>
      <c r="D170" s="1">
        <v>71.98</v>
      </c>
      <c r="E170" s="1">
        <v>512.71899999999994</v>
      </c>
      <c r="F170">
        <v>3196.3879999999999</v>
      </c>
      <c r="G170" s="1">
        <f t="shared" si="15"/>
        <v>2683.6689999999999</v>
      </c>
      <c r="H170" s="4">
        <v>1397.6120000000001</v>
      </c>
      <c r="I170" s="4">
        <f>VLOOKUP(A170,[1]PGReverse_all!$A$1:$FK$281,167,0)</f>
        <v>197.06</v>
      </c>
      <c r="J170" s="4">
        <f t="shared" ref="J170:J172" si="23">F170+D170+I170</f>
        <v>3465.4279999999999</v>
      </c>
      <c r="K170" s="7">
        <v>-269.03999999999996</v>
      </c>
      <c r="L170" t="s">
        <v>11</v>
      </c>
      <c r="M170" t="s">
        <v>9</v>
      </c>
      <c r="N170" s="26">
        <f>VLOOKUP(A170,[1]PGReconsile!$A$1:$E$642,5,0)</f>
        <v>45904.486805555556</v>
      </c>
    </row>
    <row r="171" spans="1:14" x14ac:dyDescent="0.3">
      <c r="A171">
        <v>8654866662</v>
      </c>
      <c r="B171">
        <v>3794</v>
      </c>
      <c r="C171" s="1">
        <v>940.15300000000002</v>
      </c>
      <c r="D171" s="1">
        <v>71.98</v>
      </c>
      <c r="E171" s="1">
        <v>423.43700000000001</v>
      </c>
      <c r="F171">
        <v>2761.5419999999999</v>
      </c>
      <c r="G171" s="1">
        <f t="shared" si="15"/>
        <v>2338.105</v>
      </c>
      <c r="H171" s="4">
        <v>1032.4580000000001</v>
      </c>
      <c r="I171" s="4">
        <f>VLOOKUP(A171,[1]PGReverse_all!$A$1:$FK$281,167,0)</f>
        <v>197.06</v>
      </c>
      <c r="J171" s="4">
        <f t="shared" si="23"/>
        <v>3030.5819999999999</v>
      </c>
      <c r="K171" s="7">
        <v>-269.03999999999996</v>
      </c>
      <c r="L171" t="s">
        <v>11</v>
      </c>
      <c r="M171" t="s">
        <v>9</v>
      </c>
      <c r="N171" s="26">
        <f>VLOOKUP(A171,[1]PGReconsile!$A$1:$E$642,5,0)</f>
        <v>45908.48333333333</v>
      </c>
    </row>
    <row r="172" spans="1:14" x14ac:dyDescent="0.3">
      <c r="A172">
        <v>8659781850</v>
      </c>
      <c r="B172">
        <v>2794</v>
      </c>
      <c r="C172" s="1">
        <v>692.35299999999995</v>
      </c>
      <c r="D172" s="1">
        <v>71.98</v>
      </c>
      <c r="E172" s="1">
        <v>311.83300000000003</v>
      </c>
      <c r="F172">
        <v>2014.6990000000001</v>
      </c>
      <c r="G172" s="1">
        <f t="shared" si="15"/>
        <v>1702.866</v>
      </c>
      <c r="H172" s="4">
        <v>779.30099999999993</v>
      </c>
      <c r="I172" s="4">
        <f>VLOOKUP(A172,[1]PGReverse_all!$A$1:$FK$281,167,0)</f>
        <v>132.16</v>
      </c>
      <c r="J172" s="4">
        <f t="shared" si="23"/>
        <v>2218.8389999999999</v>
      </c>
      <c r="K172" s="7">
        <v>-204.13999999999987</v>
      </c>
      <c r="L172" t="s">
        <v>11</v>
      </c>
      <c r="M172" t="s">
        <v>9</v>
      </c>
      <c r="N172" s="26">
        <f>VLOOKUP(A172,[1]PGReconsile!$A$1:$E$642,5,0)</f>
        <v>45911.459027777775</v>
      </c>
    </row>
    <row r="173" spans="1:14" x14ac:dyDescent="0.3">
      <c r="A173">
        <v>8624085547</v>
      </c>
      <c r="B173">
        <v>2324</v>
      </c>
      <c r="C173" s="1">
        <v>575.88699999999994</v>
      </c>
      <c r="D173" s="1">
        <v>71.98</v>
      </c>
      <c r="E173" s="1">
        <v>259.375</v>
      </c>
      <c r="F173">
        <v>1663.683</v>
      </c>
      <c r="G173" s="1">
        <f t="shared" si="15"/>
        <v>1404.308</v>
      </c>
      <c r="H173" s="4">
        <v>660.31700000000001</v>
      </c>
      <c r="I173" s="4">
        <v>0</v>
      </c>
      <c r="J173" s="4" t="s">
        <v>25</v>
      </c>
      <c r="K173" s="8">
        <v>1663.683</v>
      </c>
      <c r="L173" t="s">
        <v>12</v>
      </c>
      <c r="M173" t="s">
        <v>9</v>
      </c>
      <c r="N173" s="26">
        <f>VLOOKUP(A173,[1]PGReconsile!$A$1:$E$642,5,0)</f>
        <v>45889.459027777775</v>
      </c>
    </row>
    <row r="174" spans="1:14" x14ac:dyDescent="0.3">
      <c r="A174">
        <v>8603426729</v>
      </c>
      <c r="B174">
        <v>1204</v>
      </c>
      <c r="C174" s="1">
        <v>312.55799999999999</v>
      </c>
      <c r="D174" s="1">
        <v>53.1</v>
      </c>
      <c r="E174" s="1">
        <v>134.375</v>
      </c>
      <c r="F174">
        <v>831.89200000000005</v>
      </c>
      <c r="G174" s="1">
        <f t="shared" si="15"/>
        <v>697.51700000000005</v>
      </c>
      <c r="H174" s="4">
        <v>372.10799999999995</v>
      </c>
      <c r="I174" s="4">
        <f>VLOOKUP(A174,[1]PGReverse_all!$A$1:$FK$281,167,0)</f>
        <v>197.06</v>
      </c>
      <c r="J174" s="4">
        <f>F174+D174+I174</f>
        <v>1082.0520000000001</v>
      </c>
      <c r="K174" s="7">
        <v>-250.16000000000008</v>
      </c>
      <c r="L174" t="s">
        <v>11</v>
      </c>
      <c r="M174" t="s">
        <v>9</v>
      </c>
      <c r="N174" s="26">
        <f>VLOOKUP(A174,[1]PGReconsile!$A$1:$E$642,5,0)</f>
        <v>45875.537499999999</v>
      </c>
    </row>
    <row r="175" spans="1:14" x14ac:dyDescent="0.3">
      <c r="A175">
        <v>8616286171</v>
      </c>
      <c r="B175">
        <v>3394</v>
      </c>
      <c r="C175" s="1">
        <v>841.03300000000002</v>
      </c>
      <c r="D175" s="1">
        <v>71.98</v>
      </c>
      <c r="E175" s="1">
        <v>378.79199999999997</v>
      </c>
      <c r="F175">
        <v>2462.8049999999998</v>
      </c>
      <c r="G175" s="1">
        <f t="shared" si="15"/>
        <v>2084.0129999999999</v>
      </c>
      <c r="H175" s="4">
        <v>931.19500000000016</v>
      </c>
      <c r="I175" s="4">
        <v>0</v>
      </c>
      <c r="J175" s="4" t="s">
        <v>25</v>
      </c>
      <c r="K175" s="8">
        <v>2462.8049999999998</v>
      </c>
      <c r="L175" t="s">
        <v>12</v>
      </c>
      <c r="M175" t="s">
        <v>9</v>
      </c>
      <c r="N175" s="26">
        <f>VLOOKUP(A175,[1]PGReconsile!$A$1:$E$642,5,0)</f>
        <v>45883.446527777778</v>
      </c>
    </row>
    <row r="176" spans="1:14" x14ac:dyDescent="0.3">
      <c r="A176">
        <v>8625147027</v>
      </c>
      <c r="B176">
        <v>2629</v>
      </c>
      <c r="C176" s="1">
        <v>651.46600000000001</v>
      </c>
      <c r="D176" s="1">
        <v>71.98</v>
      </c>
      <c r="E176" s="1">
        <v>293.41700000000003</v>
      </c>
      <c r="F176">
        <v>1891.47</v>
      </c>
      <c r="G176" s="1">
        <f t="shared" si="15"/>
        <v>1598.0529999999999</v>
      </c>
      <c r="H176" s="4">
        <v>737.53</v>
      </c>
      <c r="I176" s="4">
        <v>0</v>
      </c>
      <c r="J176" s="4" t="s">
        <v>25</v>
      </c>
      <c r="K176" s="8">
        <v>1891.47</v>
      </c>
      <c r="L176" t="s">
        <v>12</v>
      </c>
      <c r="M176" t="s">
        <v>9</v>
      </c>
      <c r="N176" s="26">
        <f>VLOOKUP(A176,[1]PGReconsile!$A$1:$E$642,5,0)</f>
        <v>45889.790277777778</v>
      </c>
    </row>
    <row r="177" spans="1:14" x14ac:dyDescent="0.3">
      <c r="A177">
        <v>8628691316</v>
      </c>
      <c r="B177">
        <v>150</v>
      </c>
      <c r="C177" s="1">
        <v>17.7</v>
      </c>
      <c r="D177" s="1">
        <v>31.86</v>
      </c>
      <c r="E177" s="1">
        <v>7.8539999999999992</v>
      </c>
      <c r="F177">
        <v>99.582999999999998</v>
      </c>
      <c r="G177" s="1">
        <f t="shared" si="15"/>
        <v>91.728999999999999</v>
      </c>
      <c r="H177" s="4">
        <v>50.417000000000002</v>
      </c>
      <c r="I177" s="4">
        <f>VLOOKUP(A177,[1]PGReverse_all!$A$1:$FK$281,167,0)</f>
        <v>132.16</v>
      </c>
      <c r="J177" s="4">
        <f t="shared" ref="J177:J178" si="24">F177+D177+I177</f>
        <v>263.60299999999995</v>
      </c>
      <c r="K177" s="7">
        <v>-164.01999999999995</v>
      </c>
      <c r="L177" t="s">
        <v>11</v>
      </c>
      <c r="M177" t="s">
        <v>9</v>
      </c>
      <c r="N177" s="26">
        <f>VLOOKUP(A177,[1]PGReconsile!$A$1:$E$642,5,0)</f>
        <v>45891.789583333331</v>
      </c>
    </row>
    <row r="178" spans="1:14" x14ac:dyDescent="0.3">
      <c r="A178">
        <v>8659785912</v>
      </c>
      <c r="B178">
        <v>3594</v>
      </c>
      <c r="C178" s="1">
        <v>890.59299999999996</v>
      </c>
      <c r="D178" s="1">
        <v>71.98</v>
      </c>
      <c r="E178" s="1">
        <v>401.11500000000001</v>
      </c>
      <c r="F178">
        <v>2612.1729999999998</v>
      </c>
      <c r="G178" s="1">
        <f t="shared" si="15"/>
        <v>2211.058</v>
      </c>
      <c r="H178" s="4">
        <v>981.82700000000023</v>
      </c>
      <c r="I178" s="4">
        <f>VLOOKUP(A178,[1]PGReverse_all!$A$1:$FK$281,167,0)</f>
        <v>197.06</v>
      </c>
      <c r="J178" s="4">
        <f t="shared" si="24"/>
        <v>2881.2129999999997</v>
      </c>
      <c r="K178" s="7">
        <v>-269.03999999999996</v>
      </c>
      <c r="L178" t="s">
        <v>11</v>
      </c>
      <c r="M178" t="s">
        <v>9</v>
      </c>
      <c r="N178" s="26">
        <f>VLOOKUP(A178,[1]PGReconsile!$A$1:$E$642,5,0)</f>
        <v>45911.459027777775</v>
      </c>
    </row>
    <row r="179" spans="1:14" x14ac:dyDescent="0.3">
      <c r="A179">
        <v>8630548620</v>
      </c>
      <c r="B179">
        <v>2944</v>
      </c>
      <c r="C179" s="1">
        <v>729.52300000000002</v>
      </c>
      <c r="D179" s="1">
        <v>71.98</v>
      </c>
      <c r="E179" s="1">
        <v>328.57299999999998</v>
      </c>
      <c r="F179">
        <v>2126.7249999999999</v>
      </c>
      <c r="G179" s="1">
        <f t="shared" si="15"/>
        <v>1798.152</v>
      </c>
      <c r="H179" s="4">
        <v>817.27500000000009</v>
      </c>
      <c r="I179" s="4">
        <v>0</v>
      </c>
      <c r="J179" s="4" t="s">
        <v>25</v>
      </c>
      <c r="K179" s="8">
        <v>2126.7249999999999</v>
      </c>
      <c r="L179" t="s">
        <v>12</v>
      </c>
      <c r="M179" t="s">
        <v>9</v>
      </c>
      <c r="N179" s="26">
        <f>VLOOKUP(A179,[1]PGReconsile!$A$1:$E$642,5,0)</f>
        <v>45894.452777777777</v>
      </c>
    </row>
    <row r="180" spans="1:14" x14ac:dyDescent="0.3">
      <c r="A180">
        <v>8642027320</v>
      </c>
      <c r="B180">
        <v>2768.99</v>
      </c>
      <c r="C180" s="1">
        <v>588.13300000000004</v>
      </c>
      <c r="D180" s="1">
        <v>71.98</v>
      </c>
      <c r="E180" s="1">
        <v>309.04200000000003</v>
      </c>
      <c r="F180">
        <v>2094.0430000000001</v>
      </c>
      <c r="G180" s="1">
        <f t="shared" si="15"/>
        <v>1785.0010000000002</v>
      </c>
      <c r="H180" s="4">
        <v>674.94699999999966</v>
      </c>
      <c r="I180" s="4">
        <v>0</v>
      </c>
      <c r="J180" s="4" t="s">
        <v>25</v>
      </c>
      <c r="K180" s="8">
        <v>2094.0430000000001</v>
      </c>
      <c r="L180" t="s">
        <v>12</v>
      </c>
      <c r="M180" t="s">
        <v>9</v>
      </c>
      <c r="N180" s="26">
        <f>VLOOKUP(A180,[1]PGReconsile!$A$1:$E$642,5,0)</f>
        <v>45901.495833333334</v>
      </c>
    </row>
    <row r="181" spans="1:14" x14ac:dyDescent="0.3">
      <c r="A181">
        <v>8634985043</v>
      </c>
      <c r="B181">
        <v>2629</v>
      </c>
      <c r="C181" s="1">
        <v>651.46600000000001</v>
      </c>
      <c r="D181" s="1">
        <v>71.98</v>
      </c>
      <c r="E181" s="1">
        <v>293.41700000000003</v>
      </c>
      <c r="F181">
        <v>1891.47</v>
      </c>
      <c r="G181" s="1">
        <f t="shared" si="15"/>
        <v>1598.0529999999999</v>
      </c>
      <c r="H181" s="4">
        <v>737.53</v>
      </c>
      <c r="I181" s="4">
        <v>0</v>
      </c>
      <c r="J181" s="4" t="s">
        <v>25</v>
      </c>
      <c r="K181" s="8">
        <v>1891.47</v>
      </c>
      <c r="L181" t="s">
        <v>12</v>
      </c>
      <c r="M181" t="s">
        <v>9</v>
      </c>
      <c r="N181" s="26">
        <f>VLOOKUP(A181,[1]PGReconsile!$A$1:$E$642,5,0)</f>
        <v>45897.440972222219</v>
      </c>
    </row>
    <row r="182" spans="1:14" x14ac:dyDescent="0.3">
      <c r="A182">
        <v>8627160408</v>
      </c>
      <c r="B182">
        <v>2244</v>
      </c>
      <c r="C182" s="1">
        <v>476.62599999999998</v>
      </c>
      <c r="D182" s="1">
        <v>71.98</v>
      </c>
      <c r="E182" s="1">
        <v>250.44800000000001</v>
      </c>
      <c r="F182">
        <v>1683.3720000000001</v>
      </c>
      <c r="G182" s="1">
        <f t="shared" si="15"/>
        <v>1432.924</v>
      </c>
      <c r="H182" s="4">
        <v>560.62799999999993</v>
      </c>
      <c r="I182" s="4">
        <v>0</v>
      </c>
      <c r="J182" s="4" t="s">
        <v>25</v>
      </c>
      <c r="K182" s="8">
        <v>1683.3720000000001</v>
      </c>
      <c r="L182" t="s">
        <v>12</v>
      </c>
      <c r="M182" t="s">
        <v>9</v>
      </c>
      <c r="N182" s="26">
        <f>VLOOKUP(A182,[1]PGReconsile!$A$1:$E$642,5,0)</f>
        <v>45891.470833333333</v>
      </c>
    </row>
    <row r="183" spans="1:14" x14ac:dyDescent="0.3">
      <c r="A183">
        <v>8643430475</v>
      </c>
      <c r="B183">
        <v>1629</v>
      </c>
      <c r="C183" s="1">
        <v>422.88799999999998</v>
      </c>
      <c r="D183" s="1">
        <v>53.1</v>
      </c>
      <c r="E183" s="1">
        <v>181.81199999999998</v>
      </c>
      <c r="F183">
        <v>1144.2860000000001</v>
      </c>
      <c r="G183" s="1">
        <f t="shared" si="15"/>
        <v>962.47400000000005</v>
      </c>
      <c r="H183" s="4">
        <v>484.71399999999994</v>
      </c>
      <c r="I183" s="4">
        <f>VLOOKUP(A183,[1]PGReverse_all!$A$1:$FK$281,167,0)</f>
        <v>107.38</v>
      </c>
      <c r="J183" s="4">
        <f t="shared" ref="J183:J184" si="25">F183+D183+I183</f>
        <v>1304.7660000000001</v>
      </c>
      <c r="K183" s="7">
        <v>-160.48000000000002</v>
      </c>
      <c r="L183" t="s">
        <v>11</v>
      </c>
      <c r="M183" t="s">
        <v>9</v>
      </c>
      <c r="N183" s="26">
        <f>VLOOKUP(A183,[1]PGReconsile!$A$1:$E$642,5,0)</f>
        <v>45902.448611111111</v>
      </c>
    </row>
    <row r="184" spans="1:14" x14ac:dyDescent="0.3">
      <c r="A184">
        <v>8650798775</v>
      </c>
      <c r="B184">
        <v>2719</v>
      </c>
      <c r="C184" s="1">
        <v>705.85199999999998</v>
      </c>
      <c r="D184" s="1">
        <v>71.98</v>
      </c>
      <c r="E184" s="1">
        <v>303.45799999999997</v>
      </c>
      <c r="F184">
        <v>1926.6020000000001</v>
      </c>
      <c r="G184" s="1">
        <f t="shared" si="15"/>
        <v>1623.1440000000002</v>
      </c>
      <c r="H184" s="4">
        <v>792.39799999999991</v>
      </c>
      <c r="I184" s="4">
        <f>VLOOKUP(A184,[1]PGReverse_all!$A$1:$FK$281,167,0)</f>
        <v>197.06</v>
      </c>
      <c r="J184" s="4">
        <f t="shared" si="25"/>
        <v>2195.6420000000003</v>
      </c>
      <c r="K184" s="7">
        <v>-269.04000000000019</v>
      </c>
      <c r="L184" t="s">
        <v>11</v>
      </c>
      <c r="M184" t="s">
        <v>9</v>
      </c>
      <c r="N184" s="26">
        <f>VLOOKUP(A184,[1]PGReconsile!$A$1:$E$642,5,0)</f>
        <v>45906.475694444445</v>
      </c>
    </row>
    <row r="185" spans="1:14" x14ac:dyDescent="0.3">
      <c r="A185">
        <v>8657535433</v>
      </c>
      <c r="B185">
        <v>2994</v>
      </c>
      <c r="C185" s="1">
        <v>777.24199999999996</v>
      </c>
      <c r="D185" s="1">
        <v>71.98</v>
      </c>
      <c r="E185" s="1">
        <v>334.14599999999996</v>
      </c>
      <c r="F185">
        <v>2128.739</v>
      </c>
      <c r="G185" s="1">
        <f t="shared" si="15"/>
        <v>1794.5930000000001</v>
      </c>
      <c r="H185" s="4">
        <v>865.26099999999997</v>
      </c>
      <c r="I185" s="4">
        <v>0</v>
      </c>
      <c r="J185" s="4" t="s">
        <v>25</v>
      </c>
      <c r="K185" s="8">
        <v>2128.739</v>
      </c>
      <c r="L185" t="s">
        <v>12</v>
      </c>
      <c r="M185" t="s">
        <v>9</v>
      </c>
      <c r="N185" s="26">
        <f>VLOOKUP(A185,[1]PGReconsile!$A$1:$E$642,5,0)</f>
        <v>45909.791666666664</v>
      </c>
    </row>
    <row r="186" spans="1:14" x14ac:dyDescent="0.3">
      <c r="A186">
        <v>8625537944</v>
      </c>
      <c r="B186">
        <v>1179</v>
      </c>
      <c r="C186" s="1">
        <v>306.06799999999998</v>
      </c>
      <c r="D186" s="1">
        <v>53.1</v>
      </c>
      <c r="E186" s="1">
        <v>131.583</v>
      </c>
      <c r="F186">
        <v>813.51599999999996</v>
      </c>
      <c r="G186" s="1">
        <f t="shared" si="15"/>
        <v>681.93299999999999</v>
      </c>
      <c r="H186" s="4">
        <v>365.48400000000004</v>
      </c>
      <c r="I186" s="4">
        <v>0</v>
      </c>
      <c r="J186" s="4" t="s">
        <v>25</v>
      </c>
      <c r="K186" s="8">
        <v>813.51599999999996</v>
      </c>
      <c r="L186" t="s">
        <v>12</v>
      </c>
      <c r="M186" t="s">
        <v>9</v>
      </c>
      <c r="N186" s="26">
        <f>VLOOKUP(A186,[1]PGReconsile!$A$1:$E$642,5,0)</f>
        <v>45890.458333333336</v>
      </c>
    </row>
    <row r="187" spans="1:14" x14ac:dyDescent="0.3">
      <c r="A187">
        <v>8631473616</v>
      </c>
      <c r="B187">
        <v>2606</v>
      </c>
      <c r="C187" s="1">
        <v>553.51400000000001</v>
      </c>
      <c r="D187" s="1">
        <v>71.98</v>
      </c>
      <c r="E187" s="1">
        <v>290.84399999999999</v>
      </c>
      <c r="F187">
        <v>1966.5450000000001</v>
      </c>
      <c r="G187" s="1">
        <f t="shared" si="15"/>
        <v>1675.701</v>
      </c>
      <c r="H187" s="4">
        <v>639.45499999999993</v>
      </c>
      <c r="I187" s="4">
        <f>VLOOKUP(A187,[1]PGReverse_all!$A$1:$FK$281,167,0)</f>
        <v>132.16</v>
      </c>
      <c r="J187" s="4">
        <f t="shared" ref="J187:J188" si="26">F187+D187+I187</f>
        <v>2170.6849999999999</v>
      </c>
      <c r="K187" s="7">
        <v>-204.13999999999987</v>
      </c>
      <c r="L187" t="s">
        <v>11</v>
      </c>
      <c r="M187" t="s">
        <v>9</v>
      </c>
      <c r="N187" s="26">
        <f>VLOOKUP(A187,[1]PGReconsile!$A$1:$E$642,5,0)</f>
        <v>45894.452777777777</v>
      </c>
    </row>
    <row r="188" spans="1:14" x14ac:dyDescent="0.3">
      <c r="A188">
        <v>8637117652</v>
      </c>
      <c r="B188">
        <v>4579</v>
      </c>
      <c r="C188" s="1">
        <v>1134.6759999999999</v>
      </c>
      <c r="D188" s="1">
        <v>71.98</v>
      </c>
      <c r="E188" s="1">
        <v>511.05200000000002</v>
      </c>
      <c r="F188">
        <v>3347.8139999999999</v>
      </c>
      <c r="G188" s="1">
        <f t="shared" si="15"/>
        <v>2836.7619999999997</v>
      </c>
      <c r="H188" s="4">
        <v>1231.1860000000001</v>
      </c>
      <c r="I188" s="4">
        <f>VLOOKUP(A188,[1]PGReverse_all!$A$1:$FK$281,167,0)</f>
        <v>197.06</v>
      </c>
      <c r="J188" s="4">
        <f t="shared" si="26"/>
        <v>3616.8539999999998</v>
      </c>
      <c r="K188" s="7">
        <v>-269.03999999999996</v>
      </c>
      <c r="L188" t="s">
        <v>11</v>
      </c>
      <c r="M188" t="s">
        <v>9</v>
      </c>
      <c r="N188" s="26">
        <f>VLOOKUP(A188,[1]PGReconsile!$A$1:$E$642,5,0)</f>
        <v>45898.445138888892</v>
      </c>
    </row>
    <row r="189" spans="1:14" x14ac:dyDescent="0.3">
      <c r="A189">
        <v>8623193877</v>
      </c>
      <c r="B189">
        <v>2244</v>
      </c>
      <c r="C189" s="1">
        <v>476.62599999999998</v>
      </c>
      <c r="D189" s="1">
        <v>71.98</v>
      </c>
      <c r="E189" s="1">
        <v>250.44800000000001</v>
      </c>
      <c r="F189">
        <v>1683.3720000000001</v>
      </c>
      <c r="G189" s="1">
        <f t="shared" si="15"/>
        <v>1432.924</v>
      </c>
      <c r="H189" s="4">
        <v>560.62799999999993</v>
      </c>
      <c r="I189" s="4">
        <v>0</v>
      </c>
      <c r="J189" s="4" t="s">
        <v>25</v>
      </c>
      <c r="K189" s="8">
        <v>1683.3720000000001</v>
      </c>
      <c r="L189" t="s">
        <v>12</v>
      </c>
      <c r="M189" t="s">
        <v>9</v>
      </c>
      <c r="N189" s="26">
        <f>VLOOKUP(A189,[1]PGReconsile!$A$1:$E$642,5,0)</f>
        <v>45888.475694444445</v>
      </c>
    </row>
    <row r="190" spans="1:14" x14ac:dyDescent="0.3">
      <c r="A190">
        <v>8629976627</v>
      </c>
      <c r="B190">
        <v>2629</v>
      </c>
      <c r="C190" s="1">
        <v>651.46600000000001</v>
      </c>
      <c r="D190" s="1">
        <v>71.98</v>
      </c>
      <c r="E190" s="1">
        <v>293.41700000000003</v>
      </c>
      <c r="F190">
        <v>1891.47</v>
      </c>
      <c r="G190" s="1">
        <f t="shared" si="15"/>
        <v>1598.0529999999999</v>
      </c>
      <c r="H190" s="4">
        <v>737.53</v>
      </c>
      <c r="I190" s="4">
        <v>0</v>
      </c>
      <c r="J190" s="4" t="s">
        <v>25</v>
      </c>
      <c r="K190" s="8">
        <v>1891.47</v>
      </c>
      <c r="L190" t="s">
        <v>12</v>
      </c>
      <c r="M190" t="s">
        <v>9</v>
      </c>
      <c r="N190" s="26">
        <f>VLOOKUP(A190,[1]PGReconsile!$A$1:$E$642,5,0)</f>
        <v>45892.679861111108</v>
      </c>
    </row>
    <row r="191" spans="1:14" x14ac:dyDescent="0.3">
      <c r="A191">
        <v>8614858315</v>
      </c>
      <c r="B191">
        <v>2419</v>
      </c>
      <c r="C191" s="1">
        <v>513.79600000000005</v>
      </c>
      <c r="D191" s="1">
        <v>71.98</v>
      </c>
      <c r="E191" s="1">
        <v>269.97899999999998</v>
      </c>
      <c r="F191">
        <v>1820.2650000000001</v>
      </c>
      <c r="G191" s="1">
        <f t="shared" si="15"/>
        <v>1550.2860000000001</v>
      </c>
      <c r="H191" s="4">
        <v>598.7349999999999</v>
      </c>
      <c r="I191" s="4">
        <v>0</v>
      </c>
      <c r="J191" s="4" t="s">
        <v>25</v>
      </c>
      <c r="K191" s="8">
        <v>1820.2650000000001</v>
      </c>
      <c r="L191" t="s">
        <v>12</v>
      </c>
      <c r="M191" t="s">
        <v>9</v>
      </c>
      <c r="N191" s="26">
        <f>VLOOKUP(A191,[1]PGReconsile!$A$1:$E$642,5,0)</f>
        <v>45882.456250000003</v>
      </c>
    </row>
    <row r="192" spans="1:14" x14ac:dyDescent="0.3">
      <c r="A192">
        <v>8634524687</v>
      </c>
      <c r="B192">
        <v>2926</v>
      </c>
      <c r="C192" s="1">
        <v>621.48199999999997</v>
      </c>
      <c r="D192" s="1">
        <v>71.98</v>
      </c>
      <c r="E192" s="1">
        <v>326.56200000000001</v>
      </c>
      <c r="F192">
        <v>2216.864</v>
      </c>
      <c r="G192" s="1">
        <f t="shared" si="15"/>
        <v>1890.3020000000001</v>
      </c>
      <c r="H192" s="4">
        <v>709.13599999999997</v>
      </c>
      <c r="I192" s="4">
        <v>0</v>
      </c>
      <c r="J192" s="4" t="s">
        <v>25</v>
      </c>
      <c r="K192" s="8">
        <v>2216.864</v>
      </c>
      <c r="L192" t="s">
        <v>12</v>
      </c>
      <c r="M192" t="s">
        <v>9</v>
      </c>
      <c r="N192" s="26">
        <f>VLOOKUP(A192,[1]PGReconsile!$A$1:$E$642,5,0)</f>
        <v>45897.440972222219</v>
      </c>
    </row>
    <row r="193" spans="1:14" x14ac:dyDescent="0.3">
      <c r="A193">
        <v>8636814714</v>
      </c>
      <c r="B193">
        <v>3544</v>
      </c>
      <c r="C193" s="1">
        <v>920.02200000000005</v>
      </c>
      <c r="D193" s="1">
        <v>71.98</v>
      </c>
      <c r="E193" s="1">
        <v>395.53100000000001</v>
      </c>
      <c r="F193">
        <v>2533.0129999999999</v>
      </c>
      <c r="G193" s="1">
        <f t="shared" si="15"/>
        <v>2137.482</v>
      </c>
      <c r="H193" s="4">
        <v>1010.9870000000001</v>
      </c>
      <c r="I193" s="4">
        <f>VLOOKUP(A193,[1]PGReverse_all!$A$1:$FK$281,167,0)</f>
        <v>197.06</v>
      </c>
      <c r="J193" s="4">
        <f>F193+D193+I193</f>
        <v>2802.0529999999999</v>
      </c>
      <c r="K193" s="7">
        <v>-269.03999999999996</v>
      </c>
      <c r="L193" t="s">
        <v>11</v>
      </c>
      <c r="M193" t="s">
        <v>9</v>
      </c>
      <c r="N193" s="26">
        <f>VLOOKUP(A193,[1]PGReconsile!$A$1:$E$642,5,0)</f>
        <v>45898.445138888892</v>
      </c>
    </row>
    <row r="194" spans="1:14" x14ac:dyDescent="0.3">
      <c r="A194">
        <v>8629162385</v>
      </c>
      <c r="B194">
        <v>2821</v>
      </c>
      <c r="C194" s="1">
        <v>699.04399999999998</v>
      </c>
      <c r="D194" s="1">
        <v>71.98</v>
      </c>
      <c r="E194" s="1">
        <v>314.84399999999999</v>
      </c>
      <c r="F194">
        <v>2034.8630000000001</v>
      </c>
      <c r="G194" s="1">
        <f t="shared" si="15"/>
        <v>1720.019</v>
      </c>
      <c r="H194" s="4">
        <v>786.13699999999994</v>
      </c>
      <c r="I194" s="4">
        <v>0</v>
      </c>
      <c r="J194" s="4" t="s">
        <v>25</v>
      </c>
      <c r="K194" s="8">
        <v>2034.8630000000001</v>
      </c>
      <c r="L194" t="s">
        <v>12</v>
      </c>
      <c r="M194" t="s">
        <v>9</v>
      </c>
      <c r="N194" s="26">
        <f>VLOOKUP(A194,[1]PGReconsile!$A$1:$E$642,5,0)</f>
        <v>45892.432638888888</v>
      </c>
    </row>
    <row r="195" spans="1:14" x14ac:dyDescent="0.3">
      <c r="A195">
        <v>8661193481</v>
      </c>
      <c r="B195">
        <v>1079</v>
      </c>
      <c r="C195" s="1">
        <v>267.37599999999998</v>
      </c>
      <c r="D195" s="1">
        <v>53.1</v>
      </c>
      <c r="E195" s="1">
        <v>120.417</v>
      </c>
      <c r="F195">
        <v>752.74400000000003</v>
      </c>
      <c r="G195" s="1">
        <f t="shared" ref="G195:G258" si="27">F195-E195</f>
        <v>632.327</v>
      </c>
      <c r="H195" s="4">
        <v>326.25599999999997</v>
      </c>
      <c r="I195" s="4">
        <f>VLOOKUP(A195,[1]PGReverse_all!$A$1:$FK$281,167,0)</f>
        <v>107.38</v>
      </c>
      <c r="J195" s="4">
        <f t="shared" ref="J195:J196" si="28">F195+D195+I195</f>
        <v>913.22400000000005</v>
      </c>
      <c r="K195" s="7">
        <v>-160.48000000000002</v>
      </c>
      <c r="L195" t="s">
        <v>11</v>
      </c>
      <c r="M195" t="s">
        <v>9</v>
      </c>
      <c r="N195" s="26">
        <f>VLOOKUP(A195,[1]PGReconsile!$A$1:$E$642,5,0)</f>
        <v>45911.783333333333</v>
      </c>
    </row>
    <row r="196" spans="1:14" x14ac:dyDescent="0.3">
      <c r="A196">
        <v>8652565766</v>
      </c>
      <c r="B196">
        <v>1794</v>
      </c>
      <c r="C196" s="1">
        <v>486.892</v>
      </c>
      <c r="D196" s="1">
        <v>53.1</v>
      </c>
      <c r="E196" s="1">
        <v>200.22899999999998</v>
      </c>
      <c r="F196">
        <v>1244.3969999999999</v>
      </c>
      <c r="G196" s="1">
        <f t="shared" si="27"/>
        <v>1044.1679999999999</v>
      </c>
      <c r="H196" s="4">
        <v>549.60300000000007</v>
      </c>
      <c r="I196" s="4">
        <f>VLOOKUP(A196,[1]PGReverse_all!$A$1:$FK$281,167,0)</f>
        <v>107.38</v>
      </c>
      <c r="J196" s="4">
        <f t="shared" si="28"/>
        <v>1404.877</v>
      </c>
      <c r="K196" s="7">
        <v>-160.48000000000002</v>
      </c>
      <c r="L196" t="s">
        <v>11</v>
      </c>
      <c r="M196" t="s">
        <v>9</v>
      </c>
      <c r="N196" s="26">
        <f>VLOOKUP(A196,[1]PGReconsile!$A$1:$E$642,5,0)</f>
        <v>45906.671527777777</v>
      </c>
    </row>
    <row r="197" spans="1:14" x14ac:dyDescent="0.3">
      <c r="A197">
        <v>8624024901</v>
      </c>
      <c r="B197">
        <v>2944</v>
      </c>
      <c r="C197" s="1">
        <v>903.21900000000005</v>
      </c>
      <c r="D197" s="1">
        <v>71.98</v>
      </c>
      <c r="E197" s="1">
        <v>328.57299999999998</v>
      </c>
      <c r="F197">
        <v>1953.029</v>
      </c>
      <c r="G197" s="1">
        <f t="shared" si="27"/>
        <v>1624.4560000000001</v>
      </c>
      <c r="H197" s="4">
        <v>990.971</v>
      </c>
      <c r="I197" s="4">
        <v>0</v>
      </c>
      <c r="J197" s="4" t="s">
        <v>25</v>
      </c>
      <c r="K197" s="8">
        <v>1953.029</v>
      </c>
      <c r="L197" t="s">
        <v>12</v>
      </c>
      <c r="M197" t="s">
        <v>9</v>
      </c>
      <c r="N197" s="26">
        <f>VLOOKUP(A197,[1]PGReconsile!$A$1:$E$642,5,0)</f>
        <v>45889.441666666666</v>
      </c>
    </row>
    <row r="198" spans="1:14" x14ac:dyDescent="0.3">
      <c r="A198">
        <v>8616771948</v>
      </c>
      <c r="B198">
        <v>3169</v>
      </c>
      <c r="C198" s="1">
        <v>785.279</v>
      </c>
      <c r="D198" s="1">
        <v>71.97999999999999</v>
      </c>
      <c r="E198" s="1">
        <v>353.68700000000001</v>
      </c>
      <c r="F198">
        <v>2294.7640000000001</v>
      </c>
      <c r="G198" s="1">
        <f t="shared" si="27"/>
        <v>1941.0770000000002</v>
      </c>
      <c r="H198" s="4">
        <v>874.23599999999988</v>
      </c>
      <c r="I198" s="4">
        <f>VLOOKUP(A198,[1]PGReverse_all!$A$1:$FK$281,167,0)</f>
        <v>197.06</v>
      </c>
      <c r="J198" s="4">
        <f>F198+D198+I198</f>
        <v>2563.8040000000001</v>
      </c>
      <c r="K198" s="7">
        <v>-269.03999999999996</v>
      </c>
      <c r="L198" t="s">
        <v>11</v>
      </c>
      <c r="M198" t="s">
        <v>9</v>
      </c>
      <c r="N198" s="26">
        <f>VLOOKUP(A198,[1]PGReconsile!$A$1:$E$642,5,0)</f>
        <v>45883.796527777777</v>
      </c>
    </row>
    <row r="199" spans="1:14" x14ac:dyDescent="0.3">
      <c r="A199">
        <v>8636224352</v>
      </c>
      <c r="B199">
        <v>1179</v>
      </c>
      <c r="C199" s="1">
        <v>306.06799999999998</v>
      </c>
      <c r="D199" s="1">
        <v>53.1</v>
      </c>
      <c r="E199" s="1">
        <v>131.583</v>
      </c>
      <c r="F199">
        <v>813.51599999999996</v>
      </c>
      <c r="G199" s="1">
        <f t="shared" si="27"/>
        <v>681.93299999999999</v>
      </c>
      <c r="H199" s="4">
        <v>365.48400000000004</v>
      </c>
      <c r="I199" s="4">
        <v>0</v>
      </c>
      <c r="J199" s="4" t="s">
        <v>25</v>
      </c>
      <c r="K199" s="8">
        <v>813.51599999999996</v>
      </c>
      <c r="L199" t="s">
        <v>12</v>
      </c>
      <c r="M199" t="s">
        <v>9</v>
      </c>
      <c r="N199" s="26">
        <f>VLOOKUP(A199,[1]PGReconsile!$A$1:$E$642,5,0)</f>
        <v>45897.531944444447</v>
      </c>
    </row>
    <row r="200" spans="1:14" x14ac:dyDescent="0.3">
      <c r="A200">
        <v>8632082388</v>
      </c>
      <c r="B200">
        <v>4594</v>
      </c>
      <c r="C200" s="1">
        <v>1301.021</v>
      </c>
      <c r="D200" s="1">
        <v>71.98</v>
      </c>
      <c r="E200" s="1">
        <v>512.71899999999994</v>
      </c>
      <c r="F200">
        <v>3196.3879999999999</v>
      </c>
      <c r="G200" s="1">
        <f t="shared" si="27"/>
        <v>2683.6689999999999</v>
      </c>
      <c r="H200" s="4">
        <v>1397.6120000000001</v>
      </c>
      <c r="I200" s="4">
        <f>VLOOKUP(A200,[1]PGReverse_all!$A$1:$FK$281,167,0)</f>
        <v>197.06</v>
      </c>
      <c r="J200" s="4">
        <f>F200+D200+I200</f>
        <v>3465.4279999999999</v>
      </c>
      <c r="K200" s="7">
        <v>-269.03999999999996</v>
      </c>
      <c r="L200" t="s">
        <v>11</v>
      </c>
      <c r="M200" t="s">
        <v>9</v>
      </c>
      <c r="N200" s="26">
        <f>VLOOKUP(A200,[1]PGReconsile!$A$1:$E$642,5,0)</f>
        <v>45894.452777777777</v>
      </c>
    </row>
    <row r="201" spans="1:14" x14ac:dyDescent="0.3">
      <c r="A201">
        <v>8650648101</v>
      </c>
      <c r="B201">
        <v>2794</v>
      </c>
      <c r="C201" s="1">
        <v>692.35299999999995</v>
      </c>
      <c r="D201" s="1">
        <v>71.98</v>
      </c>
      <c r="E201" s="1">
        <v>311.83300000000003</v>
      </c>
      <c r="F201">
        <v>2014.6990000000001</v>
      </c>
      <c r="G201" s="1">
        <f t="shared" si="27"/>
        <v>1702.866</v>
      </c>
      <c r="H201" s="4">
        <v>779.30099999999993</v>
      </c>
      <c r="I201" s="4">
        <v>0</v>
      </c>
      <c r="J201" s="4" t="s">
        <v>25</v>
      </c>
      <c r="K201" s="8">
        <v>2014.6990000000001</v>
      </c>
      <c r="L201" t="s">
        <v>12</v>
      </c>
      <c r="M201" t="s">
        <v>9</v>
      </c>
      <c r="N201" s="26">
        <f>VLOOKUP(A201,[1]PGReconsile!$A$1:$E$642,5,0)</f>
        <v>45906.475694444445</v>
      </c>
    </row>
    <row r="202" spans="1:14" x14ac:dyDescent="0.3">
      <c r="A202">
        <v>8618668909</v>
      </c>
      <c r="B202">
        <v>1919</v>
      </c>
      <c r="C202" s="1">
        <v>475.52800000000002</v>
      </c>
      <c r="D202" s="1">
        <v>53.1</v>
      </c>
      <c r="E202" s="1">
        <v>214.17700000000002</v>
      </c>
      <c r="F202">
        <v>1380.0920000000001</v>
      </c>
      <c r="G202" s="1">
        <f t="shared" si="27"/>
        <v>1165.915</v>
      </c>
      <c r="H202" s="4">
        <v>538.9079999999999</v>
      </c>
      <c r="I202" s="4">
        <v>0</v>
      </c>
      <c r="J202" s="4" t="s">
        <v>25</v>
      </c>
      <c r="K202" s="8">
        <v>1380.0920000000001</v>
      </c>
      <c r="L202" t="s">
        <v>12</v>
      </c>
      <c r="M202" t="s">
        <v>9</v>
      </c>
      <c r="N202" s="26">
        <f>VLOOKUP(A202,[1]PGReconsile!$A$1:$E$642,5,0)</f>
        <v>45888.475694444445</v>
      </c>
    </row>
    <row r="203" spans="1:14" x14ac:dyDescent="0.3">
      <c r="A203">
        <v>8603486464</v>
      </c>
      <c r="B203">
        <v>1054</v>
      </c>
      <c r="C203" s="1">
        <v>273.61799999999999</v>
      </c>
      <c r="D203" s="1">
        <v>53.1</v>
      </c>
      <c r="E203" s="1">
        <v>117.625</v>
      </c>
      <c r="F203">
        <v>721.63599999999997</v>
      </c>
      <c r="G203" s="1">
        <f t="shared" si="27"/>
        <v>604.01099999999997</v>
      </c>
      <c r="H203" s="4">
        <v>332.36400000000003</v>
      </c>
      <c r="I203" s="4">
        <v>0</v>
      </c>
      <c r="J203" s="4" t="s">
        <v>25</v>
      </c>
      <c r="K203" s="8">
        <v>721.63599999999997</v>
      </c>
      <c r="L203" t="s">
        <v>12</v>
      </c>
      <c r="M203" t="s">
        <v>9</v>
      </c>
      <c r="N203" s="26">
        <f>VLOOKUP(A203,[1]PGReconsile!$A$1:$E$642,5,0)</f>
        <v>45875.537499999999</v>
      </c>
    </row>
    <row r="204" spans="1:14" x14ac:dyDescent="0.3">
      <c r="A204">
        <v>8657028777</v>
      </c>
      <c r="B204">
        <v>2834</v>
      </c>
      <c r="C204" s="1">
        <v>702.26499999999999</v>
      </c>
      <c r="D204" s="1">
        <v>71.98</v>
      </c>
      <c r="E204" s="1">
        <v>316.29199999999997</v>
      </c>
      <c r="F204">
        <v>2044.5730000000001</v>
      </c>
      <c r="G204" s="1">
        <f t="shared" si="27"/>
        <v>1728.2810000000002</v>
      </c>
      <c r="H204" s="4">
        <v>789.42699999999991</v>
      </c>
      <c r="I204" s="4">
        <v>0</v>
      </c>
      <c r="J204" s="4" t="s">
        <v>25</v>
      </c>
      <c r="K204" s="8">
        <v>2044.5730000000001</v>
      </c>
      <c r="L204" t="s">
        <v>12</v>
      </c>
      <c r="M204" t="s">
        <v>9</v>
      </c>
      <c r="N204" s="26">
        <f>VLOOKUP(A204,[1]PGReconsile!$A$1:$E$642,5,0)</f>
        <v>45909.456250000003</v>
      </c>
    </row>
    <row r="205" spans="1:14" x14ac:dyDescent="0.3">
      <c r="A205">
        <v>8635637442</v>
      </c>
      <c r="B205">
        <v>2044</v>
      </c>
      <c r="C205" s="1">
        <v>506.50299999999999</v>
      </c>
      <c r="D205" s="1">
        <v>71.98</v>
      </c>
      <c r="E205" s="1">
        <v>228.125</v>
      </c>
      <c r="F205">
        <v>1454.567</v>
      </c>
      <c r="G205" s="1">
        <f t="shared" si="27"/>
        <v>1226.442</v>
      </c>
      <c r="H205" s="4">
        <v>589.43299999999999</v>
      </c>
      <c r="I205" s="4">
        <v>0</v>
      </c>
      <c r="J205" s="4" t="s">
        <v>25</v>
      </c>
      <c r="K205" s="8">
        <v>1454.567</v>
      </c>
      <c r="L205" t="s">
        <v>12</v>
      </c>
      <c r="M205" t="s">
        <v>9</v>
      </c>
      <c r="N205" s="26">
        <f>VLOOKUP(A205,[1]PGReconsile!$A$1:$E$642,5,0)</f>
        <v>45897.440972222219</v>
      </c>
    </row>
    <row r="206" spans="1:14" x14ac:dyDescent="0.3">
      <c r="A206">
        <v>8659204086</v>
      </c>
      <c r="B206">
        <v>1079</v>
      </c>
      <c r="C206" s="1">
        <v>280.108</v>
      </c>
      <c r="D206" s="1">
        <v>53.1</v>
      </c>
      <c r="E206" s="1">
        <v>120.42699999999999</v>
      </c>
      <c r="F206">
        <v>740.01199999999994</v>
      </c>
      <c r="G206" s="1">
        <f t="shared" si="27"/>
        <v>619.58499999999992</v>
      </c>
      <c r="H206" s="4">
        <v>338.98800000000006</v>
      </c>
      <c r="I206" s="4">
        <f>VLOOKUP(A206,[1]PGReverse_all!$A$1:$FK$281,167,0)</f>
        <v>197.06</v>
      </c>
      <c r="J206" s="4">
        <f t="shared" ref="J206:J209" si="29">F206+D206+I206</f>
        <v>990.17200000000003</v>
      </c>
      <c r="K206" s="7">
        <v>-250.16000000000008</v>
      </c>
      <c r="L206" t="s">
        <v>11</v>
      </c>
      <c r="M206" t="s">
        <v>9</v>
      </c>
      <c r="N206" s="26">
        <f>VLOOKUP(A206,[1]PGReconsile!$A$1:$E$642,5,0)</f>
        <v>45910.774305555555</v>
      </c>
    </row>
    <row r="207" spans="1:14" x14ac:dyDescent="0.3">
      <c r="A207">
        <v>8622201619</v>
      </c>
      <c r="B207">
        <v>1819</v>
      </c>
      <c r="C207" s="1">
        <v>536.60500000000002</v>
      </c>
      <c r="D207" s="1">
        <v>53.1</v>
      </c>
      <c r="E207" s="1">
        <v>203.011</v>
      </c>
      <c r="F207">
        <v>1219.55</v>
      </c>
      <c r="G207" s="1">
        <f t="shared" si="27"/>
        <v>1016.539</v>
      </c>
      <c r="H207" s="4">
        <v>599.45000000000005</v>
      </c>
      <c r="I207" s="4">
        <f>VLOOKUP(A207,[1]PGReverse_all!$A$1:$FK$281,167,0)</f>
        <v>197.06</v>
      </c>
      <c r="J207" s="4">
        <f t="shared" si="29"/>
        <v>1469.7099999999998</v>
      </c>
      <c r="K207" s="7">
        <v>-250.15999999999985</v>
      </c>
      <c r="L207" t="s">
        <v>11</v>
      </c>
      <c r="M207" t="s">
        <v>9</v>
      </c>
      <c r="N207" s="26">
        <f>VLOOKUP(A207,[1]PGReconsile!$A$1:$E$642,5,0)</f>
        <v>45887.75277777778</v>
      </c>
    </row>
    <row r="208" spans="1:14" x14ac:dyDescent="0.3">
      <c r="A208">
        <v>8632532798</v>
      </c>
      <c r="B208">
        <v>2594</v>
      </c>
      <c r="C208" s="1">
        <v>826.44799999999998</v>
      </c>
      <c r="D208" s="1">
        <v>71.98</v>
      </c>
      <c r="E208" s="1">
        <v>289.51</v>
      </c>
      <c r="F208">
        <v>1681.6759999999999</v>
      </c>
      <c r="G208" s="1">
        <f t="shared" si="27"/>
        <v>1392.1659999999999</v>
      </c>
      <c r="H208" s="4">
        <v>912.32400000000007</v>
      </c>
      <c r="I208" s="4">
        <f>VLOOKUP(A208,[1]PGReverse_all!$A$1:$FK$281,167,0)</f>
        <v>132.16</v>
      </c>
      <c r="J208" s="4">
        <f t="shared" si="29"/>
        <v>1885.816</v>
      </c>
      <c r="K208" s="7">
        <v>-204.1400000000001</v>
      </c>
      <c r="L208" t="s">
        <v>11</v>
      </c>
      <c r="M208" t="s">
        <v>9</v>
      </c>
      <c r="N208" s="26">
        <f>VLOOKUP(A208,[1]PGReconsile!$A$1:$E$642,5,0)</f>
        <v>45894.452777777777</v>
      </c>
    </row>
    <row r="209" spans="1:14" x14ac:dyDescent="0.3">
      <c r="A209">
        <v>8626412492</v>
      </c>
      <c r="B209">
        <v>2419</v>
      </c>
      <c r="C209" s="1">
        <v>513.79600000000005</v>
      </c>
      <c r="D209" s="1">
        <v>71.98</v>
      </c>
      <c r="E209" s="1">
        <v>269.97899999999998</v>
      </c>
      <c r="F209">
        <v>1820.2650000000001</v>
      </c>
      <c r="G209" s="1">
        <f t="shared" si="27"/>
        <v>1550.2860000000001</v>
      </c>
      <c r="H209" s="4">
        <v>598.7349999999999</v>
      </c>
      <c r="I209" s="4">
        <f>VLOOKUP(A209,[1]PGReverse_all!$A$1:$FK$281,167,0)</f>
        <v>197.06</v>
      </c>
      <c r="J209" s="4">
        <f t="shared" si="29"/>
        <v>2089.3050000000003</v>
      </c>
      <c r="K209" s="7">
        <v>-269.04000000000019</v>
      </c>
      <c r="L209" t="s">
        <v>11</v>
      </c>
      <c r="M209" t="s">
        <v>9</v>
      </c>
      <c r="N209" s="26">
        <f>VLOOKUP(A209,[1]PGReconsile!$A$1:$E$642,5,0)</f>
        <v>45890.791666666664</v>
      </c>
    </row>
    <row r="210" spans="1:14" x14ac:dyDescent="0.3">
      <c r="A210">
        <v>8628375004</v>
      </c>
      <c r="B210">
        <v>3294</v>
      </c>
      <c r="C210" s="1">
        <v>1049.4680000000001</v>
      </c>
      <c r="D210" s="1">
        <v>71.98</v>
      </c>
      <c r="E210" s="1">
        <v>367.63499999999999</v>
      </c>
      <c r="F210">
        <v>2154.9059999999999</v>
      </c>
      <c r="G210" s="1">
        <f t="shared" si="27"/>
        <v>1787.271</v>
      </c>
      <c r="H210" s="4">
        <v>1139.0940000000001</v>
      </c>
      <c r="I210" s="4">
        <v>0</v>
      </c>
      <c r="J210" s="4" t="s">
        <v>25</v>
      </c>
      <c r="K210" s="8">
        <v>2154.9059999999999</v>
      </c>
      <c r="L210" t="s">
        <v>12</v>
      </c>
      <c r="M210" t="s">
        <v>9</v>
      </c>
      <c r="N210" s="26">
        <f>VLOOKUP(A210,[1]PGReconsile!$A$1:$E$642,5,0)</f>
        <v>45891.542361111111</v>
      </c>
    </row>
    <row r="211" spans="1:14" x14ac:dyDescent="0.3">
      <c r="A211">
        <v>8643430473</v>
      </c>
      <c r="B211">
        <v>1919</v>
      </c>
      <c r="C211" s="1">
        <v>520.81700000000001</v>
      </c>
      <c r="D211" s="1">
        <v>53.1</v>
      </c>
      <c r="E211" s="1">
        <v>214.167</v>
      </c>
      <c r="F211">
        <v>1334.8030000000001</v>
      </c>
      <c r="G211" s="1">
        <f t="shared" si="27"/>
        <v>1120.6360000000002</v>
      </c>
      <c r="H211" s="4">
        <v>584.19699999999989</v>
      </c>
      <c r="I211" s="4">
        <v>0</v>
      </c>
      <c r="J211" s="4" t="s">
        <v>25</v>
      </c>
      <c r="K211" s="8">
        <v>1334.8030000000001</v>
      </c>
      <c r="L211" t="s">
        <v>12</v>
      </c>
      <c r="M211" t="s">
        <v>9</v>
      </c>
      <c r="N211" s="26">
        <f>VLOOKUP(A211,[1]PGReconsile!$A$1:$E$642,5,0)</f>
        <v>45902.448611111111</v>
      </c>
    </row>
    <row r="212" spans="1:14" x14ac:dyDescent="0.3">
      <c r="A212">
        <v>8634260648</v>
      </c>
      <c r="B212">
        <v>150</v>
      </c>
      <c r="C212" s="1">
        <v>17.7</v>
      </c>
      <c r="D212" s="1">
        <v>31.86</v>
      </c>
      <c r="E212" s="1">
        <v>7.8539999999999992</v>
      </c>
      <c r="F212">
        <v>99.582999999999998</v>
      </c>
      <c r="G212" s="1">
        <f t="shared" si="27"/>
        <v>91.728999999999999</v>
      </c>
      <c r="H212" s="4">
        <v>50.417000000000002</v>
      </c>
      <c r="I212" s="4">
        <v>0</v>
      </c>
      <c r="J212" s="4" t="s">
        <v>25</v>
      </c>
      <c r="K212" s="8">
        <v>99.582999999999998</v>
      </c>
      <c r="L212" t="s">
        <v>12</v>
      </c>
      <c r="M212" t="s">
        <v>9</v>
      </c>
      <c r="N212" s="26">
        <f>VLOOKUP(A212,[1]PGReconsile!$A$1:$E$642,5,0)</f>
        <v>45895.786805555559</v>
      </c>
    </row>
    <row r="213" spans="1:14" x14ac:dyDescent="0.3">
      <c r="A213">
        <v>8647113461</v>
      </c>
      <c r="B213">
        <v>3469.01</v>
      </c>
      <c r="C213" s="1">
        <v>1105.2270000000001</v>
      </c>
      <c r="D213" s="1">
        <v>71.98</v>
      </c>
      <c r="E213" s="1">
        <v>387.16700000000003</v>
      </c>
      <c r="F213">
        <v>2273.2190000000001</v>
      </c>
      <c r="G213" s="1">
        <f t="shared" si="27"/>
        <v>1886.0520000000001</v>
      </c>
      <c r="H213" s="4">
        <v>1195.7910000000002</v>
      </c>
      <c r="I213" s="4">
        <v>0</v>
      </c>
      <c r="J213" s="4" t="s">
        <v>25</v>
      </c>
      <c r="K213" s="8">
        <v>2273.2190000000001</v>
      </c>
      <c r="L213" t="s">
        <v>12</v>
      </c>
      <c r="M213" t="s">
        <v>9</v>
      </c>
      <c r="N213" s="26">
        <f>VLOOKUP(A213,[1]PGReconsile!$A$1:$E$642,5,0)</f>
        <v>45904.486805555556</v>
      </c>
    </row>
    <row r="214" spans="1:14" x14ac:dyDescent="0.3">
      <c r="A214">
        <v>8665279897</v>
      </c>
      <c r="B214">
        <v>2994</v>
      </c>
      <c r="C214" s="1">
        <v>741.91300000000001</v>
      </c>
      <c r="D214" s="1">
        <v>71.98</v>
      </c>
      <c r="E214" s="1">
        <v>334.14599999999996</v>
      </c>
      <c r="F214">
        <v>2164.0680000000002</v>
      </c>
      <c r="G214" s="1">
        <f t="shared" si="27"/>
        <v>1829.9220000000003</v>
      </c>
      <c r="H214" s="4">
        <v>829.93199999999979</v>
      </c>
      <c r="I214" s="4">
        <v>0</v>
      </c>
      <c r="J214" s="4" t="s">
        <v>25</v>
      </c>
      <c r="K214" s="8">
        <v>2164.0680000000002</v>
      </c>
      <c r="L214" t="s">
        <v>12</v>
      </c>
      <c r="M214" t="s">
        <v>9</v>
      </c>
      <c r="N214" s="26">
        <f>VLOOKUP(A214,[1]PGReconsile!$A$1:$E$642,5,0)</f>
        <v>45913.450694444444</v>
      </c>
    </row>
    <row r="215" spans="1:14" x14ac:dyDescent="0.3">
      <c r="A215">
        <v>8622099781</v>
      </c>
      <c r="B215">
        <v>2944</v>
      </c>
      <c r="C215" s="1">
        <v>729.52300000000002</v>
      </c>
      <c r="D215" s="1">
        <v>71.98</v>
      </c>
      <c r="E215" s="1">
        <v>328.56299999999999</v>
      </c>
      <c r="F215">
        <v>2126.7249999999999</v>
      </c>
      <c r="G215" s="1">
        <f t="shared" si="27"/>
        <v>1798.1619999999998</v>
      </c>
      <c r="H215" s="4">
        <v>817.27500000000009</v>
      </c>
      <c r="I215" s="4">
        <f>VLOOKUP(A215,[1]PGReverse_all!$A$1:$FK$281,167,0)</f>
        <v>132.16</v>
      </c>
      <c r="J215" s="4">
        <f t="shared" ref="J215:J221" si="30">F215+D215+I215</f>
        <v>2330.8649999999998</v>
      </c>
      <c r="K215" s="7">
        <v>-204.13999999999987</v>
      </c>
      <c r="L215" t="s">
        <v>11</v>
      </c>
      <c r="M215" t="s">
        <v>9</v>
      </c>
      <c r="N215" s="26">
        <f>VLOOKUP(A215,[1]PGReconsile!$A$1:$E$642,5,0)</f>
        <v>45887.563194444447</v>
      </c>
    </row>
    <row r="216" spans="1:14" x14ac:dyDescent="0.3">
      <c r="A216">
        <v>8638232224</v>
      </c>
      <c r="B216">
        <v>2419</v>
      </c>
      <c r="C216" s="1">
        <v>599.428</v>
      </c>
      <c r="D216" s="1">
        <v>71.98</v>
      </c>
      <c r="E216" s="1">
        <v>269.97899999999998</v>
      </c>
      <c r="F216">
        <v>1734.633</v>
      </c>
      <c r="G216" s="1">
        <f t="shared" si="27"/>
        <v>1464.654</v>
      </c>
      <c r="H216" s="4">
        <v>684.36699999999996</v>
      </c>
      <c r="I216" s="4">
        <f>VLOOKUP(A216,[1]PGReverse_all!$A$1:$FK$281,167,0)</f>
        <v>132.16</v>
      </c>
      <c r="J216" s="4">
        <f t="shared" si="30"/>
        <v>1938.7730000000001</v>
      </c>
      <c r="K216" s="7">
        <v>-204.1400000000001</v>
      </c>
      <c r="L216" t="s">
        <v>11</v>
      </c>
      <c r="M216" t="s">
        <v>9</v>
      </c>
      <c r="N216" s="26">
        <f>VLOOKUP(A216,[1]PGReconsile!$A$1:$E$642,5,0)</f>
        <v>45899.442361111112</v>
      </c>
    </row>
    <row r="217" spans="1:14" x14ac:dyDescent="0.3">
      <c r="A217">
        <v>8615996506</v>
      </c>
      <c r="B217">
        <v>1079</v>
      </c>
      <c r="C217" s="1">
        <v>267.37599999999998</v>
      </c>
      <c r="D217" s="1">
        <v>53.1</v>
      </c>
      <c r="E217" s="1">
        <v>120.42699999999999</v>
      </c>
      <c r="F217">
        <v>752.74400000000003</v>
      </c>
      <c r="G217" s="1">
        <f t="shared" si="27"/>
        <v>632.31700000000001</v>
      </c>
      <c r="H217" s="4">
        <v>326.25599999999997</v>
      </c>
      <c r="I217" s="4">
        <f>VLOOKUP(A217,[1]PGReverse_all!$A$1:$FK$281,167,0)</f>
        <v>197.06</v>
      </c>
      <c r="J217" s="4">
        <f t="shared" si="30"/>
        <v>1002.904</v>
      </c>
      <c r="K217" s="7">
        <v>-250.15999999999997</v>
      </c>
      <c r="L217" t="s">
        <v>11</v>
      </c>
      <c r="M217" t="s">
        <v>9</v>
      </c>
      <c r="N217" s="26">
        <f>VLOOKUP(A217,[1]PGReconsile!$A$1:$E$642,5,0)</f>
        <v>45883.446527777778</v>
      </c>
    </row>
    <row r="218" spans="1:14" x14ac:dyDescent="0.3">
      <c r="A218">
        <v>8621926796</v>
      </c>
      <c r="B218">
        <v>2474</v>
      </c>
      <c r="C218" s="1">
        <v>642.25</v>
      </c>
      <c r="D218" s="1">
        <v>71.98</v>
      </c>
      <c r="E218" s="1">
        <v>276.11500000000001</v>
      </c>
      <c r="F218">
        <v>1746.5160000000001</v>
      </c>
      <c r="G218" s="1">
        <f t="shared" si="27"/>
        <v>1470.4010000000001</v>
      </c>
      <c r="H218" s="4">
        <v>727.48399999999992</v>
      </c>
      <c r="I218" s="4">
        <f>VLOOKUP(A218,[1]PGReverse_all!$A$1:$FK$281,167,0)</f>
        <v>197.06</v>
      </c>
      <c r="J218" s="4">
        <f t="shared" si="30"/>
        <v>2015.556</v>
      </c>
      <c r="K218" s="7">
        <v>-269.03999999999996</v>
      </c>
      <c r="L218" t="s">
        <v>11</v>
      </c>
      <c r="M218" t="s">
        <v>9</v>
      </c>
      <c r="N218" s="26">
        <f>VLOOKUP(A218,[1]PGReconsile!$A$1:$E$642,5,0)</f>
        <v>45887.452777777777</v>
      </c>
    </row>
    <row r="219" spans="1:14" x14ac:dyDescent="0.3">
      <c r="A219">
        <v>8648759871</v>
      </c>
      <c r="B219">
        <v>3394</v>
      </c>
      <c r="C219" s="1">
        <v>841.03300000000002</v>
      </c>
      <c r="D219" s="1">
        <v>71.98</v>
      </c>
      <c r="E219" s="1">
        <v>378.79199999999997</v>
      </c>
      <c r="F219">
        <v>2462.8049999999998</v>
      </c>
      <c r="G219" s="1">
        <f t="shared" si="27"/>
        <v>2084.0129999999999</v>
      </c>
      <c r="H219" s="4">
        <v>931.19500000000016</v>
      </c>
      <c r="I219" s="4">
        <f>VLOOKUP(A219,[1]PGReverse_all!$A$1:$FK$281,167,0)</f>
        <v>197.06</v>
      </c>
      <c r="J219" s="4">
        <f t="shared" si="30"/>
        <v>2731.8449999999998</v>
      </c>
      <c r="K219" s="7">
        <v>-269.03999999999996</v>
      </c>
      <c r="L219" t="s">
        <v>11</v>
      </c>
      <c r="M219" t="s">
        <v>9</v>
      </c>
      <c r="N219" s="26">
        <f>VLOOKUP(A219,[1]PGReconsile!$A$1:$E$642,5,0)</f>
        <v>45905.450694444444</v>
      </c>
    </row>
    <row r="220" spans="1:14" x14ac:dyDescent="0.3">
      <c r="A220">
        <v>8634912774</v>
      </c>
      <c r="B220">
        <v>3294</v>
      </c>
      <c r="C220" s="1">
        <v>1049.4680000000001</v>
      </c>
      <c r="D220" s="1">
        <v>71.98</v>
      </c>
      <c r="E220" s="1">
        <v>367.63499999999999</v>
      </c>
      <c r="F220">
        <v>2154.9059999999999</v>
      </c>
      <c r="G220" s="1">
        <f t="shared" si="27"/>
        <v>1787.271</v>
      </c>
      <c r="H220" s="4">
        <v>1139.0940000000001</v>
      </c>
      <c r="I220" s="4">
        <f>VLOOKUP(A220,[1]PGReverse_all!$A$1:$FK$281,167,0)</f>
        <v>197.06</v>
      </c>
      <c r="J220" s="4">
        <f t="shared" si="30"/>
        <v>2423.9459999999999</v>
      </c>
      <c r="K220" s="7">
        <v>-269.03999999999996</v>
      </c>
      <c r="L220" t="s">
        <v>11</v>
      </c>
      <c r="M220" t="s">
        <v>9</v>
      </c>
      <c r="N220" s="26">
        <f>VLOOKUP(A220,[1]PGReconsile!$A$1:$E$642,5,0)</f>
        <v>45897.440972222219</v>
      </c>
    </row>
    <row r="221" spans="1:14" x14ac:dyDescent="0.3">
      <c r="A221">
        <v>8613805161</v>
      </c>
      <c r="B221">
        <v>2606</v>
      </c>
      <c r="C221" s="1">
        <v>553.51400000000001</v>
      </c>
      <c r="D221" s="1">
        <v>71.98</v>
      </c>
      <c r="E221" s="1">
        <v>290.84399999999999</v>
      </c>
      <c r="F221">
        <v>1966.5450000000001</v>
      </c>
      <c r="G221" s="1">
        <f t="shared" si="27"/>
        <v>1675.701</v>
      </c>
      <c r="H221" s="4">
        <v>639.45499999999993</v>
      </c>
      <c r="I221" s="4">
        <f>VLOOKUP(A221,[1]PGReverse_all!$A$1:$FK$281,167,0)</f>
        <v>197.06</v>
      </c>
      <c r="J221" s="4">
        <f t="shared" si="30"/>
        <v>2235.585</v>
      </c>
      <c r="K221" s="7">
        <v>-269.03999999999996</v>
      </c>
      <c r="L221" t="s">
        <v>11</v>
      </c>
      <c r="M221" t="s">
        <v>9</v>
      </c>
      <c r="N221" s="26">
        <f>VLOOKUP(A221,[1]PGReconsile!$A$1:$E$642,5,0)</f>
        <v>45881.771527777775</v>
      </c>
    </row>
    <row r="222" spans="1:14" x14ac:dyDescent="0.3">
      <c r="A222">
        <v>8596386099</v>
      </c>
      <c r="B222">
        <v>2606</v>
      </c>
      <c r="C222" s="1">
        <v>553.51400000000001</v>
      </c>
      <c r="D222" s="1">
        <v>71.98</v>
      </c>
      <c r="E222" s="1">
        <v>290.84399999999999</v>
      </c>
      <c r="F222">
        <v>1966.5450000000001</v>
      </c>
      <c r="G222" s="1">
        <f t="shared" si="27"/>
        <v>1675.701</v>
      </c>
      <c r="H222" s="4">
        <v>639.45499999999993</v>
      </c>
      <c r="I222" s="4">
        <v>0</v>
      </c>
      <c r="J222" s="4" t="s">
        <v>25</v>
      </c>
      <c r="K222" s="8">
        <v>1966.5450000000001</v>
      </c>
      <c r="L222" t="s">
        <v>12</v>
      </c>
      <c r="M222" t="s">
        <v>9</v>
      </c>
      <c r="N222" s="26">
        <f>VLOOKUP(A222,[1]PGReconsile!$A$1:$E$642,5,0)</f>
        <v>45873.455555555556</v>
      </c>
    </row>
    <row r="223" spans="1:14" x14ac:dyDescent="0.3">
      <c r="A223">
        <v>8642584889</v>
      </c>
      <c r="B223">
        <v>2044</v>
      </c>
      <c r="C223" s="1">
        <v>506.50299999999999</v>
      </c>
      <c r="D223" s="1">
        <v>71.98</v>
      </c>
      <c r="E223" s="1">
        <v>228.125</v>
      </c>
      <c r="F223">
        <v>1454.567</v>
      </c>
      <c r="G223" s="1">
        <f t="shared" si="27"/>
        <v>1226.442</v>
      </c>
      <c r="H223" s="4">
        <v>589.43299999999999</v>
      </c>
      <c r="I223" s="4">
        <v>0</v>
      </c>
      <c r="J223" s="4" t="s">
        <v>25</v>
      </c>
      <c r="K223" s="8">
        <v>1454.567</v>
      </c>
      <c r="L223" t="s">
        <v>12</v>
      </c>
      <c r="M223" t="s">
        <v>9</v>
      </c>
      <c r="N223" s="26">
        <f>VLOOKUP(A223,[1]PGReconsile!$A$1:$E$642,5,0)</f>
        <v>45901.785416666666</v>
      </c>
    </row>
    <row r="224" spans="1:14" x14ac:dyDescent="0.3">
      <c r="A224">
        <v>8625651297</v>
      </c>
      <c r="B224">
        <v>2994</v>
      </c>
      <c r="C224" s="1">
        <v>635.92600000000004</v>
      </c>
      <c r="D224" s="1">
        <v>71.98</v>
      </c>
      <c r="E224" s="1">
        <v>334.15600000000001</v>
      </c>
      <c r="F224">
        <v>2270.0549999999998</v>
      </c>
      <c r="G224" s="1">
        <f t="shared" si="27"/>
        <v>1935.8989999999999</v>
      </c>
      <c r="H224" s="4">
        <v>723.94500000000016</v>
      </c>
      <c r="I224" s="4">
        <f>VLOOKUP(A224,[1]PGReverse_all!$A$1:$FK$281,167,0)</f>
        <v>197.06</v>
      </c>
      <c r="J224" s="4">
        <f>F224+D224+I224</f>
        <v>2539.0949999999998</v>
      </c>
      <c r="K224" s="7">
        <v>-269.03999999999996</v>
      </c>
      <c r="L224" t="s">
        <v>11</v>
      </c>
      <c r="M224" t="s">
        <v>9</v>
      </c>
      <c r="N224" s="26">
        <f>VLOOKUP(A224,[1]PGReconsile!$A$1:$E$642,5,0)</f>
        <v>45890.458333333336</v>
      </c>
    </row>
    <row r="225" spans="1:14" x14ac:dyDescent="0.3">
      <c r="A225">
        <v>8642884331</v>
      </c>
      <c r="B225">
        <v>2359</v>
      </c>
      <c r="C225" s="1">
        <v>612.39599999999996</v>
      </c>
      <c r="D225" s="1">
        <v>71.98</v>
      </c>
      <c r="E225" s="1">
        <v>263.28100000000001</v>
      </c>
      <c r="F225">
        <v>1661.9870000000001</v>
      </c>
      <c r="G225" s="1">
        <f t="shared" si="27"/>
        <v>1398.7060000000001</v>
      </c>
      <c r="H225" s="4">
        <v>697.01299999999992</v>
      </c>
      <c r="I225" s="4">
        <v>0</v>
      </c>
      <c r="J225" s="4" t="s">
        <v>25</v>
      </c>
      <c r="K225" s="8">
        <v>1661.9870000000001</v>
      </c>
      <c r="L225" t="s">
        <v>12</v>
      </c>
      <c r="M225" t="s">
        <v>9</v>
      </c>
      <c r="N225" s="26">
        <f>VLOOKUP(A225,[1]PGReconsile!$A$1:$E$642,5,0)</f>
        <v>45902.448611111111</v>
      </c>
    </row>
    <row r="226" spans="1:14" x14ac:dyDescent="0.3">
      <c r="A226">
        <v>8632319068</v>
      </c>
      <c r="B226">
        <v>2324</v>
      </c>
      <c r="C226" s="1">
        <v>493.61799999999999</v>
      </c>
      <c r="D226" s="1">
        <v>71.98</v>
      </c>
      <c r="E226" s="1">
        <v>259.375</v>
      </c>
      <c r="F226">
        <v>1745.952</v>
      </c>
      <c r="G226" s="1">
        <f t="shared" si="27"/>
        <v>1486.577</v>
      </c>
      <c r="H226" s="4">
        <v>578.048</v>
      </c>
      <c r="I226" s="4">
        <v>0</v>
      </c>
      <c r="J226" s="4" t="s">
        <v>25</v>
      </c>
      <c r="K226" s="8">
        <v>1745.952</v>
      </c>
      <c r="L226" t="s">
        <v>12</v>
      </c>
      <c r="M226" t="s">
        <v>9</v>
      </c>
      <c r="N226" s="26">
        <f>VLOOKUP(A226,[1]PGReconsile!$A$1:$E$642,5,0)</f>
        <v>45894.452777777777</v>
      </c>
    </row>
    <row r="227" spans="1:14" x14ac:dyDescent="0.3">
      <c r="A227">
        <v>8622701191</v>
      </c>
      <c r="B227">
        <v>2786</v>
      </c>
      <c r="C227" s="1">
        <v>591.74599999999998</v>
      </c>
      <c r="D227" s="1">
        <v>71.98</v>
      </c>
      <c r="E227" s="1">
        <v>310.93799999999999</v>
      </c>
      <c r="F227">
        <v>2107.348</v>
      </c>
      <c r="G227" s="1">
        <f t="shared" si="27"/>
        <v>1796.4099999999999</v>
      </c>
      <c r="H227" s="4">
        <v>678.65200000000004</v>
      </c>
      <c r="I227" s="4">
        <v>0</v>
      </c>
      <c r="J227" s="4" t="s">
        <v>25</v>
      </c>
      <c r="K227" s="8">
        <v>2107.348</v>
      </c>
      <c r="L227" t="s">
        <v>12</v>
      </c>
      <c r="M227" t="s">
        <v>9</v>
      </c>
      <c r="N227" s="26">
        <f>VLOOKUP(A227,[1]PGReconsile!$A$1:$E$642,5,0)</f>
        <v>45888.475694444445</v>
      </c>
    </row>
    <row r="228" spans="1:14" x14ac:dyDescent="0.3">
      <c r="A228">
        <v>8653424809</v>
      </c>
      <c r="B228">
        <v>2344</v>
      </c>
      <c r="C228" s="1">
        <v>608.50199999999995</v>
      </c>
      <c r="D228" s="1">
        <v>71.98</v>
      </c>
      <c r="E228" s="1">
        <v>261.60399999999998</v>
      </c>
      <c r="F228">
        <v>1650.961</v>
      </c>
      <c r="G228" s="1">
        <f t="shared" si="27"/>
        <v>1389.357</v>
      </c>
      <c r="H228" s="4">
        <v>693.03899999999999</v>
      </c>
      <c r="I228" s="4">
        <f>VLOOKUP(A228,[1]PGReverse_all!$A$1:$FK$281,167,0)</f>
        <v>107.38</v>
      </c>
      <c r="J228" s="4">
        <f>F228+D228+I228</f>
        <v>1830.3209999999999</v>
      </c>
      <c r="K228" s="7">
        <v>-179.3599999999999</v>
      </c>
      <c r="L228" t="s">
        <v>11</v>
      </c>
      <c r="M228" t="s">
        <v>9</v>
      </c>
      <c r="N228" s="26">
        <f>VLOOKUP(A228,[1]PGReconsile!$A$1:$E$642,5,0)</f>
        <v>45908.48333333333</v>
      </c>
    </row>
    <row r="229" spans="1:14" x14ac:dyDescent="0.3">
      <c r="A229">
        <v>8594583529</v>
      </c>
      <c r="B229">
        <v>3294</v>
      </c>
      <c r="C229" s="1">
        <v>1049.4680000000001</v>
      </c>
      <c r="D229" s="1">
        <v>71.98</v>
      </c>
      <c r="E229" s="1">
        <v>367.63499999999999</v>
      </c>
      <c r="F229">
        <v>2154.9059999999999</v>
      </c>
      <c r="G229" s="1">
        <f t="shared" si="27"/>
        <v>1787.271</v>
      </c>
      <c r="H229" s="4">
        <v>1139.0940000000001</v>
      </c>
      <c r="I229" s="4">
        <v>0</v>
      </c>
      <c r="J229" s="4" t="s">
        <v>25</v>
      </c>
      <c r="K229" s="8">
        <v>2154.9059999999999</v>
      </c>
      <c r="L229" t="s">
        <v>12</v>
      </c>
      <c r="M229" t="s">
        <v>9</v>
      </c>
      <c r="N229" s="26">
        <f>VLOOKUP(A229,[1]PGReconsile!$A$1:$E$642,5,0)</f>
        <v>45871.440972222219</v>
      </c>
    </row>
    <row r="230" spans="1:14" x14ac:dyDescent="0.3">
      <c r="A230">
        <v>8629218604</v>
      </c>
      <c r="B230">
        <v>2719</v>
      </c>
      <c r="C230" s="1">
        <v>673.76800000000003</v>
      </c>
      <c r="D230" s="1">
        <v>71.98</v>
      </c>
      <c r="E230" s="1">
        <v>303.45799999999997</v>
      </c>
      <c r="F230">
        <v>1958.6859999999999</v>
      </c>
      <c r="G230" s="1">
        <f t="shared" si="27"/>
        <v>1655.2280000000001</v>
      </c>
      <c r="H230" s="4">
        <v>760.31400000000008</v>
      </c>
      <c r="I230" s="4">
        <f>VLOOKUP(A230,[1]PGReverse_all!$A$1:$FK$281,167,0)</f>
        <v>197.06</v>
      </c>
      <c r="J230" s="4">
        <f t="shared" ref="J230:J231" si="31">F230+D230+I230</f>
        <v>2227.7260000000001</v>
      </c>
      <c r="K230" s="7">
        <v>-269.04000000000019</v>
      </c>
      <c r="L230" t="s">
        <v>11</v>
      </c>
      <c r="M230" t="s">
        <v>9</v>
      </c>
      <c r="N230" s="26">
        <f>VLOOKUP(A230,[1]PGReconsile!$A$1:$E$642,5,0)</f>
        <v>45892.432638888888</v>
      </c>
    </row>
    <row r="231" spans="1:14" x14ac:dyDescent="0.3">
      <c r="A231">
        <v>8612022945</v>
      </c>
      <c r="B231">
        <v>2944</v>
      </c>
      <c r="C231" s="1">
        <v>729.52300000000002</v>
      </c>
      <c r="D231" s="1">
        <v>71.98</v>
      </c>
      <c r="E231" s="1">
        <v>328.57299999999998</v>
      </c>
      <c r="F231">
        <v>2126.7249999999999</v>
      </c>
      <c r="G231" s="1">
        <f t="shared" si="27"/>
        <v>1798.152</v>
      </c>
      <c r="H231" s="4">
        <v>817.27500000000009</v>
      </c>
      <c r="I231" s="4">
        <f>VLOOKUP(A231,[1]PGReverse_all!$A$1:$FK$281,167,0)</f>
        <v>197.06</v>
      </c>
      <c r="J231" s="4">
        <f t="shared" si="31"/>
        <v>2395.7649999999999</v>
      </c>
      <c r="K231" s="7">
        <v>-269.03999999999996</v>
      </c>
      <c r="L231" t="s">
        <v>11</v>
      </c>
      <c r="M231" t="s">
        <v>9</v>
      </c>
      <c r="N231" s="26">
        <f>VLOOKUP(A231,[1]PGReconsile!$A$1:$E$642,5,0)</f>
        <v>45880.772916666669</v>
      </c>
    </row>
    <row r="232" spans="1:14" x14ac:dyDescent="0.3">
      <c r="A232">
        <v>8622272769</v>
      </c>
      <c r="B232">
        <v>2493.98</v>
      </c>
      <c r="C232" s="1">
        <v>765.154</v>
      </c>
      <c r="D232" s="1">
        <v>71.97999999999999</v>
      </c>
      <c r="E232" s="1">
        <v>278.34399999999999</v>
      </c>
      <c r="F232">
        <v>1643.4849999999999</v>
      </c>
      <c r="G232" s="1">
        <f t="shared" si="27"/>
        <v>1365.1409999999998</v>
      </c>
      <c r="H232" s="4">
        <v>850.49500000000012</v>
      </c>
      <c r="I232" s="4">
        <v>0</v>
      </c>
      <c r="J232" s="4" t="s">
        <v>25</v>
      </c>
      <c r="K232" s="8">
        <v>1643.4849999999999</v>
      </c>
      <c r="L232" t="s">
        <v>12</v>
      </c>
      <c r="M232" t="s">
        <v>9</v>
      </c>
      <c r="N232" s="26">
        <f>VLOOKUP(A232,[1]PGReconsile!$A$1:$E$642,5,0)</f>
        <v>45887.75277777778</v>
      </c>
    </row>
    <row r="233" spans="1:14" x14ac:dyDescent="0.3">
      <c r="A233">
        <v>8628844817</v>
      </c>
      <c r="B233">
        <v>1079</v>
      </c>
      <c r="C233" s="1">
        <v>267.37599999999998</v>
      </c>
      <c r="D233" s="1">
        <v>53.1</v>
      </c>
      <c r="E233" s="1">
        <v>120.417</v>
      </c>
      <c r="F233">
        <v>752.74400000000003</v>
      </c>
      <c r="G233" s="1">
        <f t="shared" si="27"/>
        <v>632.327</v>
      </c>
      <c r="H233" s="4">
        <v>326.25599999999997</v>
      </c>
      <c r="I233" s="4">
        <v>0</v>
      </c>
      <c r="J233" s="4" t="s">
        <v>25</v>
      </c>
      <c r="K233" s="8">
        <v>752.74400000000003</v>
      </c>
      <c r="L233" t="s">
        <v>12</v>
      </c>
      <c r="M233" t="s">
        <v>9</v>
      </c>
      <c r="N233" s="26">
        <f>VLOOKUP(A233,[1]PGReconsile!$A$1:$E$642,5,0)</f>
        <v>45891.789583333331</v>
      </c>
    </row>
    <row r="234" spans="1:14" x14ac:dyDescent="0.3">
      <c r="A234">
        <v>8650825318</v>
      </c>
      <c r="B234">
        <v>2594</v>
      </c>
      <c r="C234" s="1">
        <v>642.79300000000001</v>
      </c>
      <c r="D234" s="1">
        <v>71.98</v>
      </c>
      <c r="E234" s="1">
        <v>289.51</v>
      </c>
      <c r="F234">
        <v>1865.3309999999999</v>
      </c>
      <c r="G234" s="1">
        <f t="shared" si="27"/>
        <v>1575.8209999999999</v>
      </c>
      <c r="H234" s="4">
        <v>728.6690000000001</v>
      </c>
      <c r="I234" s="4">
        <f>VLOOKUP(A234,[1]PGReverse_all!$A$1:$FK$281,167,0)</f>
        <v>197.06</v>
      </c>
      <c r="J234" s="4">
        <f>F234+D234+I234</f>
        <v>2134.3710000000001</v>
      </c>
      <c r="K234" s="7">
        <v>-269.04000000000019</v>
      </c>
      <c r="L234" t="s">
        <v>11</v>
      </c>
      <c r="M234" t="s">
        <v>9</v>
      </c>
      <c r="N234" s="26">
        <f>VLOOKUP(A234,[1]PGReconsile!$A$1:$E$642,5,0)</f>
        <v>45906.475694444445</v>
      </c>
    </row>
    <row r="235" spans="1:14" x14ac:dyDescent="0.3">
      <c r="A235">
        <v>8619132751</v>
      </c>
      <c r="B235">
        <v>3394</v>
      </c>
      <c r="C235" s="1">
        <v>841.03300000000002</v>
      </c>
      <c r="D235" s="1">
        <v>71.98</v>
      </c>
      <c r="E235" s="1">
        <v>378.79199999999997</v>
      </c>
      <c r="F235">
        <v>2462.8049999999998</v>
      </c>
      <c r="G235" s="1">
        <f t="shared" si="27"/>
        <v>2084.0129999999999</v>
      </c>
      <c r="H235" s="4">
        <v>931.19500000000016</v>
      </c>
      <c r="I235" s="4">
        <v>0</v>
      </c>
      <c r="J235" s="4" t="s">
        <v>25</v>
      </c>
      <c r="K235" s="8">
        <v>2462.8049999999998</v>
      </c>
      <c r="L235" t="s">
        <v>12</v>
      </c>
      <c r="M235" t="s">
        <v>9</v>
      </c>
      <c r="N235" s="26">
        <f>VLOOKUP(A235,[1]PGReconsile!$A$1:$E$642,5,0)</f>
        <v>45885.463194444441</v>
      </c>
    </row>
    <row r="236" spans="1:14" x14ac:dyDescent="0.3">
      <c r="A236">
        <v>8598520386</v>
      </c>
      <c r="B236">
        <v>3544</v>
      </c>
      <c r="C236" s="1">
        <v>920.02200000000005</v>
      </c>
      <c r="D236" s="1">
        <v>71.98</v>
      </c>
      <c r="E236" s="1">
        <v>395.53100000000001</v>
      </c>
      <c r="F236">
        <v>2533.0129999999999</v>
      </c>
      <c r="G236" s="1">
        <f t="shared" si="27"/>
        <v>2137.482</v>
      </c>
      <c r="H236" s="4">
        <v>1010.9870000000001</v>
      </c>
      <c r="I236" s="4">
        <v>0</v>
      </c>
      <c r="J236" s="4" t="s">
        <v>25</v>
      </c>
      <c r="K236" s="8">
        <v>2533.0129999999999</v>
      </c>
      <c r="L236" t="s">
        <v>12</v>
      </c>
      <c r="M236" t="s">
        <v>9</v>
      </c>
      <c r="N236" s="26">
        <f>VLOOKUP(A236,[1]PGReconsile!$A$1:$E$642,5,0)</f>
        <v>45873.455555555556</v>
      </c>
    </row>
    <row r="237" spans="1:14" x14ac:dyDescent="0.3">
      <c r="A237">
        <v>8640221165</v>
      </c>
      <c r="B237">
        <v>4594</v>
      </c>
      <c r="C237" s="1">
        <v>1409.4390000000001</v>
      </c>
      <c r="D237" s="1">
        <v>71.98</v>
      </c>
      <c r="E237" s="1">
        <v>512.72900000000004</v>
      </c>
      <c r="F237">
        <v>3087.97</v>
      </c>
      <c r="G237" s="1">
        <f t="shared" si="27"/>
        <v>2575.241</v>
      </c>
      <c r="H237" s="4">
        <v>1506.0300000000002</v>
      </c>
      <c r="I237" s="4">
        <v>0</v>
      </c>
      <c r="J237" s="4" t="s">
        <v>25</v>
      </c>
      <c r="K237" s="8">
        <v>3087.97</v>
      </c>
      <c r="L237" t="s">
        <v>12</v>
      </c>
      <c r="M237" t="s">
        <v>9</v>
      </c>
      <c r="N237" s="26">
        <f>VLOOKUP(A237,[1]PGReconsile!$A$1:$E$642,5,0)</f>
        <v>45900.693749999999</v>
      </c>
    </row>
    <row r="238" spans="1:14" x14ac:dyDescent="0.3">
      <c r="A238">
        <v>8638580090</v>
      </c>
      <c r="B238">
        <v>2769</v>
      </c>
      <c r="C238" s="1">
        <v>686.15800000000002</v>
      </c>
      <c r="D238" s="1">
        <v>71.98</v>
      </c>
      <c r="E238" s="1">
        <v>309.04200000000003</v>
      </c>
      <c r="F238">
        <v>1996.028</v>
      </c>
      <c r="G238" s="1">
        <f t="shared" si="27"/>
        <v>1686.9859999999999</v>
      </c>
      <c r="H238" s="4">
        <v>772.97199999999998</v>
      </c>
      <c r="I238" s="4">
        <v>0</v>
      </c>
      <c r="J238" s="4" t="s">
        <v>25</v>
      </c>
      <c r="K238" s="8">
        <v>1996.028</v>
      </c>
      <c r="L238" t="s">
        <v>12</v>
      </c>
      <c r="M238" t="s">
        <v>9</v>
      </c>
      <c r="N238" s="26">
        <f>VLOOKUP(A238,[1]PGReconsile!$A$1:$E$642,5,0)</f>
        <v>45899.442361111112</v>
      </c>
    </row>
    <row r="239" spans="1:14" x14ac:dyDescent="0.3">
      <c r="A239">
        <v>8614786485</v>
      </c>
      <c r="B239">
        <v>2994</v>
      </c>
      <c r="C239" s="1">
        <v>635.92600000000004</v>
      </c>
      <c r="D239" s="1">
        <v>71.97999999999999</v>
      </c>
      <c r="E239" s="1">
        <v>334.15600000000001</v>
      </c>
      <c r="F239">
        <v>2270.0549999999998</v>
      </c>
      <c r="G239" s="1">
        <f t="shared" si="27"/>
        <v>1935.8989999999999</v>
      </c>
      <c r="H239" s="4">
        <v>723.94500000000016</v>
      </c>
      <c r="I239" s="4">
        <v>0</v>
      </c>
      <c r="J239" s="4" t="s">
        <v>25</v>
      </c>
      <c r="K239" s="8">
        <v>2270.0549999999998</v>
      </c>
      <c r="L239" t="s">
        <v>12</v>
      </c>
      <c r="M239" t="s">
        <v>9</v>
      </c>
      <c r="N239" s="26">
        <f>VLOOKUP(A239,[1]PGReconsile!$A$1:$E$642,5,0)</f>
        <v>45882.453472222223</v>
      </c>
    </row>
    <row r="240" spans="1:14" x14ac:dyDescent="0.3">
      <c r="A240">
        <v>8650143286</v>
      </c>
      <c r="B240">
        <v>3294</v>
      </c>
      <c r="C240" s="1">
        <v>1049.4690000000001</v>
      </c>
      <c r="D240" s="1">
        <v>71.98</v>
      </c>
      <c r="E240" s="1">
        <v>367.63499999999999</v>
      </c>
      <c r="F240">
        <v>2154.9050000000002</v>
      </c>
      <c r="G240" s="1">
        <f t="shared" si="27"/>
        <v>1787.2700000000002</v>
      </c>
      <c r="H240" s="4">
        <v>1139.0949999999998</v>
      </c>
      <c r="I240" s="4">
        <v>0</v>
      </c>
      <c r="J240" s="4" t="s">
        <v>25</v>
      </c>
      <c r="K240" s="8">
        <v>2154.9050000000002</v>
      </c>
      <c r="L240" t="s">
        <v>12</v>
      </c>
      <c r="M240" t="s">
        <v>9</v>
      </c>
      <c r="N240" s="26">
        <f>VLOOKUP(A240,[1]PGReconsile!$A$1:$E$642,5,0)</f>
        <v>45905.805555555555</v>
      </c>
    </row>
    <row r="241" spans="1:14" x14ac:dyDescent="0.3">
      <c r="A241">
        <v>8655246903</v>
      </c>
      <c r="B241">
        <v>1919</v>
      </c>
      <c r="C241" s="1">
        <v>430.24</v>
      </c>
      <c r="D241" s="1">
        <v>53.1</v>
      </c>
      <c r="E241" s="1">
        <v>214.17700000000002</v>
      </c>
      <c r="F241">
        <v>1425.38</v>
      </c>
      <c r="G241" s="1">
        <f t="shared" si="27"/>
        <v>1211.203</v>
      </c>
      <c r="H241" s="4">
        <v>493.61999999999989</v>
      </c>
      <c r="I241" s="4">
        <v>0</v>
      </c>
      <c r="J241" s="4" t="s">
        <v>25</v>
      </c>
      <c r="K241" s="8">
        <v>1425.38</v>
      </c>
      <c r="L241" t="s">
        <v>12</v>
      </c>
      <c r="M241" t="s">
        <v>9</v>
      </c>
      <c r="N241" s="26">
        <f>VLOOKUP(A241,[1]PGReconsile!$A$1:$E$642,5,0)</f>
        <v>45908.48333333333</v>
      </c>
    </row>
    <row r="242" spans="1:14" x14ac:dyDescent="0.3">
      <c r="A242">
        <v>8642965422</v>
      </c>
      <c r="B242">
        <v>2556</v>
      </c>
      <c r="C242" s="1">
        <v>633.37699999999995</v>
      </c>
      <c r="D242" s="1">
        <v>71.98</v>
      </c>
      <c r="E242" s="1">
        <v>285.27100000000002</v>
      </c>
      <c r="F242">
        <v>1836.95</v>
      </c>
      <c r="G242" s="1">
        <f t="shared" si="27"/>
        <v>1551.6790000000001</v>
      </c>
      <c r="H242" s="4">
        <v>719.05</v>
      </c>
      <c r="I242" s="4">
        <v>0</v>
      </c>
      <c r="J242" s="4" t="s">
        <v>25</v>
      </c>
      <c r="K242" s="8">
        <v>1836.95</v>
      </c>
      <c r="L242" t="s">
        <v>12</v>
      </c>
      <c r="M242" t="s">
        <v>9</v>
      </c>
      <c r="N242" s="26">
        <f>VLOOKUP(A242,[1]PGReconsile!$A$1:$E$642,5,0)</f>
        <v>45902.448611111111</v>
      </c>
    </row>
    <row r="243" spans="1:14" x14ac:dyDescent="0.3">
      <c r="A243">
        <v>8649864856</v>
      </c>
      <c r="B243">
        <v>3294</v>
      </c>
      <c r="C243" s="1">
        <v>1049.4680000000001</v>
      </c>
      <c r="D243" s="1">
        <v>71.98</v>
      </c>
      <c r="E243" s="1">
        <v>367.63499999999999</v>
      </c>
      <c r="F243">
        <v>2154.9059999999999</v>
      </c>
      <c r="G243" s="1">
        <f t="shared" si="27"/>
        <v>1787.271</v>
      </c>
      <c r="H243" s="4">
        <v>1139.0940000000001</v>
      </c>
      <c r="I243" s="4">
        <f>VLOOKUP(A243,[1]PGReverse_all!$A$1:$FK$281,167,0)</f>
        <v>197.06</v>
      </c>
      <c r="J243" s="4">
        <f>F243+D243+I243</f>
        <v>2423.9459999999999</v>
      </c>
      <c r="K243" s="7">
        <v>-269.03999999999996</v>
      </c>
      <c r="L243" t="s">
        <v>11</v>
      </c>
      <c r="M243" t="s">
        <v>9</v>
      </c>
      <c r="N243" s="26">
        <f>VLOOKUP(A243,[1]PGReconsile!$A$1:$E$642,5,0)</f>
        <v>45905.578472222223</v>
      </c>
    </row>
    <row r="244" spans="1:14" x14ac:dyDescent="0.3">
      <c r="A244">
        <v>8657183923</v>
      </c>
      <c r="B244">
        <v>2994</v>
      </c>
      <c r="C244" s="1">
        <v>741.91300000000001</v>
      </c>
      <c r="D244" s="1">
        <v>71.98</v>
      </c>
      <c r="E244" s="1">
        <v>334.15600000000001</v>
      </c>
      <c r="F244">
        <v>2164.0680000000002</v>
      </c>
      <c r="G244" s="1">
        <f t="shared" si="27"/>
        <v>1829.9120000000003</v>
      </c>
      <c r="H244" s="4">
        <v>829.93199999999979</v>
      </c>
      <c r="I244" s="4">
        <v>0</v>
      </c>
      <c r="J244" s="4" t="s">
        <v>25</v>
      </c>
      <c r="K244" s="8">
        <v>2164.0680000000002</v>
      </c>
      <c r="L244" t="s">
        <v>12</v>
      </c>
      <c r="M244" t="s">
        <v>9</v>
      </c>
      <c r="N244" s="26">
        <f>VLOOKUP(A244,[1]PGReconsile!$A$1:$E$642,5,0)</f>
        <v>45909.456250000003</v>
      </c>
    </row>
    <row r="245" spans="1:14" x14ac:dyDescent="0.3">
      <c r="A245">
        <v>8630036288</v>
      </c>
      <c r="B245">
        <v>954</v>
      </c>
      <c r="C245" s="1">
        <v>258.916</v>
      </c>
      <c r="D245" s="1">
        <v>31.86</v>
      </c>
      <c r="E245" s="1">
        <v>49.972999999999999</v>
      </c>
      <c r="F245">
        <v>657.77200000000005</v>
      </c>
      <c r="G245" s="1">
        <f t="shared" si="27"/>
        <v>607.79900000000009</v>
      </c>
      <c r="H245" s="4">
        <v>296.22799999999995</v>
      </c>
      <c r="I245" s="4">
        <v>0</v>
      </c>
      <c r="J245" s="4" t="s">
        <v>25</v>
      </c>
      <c r="K245" s="8">
        <v>657.77200000000005</v>
      </c>
      <c r="L245" t="s">
        <v>12</v>
      </c>
      <c r="M245" t="s">
        <v>9</v>
      </c>
      <c r="N245" s="26">
        <f>VLOOKUP(A245,[1]PGReconsile!$A$1:$E$642,5,0)</f>
        <v>45892.679861111108</v>
      </c>
    </row>
    <row r="246" spans="1:14" x14ac:dyDescent="0.3">
      <c r="A246">
        <v>8617829141</v>
      </c>
      <c r="B246">
        <v>3294</v>
      </c>
      <c r="C246" s="1">
        <v>1049.4680000000001</v>
      </c>
      <c r="D246" s="1">
        <v>71.98</v>
      </c>
      <c r="E246" s="1">
        <v>367.63499999999999</v>
      </c>
      <c r="F246">
        <v>2154.9059999999999</v>
      </c>
      <c r="G246" s="1">
        <f t="shared" si="27"/>
        <v>1787.271</v>
      </c>
      <c r="H246" s="4">
        <v>1139.0940000000001</v>
      </c>
      <c r="I246" s="4">
        <f>VLOOKUP(A246,[1]PGReverse_all!$A$1:$FK$281,167,0)</f>
        <v>132.16</v>
      </c>
      <c r="J246" s="4">
        <f t="shared" ref="J246:J249" si="32">F246+D246+I246</f>
        <v>2359.0459999999998</v>
      </c>
      <c r="K246" s="7">
        <v>-204.13999999999987</v>
      </c>
      <c r="L246" t="s">
        <v>11</v>
      </c>
      <c r="M246" t="s">
        <v>9</v>
      </c>
      <c r="N246" s="26">
        <f>VLOOKUP(A246,[1]PGReconsile!$A$1:$E$642,5,0)</f>
        <v>45888.475694444445</v>
      </c>
    </row>
    <row r="247" spans="1:14" x14ac:dyDescent="0.3">
      <c r="A247">
        <v>8624683466</v>
      </c>
      <c r="B247">
        <v>2719</v>
      </c>
      <c r="C247" s="1">
        <v>673.76800000000003</v>
      </c>
      <c r="D247" s="1">
        <v>71.98</v>
      </c>
      <c r="E247" s="1">
        <v>303.45799999999997</v>
      </c>
      <c r="F247">
        <v>1958.6859999999999</v>
      </c>
      <c r="G247" s="1">
        <f t="shared" si="27"/>
        <v>1655.2280000000001</v>
      </c>
      <c r="H247" s="4">
        <v>760.31400000000008</v>
      </c>
      <c r="I247" s="4">
        <f>VLOOKUP(A247,[1]PGReverse_all!$A$1:$FK$281,167,0)</f>
        <v>107.38</v>
      </c>
      <c r="J247" s="4">
        <f t="shared" si="32"/>
        <v>2138.0459999999998</v>
      </c>
      <c r="K247" s="7">
        <v>-179.3599999999999</v>
      </c>
      <c r="L247" t="s">
        <v>11</v>
      </c>
      <c r="M247" t="s">
        <v>9</v>
      </c>
      <c r="N247" s="26">
        <f>VLOOKUP(A247,[1]PGReconsile!$A$1:$E$642,5,0)</f>
        <v>45889.78125</v>
      </c>
    </row>
    <row r="248" spans="1:14" x14ac:dyDescent="0.3">
      <c r="A248">
        <v>8635171830</v>
      </c>
      <c r="B248">
        <v>3056</v>
      </c>
      <c r="C248" s="1">
        <v>649.09400000000005</v>
      </c>
      <c r="D248" s="1">
        <v>71.97999999999999</v>
      </c>
      <c r="E248" s="1">
        <v>341.06299999999999</v>
      </c>
      <c r="F248">
        <v>2318.5540000000001</v>
      </c>
      <c r="G248" s="1">
        <f t="shared" si="27"/>
        <v>1977.491</v>
      </c>
      <c r="H248" s="4">
        <v>737.44599999999991</v>
      </c>
      <c r="I248" s="4">
        <f>VLOOKUP(A248,[1]PGReverse_all!$A$1:$FK$281,167,0)</f>
        <v>132.16</v>
      </c>
      <c r="J248" s="4">
        <f t="shared" si="32"/>
        <v>2522.694</v>
      </c>
      <c r="K248" s="7">
        <v>-204.13999999999987</v>
      </c>
      <c r="L248" t="s">
        <v>11</v>
      </c>
      <c r="M248" t="s">
        <v>9</v>
      </c>
      <c r="N248" s="26">
        <f>VLOOKUP(A248,[1]PGReconsile!$A$1:$E$642,5,0)</f>
        <v>45897.440972222219</v>
      </c>
    </row>
    <row r="249" spans="1:14" x14ac:dyDescent="0.3">
      <c r="A249">
        <v>8613771637</v>
      </c>
      <c r="B249">
        <v>4594</v>
      </c>
      <c r="C249" s="1">
        <v>1301.021</v>
      </c>
      <c r="D249" s="1">
        <v>71.98</v>
      </c>
      <c r="E249" s="1">
        <v>512.71899999999994</v>
      </c>
      <c r="F249">
        <v>3196.3879999999999</v>
      </c>
      <c r="G249" s="1">
        <f t="shared" si="27"/>
        <v>2683.6689999999999</v>
      </c>
      <c r="H249" s="4">
        <v>1397.6120000000001</v>
      </c>
      <c r="I249" s="4">
        <f>VLOOKUP(A249,[1]PGReverse_all!$A$1:$FK$281,167,0)</f>
        <v>197.06</v>
      </c>
      <c r="J249" s="4">
        <f t="shared" si="32"/>
        <v>3465.4279999999999</v>
      </c>
      <c r="K249" s="7">
        <v>-269.03999999999996</v>
      </c>
      <c r="L249" t="s">
        <v>11</v>
      </c>
      <c r="M249" t="s">
        <v>9</v>
      </c>
      <c r="N249" s="26">
        <f>VLOOKUP(A249,[1]PGReconsile!$A$1:$E$642,5,0)</f>
        <v>45881.771527777775</v>
      </c>
    </row>
    <row r="250" spans="1:14" x14ac:dyDescent="0.3">
      <c r="A250">
        <v>8624909764</v>
      </c>
      <c r="B250">
        <v>1109</v>
      </c>
      <c r="C250" s="1">
        <v>248.63800000000001</v>
      </c>
      <c r="D250" s="1">
        <v>53.1</v>
      </c>
      <c r="E250" s="1">
        <v>123.77099999999999</v>
      </c>
      <c r="F250">
        <v>801.32100000000003</v>
      </c>
      <c r="G250" s="1">
        <f t="shared" si="27"/>
        <v>677.55000000000007</v>
      </c>
      <c r="H250" s="4">
        <v>307.67899999999997</v>
      </c>
      <c r="I250" s="4">
        <v>0</v>
      </c>
      <c r="J250" s="4" t="s">
        <v>25</v>
      </c>
      <c r="K250" s="8">
        <v>801.32100000000003</v>
      </c>
      <c r="L250" t="s">
        <v>12</v>
      </c>
      <c r="M250" t="s">
        <v>9</v>
      </c>
      <c r="N250" s="26">
        <f>VLOOKUP(A250,[1]PGReconsile!$A$1:$E$642,5,0)</f>
        <v>45889.78125</v>
      </c>
    </row>
    <row r="251" spans="1:14" x14ac:dyDescent="0.3">
      <c r="A251">
        <v>8642873485</v>
      </c>
      <c r="B251">
        <v>729</v>
      </c>
      <c r="C251" s="1">
        <v>215.05500000000001</v>
      </c>
      <c r="D251" s="1">
        <v>31.86</v>
      </c>
      <c r="E251" s="1">
        <v>38.180999999999997</v>
      </c>
      <c r="F251">
        <v>477.92</v>
      </c>
      <c r="G251" s="1">
        <f t="shared" si="27"/>
        <v>439.73900000000003</v>
      </c>
      <c r="H251" s="4">
        <v>251.07999999999998</v>
      </c>
      <c r="I251" s="4">
        <v>0</v>
      </c>
      <c r="J251" s="4" t="s">
        <v>25</v>
      </c>
      <c r="K251" s="8">
        <v>477.92</v>
      </c>
      <c r="L251" t="s">
        <v>12</v>
      </c>
      <c r="M251" t="s">
        <v>9</v>
      </c>
      <c r="N251" s="26">
        <f>VLOOKUP(A251,[1]PGReconsile!$A$1:$E$642,5,0)</f>
        <v>45902.448611111111</v>
      </c>
    </row>
    <row r="252" spans="1:14" x14ac:dyDescent="0.3">
      <c r="A252">
        <v>8622999029</v>
      </c>
      <c r="B252">
        <v>2606</v>
      </c>
      <c r="C252" s="1">
        <v>645.76700000000005</v>
      </c>
      <c r="D252" s="1">
        <v>71.98</v>
      </c>
      <c r="E252" s="1">
        <v>290.84399999999999</v>
      </c>
      <c r="F252">
        <v>1874.2919999999999</v>
      </c>
      <c r="G252" s="1">
        <f t="shared" si="27"/>
        <v>1583.4479999999999</v>
      </c>
      <c r="H252" s="4">
        <v>731.70800000000008</v>
      </c>
      <c r="I252" s="4">
        <f>VLOOKUP(A252,[1]PGReverse_all!$A$1:$FK$281,167,0)</f>
        <v>132.16</v>
      </c>
      <c r="J252" s="4">
        <f t="shared" ref="J252:J256" si="33">F252+D252+I252</f>
        <v>2078.4319999999998</v>
      </c>
      <c r="K252" s="7">
        <v>-204.13999999999987</v>
      </c>
      <c r="L252" t="s">
        <v>11</v>
      </c>
      <c r="M252" t="s">
        <v>9</v>
      </c>
      <c r="N252" s="26">
        <f>VLOOKUP(A252,[1]PGReconsile!$A$1:$E$642,5,0)</f>
        <v>45888.475694444445</v>
      </c>
    </row>
    <row r="253" spans="1:14" x14ac:dyDescent="0.3">
      <c r="A253">
        <v>8658713369</v>
      </c>
      <c r="B253">
        <v>3644</v>
      </c>
      <c r="C253" s="1">
        <v>1160.9780000000001</v>
      </c>
      <c r="D253" s="1">
        <v>71.98</v>
      </c>
      <c r="E253" s="1">
        <v>406.68799999999999</v>
      </c>
      <c r="F253">
        <v>2391.52</v>
      </c>
      <c r="G253" s="1">
        <f t="shared" si="27"/>
        <v>1984.8319999999999</v>
      </c>
      <c r="H253" s="4">
        <v>1252.48</v>
      </c>
      <c r="I253" s="4">
        <f>VLOOKUP(A253,[1]PGReverse_all!$A$1:$FK$281,167,0)</f>
        <v>107.38</v>
      </c>
      <c r="J253" s="4">
        <f t="shared" si="33"/>
        <v>2570.88</v>
      </c>
      <c r="K253" s="7">
        <v>-179.36000000000013</v>
      </c>
      <c r="L253" t="s">
        <v>11</v>
      </c>
      <c r="M253" t="s">
        <v>9</v>
      </c>
      <c r="N253" s="26">
        <f>VLOOKUP(A253,[1]PGReconsile!$A$1:$E$642,5,0)</f>
        <v>45910.459722222222</v>
      </c>
    </row>
    <row r="254" spans="1:14" x14ac:dyDescent="0.3">
      <c r="A254">
        <v>8627097597</v>
      </c>
      <c r="B254">
        <v>3594</v>
      </c>
      <c r="C254" s="1">
        <v>1102.6389999999999</v>
      </c>
      <c r="D254" s="1">
        <v>71.98</v>
      </c>
      <c r="E254" s="1">
        <v>401.11500000000001</v>
      </c>
      <c r="F254">
        <v>2400.127</v>
      </c>
      <c r="G254" s="1">
        <f t="shared" si="27"/>
        <v>1999.0119999999999</v>
      </c>
      <c r="H254" s="4">
        <v>1193.873</v>
      </c>
      <c r="I254" s="4">
        <f>VLOOKUP(A254,[1]PGReverse_all!$A$1:$FK$281,167,0)</f>
        <v>197.06</v>
      </c>
      <c r="J254" s="4">
        <f t="shared" si="33"/>
        <v>2669.1669999999999</v>
      </c>
      <c r="K254" s="7">
        <v>-269.03999999999996</v>
      </c>
      <c r="L254" t="s">
        <v>11</v>
      </c>
      <c r="M254" t="s">
        <v>9</v>
      </c>
      <c r="N254" s="26">
        <f>VLOOKUP(A254,[1]PGReconsile!$A$1:$E$642,5,0)</f>
        <v>45891.470833333333</v>
      </c>
    </row>
    <row r="255" spans="1:14" x14ac:dyDescent="0.3">
      <c r="A255">
        <v>8647895633</v>
      </c>
      <c r="B255">
        <v>2768.99</v>
      </c>
      <c r="C255" s="1">
        <v>588.13300000000004</v>
      </c>
      <c r="D255" s="1">
        <v>71.98</v>
      </c>
      <c r="E255" s="1">
        <v>309.04200000000003</v>
      </c>
      <c r="F255">
        <v>2094.0430000000001</v>
      </c>
      <c r="G255" s="1">
        <f t="shared" si="27"/>
        <v>1785.0010000000002</v>
      </c>
      <c r="H255" s="4">
        <v>674.94699999999966</v>
      </c>
      <c r="I255" s="4">
        <f>VLOOKUP(A255,[1]PGReverse_all!$A$1:$FK$281,167,0)</f>
        <v>132.16</v>
      </c>
      <c r="J255" s="4">
        <f t="shared" si="33"/>
        <v>2298.183</v>
      </c>
      <c r="K255" s="7">
        <v>-204.13999999999987</v>
      </c>
      <c r="L255" t="s">
        <v>11</v>
      </c>
      <c r="M255" t="s">
        <v>9</v>
      </c>
      <c r="N255" s="26">
        <f>VLOOKUP(A255,[1]PGReconsile!$A$1:$E$642,5,0)</f>
        <v>45904.486805555556</v>
      </c>
    </row>
    <row r="256" spans="1:14" x14ac:dyDescent="0.3">
      <c r="A256">
        <v>8652499305</v>
      </c>
      <c r="B256">
        <v>2344</v>
      </c>
      <c r="C256" s="1">
        <v>746.798</v>
      </c>
      <c r="D256" s="1">
        <v>71.98</v>
      </c>
      <c r="E256" s="1">
        <v>261.60399999999998</v>
      </c>
      <c r="F256">
        <v>1512.665</v>
      </c>
      <c r="G256" s="1">
        <f t="shared" si="27"/>
        <v>1251.0609999999999</v>
      </c>
      <c r="H256" s="4">
        <v>831.33500000000004</v>
      </c>
      <c r="I256" s="4">
        <f>VLOOKUP(A256,[1]PGReverse_all!$A$1:$FK$281,167,0)</f>
        <v>107.38</v>
      </c>
      <c r="J256" s="4">
        <f t="shared" si="33"/>
        <v>1692.0250000000001</v>
      </c>
      <c r="K256" s="7">
        <v>-179.36000000000013</v>
      </c>
      <c r="L256" t="s">
        <v>11</v>
      </c>
      <c r="M256" t="s">
        <v>9</v>
      </c>
      <c r="N256" s="26">
        <f>VLOOKUP(A256,[1]PGReconsile!$A$1:$E$642,5,0)</f>
        <v>45906.671527777777</v>
      </c>
    </row>
    <row r="257" spans="1:14" x14ac:dyDescent="0.3">
      <c r="A257">
        <v>8641175399</v>
      </c>
      <c r="B257">
        <v>2419</v>
      </c>
      <c r="C257" s="1">
        <v>513.79600000000005</v>
      </c>
      <c r="D257" s="1">
        <v>71.98</v>
      </c>
      <c r="E257" s="1">
        <v>269.97899999999998</v>
      </c>
      <c r="F257">
        <v>1820.2650000000001</v>
      </c>
      <c r="G257" s="1">
        <f t="shared" si="27"/>
        <v>1550.2860000000001</v>
      </c>
      <c r="H257" s="4">
        <v>598.7349999999999</v>
      </c>
      <c r="I257" s="4">
        <v>0</v>
      </c>
      <c r="J257" s="4" t="s">
        <v>25</v>
      </c>
      <c r="K257" s="8">
        <v>1820.2650000000001</v>
      </c>
      <c r="L257" t="s">
        <v>12</v>
      </c>
      <c r="M257" t="s">
        <v>9</v>
      </c>
      <c r="N257" s="26">
        <f>VLOOKUP(A257,[1]PGReconsile!$A$1:$E$642,5,0)</f>
        <v>45901.459027777775</v>
      </c>
    </row>
    <row r="258" spans="1:14" x14ac:dyDescent="0.3">
      <c r="A258">
        <v>8639253705</v>
      </c>
      <c r="B258">
        <v>2944</v>
      </c>
      <c r="C258" s="1">
        <v>729.52300000000002</v>
      </c>
      <c r="D258" s="1">
        <v>71.98</v>
      </c>
      <c r="E258" s="1">
        <v>328.57299999999998</v>
      </c>
      <c r="F258">
        <v>2126.7249999999999</v>
      </c>
      <c r="G258" s="1">
        <f t="shared" si="27"/>
        <v>1798.152</v>
      </c>
      <c r="H258" s="4">
        <v>817.27500000000009</v>
      </c>
      <c r="I258" s="4">
        <f>VLOOKUP(A258,[1]PGReverse_all!$A$1:$FK$281,167,0)</f>
        <v>197.06</v>
      </c>
      <c r="J258" s="4">
        <f>F258+D258+I258</f>
        <v>2395.7649999999999</v>
      </c>
      <c r="K258" s="7">
        <v>-269.03999999999996</v>
      </c>
      <c r="L258" t="s">
        <v>11</v>
      </c>
      <c r="M258" t="s">
        <v>9</v>
      </c>
      <c r="N258" s="26">
        <f>VLOOKUP(A258,[1]PGReconsile!$A$1:$E$642,5,0)</f>
        <v>45899.763888888891</v>
      </c>
    </row>
    <row r="259" spans="1:14" x14ac:dyDescent="0.3">
      <c r="A259">
        <v>8642965423</v>
      </c>
      <c r="B259">
        <v>2769</v>
      </c>
      <c r="C259" s="1">
        <v>686.15800000000002</v>
      </c>
      <c r="D259" s="1">
        <v>71.98</v>
      </c>
      <c r="E259" s="1">
        <v>309.04200000000003</v>
      </c>
      <c r="F259">
        <v>1996.028</v>
      </c>
      <c r="G259" s="1">
        <f t="shared" ref="G259:G322" si="34">F259-E259</f>
        <v>1686.9859999999999</v>
      </c>
      <c r="H259" s="4">
        <v>772.97199999999998</v>
      </c>
      <c r="I259" s="4">
        <v>0</v>
      </c>
      <c r="J259" s="4" t="s">
        <v>25</v>
      </c>
      <c r="K259" s="8">
        <v>1996.028</v>
      </c>
      <c r="L259" t="s">
        <v>12</v>
      </c>
      <c r="M259" t="s">
        <v>9</v>
      </c>
      <c r="N259" s="26">
        <f>VLOOKUP(A259,[1]PGReconsile!$A$1:$E$642,5,0)</f>
        <v>45902.448611111111</v>
      </c>
    </row>
    <row r="260" spans="1:14" x14ac:dyDescent="0.3">
      <c r="A260">
        <v>8648630547</v>
      </c>
      <c r="B260">
        <v>3994</v>
      </c>
      <c r="C260" s="1">
        <v>1272.4880000000001</v>
      </c>
      <c r="D260" s="1">
        <v>71.98</v>
      </c>
      <c r="E260" s="1">
        <v>445.76100000000002</v>
      </c>
      <c r="F260">
        <v>2628.1350000000002</v>
      </c>
      <c r="G260" s="1">
        <f t="shared" si="34"/>
        <v>2182.3740000000003</v>
      </c>
      <c r="H260" s="4">
        <v>1365.8649999999998</v>
      </c>
      <c r="I260" s="4">
        <v>0</v>
      </c>
      <c r="J260" s="4" t="s">
        <v>25</v>
      </c>
      <c r="K260" s="8">
        <v>2628.1350000000002</v>
      </c>
      <c r="L260" t="s">
        <v>12</v>
      </c>
      <c r="M260" t="s">
        <v>9</v>
      </c>
      <c r="N260" s="26">
        <f>VLOOKUP(A260,[1]PGReconsile!$A$1:$E$642,5,0)</f>
        <v>45904.818749999999</v>
      </c>
    </row>
    <row r="261" spans="1:14" x14ac:dyDescent="0.3">
      <c r="A261">
        <v>8616941569</v>
      </c>
      <c r="B261">
        <v>2494</v>
      </c>
      <c r="C261" s="1">
        <v>794.58799999999997</v>
      </c>
      <c r="D261" s="1">
        <v>71.98</v>
      </c>
      <c r="E261" s="1">
        <v>278.34399999999999</v>
      </c>
      <c r="F261">
        <v>1614.0709999999999</v>
      </c>
      <c r="G261" s="1">
        <f t="shared" si="34"/>
        <v>1335.7269999999999</v>
      </c>
      <c r="H261" s="4">
        <v>879.92900000000009</v>
      </c>
      <c r="I261" s="4">
        <f>VLOOKUP(A261,[1]PGReverse_all!$A$1:$FK$281,167,0)</f>
        <v>197.06</v>
      </c>
      <c r="J261" s="4">
        <f>F261+D261+I261</f>
        <v>1883.1109999999999</v>
      </c>
      <c r="K261" s="7">
        <v>-269.03999999999996</v>
      </c>
      <c r="L261" t="s">
        <v>11</v>
      </c>
      <c r="M261" t="s">
        <v>9</v>
      </c>
      <c r="N261" s="26">
        <f>VLOOKUP(A261,[1]PGReconsile!$A$1:$E$642,5,0)</f>
        <v>45883.799305555556</v>
      </c>
    </row>
    <row r="262" spans="1:14" x14ac:dyDescent="0.3">
      <c r="A262">
        <v>8656641164</v>
      </c>
      <c r="B262">
        <v>2994</v>
      </c>
      <c r="C262" s="1">
        <v>741.91300000000001</v>
      </c>
      <c r="D262" s="1">
        <v>71.98</v>
      </c>
      <c r="E262" s="1">
        <v>334.15600000000001</v>
      </c>
      <c r="F262">
        <v>2164.0680000000002</v>
      </c>
      <c r="G262" s="1">
        <f t="shared" si="34"/>
        <v>1829.9120000000003</v>
      </c>
      <c r="H262" s="4">
        <v>829.93199999999979</v>
      </c>
      <c r="I262" s="4">
        <v>0</v>
      </c>
      <c r="J262" s="4" t="s">
        <v>25</v>
      </c>
      <c r="K262" s="8">
        <v>2164.0680000000002</v>
      </c>
      <c r="L262" t="s">
        <v>12</v>
      </c>
      <c r="M262" t="s">
        <v>9</v>
      </c>
      <c r="N262" s="26">
        <f>VLOOKUP(A262,[1]PGReconsile!$A$1:$E$642,5,0)</f>
        <v>45909.456250000003</v>
      </c>
    </row>
    <row r="263" spans="1:14" x14ac:dyDescent="0.3">
      <c r="A263">
        <v>8640417637</v>
      </c>
      <c r="B263">
        <v>3194</v>
      </c>
      <c r="C263" s="1">
        <v>791.47299999999996</v>
      </c>
      <c r="D263" s="1">
        <v>71.98</v>
      </c>
      <c r="E263" s="1">
        <v>356.46899999999999</v>
      </c>
      <c r="F263">
        <v>2313.4360000000001</v>
      </c>
      <c r="G263" s="1">
        <f t="shared" si="34"/>
        <v>1956.9670000000001</v>
      </c>
      <c r="H263" s="4">
        <v>880.56399999999985</v>
      </c>
      <c r="I263" s="4">
        <f>VLOOKUP(A263,[1]PGReverse_all!$A$1:$FK$281,167,0)</f>
        <v>197.06</v>
      </c>
      <c r="J263" s="4">
        <f t="shared" ref="J263:J264" si="35">F263+D263+I263</f>
        <v>2582.4760000000001</v>
      </c>
      <c r="K263" s="7">
        <v>-269.03999999999996</v>
      </c>
      <c r="L263" t="s">
        <v>11</v>
      </c>
      <c r="M263" t="s">
        <v>9</v>
      </c>
      <c r="N263" s="26">
        <f>VLOOKUP(A263,[1]PGReconsile!$A$1:$E$642,5,0)</f>
        <v>45900.693749999999</v>
      </c>
    </row>
    <row r="264" spans="1:14" x14ac:dyDescent="0.3">
      <c r="A264">
        <v>8637571130</v>
      </c>
      <c r="B264">
        <v>3619</v>
      </c>
      <c r="C264" s="1">
        <v>896.78800000000001</v>
      </c>
      <c r="D264" s="1">
        <v>71.98</v>
      </c>
      <c r="E264" s="1">
        <v>403.90600000000001</v>
      </c>
      <c r="F264">
        <v>2630.8449999999998</v>
      </c>
      <c r="G264" s="1">
        <f t="shared" si="34"/>
        <v>2226.9389999999999</v>
      </c>
      <c r="H264" s="4">
        <v>988.1550000000002</v>
      </c>
      <c r="I264" s="4">
        <f>VLOOKUP(A264,[1]PGReverse_all!$A$1:$FK$281,167,0)</f>
        <v>197.06</v>
      </c>
      <c r="J264" s="4">
        <f t="shared" si="35"/>
        <v>2899.8849999999998</v>
      </c>
      <c r="K264" s="7">
        <v>-269.03999999999996</v>
      </c>
      <c r="L264" t="s">
        <v>11</v>
      </c>
      <c r="M264" t="s">
        <v>9</v>
      </c>
      <c r="N264" s="26">
        <f>VLOOKUP(A264,[1]PGReconsile!$A$1:$E$642,5,0)</f>
        <v>45898.775000000001</v>
      </c>
    </row>
    <row r="265" spans="1:14" x14ac:dyDescent="0.3">
      <c r="A265">
        <v>8618096250</v>
      </c>
      <c r="B265">
        <v>1066</v>
      </c>
      <c r="C265" s="1">
        <v>276.73399999999998</v>
      </c>
      <c r="D265" s="1">
        <v>53.1</v>
      </c>
      <c r="E265" s="1">
        <v>118.96899999999999</v>
      </c>
      <c r="F265">
        <v>730.45500000000004</v>
      </c>
      <c r="G265" s="1">
        <f t="shared" si="34"/>
        <v>611.4860000000001</v>
      </c>
      <c r="H265" s="4">
        <v>335.54499999999996</v>
      </c>
      <c r="I265" s="4">
        <v>0</v>
      </c>
      <c r="J265" s="4" t="s">
        <v>25</v>
      </c>
      <c r="K265" s="8">
        <v>730.45500000000004</v>
      </c>
      <c r="L265" t="s">
        <v>12</v>
      </c>
      <c r="M265" t="s">
        <v>9</v>
      </c>
      <c r="N265" s="26">
        <f>VLOOKUP(A265,[1]PGReconsile!$A$1:$E$642,5,0)</f>
        <v>45885.463194444441</v>
      </c>
    </row>
    <row r="266" spans="1:14" x14ac:dyDescent="0.3">
      <c r="A266">
        <v>8626206228</v>
      </c>
      <c r="B266">
        <v>2981</v>
      </c>
      <c r="C266" s="1">
        <v>738.69200000000001</v>
      </c>
      <c r="D266" s="1">
        <v>71.98</v>
      </c>
      <c r="E266" s="1">
        <v>332.69799999999998</v>
      </c>
      <c r="F266">
        <v>2154.3580000000002</v>
      </c>
      <c r="G266" s="1">
        <f t="shared" si="34"/>
        <v>1821.6600000000003</v>
      </c>
      <c r="H266" s="4">
        <v>826.64199999999983</v>
      </c>
      <c r="I266" s="4">
        <v>0</v>
      </c>
      <c r="J266" s="4" t="s">
        <v>25</v>
      </c>
      <c r="K266" s="8">
        <v>2154.3580000000002</v>
      </c>
      <c r="L266" t="s">
        <v>12</v>
      </c>
      <c r="M266" t="s">
        <v>9</v>
      </c>
      <c r="N266" s="26">
        <f>VLOOKUP(A266,[1]PGReconsile!$A$1:$E$642,5,0)</f>
        <v>45890.655555555553</v>
      </c>
    </row>
    <row r="267" spans="1:14" x14ac:dyDescent="0.3">
      <c r="A267">
        <v>8639701061</v>
      </c>
      <c r="B267">
        <v>3194</v>
      </c>
      <c r="C267" s="1">
        <v>791.47299999999996</v>
      </c>
      <c r="D267" s="1">
        <v>71.98</v>
      </c>
      <c r="E267" s="1">
        <v>356.47900000000004</v>
      </c>
      <c r="F267">
        <v>2313.4360000000001</v>
      </c>
      <c r="G267" s="1">
        <f t="shared" si="34"/>
        <v>1956.9570000000001</v>
      </c>
      <c r="H267" s="4">
        <v>880.56399999999985</v>
      </c>
      <c r="I267" s="4">
        <v>0</v>
      </c>
      <c r="J267" s="4" t="s">
        <v>25</v>
      </c>
      <c r="K267" s="8">
        <v>2313.4360000000001</v>
      </c>
      <c r="L267" t="s">
        <v>12</v>
      </c>
      <c r="M267" t="s">
        <v>9</v>
      </c>
      <c r="N267" s="26">
        <f>VLOOKUP(A267,[1]PGReconsile!$A$1:$E$642,5,0)</f>
        <v>45900.458333333336</v>
      </c>
    </row>
    <row r="268" spans="1:14" x14ac:dyDescent="0.3">
      <c r="A268">
        <v>8644828432</v>
      </c>
      <c r="B268">
        <v>3194</v>
      </c>
      <c r="C268" s="1">
        <v>791.47299999999996</v>
      </c>
      <c r="D268" s="1">
        <v>71.98</v>
      </c>
      <c r="E268" s="1">
        <v>356.46899999999999</v>
      </c>
      <c r="F268">
        <v>2313.4360000000001</v>
      </c>
      <c r="G268" s="1">
        <f t="shared" si="34"/>
        <v>1956.9670000000001</v>
      </c>
      <c r="H268" s="4">
        <v>880.56399999999985</v>
      </c>
      <c r="I268" s="4">
        <v>0</v>
      </c>
      <c r="J268" s="4" t="s">
        <v>25</v>
      </c>
      <c r="K268" s="8">
        <v>2313.4360000000001</v>
      </c>
      <c r="L268" t="s">
        <v>12</v>
      </c>
      <c r="M268" t="s">
        <v>9</v>
      </c>
      <c r="N268" s="26">
        <f>VLOOKUP(A268,[1]PGReconsile!$A$1:$E$642,5,0)</f>
        <v>45903.465277777781</v>
      </c>
    </row>
    <row r="269" spans="1:14" x14ac:dyDescent="0.3">
      <c r="A269">
        <v>8639764517</v>
      </c>
      <c r="B269">
        <v>2981</v>
      </c>
      <c r="C269" s="1">
        <v>738.69200000000001</v>
      </c>
      <c r="D269" s="1">
        <v>71.98</v>
      </c>
      <c r="E269" s="1">
        <v>332.69799999999998</v>
      </c>
      <c r="F269">
        <v>2154.3580000000002</v>
      </c>
      <c r="G269" s="1">
        <f t="shared" si="34"/>
        <v>1821.6600000000003</v>
      </c>
      <c r="H269" s="4">
        <v>826.64199999999983</v>
      </c>
      <c r="I269" s="4">
        <f>VLOOKUP(A269,[1]PGReverse_all!$A$1:$FK$281,167,0)</f>
        <v>132.16</v>
      </c>
      <c r="J269" s="4">
        <f>F269+D269+I269</f>
        <v>2358.498</v>
      </c>
      <c r="K269" s="7">
        <v>-204.13999999999987</v>
      </c>
      <c r="L269" t="s">
        <v>11</v>
      </c>
      <c r="M269" t="s">
        <v>9</v>
      </c>
      <c r="N269" s="26">
        <f>VLOOKUP(A269,[1]PGReconsile!$A$1:$E$642,5,0)</f>
        <v>45900.458333333336</v>
      </c>
    </row>
    <row r="270" spans="1:14" x14ac:dyDescent="0.3">
      <c r="A270">
        <v>8631678076</v>
      </c>
      <c r="B270">
        <v>2419</v>
      </c>
      <c r="C270" s="1">
        <v>513.79600000000005</v>
      </c>
      <c r="D270" s="1">
        <v>71.98</v>
      </c>
      <c r="E270" s="1">
        <v>269.97899999999998</v>
      </c>
      <c r="F270">
        <v>1820.2660000000001</v>
      </c>
      <c r="G270" s="1">
        <f t="shared" si="34"/>
        <v>1550.287</v>
      </c>
      <c r="H270" s="4">
        <v>598.73399999999992</v>
      </c>
      <c r="I270" s="4">
        <v>0</v>
      </c>
      <c r="J270" s="4" t="s">
        <v>25</v>
      </c>
      <c r="K270" s="8">
        <v>1820.2660000000001</v>
      </c>
      <c r="L270" t="s">
        <v>12</v>
      </c>
      <c r="M270" t="s">
        <v>9</v>
      </c>
      <c r="N270" s="26">
        <f>VLOOKUP(A270,[1]PGReconsile!$A$1:$E$642,5,0)</f>
        <v>45894.452777777777</v>
      </c>
    </row>
    <row r="271" spans="1:14" x14ac:dyDescent="0.3">
      <c r="A271">
        <v>8640576578</v>
      </c>
      <c r="B271">
        <v>3194</v>
      </c>
      <c r="C271" s="1">
        <v>791.47299999999996</v>
      </c>
      <c r="D271" s="1">
        <v>71.98</v>
      </c>
      <c r="E271" s="1">
        <v>356.46899999999999</v>
      </c>
      <c r="F271">
        <v>2313.4360000000001</v>
      </c>
      <c r="G271" s="1">
        <f t="shared" si="34"/>
        <v>1956.9670000000001</v>
      </c>
      <c r="H271" s="4">
        <v>880.56399999999985</v>
      </c>
      <c r="I271" s="4">
        <v>0</v>
      </c>
      <c r="J271" s="4" t="s">
        <v>25</v>
      </c>
      <c r="K271" s="8">
        <v>2313.4360000000001</v>
      </c>
      <c r="L271" t="s">
        <v>12</v>
      </c>
      <c r="M271" t="s">
        <v>9</v>
      </c>
      <c r="N271" s="26">
        <f>VLOOKUP(A271,[1]PGReconsile!$A$1:$E$642,5,0)</f>
        <v>45900.693749999999</v>
      </c>
    </row>
    <row r="272" spans="1:14" x14ac:dyDescent="0.3">
      <c r="A272">
        <v>8633202707</v>
      </c>
      <c r="B272">
        <v>2606</v>
      </c>
      <c r="C272" s="1">
        <v>553.51400000000001</v>
      </c>
      <c r="D272" s="1">
        <v>71.98</v>
      </c>
      <c r="E272" s="1">
        <v>290.84399999999999</v>
      </c>
      <c r="F272">
        <v>1966.5450000000001</v>
      </c>
      <c r="G272" s="1">
        <f t="shared" si="34"/>
        <v>1675.701</v>
      </c>
      <c r="H272" s="4">
        <v>639.45499999999993</v>
      </c>
      <c r="I272" s="4">
        <v>0</v>
      </c>
      <c r="J272" s="4" t="s">
        <v>25</v>
      </c>
      <c r="K272" s="8">
        <v>1966.5450000000001</v>
      </c>
      <c r="L272" t="s">
        <v>12</v>
      </c>
      <c r="M272" t="s">
        <v>9</v>
      </c>
      <c r="N272" s="26">
        <f>VLOOKUP(A272,[1]PGReconsile!$A$1:$E$642,5,0)</f>
        <v>45894.824305555558</v>
      </c>
    </row>
    <row r="273" spans="1:14" x14ac:dyDescent="0.3">
      <c r="A273">
        <v>8613337691</v>
      </c>
      <c r="B273">
        <v>3544</v>
      </c>
      <c r="C273" s="1">
        <v>920.02200000000005</v>
      </c>
      <c r="D273" s="1">
        <v>71.98</v>
      </c>
      <c r="E273" s="1">
        <v>395.53100000000001</v>
      </c>
      <c r="F273">
        <v>2533.0129999999999</v>
      </c>
      <c r="G273" s="1">
        <f t="shared" si="34"/>
        <v>2137.482</v>
      </c>
      <c r="H273" s="4">
        <v>1010.9870000000001</v>
      </c>
      <c r="I273" s="4">
        <v>0</v>
      </c>
      <c r="J273" s="4" t="s">
        <v>25</v>
      </c>
      <c r="K273" s="8">
        <v>2533.0129999999999</v>
      </c>
      <c r="L273" t="s">
        <v>12</v>
      </c>
      <c r="M273" t="s">
        <v>9</v>
      </c>
      <c r="N273" s="26">
        <f>VLOOKUP(A273,[1]PGReconsile!$A$1:$E$642,5,0)</f>
        <v>45881.472222222219</v>
      </c>
    </row>
    <row r="274" spans="1:14" x14ac:dyDescent="0.3">
      <c r="A274">
        <v>8631713530</v>
      </c>
      <c r="B274">
        <v>2719</v>
      </c>
      <c r="C274" s="1">
        <v>705.85199999999998</v>
      </c>
      <c r="D274" s="1">
        <v>71.98</v>
      </c>
      <c r="E274" s="1">
        <v>303.45799999999997</v>
      </c>
      <c r="F274">
        <v>1926.6020000000001</v>
      </c>
      <c r="G274" s="1">
        <f t="shared" si="34"/>
        <v>1623.1440000000002</v>
      </c>
      <c r="H274" s="4">
        <v>792.39799999999991</v>
      </c>
      <c r="I274" s="4">
        <v>0</v>
      </c>
      <c r="J274" s="4" t="s">
        <v>25</v>
      </c>
      <c r="K274" s="8">
        <v>1926.6020000000001</v>
      </c>
      <c r="L274" t="s">
        <v>12</v>
      </c>
      <c r="M274" t="s">
        <v>9</v>
      </c>
      <c r="N274" s="26">
        <f>VLOOKUP(A274,[1]PGReconsile!$A$1:$E$642,5,0)</f>
        <v>45894.452777777777</v>
      </c>
    </row>
    <row r="275" spans="1:14" x14ac:dyDescent="0.3">
      <c r="A275">
        <v>8656567847</v>
      </c>
      <c r="B275">
        <v>2344</v>
      </c>
      <c r="C275" s="1">
        <v>608.50199999999995</v>
      </c>
      <c r="D275" s="1">
        <v>71.98</v>
      </c>
      <c r="E275" s="1">
        <v>261.60399999999998</v>
      </c>
      <c r="F275">
        <v>1650.961</v>
      </c>
      <c r="G275" s="1">
        <f t="shared" si="34"/>
        <v>1389.357</v>
      </c>
      <c r="H275" s="4">
        <v>693.03899999999999</v>
      </c>
      <c r="I275" s="4">
        <v>0</v>
      </c>
      <c r="J275" s="4" t="s">
        <v>25</v>
      </c>
      <c r="K275" s="8">
        <v>1650.961</v>
      </c>
      <c r="L275" t="s">
        <v>12</v>
      </c>
      <c r="M275" t="s">
        <v>9</v>
      </c>
      <c r="N275" s="26">
        <f>VLOOKUP(A275,[1]PGReconsile!$A$1:$E$642,5,0)</f>
        <v>45909.456250000003</v>
      </c>
    </row>
    <row r="276" spans="1:14" x14ac:dyDescent="0.3">
      <c r="A276">
        <v>8643130128</v>
      </c>
      <c r="B276">
        <v>2719</v>
      </c>
      <c r="C276" s="1">
        <v>705.85199999999998</v>
      </c>
      <c r="D276" s="1">
        <v>71.98</v>
      </c>
      <c r="E276" s="1">
        <v>303.45799999999997</v>
      </c>
      <c r="F276">
        <v>1926.6020000000001</v>
      </c>
      <c r="G276" s="1">
        <f t="shared" si="34"/>
        <v>1623.1440000000002</v>
      </c>
      <c r="H276" s="4">
        <v>792.39799999999991</v>
      </c>
      <c r="I276" s="4">
        <v>0</v>
      </c>
      <c r="J276" s="4" t="s">
        <v>25</v>
      </c>
      <c r="K276" s="8">
        <v>1926.6020000000001</v>
      </c>
      <c r="L276" t="s">
        <v>12</v>
      </c>
      <c r="M276" t="s">
        <v>9</v>
      </c>
      <c r="N276" s="26">
        <f>VLOOKUP(A276,[1]PGReconsile!$A$1:$E$642,5,0)</f>
        <v>45902.448611111111</v>
      </c>
    </row>
    <row r="277" spans="1:14" x14ac:dyDescent="0.3">
      <c r="A277">
        <v>8635414105</v>
      </c>
      <c r="B277">
        <v>3274</v>
      </c>
      <c r="C277" s="1">
        <v>695.39800000000002</v>
      </c>
      <c r="D277" s="1">
        <v>71.98</v>
      </c>
      <c r="E277" s="1">
        <v>365.39599999999996</v>
      </c>
      <c r="F277">
        <v>2489.0830000000001</v>
      </c>
      <c r="G277" s="1">
        <f t="shared" si="34"/>
        <v>2123.6869999999999</v>
      </c>
      <c r="H277" s="4">
        <v>784.91699999999992</v>
      </c>
      <c r="I277" s="4">
        <f>VLOOKUP(A277,[1]PGReverse_all!$A$1:$FK$281,167,0)</f>
        <v>107.38</v>
      </c>
      <c r="J277" s="4">
        <f>F277+D277+I277</f>
        <v>2668.4430000000002</v>
      </c>
      <c r="K277" s="7">
        <v>-179.36000000000013</v>
      </c>
      <c r="L277" t="s">
        <v>11</v>
      </c>
      <c r="M277" t="s">
        <v>9</v>
      </c>
      <c r="N277" s="26">
        <f>VLOOKUP(A277,[1]PGReconsile!$A$1:$E$642,5,0)</f>
        <v>45897.440972222219</v>
      </c>
    </row>
    <row r="278" spans="1:14" x14ac:dyDescent="0.3">
      <c r="A278">
        <v>8645076729</v>
      </c>
      <c r="B278">
        <v>3274</v>
      </c>
      <c r="C278" s="1">
        <v>695.39800000000002</v>
      </c>
      <c r="D278" s="1">
        <v>71.98</v>
      </c>
      <c r="E278" s="1">
        <v>365.40600000000001</v>
      </c>
      <c r="F278">
        <v>2489.0830000000001</v>
      </c>
      <c r="G278" s="1">
        <f t="shared" si="34"/>
        <v>2123.6770000000001</v>
      </c>
      <c r="H278" s="4">
        <v>784.91699999999992</v>
      </c>
      <c r="I278" s="4">
        <v>0</v>
      </c>
      <c r="J278" s="4" t="s">
        <v>25</v>
      </c>
      <c r="K278" s="8">
        <v>2489.0830000000001</v>
      </c>
      <c r="L278" t="s">
        <v>12</v>
      </c>
      <c r="M278" t="s">
        <v>9</v>
      </c>
      <c r="N278" s="26">
        <f>VLOOKUP(A278,[1]PGReconsile!$A$1:$E$642,5,0)</f>
        <v>45903.465277777781</v>
      </c>
    </row>
    <row r="279" spans="1:14" x14ac:dyDescent="0.3">
      <c r="A279">
        <v>8615659103</v>
      </c>
      <c r="B279">
        <v>2556</v>
      </c>
      <c r="C279" s="1">
        <v>663.53800000000001</v>
      </c>
      <c r="D279" s="1">
        <v>71.98</v>
      </c>
      <c r="E279" s="1">
        <v>285.27100000000002</v>
      </c>
      <c r="F279">
        <v>1806.789</v>
      </c>
      <c r="G279" s="1">
        <f t="shared" si="34"/>
        <v>1521.518</v>
      </c>
      <c r="H279" s="4">
        <v>749.21100000000001</v>
      </c>
      <c r="I279" s="4">
        <f>VLOOKUP(A279,[1]PGReverse_all!$A$1:$FK$281,167,0)</f>
        <v>197.06</v>
      </c>
      <c r="J279" s="4">
        <f t="shared" ref="J279:J280" si="36">F279+D279+I279</f>
        <v>2075.8290000000002</v>
      </c>
      <c r="K279" s="7">
        <v>-269.04000000000019</v>
      </c>
      <c r="L279" t="s">
        <v>11</v>
      </c>
      <c r="M279" t="s">
        <v>9</v>
      </c>
      <c r="N279" s="26">
        <f>VLOOKUP(A279,[1]PGReconsile!$A$1:$E$642,5,0)</f>
        <v>45883.446527777778</v>
      </c>
    </row>
    <row r="280" spans="1:14" x14ac:dyDescent="0.3">
      <c r="A280">
        <v>8657127242</v>
      </c>
      <c r="B280">
        <v>1794</v>
      </c>
      <c r="C280" s="1">
        <v>465.72300000000001</v>
      </c>
      <c r="D280" s="1">
        <v>53.1</v>
      </c>
      <c r="E280" s="1">
        <v>200.21899999999999</v>
      </c>
      <c r="F280">
        <v>1265.566</v>
      </c>
      <c r="G280" s="1">
        <f t="shared" si="34"/>
        <v>1065.347</v>
      </c>
      <c r="H280" s="4">
        <v>528.43399999999997</v>
      </c>
      <c r="I280" s="4">
        <f>VLOOKUP(A280,[1]PGReverse_all!$A$1:$FK$281,167,0)</f>
        <v>132.16</v>
      </c>
      <c r="J280" s="4">
        <f t="shared" si="36"/>
        <v>1450.826</v>
      </c>
      <c r="K280" s="7">
        <v>-185.26</v>
      </c>
      <c r="L280" t="s">
        <v>11</v>
      </c>
      <c r="M280" t="s">
        <v>9</v>
      </c>
      <c r="N280" s="26">
        <f>VLOOKUP(A280,[1]PGReconsile!$A$1:$E$642,5,0)</f>
        <v>45909.456250000003</v>
      </c>
    </row>
    <row r="281" spans="1:14" x14ac:dyDescent="0.3">
      <c r="A281">
        <v>8624711194</v>
      </c>
      <c r="B281">
        <v>2494</v>
      </c>
      <c r="C281" s="1">
        <v>765.15899999999999</v>
      </c>
      <c r="D281" s="1">
        <v>71.98</v>
      </c>
      <c r="E281" s="1">
        <v>278.34399999999999</v>
      </c>
      <c r="F281">
        <v>1643.5</v>
      </c>
      <c r="G281" s="1">
        <f t="shared" si="34"/>
        <v>1365.1559999999999</v>
      </c>
      <c r="H281" s="4">
        <v>850.5</v>
      </c>
      <c r="I281" s="4">
        <v>0</v>
      </c>
      <c r="J281" s="4" t="s">
        <v>25</v>
      </c>
      <c r="K281" s="8">
        <v>1643.5</v>
      </c>
      <c r="L281" t="s">
        <v>12</v>
      </c>
      <c r="M281" t="s">
        <v>9</v>
      </c>
      <c r="N281" s="26">
        <f>VLOOKUP(A281,[1]PGReconsile!$A$1:$E$642,5,0)</f>
        <v>45889.78125</v>
      </c>
    </row>
    <row r="282" spans="1:14" x14ac:dyDescent="0.3">
      <c r="A282">
        <v>8623225789</v>
      </c>
      <c r="B282">
        <v>3844</v>
      </c>
      <c r="C282" s="1">
        <v>952.54300000000001</v>
      </c>
      <c r="D282" s="1">
        <v>71.98</v>
      </c>
      <c r="E282" s="1">
        <v>429.02100000000002</v>
      </c>
      <c r="F282">
        <v>2798.884</v>
      </c>
      <c r="G282" s="1">
        <f t="shared" si="34"/>
        <v>2369.8629999999998</v>
      </c>
      <c r="H282" s="4">
        <v>1045.116</v>
      </c>
      <c r="I282" s="4">
        <f>VLOOKUP(A282,[1]PGReverse_all!$A$1:$FK$281,167,0)</f>
        <v>197.06</v>
      </c>
      <c r="J282" s="4">
        <f t="shared" ref="J282:J283" si="37">F282+D282+I282</f>
        <v>3067.924</v>
      </c>
      <c r="K282" s="7">
        <v>-269.03999999999996</v>
      </c>
      <c r="L282" t="s">
        <v>11</v>
      </c>
      <c r="M282" t="s">
        <v>9</v>
      </c>
      <c r="N282" s="26">
        <f>VLOOKUP(A282,[1]PGReconsile!$A$1:$E$642,5,0)</f>
        <v>45888.475694444445</v>
      </c>
    </row>
    <row r="283" spans="1:14" x14ac:dyDescent="0.3">
      <c r="A283">
        <v>8629194974</v>
      </c>
      <c r="B283">
        <v>1429</v>
      </c>
      <c r="C283" s="1">
        <v>421.55500000000001</v>
      </c>
      <c r="D283" s="1">
        <v>53.1</v>
      </c>
      <c r="E283" s="1">
        <v>159.489</v>
      </c>
      <c r="F283">
        <v>946.69</v>
      </c>
      <c r="G283" s="1">
        <f t="shared" si="34"/>
        <v>787.20100000000002</v>
      </c>
      <c r="H283" s="4">
        <v>482.30999999999995</v>
      </c>
      <c r="I283" s="4">
        <f>VLOOKUP(A283,[1]PGReverse_all!$A$1:$FK$281,167,0)</f>
        <v>197.06</v>
      </c>
      <c r="J283" s="4">
        <f t="shared" si="37"/>
        <v>1196.8500000000001</v>
      </c>
      <c r="K283" s="7">
        <v>-250.16000000000008</v>
      </c>
      <c r="L283" t="s">
        <v>11</v>
      </c>
      <c r="M283" t="s">
        <v>9</v>
      </c>
      <c r="N283" s="26">
        <f>VLOOKUP(A283,[1]PGReconsile!$A$1:$E$642,5,0)</f>
        <v>45892.432638888888</v>
      </c>
    </row>
    <row r="284" spans="1:14" x14ac:dyDescent="0.3">
      <c r="A284">
        <v>8630654919</v>
      </c>
      <c r="B284">
        <v>2044</v>
      </c>
      <c r="C284" s="1">
        <v>506.50299999999999</v>
      </c>
      <c r="D284" s="1">
        <v>71.98</v>
      </c>
      <c r="E284" s="1">
        <v>228.125</v>
      </c>
      <c r="F284">
        <v>1454.567</v>
      </c>
      <c r="G284" s="1">
        <f t="shared" si="34"/>
        <v>1226.442</v>
      </c>
      <c r="H284" s="4">
        <v>589.43299999999999</v>
      </c>
      <c r="I284" s="4">
        <v>0</v>
      </c>
      <c r="J284" s="4" t="s">
        <v>25</v>
      </c>
      <c r="K284" s="8">
        <v>1454.567</v>
      </c>
      <c r="L284" t="s">
        <v>12</v>
      </c>
      <c r="M284" t="s">
        <v>9</v>
      </c>
      <c r="N284" s="26">
        <f>VLOOKUP(A284,[1]PGReconsile!$A$1:$E$642,5,0)</f>
        <v>45894.452777777777</v>
      </c>
    </row>
    <row r="285" spans="1:14" x14ac:dyDescent="0.3">
      <c r="A285">
        <v>8626971555</v>
      </c>
      <c r="B285">
        <v>1079</v>
      </c>
      <c r="C285" s="1">
        <v>267.37599999999998</v>
      </c>
      <c r="D285" s="1">
        <v>53.1</v>
      </c>
      <c r="E285" s="1">
        <v>120.42699999999999</v>
      </c>
      <c r="F285">
        <v>752.74400000000003</v>
      </c>
      <c r="G285" s="1">
        <f t="shared" si="34"/>
        <v>632.31700000000001</v>
      </c>
      <c r="H285" s="4">
        <v>326.25599999999997</v>
      </c>
      <c r="I285" s="4">
        <f>VLOOKUP(A285,[1]PGReverse_all!$A$1:$FK$281,167,0)</f>
        <v>197.06</v>
      </c>
      <c r="J285" s="4">
        <f>F285+D285+I285</f>
        <v>1002.904</v>
      </c>
      <c r="K285" s="7">
        <v>-250.15999999999997</v>
      </c>
      <c r="L285" t="s">
        <v>11</v>
      </c>
      <c r="M285" t="s">
        <v>9</v>
      </c>
      <c r="N285" s="26">
        <f>VLOOKUP(A285,[1]PGReconsile!$A$1:$E$642,5,0)</f>
        <v>45891.470833333333</v>
      </c>
    </row>
    <row r="286" spans="1:14" x14ac:dyDescent="0.3">
      <c r="A286">
        <v>8641458109</v>
      </c>
      <c r="B286">
        <v>1179.01</v>
      </c>
      <c r="C286" s="1">
        <v>306.07100000000003</v>
      </c>
      <c r="D286" s="1">
        <v>53.099999999999994</v>
      </c>
      <c r="E286" s="1">
        <v>131.584</v>
      </c>
      <c r="F286">
        <v>813.52200000000005</v>
      </c>
      <c r="G286" s="1">
        <f t="shared" si="34"/>
        <v>681.9380000000001</v>
      </c>
      <c r="H286" s="4">
        <v>365.48799999999994</v>
      </c>
      <c r="I286" s="4">
        <v>0</v>
      </c>
      <c r="J286" s="4" t="s">
        <v>25</v>
      </c>
      <c r="K286" s="8">
        <v>813.52200000000005</v>
      </c>
      <c r="L286" t="s">
        <v>12</v>
      </c>
      <c r="M286" t="s">
        <v>9</v>
      </c>
      <c r="N286" s="26">
        <f>VLOOKUP(A286,[1]PGReconsile!$A$1:$E$642,5,0)</f>
        <v>45901.459027777775</v>
      </c>
    </row>
    <row r="287" spans="1:14" x14ac:dyDescent="0.3">
      <c r="A287">
        <v>8638752799</v>
      </c>
      <c r="B287">
        <v>3274</v>
      </c>
      <c r="C287" s="1">
        <v>695.39800000000002</v>
      </c>
      <c r="D287" s="1">
        <v>71.98</v>
      </c>
      <c r="E287" s="1">
        <v>365.40600000000001</v>
      </c>
      <c r="F287">
        <v>2489.0830000000001</v>
      </c>
      <c r="G287" s="1">
        <f t="shared" si="34"/>
        <v>2123.6770000000001</v>
      </c>
      <c r="H287" s="4">
        <v>784.91699999999992</v>
      </c>
      <c r="I287" s="4">
        <f>VLOOKUP(A287,[1]PGReverse_all!$A$1:$FK$281,167,0)</f>
        <v>197.06</v>
      </c>
      <c r="J287" s="4">
        <f t="shared" ref="J287:J291" si="38">F287+D287+I287</f>
        <v>2758.123</v>
      </c>
      <c r="K287" s="7">
        <v>-269.03999999999996</v>
      </c>
      <c r="L287" t="s">
        <v>11</v>
      </c>
      <c r="M287" t="s">
        <v>9</v>
      </c>
      <c r="N287" s="26">
        <f>VLOOKUP(A287,[1]PGReconsile!$A$1:$E$642,5,0)</f>
        <v>45899.54791666667</v>
      </c>
    </row>
    <row r="288" spans="1:14" x14ac:dyDescent="0.3">
      <c r="A288">
        <v>8649750336</v>
      </c>
      <c r="B288">
        <v>2419</v>
      </c>
      <c r="C288" s="1">
        <v>770.69299999999998</v>
      </c>
      <c r="D288" s="1">
        <v>71.98</v>
      </c>
      <c r="E288" s="1">
        <v>269.97899999999998</v>
      </c>
      <c r="F288">
        <v>1563.3679999999999</v>
      </c>
      <c r="G288" s="1">
        <f t="shared" si="34"/>
        <v>1293.3889999999999</v>
      </c>
      <c r="H288" s="4">
        <v>855.63200000000006</v>
      </c>
      <c r="I288" s="4">
        <f>VLOOKUP(A288,[1]PGReverse_all!$A$1:$FK$281,167,0)</f>
        <v>197.06</v>
      </c>
      <c r="J288" s="4">
        <f t="shared" si="38"/>
        <v>1832.4079999999999</v>
      </c>
      <c r="K288" s="7">
        <v>-269.03999999999996</v>
      </c>
      <c r="L288" t="s">
        <v>11</v>
      </c>
      <c r="M288" t="s">
        <v>9</v>
      </c>
      <c r="N288" s="26">
        <f>VLOOKUP(A288,[1]PGReconsile!$A$1:$E$642,5,0)</f>
        <v>45905.57916666667</v>
      </c>
    </row>
    <row r="289" spans="1:14" x14ac:dyDescent="0.3">
      <c r="A289">
        <v>8655200769</v>
      </c>
      <c r="B289">
        <v>2419</v>
      </c>
      <c r="C289" s="1">
        <v>513.79600000000005</v>
      </c>
      <c r="D289" s="1">
        <v>71.98</v>
      </c>
      <c r="E289" s="1">
        <v>269.97899999999998</v>
      </c>
      <c r="F289">
        <v>1820.2650000000001</v>
      </c>
      <c r="G289" s="1">
        <f t="shared" si="34"/>
        <v>1550.2860000000001</v>
      </c>
      <c r="H289" s="4">
        <v>598.7349999999999</v>
      </c>
      <c r="I289" s="4">
        <f>VLOOKUP(A289,[1]PGReverse_all!$A$1:$FK$281,167,0)</f>
        <v>132.16</v>
      </c>
      <c r="J289" s="4">
        <f t="shared" si="38"/>
        <v>2024.4050000000002</v>
      </c>
      <c r="K289" s="7">
        <v>-204.1400000000001</v>
      </c>
      <c r="L289" t="s">
        <v>11</v>
      </c>
      <c r="M289" t="s">
        <v>9</v>
      </c>
      <c r="N289" s="26">
        <f>VLOOKUP(A289,[1]PGReconsile!$A$1:$E$642,5,0)</f>
        <v>45908.48333333333</v>
      </c>
    </row>
    <row r="290" spans="1:14" x14ac:dyDescent="0.3">
      <c r="A290">
        <v>8646617700</v>
      </c>
      <c r="B290">
        <v>3056</v>
      </c>
      <c r="C290" s="1">
        <v>649.09400000000005</v>
      </c>
      <c r="D290" s="1">
        <v>71.98</v>
      </c>
      <c r="E290" s="1">
        <v>341.07299999999998</v>
      </c>
      <c r="F290">
        <v>2318.5540000000001</v>
      </c>
      <c r="G290" s="1">
        <f t="shared" si="34"/>
        <v>1977.4810000000002</v>
      </c>
      <c r="H290" s="4">
        <v>737.44599999999991</v>
      </c>
      <c r="I290" s="4">
        <f>VLOOKUP(A290,[1]PGReverse_all!$A$1:$FK$281,167,0)</f>
        <v>197.06</v>
      </c>
      <c r="J290" s="4">
        <f t="shared" si="38"/>
        <v>2587.5940000000001</v>
      </c>
      <c r="K290" s="7">
        <v>-269.03999999999996</v>
      </c>
      <c r="L290" t="s">
        <v>11</v>
      </c>
      <c r="M290" t="s">
        <v>9</v>
      </c>
      <c r="N290" s="26">
        <f>VLOOKUP(A290,[1]PGReconsile!$A$1:$E$642,5,0)</f>
        <v>45904.486805555556</v>
      </c>
    </row>
    <row r="291" spans="1:14" x14ac:dyDescent="0.3">
      <c r="A291">
        <v>8625548146</v>
      </c>
      <c r="B291">
        <v>1704</v>
      </c>
      <c r="C291" s="1">
        <v>382.03699999999998</v>
      </c>
      <c r="D291" s="1">
        <v>53.1</v>
      </c>
      <c r="E291" s="1">
        <v>190.17699999999999</v>
      </c>
      <c r="F291">
        <v>1259.7349999999999</v>
      </c>
      <c r="G291" s="1">
        <f t="shared" si="34"/>
        <v>1069.558</v>
      </c>
      <c r="H291" s="4">
        <v>444.2650000000001</v>
      </c>
      <c r="I291" s="4">
        <f>VLOOKUP(A291,[1]PGReverse_all!$A$1:$FK$281,167,0)</f>
        <v>132.16</v>
      </c>
      <c r="J291" s="4">
        <f t="shared" si="38"/>
        <v>1444.9949999999999</v>
      </c>
      <c r="K291" s="7">
        <v>-185.26</v>
      </c>
      <c r="L291" t="s">
        <v>11</v>
      </c>
      <c r="M291" t="s">
        <v>9</v>
      </c>
      <c r="N291" s="26">
        <f>VLOOKUP(A291,[1]PGReconsile!$A$1:$E$642,5,0)</f>
        <v>45890.458333333336</v>
      </c>
    </row>
    <row r="292" spans="1:14" x14ac:dyDescent="0.3">
      <c r="A292">
        <v>8630231099</v>
      </c>
      <c r="B292">
        <v>3169</v>
      </c>
      <c r="C292" s="1">
        <v>822.67200000000003</v>
      </c>
      <c r="D292" s="1">
        <v>71.98</v>
      </c>
      <c r="E292" s="1">
        <v>353.68700000000001</v>
      </c>
      <c r="F292">
        <v>2257.3719999999998</v>
      </c>
      <c r="G292" s="1">
        <f t="shared" si="34"/>
        <v>1903.6849999999999</v>
      </c>
      <c r="H292" s="4">
        <v>911.62800000000016</v>
      </c>
      <c r="I292" s="4">
        <v>0</v>
      </c>
      <c r="J292" s="4" t="s">
        <v>25</v>
      </c>
      <c r="K292" s="8">
        <v>2257.3719999999998</v>
      </c>
      <c r="L292" t="s">
        <v>12</v>
      </c>
      <c r="M292" t="s">
        <v>9</v>
      </c>
      <c r="N292" s="26">
        <f>VLOOKUP(A292,[1]PGReconsile!$A$1:$E$642,5,0)</f>
        <v>45892.800694444442</v>
      </c>
    </row>
    <row r="293" spans="1:14" x14ac:dyDescent="0.3">
      <c r="A293">
        <v>8660566214</v>
      </c>
      <c r="B293">
        <v>3194</v>
      </c>
      <c r="C293" s="1">
        <v>829.16200000000003</v>
      </c>
      <c r="D293" s="1">
        <v>71.98</v>
      </c>
      <c r="E293" s="1">
        <v>356.46899999999999</v>
      </c>
      <c r="F293">
        <v>2275.7469999999998</v>
      </c>
      <c r="G293" s="1">
        <f t="shared" si="34"/>
        <v>1919.2779999999998</v>
      </c>
      <c r="H293" s="4">
        <v>918.25300000000016</v>
      </c>
      <c r="I293" s="4">
        <f>VLOOKUP(A293,[1]PGReverse_all!$A$1:$FK$281,167,0)</f>
        <v>197.06</v>
      </c>
      <c r="J293" s="4">
        <f t="shared" ref="J293:J294" si="39">F293+D293+I293</f>
        <v>2544.7869999999998</v>
      </c>
      <c r="K293" s="7">
        <v>-269.03999999999996</v>
      </c>
      <c r="L293" t="s">
        <v>11</v>
      </c>
      <c r="M293" t="s">
        <v>9</v>
      </c>
      <c r="N293" s="26">
        <f>VLOOKUP(A293,[1]PGReconsile!$A$1:$E$642,5,0)</f>
        <v>45911.459027777775</v>
      </c>
    </row>
    <row r="294" spans="1:14" x14ac:dyDescent="0.3">
      <c r="A294">
        <v>8626239043</v>
      </c>
      <c r="B294">
        <v>2769</v>
      </c>
      <c r="C294" s="1">
        <v>588.13599999999997</v>
      </c>
      <c r="D294" s="1">
        <v>71.98</v>
      </c>
      <c r="E294" s="1">
        <v>309.04200000000003</v>
      </c>
      <c r="F294">
        <v>2094.0500000000002</v>
      </c>
      <c r="G294" s="1">
        <f t="shared" si="34"/>
        <v>1785.0080000000003</v>
      </c>
      <c r="H294" s="4">
        <v>674.94999999999982</v>
      </c>
      <c r="I294" s="4">
        <f>VLOOKUP(A294,[1]PGReverse_all!$A$1:$FK$281,167,0)</f>
        <v>107.38</v>
      </c>
      <c r="J294" s="4">
        <f t="shared" si="39"/>
        <v>2273.4100000000003</v>
      </c>
      <c r="K294" s="7">
        <v>-179.36000000000013</v>
      </c>
      <c r="L294" t="s">
        <v>11</v>
      </c>
      <c r="M294" t="s">
        <v>9</v>
      </c>
      <c r="N294" s="26">
        <f>VLOOKUP(A294,[1]PGReconsile!$A$1:$E$642,5,0)</f>
        <v>45890.655555555553</v>
      </c>
    </row>
    <row r="295" spans="1:14" x14ac:dyDescent="0.3">
      <c r="A295">
        <v>8649151095</v>
      </c>
      <c r="B295">
        <v>2994</v>
      </c>
      <c r="C295" s="1">
        <v>777.24199999999996</v>
      </c>
      <c r="D295" s="1">
        <v>71.98</v>
      </c>
      <c r="E295" s="1">
        <v>334.15600000000001</v>
      </c>
      <c r="F295">
        <v>2128.739</v>
      </c>
      <c r="G295" s="1">
        <f t="shared" si="34"/>
        <v>1794.5830000000001</v>
      </c>
      <c r="H295" s="4">
        <v>865.26099999999997</v>
      </c>
      <c r="I295" s="4">
        <v>0</v>
      </c>
      <c r="J295" s="4" t="s">
        <v>25</v>
      </c>
      <c r="K295" s="8">
        <v>2128.739</v>
      </c>
      <c r="L295" t="s">
        <v>12</v>
      </c>
      <c r="M295" t="s">
        <v>9</v>
      </c>
      <c r="N295" s="26">
        <f>VLOOKUP(A295,[1]PGReconsile!$A$1:$E$642,5,0)</f>
        <v>45905.450694444444</v>
      </c>
    </row>
    <row r="296" spans="1:14" x14ac:dyDescent="0.3">
      <c r="A296">
        <v>8639335995</v>
      </c>
      <c r="B296">
        <v>1204</v>
      </c>
      <c r="C296" s="1">
        <v>312.55799999999999</v>
      </c>
      <c r="D296" s="1">
        <v>53.099999999999994</v>
      </c>
      <c r="E296" s="1">
        <v>134.375</v>
      </c>
      <c r="F296">
        <v>831.89200000000005</v>
      </c>
      <c r="G296" s="1">
        <f t="shared" si="34"/>
        <v>697.51700000000005</v>
      </c>
      <c r="H296" s="4">
        <v>372.10799999999995</v>
      </c>
      <c r="I296" s="4">
        <f>VLOOKUP(A296,[1]PGReverse_all!$A$1:$FK$281,167,0)</f>
        <v>197.06</v>
      </c>
      <c r="J296" s="4">
        <f t="shared" ref="J296:J297" si="40">F296+D296+I296</f>
        <v>1082.0520000000001</v>
      </c>
      <c r="K296" s="7">
        <v>-250.16000000000008</v>
      </c>
      <c r="L296" t="s">
        <v>11</v>
      </c>
      <c r="M296" t="s">
        <v>9</v>
      </c>
      <c r="N296" s="26">
        <f>VLOOKUP(A296,[1]PGReconsile!$A$1:$E$642,5,0)</f>
        <v>45900.458333333336</v>
      </c>
    </row>
    <row r="297" spans="1:14" x14ac:dyDescent="0.3">
      <c r="A297">
        <v>8642584741</v>
      </c>
      <c r="B297">
        <v>1079</v>
      </c>
      <c r="C297" s="1">
        <v>267.37599999999998</v>
      </c>
      <c r="D297" s="1">
        <v>53.1</v>
      </c>
      <c r="E297" s="1">
        <v>120.42699999999999</v>
      </c>
      <c r="F297">
        <v>752.74400000000003</v>
      </c>
      <c r="G297" s="1">
        <f t="shared" si="34"/>
        <v>632.31700000000001</v>
      </c>
      <c r="H297" s="4">
        <v>326.25599999999997</v>
      </c>
      <c r="I297" s="4">
        <f>VLOOKUP(A297,[1]PGReverse_all!$A$1:$FK$281,167,0)</f>
        <v>132.16</v>
      </c>
      <c r="J297" s="4">
        <f t="shared" si="40"/>
        <v>938.00400000000002</v>
      </c>
      <c r="K297" s="7">
        <v>-185.26</v>
      </c>
      <c r="L297" t="s">
        <v>11</v>
      </c>
      <c r="M297" t="s">
        <v>9</v>
      </c>
      <c r="N297" s="26">
        <f>VLOOKUP(A297,[1]PGReconsile!$A$1:$E$642,5,0)</f>
        <v>45901.785416666666</v>
      </c>
    </row>
    <row r="298" spans="1:14" x14ac:dyDescent="0.3">
      <c r="A298">
        <v>8658171088</v>
      </c>
      <c r="B298">
        <v>1135</v>
      </c>
      <c r="C298" s="1">
        <v>294.64600000000002</v>
      </c>
      <c r="D298" s="1">
        <v>53.1</v>
      </c>
      <c r="E298" s="1">
        <v>126.67699999999999</v>
      </c>
      <c r="F298">
        <v>781.17399999999998</v>
      </c>
      <c r="G298" s="1">
        <f t="shared" si="34"/>
        <v>654.49699999999996</v>
      </c>
      <c r="H298" s="4">
        <v>353.82600000000002</v>
      </c>
      <c r="I298" s="4">
        <v>0</v>
      </c>
      <c r="J298" s="4" t="s">
        <v>25</v>
      </c>
      <c r="K298" s="8">
        <v>781.17399999999998</v>
      </c>
      <c r="L298" t="s">
        <v>12</v>
      </c>
      <c r="M298" t="s">
        <v>9</v>
      </c>
      <c r="N298" s="26">
        <f>VLOOKUP(A298,[1]PGReconsile!$A$1:$E$642,5,0)</f>
        <v>45910.459722222222</v>
      </c>
    </row>
    <row r="299" spans="1:14" x14ac:dyDescent="0.3">
      <c r="A299">
        <v>8657990645</v>
      </c>
      <c r="B299">
        <v>2994</v>
      </c>
      <c r="C299" s="1">
        <v>777.24199999999996</v>
      </c>
      <c r="D299" s="1">
        <v>71.98</v>
      </c>
      <c r="E299" s="1">
        <v>334.15600000000001</v>
      </c>
      <c r="F299">
        <v>2128.739</v>
      </c>
      <c r="G299" s="1">
        <f t="shared" si="34"/>
        <v>1794.5830000000001</v>
      </c>
      <c r="H299" s="4">
        <v>865.26099999999997</v>
      </c>
      <c r="I299" s="4">
        <f>VLOOKUP(A299,[1]PGReverse_all!$A$1:$FK$281,167,0)</f>
        <v>197.06</v>
      </c>
      <c r="J299" s="4">
        <f>F299+D299+I299</f>
        <v>2397.779</v>
      </c>
      <c r="K299" s="7">
        <v>-269.03999999999996</v>
      </c>
      <c r="L299" t="s">
        <v>11</v>
      </c>
      <c r="M299" t="s">
        <v>9</v>
      </c>
      <c r="N299" s="26">
        <f>VLOOKUP(A299,[1]PGReconsile!$A$1:$E$642,5,0)</f>
        <v>45910.459722222222</v>
      </c>
    </row>
    <row r="300" spans="1:14" x14ac:dyDescent="0.3">
      <c r="A300">
        <v>8650725377</v>
      </c>
      <c r="B300">
        <v>2419</v>
      </c>
      <c r="C300" s="1">
        <v>513.79600000000005</v>
      </c>
      <c r="D300" s="1">
        <v>71.98</v>
      </c>
      <c r="E300" s="1">
        <v>269.97899999999998</v>
      </c>
      <c r="F300">
        <v>1820.2650000000001</v>
      </c>
      <c r="G300" s="1">
        <f t="shared" si="34"/>
        <v>1550.2860000000001</v>
      </c>
      <c r="H300" s="4">
        <v>598.7349999999999</v>
      </c>
      <c r="I300" s="4">
        <v>0</v>
      </c>
      <c r="J300" s="4" t="s">
        <v>25</v>
      </c>
      <c r="K300" s="8">
        <v>1820.2650000000001</v>
      </c>
      <c r="L300" t="s">
        <v>12</v>
      </c>
      <c r="M300" t="s">
        <v>9</v>
      </c>
      <c r="N300" s="26">
        <f>VLOOKUP(A300,[1]PGReconsile!$A$1:$E$642,5,0)</f>
        <v>45906.475694444445</v>
      </c>
    </row>
    <row r="301" spans="1:14" x14ac:dyDescent="0.3">
      <c r="A301">
        <v>8643967266</v>
      </c>
      <c r="B301">
        <v>4594</v>
      </c>
      <c r="C301" s="1">
        <v>1301.021</v>
      </c>
      <c r="D301" s="1">
        <v>71.98</v>
      </c>
      <c r="E301" s="1">
        <v>512.71899999999994</v>
      </c>
      <c r="F301">
        <v>3196.3879999999999</v>
      </c>
      <c r="G301" s="1">
        <f t="shared" si="34"/>
        <v>2683.6689999999999</v>
      </c>
      <c r="H301" s="4">
        <v>1397.6120000000001</v>
      </c>
      <c r="I301" s="4">
        <f>VLOOKUP(A301,[1]PGReverse_all!$A$1:$FK$281,167,0)</f>
        <v>132.16</v>
      </c>
      <c r="J301" s="4">
        <f>F301+D301+I301</f>
        <v>3400.5279999999998</v>
      </c>
      <c r="K301" s="7">
        <v>-204.13999999999987</v>
      </c>
      <c r="L301" t="s">
        <v>11</v>
      </c>
      <c r="M301" t="s">
        <v>9</v>
      </c>
      <c r="N301" s="26">
        <f>VLOOKUP(A301,[1]PGReconsile!$A$1:$E$642,5,0)</f>
        <v>45902.448611111111</v>
      </c>
    </row>
    <row r="302" spans="1:14" x14ac:dyDescent="0.3">
      <c r="A302">
        <v>8653075542</v>
      </c>
      <c r="B302">
        <v>1079</v>
      </c>
      <c r="C302" s="1">
        <v>267.37599999999998</v>
      </c>
      <c r="D302" s="1">
        <v>53.1</v>
      </c>
      <c r="E302" s="1">
        <v>120.42699999999999</v>
      </c>
      <c r="F302">
        <v>752.74400000000003</v>
      </c>
      <c r="G302" s="1">
        <f t="shared" si="34"/>
        <v>632.31700000000001</v>
      </c>
      <c r="H302" s="4">
        <v>326.25599999999997</v>
      </c>
      <c r="I302" s="4">
        <v>0</v>
      </c>
      <c r="J302" s="4" t="s">
        <v>25</v>
      </c>
      <c r="K302" s="8">
        <v>752.74400000000003</v>
      </c>
      <c r="L302" t="s">
        <v>12</v>
      </c>
      <c r="M302" t="s">
        <v>9</v>
      </c>
      <c r="N302" s="26">
        <f>VLOOKUP(A302,[1]PGReconsile!$A$1:$E$642,5,0)</f>
        <v>45908.48333333333</v>
      </c>
    </row>
    <row r="303" spans="1:14" x14ac:dyDescent="0.3">
      <c r="A303">
        <v>8644294847</v>
      </c>
      <c r="B303">
        <v>2944</v>
      </c>
      <c r="C303" s="1">
        <v>729.52300000000002</v>
      </c>
      <c r="D303" s="1">
        <v>71.98</v>
      </c>
      <c r="E303" s="1">
        <v>328.57299999999998</v>
      </c>
      <c r="F303">
        <v>2126.7249999999999</v>
      </c>
      <c r="G303" s="1">
        <f t="shared" si="34"/>
        <v>1798.152</v>
      </c>
      <c r="H303" s="4">
        <v>817.27500000000009</v>
      </c>
      <c r="I303" s="4">
        <v>0</v>
      </c>
      <c r="J303" s="4" t="s">
        <v>25</v>
      </c>
      <c r="K303" s="8">
        <v>2126.7249999999999</v>
      </c>
      <c r="L303" t="s">
        <v>12</v>
      </c>
      <c r="M303" t="s">
        <v>9</v>
      </c>
      <c r="N303" s="26">
        <f>VLOOKUP(A303,[1]PGReconsile!$A$1:$E$642,5,0)</f>
        <v>45902.658333333333</v>
      </c>
    </row>
    <row r="304" spans="1:14" x14ac:dyDescent="0.3">
      <c r="A304">
        <v>8621653964</v>
      </c>
      <c r="B304">
        <v>3169</v>
      </c>
      <c r="C304" s="1">
        <v>673.096</v>
      </c>
      <c r="D304" s="1">
        <v>71.98</v>
      </c>
      <c r="E304" s="1">
        <v>353.68700000000001</v>
      </c>
      <c r="F304">
        <v>2406.9479999999999</v>
      </c>
      <c r="G304" s="1">
        <f t="shared" si="34"/>
        <v>2053.261</v>
      </c>
      <c r="H304" s="4">
        <v>762.05200000000013</v>
      </c>
      <c r="I304" s="4">
        <v>0</v>
      </c>
      <c r="J304" s="4" t="s">
        <v>25</v>
      </c>
      <c r="K304" s="8">
        <v>2406.9479999999999</v>
      </c>
      <c r="L304" t="s">
        <v>12</v>
      </c>
      <c r="M304" t="s">
        <v>9</v>
      </c>
      <c r="N304" s="26">
        <f>VLOOKUP(A304,[1]PGReconsile!$A$1:$E$642,5,0)</f>
        <v>45887.452777777777</v>
      </c>
    </row>
    <row r="305" spans="1:14" x14ac:dyDescent="0.3">
      <c r="A305">
        <v>8594510488</v>
      </c>
      <c r="B305">
        <v>2944</v>
      </c>
      <c r="C305" s="1">
        <v>729.52300000000002</v>
      </c>
      <c r="D305" s="1">
        <v>71.98</v>
      </c>
      <c r="E305" s="1">
        <v>328.57299999999998</v>
      </c>
      <c r="F305">
        <v>2126.7249999999999</v>
      </c>
      <c r="G305" s="1">
        <f t="shared" si="34"/>
        <v>1798.152</v>
      </c>
      <c r="H305" s="4">
        <v>817.27500000000009</v>
      </c>
      <c r="I305" s="4">
        <v>0</v>
      </c>
      <c r="J305" s="4" t="s">
        <v>25</v>
      </c>
      <c r="K305" s="8">
        <v>2126.7249999999999</v>
      </c>
      <c r="L305" t="s">
        <v>12</v>
      </c>
      <c r="M305" t="s">
        <v>9</v>
      </c>
      <c r="N305" s="26">
        <f>VLOOKUP(A305,[1]PGReconsile!$A$1:$E$642,5,0)</f>
        <v>45871.440972222219</v>
      </c>
    </row>
    <row r="306" spans="1:14" x14ac:dyDescent="0.3">
      <c r="A306">
        <v>8615408852</v>
      </c>
      <c r="B306">
        <v>2719</v>
      </c>
      <c r="C306" s="1">
        <v>673.76800000000003</v>
      </c>
      <c r="D306" s="1">
        <v>71.98</v>
      </c>
      <c r="E306" s="1">
        <v>303.45799999999997</v>
      </c>
      <c r="F306">
        <v>1958.6859999999999</v>
      </c>
      <c r="G306" s="1">
        <f t="shared" si="34"/>
        <v>1655.2280000000001</v>
      </c>
      <c r="H306" s="4">
        <v>760.31400000000008</v>
      </c>
      <c r="I306" s="4">
        <v>0</v>
      </c>
      <c r="J306" s="4" t="s">
        <v>25</v>
      </c>
      <c r="K306" s="8">
        <v>1958.6859999999999</v>
      </c>
      <c r="L306" t="s">
        <v>12</v>
      </c>
      <c r="M306" t="s">
        <v>9</v>
      </c>
      <c r="N306" s="26">
        <f>VLOOKUP(A306,[1]PGReconsile!$A$1:$E$642,5,0)</f>
        <v>45882.768750000003</v>
      </c>
    </row>
    <row r="307" spans="1:14" x14ac:dyDescent="0.3">
      <c r="A307">
        <v>8636288291</v>
      </c>
      <c r="B307">
        <v>3024</v>
      </c>
      <c r="C307" s="1">
        <v>749.34699999999998</v>
      </c>
      <c r="D307" s="1">
        <v>71.98</v>
      </c>
      <c r="E307" s="1">
        <v>337.5</v>
      </c>
      <c r="F307">
        <v>2186.473</v>
      </c>
      <c r="G307" s="1">
        <f t="shared" si="34"/>
        <v>1848.973</v>
      </c>
      <c r="H307" s="4">
        <v>837.52700000000004</v>
      </c>
      <c r="I307" s="4">
        <v>0</v>
      </c>
      <c r="J307" s="4" t="s">
        <v>25</v>
      </c>
      <c r="K307" s="8">
        <v>2186.473</v>
      </c>
      <c r="L307" t="s">
        <v>12</v>
      </c>
      <c r="M307" t="s">
        <v>9</v>
      </c>
      <c r="N307" s="26">
        <f>VLOOKUP(A307,[1]PGReconsile!$A$1:$E$642,5,0)</f>
        <v>45897.564583333333</v>
      </c>
    </row>
    <row r="308" spans="1:14" x14ac:dyDescent="0.3">
      <c r="A308">
        <v>8621952556</v>
      </c>
      <c r="B308">
        <v>2719</v>
      </c>
      <c r="C308" s="1">
        <v>673.76800000000003</v>
      </c>
      <c r="D308" s="1">
        <v>71.98</v>
      </c>
      <c r="E308" s="1">
        <v>303.45799999999997</v>
      </c>
      <c r="F308">
        <v>1958.6859999999999</v>
      </c>
      <c r="G308" s="1">
        <f t="shared" si="34"/>
        <v>1655.2280000000001</v>
      </c>
      <c r="H308" s="4">
        <v>760.31400000000008</v>
      </c>
      <c r="I308" s="4">
        <v>0</v>
      </c>
      <c r="J308" s="4" t="s">
        <v>25</v>
      </c>
      <c r="K308" s="8">
        <v>1958.6859999999999</v>
      </c>
      <c r="L308" t="s">
        <v>12</v>
      </c>
      <c r="M308" t="s">
        <v>9</v>
      </c>
      <c r="N308" s="26">
        <f>VLOOKUP(A308,[1]PGReconsile!$A$1:$E$642,5,0)</f>
        <v>45888.475694444445</v>
      </c>
    </row>
    <row r="309" spans="1:14" x14ac:dyDescent="0.3">
      <c r="A309">
        <v>8617657782</v>
      </c>
      <c r="B309">
        <v>2944</v>
      </c>
      <c r="C309" s="1">
        <v>729.52300000000002</v>
      </c>
      <c r="D309" s="1">
        <v>71.98</v>
      </c>
      <c r="E309" s="1">
        <v>328.56299999999999</v>
      </c>
      <c r="F309">
        <v>2126.7249999999999</v>
      </c>
      <c r="G309" s="1">
        <f t="shared" si="34"/>
        <v>1798.1619999999998</v>
      </c>
      <c r="H309" s="4">
        <v>817.27500000000009</v>
      </c>
      <c r="I309" s="4">
        <v>0</v>
      </c>
      <c r="J309" s="4" t="s">
        <v>25</v>
      </c>
      <c r="K309" s="8">
        <v>2126.7249999999999</v>
      </c>
      <c r="L309" t="s">
        <v>12</v>
      </c>
      <c r="M309" t="s">
        <v>9</v>
      </c>
      <c r="N309" s="26">
        <f>VLOOKUP(A309,[1]PGReconsile!$A$1:$E$642,5,0)</f>
        <v>45888.475694444445</v>
      </c>
    </row>
    <row r="310" spans="1:14" x14ac:dyDescent="0.3">
      <c r="A310">
        <v>8658003073</v>
      </c>
      <c r="B310">
        <v>2419</v>
      </c>
      <c r="C310" s="1">
        <v>513.79600000000005</v>
      </c>
      <c r="D310" s="1">
        <v>71.98</v>
      </c>
      <c r="E310" s="1">
        <v>269.97899999999998</v>
      </c>
      <c r="F310">
        <v>1820.2650000000001</v>
      </c>
      <c r="G310" s="1">
        <f t="shared" si="34"/>
        <v>1550.2860000000001</v>
      </c>
      <c r="H310" s="4">
        <v>598.7349999999999</v>
      </c>
      <c r="I310" s="4">
        <v>0</v>
      </c>
      <c r="J310" s="4" t="s">
        <v>25</v>
      </c>
      <c r="K310" s="8">
        <v>1820.2650000000001</v>
      </c>
      <c r="L310" t="s">
        <v>12</v>
      </c>
      <c r="M310" t="s">
        <v>9</v>
      </c>
      <c r="N310" s="26">
        <f>VLOOKUP(A310,[1]PGReconsile!$A$1:$E$642,5,0)</f>
        <v>45910.459722222222</v>
      </c>
    </row>
    <row r="311" spans="1:14" x14ac:dyDescent="0.3">
      <c r="A311">
        <v>8637335371</v>
      </c>
      <c r="B311">
        <v>3994</v>
      </c>
      <c r="C311" s="1">
        <v>1272.4880000000001</v>
      </c>
      <c r="D311" s="1">
        <v>71.98</v>
      </c>
      <c r="E311" s="1">
        <v>445.76</v>
      </c>
      <c r="F311">
        <v>2628.136</v>
      </c>
      <c r="G311" s="1">
        <f t="shared" si="34"/>
        <v>2182.3760000000002</v>
      </c>
      <c r="H311" s="4">
        <v>1365.864</v>
      </c>
      <c r="I311" s="4">
        <f>VLOOKUP(A311,[1]PGReverse_all!$A$1:$FK$281,167,0)</f>
        <v>197.06</v>
      </c>
      <c r="J311" s="4">
        <f>F311+D311+I311</f>
        <v>2897.1759999999999</v>
      </c>
      <c r="K311" s="7">
        <v>-269.03999999999996</v>
      </c>
      <c r="L311" t="s">
        <v>11</v>
      </c>
      <c r="M311" t="s">
        <v>9</v>
      </c>
      <c r="N311" s="26">
        <f>VLOOKUP(A311,[1]PGReconsile!$A$1:$E$642,5,0)</f>
        <v>45898.45</v>
      </c>
    </row>
    <row r="312" spans="1:14" x14ac:dyDescent="0.3">
      <c r="A312">
        <v>8636867538</v>
      </c>
      <c r="B312">
        <v>2194</v>
      </c>
      <c r="C312" s="1">
        <v>466.00599999999997</v>
      </c>
      <c r="D312" s="1">
        <v>71.98</v>
      </c>
      <c r="E312" s="1">
        <v>244.86499999999998</v>
      </c>
      <c r="F312">
        <v>1644.26</v>
      </c>
      <c r="G312" s="1">
        <f t="shared" si="34"/>
        <v>1399.395</v>
      </c>
      <c r="H312" s="4">
        <v>549.74</v>
      </c>
      <c r="I312" s="4">
        <v>0</v>
      </c>
      <c r="J312" s="4" t="s">
        <v>25</v>
      </c>
      <c r="K312" s="8">
        <v>1644.26</v>
      </c>
      <c r="L312" t="s">
        <v>12</v>
      </c>
      <c r="M312" t="s">
        <v>9</v>
      </c>
      <c r="N312" s="26">
        <f>VLOOKUP(A312,[1]PGReconsile!$A$1:$E$642,5,0)</f>
        <v>45898.445138888892</v>
      </c>
    </row>
    <row r="313" spans="1:14" x14ac:dyDescent="0.3">
      <c r="A313">
        <v>8645334629</v>
      </c>
      <c r="B313">
        <v>3294</v>
      </c>
      <c r="C313" s="1">
        <v>1049.4680000000001</v>
      </c>
      <c r="D313" s="1">
        <v>71.98</v>
      </c>
      <c r="E313" s="1">
        <v>367.63499999999999</v>
      </c>
      <c r="F313">
        <v>2154.9059999999999</v>
      </c>
      <c r="G313" s="1">
        <f t="shared" si="34"/>
        <v>1787.271</v>
      </c>
      <c r="H313" s="4">
        <v>1139.0940000000001</v>
      </c>
      <c r="I313" s="4">
        <f>VLOOKUP(A313,[1]PGReverse_all!$A$1:$FK$281,167,0)</f>
        <v>197.06</v>
      </c>
      <c r="J313" s="4">
        <f>F313+D313+I313</f>
        <v>2423.9459999999999</v>
      </c>
      <c r="K313" s="7">
        <v>-269.03999999999996</v>
      </c>
      <c r="L313" t="s">
        <v>11</v>
      </c>
      <c r="M313" t="s">
        <v>9</v>
      </c>
      <c r="N313" s="26">
        <f>VLOOKUP(A313,[1]PGReconsile!$A$1:$E$642,5,0)</f>
        <v>45903.465277777781</v>
      </c>
    </row>
    <row r="314" spans="1:14" x14ac:dyDescent="0.3">
      <c r="A314">
        <v>8634990032</v>
      </c>
      <c r="B314">
        <v>2944</v>
      </c>
      <c r="C314" s="1">
        <v>937.95799999999997</v>
      </c>
      <c r="D314" s="1">
        <v>71.98</v>
      </c>
      <c r="E314" s="1">
        <v>328.57299999999998</v>
      </c>
      <c r="F314">
        <v>1918.29</v>
      </c>
      <c r="G314" s="1">
        <f t="shared" si="34"/>
        <v>1589.7170000000001</v>
      </c>
      <c r="H314" s="4">
        <v>1025.71</v>
      </c>
      <c r="I314" s="4">
        <v>0</v>
      </c>
      <c r="J314" s="4" t="s">
        <v>25</v>
      </c>
      <c r="K314" s="8">
        <v>1918.29</v>
      </c>
      <c r="L314" t="s">
        <v>12</v>
      </c>
      <c r="M314" t="s">
        <v>9</v>
      </c>
      <c r="N314" s="26">
        <f>VLOOKUP(A314,[1]PGReconsile!$A$1:$E$642,5,0)</f>
        <v>45897.440972222219</v>
      </c>
    </row>
    <row r="315" spans="1:14" x14ac:dyDescent="0.3">
      <c r="A315">
        <v>8616196476</v>
      </c>
      <c r="B315">
        <v>3394</v>
      </c>
      <c r="C315" s="1">
        <v>841.03300000000002</v>
      </c>
      <c r="D315" s="1">
        <v>71.98</v>
      </c>
      <c r="E315" s="1">
        <v>378.79199999999997</v>
      </c>
      <c r="F315">
        <v>2462.8049999999998</v>
      </c>
      <c r="G315" s="1">
        <f t="shared" si="34"/>
        <v>2084.0129999999999</v>
      </c>
      <c r="H315" s="4">
        <v>931.19500000000016</v>
      </c>
      <c r="I315" s="4">
        <f>VLOOKUP(A315,[1]PGReverse_all!$A$1:$FK$281,167,0)</f>
        <v>197.06</v>
      </c>
      <c r="J315" s="4">
        <f>F315+D315+I315</f>
        <v>2731.8449999999998</v>
      </c>
      <c r="K315" s="7">
        <v>-269.03999999999996</v>
      </c>
      <c r="L315" t="s">
        <v>11</v>
      </c>
      <c r="M315" t="s">
        <v>9</v>
      </c>
      <c r="N315" s="26">
        <f>VLOOKUP(A315,[1]PGReconsile!$A$1:$E$642,5,0)</f>
        <v>45883.446527777778</v>
      </c>
    </row>
    <row r="316" spans="1:14" x14ac:dyDescent="0.3">
      <c r="A316">
        <v>8649077969</v>
      </c>
      <c r="B316">
        <v>2994</v>
      </c>
      <c r="C316" s="1">
        <v>777.24199999999996</v>
      </c>
      <c r="D316" s="1">
        <v>71.98</v>
      </c>
      <c r="E316" s="1">
        <v>334.15600000000001</v>
      </c>
      <c r="F316">
        <v>2128.739</v>
      </c>
      <c r="G316" s="1">
        <f t="shared" si="34"/>
        <v>1794.5830000000001</v>
      </c>
      <c r="H316" s="4">
        <v>865.26099999999997</v>
      </c>
      <c r="I316" s="4">
        <v>0</v>
      </c>
      <c r="J316" s="4" t="s">
        <v>25</v>
      </c>
      <c r="K316" s="8">
        <v>2128.739</v>
      </c>
      <c r="L316" t="s">
        <v>12</v>
      </c>
      <c r="M316" t="s">
        <v>9</v>
      </c>
      <c r="N316" s="26">
        <f>VLOOKUP(A316,[1]PGReconsile!$A$1:$E$642,5,0)</f>
        <v>45905.450694444444</v>
      </c>
    </row>
    <row r="317" spans="1:14" x14ac:dyDescent="0.3">
      <c r="A317">
        <v>8653183954</v>
      </c>
      <c r="B317">
        <v>2644</v>
      </c>
      <c r="C317" s="1">
        <v>561.58600000000001</v>
      </c>
      <c r="D317" s="1">
        <v>71.98</v>
      </c>
      <c r="E317" s="1">
        <v>295.09399999999999</v>
      </c>
      <c r="F317">
        <v>1996.269</v>
      </c>
      <c r="G317" s="1">
        <f t="shared" si="34"/>
        <v>1701.175</v>
      </c>
      <c r="H317" s="4">
        <v>647.73099999999999</v>
      </c>
      <c r="I317" s="4">
        <v>0</v>
      </c>
      <c r="J317" s="4" t="s">
        <v>25</v>
      </c>
      <c r="K317" s="8">
        <v>1996.269</v>
      </c>
      <c r="L317" t="s">
        <v>12</v>
      </c>
      <c r="M317" t="s">
        <v>9</v>
      </c>
      <c r="N317" s="26">
        <f>VLOOKUP(A317,[1]PGReconsile!$A$1:$E$642,5,0)</f>
        <v>45908.48333333333</v>
      </c>
    </row>
    <row r="318" spans="1:14" x14ac:dyDescent="0.3">
      <c r="A318">
        <v>8626935106</v>
      </c>
      <c r="B318">
        <v>2944</v>
      </c>
      <c r="C318" s="1">
        <v>729.52300000000002</v>
      </c>
      <c r="D318" s="1">
        <v>71.98</v>
      </c>
      <c r="E318" s="1">
        <v>328.57299999999998</v>
      </c>
      <c r="F318">
        <v>2126.7249999999999</v>
      </c>
      <c r="G318" s="1">
        <f t="shared" si="34"/>
        <v>1798.152</v>
      </c>
      <c r="H318" s="4">
        <v>817.27500000000009</v>
      </c>
      <c r="I318" s="4">
        <f>VLOOKUP(A318,[1]PGReverse_all!$A$1:$FK$281,167,0)</f>
        <v>132.16</v>
      </c>
      <c r="J318" s="4">
        <f>F318+D318+I318</f>
        <v>2330.8649999999998</v>
      </c>
      <c r="K318" s="7">
        <v>-204.13999999999987</v>
      </c>
      <c r="L318" t="s">
        <v>11</v>
      </c>
      <c r="M318" t="s">
        <v>9</v>
      </c>
      <c r="N318" s="26">
        <f>VLOOKUP(A318,[1]PGReconsile!$A$1:$E$642,5,0)</f>
        <v>45891.470833333333</v>
      </c>
    </row>
    <row r="319" spans="1:14" x14ac:dyDescent="0.3">
      <c r="A319">
        <v>8612608577</v>
      </c>
      <c r="B319">
        <v>3844</v>
      </c>
      <c r="C319" s="1">
        <v>952.54399999999998</v>
      </c>
      <c r="D319" s="1">
        <v>71.98</v>
      </c>
      <c r="E319" s="1">
        <v>429.02100000000002</v>
      </c>
      <c r="F319">
        <v>2798.8829999999998</v>
      </c>
      <c r="G319" s="1">
        <f t="shared" si="34"/>
        <v>2369.8619999999996</v>
      </c>
      <c r="H319" s="4">
        <v>1045.1170000000002</v>
      </c>
      <c r="I319" s="4">
        <v>0</v>
      </c>
      <c r="J319" s="4" t="s">
        <v>25</v>
      </c>
      <c r="K319" s="8">
        <v>2798.8829999999998</v>
      </c>
      <c r="L319" t="s">
        <v>12</v>
      </c>
      <c r="M319" t="s">
        <v>9</v>
      </c>
      <c r="N319" s="26">
        <f>VLOOKUP(A319,[1]PGReconsile!$A$1:$E$642,5,0)</f>
        <v>45881.472222222219</v>
      </c>
    </row>
    <row r="320" spans="1:14" x14ac:dyDescent="0.3">
      <c r="A320">
        <v>8641770468</v>
      </c>
      <c r="B320">
        <v>1594</v>
      </c>
      <c r="C320" s="1">
        <v>470.23</v>
      </c>
      <c r="D320" s="1">
        <v>53.1</v>
      </c>
      <c r="E320" s="1">
        <v>177.90600000000001</v>
      </c>
      <c r="F320">
        <v>1062.1310000000001</v>
      </c>
      <c r="G320" s="1">
        <f t="shared" si="34"/>
        <v>884.22500000000014</v>
      </c>
      <c r="H320" s="4">
        <v>531.86899999999991</v>
      </c>
      <c r="I320" s="4">
        <f>VLOOKUP(A320,[1]PGReverse_all!$A$1:$FK$281,167,0)</f>
        <v>197.06</v>
      </c>
      <c r="J320" s="4">
        <f>F320+D320+I320</f>
        <v>1312.2909999999999</v>
      </c>
      <c r="K320" s="7">
        <v>-250.15999999999985</v>
      </c>
      <c r="L320" t="s">
        <v>11</v>
      </c>
      <c r="M320" t="s">
        <v>9</v>
      </c>
      <c r="N320" s="26">
        <f>VLOOKUP(A320,[1]PGReconsile!$A$1:$E$642,5,0)</f>
        <v>45901.459027777775</v>
      </c>
    </row>
    <row r="321" spans="1:14" x14ac:dyDescent="0.3">
      <c r="A321">
        <v>8653144719</v>
      </c>
      <c r="B321">
        <v>2593.98</v>
      </c>
      <c r="C321" s="1">
        <v>550.96100000000001</v>
      </c>
      <c r="D321" s="1">
        <v>71.98</v>
      </c>
      <c r="E321" s="1">
        <v>289.51</v>
      </c>
      <c r="F321">
        <v>1957.143</v>
      </c>
      <c r="G321" s="1">
        <f t="shared" si="34"/>
        <v>1667.633</v>
      </c>
      <c r="H321" s="4">
        <v>636.83699999999999</v>
      </c>
      <c r="I321" s="4">
        <v>0</v>
      </c>
      <c r="J321" s="4" t="s">
        <v>25</v>
      </c>
      <c r="K321" s="8">
        <v>1957.143</v>
      </c>
      <c r="L321" t="s">
        <v>12</v>
      </c>
      <c r="M321" t="s">
        <v>9</v>
      </c>
      <c r="N321" s="26">
        <f>VLOOKUP(A321,[1]PGReconsile!$A$1:$E$642,5,0)</f>
        <v>45908.48333333333</v>
      </c>
    </row>
    <row r="322" spans="1:14" x14ac:dyDescent="0.3">
      <c r="A322">
        <v>8646141427</v>
      </c>
      <c r="B322">
        <v>1994</v>
      </c>
      <c r="C322" s="1">
        <v>541.17200000000003</v>
      </c>
      <c r="D322" s="1">
        <v>53.1</v>
      </c>
      <c r="E322" s="1">
        <v>222.54199999999997</v>
      </c>
      <c r="F322">
        <v>1389.046</v>
      </c>
      <c r="G322" s="1">
        <f t="shared" si="34"/>
        <v>1166.5040000000001</v>
      </c>
      <c r="H322" s="4">
        <v>604.95399999999995</v>
      </c>
      <c r="I322" s="4">
        <v>0</v>
      </c>
      <c r="J322" s="4" t="s">
        <v>25</v>
      </c>
      <c r="K322" s="8">
        <v>1389.046</v>
      </c>
      <c r="L322" t="s">
        <v>12</v>
      </c>
      <c r="M322" t="s">
        <v>9</v>
      </c>
      <c r="N322" s="26">
        <f>VLOOKUP(A322,[1]PGReconsile!$A$1:$E$642,5,0)</f>
        <v>45903.563194444447</v>
      </c>
    </row>
    <row r="323" spans="1:14" x14ac:dyDescent="0.3">
      <c r="A323">
        <v>8618007109</v>
      </c>
      <c r="B323">
        <v>3294</v>
      </c>
      <c r="C323" s="1">
        <v>1049.4680000000001</v>
      </c>
      <c r="D323" s="1">
        <v>71.98</v>
      </c>
      <c r="E323" s="1">
        <v>367.63499999999999</v>
      </c>
      <c r="F323">
        <v>2154.9059999999999</v>
      </c>
      <c r="G323" s="1">
        <f t="shared" ref="G323:G386" si="41">F323-E323</f>
        <v>1787.271</v>
      </c>
      <c r="H323" s="4">
        <v>1139.0940000000001</v>
      </c>
      <c r="I323" s="4">
        <f>VLOOKUP(A323,[1]PGReverse_all!$A$1:$FK$281,167,0)</f>
        <v>132.16</v>
      </c>
      <c r="J323" s="4">
        <f t="shared" ref="J323:J324" si="42">F323+D323+I323</f>
        <v>2359.0459999999998</v>
      </c>
      <c r="K323" s="7">
        <v>-204.13999999999987</v>
      </c>
      <c r="L323" t="s">
        <v>11</v>
      </c>
      <c r="M323" t="s">
        <v>9</v>
      </c>
      <c r="N323" s="26">
        <f>VLOOKUP(A323,[1]PGReconsile!$A$1:$E$642,5,0)</f>
        <v>45888.475694444445</v>
      </c>
    </row>
    <row r="324" spans="1:14" x14ac:dyDescent="0.3">
      <c r="A324">
        <v>8620565101</v>
      </c>
      <c r="B324">
        <v>3169</v>
      </c>
      <c r="C324" s="1">
        <v>822.67200000000003</v>
      </c>
      <c r="D324" s="1">
        <v>71.98</v>
      </c>
      <c r="E324" s="1">
        <v>353.68700000000001</v>
      </c>
      <c r="F324">
        <v>2257.3719999999998</v>
      </c>
      <c r="G324" s="1">
        <f t="shared" si="41"/>
        <v>1903.6849999999999</v>
      </c>
      <c r="H324" s="4">
        <v>911.62800000000016</v>
      </c>
      <c r="I324" s="4">
        <f>VLOOKUP(A324,[1]PGReverse_all!$A$1:$FK$281,167,0)</f>
        <v>107.38</v>
      </c>
      <c r="J324" s="4">
        <f t="shared" si="42"/>
        <v>2436.732</v>
      </c>
      <c r="K324" s="7">
        <v>-179.36000000000013</v>
      </c>
      <c r="L324" t="s">
        <v>11</v>
      </c>
      <c r="M324" t="s">
        <v>9</v>
      </c>
      <c r="N324" s="26">
        <f>VLOOKUP(A324,[1]PGReconsile!$A$1:$E$642,5,0)</f>
        <v>45887.452777777777</v>
      </c>
    </row>
    <row r="325" spans="1:14" x14ac:dyDescent="0.3">
      <c r="A325">
        <v>8623259829</v>
      </c>
      <c r="B325">
        <v>3294</v>
      </c>
      <c r="C325" s="1">
        <v>1049.4680000000001</v>
      </c>
      <c r="D325" s="1">
        <v>71.98</v>
      </c>
      <c r="E325" s="1">
        <v>367.63499999999999</v>
      </c>
      <c r="F325">
        <v>2154.9059999999999</v>
      </c>
      <c r="G325" s="1">
        <f t="shared" si="41"/>
        <v>1787.271</v>
      </c>
      <c r="H325" s="4">
        <v>1139.0940000000001</v>
      </c>
      <c r="I325" s="4">
        <v>0</v>
      </c>
      <c r="J325" s="4" t="s">
        <v>25</v>
      </c>
      <c r="K325" s="8">
        <v>2154.9059999999999</v>
      </c>
      <c r="L325" t="s">
        <v>12</v>
      </c>
      <c r="M325" t="s">
        <v>9</v>
      </c>
      <c r="N325" s="26">
        <f>VLOOKUP(A325,[1]PGReconsile!$A$1:$E$642,5,0)</f>
        <v>45888.475694444445</v>
      </c>
    </row>
    <row r="326" spans="1:14" x14ac:dyDescent="0.3">
      <c r="A326">
        <v>8640576575</v>
      </c>
      <c r="B326">
        <v>2769</v>
      </c>
      <c r="C326" s="1">
        <v>686.15800000000002</v>
      </c>
      <c r="D326" s="1">
        <v>71.98</v>
      </c>
      <c r="E326" s="1">
        <v>309.04200000000003</v>
      </c>
      <c r="F326">
        <v>1996.028</v>
      </c>
      <c r="G326" s="1">
        <f t="shared" si="41"/>
        <v>1686.9859999999999</v>
      </c>
      <c r="H326" s="4">
        <v>772.97199999999998</v>
      </c>
      <c r="I326" s="4">
        <f>VLOOKUP(A326,[1]PGReverse_all!$A$1:$FK$281,167,0)</f>
        <v>197.06</v>
      </c>
      <c r="J326" s="4">
        <f>F326+D326+I326</f>
        <v>2265.0679999999998</v>
      </c>
      <c r="K326" s="7">
        <v>-269.03999999999974</v>
      </c>
      <c r="L326" t="s">
        <v>11</v>
      </c>
      <c r="M326" t="s">
        <v>9</v>
      </c>
      <c r="N326" s="26">
        <f>VLOOKUP(A326,[1]PGReconsile!$A$1:$E$642,5,0)</f>
        <v>45900.693749999999</v>
      </c>
    </row>
    <row r="327" spans="1:14" x14ac:dyDescent="0.3">
      <c r="A327">
        <v>8621921134</v>
      </c>
      <c r="B327">
        <v>3169</v>
      </c>
      <c r="C327" s="1">
        <v>785.27800000000002</v>
      </c>
      <c r="D327" s="1">
        <v>71.98</v>
      </c>
      <c r="E327" s="1">
        <v>353.68700000000001</v>
      </c>
      <c r="F327">
        <v>2294.7660000000001</v>
      </c>
      <c r="G327" s="1">
        <f t="shared" si="41"/>
        <v>1941.0790000000002</v>
      </c>
      <c r="H327" s="4">
        <v>874.23399999999992</v>
      </c>
      <c r="I327" s="4">
        <v>0</v>
      </c>
      <c r="J327" s="4" t="s">
        <v>25</v>
      </c>
      <c r="K327" s="8">
        <v>2294.7660000000001</v>
      </c>
      <c r="L327" t="s">
        <v>12</v>
      </c>
      <c r="M327" t="s">
        <v>9</v>
      </c>
      <c r="N327" s="26">
        <f>VLOOKUP(A327,[1]PGReconsile!$A$1:$E$642,5,0)</f>
        <v>45897.636111111111</v>
      </c>
    </row>
    <row r="328" spans="1:14" x14ac:dyDescent="0.3">
      <c r="A328">
        <v>8658000528</v>
      </c>
      <c r="B328">
        <v>2719</v>
      </c>
      <c r="C328" s="1">
        <v>673.76800000000003</v>
      </c>
      <c r="D328" s="1">
        <v>71.98</v>
      </c>
      <c r="E328" s="1">
        <v>303.45799999999997</v>
      </c>
      <c r="F328">
        <v>1958.6859999999999</v>
      </c>
      <c r="G328" s="1">
        <f t="shared" si="41"/>
        <v>1655.2280000000001</v>
      </c>
      <c r="H328" s="4">
        <v>760.31400000000008</v>
      </c>
      <c r="I328" s="4">
        <v>0</v>
      </c>
      <c r="J328" s="4" t="s">
        <v>25</v>
      </c>
      <c r="K328" s="8">
        <v>1958.6859999999999</v>
      </c>
      <c r="L328" t="s">
        <v>12</v>
      </c>
      <c r="M328" t="s">
        <v>9</v>
      </c>
      <c r="N328" s="26">
        <f>VLOOKUP(A328,[1]PGReconsile!$A$1:$E$642,5,0)</f>
        <v>45910.459722222222</v>
      </c>
    </row>
    <row r="329" spans="1:14" x14ac:dyDescent="0.3">
      <c r="A329">
        <v>8620149668</v>
      </c>
      <c r="B329">
        <v>1704</v>
      </c>
      <c r="C329" s="1">
        <v>382.03699999999998</v>
      </c>
      <c r="D329" s="1">
        <v>53.1</v>
      </c>
      <c r="E329" s="1">
        <v>190.18700000000001</v>
      </c>
      <c r="F329">
        <v>1259.7349999999999</v>
      </c>
      <c r="G329" s="1">
        <f t="shared" si="41"/>
        <v>1069.5479999999998</v>
      </c>
      <c r="H329" s="4">
        <v>444.2650000000001</v>
      </c>
      <c r="I329" s="4">
        <f>VLOOKUP(A329,[1]PGReverse_all!$A$1:$FK$281,167,0)</f>
        <v>107.38</v>
      </c>
      <c r="J329" s="4">
        <f>F329+D329+I329</f>
        <v>1420.2149999999997</v>
      </c>
      <c r="K329" s="7">
        <v>-160.47999999999979</v>
      </c>
      <c r="L329" t="s">
        <v>11</v>
      </c>
      <c r="M329" t="s">
        <v>9</v>
      </c>
      <c r="N329" s="26">
        <f>VLOOKUP(A329,[1]PGReconsile!$A$1:$E$642,5,0)</f>
        <v>45887.452777777777</v>
      </c>
    </row>
    <row r="330" spans="1:14" x14ac:dyDescent="0.3">
      <c r="A330">
        <v>8614145438</v>
      </c>
      <c r="B330">
        <v>1954</v>
      </c>
      <c r="C330" s="1">
        <v>438.08699999999999</v>
      </c>
      <c r="D330" s="1">
        <v>53.1</v>
      </c>
      <c r="E330" s="1">
        <v>218.08300000000003</v>
      </c>
      <c r="F330">
        <v>1452.345</v>
      </c>
      <c r="G330" s="1">
        <f t="shared" si="41"/>
        <v>1234.2619999999999</v>
      </c>
      <c r="H330" s="4">
        <v>501.65499999999997</v>
      </c>
      <c r="I330" s="4">
        <v>0</v>
      </c>
      <c r="J330" s="4" t="s">
        <v>25</v>
      </c>
      <c r="K330" s="8">
        <v>1452.345</v>
      </c>
      <c r="L330" t="s">
        <v>12</v>
      </c>
      <c r="M330" t="s">
        <v>9</v>
      </c>
      <c r="N330" s="26">
        <f>VLOOKUP(A330,[1]PGReconsile!$A$1:$E$642,5,0)</f>
        <v>45882.453472222223</v>
      </c>
    </row>
    <row r="331" spans="1:14" x14ac:dyDescent="0.3">
      <c r="A331">
        <v>8632124182</v>
      </c>
      <c r="B331">
        <v>2719</v>
      </c>
      <c r="C331" s="1">
        <v>673.76800000000003</v>
      </c>
      <c r="D331" s="1">
        <v>71.98</v>
      </c>
      <c r="E331" s="1">
        <v>303.45799999999997</v>
      </c>
      <c r="F331">
        <v>1958.6859999999999</v>
      </c>
      <c r="G331" s="1">
        <f t="shared" si="41"/>
        <v>1655.2280000000001</v>
      </c>
      <c r="H331" s="4">
        <v>760.31400000000008</v>
      </c>
      <c r="I331" s="4">
        <v>0</v>
      </c>
      <c r="J331" s="4" t="s">
        <v>25</v>
      </c>
      <c r="K331" s="8">
        <v>1958.6859999999999</v>
      </c>
      <c r="L331" t="s">
        <v>12</v>
      </c>
      <c r="M331" t="s">
        <v>9</v>
      </c>
      <c r="N331" s="26">
        <f>VLOOKUP(A331,[1]PGReconsile!$A$1:$E$642,5,0)</f>
        <v>45894.452777777777</v>
      </c>
    </row>
    <row r="332" spans="1:14" x14ac:dyDescent="0.3">
      <c r="A332">
        <v>8611739283</v>
      </c>
      <c r="B332">
        <v>2944</v>
      </c>
      <c r="C332" s="1">
        <v>729.52300000000002</v>
      </c>
      <c r="D332" s="1">
        <v>71.98</v>
      </c>
      <c r="E332" s="1">
        <v>328.57299999999998</v>
      </c>
      <c r="F332">
        <v>2126.7249999999999</v>
      </c>
      <c r="G332" s="1">
        <f t="shared" si="41"/>
        <v>1798.152</v>
      </c>
      <c r="H332" s="4">
        <v>817.27500000000009</v>
      </c>
      <c r="I332" s="4">
        <v>0</v>
      </c>
      <c r="J332" s="4" t="s">
        <v>25</v>
      </c>
      <c r="K332" s="8">
        <v>2126.7249999999999</v>
      </c>
      <c r="L332" t="s">
        <v>12</v>
      </c>
      <c r="M332" t="s">
        <v>9</v>
      </c>
      <c r="N332" s="26">
        <f>VLOOKUP(A332,[1]PGReconsile!$A$1:$E$642,5,0)</f>
        <v>45880.458333333336</v>
      </c>
    </row>
    <row r="333" spans="1:14" x14ac:dyDescent="0.3">
      <c r="A333">
        <v>8613861450</v>
      </c>
      <c r="B333">
        <v>2606</v>
      </c>
      <c r="C333" s="1">
        <v>553.51400000000001</v>
      </c>
      <c r="D333" s="1">
        <v>71.98</v>
      </c>
      <c r="E333" s="1">
        <v>290.84399999999999</v>
      </c>
      <c r="F333">
        <v>1966.5450000000001</v>
      </c>
      <c r="G333" s="1">
        <f t="shared" si="41"/>
        <v>1675.701</v>
      </c>
      <c r="H333" s="4">
        <v>639.45499999999993</v>
      </c>
      <c r="I333" s="4">
        <f>VLOOKUP(A333,[1]PGReverse_all!$A$1:$FK$281,167,0)</f>
        <v>197.06</v>
      </c>
      <c r="J333" s="4">
        <f t="shared" ref="J333:J339" si="43">F333+D333+I333</f>
        <v>2235.585</v>
      </c>
      <c r="K333" s="7">
        <v>-269.03999999999996</v>
      </c>
      <c r="L333" t="s">
        <v>11</v>
      </c>
      <c r="M333" t="s">
        <v>9</v>
      </c>
      <c r="N333" s="26">
        <f>VLOOKUP(A333,[1]PGReconsile!$A$1:$E$642,5,0)</f>
        <v>45881.771527777775</v>
      </c>
    </row>
    <row r="334" spans="1:14" x14ac:dyDescent="0.3">
      <c r="A334">
        <v>8623616712</v>
      </c>
      <c r="B334">
        <v>656</v>
      </c>
      <c r="C334" s="1">
        <v>178.03800000000001</v>
      </c>
      <c r="D334" s="1">
        <v>31.86</v>
      </c>
      <c r="E334" s="1">
        <v>34.363999999999997</v>
      </c>
      <c r="F334">
        <v>442.35300000000001</v>
      </c>
      <c r="G334" s="1">
        <f t="shared" si="41"/>
        <v>407.98900000000003</v>
      </c>
      <c r="H334" s="4">
        <v>213.64699999999999</v>
      </c>
      <c r="I334" s="4">
        <f>VLOOKUP(A334,[1]PGReverse_all!$A$1:$FK$281,167,0)</f>
        <v>107.38</v>
      </c>
      <c r="J334" s="4">
        <f t="shared" si="43"/>
        <v>581.59300000000007</v>
      </c>
      <c r="K334" s="7">
        <v>-139.24000000000007</v>
      </c>
      <c r="L334" t="s">
        <v>11</v>
      </c>
      <c r="M334" t="s">
        <v>9</v>
      </c>
      <c r="N334" s="26">
        <f>VLOOKUP(A334,[1]PGReconsile!$A$1:$E$642,5,0)</f>
        <v>45888.776388888888</v>
      </c>
    </row>
    <row r="335" spans="1:14" x14ac:dyDescent="0.3">
      <c r="A335">
        <v>8644827450</v>
      </c>
      <c r="B335">
        <v>3194</v>
      </c>
      <c r="C335" s="1">
        <v>791.47299999999996</v>
      </c>
      <c r="D335" s="1">
        <v>71.98</v>
      </c>
      <c r="E335" s="1">
        <v>356.46899999999999</v>
      </c>
      <c r="F335">
        <v>2313.4360000000001</v>
      </c>
      <c r="G335" s="1">
        <f t="shared" si="41"/>
        <v>1956.9670000000001</v>
      </c>
      <c r="H335" s="4">
        <v>880.56399999999985</v>
      </c>
      <c r="I335" s="4">
        <f>VLOOKUP(A335,[1]PGReverse_all!$A$1:$FK$281,167,0)</f>
        <v>197.06</v>
      </c>
      <c r="J335" s="4">
        <f t="shared" si="43"/>
        <v>2582.4760000000001</v>
      </c>
      <c r="K335" s="7">
        <v>-269.03999999999996</v>
      </c>
      <c r="L335" t="s">
        <v>11</v>
      </c>
      <c r="M335" t="s">
        <v>9</v>
      </c>
      <c r="N335" s="26">
        <f>VLOOKUP(A335,[1]PGReconsile!$A$1:$E$642,5,0)</f>
        <v>45903.465277777781</v>
      </c>
    </row>
    <row r="336" spans="1:14" x14ac:dyDescent="0.3">
      <c r="A336">
        <v>8630677968</v>
      </c>
      <c r="B336">
        <v>3169</v>
      </c>
      <c r="C336" s="1">
        <v>822.67200000000003</v>
      </c>
      <c r="D336" s="1">
        <v>71.98</v>
      </c>
      <c r="E336" s="1">
        <v>353.68700000000001</v>
      </c>
      <c r="F336">
        <v>2257.3719999999998</v>
      </c>
      <c r="G336" s="1">
        <f t="shared" si="41"/>
        <v>1903.6849999999999</v>
      </c>
      <c r="H336" s="4">
        <v>911.62800000000016</v>
      </c>
      <c r="I336" s="4">
        <f>VLOOKUP(A336,[1]PGReverse_all!$A$1:$FK$281,167,0)</f>
        <v>197.06</v>
      </c>
      <c r="J336" s="4">
        <f t="shared" si="43"/>
        <v>2526.4119999999998</v>
      </c>
      <c r="K336" s="7">
        <v>-269.03999999999996</v>
      </c>
      <c r="L336" t="s">
        <v>11</v>
      </c>
      <c r="M336" t="s">
        <v>9</v>
      </c>
      <c r="N336" s="26">
        <f>VLOOKUP(A336,[1]PGReconsile!$A$1:$E$642,5,0)</f>
        <v>45894.452777777777</v>
      </c>
    </row>
    <row r="337" spans="1:14" x14ac:dyDescent="0.3">
      <c r="A337">
        <v>8641995562</v>
      </c>
      <c r="B337">
        <v>3274</v>
      </c>
      <c r="C337" s="1">
        <v>695.39800000000002</v>
      </c>
      <c r="D337" s="1">
        <v>71.98</v>
      </c>
      <c r="E337" s="1">
        <v>365.40600000000001</v>
      </c>
      <c r="F337">
        <v>2489.0830000000001</v>
      </c>
      <c r="G337" s="1">
        <f t="shared" si="41"/>
        <v>2123.6770000000001</v>
      </c>
      <c r="H337" s="4">
        <v>784.91699999999992</v>
      </c>
      <c r="I337" s="4">
        <f>VLOOKUP(A337,[1]PGReverse_all!$A$1:$FK$281,167,0)</f>
        <v>197.06</v>
      </c>
      <c r="J337" s="4">
        <f t="shared" si="43"/>
        <v>2758.123</v>
      </c>
      <c r="K337" s="7">
        <v>-269.03999999999996</v>
      </c>
      <c r="L337" t="s">
        <v>11</v>
      </c>
      <c r="M337" t="s">
        <v>9</v>
      </c>
      <c r="N337" s="26">
        <f>VLOOKUP(A337,[1]PGReconsile!$A$1:$E$642,5,0)</f>
        <v>45901.459027777775</v>
      </c>
    </row>
    <row r="338" spans="1:14" x14ac:dyDescent="0.3">
      <c r="A338">
        <v>8612636946</v>
      </c>
      <c r="B338">
        <v>1079</v>
      </c>
      <c r="C338" s="1">
        <v>267.37599999999998</v>
      </c>
      <c r="D338" s="1">
        <v>53.1</v>
      </c>
      <c r="E338" s="1">
        <v>120.42699999999999</v>
      </c>
      <c r="F338">
        <v>752.74400000000003</v>
      </c>
      <c r="G338" s="1">
        <f t="shared" si="41"/>
        <v>632.31700000000001</v>
      </c>
      <c r="H338" s="4">
        <v>326.25599999999997</v>
      </c>
      <c r="I338" s="4">
        <f>VLOOKUP(A338,[1]PGReverse_all!$A$1:$FK$281,167,0)</f>
        <v>132.16</v>
      </c>
      <c r="J338" s="4">
        <f t="shared" si="43"/>
        <v>938.00400000000002</v>
      </c>
      <c r="K338" s="7">
        <v>-185.26</v>
      </c>
      <c r="L338" t="s">
        <v>11</v>
      </c>
      <c r="M338" t="s">
        <v>9</v>
      </c>
      <c r="N338" s="26">
        <f>VLOOKUP(A338,[1]PGReconsile!$A$1:$E$642,5,0)</f>
        <v>45881.472222222219</v>
      </c>
    </row>
    <row r="339" spans="1:14" x14ac:dyDescent="0.3">
      <c r="A339">
        <v>8612316630</v>
      </c>
      <c r="B339">
        <v>3994</v>
      </c>
      <c r="C339" s="1">
        <v>1272.4880000000001</v>
      </c>
      <c r="D339" s="1">
        <v>71.98</v>
      </c>
      <c r="E339" s="1">
        <v>445.76</v>
      </c>
      <c r="F339">
        <v>2628.136</v>
      </c>
      <c r="G339" s="1">
        <f t="shared" si="41"/>
        <v>2182.3760000000002</v>
      </c>
      <c r="H339" s="4">
        <v>1365.864</v>
      </c>
      <c r="I339" s="4">
        <f>VLOOKUP(A339,[1]PGReverse_all!$A$1:$FK$281,167,0)</f>
        <v>197.06</v>
      </c>
      <c r="J339" s="4">
        <f t="shared" si="43"/>
        <v>2897.1759999999999</v>
      </c>
      <c r="K339" s="7">
        <v>-269.03999999999996</v>
      </c>
      <c r="L339" t="s">
        <v>11</v>
      </c>
      <c r="M339" t="s">
        <v>9</v>
      </c>
      <c r="N339" s="26">
        <f>VLOOKUP(A339,[1]PGReconsile!$A$1:$E$642,5,0)</f>
        <v>45880.772916666669</v>
      </c>
    </row>
    <row r="340" spans="1:14" x14ac:dyDescent="0.3">
      <c r="A340">
        <v>8625453494</v>
      </c>
      <c r="B340">
        <v>2244</v>
      </c>
      <c r="C340" s="1">
        <v>476.62599999999998</v>
      </c>
      <c r="D340" s="1">
        <v>71.98</v>
      </c>
      <c r="E340" s="1">
        <v>250.44800000000001</v>
      </c>
      <c r="F340">
        <v>1683.3720000000001</v>
      </c>
      <c r="G340" s="1">
        <f t="shared" si="41"/>
        <v>1432.924</v>
      </c>
      <c r="H340" s="4">
        <v>560.62799999999993</v>
      </c>
      <c r="I340" s="4">
        <v>0</v>
      </c>
      <c r="J340" s="4" t="s">
        <v>25</v>
      </c>
      <c r="K340" s="8">
        <v>1683.3720000000001</v>
      </c>
      <c r="L340" t="s">
        <v>12</v>
      </c>
      <c r="M340" t="s">
        <v>9</v>
      </c>
      <c r="N340" s="26">
        <f>VLOOKUP(A340,[1]PGReconsile!$A$1:$E$642,5,0)</f>
        <v>45890.458333333336</v>
      </c>
    </row>
    <row r="341" spans="1:14" x14ac:dyDescent="0.3">
      <c r="A341">
        <v>8635172599</v>
      </c>
      <c r="B341">
        <v>500</v>
      </c>
      <c r="C341" s="1">
        <v>135.69999999999999</v>
      </c>
      <c r="D341" s="1">
        <v>31.86</v>
      </c>
      <c r="E341" s="1">
        <v>26.190999999999999</v>
      </c>
      <c r="F341">
        <v>329.58300000000003</v>
      </c>
      <c r="G341" s="1">
        <f t="shared" si="41"/>
        <v>303.39200000000005</v>
      </c>
      <c r="H341" s="4">
        <v>170.41699999999997</v>
      </c>
      <c r="I341" s="4">
        <v>0</v>
      </c>
      <c r="J341" s="4" t="s">
        <v>25</v>
      </c>
      <c r="K341" s="8">
        <v>329.58300000000003</v>
      </c>
      <c r="L341" t="s">
        <v>12</v>
      </c>
      <c r="M341" t="s">
        <v>9</v>
      </c>
      <c r="N341" s="26">
        <f>VLOOKUP(A341,[1]PGReconsile!$A$1:$E$642,5,0)</f>
        <v>45897.440972222219</v>
      </c>
    </row>
    <row r="342" spans="1:14" x14ac:dyDescent="0.3">
      <c r="A342">
        <v>8643430474</v>
      </c>
      <c r="B342">
        <v>1629</v>
      </c>
      <c r="C342" s="1">
        <v>422.88799999999998</v>
      </c>
      <c r="D342" s="1">
        <v>53.1</v>
      </c>
      <c r="E342" s="1">
        <v>181.81199999999998</v>
      </c>
      <c r="F342">
        <v>1144.2860000000001</v>
      </c>
      <c r="G342" s="1">
        <f t="shared" si="41"/>
        <v>962.47400000000005</v>
      </c>
      <c r="H342" s="4">
        <v>484.71399999999994</v>
      </c>
      <c r="I342" s="4">
        <f>VLOOKUP(A342,[1]PGReverse_all!$A$1:$FK$281,167,0)</f>
        <v>107.38</v>
      </c>
      <c r="J342" s="4">
        <f t="shared" ref="J342:J343" si="44">F342+D342+I342</f>
        <v>1304.7660000000001</v>
      </c>
      <c r="K342" s="7">
        <v>-160.48000000000002</v>
      </c>
      <c r="L342" t="s">
        <v>11</v>
      </c>
      <c r="M342" t="s">
        <v>9</v>
      </c>
      <c r="N342" s="26">
        <f>VLOOKUP(A342,[1]PGReconsile!$A$1:$E$642,5,0)</f>
        <v>45902.448611111111</v>
      </c>
    </row>
    <row r="343" spans="1:14" x14ac:dyDescent="0.3">
      <c r="A343">
        <v>8629057586</v>
      </c>
      <c r="B343">
        <v>2981</v>
      </c>
      <c r="C343" s="1">
        <v>738.69200000000001</v>
      </c>
      <c r="D343" s="1">
        <v>71.98</v>
      </c>
      <c r="E343" s="1">
        <v>332.69799999999998</v>
      </c>
      <c r="F343">
        <v>2154.3580000000002</v>
      </c>
      <c r="G343" s="1">
        <f t="shared" si="41"/>
        <v>1821.6600000000003</v>
      </c>
      <c r="H343" s="4">
        <v>826.64199999999983</v>
      </c>
      <c r="I343" s="4">
        <f>VLOOKUP(A343,[1]PGReverse_all!$A$1:$FK$281,167,0)</f>
        <v>132.16</v>
      </c>
      <c r="J343" s="4">
        <f t="shared" si="44"/>
        <v>2358.498</v>
      </c>
      <c r="K343" s="7">
        <v>-204.13999999999987</v>
      </c>
      <c r="L343" t="s">
        <v>11</v>
      </c>
      <c r="M343" t="s">
        <v>9</v>
      </c>
      <c r="N343" s="26">
        <f>VLOOKUP(A343,[1]PGReconsile!$A$1:$E$642,5,0)</f>
        <v>45892.432638888888</v>
      </c>
    </row>
    <row r="344" spans="1:14" x14ac:dyDescent="0.3">
      <c r="A344">
        <v>8662683431</v>
      </c>
      <c r="B344">
        <v>1229</v>
      </c>
      <c r="C344" s="1">
        <v>275.54199999999997</v>
      </c>
      <c r="D344" s="1">
        <v>53.1</v>
      </c>
      <c r="E344" s="1">
        <v>137.167</v>
      </c>
      <c r="F344">
        <v>893.774</v>
      </c>
      <c r="G344" s="1">
        <f t="shared" si="41"/>
        <v>756.60699999999997</v>
      </c>
      <c r="H344" s="4">
        <v>335.226</v>
      </c>
      <c r="I344" s="4">
        <v>0</v>
      </c>
      <c r="J344" s="4" t="s">
        <v>25</v>
      </c>
      <c r="K344" s="8">
        <v>893.774</v>
      </c>
      <c r="L344" t="s">
        <v>12</v>
      </c>
      <c r="M344" t="s">
        <v>9</v>
      </c>
      <c r="N344" s="26">
        <f>VLOOKUP(A344,[1]PGReconsile!$A$1:$E$642,5,0)</f>
        <v>45912.475694444445</v>
      </c>
    </row>
    <row r="345" spans="1:14" x14ac:dyDescent="0.3">
      <c r="A345">
        <v>8620565102</v>
      </c>
      <c r="B345">
        <v>3169</v>
      </c>
      <c r="C345" s="1">
        <v>822.67200000000003</v>
      </c>
      <c r="D345" s="1">
        <v>71.98</v>
      </c>
      <c r="E345" s="1">
        <v>353.68700000000001</v>
      </c>
      <c r="F345">
        <v>2257.3719999999998</v>
      </c>
      <c r="G345" s="1">
        <f t="shared" si="41"/>
        <v>1903.6849999999999</v>
      </c>
      <c r="H345" s="4">
        <v>911.62800000000016</v>
      </c>
      <c r="I345" s="4">
        <v>0</v>
      </c>
      <c r="J345" s="4" t="s">
        <v>25</v>
      </c>
      <c r="K345" s="8">
        <v>2257.3719999999998</v>
      </c>
      <c r="L345" t="s">
        <v>12</v>
      </c>
      <c r="M345" t="s">
        <v>9</v>
      </c>
      <c r="N345" s="26">
        <f>VLOOKUP(A345,[1]PGReconsile!$A$1:$E$642,5,0)</f>
        <v>45887.452777777777</v>
      </c>
    </row>
    <row r="346" spans="1:14" x14ac:dyDescent="0.3">
      <c r="A346">
        <v>8622022828</v>
      </c>
      <c r="B346">
        <v>3169</v>
      </c>
      <c r="C346" s="1">
        <v>822.67200000000003</v>
      </c>
      <c r="D346" s="1">
        <v>71.98</v>
      </c>
      <c r="E346" s="1">
        <v>353.68700000000001</v>
      </c>
      <c r="F346">
        <v>2257.3719999999998</v>
      </c>
      <c r="G346" s="1">
        <f t="shared" si="41"/>
        <v>1903.6849999999999</v>
      </c>
      <c r="H346" s="4">
        <v>911.62800000000016</v>
      </c>
      <c r="I346" s="4">
        <f>VLOOKUP(A346,[1]PGReverse_all!$A$1:$FK$281,167,0)</f>
        <v>107.38</v>
      </c>
      <c r="J346" s="4">
        <f>F346+D346+I346</f>
        <v>2436.732</v>
      </c>
      <c r="K346" s="7">
        <v>-179.36000000000013</v>
      </c>
      <c r="L346" t="s">
        <v>11</v>
      </c>
      <c r="M346" t="s">
        <v>9</v>
      </c>
      <c r="N346" s="26">
        <f>VLOOKUP(A346,[1]PGReconsile!$A$1:$E$642,5,0)</f>
        <v>45887.563194444447</v>
      </c>
    </row>
    <row r="347" spans="1:14" x14ac:dyDescent="0.3">
      <c r="A347">
        <v>8632189754</v>
      </c>
      <c r="B347">
        <v>2089</v>
      </c>
      <c r="C347" s="1">
        <v>542.30399999999997</v>
      </c>
      <c r="D347" s="1">
        <v>71.98</v>
      </c>
      <c r="E347" s="1">
        <v>233.14599999999999</v>
      </c>
      <c r="F347">
        <v>1463.5250000000001</v>
      </c>
      <c r="G347" s="1">
        <f t="shared" si="41"/>
        <v>1230.3790000000001</v>
      </c>
      <c r="H347" s="4">
        <v>625.47499999999991</v>
      </c>
      <c r="I347" s="4">
        <v>0</v>
      </c>
      <c r="J347" s="4" t="s">
        <v>25</v>
      </c>
      <c r="K347" s="8">
        <v>1463.5250000000001</v>
      </c>
      <c r="L347" t="s">
        <v>12</v>
      </c>
      <c r="M347" t="s">
        <v>9</v>
      </c>
      <c r="N347" s="26">
        <f>VLOOKUP(A347,[1]PGReconsile!$A$1:$E$642,5,0)</f>
        <v>45894.452777777777</v>
      </c>
    </row>
    <row r="348" spans="1:14" x14ac:dyDescent="0.3">
      <c r="A348">
        <v>8626914564</v>
      </c>
      <c r="B348">
        <v>1629</v>
      </c>
      <c r="C348" s="1">
        <v>403.666</v>
      </c>
      <c r="D348" s="1">
        <v>53.1</v>
      </c>
      <c r="E348" s="1">
        <v>181.81199999999998</v>
      </c>
      <c r="F348">
        <v>1163.508</v>
      </c>
      <c r="G348" s="1">
        <f t="shared" si="41"/>
        <v>981.69600000000003</v>
      </c>
      <c r="H348" s="4">
        <v>465.49199999999996</v>
      </c>
      <c r="I348" s="4">
        <v>0</v>
      </c>
      <c r="J348" s="4" t="s">
        <v>25</v>
      </c>
      <c r="K348" s="8">
        <v>1163.508</v>
      </c>
      <c r="L348" t="s">
        <v>12</v>
      </c>
      <c r="M348" t="s">
        <v>9</v>
      </c>
      <c r="N348" s="26">
        <f>VLOOKUP(A348,[1]PGReconsile!$A$1:$E$642,5,0)</f>
        <v>45891.470833333333</v>
      </c>
    </row>
    <row r="349" spans="1:14" x14ac:dyDescent="0.3">
      <c r="A349">
        <v>8636814713</v>
      </c>
      <c r="B349">
        <v>3544</v>
      </c>
      <c r="C349" s="1">
        <v>920.02200000000005</v>
      </c>
      <c r="D349" s="1">
        <v>71.98</v>
      </c>
      <c r="E349" s="1">
        <v>395.53100000000001</v>
      </c>
      <c r="F349">
        <v>2533.0129999999999</v>
      </c>
      <c r="G349" s="1">
        <f t="shared" si="41"/>
        <v>2137.482</v>
      </c>
      <c r="H349" s="4">
        <v>1010.9870000000001</v>
      </c>
      <c r="I349" s="4">
        <f>VLOOKUP(A349,[1]PGReverse_all!$A$1:$FK$281,167,0)</f>
        <v>197.06</v>
      </c>
      <c r="J349" s="4">
        <f>F349+D349+I349</f>
        <v>2802.0529999999999</v>
      </c>
      <c r="K349" s="7">
        <v>-269.03999999999996</v>
      </c>
      <c r="L349" t="s">
        <v>11</v>
      </c>
      <c r="M349" t="s">
        <v>9</v>
      </c>
      <c r="N349" s="26">
        <f>VLOOKUP(A349,[1]PGReconsile!$A$1:$E$642,5,0)</f>
        <v>45898.445138888892</v>
      </c>
    </row>
    <row r="350" spans="1:14" x14ac:dyDescent="0.3">
      <c r="A350">
        <v>8599574787</v>
      </c>
      <c r="B350">
        <v>1594.01</v>
      </c>
      <c r="C350" s="1">
        <v>394.99599999999998</v>
      </c>
      <c r="D350" s="1">
        <v>53.1</v>
      </c>
      <c r="E350" s="1">
        <v>177.90600000000001</v>
      </c>
      <c r="F350">
        <v>1137.375</v>
      </c>
      <c r="G350" s="1">
        <f t="shared" si="41"/>
        <v>959.46900000000005</v>
      </c>
      <c r="H350" s="4">
        <v>456.63499999999999</v>
      </c>
      <c r="I350" s="4">
        <v>0</v>
      </c>
      <c r="J350" s="4" t="s">
        <v>25</v>
      </c>
      <c r="K350" s="8">
        <v>1137.375</v>
      </c>
      <c r="L350" t="s">
        <v>12</v>
      </c>
      <c r="M350" t="s">
        <v>9</v>
      </c>
      <c r="N350" s="26">
        <f>VLOOKUP(A350,[1]PGReconsile!$A$1:$E$642,5,0)</f>
        <v>45873.456250000003</v>
      </c>
    </row>
    <row r="351" spans="1:14" x14ac:dyDescent="0.3">
      <c r="A351">
        <v>8616438555</v>
      </c>
      <c r="B351">
        <v>2794</v>
      </c>
      <c r="C351" s="1">
        <v>692.35299999999995</v>
      </c>
      <c r="D351" s="1">
        <v>71.98</v>
      </c>
      <c r="E351" s="1">
        <v>311.83300000000003</v>
      </c>
      <c r="F351">
        <v>2014.6990000000001</v>
      </c>
      <c r="G351" s="1">
        <f t="shared" si="41"/>
        <v>1702.866</v>
      </c>
      <c r="H351" s="4">
        <v>779.30099999999993</v>
      </c>
      <c r="I351" s="4">
        <v>0</v>
      </c>
      <c r="J351" s="4" t="s">
        <v>25</v>
      </c>
      <c r="K351" s="8">
        <v>2014.6990000000001</v>
      </c>
      <c r="L351" t="s">
        <v>12</v>
      </c>
      <c r="M351" t="s">
        <v>9</v>
      </c>
      <c r="N351" s="26">
        <f>VLOOKUP(A351,[1]PGReconsile!$A$1:$E$642,5,0)</f>
        <v>45883.52847222222</v>
      </c>
    </row>
    <row r="352" spans="1:14" x14ac:dyDescent="0.3">
      <c r="A352">
        <v>8614328413</v>
      </c>
      <c r="B352">
        <v>1454</v>
      </c>
      <c r="C352" s="1">
        <v>325.98700000000002</v>
      </c>
      <c r="D352" s="1">
        <v>53.1</v>
      </c>
      <c r="E352" s="1">
        <v>162.28100000000001</v>
      </c>
      <c r="F352">
        <v>1067.124</v>
      </c>
      <c r="G352" s="1">
        <f t="shared" si="41"/>
        <v>904.84300000000007</v>
      </c>
      <c r="H352" s="4">
        <v>386.87599999999998</v>
      </c>
      <c r="I352" s="4">
        <f>VLOOKUP(A352,[1]PGReverse_all!$A$1:$FK$281,167,0)</f>
        <v>132.16</v>
      </c>
      <c r="J352" s="4">
        <f t="shared" ref="J352:J353" si="45">F352+D352+I352</f>
        <v>1252.384</v>
      </c>
      <c r="K352" s="7">
        <v>-185.26</v>
      </c>
      <c r="L352" t="s">
        <v>11</v>
      </c>
      <c r="M352" t="s">
        <v>9</v>
      </c>
      <c r="N352" s="26">
        <f>VLOOKUP(A352,[1]PGReconsile!$A$1:$E$642,5,0)</f>
        <v>45882.453472222223</v>
      </c>
    </row>
    <row r="353" spans="1:14" x14ac:dyDescent="0.3">
      <c r="A353">
        <v>8620040748</v>
      </c>
      <c r="B353">
        <v>2606</v>
      </c>
      <c r="C353" s="1">
        <v>553.51400000000001</v>
      </c>
      <c r="D353" s="1">
        <v>71.98</v>
      </c>
      <c r="E353" s="1">
        <v>290.84399999999999</v>
      </c>
      <c r="F353">
        <v>1966.5450000000001</v>
      </c>
      <c r="G353" s="1">
        <f t="shared" si="41"/>
        <v>1675.701</v>
      </c>
      <c r="H353" s="4">
        <v>639.45499999999993</v>
      </c>
      <c r="I353" s="4">
        <f>VLOOKUP(A353,[1]PGReverse_all!$A$1:$FK$281,167,0)</f>
        <v>132.16</v>
      </c>
      <c r="J353" s="4">
        <f t="shared" si="45"/>
        <v>2170.6849999999999</v>
      </c>
      <c r="K353" s="7">
        <v>-204.13999999999987</v>
      </c>
      <c r="L353" t="s">
        <v>11</v>
      </c>
      <c r="M353" t="s">
        <v>9</v>
      </c>
      <c r="N353" s="26">
        <f>VLOOKUP(A353,[1]PGReconsile!$A$1:$E$642,5,0)</f>
        <v>45887.452777777777</v>
      </c>
    </row>
    <row r="354" spans="1:14" x14ac:dyDescent="0.3">
      <c r="A354">
        <v>8612072167</v>
      </c>
      <c r="B354">
        <v>2426</v>
      </c>
      <c r="C354" s="1">
        <v>601.16300000000001</v>
      </c>
      <c r="D354" s="1">
        <v>71.98</v>
      </c>
      <c r="E354" s="1">
        <v>270.76</v>
      </c>
      <c r="F354">
        <v>1739.8610000000001</v>
      </c>
      <c r="G354" s="1">
        <f t="shared" si="41"/>
        <v>1469.1010000000001</v>
      </c>
      <c r="H354" s="4">
        <v>686.1389999999999</v>
      </c>
      <c r="I354" s="4">
        <v>0</v>
      </c>
      <c r="J354" s="4" t="s">
        <v>25</v>
      </c>
      <c r="K354" s="8">
        <v>1739.8610000000001</v>
      </c>
      <c r="L354" t="s">
        <v>12</v>
      </c>
      <c r="M354" t="s">
        <v>9</v>
      </c>
      <c r="N354" s="26">
        <f>VLOOKUP(A354,[1]PGReconsile!$A$1:$E$642,5,0)</f>
        <v>45880.772916666669</v>
      </c>
    </row>
    <row r="355" spans="1:14" x14ac:dyDescent="0.3">
      <c r="A355">
        <v>8646062383</v>
      </c>
      <c r="B355">
        <v>2156</v>
      </c>
      <c r="C355" s="1">
        <v>457.93400000000003</v>
      </c>
      <c r="D355" s="1">
        <v>71.98</v>
      </c>
      <c r="E355" s="1">
        <v>240.625</v>
      </c>
      <c r="F355">
        <v>1614.5360000000001</v>
      </c>
      <c r="G355" s="1">
        <f t="shared" si="41"/>
        <v>1373.9110000000001</v>
      </c>
      <c r="H355" s="4">
        <v>541.46399999999994</v>
      </c>
      <c r="I355" s="4">
        <v>0</v>
      </c>
      <c r="J355" s="4" t="s">
        <v>25</v>
      </c>
      <c r="K355" s="8">
        <v>1614.5360000000001</v>
      </c>
      <c r="L355" t="s">
        <v>12</v>
      </c>
      <c r="M355" t="s">
        <v>9</v>
      </c>
      <c r="N355" s="26">
        <f>VLOOKUP(A355,[1]PGReconsile!$A$1:$E$642,5,0)</f>
        <v>45903.563194444447</v>
      </c>
    </row>
    <row r="356" spans="1:14" x14ac:dyDescent="0.3">
      <c r="A356">
        <v>8615996505</v>
      </c>
      <c r="B356">
        <v>2606</v>
      </c>
      <c r="C356" s="1">
        <v>553.51400000000001</v>
      </c>
      <c r="D356" s="1">
        <v>71.98</v>
      </c>
      <c r="E356" s="1">
        <v>290.84399999999999</v>
      </c>
      <c r="F356">
        <v>1966.5450000000001</v>
      </c>
      <c r="G356" s="1">
        <f t="shared" si="41"/>
        <v>1675.701</v>
      </c>
      <c r="H356" s="4">
        <v>639.45499999999993</v>
      </c>
      <c r="I356" s="4">
        <v>0</v>
      </c>
      <c r="J356" s="4" t="s">
        <v>25</v>
      </c>
      <c r="K356" s="8">
        <v>1966.5450000000001</v>
      </c>
      <c r="L356" t="s">
        <v>12</v>
      </c>
      <c r="M356" t="s">
        <v>9</v>
      </c>
      <c r="N356" s="26">
        <f>VLOOKUP(A356,[1]PGReconsile!$A$1:$E$642,5,0)</f>
        <v>45883.446527777778</v>
      </c>
    </row>
    <row r="357" spans="1:14" x14ac:dyDescent="0.3">
      <c r="A357">
        <v>8650311281</v>
      </c>
      <c r="B357">
        <v>3644</v>
      </c>
      <c r="C357" s="1">
        <v>1160.9780000000001</v>
      </c>
      <c r="D357" s="1">
        <v>71.98</v>
      </c>
      <c r="E357" s="1">
        <v>406.69799999999998</v>
      </c>
      <c r="F357">
        <v>2391.52</v>
      </c>
      <c r="G357" s="1">
        <f t="shared" si="41"/>
        <v>1984.8220000000001</v>
      </c>
      <c r="H357" s="4">
        <v>1252.48</v>
      </c>
      <c r="I357" s="4">
        <v>0</v>
      </c>
      <c r="J357" s="4" t="s">
        <v>25</v>
      </c>
      <c r="K357" s="8">
        <v>2391.52</v>
      </c>
      <c r="L357" t="s">
        <v>12</v>
      </c>
      <c r="M357" t="s">
        <v>9</v>
      </c>
      <c r="N357" s="26">
        <f>VLOOKUP(A357,[1]PGReconsile!$A$1:$E$642,5,0)</f>
        <v>45905.805555555555</v>
      </c>
    </row>
    <row r="358" spans="1:14" x14ac:dyDescent="0.3">
      <c r="A358">
        <v>8614721402</v>
      </c>
      <c r="B358">
        <v>2294</v>
      </c>
      <c r="C358" s="1">
        <v>730.86800000000005</v>
      </c>
      <c r="D358" s="1">
        <v>71.98</v>
      </c>
      <c r="E358" s="1">
        <v>256.03100000000001</v>
      </c>
      <c r="F358">
        <v>1478.8630000000001</v>
      </c>
      <c r="G358" s="1">
        <f t="shared" si="41"/>
        <v>1222.8320000000001</v>
      </c>
      <c r="H358" s="4">
        <v>815.13699999999994</v>
      </c>
      <c r="I358" s="4">
        <v>0</v>
      </c>
      <c r="J358" s="4" t="s">
        <v>25</v>
      </c>
      <c r="K358" s="8">
        <v>1478.8630000000001</v>
      </c>
      <c r="L358" t="s">
        <v>12</v>
      </c>
      <c r="M358" t="s">
        <v>9</v>
      </c>
      <c r="N358" s="26">
        <f>VLOOKUP(A358,[1]PGReconsile!$A$1:$E$642,5,0)</f>
        <v>45882.453472222223</v>
      </c>
    </row>
    <row r="359" spans="1:14" x14ac:dyDescent="0.3">
      <c r="A359">
        <v>8627479783</v>
      </c>
      <c r="B359">
        <v>2494</v>
      </c>
      <c r="C359" s="1">
        <v>647.44200000000001</v>
      </c>
      <c r="D359" s="1">
        <v>71.98</v>
      </c>
      <c r="E359" s="1">
        <v>278.34399999999999</v>
      </c>
      <c r="F359">
        <v>1761.2170000000001</v>
      </c>
      <c r="G359" s="1">
        <f t="shared" si="41"/>
        <v>1482.873</v>
      </c>
      <c r="H359" s="4">
        <v>732.7829999999999</v>
      </c>
      <c r="I359" s="4">
        <v>0</v>
      </c>
      <c r="J359" s="4" t="s">
        <v>25</v>
      </c>
      <c r="K359" s="8">
        <v>1761.2170000000001</v>
      </c>
      <c r="L359" t="s">
        <v>12</v>
      </c>
      <c r="M359" t="s">
        <v>9</v>
      </c>
      <c r="N359" s="26">
        <f>VLOOKUP(A359,[1]PGReconsile!$A$1:$E$642,5,0)</f>
        <v>45891.470833333333</v>
      </c>
    </row>
    <row r="360" spans="1:14" x14ac:dyDescent="0.3">
      <c r="A360">
        <v>8654426480</v>
      </c>
      <c r="B360">
        <v>2594</v>
      </c>
      <c r="C360" s="1">
        <v>550.96600000000001</v>
      </c>
      <c r="D360" s="1">
        <v>71.98</v>
      </c>
      <c r="E360" s="1">
        <v>289.51</v>
      </c>
      <c r="F360">
        <v>1957.1579999999999</v>
      </c>
      <c r="G360" s="1">
        <f t="shared" si="41"/>
        <v>1667.6479999999999</v>
      </c>
      <c r="H360" s="4">
        <v>636.8420000000001</v>
      </c>
      <c r="I360" s="4">
        <v>0</v>
      </c>
      <c r="J360" s="4" t="s">
        <v>25</v>
      </c>
      <c r="K360" s="8">
        <v>1957.1579999999999</v>
      </c>
      <c r="L360" t="s">
        <v>12</v>
      </c>
      <c r="M360" t="s">
        <v>9</v>
      </c>
      <c r="N360" s="26">
        <f>VLOOKUP(A360,[1]PGReconsile!$A$1:$E$642,5,0)</f>
        <v>45908.48333333333</v>
      </c>
    </row>
    <row r="361" spans="1:14" x14ac:dyDescent="0.3">
      <c r="A361">
        <v>8625377329</v>
      </c>
      <c r="B361">
        <v>1999</v>
      </c>
      <c r="C361" s="1">
        <v>448.17599999999999</v>
      </c>
      <c r="D361" s="1">
        <v>53.1</v>
      </c>
      <c r="E361" s="1">
        <v>223.10400000000001</v>
      </c>
      <c r="F361">
        <v>1487.0150000000001</v>
      </c>
      <c r="G361" s="1">
        <f t="shared" si="41"/>
        <v>1263.9110000000001</v>
      </c>
      <c r="H361" s="4">
        <v>511.9849999999999</v>
      </c>
      <c r="I361" s="4">
        <v>0</v>
      </c>
      <c r="J361" s="4" t="s">
        <v>25</v>
      </c>
      <c r="K361" s="8">
        <v>1487.0150000000001</v>
      </c>
      <c r="L361" t="s">
        <v>12</v>
      </c>
      <c r="M361" t="s">
        <v>9</v>
      </c>
      <c r="N361" s="26">
        <f>VLOOKUP(A361,[1]PGReconsile!$A$1:$E$642,5,0)</f>
        <v>45890.458333333336</v>
      </c>
    </row>
    <row r="362" spans="1:14" x14ac:dyDescent="0.3">
      <c r="A362">
        <v>8615334103</v>
      </c>
      <c r="B362">
        <v>1079</v>
      </c>
      <c r="C362" s="1">
        <v>267.37599999999998</v>
      </c>
      <c r="D362" s="1">
        <v>53.1</v>
      </c>
      <c r="E362" s="1">
        <v>120.42699999999999</v>
      </c>
      <c r="F362">
        <v>752.74400000000003</v>
      </c>
      <c r="G362" s="1">
        <f t="shared" si="41"/>
        <v>632.31700000000001</v>
      </c>
      <c r="H362" s="4">
        <v>326.25599999999997</v>
      </c>
      <c r="I362" s="4">
        <f>VLOOKUP(A362,[1]PGReverse_all!$A$1:$FK$281,167,0)</f>
        <v>197.06</v>
      </c>
      <c r="J362" s="4">
        <f t="shared" ref="J362:J363" si="46">F362+D362+I362</f>
        <v>1002.904</v>
      </c>
      <c r="K362" s="7">
        <v>-250.15999999999997</v>
      </c>
      <c r="L362" t="s">
        <v>11</v>
      </c>
      <c r="M362" t="s">
        <v>9</v>
      </c>
      <c r="N362" s="26">
        <f>VLOOKUP(A362,[1]PGReconsile!$A$1:$E$642,5,0)</f>
        <v>45882.768750000003</v>
      </c>
    </row>
    <row r="363" spans="1:14" x14ac:dyDescent="0.3">
      <c r="A363">
        <v>8640417638</v>
      </c>
      <c r="B363">
        <v>2769</v>
      </c>
      <c r="C363" s="1">
        <v>686.15800000000002</v>
      </c>
      <c r="D363" s="1">
        <v>71.98</v>
      </c>
      <c r="E363" s="1">
        <v>309.04200000000003</v>
      </c>
      <c r="F363">
        <v>1996.028</v>
      </c>
      <c r="G363" s="1">
        <f t="shared" si="41"/>
        <v>1686.9859999999999</v>
      </c>
      <c r="H363" s="4">
        <v>772.97199999999998</v>
      </c>
      <c r="I363" s="4">
        <f>VLOOKUP(A363,[1]PGReverse_all!$A$1:$FK$281,167,0)</f>
        <v>197.06</v>
      </c>
      <c r="J363" s="4">
        <f t="shared" si="46"/>
        <v>2265.0679999999998</v>
      </c>
      <c r="K363" s="7">
        <v>-269.03999999999974</v>
      </c>
      <c r="L363" t="s">
        <v>11</v>
      </c>
      <c r="M363" t="s">
        <v>9</v>
      </c>
      <c r="N363" s="26">
        <f>VLOOKUP(A363,[1]PGReconsile!$A$1:$E$642,5,0)</f>
        <v>45900.693749999999</v>
      </c>
    </row>
    <row r="364" spans="1:14" x14ac:dyDescent="0.3">
      <c r="A364">
        <v>8655175667</v>
      </c>
      <c r="B364">
        <v>3294</v>
      </c>
      <c r="C364" s="1">
        <v>1049.4680000000001</v>
      </c>
      <c r="D364" s="1">
        <v>71.98</v>
      </c>
      <c r="E364" s="1">
        <v>367.63499999999999</v>
      </c>
      <c r="F364">
        <v>2154.9059999999999</v>
      </c>
      <c r="G364" s="1">
        <f t="shared" si="41"/>
        <v>1787.271</v>
      </c>
      <c r="H364" s="4">
        <v>1139.0940000000001</v>
      </c>
      <c r="I364" s="4">
        <v>0</v>
      </c>
      <c r="J364" s="4" t="s">
        <v>25</v>
      </c>
      <c r="K364" s="8">
        <v>2154.9059999999999</v>
      </c>
      <c r="L364" t="s">
        <v>12</v>
      </c>
      <c r="M364" t="s">
        <v>9</v>
      </c>
      <c r="N364" s="26">
        <f>VLOOKUP(A364,[1]PGReconsile!$A$1:$E$642,5,0)</f>
        <v>45908.48333333333</v>
      </c>
    </row>
    <row r="365" spans="1:14" x14ac:dyDescent="0.3">
      <c r="A365">
        <v>8613337698</v>
      </c>
      <c r="B365">
        <v>3544</v>
      </c>
      <c r="C365" s="1">
        <v>920.02200000000005</v>
      </c>
      <c r="D365" s="1">
        <v>71.98</v>
      </c>
      <c r="E365" s="1">
        <v>395.53100000000001</v>
      </c>
      <c r="F365">
        <v>2533.0129999999999</v>
      </c>
      <c r="G365" s="1">
        <f t="shared" si="41"/>
        <v>2137.482</v>
      </c>
      <c r="H365" s="4">
        <v>1010.9870000000001</v>
      </c>
      <c r="I365" s="4">
        <v>0</v>
      </c>
      <c r="J365" s="4" t="s">
        <v>25</v>
      </c>
      <c r="K365" s="8">
        <v>2533.0129999999999</v>
      </c>
      <c r="L365" t="s">
        <v>12</v>
      </c>
      <c r="M365" t="s">
        <v>9</v>
      </c>
      <c r="N365" s="26">
        <f>VLOOKUP(A365,[1]PGReconsile!$A$1:$E$642,5,0)</f>
        <v>45881.472222222219</v>
      </c>
    </row>
    <row r="366" spans="1:14" x14ac:dyDescent="0.3">
      <c r="A366">
        <v>8613337694</v>
      </c>
      <c r="B366">
        <v>3544</v>
      </c>
      <c r="C366" s="1">
        <v>920.02200000000005</v>
      </c>
      <c r="D366" s="1">
        <v>71.98</v>
      </c>
      <c r="E366" s="1">
        <v>395.53100000000001</v>
      </c>
      <c r="F366">
        <v>2533.0129999999999</v>
      </c>
      <c r="G366" s="1">
        <f t="shared" si="41"/>
        <v>2137.482</v>
      </c>
      <c r="H366" s="4">
        <v>1010.9870000000001</v>
      </c>
      <c r="I366" s="4">
        <v>0</v>
      </c>
      <c r="J366" s="4" t="s">
        <v>25</v>
      </c>
      <c r="K366" s="8">
        <v>2533.0129999999999</v>
      </c>
      <c r="L366" t="s">
        <v>12</v>
      </c>
      <c r="M366" t="s">
        <v>9</v>
      </c>
      <c r="N366" s="26">
        <f>VLOOKUP(A366,[1]PGReconsile!$A$1:$E$642,5,0)</f>
        <v>45881.472222222219</v>
      </c>
    </row>
    <row r="367" spans="1:14" x14ac:dyDescent="0.3">
      <c r="A367">
        <v>8628968104</v>
      </c>
      <c r="B367">
        <v>2620</v>
      </c>
      <c r="C367" s="1">
        <v>649.23599999999999</v>
      </c>
      <c r="D367" s="1">
        <v>71.98</v>
      </c>
      <c r="E367" s="1">
        <v>292.40600000000001</v>
      </c>
      <c r="F367">
        <v>1884.749</v>
      </c>
      <c r="G367" s="1">
        <f t="shared" si="41"/>
        <v>1592.3430000000001</v>
      </c>
      <c r="H367" s="4">
        <v>735.25099999999998</v>
      </c>
      <c r="I367" s="4">
        <v>0</v>
      </c>
      <c r="J367" s="4" t="s">
        <v>25</v>
      </c>
      <c r="K367" s="8">
        <v>1884.749</v>
      </c>
      <c r="L367" t="s">
        <v>12</v>
      </c>
      <c r="M367" t="s">
        <v>9</v>
      </c>
      <c r="N367" s="26">
        <f>VLOOKUP(A367,[1]PGReconsile!$A$1:$E$642,5,0)</f>
        <v>45891.789583333331</v>
      </c>
    </row>
    <row r="368" spans="1:14" x14ac:dyDescent="0.3">
      <c r="A368">
        <v>8631478326</v>
      </c>
      <c r="B368">
        <v>150</v>
      </c>
      <c r="C368" s="1">
        <v>17.7</v>
      </c>
      <c r="D368" s="1">
        <v>31.86</v>
      </c>
      <c r="E368" s="1">
        <v>7.8539999999999992</v>
      </c>
      <c r="F368">
        <v>99.582999999999998</v>
      </c>
      <c r="G368" s="1">
        <f t="shared" si="41"/>
        <v>91.728999999999999</v>
      </c>
      <c r="H368" s="4">
        <v>50.417000000000002</v>
      </c>
      <c r="I368" s="4">
        <v>0</v>
      </c>
      <c r="J368" s="4" t="s">
        <v>25</v>
      </c>
      <c r="K368" s="8">
        <v>99.582999999999998</v>
      </c>
      <c r="L368" t="s">
        <v>12</v>
      </c>
      <c r="M368" t="s">
        <v>9</v>
      </c>
      <c r="N368" s="26">
        <f>VLOOKUP(A368,[1]PGReconsile!$A$1:$E$642,5,0)</f>
        <v>45894.452777777777</v>
      </c>
    </row>
    <row r="369" spans="1:14" x14ac:dyDescent="0.3">
      <c r="A369">
        <v>8645072481</v>
      </c>
      <c r="B369">
        <v>2629</v>
      </c>
      <c r="C369" s="1">
        <v>651.46600000000001</v>
      </c>
      <c r="D369" s="1">
        <v>71.98</v>
      </c>
      <c r="E369" s="1">
        <v>293.41700000000003</v>
      </c>
      <c r="F369">
        <v>1891.47</v>
      </c>
      <c r="G369" s="1">
        <f t="shared" si="41"/>
        <v>1598.0529999999999</v>
      </c>
      <c r="H369" s="4">
        <v>737.53</v>
      </c>
      <c r="I369" s="4">
        <v>0</v>
      </c>
      <c r="J369" s="4" t="s">
        <v>25</v>
      </c>
      <c r="K369" s="8">
        <v>1891.47</v>
      </c>
      <c r="L369" t="s">
        <v>12</v>
      </c>
      <c r="M369" t="s">
        <v>9</v>
      </c>
      <c r="N369" s="26">
        <f>VLOOKUP(A369,[1]PGReconsile!$A$1:$E$642,5,0)</f>
        <v>45903.465277777781</v>
      </c>
    </row>
    <row r="370" spans="1:14" x14ac:dyDescent="0.3">
      <c r="A370">
        <v>8626971554</v>
      </c>
      <c r="B370">
        <v>2419</v>
      </c>
      <c r="C370" s="1">
        <v>599.428</v>
      </c>
      <c r="D370" s="1">
        <v>71.98</v>
      </c>
      <c r="E370" s="1">
        <v>269.97899999999998</v>
      </c>
      <c r="F370">
        <v>1734.633</v>
      </c>
      <c r="G370" s="1">
        <f t="shared" si="41"/>
        <v>1464.654</v>
      </c>
      <c r="H370" s="4">
        <v>684.36699999999996</v>
      </c>
      <c r="I370" s="4">
        <v>0</v>
      </c>
      <c r="J370" s="4" t="s">
        <v>25</v>
      </c>
      <c r="K370" s="8">
        <v>1734.633</v>
      </c>
      <c r="L370" t="s">
        <v>12</v>
      </c>
      <c r="M370" t="s">
        <v>9</v>
      </c>
      <c r="N370" s="26">
        <f>VLOOKUP(A370,[1]PGReconsile!$A$1:$E$642,5,0)</f>
        <v>45891.470833333333</v>
      </c>
    </row>
    <row r="371" spans="1:14" x14ac:dyDescent="0.3">
      <c r="A371">
        <v>8640796782</v>
      </c>
      <c r="B371">
        <v>1516</v>
      </c>
      <c r="C371" s="1">
        <v>393.55399999999997</v>
      </c>
      <c r="D371" s="1">
        <v>53.1</v>
      </c>
      <c r="E371" s="1">
        <v>169.19800000000001</v>
      </c>
      <c r="F371">
        <v>1061.2239999999999</v>
      </c>
      <c r="G371" s="1">
        <f t="shared" si="41"/>
        <v>892.02599999999995</v>
      </c>
      <c r="H371" s="4">
        <v>454.77600000000007</v>
      </c>
      <c r="I371" s="4">
        <v>0</v>
      </c>
      <c r="J371" s="4" t="s">
        <v>25</v>
      </c>
      <c r="K371" s="8">
        <v>1061.2239999999999</v>
      </c>
      <c r="L371" t="s">
        <v>12</v>
      </c>
      <c r="M371" t="s">
        <v>9</v>
      </c>
      <c r="N371" s="26">
        <f>VLOOKUP(A371,[1]PGReconsile!$A$1:$E$642,5,0)</f>
        <v>45901.459027777775</v>
      </c>
    </row>
    <row r="372" spans="1:14" x14ac:dyDescent="0.3">
      <c r="A372">
        <v>8636543222</v>
      </c>
      <c r="B372">
        <v>2794</v>
      </c>
      <c r="C372" s="1">
        <v>692.35299999999995</v>
      </c>
      <c r="D372" s="1">
        <v>71.98</v>
      </c>
      <c r="E372" s="1">
        <v>311.83300000000003</v>
      </c>
      <c r="F372">
        <v>2014.6990000000001</v>
      </c>
      <c r="G372" s="1">
        <f t="shared" si="41"/>
        <v>1702.866</v>
      </c>
      <c r="H372" s="4">
        <v>779.30099999999993</v>
      </c>
      <c r="I372" s="4">
        <v>0</v>
      </c>
      <c r="J372" s="4" t="s">
        <v>25</v>
      </c>
      <c r="K372" s="8">
        <v>2014.6990000000001</v>
      </c>
      <c r="L372" t="s">
        <v>12</v>
      </c>
      <c r="M372" t="s">
        <v>9</v>
      </c>
      <c r="N372" s="26">
        <f>VLOOKUP(A372,[1]PGReconsile!$A$1:$E$642,5,0)</f>
        <v>45897.79791666667</v>
      </c>
    </row>
    <row r="373" spans="1:14" x14ac:dyDescent="0.3">
      <c r="A373">
        <v>8612799933</v>
      </c>
      <c r="B373">
        <v>3644</v>
      </c>
      <c r="C373" s="1">
        <v>945.98199999999997</v>
      </c>
      <c r="D373" s="1">
        <v>71.98</v>
      </c>
      <c r="E373" s="1">
        <v>406.69799999999998</v>
      </c>
      <c r="F373">
        <v>2606.5160000000001</v>
      </c>
      <c r="G373" s="1">
        <f t="shared" si="41"/>
        <v>2199.8180000000002</v>
      </c>
      <c r="H373" s="4">
        <v>1037.4839999999999</v>
      </c>
      <c r="I373" s="4">
        <v>0</v>
      </c>
      <c r="J373" s="4" t="s">
        <v>25</v>
      </c>
      <c r="K373" s="8">
        <v>2606.5160000000001</v>
      </c>
      <c r="L373" t="s">
        <v>12</v>
      </c>
      <c r="M373" t="s">
        <v>9</v>
      </c>
      <c r="N373" s="26">
        <f>VLOOKUP(A373,[1]PGReconsile!$A$1:$E$642,5,0)</f>
        <v>45881.472222222219</v>
      </c>
    </row>
    <row r="374" spans="1:14" x14ac:dyDescent="0.3">
      <c r="A374">
        <v>8635882444</v>
      </c>
      <c r="B374">
        <v>2419</v>
      </c>
      <c r="C374" s="1">
        <v>513.79600000000005</v>
      </c>
      <c r="D374" s="1">
        <v>71.98</v>
      </c>
      <c r="E374" s="1">
        <v>269.97899999999998</v>
      </c>
      <c r="F374">
        <v>1820.2650000000001</v>
      </c>
      <c r="G374" s="1">
        <f t="shared" si="41"/>
        <v>1550.2860000000001</v>
      </c>
      <c r="H374" s="4">
        <v>598.7349999999999</v>
      </c>
      <c r="I374" s="4">
        <v>0</v>
      </c>
      <c r="J374" s="4" t="s">
        <v>25</v>
      </c>
      <c r="K374" s="8">
        <v>1820.2650000000001</v>
      </c>
      <c r="L374" t="s">
        <v>12</v>
      </c>
      <c r="M374" t="s">
        <v>9</v>
      </c>
      <c r="N374" s="26">
        <f>VLOOKUP(A374,[1]PGReconsile!$A$1:$E$642,5,0)</f>
        <v>45897.440972222219</v>
      </c>
    </row>
    <row r="375" spans="1:14" x14ac:dyDescent="0.3">
      <c r="A375">
        <v>8605901006</v>
      </c>
      <c r="B375">
        <v>3294</v>
      </c>
      <c r="C375" s="1">
        <v>1049.4680000000001</v>
      </c>
      <c r="D375" s="1">
        <v>71.98</v>
      </c>
      <c r="E375" s="1">
        <v>367.63499999999999</v>
      </c>
      <c r="F375">
        <v>2154.9059999999999</v>
      </c>
      <c r="G375" s="1">
        <f t="shared" si="41"/>
        <v>1787.271</v>
      </c>
      <c r="H375" s="4">
        <v>1139.0940000000001</v>
      </c>
      <c r="I375" s="4">
        <f>VLOOKUP(A375,[1]PGReverse_all!$A$1:$FK$281,167,0)</f>
        <v>197.06</v>
      </c>
      <c r="J375" s="4">
        <f>F375+D375+I375</f>
        <v>2423.9459999999999</v>
      </c>
      <c r="K375" s="7">
        <v>-269.03999999999996</v>
      </c>
      <c r="L375" t="s">
        <v>11</v>
      </c>
      <c r="M375" t="s">
        <v>9</v>
      </c>
      <c r="N375" s="26">
        <f>VLOOKUP(A375,[1]PGReconsile!$A$1:$E$642,5,0)</f>
        <v>45877.451388888891</v>
      </c>
    </row>
    <row r="376" spans="1:14" x14ac:dyDescent="0.3">
      <c r="A376">
        <v>8653424812</v>
      </c>
      <c r="B376">
        <v>2394</v>
      </c>
      <c r="C376" s="1">
        <v>621.48199999999997</v>
      </c>
      <c r="D376" s="1">
        <v>71.98</v>
      </c>
      <c r="E376" s="1">
        <v>267.18799999999999</v>
      </c>
      <c r="F376">
        <v>1687.713</v>
      </c>
      <c r="G376" s="1">
        <f t="shared" si="41"/>
        <v>1420.5250000000001</v>
      </c>
      <c r="H376" s="4">
        <v>706.28700000000003</v>
      </c>
      <c r="I376" s="4">
        <v>0</v>
      </c>
      <c r="J376" s="4" t="s">
        <v>25</v>
      </c>
      <c r="K376" s="8">
        <v>1687.713</v>
      </c>
      <c r="L376" t="s">
        <v>12</v>
      </c>
      <c r="M376" t="s">
        <v>9</v>
      </c>
      <c r="N376" s="26">
        <f>VLOOKUP(A376,[1]PGReconsile!$A$1:$E$642,5,0)</f>
        <v>45908.48333333333</v>
      </c>
    </row>
    <row r="377" spans="1:14" x14ac:dyDescent="0.3">
      <c r="A377">
        <v>8642433391</v>
      </c>
      <c r="B377">
        <v>2044</v>
      </c>
      <c r="C377" s="1">
        <v>506.50299999999999</v>
      </c>
      <c r="D377" s="1">
        <v>71.98</v>
      </c>
      <c r="E377" s="1">
        <v>228.125</v>
      </c>
      <c r="F377">
        <v>1454.567</v>
      </c>
      <c r="G377" s="1">
        <f t="shared" si="41"/>
        <v>1226.442</v>
      </c>
      <c r="H377" s="4">
        <v>589.43299999999999</v>
      </c>
      <c r="I377" s="4">
        <v>0</v>
      </c>
      <c r="J377" s="4" t="s">
        <v>25</v>
      </c>
      <c r="K377" s="8">
        <v>1454.567</v>
      </c>
      <c r="L377" t="s">
        <v>12</v>
      </c>
      <c r="M377" t="s">
        <v>9</v>
      </c>
      <c r="N377" s="26">
        <f>VLOOKUP(A377,[1]PGReconsile!$A$1:$E$642,5,0)</f>
        <v>45901.785416666666</v>
      </c>
    </row>
    <row r="378" spans="1:14" x14ac:dyDescent="0.3">
      <c r="A378">
        <v>8630957553</v>
      </c>
      <c r="B378">
        <v>2294</v>
      </c>
      <c r="C378" s="1">
        <v>703.79899999999998</v>
      </c>
      <c r="D378" s="1">
        <v>71.98</v>
      </c>
      <c r="E378" s="1">
        <v>256.02100000000002</v>
      </c>
      <c r="F378">
        <v>1505.932</v>
      </c>
      <c r="G378" s="1">
        <f t="shared" si="41"/>
        <v>1249.9110000000001</v>
      </c>
      <c r="H378" s="4">
        <v>788.06799999999998</v>
      </c>
      <c r="I378" s="4">
        <v>0</v>
      </c>
      <c r="J378" s="4" t="s">
        <v>25</v>
      </c>
      <c r="K378" s="8">
        <v>1505.932</v>
      </c>
      <c r="L378" t="s">
        <v>12</v>
      </c>
      <c r="M378" t="s">
        <v>9</v>
      </c>
      <c r="N378" s="26">
        <f>VLOOKUP(A378,[1]PGReconsile!$A$1:$E$642,5,0)</f>
        <v>45894.452777777777</v>
      </c>
    </row>
    <row r="379" spans="1:14" x14ac:dyDescent="0.3">
      <c r="A379">
        <v>8658158921</v>
      </c>
      <c r="B379">
        <v>1629</v>
      </c>
      <c r="C379" s="1">
        <v>422.88799999999998</v>
      </c>
      <c r="D379" s="1">
        <v>53.1</v>
      </c>
      <c r="E379" s="1">
        <v>181.81199999999998</v>
      </c>
      <c r="F379">
        <v>1144.2860000000001</v>
      </c>
      <c r="G379" s="1">
        <f t="shared" si="41"/>
        <v>962.47400000000005</v>
      </c>
      <c r="H379" s="4">
        <v>484.71399999999994</v>
      </c>
      <c r="I379" s="4">
        <v>0</v>
      </c>
      <c r="J379" s="4" t="s">
        <v>25</v>
      </c>
      <c r="K379" s="8">
        <v>1144.2860000000001</v>
      </c>
      <c r="L379" t="s">
        <v>12</v>
      </c>
      <c r="M379" t="s">
        <v>9</v>
      </c>
      <c r="N379" s="26">
        <f>VLOOKUP(A379,[1]PGReconsile!$A$1:$E$642,5,0)</f>
        <v>45910.459722222222</v>
      </c>
    </row>
    <row r="380" spans="1:14" x14ac:dyDescent="0.3">
      <c r="A380">
        <v>8649047784</v>
      </c>
      <c r="B380">
        <v>1454.02</v>
      </c>
      <c r="C380" s="1">
        <v>325.99099999999999</v>
      </c>
      <c r="D380" s="1">
        <v>53.1</v>
      </c>
      <c r="E380" s="1">
        <v>162.28100000000001</v>
      </c>
      <c r="F380">
        <v>1067.1400000000001</v>
      </c>
      <c r="G380" s="1">
        <f t="shared" si="41"/>
        <v>904.85900000000015</v>
      </c>
      <c r="H380" s="4">
        <v>386.87999999999988</v>
      </c>
      <c r="I380" s="4">
        <f>VLOOKUP(A380,[1]PGReverse_all!$A$1:$FK$281,167,0)</f>
        <v>197.06</v>
      </c>
      <c r="J380" s="4">
        <f t="shared" ref="J380:J382" si="47">F380+D380+I380</f>
        <v>1317.3</v>
      </c>
      <c r="K380" s="7">
        <v>-250.15999999999985</v>
      </c>
      <c r="L380" t="s">
        <v>11</v>
      </c>
      <c r="M380" t="s">
        <v>9</v>
      </c>
      <c r="N380" s="26">
        <f>VLOOKUP(A380,[1]PGReconsile!$A$1:$E$642,5,0)</f>
        <v>45905.450694444444</v>
      </c>
    </row>
    <row r="381" spans="1:14" x14ac:dyDescent="0.3">
      <c r="A381">
        <v>8625549457</v>
      </c>
      <c r="B381">
        <v>2944</v>
      </c>
      <c r="C381" s="1">
        <v>729.52300000000002</v>
      </c>
      <c r="D381" s="1">
        <v>71.97999999999999</v>
      </c>
      <c r="E381" s="1">
        <v>328.57299999999998</v>
      </c>
      <c r="F381">
        <v>2126.7249999999999</v>
      </c>
      <c r="G381" s="1">
        <f t="shared" si="41"/>
        <v>1798.152</v>
      </c>
      <c r="H381" s="4">
        <v>817.27500000000009</v>
      </c>
      <c r="I381" s="4">
        <f>VLOOKUP(A381,[1]PGReverse_all!$A$1:$FK$281,167,0)</f>
        <v>197.06</v>
      </c>
      <c r="J381" s="4">
        <f t="shared" si="47"/>
        <v>2395.7649999999999</v>
      </c>
      <c r="K381" s="7">
        <v>-269.03999999999996</v>
      </c>
      <c r="L381" t="s">
        <v>11</v>
      </c>
      <c r="M381" t="s">
        <v>9</v>
      </c>
      <c r="N381" s="26">
        <f>VLOOKUP(A381,[1]PGReconsile!$A$1:$E$642,5,0)</f>
        <v>45890.458333333336</v>
      </c>
    </row>
    <row r="382" spans="1:14" x14ac:dyDescent="0.3">
      <c r="A382">
        <v>8656088933</v>
      </c>
      <c r="B382">
        <v>3169</v>
      </c>
      <c r="C382" s="1">
        <v>822.67200000000003</v>
      </c>
      <c r="D382" s="1">
        <v>71.98</v>
      </c>
      <c r="E382" s="1">
        <v>353.68700000000001</v>
      </c>
      <c r="F382">
        <v>2257.3719999999998</v>
      </c>
      <c r="G382" s="1">
        <f t="shared" si="41"/>
        <v>1903.6849999999999</v>
      </c>
      <c r="H382" s="4">
        <v>911.62800000000016</v>
      </c>
      <c r="I382" s="4">
        <f>VLOOKUP(A382,[1]PGReverse_all!$A$1:$FK$281,167,0)</f>
        <v>197.06</v>
      </c>
      <c r="J382" s="4">
        <f t="shared" si="47"/>
        <v>2526.4119999999998</v>
      </c>
      <c r="K382" s="7">
        <v>-269.03999999999996</v>
      </c>
      <c r="L382" t="s">
        <v>11</v>
      </c>
      <c r="M382" t="s">
        <v>9</v>
      </c>
      <c r="N382" s="26">
        <f>VLOOKUP(A382,[1]PGReconsile!$A$1:$E$642,5,0)</f>
        <v>45908.788194444445</v>
      </c>
    </row>
    <row r="383" spans="1:14" x14ac:dyDescent="0.3">
      <c r="A383">
        <v>8654592035</v>
      </c>
      <c r="B383">
        <v>2994</v>
      </c>
      <c r="C383" s="1">
        <v>741.91300000000001</v>
      </c>
      <c r="D383" s="1">
        <v>71.98</v>
      </c>
      <c r="E383" s="1">
        <v>334.15600000000001</v>
      </c>
      <c r="F383">
        <v>2164.0680000000002</v>
      </c>
      <c r="G383" s="1">
        <f t="shared" si="41"/>
        <v>1829.9120000000003</v>
      </c>
      <c r="H383" s="4">
        <v>829.93199999999979</v>
      </c>
      <c r="I383" s="4">
        <v>0</v>
      </c>
      <c r="J383" s="4" t="s">
        <v>25</v>
      </c>
      <c r="K383" s="8">
        <v>2164.0680000000002</v>
      </c>
      <c r="L383" t="s">
        <v>12</v>
      </c>
      <c r="M383" t="s">
        <v>9</v>
      </c>
      <c r="N383" s="26">
        <f>VLOOKUP(A383,[1]PGReconsile!$A$1:$E$642,5,0)</f>
        <v>45908.48333333333</v>
      </c>
    </row>
    <row r="384" spans="1:14" x14ac:dyDescent="0.3">
      <c r="A384">
        <v>8615448972</v>
      </c>
      <c r="B384">
        <v>461</v>
      </c>
      <c r="C384" s="1">
        <v>114.236</v>
      </c>
      <c r="D384" s="1">
        <v>31.86</v>
      </c>
      <c r="E384" s="1">
        <v>24.155000000000001</v>
      </c>
      <c r="F384">
        <v>312.27</v>
      </c>
      <c r="G384" s="1">
        <f t="shared" si="41"/>
        <v>288.11500000000001</v>
      </c>
      <c r="H384" s="4">
        <v>148.73000000000002</v>
      </c>
      <c r="I384" s="4">
        <v>0</v>
      </c>
      <c r="J384" s="4" t="s">
        <v>25</v>
      </c>
      <c r="K384" s="8">
        <v>312.27</v>
      </c>
      <c r="L384" t="s">
        <v>12</v>
      </c>
      <c r="M384" t="s">
        <v>9</v>
      </c>
      <c r="N384" s="26">
        <f>VLOOKUP(A384,[1]PGReconsile!$A$1:$E$642,5,0)</f>
        <v>45882.768750000003</v>
      </c>
    </row>
    <row r="385" spans="1:14" x14ac:dyDescent="0.3">
      <c r="A385">
        <v>8630702581</v>
      </c>
      <c r="B385">
        <v>2243.9900000000002</v>
      </c>
      <c r="C385" s="1">
        <v>476.62400000000002</v>
      </c>
      <c r="D385" s="1">
        <v>71.97999999999999</v>
      </c>
      <c r="E385" s="1">
        <v>250.44800000000001</v>
      </c>
      <c r="F385">
        <v>1683.365</v>
      </c>
      <c r="G385" s="1">
        <f t="shared" si="41"/>
        <v>1432.9169999999999</v>
      </c>
      <c r="H385" s="4">
        <v>560.62500000000023</v>
      </c>
      <c r="I385" s="4">
        <f>VLOOKUP(A385,[1]PGReverse_all!$A$1:$FK$281,167,0)</f>
        <v>132.16000000000003</v>
      </c>
      <c r="J385" s="4">
        <f>F385+D385+I385</f>
        <v>1887.5050000000001</v>
      </c>
      <c r="K385" s="7">
        <v>-204.1400000000001</v>
      </c>
      <c r="L385" t="s">
        <v>11</v>
      </c>
      <c r="M385" t="s">
        <v>9</v>
      </c>
      <c r="N385" s="26">
        <f>VLOOKUP(A385,[1]PGReconsile!$A$1:$E$642,5,0)</f>
        <v>45894.452777777777</v>
      </c>
    </row>
    <row r="386" spans="1:14" x14ac:dyDescent="0.3">
      <c r="A386">
        <v>8619059124</v>
      </c>
      <c r="B386">
        <v>2944</v>
      </c>
      <c r="C386" s="1">
        <v>625.30600000000004</v>
      </c>
      <c r="D386" s="1">
        <v>71.98</v>
      </c>
      <c r="E386" s="1">
        <v>328.57299999999998</v>
      </c>
      <c r="F386">
        <v>2230.942</v>
      </c>
      <c r="G386" s="1">
        <f t="shared" si="41"/>
        <v>1902.3690000000001</v>
      </c>
      <c r="H386" s="4">
        <v>713.05799999999999</v>
      </c>
      <c r="I386" s="4">
        <v>0</v>
      </c>
      <c r="J386" s="4" t="s">
        <v>25</v>
      </c>
      <c r="K386" s="8">
        <v>2230.942</v>
      </c>
      <c r="L386" t="s">
        <v>12</v>
      </c>
      <c r="M386" t="s">
        <v>9</v>
      </c>
      <c r="N386" s="26">
        <f>VLOOKUP(A386,[1]PGReconsile!$A$1:$E$642,5,0)</f>
        <v>45885.463194444441</v>
      </c>
    </row>
    <row r="387" spans="1:14" x14ac:dyDescent="0.3">
      <c r="A387">
        <v>8619663048</v>
      </c>
      <c r="B387">
        <v>1794</v>
      </c>
      <c r="C387" s="1">
        <v>465.72199999999998</v>
      </c>
      <c r="D387" s="1">
        <v>53.1</v>
      </c>
      <c r="E387" s="1">
        <v>200.21899999999999</v>
      </c>
      <c r="F387">
        <v>1265.567</v>
      </c>
      <c r="G387" s="1">
        <f t="shared" ref="G387:G450" si="48">F387-E387</f>
        <v>1065.348</v>
      </c>
      <c r="H387" s="4">
        <v>528.43299999999999</v>
      </c>
      <c r="I387" s="4">
        <v>0</v>
      </c>
      <c r="J387" s="4" t="s">
        <v>25</v>
      </c>
      <c r="K387" s="8">
        <v>1265.567</v>
      </c>
      <c r="L387" t="s">
        <v>12</v>
      </c>
      <c r="M387" t="s">
        <v>9</v>
      </c>
      <c r="N387" s="26">
        <f>VLOOKUP(A387,[1]PGReconsile!$A$1:$E$642,5,0)</f>
        <v>45888.475694444445</v>
      </c>
    </row>
    <row r="388" spans="1:14" x14ac:dyDescent="0.3">
      <c r="A388">
        <v>8594122312</v>
      </c>
      <c r="B388">
        <v>2419</v>
      </c>
      <c r="C388" s="1">
        <v>513.79600000000005</v>
      </c>
      <c r="D388" s="1">
        <v>71.98</v>
      </c>
      <c r="E388" s="1">
        <v>269.97899999999998</v>
      </c>
      <c r="F388">
        <v>1820.2650000000001</v>
      </c>
      <c r="G388" s="1">
        <f t="shared" si="48"/>
        <v>1550.2860000000001</v>
      </c>
      <c r="H388" s="4">
        <v>598.7349999999999</v>
      </c>
      <c r="I388" s="4">
        <v>0</v>
      </c>
      <c r="J388" s="4" t="s">
        <v>25</v>
      </c>
      <c r="K388" s="8">
        <v>1820.2650000000001</v>
      </c>
      <c r="L388" t="s">
        <v>12</v>
      </c>
      <c r="M388" t="s">
        <v>9</v>
      </c>
      <c r="N388" s="26">
        <f>VLOOKUP(A388,[1]PGReconsile!$A$1:$E$642,5,0)</f>
        <v>45870.780555555553</v>
      </c>
    </row>
    <row r="389" spans="1:14" x14ac:dyDescent="0.3">
      <c r="A389">
        <v>8641769544</v>
      </c>
      <c r="B389">
        <v>3294</v>
      </c>
      <c r="C389" s="1">
        <v>816.25300000000004</v>
      </c>
      <c r="D389" s="1">
        <v>71.98</v>
      </c>
      <c r="E389" s="1">
        <v>367.63499999999999</v>
      </c>
      <c r="F389">
        <v>2388.1210000000001</v>
      </c>
      <c r="G389" s="1">
        <f t="shared" si="48"/>
        <v>2020.4860000000001</v>
      </c>
      <c r="H389" s="4">
        <v>905.87899999999991</v>
      </c>
      <c r="I389" s="4">
        <f>VLOOKUP(A389,[1]PGReverse_all!$A$1:$FK$281,167,0)</f>
        <v>197.06</v>
      </c>
      <c r="J389" s="4">
        <f>F389+D389+I389</f>
        <v>2657.1610000000001</v>
      </c>
      <c r="K389" s="7">
        <v>-269.03999999999996</v>
      </c>
      <c r="L389" t="s">
        <v>11</v>
      </c>
      <c r="M389" t="s">
        <v>9</v>
      </c>
      <c r="N389" s="26">
        <f>VLOOKUP(A389,[1]PGReconsile!$A$1:$E$642,5,0)</f>
        <v>45901.459027777775</v>
      </c>
    </row>
    <row r="390" spans="1:14" x14ac:dyDescent="0.3">
      <c r="A390">
        <v>8612178217</v>
      </c>
      <c r="B390">
        <v>1629</v>
      </c>
      <c r="C390" s="1">
        <v>422.88799999999998</v>
      </c>
      <c r="D390" s="1">
        <v>53.1</v>
      </c>
      <c r="E390" s="1">
        <v>181.81299999999999</v>
      </c>
      <c r="F390">
        <v>1144.2840000000001</v>
      </c>
      <c r="G390" s="1">
        <f t="shared" si="48"/>
        <v>962.47100000000012</v>
      </c>
      <c r="H390" s="4">
        <v>484.71599999999989</v>
      </c>
      <c r="I390" s="4">
        <v>0</v>
      </c>
      <c r="J390" s="4" t="s">
        <v>25</v>
      </c>
      <c r="K390" s="8">
        <v>1144.2840000000001</v>
      </c>
      <c r="L390" t="s">
        <v>12</v>
      </c>
      <c r="M390" t="s">
        <v>9</v>
      </c>
      <c r="N390" s="26">
        <f>VLOOKUP(A390,[1]PGReconsile!$A$1:$E$642,5,0)</f>
        <v>45880.772916666669</v>
      </c>
    </row>
    <row r="391" spans="1:14" x14ac:dyDescent="0.3">
      <c r="A391">
        <v>8617154389</v>
      </c>
      <c r="B391">
        <v>2831</v>
      </c>
      <c r="C391" s="1">
        <v>734.928</v>
      </c>
      <c r="D391" s="1">
        <v>71.98</v>
      </c>
      <c r="E391" s="1">
        <v>315.95799999999997</v>
      </c>
      <c r="F391">
        <v>2008.9259999999999</v>
      </c>
      <c r="G391" s="1">
        <f t="shared" si="48"/>
        <v>1692.9679999999998</v>
      </c>
      <c r="H391" s="4">
        <v>822.07400000000007</v>
      </c>
      <c r="I391" s="4">
        <f>VLOOKUP(A391,[1]PGReverse_all!$A$1:$FK$281,167,0)</f>
        <v>197.06</v>
      </c>
      <c r="J391" s="4">
        <f t="shared" ref="J391:J392" si="49">F391+D391+I391</f>
        <v>2277.9659999999999</v>
      </c>
      <c r="K391" s="7">
        <v>-269.03999999999996</v>
      </c>
      <c r="L391" t="s">
        <v>11</v>
      </c>
      <c r="M391" t="s">
        <v>9</v>
      </c>
      <c r="N391" s="26">
        <f>VLOOKUP(A391,[1]PGReconsile!$A$1:$E$642,5,0)</f>
        <v>45885.463194444441</v>
      </c>
    </row>
    <row r="392" spans="1:14" x14ac:dyDescent="0.3">
      <c r="A392">
        <v>8644874924</v>
      </c>
      <c r="B392">
        <v>2344</v>
      </c>
      <c r="C392" s="1">
        <v>580.84299999999996</v>
      </c>
      <c r="D392" s="1">
        <v>71.98</v>
      </c>
      <c r="E392" s="1">
        <v>261.60399999999998</v>
      </c>
      <c r="F392">
        <v>1678.62</v>
      </c>
      <c r="G392" s="1">
        <f t="shared" si="48"/>
        <v>1417.0159999999998</v>
      </c>
      <c r="H392" s="4">
        <v>665.38000000000011</v>
      </c>
      <c r="I392" s="4">
        <f>VLOOKUP(A392,[1]PGReverse_all!$A$1:$FK$281,167,0)</f>
        <v>197.06</v>
      </c>
      <c r="J392" s="4">
        <f t="shared" si="49"/>
        <v>1947.6599999999999</v>
      </c>
      <c r="K392" s="7">
        <v>-269.03999999999996</v>
      </c>
      <c r="L392" t="s">
        <v>11</v>
      </c>
      <c r="M392" t="s">
        <v>9</v>
      </c>
      <c r="N392" s="26">
        <f>VLOOKUP(A392,[1]PGReconsile!$A$1:$E$642,5,0)</f>
        <v>45903.465277777781</v>
      </c>
    </row>
    <row r="393" spans="1:14" x14ac:dyDescent="0.3">
      <c r="A393">
        <v>8614694734</v>
      </c>
      <c r="B393">
        <v>2719</v>
      </c>
      <c r="C393" s="1">
        <v>673.76800000000003</v>
      </c>
      <c r="D393" s="1">
        <v>71.98</v>
      </c>
      <c r="E393" s="1">
        <v>303.45799999999997</v>
      </c>
      <c r="F393">
        <v>1958.6859999999999</v>
      </c>
      <c r="G393" s="1">
        <f t="shared" si="48"/>
        <v>1655.2280000000001</v>
      </c>
      <c r="H393" s="4">
        <v>760.31400000000008</v>
      </c>
      <c r="I393" s="4">
        <v>0</v>
      </c>
      <c r="J393" s="4" t="s">
        <v>25</v>
      </c>
      <c r="K393" s="8">
        <v>1958.6859999999999</v>
      </c>
      <c r="L393" t="s">
        <v>12</v>
      </c>
      <c r="M393" t="s">
        <v>9</v>
      </c>
      <c r="N393" s="26">
        <f>VLOOKUP(A393,[1]PGReconsile!$A$1:$E$642,5,0)</f>
        <v>45882.453472222223</v>
      </c>
    </row>
    <row r="394" spans="1:14" x14ac:dyDescent="0.3">
      <c r="A394">
        <v>8615659105</v>
      </c>
      <c r="B394">
        <v>2556</v>
      </c>
      <c r="C394" s="1">
        <v>663.53800000000001</v>
      </c>
      <c r="D394" s="1">
        <v>71.98</v>
      </c>
      <c r="E394" s="1">
        <v>285.27100000000002</v>
      </c>
      <c r="F394">
        <v>1806.789</v>
      </c>
      <c r="G394" s="1">
        <f t="shared" si="48"/>
        <v>1521.518</v>
      </c>
      <c r="H394" s="4">
        <v>749.21100000000001</v>
      </c>
      <c r="I394" s="4">
        <f>VLOOKUP(A394,[1]PGReverse_all!$A$1:$FK$281,167,0)</f>
        <v>197.06</v>
      </c>
      <c r="J394" s="4">
        <f>F394+D394+I394</f>
        <v>2075.8290000000002</v>
      </c>
      <c r="K394" s="7">
        <v>-269.04000000000019</v>
      </c>
      <c r="L394" t="s">
        <v>11</v>
      </c>
      <c r="M394" t="s">
        <v>9</v>
      </c>
      <c r="N394" s="26">
        <f>VLOOKUP(A394,[1]PGReconsile!$A$1:$E$642,5,0)</f>
        <v>45883.446527777778</v>
      </c>
    </row>
    <row r="395" spans="1:14" x14ac:dyDescent="0.3">
      <c r="A395">
        <v>8635410358</v>
      </c>
      <c r="B395">
        <v>3194</v>
      </c>
      <c r="C395" s="1">
        <v>791.47299999999996</v>
      </c>
      <c r="D395" s="1">
        <v>71.98</v>
      </c>
      <c r="E395" s="1">
        <v>356.47900000000004</v>
      </c>
      <c r="F395">
        <v>2313.4360000000001</v>
      </c>
      <c r="G395" s="1">
        <f t="shared" si="48"/>
        <v>1956.9570000000001</v>
      </c>
      <c r="H395" s="4">
        <v>880.56399999999985</v>
      </c>
      <c r="I395" s="4">
        <v>0</v>
      </c>
      <c r="J395" s="4" t="s">
        <v>25</v>
      </c>
      <c r="K395" s="8">
        <v>2313.4360000000001</v>
      </c>
      <c r="L395" t="s">
        <v>12</v>
      </c>
      <c r="M395" t="s">
        <v>9</v>
      </c>
      <c r="N395" s="26">
        <f>VLOOKUP(A395,[1]PGReconsile!$A$1:$E$642,5,0)</f>
        <v>45897.440972222219</v>
      </c>
    </row>
    <row r="396" spans="1:14" x14ac:dyDescent="0.3">
      <c r="A396">
        <v>8648738364</v>
      </c>
      <c r="B396">
        <v>2044</v>
      </c>
      <c r="C396" s="1">
        <v>651.21799999999996</v>
      </c>
      <c r="D396" s="1">
        <v>71.98</v>
      </c>
      <c r="E396" s="1">
        <v>228.125</v>
      </c>
      <c r="F396">
        <v>1309.8520000000001</v>
      </c>
      <c r="G396" s="1">
        <f t="shared" si="48"/>
        <v>1081.7270000000001</v>
      </c>
      <c r="H396" s="4">
        <v>734.14799999999991</v>
      </c>
      <c r="I396" s="4">
        <f>VLOOKUP(A396,[1]PGReverse_all!$A$1:$FK$281,167,0)</f>
        <v>197.06</v>
      </c>
      <c r="J396" s="4">
        <f>F396+D396+I396</f>
        <v>1578.8920000000001</v>
      </c>
      <c r="K396" s="7">
        <v>-269.03999999999996</v>
      </c>
      <c r="L396" t="s">
        <v>11</v>
      </c>
      <c r="M396" t="s">
        <v>9</v>
      </c>
      <c r="N396" s="26">
        <f>VLOOKUP(A396,[1]PGReconsile!$A$1:$E$642,5,0)</f>
        <v>45905.450694444444</v>
      </c>
    </row>
    <row r="397" spans="1:14" x14ac:dyDescent="0.3">
      <c r="A397">
        <v>8612950081</v>
      </c>
      <c r="B397">
        <v>1204</v>
      </c>
      <c r="C397" s="1">
        <v>298.351</v>
      </c>
      <c r="D397" s="1">
        <v>53.1</v>
      </c>
      <c r="E397" s="1">
        <v>134.375</v>
      </c>
      <c r="F397">
        <v>846.09900000000005</v>
      </c>
      <c r="G397" s="1">
        <f t="shared" si="48"/>
        <v>711.72400000000005</v>
      </c>
      <c r="H397" s="4">
        <v>357.90099999999995</v>
      </c>
      <c r="I397" s="4">
        <v>0</v>
      </c>
      <c r="J397" s="4" t="s">
        <v>25</v>
      </c>
      <c r="K397" s="8">
        <v>846.09900000000005</v>
      </c>
      <c r="L397" t="s">
        <v>12</v>
      </c>
      <c r="M397" t="s">
        <v>9</v>
      </c>
      <c r="N397" s="26">
        <f>VLOOKUP(A397,[1]PGReconsile!$A$1:$E$642,5,0)</f>
        <v>45881.472222222219</v>
      </c>
    </row>
    <row r="398" spans="1:14" x14ac:dyDescent="0.3">
      <c r="A398">
        <v>8619901287</v>
      </c>
      <c r="B398">
        <v>2674</v>
      </c>
      <c r="C398" s="1">
        <v>567.95799999999997</v>
      </c>
      <c r="D398" s="1">
        <v>71.98</v>
      </c>
      <c r="E398" s="1">
        <v>298.43700000000001</v>
      </c>
      <c r="F398">
        <v>2019.7370000000001</v>
      </c>
      <c r="G398" s="1">
        <f t="shared" si="48"/>
        <v>1721.3000000000002</v>
      </c>
      <c r="H398" s="4">
        <v>654.26299999999992</v>
      </c>
      <c r="I398" s="4">
        <f>VLOOKUP(A398,[1]PGReverse_all!$A$1:$FK$281,167,0)</f>
        <v>197.06</v>
      </c>
      <c r="J398" s="4">
        <f>F398+D398+I398</f>
        <v>2288.777</v>
      </c>
      <c r="K398" s="7">
        <v>-269.03999999999996</v>
      </c>
      <c r="L398" t="s">
        <v>11</v>
      </c>
      <c r="M398" t="s">
        <v>9</v>
      </c>
      <c r="N398" s="26">
        <f>VLOOKUP(A398,[1]PGReconsile!$A$1:$E$642,5,0)</f>
        <v>45888.475694444445</v>
      </c>
    </row>
    <row r="399" spans="1:14" x14ac:dyDescent="0.3">
      <c r="A399">
        <v>8593854887</v>
      </c>
      <c r="B399">
        <v>1066</v>
      </c>
      <c r="C399" s="1">
        <v>264.15499999999997</v>
      </c>
      <c r="D399" s="1">
        <v>53.1</v>
      </c>
      <c r="E399" s="1">
        <v>118.96899999999999</v>
      </c>
      <c r="F399">
        <v>743.03399999999999</v>
      </c>
      <c r="G399" s="1">
        <f t="shared" si="48"/>
        <v>624.06500000000005</v>
      </c>
      <c r="H399" s="4">
        <v>322.96600000000001</v>
      </c>
      <c r="I399" s="4">
        <v>0</v>
      </c>
      <c r="J399" s="4" t="s">
        <v>25</v>
      </c>
      <c r="K399" s="8">
        <v>743.03399999999999</v>
      </c>
      <c r="L399" t="s">
        <v>12</v>
      </c>
      <c r="M399" t="s">
        <v>9</v>
      </c>
      <c r="N399" s="26">
        <f>VLOOKUP(A399,[1]PGReconsile!$A$1:$E$642,5,0)</f>
        <v>45870.780555555553</v>
      </c>
    </row>
    <row r="400" spans="1:14" x14ac:dyDescent="0.3">
      <c r="A400">
        <v>8634183880</v>
      </c>
      <c r="B400">
        <v>2244</v>
      </c>
      <c r="C400" s="1">
        <v>476.62599999999998</v>
      </c>
      <c r="D400" s="1">
        <v>71.98</v>
      </c>
      <c r="E400" s="1">
        <v>250.44800000000001</v>
      </c>
      <c r="F400">
        <v>1683.3720000000001</v>
      </c>
      <c r="G400" s="1">
        <f t="shared" si="48"/>
        <v>1432.924</v>
      </c>
      <c r="H400" s="4">
        <v>560.62799999999993</v>
      </c>
      <c r="I400" s="4">
        <v>0</v>
      </c>
      <c r="J400" s="4" t="s">
        <v>25</v>
      </c>
      <c r="K400" s="8">
        <v>1683.3720000000001</v>
      </c>
      <c r="L400" t="s">
        <v>12</v>
      </c>
      <c r="M400" t="s">
        <v>9</v>
      </c>
      <c r="N400" s="26">
        <f>VLOOKUP(A400,[1]PGReconsile!$A$1:$E$642,5,0)</f>
        <v>45895.786805555559</v>
      </c>
    </row>
    <row r="401" spans="1:14" x14ac:dyDescent="0.3">
      <c r="A401">
        <v>8654954892</v>
      </c>
      <c r="B401">
        <v>1794</v>
      </c>
      <c r="C401" s="1">
        <v>444.553</v>
      </c>
      <c r="D401" s="1">
        <v>53.1</v>
      </c>
      <c r="E401" s="1">
        <v>200.21899999999999</v>
      </c>
      <c r="F401">
        <v>1286.7360000000001</v>
      </c>
      <c r="G401" s="1">
        <f t="shared" si="48"/>
        <v>1086.5170000000001</v>
      </c>
      <c r="H401" s="4">
        <v>507.2639999999999</v>
      </c>
      <c r="I401" s="4">
        <v>0</v>
      </c>
      <c r="J401" s="4" t="s">
        <v>25</v>
      </c>
      <c r="K401" s="8">
        <v>1286.7360000000001</v>
      </c>
      <c r="L401" t="s">
        <v>12</v>
      </c>
      <c r="M401" t="s">
        <v>9</v>
      </c>
      <c r="N401" s="26">
        <f>VLOOKUP(A401,[1]PGReconsile!$A$1:$E$642,5,0)</f>
        <v>45908.48333333333</v>
      </c>
    </row>
    <row r="402" spans="1:14" x14ac:dyDescent="0.3">
      <c r="A402">
        <v>8632281492</v>
      </c>
      <c r="B402">
        <v>3294</v>
      </c>
      <c r="C402" s="1">
        <v>1049.4690000000001</v>
      </c>
      <c r="D402" s="1">
        <v>71.98</v>
      </c>
      <c r="E402" s="1">
        <v>367.63499999999999</v>
      </c>
      <c r="F402">
        <v>2154.9050000000002</v>
      </c>
      <c r="G402" s="1">
        <f t="shared" si="48"/>
        <v>1787.2700000000002</v>
      </c>
      <c r="H402" s="4">
        <v>1139.0949999999998</v>
      </c>
      <c r="I402" s="4">
        <f>VLOOKUP(A402,[1]PGReverse_all!$A$1:$FK$281,167,0)</f>
        <v>132.16</v>
      </c>
      <c r="J402" s="4">
        <f t="shared" ref="J402:J403" si="50">F402+D402+I402</f>
        <v>2359.0450000000001</v>
      </c>
      <c r="K402" s="7">
        <v>-204.13999999999987</v>
      </c>
      <c r="L402" t="s">
        <v>11</v>
      </c>
      <c r="M402" t="s">
        <v>9</v>
      </c>
      <c r="N402" s="26">
        <f>VLOOKUP(A402,[1]PGReconsile!$A$1:$E$642,5,0)</f>
        <v>45894.452777777777</v>
      </c>
    </row>
    <row r="403" spans="1:14" x14ac:dyDescent="0.3">
      <c r="A403">
        <v>8617654049</v>
      </c>
      <c r="B403">
        <v>3294</v>
      </c>
      <c r="C403" s="1">
        <v>816.25300000000004</v>
      </c>
      <c r="D403" s="1">
        <v>71.98</v>
      </c>
      <c r="E403" s="1">
        <v>367.63499999999999</v>
      </c>
      <c r="F403">
        <v>2388.1210000000001</v>
      </c>
      <c r="G403" s="1">
        <f t="shared" si="48"/>
        <v>2020.4860000000001</v>
      </c>
      <c r="H403" s="4">
        <v>905.87899999999991</v>
      </c>
      <c r="I403" s="4">
        <f>VLOOKUP(A403,[1]PGReverse_all!$A$1:$FK$281,167,0)</f>
        <v>197.06</v>
      </c>
      <c r="J403" s="4">
        <f t="shared" si="50"/>
        <v>2657.1610000000001</v>
      </c>
      <c r="K403" s="7">
        <v>-269.03999999999996</v>
      </c>
      <c r="L403" t="s">
        <v>11</v>
      </c>
      <c r="M403" t="s">
        <v>9</v>
      </c>
      <c r="N403" s="26">
        <f>VLOOKUP(A403,[1]PGReconsile!$A$1:$E$642,5,0)</f>
        <v>45888.475694444445</v>
      </c>
    </row>
    <row r="404" spans="1:14" x14ac:dyDescent="0.3">
      <c r="A404">
        <v>8635504663</v>
      </c>
      <c r="B404">
        <v>2719</v>
      </c>
      <c r="C404" s="1">
        <v>673.76800000000003</v>
      </c>
      <c r="D404" s="1">
        <v>71.98</v>
      </c>
      <c r="E404" s="1">
        <v>303.45799999999997</v>
      </c>
      <c r="F404">
        <v>1958.6859999999999</v>
      </c>
      <c r="G404" s="1">
        <f t="shared" si="48"/>
        <v>1655.2280000000001</v>
      </c>
      <c r="H404" s="4">
        <v>760.31400000000008</v>
      </c>
      <c r="I404" s="4">
        <v>0</v>
      </c>
      <c r="J404" s="4" t="s">
        <v>25</v>
      </c>
      <c r="K404" s="8">
        <v>1958.6859999999999</v>
      </c>
      <c r="L404" t="s">
        <v>12</v>
      </c>
      <c r="M404" t="s">
        <v>9</v>
      </c>
      <c r="N404" s="26">
        <f>VLOOKUP(A404,[1]PGReconsile!$A$1:$E$642,5,0)</f>
        <v>45897.440972222219</v>
      </c>
    </row>
    <row r="405" spans="1:14" x14ac:dyDescent="0.3">
      <c r="A405">
        <v>8616665867</v>
      </c>
      <c r="B405">
        <v>3194</v>
      </c>
      <c r="C405" s="1">
        <v>791.47299999999996</v>
      </c>
      <c r="D405" s="1">
        <v>71.98</v>
      </c>
      <c r="E405" s="1">
        <v>356.46899999999999</v>
      </c>
      <c r="F405">
        <v>2313.4369999999999</v>
      </c>
      <c r="G405" s="1">
        <f t="shared" si="48"/>
        <v>1956.9679999999998</v>
      </c>
      <c r="H405" s="4">
        <v>880.5630000000001</v>
      </c>
      <c r="I405" s="4">
        <f>VLOOKUP(A405,[1]PGReverse_all!$A$1:$FK$281,167,0)</f>
        <v>197.06</v>
      </c>
      <c r="J405" s="4">
        <f>F405+D405+I405</f>
        <v>2582.4769999999999</v>
      </c>
      <c r="K405" s="7">
        <v>-269.03999999999996</v>
      </c>
      <c r="L405" t="s">
        <v>11</v>
      </c>
      <c r="M405" t="s">
        <v>9</v>
      </c>
      <c r="N405" s="26">
        <f>VLOOKUP(A405,[1]PGReconsile!$A$1:$E$642,5,0)</f>
        <v>45883.796527777777</v>
      </c>
    </row>
    <row r="406" spans="1:14" x14ac:dyDescent="0.3">
      <c r="A406">
        <v>8662412310</v>
      </c>
      <c r="B406">
        <v>2644</v>
      </c>
      <c r="C406" s="1">
        <v>561.58600000000001</v>
      </c>
      <c r="D406" s="1">
        <v>71.98</v>
      </c>
      <c r="E406" s="1">
        <v>295.08399999999995</v>
      </c>
      <c r="F406">
        <v>1996.269</v>
      </c>
      <c r="G406" s="1">
        <f t="shared" si="48"/>
        <v>1701.1849999999999</v>
      </c>
      <c r="H406" s="4">
        <v>647.73099999999999</v>
      </c>
      <c r="I406" s="4">
        <v>0</v>
      </c>
      <c r="J406" s="4" t="s">
        <v>25</v>
      </c>
      <c r="K406" s="8">
        <v>1996.269</v>
      </c>
      <c r="L406" t="s">
        <v>12</v>
      </c>
      <c r="M406" t="s">
        <v>9</v>
      </c>
      <c r="N406" s="26">
        <f>VLOOKUP(A406,[1]PGReconsile!$A$1:$E$642,5,0)</f>
        <v>45912.475694444445</v>
      </c>
    </row>
    <row r="407" spans="1:14" x14ac:dyDescent="0.3">
      <c r="A407">
        <v>8612775581</v>
      </c>
      <c r="B407">
        <v>2419</v>
      </c>
      <c r="C407" s="1">
        <v>770.69299999999998</v>
      </c>
      <c r="D407" s="1">
        <v>71.98</v>
      </c>
      <c r="E407" s="1">
        <v>269.97899999999998</v>
      </c>
      <c r="F407">
        <v>1563.3679999999999</v>
      </c>
      <c r="G407" s="1">
        <f t="shared" si="48"/>
        <v>1293.3889999999999</v>
      </c>
      <c r="H407" s="4">
        <v>855.63200000000006</v>
      </c>
      <c r="I407" s="4">
        <f>VLOOKUP(A407,[1]PGReverse_all!$A$1:$FK$281,167,0)</f>
        <v>197.06</v>
      </c>
      <c r="J407" s="4">
        <f>F407+D407+I407</f>
        <v>1832.4079999999999</v>
      </c>
      <c r="K407" s="7">
        <v>-269.03999999999996</v>
      </c>
      <c r="L407" t="s">
        <v>11</v>
      </c>
      <c r="M407" t="s">
        <v>9</v>
      </c>
      <c r="N407" s="26">
        <f>VLOOKUP(A407,[1]PGReconsile!$A$1:$E$642,5,0)</f>
        <v>45881.472222222219</v>
      </c>
    </row>
    <row r="408" spans="1:14" x14ac:dyDescent="0.3">
      <c r="A408">
        <v>8614542450</v>
      </c>
      <c r="B408">
        <v>2224</v>
      </c>
      <c r="C408" s="1">
        <v>708.56600000000003</v>
      </c>
      <c r="D408" s="1">
        <v>71.98</v>
      </c>
      <c r="E408" s="1">
        <v>248.21899999999999</v>
      </c>
      <c r="F408">
        <v>1431.539</v>
      </c>
      <c r="G408" s="1">
        <f t="shared" si="48"/>
        <v>1183.32</v>
      </c>
      <c r="H408" s="4">
        <v>792.46100000000001</v>
      </c>
      <c r="I408" s="4">
        <v>0</v>
      </c>
      <c r="J408" s="4" t="s">
        <v>25</v>
      </c>
      <c r="K408" s="8">
        <v>1431.539</v>
      </c>
      <c r="L408" t="s">
        <v>12</v>
      </c>
      <c r="M408" t="s">
        <v>9</v>
      </c>
      <c r="N408" s="26">
        <f>VLOOKUP(A408,[1]PGReconsile!$A$1:$E$642,5,0)</f>
        <v>45882.453472222223</v>
      </c>
    </row>
    <row r="409" spans="1:14" x14ac:dyDescent="0.3">
      <c r="A409">
        <v>8621146296</v>
      </c>
      <c r="B409">
        <v>3169</v>
      </c>
      <c r="C409" s="1">
        <v>822.67200000000003</v>
      </c>
      <c r="D409" s="1">
        <v>71.98</v>
      </c>
      <c r="E409" s="1">
        <v>353.68700000000001</v>
      </c>
      <c r="F409">
        <v>2257.3719999999998</v>
      </c>
      <c r="G409" s="1">
        <f t="shared" si="48"/>
        <v>1903.6849999999999</v>
      </c>
      <c r="H409" s="4">
        <v>911.62800000000016</v>
      </c>
      <c r="I409" s="4">
        <f>VLOOKUP(A409,[1]PGReverse_all!$A$1:$FK$281,167,0)</f>
        <v>197.06</v>
      </c>
      <c r="J409" s="4">
        <f>F409+D409+I409</f>
        <v>2526.4119999999998</v>
      </c>
      <c r="K409" s="7">
        <v>-269.03999999999996</v>
      </c>
      <c r="L409" t="s">
        <v>11</v>
      </c>
      <c r="M409" t="s">
        <v>9</v>
      </c>
      <c r="N409" s="26">
        <f>VLOOKUP(A409,[1]PGReconsile!$A$1:$E$642,5,0)</f>
        <v>45887.452777777777</v>
      </c>
    </row>
    <row r="410" spans="1:14" x14ac:dyDescent="0.3">
      <c r="A410">
        <v>8637164643</v>
      </c>
      <c r="B410">
        <v>3543.99</v>
      </c>
      <c r="C410" s="1">
        <v>920.02</v>
      </c>
      <c r="D410" s="1">
        <v>71.98</v>
      </c>
      <c r="E410" s="1">
        <v>395.53199999999998</v>
      </c>
      <c r="F410">
        <v>2533.0030000000002</v>
      </c>
      <c r="G410" s="1">
        <f t="shared" si="48"/>
        <v>2137.471</v>
      </c>
      <c r="H410" s="4">
        <v>1010.9869999999996</v>
      </c>
      <c r="I410" s="4">
        <v>0</v>
      </c>
      <c r="J410" s="4" t="s">
        <v>25</v>
      </c>
      <c r="K410" s="8">
        <v>2533.0030000000002</v>
      </c>
      <c r="L410" t="s">
        <v>12</v>
      </c>
      <c r="M410" t="s">
        <v>9</v>
      </c>
      <c r="N410" s="26">
        <f>VLOOKUP(A410,[1]PGReconsile!$A$1:$E$642,5,0)</f>
        <v>45898.445138888892</v>
      </c>
    </row>
    <row r="411" spans="1:14" x14ac:dyDescent="0.3">
      <c r="A411">
        <v>8680967376</v>
      </c>
      <c r="B411">
        <v>2794</v>
      </c>
      <c r="C411" s="1">
        <v>593.44600000000003</v>
      </c>
      <c r="D411" s="1">
        <v>71.98</v>
      </c>
      <c r="E411" s="1">
        <v>311.83300000000003</v>
      </c>
      <c r="F411">
        <v>2113.6060000000002</v>
      </c>
      <c r="G411" s="1">
        <f t="shared" si="48"/>
        <v>1801.7730000000001</v>
      </c>
      <c r="H411" s="5">
        <v>680.39399999999978</v>
      </c>
      <c r="I411" s="4">
        <f>VLOOKUP(A411,[1]PGReverse_all!$A$1:$FK$281,167,0)</f>
        <v>197.06</v>
      </c>
      <c r="J411" s="4">
        <f t="shared" ref="J411:J412" si="51">F411+D411+I411</f>
        <v>2382.6460000000002</v>
      </c>
      <c r="K411" s="7">
        <v>-269.03999999999996</v>
      </c>
      <c r="L411" t="s">
        <v>11</v>
      </c>
      <c r="M411" t="s">
        <v>10</v>
      </c>
      <c r="N411" s="26">
        <f>VLOOKUP(A411,[1]PGReconsile!$A$1:$E$642,5,0)</f>
        <v>45918.800694444442</v>
      </c>
    </row>
    <row r="412" spans="1:14" x14ac:dyDescent="0.3">
      <c r="A412">
        <v>8687890011</v>
      </c>
      <c r="B412">
        <v>4219</v>
      </c>
      <c r="C412" s="1">
        <v>1045.4680000000001</v>
      </c>
      <c r="D412" s="1">
        <v>71.98</v>
      </c>
      <c r="E412" s="1">
        <v>661.45699999999999</v>
      </c>
      <c r="F412">
        <v>3080.1</v>
      </c>
      <c r="G412" s="1">
        <f t="shared" si="48"/>
        <v>2418.643</v>
      </c>
      <c r="H412" s="5">
        <v>1138.9000000000001</v>
      </c>
      <c r="I412" s="4">
        <f>VLOOKUP(A412,[1]PGReverse_all!$A$1:$FK$281,167,0)</f>
        <v>107.38</v>
      </c>
      <c r="J412" s="4">
        <f t="shared" si="51"/>
        <v>3259.46</v>
      </c>
      <c r="K412" s="7">
        <v>-179.36000000000013</v>
      </c>
      <c r="L412" t="s">
        <v>11</v>
      </c>
      <c r="M412" t="s">
        <v>10</v>
      </c>
      <c r="N412" s="26">
        <f>VLOOKUP(A412,[1]PGReconsile!$A$1:$E$642,5,0)</f>
        <v>45922.443055555559</v>
      </c>
    </row>
    <row r="413" spans="1:14" x14ac:dyDescent="0.3">
      <c r="A413">
        <v>8662691485</v>
      </c>
      <c r="B413">
        <v>1538.99</v>
      </c>
      <c r="C413" s="1">
        <v>417.68200000000002</v>
      </c>
      <c r="D413" s="1">
        <v>53.1</v>
      </c>
      <c r="E413" s="1">
        <v>171.76</v>
      </c>
      <c r="F413">
        <v>1059.9570000000001</v>
      </c>
      <c r="G413" s="1">
        <f t="shared" si="48"/>
        <v>888.19700000000012</v>
      </c>
      <c r="H413" s="5">
        <v>479.0329999999999</v>
      </c>
      <c r="I413" s="4">
        <v>0</v>
      </c>
      <c r="J413" s="4" t="s">
        <v>25</v>
      </c>
      <c r="K413" s="8">
        <v>1059.9570000000001</v>
      </c>
      <c r="L413" t="s">
        <v>12</v>
      </c>
      <c r="M413" t="s">
        <v>10</v>
      </c>
      <c r="N413" s="26">
        <f>VLOOKUP(A413,[1]PGReconsile!$A$1:$E$642,5,0)</f>
        <v>45912.475694444445</v>
      </c>
    </row>
    <row r="414" spans="1:14" x14ac:dyDescent="0.3">
      <c r="A414">
        <v>8666939756</v>
      </c>
      <c r="B414">
        <v>3000</v>
      </c>
      <c r="C414" s="1">
        <v>778.8</v>
      </c>
      <c r="D414" s="1">
        <v>71.98</v>
      </c>
      <c r="E414" s="1">
        <v>334.82299999999998</v>
      </c>
      <c r="F414">
        <v>2133.1480000000001</v>
      </c>
      <c r="G414" s="1">
        <f t="shared" si="48"/>
        <v>1798.3250000000003</v>
      </c>
      <c r="H414" s="5">
        <v>866.85199999999986</v>
      </c>
      <c r="I414" s="4">
        <f>VLOOKUP(A414,[1]PGReverse_all!$A$1:$FK$281,167,0)</f>
        <v>197.06</v>
      </c>
      <c r="J414" s="4">
        <f>F414+D414+I414</f>
        <v>2402.1880000000001</v>
      </c>
      <c r="K414" s="7">
        <v>-269.03999999999996</v>
      </c>
      <c r="L414" t="s">
        <v>11</v>
      </c>
      <c r="M414" t="s">
        <v>10</v>
      </c>
      <c r="N414" s="26">
        <f>VLOOKUP(A414,[1]PGReconsile!$A$1:$E$642,5,0)</f>
        <v>45913.771527777775</v>
      </c>
    </row>
    <row r="415" spans="1:14" x14ac:dyDescent="0.3">
      <c r="A415">
        <v>8695472254</v>
      </c>
      <c r="B415">
        <v>3329</v>
      </c>
      <c r="C415" s="1">
        <v>707.08</v>
      </c>
      <c r="D415" s="1">
        <v>71.98</v>
      </c>
      <c r="E415" s="1">
        <v>521.91600000000005</v>
      </c>
      <c r="F415">
        <v>2533.0129999999999</v>
      </c>
      <c r="G415" s="1">
        <f t="shared" si="48"/>
        <v>2011.0969999999998</v>
      </c>
      <c r="H415" s="5">
        <v>795.98700000000008</v>
      </c>
      <c r="I415" s="4">
        <v>0</v>
      </c>
      <c r="J415" s="4" t="s">
        <v>25</v>
      </c>
      <c r="K415" s="8">
        <v>2533.0129999999999</v>
      </c>
      <c r="L415" t="s">
        <v>12</v>
      </c>
      <c r="M415" t="s">
        <v>10</v>
      </c>
      <c r="N415" s="26">
        <f>VLOOKUP(A415,[1]PGReconsile!$A$1:$E$642,5,0)</f>
        <v>45922.443055555559</v>
      </c>
    </row>
    <row r="416" spans="1:14" x14ac:dyDescent="0.3">
      <c r="A416">
        <v>8675330506</v>
      </c>
      <c r="B416">
        <v>1579</v>
      </c>
      <c r="C416" s="1">
        <v>428.541</v>
      </c>
      <c r="D416" s="1">
        <v>53.1</v>
      </c>
      <c r="E416" s="1">
        <v>176.22900000000001</v>
      </c>
      <c r="F416">
        <v>1088.9000000000001</v>
      </c>
      <c r="G416" s="1">
        <f t="shared" si="48"/>
        <v>912.67100000000005</v>
      </c>
      <c r="H416" s="5">
        <v>490.09999999999991</v>
      </c>
      <c r="I416" s="4">
        <f>VLOOKUP(A416,[1]PGReverse_all!$A$1:$FK$281,167,0)</f>
        <v>197.06</v>
      </c>
      <c r="J416" s="4">
        <f>F416+D416+I416</f>
        <v>1339.06</v>
      </c>
      <c r="K416" s="7">
        <v>-250.15999999999985</v>
      </c>
      <c r="L416" t="s">
        <v>11</v>
      </c>
      <c r="M416" t="s">
        <v>10</v>
      </c>
      <c r="N416" s="26">
        <f>VLOOKUP(A416,[1]PGReconsile!$A$1:$E$642,5,0)</f>
        <v>45916.560416666667</v>
      </c>
    </row>
    <row r="417" spans="1:14" x14ac:dyDescent="0.3">
      <c r="A417">
        <v>8677721405</v>
      </c>
      <c r="B417">
        <v>3451</v>
      </c>
      <c r="C417" s="1">
        <v>1099.4880000000001</v>
      </c>
      <c r="D417" s="1">
        <v>71.98</v>
      </c>
      <c r="E417" s="1">
        <v>385.15699999999998</v>
      </c>
      <c r="F417">
        <v>2261.0430000000001</v>
      </c>
      <c r="G417" s="1">
        <f t="shared" si="48"/>
        <v>1875.8860000000002</v>
      </c>
      <c r="H417" s="5">
        <v>1189.9569999999999</v>
      </c>
      <c r="I417" s="4">
        <v>0</v>
      </c>
      <c r="J417" s="4" t="s">
        <v>25</v>
      </c>
      <c r="K417" s="8">
        <v>2261.0430000000001</v>
      </c>
      <c r="L417" t="s">
        <v>12</v>
      </c>
      <c r="M417" t="s">
        <v>10</v>
      </c>
      <c r="N417" s="26">
        <f>VLOOKUP(A417,[1]PGReconsile!$A$1:$E$642,5,0)</f>
        <v>45917.537499999999</v>
      </c>
    </row>
    <row r="418" spans="1:14" x14ac:dyDescent="0.3">
      <c r="A418">
        <v>8673430085</v>
      </c>
      <c r="B418">
        <v>3214</v>
      </c>
      <c r="C418" s="1">
        <v>796.42899999999997</v>
      </c>
      <c r="D418" s="1">
        <v>71.98</v>
      </c>
      <c r="E418" s="1">
        <v>358.70800000000003</v>
      </c>
      <c r="F418">
        <v>2328.373</v>
      </c>
      <c r="G418" s="1">
        <f t="shared" si="48"/>
        <v>1969.665</v>
      </c>
      <c r="H418" s="5">
        <v>885.62699999999995</v>
      </c>
      <c r="I418" s="4">
        <v>0</v>
      </c>
      <c r="J418" s="4" t="s">
        <v>25</v>
      </c>
      <c r="K418" s="8">
        <v>2328.373</v>
      </c>
      <c r="L418" t="s">
        <v>12</v>
      </c>
      <c r="M418" t="s">
        <v>10</v>
      </c>
      <c r="N418" s="26">
        <f>VLOOKUP(A418,[1]PGReconsile!$A$1:$E$642,5,0)</f>
        <v>45916.459722222222</v>
      </c>
    </row>
    <row r="419" spans="1:14" x14ac:dyDescent="0.3">
      <c r="A419">
        <v>8682570667</v>
      </c>
      <c r="B419">
        <v>3629</v>
      </c>
      <c r="C419" s="1">
        <v>1156.1990000000001</v>
      </c>
      <c r="D419" s="1">
        <v>71.98</v>
      </c>
      <c r="E419" s="1">
        <v>405.02100000000002</v>
      </c>
      <c r="F419">
        <v>2381.38</v>
      </c>
      <c r="G419" s="1">
        <f t="shared" si="48"/>
        <v>1976.3590000000002</v>
      </c>
      <c r="H419" s="5">
        <v>1247.6199999999999</v>
      </c>
      <c r="I419" s="4">
        <v>0</v>
      </c>
      <c r="J419" s="4" t="s">
        <v>25</v>
      </c>
      <c r="K419" s="8">
        <v>2381.38</v>
      </c>
      <c r="L419" t="s">
        <v>12</v>
      </c>
      <c r="M419" t="s">
        <v>10</v>
      </c>
      <c r="N419" s="26">
        <f>VLOOKUP(A419,[1]PGReconsile!$A$1:$E$642,5,0)</f>
        <v>45919.79791666667</v>
      </c>
    </row>
    <row r="420" spans="1:14" x14ac:dyDescent="0.3">
      <c r="A420">
        <v>8698417103</v>
      </c>
      <c r="B420">
        <v>2146</v>
      </c>
      <c r="C420" s="1">
        <v>455.81</v>
      </c>
      <c r="D420" s="1">
        <v>71.98</v>
      </c>
      <c r="E420" s="1">
        <v>112.40899999999999</v>
      </c>
      <c r="F420">
        <v>1605.9469999999999</v>
      </c>
      <c r="G420" s="1">
        <f t="shared" si="48"/>
        <v>1493.538</v>
      </c>
      <c r="H420" s="5">
        <v>540.05300000000011</v>
      </c>
      <c r="I420" s="4">
        <v>0</v>
      </c>
      <c r="J420" s="4" t="s">
        <v>25</v>
      </c>
      <c r="K420" s="8">
        <v>1605.9469999999999</v>
      </c>
      <c r="L420" t="s">
        <v>12</v>
      </c>
      <c r="M420" t="s">
        <v>10</v>
      </c>
      <c r="N420" s="26">
        <f>VLOOKUP(A420,[1]PGReconsile!$A$1:$E$642,5,0)</f>
        <v>45923.446527777778</v>
      </c>
    </row>
    <row r="421" spans="1:14" x14ac:dyDescent="0.3">
      <c r="A421">
        <v>8689247485</v>
      </c>
      <c r="B421">
        <v>3564</v>
      </c>
      <c r="C421" s="1">
        <v>883.15899999999999</v>
      </c>
      <c r="D421" s="1">
        <v>71.98</v>
      </c>
      <c r="E421" s="1">
        <v>558.76199999999994</v>
      </c>
      <c r="F421">
        <v>2590.739</v>
      </c>
      <c r="G421" s="1">
        <f t="shared" si="48"/>
        <v>2031.9770000000001</v>
      </c>
      <c r="H421" s="5">
        <v>973.26099999999997</v>
      </c>
      <c r="I421" s="4">
        <f>VLOOKUP(A421,[1]PGReverse_all!$A$1:$FK$281,167,0)</f>
        <v>197.06</v>
      </c>
      <c r="J421" s="4">
        <f>F421+D421+I421</f>
        <v>2859.779</v>
      </c>
      <c r="K421" s="7">
        <v>-269.03999999999996</v>
      </c>
      <c r="L421" t="s">
        <v>11</v>
      </c>
      <c r="M421" t="s">
        <v>10</v>
      </c>
      <c r="N421" s="26">
        <f>VLOOKUP(A421,[1]PGReconsile!$A$1:$E$642,5,0)</f>
        <v>45922.443055555559</v>
      </c>
    </row>
    <row r="422" spans="1:14" x14ac:dyDescent="0.3">
      <c r="A422">
        <v>8690835103</v>
      </c>
      <c r="B422">
        <v>2419</v>
      </c>
      <c r="C422" s="1">
        <v>513.79600000000005</v>
      </c>
      <c r="D422" s="1">
        <v>71.98</v>
      </c>
      <c r="E422" s="1">
        <v>126.709</v>
      </c>
      <c r="F422">
        <v>1819.4010000000001</v>
      </c>
      <c r="G422" s="1">
        <f t="shared" si="48"/>
        <v>1692.692</v>
      </c>
      <c r="H422" s="5">
        <v>599.59899999999993</v>
      </c>
      <c r="I422" s="4">
        <v>0</v>
      </c>
      <c r="J422" s="4" t="s">
        <v>25</v>
      </c>
      <c r="K422" s="8">
        <v>1819.4010000000001</v>
      </c>
      <c r="L422" t="s">
        <v>12</v>
      </c>
      <c r="M422" t="s">
        <v>10</v>
      </c>
      <c r="N422" s="26">
        <f>VLOOKUP(A422,[1]PGReconsile!$A$1:$E$642,5,0)</f>
        <v>45922.443055555559</v>
      </c>
    </row>
    <row r="423" spans="1:14" x14ac:dyDescent="0.3">
      <c r="A423">
        <v>8693762991</v>
      </c>
      <c r="B423">
        <v>4219</v>
      </c>
      <c r="C423" s="1">
        <v>1045.4680000000001</v>
      </c>
      <c r="D423" s="1">
        <v>71.98</v>
      </c>
      <c r="E423" s="1">
        <v>661.45699999999999</v>
      </c>
      <c r="F423">
        <v>3080.1</v>
      </c>
      <c r="G423" s="1">
        <f t="shared" si="48"/>
        <v>2418.643</v>
      </c>
      <c r="H423" s="5">
        <v>1138.9000000000001</v>
      </c>
      <c r="I423" s="4">
        <v>0</v>
      </c>
      <c r="J423" s="4" t="s">
        <v>25</v>
      </c>
      <c r="K423" s="8">
        <v>3080.1</v>
      </c>
      <c r="L423" t="s">
        <v>12</v>
      </c>
      <c r="M423" t="s">
        <v>10</v>
      </c>
      <c r="N423" s="26">
        <f>VLOOKUP(A423,[1]PGReconsile!$A$1:$E$642,5,0)</f>
        <v>45922.443055555559</v>
      </c>
    </row>
    <row r="424" spans="1:14" x14ac:dyDescent="0.3">
      <c r="A424">
        <v>8700661740</v>
      </c>
      <c r="B424">
        <v>1940</v>
      </c>
      <c r="C424" s="1">
        <v>434.94799999999998</v>
      </c>
      <c r="D424" s="1">
        <v>53.1</v>
      </c>
      <c r="E424" s="1">
        <v>101.61799999999999</v>
      </c>
      <c r="F424">
        <v>1440.866</v>
      </c>
      <c r="G424" s="1">
        <f t="shared" si="48"/>
        <v>1339.248</v>
      </c>
      <c r="H424" s="5">
        <v>499.13400000000001</v>
      </c>
      <c r="I424" s="4">
        <v>0</v>
      </c>
      <c r="J424" s="4" t="s">
        <v>25</v>
      </c>
      <c r="K424" s="8">
        <v>1440.866</v>
      </c>
      <c r="L424" t="s">
        <v>12</v>
      </c>
      <c r="M424" t="s">
        <v>10</v>
      </c>
      <c r="N424" s="26">
        <f>VLOOKUP(A424,[1]PGReconsile!$A$1:$E$642,5,0)</f>
        <v>45923.547222222223</v>
      </c>
    </row>
    <row r="425" spans="1:14" x14ac:dyDescent="0.3">
      <c r="A425">
        <v>8675097216</v>
      </c>
      <c r="B425">
        <v>3594</v>
      </c>
      <c r="C425" s="1">
        <v>890.59299999999996</v>
      </c>
      <c r="D425" s="1">
        <v>71.98</v>
      </c>
      <c r="E425" s="1">
        <v>401.11500000000001</v>
      </c>
      <c r="F425">
        <v>2612.1729999999998</v>
      </c>
      <c r="G425" s="1">
        <f t="shared" si="48"/>
        <v>2211.058</v>
      </c>
      <c r="H425" s="5">
        <v>981.82700000000023</v>
      </c>
      <c r="I425" s="4">
        <f>VLOOKUP(A425,[1]PGReverse_all!$A$1:$FK$281,167,0)</f>
        <v>132.16</v>
      </c>
      <c r="J425" s="4">
        <f>F425+D425+I425</f>
        <v>2816.3129999999996</v>
      </c>
      <c r="K425" s="7">
        <v>-204.13999999999987</v>
      </c>
      <c r="L425" t="s">
        <v>11</v>
      </c>
      <c r="M425" t="s">
        <v>10</v>
      </c>
      <c r="N425" s="26">
        <f>VLOOKUP(A425,[1]PGReconsile!$A$1:$E$642,5,0)</f>
        <v>45916.560416666667</v>
      </c>
    </row>
    <row r="426" spans="1:14" x14ac:dyDescent="0.3">
      <c r="A426">
        <v>8680316333</v>
      </c>
      <c r="B426">
        <v>2994</v>
      </c>
      <c r="C426" s="1">
        <v>741.91300000000001</v>
      </c>
      <c r="D426" s="1">
        <v>71.98</v>
      </c>
      <c r="E426" s="1">
        <v>334.15600000000001</v>
      </c>
      <c r="F426">
        <v>2164.0680000000002</v>
      </c>
      <c r="G426" s="1">
        <f t="shared" si="48"/>
        <v>1829.9120000000003</v>
      </c>
      <c r="H426" s="5">
        <v>829.93199999999979</v>
      </c>
      <c r="I426" s="4">
        <v>0</v>
      </c>
      <c r="J426" s="4" t="s">
        <v>25</v>
      </c>
      <c r="K426" s="8">
        <v>2164.0680000000002</v>
      </c>
      <c r="L426" t="s">
        <v>12</v>
      </c>
      <c r="M426" t="s">
        <v>10</v>
      </c>
      <c r="N426" s="26">
        <f>VLOOKUP(A426,[1]PGReconsile!$A$1:$E$642,5,0)</f>
        <v>45918.544444444444</v>
      </c>
    </row>
    <row r="427" spans="1:14" x14ac:dyDescent="0.3">
      <c r="A427">
        <v>8700291971</v>
      </c>
      <c r="B427">
        <v>1128.99</v>
      </c>
      <c r="C427" s="1">
        <v>279.76400000000001</v>
      </c>
      <c r="D427" s="1">
        <v>53.1</v>
      </c>
      <c r="E427" s="1">
        <v>59.137</v>
      </c>
      <c r="F427">
        <v>789.673</v>
      </c>
      <c r="G427" s="1">
        <f t="shared" si="48"/>
        <v>730.53600000000006</v>
      </c>
      <c r="H427" s="5">
        <v>339.31700000000001</v>
      </c>
      <c r="I427" s="4">
        <v>0</v>
      </c>
      <c r="J427" s="4" t="s">
        <v>25</v>
      </c>
      <c r="K427" s="8">
        <v>789.673</v>
      </c>
      <c r="L427" t="s">
        <v>12</v>
      </c>
      <c r="M427" t="s">
        <v>10</v>
      </c>
      <c r="N427" s="26">
        <f>VLOOKUP(A427,[1]PGReconsile!$A$1:$E$642,5,0)</f>
        <v>45923.446527777778</v>
      </c>
    </row>
    <row r="428" spans="1:14" x14ac:dyDescent="0.3">
      <c r="A428">
        <v>8668586101</v>
      </c>
      <c r="B428">
        <v>3356</v>
      </c>
      <c r="C428" s="1">
        <v>871.21799999999996</v>
      </c>
      <c r="D428" s="1">
        <v>71.98</v>
      </c>
      <c r="E428" s="1">
        <v>374.55200000000002</v>
      </c>
      <c r="F428">
        <v>2394.8240000000001</v>
      </c>
      <c r="G428" s="1">
        <f t="shared" si="48"/>
        <v>2020.2719999999999</v>
      </c>
      <c r="H428" s="5">
        <v>961.17599999999993</v>
      </c>
      <c r="I428" s="4">
        <v>0</v>
      </c>
      <c r="J428" s="4" t="s">
        <v>25</v>
      </c>
      <c r="K428" s="8">
        <v>2394.8240000000001</v>
      </c>
      <c r="L428" t="s">
        <v>12</v>
      </c>
      <c r="M428" t="s">
        <v>10</v>
      </c>
      <c r="N428" s="26">
        <f>VLOOKUP(A428,[1]PGReconsile!$A$1:$E$642,5,0)</f>
        <v>45915.47152777778</v>
      </c>
    </row>
    <row r="429" spans="1:14" x14ac:dyDescent="0.3">
      <c r="A429">
        <v>8695880488</v>
      </c>
      <c r="B429">
        <v>4219</v>
      </c>
      <c r="C429" s="1">
        <v>1045.4680000000001</v>
      </c>
      <c r="D429" s="1">
        <v>71.98</v>
      </c>
      <c r="E429" s="1">
        <v>661.45699999999999</v>
      </c>
      <c r="F429">
        <v>3080.1</v>
      </c>
      <c r="G429" s="1">
        <f t="shared" si="48"/>
        <v>2418.643</v>
      </c>
      <c r="H429" s="5">
        <v>1138.9000000000001</v>
      </c>
      <c r="I429" s="4">
        <f>VLOOKUP(A429,[1]PGReverse_all!$A$1:$FK$281,167,0)</f>
        <v>197.06</v>
      </c>
      <c r="J429" s="4">
        <f>F429+D429+I429</f>
        <v>3349.14</v>
      </c>
      <c r="K429" s="7">
        <v>-269.03999999999996</v>
      </c>
      <c r="L429" t="s">
        <v>11</v>
      </c>
      <c r="M429" t="s">
        <v>10</v>
      </c>
      <c r="N429" s="26">
        <f>VLOOKUP(A429,[1]PGReconsile!$A$1:$E$642,5,0)</f>
        <v>45922.443055555559</v>
      </c>
    </row>
    <row r="430" spans="1:14" x14ac:dyDescent="0.3">
      <c r="A430">
        <v>8674645012</v>
      </c>
      <c r="B430">
        <v>3469</v>
      </c>
      <c r="C430" s="1">
        <v>1105.223</v>
      </c>
      <c r="D430" s="1">
        <v>71.98</v>
      </c>
      <c r="E430" s="1">
        <v>387.16700000000003</v>
      </c>
      <c r="F430">
        <v>2273.2130000000002</v>
      </c>
      <c r="G430" s="1">
        <f t="shared" si="48"/>
        <v>1886.0460000000003</v>
      </c>
      <c r="H430" s="5">
        <v>1195.7869999999998</v>
      </c>
      <c r="I430" s="4">
        <v>0</v>
      </c>
      <c r="J430" s="4" t="s">
        <v>25</v>
      </c>
      <c r="K430" s="8">
        <v>2273.2130000000002</v>
      </c>
      <c r="L430" t="s">
        <v>12</v>
      </c>
      <c r="M430" t="s">
        <v>10</v>
      </c>
      <c r="N430" s="26">
        <f>VLOOKUP(A430,[1]PGReconsile!$A$1:$E$642,5,0)</f>
        <v>45916.459722222222</v>
      </c>
    </row>
    <row r="431" spans="1:14" x14ac:dyDescent="0.3">
      <c r="A431">
        <v>8686235629</v>
      </c>
      <c r="B431">
        <v>4219</v>
      </c>
      <c r="C431" s="1">
        <v>1045.4680000000001</v>
      </c>
      <c r="D431" s="1">
        <v>71.98</v>
      </c>
      <c r="E431" s="1">
        <v>470.875</v>
      </c>
      <c r="F431">
        <v>3078.95</v>
      </c>
      <c r="G431" s="1">
        <f t="shared" si="48"/>
        <v>2608.0749999999998</v>
      </c>
      <c r="H431" s="5">
        <v>1140.0500000000002</v>
      </c>
      <c r="I431" s="4">
        <v>0</v>
      </c>
      <c r="J431" s="4" t="s">
        <v>25</v>
      </c>
      <c r="K431" s="8">
        <v>3078.95</v>
      </c>
      <c r="L431" t="s">
        <v>12</v>
      </c>
      <c r="M431" t="s">
        <v>10</v>
      </c>
      <c r="N431" s="26">
        <f>VLOOKUP(A431,[1]PGReconsile!$A$1:$E$642,5,0)</f>
        <v>45920.473611111112</v>
      </c>
    </row>
    <row r="432" spans="1:14" x14ac:dyDescent="0.3">
      <c r="A432">
        <v>8699000629</v>
      </c>
      <c r="B432">
        <v>3154</v>
      </c>
      <c r="C432" s="1">
        <v>669.91</v>
      </c>
      <c r="D432" s="1">
        <v>71.98</v>
      </c>
      <c r="E432" s="1">
        <v>494.48399999999998</v>
      </c>
      <c r="F432">
        <v>2396.0729999999999</v>
      </c>
      <c r="G432" s="1">
        <f t="shared" si="48"/>
        <v>1901.5889999999999</v>
      </c>
      <c r="H432" s="5">
        <v>757.92700000000013</v>
      </c>
      <c r="I432" s="4">
        <f>VLOOKUP(A432,[1]PGReverse_all!$A$1:$FK$281,167,0)</f>
        <v>197.06</v>
      </c>
      <c r="J432" s="4">
        <f>F432+D432+I432</f>
        <v>2665.1129999999998</v>
      </c>
      <c r="K432" s="7">
        <v>-269.03999999999996</v>
      </c>
      <c r="L432" t="s">
        <v>11</v>
      </c>
      <c r="M432" t="s">
        <v>10</v>
      </c>
      <c r="N432" s="26">
        <f>VLOOKUP(A432,[1]PGReconsile!$A$1:$E$642,5,0)</f>
        <v>45923.446527777778</v>
      </c>
    </row>
    <row r="433" spans="1:14" x14ac:dyDescent="0.3">
      <c r="A433">
        <v>8676318892</v>
      </c>
      <c r="B433">
        <v>2594</v>
      </c>
      <c r="C433" s="1">
        <v>642.79300000000001</v>
      </c>
      <c r="D433" s="1">
        <v>71.98</v>
      </c>
      <c r="E433" s="1">
        <v>289.51</v>
      </c>
      <c r="F433">
        <v>1865.3309999999999</v>
      </c>
      <c r="G433" s="1">
        <f t="shared" si="48"/>
        <v>1575.8209999999999</v>
      </c>
      <c r="H433" s="5">
        <v>728.6690000000001</v>
      </c>
      <c r="I433" s="4">
        <v>0</v>
      </c>
      <c r="J433" s="4" t="s">
        <v>25</v>
      </c>
      <c r="K433" s="8">
        <v>1865.3309999999999</v>
      </c>
      <c r="L433" t="s">
        <v>12</v>
      </c>
      <c r="M433" t="s">
        <v>10</v>
      </c>
      <c r="N433" s="26">
        <f>VLOOKUP(A433,[1]PGReconsile!$A$1:$E$642,5,0)</f>
        <v>45917.434027777781</v>
      </c>
    </row>
    <row r="434" spans="1:14" x14ac:dyDescent="0.3">
      <c r="A434">
        <v>8682082418</v>
      </c>
      <c r="B434">
        <v>1694</v>
      </c>
      <c r="C434" s="1">
        <v>499.73</v>
      </c>
      <c r="D434" s="1">
        <v>53.1</v>
      </c>
      <c r="E434" s="1">
        <v>189.06200000000001</v>
      </c>
      <c r="F434">
        <v>1132.096</v>
      </c>
      <c r="G434" s="1">
        <f t="shared" si="48"/>
        <v>943.03399999999999</v>
      </c>
      <c r="H434" s="5">
        <v>561.904</v>
      </c>
      <c r="I434" s="4">
        <v>0</v>
      </c>
      <c r="J434" s="4" t="s">
        <v>25</v>
      </c>
      <c r="K434" s="8">
        <v>1132.096</v>
      </c>
      <c r="L434" t="s">
        <v>12</v>
      </c>
      <c r="M434" t="s">
        <v>10</v>
      </c>
      <c r="N434" s="26">
        <f>VLOOKUP(A434,[1]PGReconsile!$A$1:$E$642,5,0)</f>
        <v>45919.525000000001</v>
      </c>
    </row>
    <row r="435" spans="1:14" x14ac:dyDescent="0.3">
      <c r="A435">
        <v>8700034488</v>
      </c>
      <c r="B435">
        <v>3143</v>
      </c>
      <c r="C435" s="1">
        <v>667.57299999999998</v>
      </c>
      <c r="D435" s="1">
        <v>71.98</v>
      </c>
      <c r="E435" s="1">
        <v>492.75799999999998</v>
      </c>
      <c r="F435">
        <v>2387.4650000000001</v>
      </c>
      <c r="G435" s="1">
        <f t="shared" si="48"/>
        <v>1894.7070000000001</v>
      </c>
      <c r="H435" s="5">
        <v>755.53499999999985</v>
      </c>
      <c r="I435" s="4">
        <v>0</v>
      </c>
      <c r="J435" s="4" t="s">
        <v>25</v>
      </c>
      <c r="K435" s="8">
        <v>2387.4650000000001</v>
      </c>
      <c r="L435" t="s">
        <v>12</v>
      </c>
      <c r="M435" t="s">
        <v>10</v>
      </c>
      <c r="N435" s="26">
        <f>VLOOKUP(A435,[1]PGReconsile!$A$1:$E$642,5,0)</f>
        <v>45923.446527777778</v>
      </c>
    </row>
    <row r="436" spans="1:14" x14ac:dyDescent="0.3">
      <c r="A436">
        <v>8676045557</v>
      </c>
      <c r="B436">
        <v>2494</v>
      </c>
      <c r="C436" s="1">
        <v>794.58799999999997</v>
      </c>
      <c r="D436" s="1">
        <v>71.98</v>
      </c>
      <c r="E436" s="1">
        <v>278.34399999999999</v>
      </c>
      <c r="F436">
        <v>1614.0709999999999</v>
      </c>
      <c r="G436" s="1">
        <f t="shared" si="48"/>
        <v>1335.7269999999999</v>
      </c>
      <c r="H436" s="5">
        <v>879.92900000000009</v>
      </c>
      <c r="I436" s="4">
        <v>0</v>
      </c>
      <c r="J436" s="4" t="s">
        <v>25</v>
      </c>
      <c r="K436" s="8">
        <v>1614.0709999999999</v>
      </c>
      <c r="L436" t="s">
        <v>12</v>
      </c>
      <c r="M436" t="s">
        <v>10</v>
      </c>
      <c r="N436" s="26">
        <f>VLOOKUP(A436,[1]PGReconsile!$A$1:$E$642,5,0)</f>
        <v>45916.818055555559</v>
      </c>
    </row>
    <row r="437" spans="1:14" x14ac:dyDescent="0.3">
      <c r="A437">
        <v>8688316765</v>
      </c>
      <c r="B437">
        <v>2594</v>
      </c>
      <c r="C437" s="1">
        <v>550.96600000000001</v>
      </c>
      <c r="D437" s="1">
        <v>71.98</v>
      </c>
      <c r="E437" s="1">
        <v>135.87199999999999</v>
      </c>
      <c r="F437">
        <v>1956.232</v>
      </c>
      <c r="G437" s="1">
        <f t="shared" si="48"/>
        <v>1820.36</v>
      </c>
      <c r="H437" s="5">
        <v>637.76800000000003</v>
      </c>
      <c r="I437" s="4">
        <v>0</v>
      </c>
      <c r="J437" s="4" t="s">
        <v>25</v>
      </c>
      <c r="K437" s="8">
        <v>1956.232</v>
      </c>
      <c r="L437" t="s">
        <v>12</v>
      </c>
      <c r="M437" t="s">
        <v>10</v>
      </c>
      <c r="N437" s="26">
        <f>VLOOKUP(A437,[1]PGReconsile!$A$1:$E$642,5,0)</f>
        <v>45922.443055555559</v>
      </c>
    </row>
    <row r="438" spans="1:14" x14ac:dyDescent="0.3">
      <c r="A438">
        <v>8704408298</v>
      </c>
      <c r="B438">
        <v>2548.9899999999998</v>
      </c>
      <c r="C438" s="1">
        <v>661.71799999999996</v>
      </c>
      <c r="D438" s="1">
        <v>71.98</v>
      </c>
      <c r="E438" s="1">
        <v>133.518</v>
      </c>
      <c r="F438">
        <v>1800.741</v>
      </c>
      <c r="G438" s="1">
        <f t="shared" si="48"/>
        <v>1667.223</v>
      </c>
      <c r="H438" s="5">
        <v>748.2489999999998</v>
      </c>
      <c r="I438" s="4">
        <v>0</v>
      </c>
      <c r="J438" s="4" t="s">
        <v>25</v>
      </c>
      <c r="K438" s="8">
        <v>1800.741</v>
      </c>
      <c r="L438" t="s">
        <v>12</v>
      </c>
      <c r="M438" t="s">
        <v>10</v>
      </c>
      <c r="N438" s="26">
        <f>VLOOKUP(A438,[1]PGReconsile!$A$1:$E$642,5,0)</f>
        <v>45924.55</v>
      </c>
    </row>
    <row r="439" spans="1:14" x14ac:dyDescent="0.3">
      <c r="A439">
        <v>8663980354</v>
      </c>
      <c r="B439">
        <v>4193.99</v>
      </c>
      <c r="C439" s="1">
        <v>1336.2049999999999</v>
      </c>
      <c r="D439" s="1">
        <v>71.98</v>
      </c>
      <c r="E439" s="1">
        <v>468.08300000000003</v>
      </c>
      <c r="F439">
        <v>2763.337</v>
      </c>
      <c r="G439" s="1">
        <f t="shared" si="48"/>
        <v>2295.2539999999999</v>
      </c>
      <c r="H439" s="5">
        <v>1430.6529999999998</v>
      </c>
      <c r="I439" s="4">
        <f>VLOOKUP(A439,[1]PGReverse_all!$A$1:$FK$281,167,0)</f>
        <v>197.06</v>
      </c>
      <c r="J439" s="4">
        <f t="shared" ref="J439:J442" si="52">F439+D439+I439</f>
        <v>3032.377</v>
      </c>
      <c r="K439" s="7">
        <v>-269.03999999999996</v>
      </c>
      <c r="L439" t="s">
        <v>11</v>
      </c>
      <c r="M439" t="s">
        <v>10</v>
      </c>
      <c r="N439" s="26">
        <f>VLOOKUP(A439,[1]PGReconsile!$A$1:$E$642,5,0)</f>
        <v>45912.803472222222</v>
      </c>
    </row>
    <row r="440" spans="1:14" x14ac:dyDescent="0.3">
      <c r="A440">
        <v>8677429792</v>
      </c>
      <c r="B440">
        <v>4044.99</v>
      </c>
      <c r="C440" s="1">
        <v>1288.7339999999999</v>
      </c>
      <c r="D440" s="1">
        <v>71.98</v>
      </c>
      <c r="E440" s="1">
        <v>451.44799999999998</v>
      </c>
      <c r="F440">
        <v>2662.6060000000002</v>
      </c>
      <c r="G440" s="1">
        <f t="shared" si="48"/>
        <v>2211.1580000000004</v>
      </c>
      <c r="H440" s="5">
        <v>1382.3839999999996</v>
      </c>
      <c r="I440" s="4">
        <f>VLOOKUP(A440,[1]PGReverse_all!$A$1:$FK$281,167,0)</f>
        <v>197.06</v>
      </c>
      <c r="J440" s="4">
        <f t="shared" si="52"/>
        <v>2931.6460000000002</v>
      </c>
      <c r="K440" s="7">
        <v>-269.03999999999996</v>
      </c>
      <c r="L440" t="s">
        <v>11</v>
      </c>
      <c r="M440" t="s">
        <v>10</v>
      </c>
      <c r="N440" s="26">
        <f>VLOOKUP(A440,[1]PGReconsile!$A$1:$E$642,5,0)</f>
        <v>45917.434027777781</v>
      </c>
    </row>
    <row r="441" spans="1:14" x14ac:dyDescent="0.3">
      <c r="A441">
        <v>8681405218</v>
      </c>
      <c r="B441">
        <v>3564</v>
      </c>
      <c r="C441" s="1">
        <v>883.15899999999999</v>
      </c>
      <c r="D441" s="1">
        <v>71.98</v>
      </c>
      <c r="E441" s="1">
        <v>397.77100000000002</v>
      </c>
      <c r="F441">
        <v>2589.768</v>
      </c>
      <c r="G441" s="1">
        <f t="shared" si="48"/>
        <v>2191.9969999999998</v>
      </c>
      <c r="H441" s="5">
        <v>974.23199999999997</v>
      </c>
      <c r="I441" s="4">
        <f>VLOOKUP(A441,[1]PGReverse_all!$A$1:$FK$281,167,0)</f>
        <v>107.38</v>
      </c>
      <c r="J441" s="4">
        <f t="shared" si="52"/>
        <v>2769.1280000000002</v>
      </c>
      <c r="K441" s="7">
        <v>-179.36000000000013</v>
      </c>
      <c r="L441" t="s">
        <v>11</v>
      </c>
      <c r="M441" t="s">
        <v>10</v>
      </c>
      <c r="N441" s="26">
        <f>VLOOKUP(A441,[1]PGReconsile!$A$1:$E$642,5,0)</f>
        <v>45919.434027777781</v>
      </c>
    </row>
    <row r="442" spans="1:14" x14ac:dyDescent="0.3">
      <c r="A442">
        <v>8704473352</v>
      </c>
      <c r="B442">
        <v>3169</v>
      </c>
      <c r="C442" s="1">
        <v>785.27800000000002</v>
      </c>
      <c r="D442" s="1">
        <v>71.98</v>
      </c>
      <c r="E442" s="1">
        <v>496.83800000000002</v>
      </c>
      <c r="F442">
        <v>2295.6280000000002</v>
      </c>
      <c r="G442" s="1">
        <f t="shared" si="48"/>
        <v>1798.7900000000002</v>
      </c>
      <c r="H442" s="5">
        <v>873.37199999999984</v>
      </c>
      <c r="I442" s="4">
        <f>VLOOKUP(A442,[1]PGReverse_all!$A$1:$FK$281,167,0)</f>
        <v>197.06</v>
      </c>
      <c r="J442" s="4">
        <f t="shared" si="52"/>
        <v>2564.6680000000001</v>
      </c>
      <c r="K442" s="7">
        <v>-269.03999999999996</v>
      </c>
      <c r="L442" t="s">
        <v>11</v>
      </c>
      <c r="M442" t="s">
        <v>10</v>
      </c>
      <c r="N442" s="26">
        <f>VLOOKUP(A442,[1]PGReconsile!$A$1:$E$642,5,0)</f>
        <v>45924.55</v>
      </c>
    </row>
    <row r="443" spans="1:14" x14ac:dyDescent="0.3">
      <c r="A443">
        <v>8706216343</v>
      </c>
      <c r="B443">
        <v>391</v>
      </c>
      <c r="C443" s="1">
        <v>32.296999999999997</v>
      </c>
      <c r="D443" s="1">
        <v>31.86</v>
      </c>
      <c r="E443" s="1">
        <v>20.481999999999999</v>
      </c>
      <c r="F443">
        <v>324.60899999999998</v>
      </c>
      <c r="G443" s="1">
        <f t="shared" si="48"/>
        <v>304.12699999999995</v>
      </c>
      <c r="H443" s="5">
        <v>66.39100000000002</v>
      </c>
      <c r="I443" s="4">
        <v>0</v>
      </c>
      <c r="J443" s="4" t="s">
        <v>25</v>
      </c>
      <c r="K443" s="8">
        <v>324.60899999999998</v>
      </c>
      <c r="L443" t="s">
        <v>12</v>
      </c>
      <c r="M443" t="s">
        <v>10</v>
      </c>
      <c r="N443" s="26">
        <f>VLOOKUP(A443,[1]PGReconsile!$A$1:$E$642,5,0)</f>
        <v>45925.451388888891</v>
      </c>
    </row>
    <row r="444" spans="1:14" x14ac:dyDescent="0.3">
      <c r="A444">
        <v>8687587807</v>
      </c>
      <c r="B444">
        <v>3104</v>
      </c>
      <c r="C444" s="1">
        <v>769.17100000000005</v>
      </c>
      <c r="D444" s="1">
        <v>71.98</v>
      </c>
      <c r="E444" s="1">
        <v>486.64300000000003</v>
      </c>
      <c r="F444">
        <v>2247.0650000000001</v>
      </c>
      <c r="G444" s="1">
        <f t="shared" si="48"/>
        <v>1760.422</v>
      </c>
      <c r="H444" s="5">
        <v>856.93499999999995</v>
      </c>
      <c r="I444" s="4">
        <v>0</v>
      </c>
      <c r="J444" s="4" t="s">
        <v>25</v>
      </c>
      <c r="K444" s="8">
        <v>2247.0650000000001</v>
      </c>
      <c r="L444" t="s">
        <v>12</v>
      </c>
      <c r="M444" t="s">
        <v>10</v>
      </c>
      <c r="N444" s="26">
        <f>VLOOKUP(A444,[1]PGReconsile!$A$1:$E$642,5,0)</f>
        <v>45922.443055555559</v>
      </c>
    </row>
    <row r="445" spans="1:14" x14ac:dyDescent="0.3">
      <c r="A445">
        <v>8690989947</v>
      </c>
      <c r="B445">
        <v>3594.01</v>
      </c>
      <c r="C445" s="1">
        <v>933.005</v>
      </c>
      <c r="D445" s="1">
        <v>71.98</v>
      </c>
      <c r="E445" s="1">
        <v>563.46900000000005</v>
      </c>
      <c r="F445">
        <v>2570.75</v>
      </c>
      <c r="G445" s="1">
        <f t="shared" si="48"/>
        <v>2007.2809999999999</v>
      </c>
      <c r="H445" s="5">
        <v>1023.2600000000002</v>
      </c>
      <c r="I445" s="4">
        <v>0</v>
      </c>
      <c r="J445" s="4" t="s">
        <v>25</v>
      </c>
      <c r="K445" s="8">
        <v>2570.75</v>
      </c>
      <c r="L445" t="s">
        <v>12</v>
      </c>
      <c r="M445" t="s">
        <v>10</v>
      </c>
      <c r="N445" s="26">
        <f>VLOOKUP(A445,[1]PGReconsile!$A$1:$E$642,5,0)</f>
        <v>45922.443055555559</v>
      </c>
    </row>
    <row r="446" spans="1:14" x14ac:dyDescent="0.3">
      <c r="A446">
        <v>8704611977</v>
      </c>
      <c r="B446">
        <v>1012</v>
      </c>
      <c r="C446" s="1">
        <v>250.773</v>
      </c>
      <c r="D446" s="1">
        <v>53.1</v>
      </c>
      <c r="E446" s="1">
        <v>53.019000000000005</v>
      </c>
      <c r="F446">
        <v>702.34400000000005</v>
      </c>
      <c r="G446" s="1">
        <f t="shared" si="48"/>
        <v>649.32500000000005</v>
      </c>
      <c r="H446" s="5">
        <v>309.65599999999995</v>
      </c>
      <c r="I446" s="4">
        <f>VLOOKUP(A446,[1]PGReverse_all!$A$1:$FK$281,167,0)</f>
        <v>132.16</v>
      </c>
      <c r="J446" s="4">
        <f t="shared" ref="J446:J449" si="53">F446+D446+I446</f>
        <v>887.60400000000004</v>
      </c>
      <c r="K446" s="7">
        <v>-185.26</v>
      </c>
      <c r="L446" t="s">
        <v>11</v>
      </c>
      <c r="M446" t="s">
        <v>10</v>
      </c>
      <c r="N446" s="26">
        <f>VLOOKUP(A446,[1]PGReconsile!$A$1:$E$642,5,0)</f>
        <v>45924.55</v>
      </c>
    </row>
    <row r="447" spans="1:14" x14ac:dyDescent="0.3">
      <c r="A447">
        <v>8666527701</v>
      </c>
      <c r="B447">
        <v>2994</v>
      </c>
      <c r="C447" s="1">
        <v>635.92600000000004</v>
      </c>
      <c r="D447" s="1">
        <v>71.98</v>
      </c>
      <c r="E447" s="1">
        <v>334.15600000000001</v>
      </c>
      <c r="F447">
        <v>2270.0549999999998</v>
      </c>
      <c r="G447" s="1">
        <f t="shared" si="48"/>
        <v>1935.8989999999999</v>
      </c>
      <c r="H447" s="5">
        <v>723.94500000000016</v>
      </c>
      <c r="I447" s="4">
        <f>VLOOKUP(A447,[1]PGReverse_all!$A$1:$FK$281,167,0)</f>
        <v>197.06</v>
      </c>
      <c r="J447" s="4">
        <f t="shared" si="53"/>
        <v>2539.0949999999998</v>
      </c>
      <c r="K447" s="7">
        <v>-269.03999999999996</v>
      </c>
      <c r="L447" t="s">
        <v>11</v>
      </c>
      <c r="M447" t="s">
        <v>10</v>
      </c>
      <c r="N447" s="26">
        <f>VLOOKUP(A447,[1]PGReconsile!$A$1:$E$642,5,0)</f>
        <v>45913.572222222225</v>
      </c>
    </row>
    <row r="448" spans="1:14" x14ac:dyDescent="0.3">
      <c r="A448">
        <v>8680872278</v>
      </c>
      <c r="B448">
        <v>2406</v>
      </c>
      <c r="C448" s="1">
        <v>596.20699999999999</v>
      </c>
      <c r="D448" s="1">
        <v>71.98</v>
      </c>
      <c r="E448" s="1">
        <v>268.53200000000004</v>
      </c>
      <c r="F448">
        <v>1724.923</v>
      </c>
      <c r="G448" s="1">
        <f t="shared" si="48"/>
        <v>1456.3910000000001</v>
      </c>
      <c r="H448" s="5">
        <v>681.077</v>
      </c>
      <c r="I448" s="4">
        <f>VLOOKUP(A448,[1]PGReverse_all!$A$1:$FK$281,167,0)</f>
        <v>197.06</v>
      </c>
      <c r="J448" s="4">
        <f t="shared" si="53"/>
        <v>1993.963</v>
      </c>
      <c r="K448" s="7">
        <v>-269.03999999999996</v>
      </c>
      <c r="L448" t="s">
        <v>11</v>
      </c>
      <c r="M448" t="s">
        <v>10</v>
      </c>
      <c r="N448" s="26">
        <f>VLOOKUP(A448,[1]PGReconsile!$A$1:$E$642,5,0)</f>
        <v>45918.800694444442</v>
      </c>
    </row>
    <row r="449" spans="1:14" x14ac:dyDescent="0.3">
      <c r="A449">
        <v>8679706893</v>
      </c>
      <c r="B449">
        <v>3394</v>
      </c>
      <c r="C449" s="1">
        <v>841.03300000000002</v>
      </c>
      <c r="D449" s="1">
        <v>71.98</v>
      </c>
      <c r="E449" s="1">
        <v>378.79199999999997</v>
      </c>
      <c r="F449">
        <v>2462.8049999999998</v>
      </c>
      <c r="G449" s="1">
        <f t="shared" si="48"/>
        <v>2084.0129999999999</v>
      </c>
      <c r="H449" s="5">
        <v>931.19500000000016</v>
      </c>
      <c r="I449" s="4">
        <f>VLOOKUP(A449,[1]PGReverse_all!$A$1:$FK$281,167,0)</f>
        <v>132.16</v>
      </c>
      <c r="J449" s="4">
        <f t="shared" si="53"/>
        <v>2666.9449999999997</v>
      </c>
      <c r="K449" s="7">
        <v>-204.13999999999987</v>
      </c>
      <c r="L449" t="s">
        <v>11</v>
      </c>
      <c r="M449" t="s">
        <v>10</v>
      </c>
      <c r="N449" s="26">
        <f>VLOOKUP(A449,[1]PGReconsile!$A$1:$E$642,5,0)</f>
        <v>45918.445138888892</v>
      </c>
    </row>
    <row r="450" spans="1:14" x14ac:dyDescent="0.3">
      <c r="A450">
        <v>8694911052</v>
      </c>
      <c r="B450">
        <v>3564</v>
      </c>
      <c r="C450" s="1">
        <v>883.15899999999999</v>
      </c>
      <c r="D450" s="1">
        <v>71.98</v>
      </c>
      <c r="E450" s="1">
        <v>558.76199999999994</v>
      </c>
      <c r="F450">
        <v>2590.739</v>
      </c>
      <c r="G450" s="1">
        <f t="shared" si="48"/>
        <v>2031.9770000000001</v>
      </c>
      <c r="H450" s="5">
        <v>973.26099999999997</v>
      </c>
      <c r="I450" s="4">
        <v>0</v>
      </c>
      <c r="J450" s="4" t="s">
        <v>25</v>
      </c>
      <c r="K450" s="8">
        <v>2590.739</v>
      </c>
      <c r="L450" t="s">
        <v>12</v>
      </c>
      <c r="M450" t="s">
        <v>10</v>
      </c>
      <c r="N450" s="26">
        <f>VLOOKUP(A450,[1]PGReconsile!$A$1:$E$642,5,0)</f>
        <v>45922.443055555559</v>
      </c>
    </row>
    <row r="451" spans="1:14" x14ac:dyDescent="0.3">
      <c r="A451">
        <v>8681666404</v>
      </c>
      <c r="B451">
        <v>4069</v>
      </c>
      <c r="C451" s="1">
        <v>1008.298</v>
      </c>
      <c r="D451" s="1">
        <v>71.98</v>
      </c>
      <c r="E451" s="1">
        <v>454.125</v>
      </c>
      <c r="F451">
        <v>2966.924</v>
      </c>
      <c r="G451" s="1">
        <f t="shared" ref="G451:G514" si="54">F451-E451</f>
        <v>2512.799</v>
      </c>
      <c r="H451" s="5">
        <v>1102.076</v>
      </c>
      <c r="I451" s="4">
        <f>VLOOKUP(A451,[1]PGReverse_all!$A$1:$FK$281,167,0)</f>
        <v>197.06</v>
      </c>
      <c r="J451" s="4">
        <f>F451+D451+I451</f>
        <v>3235.9639999999999</v>
      </c>
      <c r="K451" s="7">
        <v>-269.03999999999996</v>
      </c>
      <c r="L451" t="s">
        <v>11</v>
      </c>
      <c r="M451" t="s">
        <v>10</v>
      </c>
      <c r="N451" s="26">
        <f>VLOOKUP(A451,[1]PGReconsile!$A$1:$E$642,5,0)</f>
        <v>45919.434027777781</v>
      </c>
    </row>
    <row r="452" spans="1:14" x14ac:dyDescent="0.3">
      <c r="A452">
        <v>8682619946</v>
      </c>
      <c r="B452">
        <v>3354</v>
      </c>
      <c r="C452" s="1">
        <v>831.12099999999998</v>
      </c>
      <c r="D452" s="1">
        <v>71.98</v>
      </c>
      <c r="E452" s="1">
        <v>374.33300000000003</v>
      </c>
      <c r="F452">
        <v>2432.931</v>
      </c>
      <c r="G452" s="1">
        <f t="shared" si="54"/>
        <v>2058.598</v>
      </c>
      <c r="H452" s="5">
        <v>921.06899999999996</v>
      </c>
      <c r="I452" s="4">
        <v>0</v>
      </c>
      <c r="J452" s="4" t="s">
        <v>25</v>
      </c>
      <c r="K452" s="8">
        <v>2432.931</v>
      </c>
      <c r="L452" t="s">
        <v>12</v>
      </c>
      <c r="M452" t="s">
        <v>10</v>
      </c>
      <c r="N452" s="26">
        <f>VLOOKUP(A452,[1]PGReconsile!$A$1:$E$642,5,0)</f>
        <v>45919.79791666667</v>
      </c>
    </row>
    <row r="453" spans="1:14" x14ac:dyDescent="0.3">
      <c r="A453">
        <v>8689881728</v>
      </c>
      <c r="B453">
        <v>2293</v>
      </c>
      <c r="C453" s="1">
        <v>568.20500000000004</v>
      </c>
      <c r="D453" s="1">
        <v>71.98</v>
      </c>
      <c r="E453" s="1">
        <v>120.10899999999999</v>
      </c>
      <c r="F453">
        <v>1639.712</v>
      </c>
      <c r="G453" s="1">
        <f t="shared" si="54"/>
        <v>1519.6030000000001</v>
      </c>
      <c r="H453" s="5">
        <v>653.28800000000001</v>
      </c>
      <c r="I453" s="4">
        <f>VLOOKUP(A453,[1]PGReverse_all!$A$1:$FK$281,167,0)</f>
        <v>197.06</v>
      </c>
      <c r="J453" s="4">
        <f>F453+D453+I453</f>
        <v>1908.752</v>
      </c>
      <c r="K453" s="7">
        <v>-269.03999999999996</v>
      </c>
      <c r="L453" t="s">
        <v>11</v>
      </c>
      <c r="M453" t="s">
        <v>10</v>
      </c>
      <c r="N453" s="26">
        <f>VLOOKUP(A453,[1]PGReconsile!$A$1:$E$642,5,0)</f>
        <v>45922.443055555559</v>
      </c>
    </row>
    <row r="454" spans="1:14" x14ac:dyDescent="0.3">
      <c r="A454">
        <v>8688543757</v>
      </c>
      <c r="B454">
        <v>3119</v>
      </c>
      <c r="C454" s="1">
        <v>662.476</v>
      </c>
      <c r="D454" s="1">
        <v>71.98</v>
      </c>
      <c r="E454" s="1">
        <v>488.99599999999998</v>
      </c>
      <c r="F454">
        <v>2368.6849999999999</v>
      </c>
      <c r="G454" s="1">
        <f t="shared" si="54"/>
        <v>1879.6889999999999</v>
      </c>
      <c r="H454" s="5">
        <v>750.31500000000005</v>
      </c>
      <c r="I454" s="4">
        <v>0</v>
      </c>
      <c r="J454" s="4" t="s">
        <v>25</v>
      </c>
      <c r="K454" s="8">
        <v>2368.6849999999999</v>
      </c>
      <c r="L454" t="s">
        <v>12</v>
      </c>
      <c r="M454" t="s">
        <v>10</v>
      </c>
      <c r="N454" s="26">
        <f>VLOOKUP(A454,[1]PGReconsile!$A$1:$E$642,5,0)</f>
        <v>45922.443055555559</v>
      </c>
    </row>
    <row r="455" spans="1:14" x14ac:dyDescent="0.3">
      <c r="A455">
        <v>8691678984</v>
      </c>
      <c r="B455">
        <v>3564</v>
      </c>
      <c r="C455" s="1">
        <v>883.16</v>
      </c>
      <c r="D455" s="1">
        <v>71.97999999999999</v>
      </c>
      <c r="E455" s="1">
        <v>558.76199999999994</v>
      </c>
      <c r="F455">
        <v>2590.7379999999998</v>
      </c>
      <c r="G455" s="1">
        <f t="shared" si="54"/>
        <v>2031.9759999999999</v>
      </c>
      <c r="H455" s="5">
        <v>973.26200000000017</v>
      </c>
      <c r="I455" s="4">
        <f>VLOOKUP(A455,[1]PGReverse_all!$A$1:$FK$281,167,0)</f>
        <v>197.06</v>
      </c>
      <c r="J455" s="4">
        <f>F455+D455+I455</f>
        <v>2859.7779999999998</v>
      </c>
      <c r="K455" s="7">
        <v>-269.03999999999996</v>
      </c>
      <c r="L455" t="s">
        <v>11</v>
      </c>
      <c r="M455" t="s">
        <v>10</v>
      </c>
      <c r="N455" s="26">
        <f>VLOOKUP(A455,[1]PGReconsile!$A$1:$E$642,5,0)</f>
        <v>45922.443055555559</v>
      </c>
    </row>
    <row r="456" spans="1:14" x14ac:dyDescent="0.3">
      <c r="A456">
        <v>8701220872</v>
      </c>
      <c r="B456">
        <v>3794</v>
      </c>
      <c r="C456" s="1">
        <v>984.92200000000003</v>
      </c>
      <c r="D456" s="1">
        <v>71.98</v>
      </c>
      <c r="E456" s="1">
        <v>594.81600000000003</v>
      </c>
      <c r="F456">
        <v>2717.8069999999998</v>
      </c>
      <c r="G456" s="1">
        <f t="shared" si="54"/>
        <v>2122.991</v>
      </c>
      <c r="H456" s="5">
        <v>1076.1930000000002</v>
      </c>
      <c r="I456" s="4">
        <v>0</v>
      </c>
      <c r="J456" s="4" t="s">
        <v>25</v>
      </c>
      <c r="K456" s="8">
        <v>2717.8069999999998</v>
      </c>
      <c r="L456" t="s">
        <v>12</v>
      </c>
      <c r="M456" t="s">
        <v>10</v>
      </c>
      <c r="N456" s="26">
        <f>VLOOKUP(A456,[1]PGReconsile!$A$1:$E$642,5,0)</f>
        <v>45923.806944444441</v>
      </c>
    </row>
    <row r="457" spans="1:14" x14ac:dyDescent="0.3">
      <c r="A457">
        <v>8670163180</v>
      </c>
      <c r="B457">
        <v>1610</v>
      </c>
      <c r="C457" s="1">
        <v>360.96199999999999</v>
      </c>
      <c r="D457" s="1">
        <v>53.1</v>
      </c>
      <c r="E457" s="1">
        <v>179.68799999999999</v>
      </c>
      <c r="F457">
        <v>1187.3119999999999</v>
      </c>
      <c r="G457" s="1">
        <f t="shared" si="54"/>
        <v>1007.6239999999999</v>
      </c>
      <c r="H457" s="5">
        <v>422.6880000000001</v>
      </c>
      <c r="I457" s="4">
        <v>0</v>
      </c>
      <c r="J457" s="4" t="s">
        <v>25</v>
      </c>
      <c r="K457" s="8">
        <v>1187.3119999999999</v>
      </c>
      <c r="L457" t="s">
        <v>12</v>
      </c>
      <c r="M457" t="s">
        <v>10</v>
      </c>
      <c r="N457" s="26">
        <f>VLOOKUP(A457,[1]PGReconsile!$A$1:$E$642,5,0)</f>
        <v>45915.47152777778</v>
      </c>
    </row>
    <row r="458" spans="1:14" x14ac:dyDescent="0.3">
      <c r="A458">
        <v>8680310158</v>
      </c>
      <c r="B458">
        <v>1109</v>
      </c>
      <c r="C458" s="1">
        <v>248.63800000000001</v>
      </c>
      <c r="D458" s="1">
        <v>53.1</v>
      </c>
      <c r="E458" s="1">
        <v>123.77099999999999</v>
      </c>
      <c r="F458">
        <v>801.32100000000003</v>
      </c>
      <c r="G458" s="1">
        <f t="shared" si="54"/>
        <v>677.55000000000007</v>
      </c>
      <c r="H458" s="5">
        <v>307.67899999999997</v>
      </c>
      <c r="I458" s="4">
        <v>0</v>
      </c>
      <c r="J458" s="4" t="s">
        <v>25</v>
      </c>
      <c r="K458" s="8">
        <v>801.32100000000003</v>
      </c>
      <c r="L458" t="s">
        <v>12</v>
      </c>
      <c r="M458" t="s">
        <v>10</v>
      </c>
      <c r="N458" s="26">
        <f>VLOOKUP(A458,[1]PGReconsile!$A$1:$E$642,5,0)</f>
        <v>45918.544444444444</v>
      </c>
    </row>
    <row r="459" spans="1:14" x14ac:dyDescent="0.3">
      <c r="A459">
        <v>8694225958</v>
      </c>
      <c r="B459">
        <v>3563.98</v>
      </c>
      <c r="C459" s="1">
        <v>883.154</v>
      </c>
      <c r="D459" s="1">
        <v>71.98</v>
      </c>
      <c r="E459" s="1">
        <v>558.76199999999994</v>
      </c>
      <c r="F459">
        <v>2590.7240000000002</v>
      </c>
      <c r="G459" s="1">
        <f t="shared" si="54"/>
        <v>2031.9620000000002</v>
      </c>
      <c r="H459" s="5">
        <v>973.25599999999986</v>
      </c>
      <c r="I459" s="4">
        <v>0</v>
      </c>
      <c r="J459" s="4" t="s">
        <v>25</v>
      </c>
      <c r="K459" s="8">
        <v>2590.7240000000002</v>
      </c>
      <c r="L459" t="s">
        <v>12</v>
      </c>
      <c r="M459" t="s">
        <v>10</v>
      </c>
      <c r="N459" s="26">
        <f>VLOOKUP(A459,[1]PGReconsile!$A$1:$E$642,5,0)</f>
        <v>45922.443055555559</v>
      </c>
    </row>
    <row r="460" spans="1:14" x14ac:dyDescent="0.3">
      <c r="A460">
        <v>8702982660</v>
      </c>
      <c r="B460">
        <v>1442</v>
      </c>
      <c r="C460" s="1">
        <v>391.35899999999998</v>
      </c>
      <c r="D460" s="1">
        <v>53.1</v>
      </c>
      <c r="E460" s="1">
        <v>75.537000000000006</v>
      </c>
      <c r="F460">
        <v>989.30100000000004</v>
      </c>
      <c r="G460" s="1">
        <f t="shared" si="54"/>
        <v>913.76400000000001</v>
      </c>
      <c r="H460" s="5">
        <v>452.69899999999996</v>
      </c>
      <c r="I460" s="4">
        <v>0</v>
      </c>
      <c r="J460" s="4" t="s">
        <v>25</v>
      </c>
      <c r="K460" s="8">
        <v>989.30100000000004</v>
      </c>
      <c r="L460" t="s">
        <v>12</v>
      </c>
      <c r="M460" t="s">
        <v>10</v>
      </c>
      <c r="N460" s="26">
        <f>VLOOKUP(A460,[1]PGReconsile!$A$1:$E$642,5,0)</f>
        <v>45924.441666666666</v>
      </c>
    </row>
    <row r="461" spans="1:14" x14ac:dyDescent="0.3">
      <c r="A461">
        <v>8675166482</v>
      </c>
      <c r="B461">
        <v>2994</v>
      </c>
      <c r="C461" s="1">
        <v>777.24199999999996</v>
      </c>
      <c r="D461" s="1">
        <v>71.98</v>
      </c>
      <c r="E461" s="1">
        <v>334.15600000000001</v>
      </c>
      <c r="F461">
        <v>2128.739</v>
      </c>
      <c r="G461" s="1">
        <f t="shared" si="54"/>
        <v>1794.5830000000001</v>
      </c>
      <c r="H461" s="5">
        <v>865.26099999999997</v>
      </c>
      <c r="I461" s="4">
        <f>VLOOKUP(A461,[1]PGReverse_all!$A$1:$FK$281,167,0)</f>
        <v>197.06</v>
      </c>
      <c r="J461" s="4">
        <f>F461+D461+I461</f>
        <v>2397.779</v>
      </c>
      <c r="K461" s="7">
        <v>-269.03999999999996</v>
      </c>
      <c r="L461" t="s">
        <v>11</v>
      </c>
      <c r="M461" t="s">
        <v>10</v>
      </c>
      <c r="N461" s="26">
        <f>VLOOKUP(A461,[1]PGReconsile!$A$1:$E$642,5,0)</f>
        <v>45916.560416666667</v>
      </c>
    </row>
    <row r="462" spans="1:14" x14ac:dyDescent="0.3">
      <c r="A462">
        <v>8686993117</v>
      </c>
      <c r="B462">
        <v>3119</v>
      </c>
      <c r="C462" s="1">
        <v>662.476</v>
      </c>
      <c r="D462" s="1">
        <v>71.98</v>
      </c>
      <c r="E462" s="1">
        <v>348.10399999999998</v>
      </c>
      <c r="F462">
        <v>2367.835</v>
      </c>
      <c r="G462" s="1">
        <f t="shared" si="54"/>
        <v>2019.731</v>
      </c>
      <c r="H462" s="5">
        <v>751.16499999999996</v>
      </c>
      <c r="I462" s="4">
        <v>0</v>
      </c>
      <c r="J462" s="4" t="s">
        <v>25</v>
      </c>
      <c r="K462" s="8">
        <v>2367.835</v>
      </c>
      <c r="L462" t="s">
        <v>12</v>
      </c>
      <c r="M462" t="s">
        <v>10</v>
      </c>
      <c r="N462" s="26">
        <f>VLOOKUP(A462,[1]PGReconsile!$A$1:$E$642,5,0)</f>
        <v>45920.575694444444</v>
      </c>
    </row>
    <row r="463" spans="1:14" x14ac:dyDescent="0.3">
      <c r="A463">
        <v>8674661455</v>
      </c>
      <c r="B463">
        <v>1079</v>
      </c>
      <c r="C463" s="1">
        <v>280.108</v>
      </c>
      <c r="D463" s="1">
        <v>53.1</v>
      </c>
      <c r="E463" s="1">
        <v>120.42699999999999</v>
      </c>
      <c r="F463">
        <v>740.01199999999994</v>
      </c>
      <c r="G463" s="1">
        <f t="shared" si="54"/>
        <v>619.58499999999992</v>
      </c>
      <c r="H463" s="5">
        <v>338.98800000000006</v>
      </c>
      <c r="I463" s="4">
        <v>0</v>
      </c>
      <c r="J463" s="4" t="s">
        <v>25</v>
      </c>
      <c r="K463" s="8">
        <v>740.01199999999994</v>
      </c>
      <c r="L463" t="s">
        <v>12</v>
      </c>
      <c r="M463" t="s">
        <v>10</v>
      </c>
      <c r="N463" s="26">
        <f>VLOOKUP(A463,[1]PGReconsile!$A$1:$E$642,5,0)</f>
        <v>45916.459722222222</v>
      </c>
    </row>
    <row r="464" spans="1:14" x14ac:dyDescent="0.3">
      <c r="A464">
        <v>8698964259</v>
      </c>
      <c r="B464">
        <v>2150</v>
      </c>
      <c r="C464" s="1">
        <v>684.99</v>
      </c>
      <c r="D464" s="1">
        <v>71.98</v>
      </c>
      <c r="E464" s="1">
        <v>112.61799999999999</v>
      </c>
      <c r="F464">
        <v>1380.7439999999999</v>
      </c>
      <c r="G464" s="1">
        <f t="shared" si="54"/>
        <v>1268.126</v>
      </c>
      <c r="H464" s="5">
        <v>769.25600000000009</v>
      </c>
      <c r="I464" s="4">
        <f>VLOOKUP(A464,[1]PGReverse_all!$A$1:$FK$281,167,0)</f>
        <v>107.38</v>
      </c>
      <c r="J464" s="4">
        <f t="shared" ref="J464:J465" si="55">F464+D464+I464</f>
        <v>1560.1039999999998</v>
      </c>
      <c r="K464" s="7">
        <v>-179.3599999999999</v>
      </c>
      <c r="L464" t="s">
        <v>11</v>
      </c>
      <c r="M464" t="s">
        <v>10</v>
      </c>
      <c r="N464" s="26">
        <f>VLOOKUP(A464,[1]PGReconsile!$A$1:$E$642,5,0)</f>
        <v>45923.446527777778</v>
      </c>
    </row>
    <row r="465" spans="1:14" x14ac:dyDescent="0.3">
      <c r="A465">
        <v>8661246795</v>
      </c>
      <c r="B465">
        <v>2994</v>
      </c>
      <c r="C465" s="1">
        <v>777.24199999999996</v>
      </c>
      <c r="D465" s="1">
        <v>71.98</v>
      </c>
      <c r="E465" s="1">
        <v>334.15600000000001</v>
      </c>
      <c r="F465">
        <v>2128.739</v>
      </c>
      <c r="G465" s="1">
        <f t="shared" si="54"/>
        <v>1794.5830000000001</v>
      </c>
      <c r="H465" s="5">
        <v>865.26099999999997</v>
      </c>
      <c r="I465" s="4">
        <f>VLOOKUP(A465,[1]PGReverse_all!$A$1:$FK$281,167,0)</f>
        <v>197.06</v>
      </c>
      <c r="J465" s="4">
        <f t="shared" si="55"/>
        <v>2397.779</v>
      </c>
      <c r="K465" s="7">
        <v>-269.03999999999996</v>
      </c>
      <c r="L465" t="s">
        <v>11</v>
      </c>
      <c r="M465" t="s">
        <v>10</v>
      </c>
      <c r="N465" s="26">
        <f>VLOOKUP(A465,[1]PGReconsile!$A$1:$E$642,5,0)</f>
        <v>45911.783333333333</v>
      </c>
    </row>
    <row r="466" spans="1:14" x14ac:dyDescent="0.3">
      <c r="A466">
        <v>8680652612</v>
      </c>
      <c r="B466">
        <v>2454</v>
      </c>
      <c r="C466" s="1">
        <v>608.101</v>
      </c>
      <c r="D466" s="1">
        <v>71.98</v>
      </c>
      <c r="E466" s="1">
        <v>273.875</v>
      </c>
      <c r="F466">
        <v>1760.7729999999999</v>
      </c>
      <c r="G466" s="1">
        <f t="shared" si="54"/>
        <v>1486.8979999999999</v>
      </c>
      <c r="H466" s="5">
        <v>693.22700000000009</v>
      </c>
      <c r="I466" s="4">
        <v>0</v>
      </c>
      <c r="J466" s="4" t="s">
        <v>25</v>
      </c>
      <c r="K466" s="8">
        <v>1760.7729999999999</v>
      </c>
      <c r="L466" t="s">
        <v>12</v>
      </c>
      <c r="M466" t="s">
        <v>10</v>
      </c>
      <c r="N466" s="26">
        <f>VLOOKUP(A466,[1]PGReconsile!$A$1:$E$642,5,0)</f>
        <v>45918.800694444442</v>
      </c>
    </row>
    <row r="467" spans="1:14" x14ac:dyDescent="0.3">
      <c r="A467">
        <v>8665242405</v>
      </c>
      <c r="B467">
        <v>2834</v>
      </c>
      <c r="C467" s="1">
        <v>702.26499999999999</v>
      </c>
      <c r="D467" s="1">
        <v>71.98</v>
      </c>
      <c r="E467" s="1">
        <v>316.29199999999997</v>
      </c>
      <c r="F467">
        <v>2044.5730000000001</v>
      </c>
      <c r="G467" s="1">
        <f t="shared" si="54"/>
        <v>1728.2810000000002</v>
      </c>
      <c r="H467" s="5">
        <v>789.42699999999991</v>
      </c>
      <c r="I467" s="4">
        <f>VLOOKUP(A467,[1]PGReverse_all!$A$1:$FK$281,167,0)</f>
        <v>132.16</v>
      </c>
      <c r="J467" s="4">
        <f>F467+D467+I467</f>
        <v>2248.7129999999997</v>
      </c>
      <c r="K467" s="7">
        <v>-204.13999999999965</v>
      </c>
      <c r="L467" t="s">
        <v>11</v>
      </c>
      <c r="M467" t="s">
        <v>10</v>
      </c>
      <c r="N467" s="26">
        <f>VLOOKUP(A467,[1]PGReconsile!$A$1:$E$642,5,0)</f>
        <v>45913.450694444444</v>
      </c>
    </row>
    <row r="468" spans="1:14" x14ac:dyDescent="0.3">
      <c r="A468">
        <v>8697803935</v>
      </c>
      <c r="B468">
        <v>2244</v>
      </c>
      <c r="C468" s="1">
        <v>582.54200000000003</v>
      </c>
      <c r="D468" s="1">
        <v>71.98</v>
      </c>
      <c r="E468" s="1">
        <v>117.54599999999999</v>
      </c>
      <c r="F468">
        <v>1576.655</v>
      </c>
      <c r="G468" s="1">
        <f t="shared" si="54"/>
        <v>1459.1089999999999</v>
      </c>
      <c r="H468" s="5">
        <v>667.34500000000003</v>
      </c>
      <c r="I468" s="4">
        <v>0</v>
      </c>
      <c r="J468" s="4" t="s">
        <v>25</v>
      </c>
      <c r="K468" s="8">
        <v>1576.655</v>
      </c>
      <c r="L468" t="s">
        <v>12</v>
      </c>
      <c r="M468" t="s">
        <v>10</v>
      </c>
      <c r="N468" s="26">
        <f>VLOOKUP(A468,[1]PGReconsile!$A$1:$E$642,5,0)</f>
        <v>45922.779861111114</v>
      </c>
    </row>
    <row r="469" spans="1:14" x14ac:dyDescent="0.3">
      <c r="A469">
        <v>8673378655</v>
      </c>
      <c r="B469">
        <v>1894</v>
      </c>
      <c r="C469" s="1">
        <v>514.03200000000004</v>
      </c>
      <c r="D469" s="1">
        <v>53.1</v>
      </c>
      <c r="E469" s="1">
        <v>211.38500000000002</v>
      </c>
      <c r="F469">
        <v>1316.722</v>
      </c>
      <c r="G469" s="1">
        <f t="shared" si="54"/>
        <v>1105.337</v>
      </c>
      <c r="H469" s="5">
        <v>577.27800000000002</v>
      </c>
      <c r="I469" s="4">
        <f>VLOOKUP(A469,[1]PGReverse_all!$A$1:$FK$281,167,0)</f>
        <v>197.06</v>
      </c>
      <c r="J469" s="4">
        <f>F469+D469+I469</f>
        <v>1566.8819999999998</v>
      </c>
      <c r="K469" s="7">
        <v>-250.15999999999985</v>
      </c>
      <c r="L469" t="s">
        <v>11</v>
      </c>
      <c r="M469" t="s">
        <v>10</v>
      </c>
      <c r="N469" s="26">
        <f>VLOOKUP(A469,[1]PGReconsile!$A$1:$E$642,5,0)</f>
        <v>45916.459722222222</v>
      </c>
    </row>
    <row r="470" spans="1:14" x14ac:dyDescent="0.3">
      <c r="A470">
        <v>8688227979</v>
      </c>
      <c r="B470">
        <v>3118.99</v>
      </c>
      <c r="C470" s="1">
        <v>662.47299999999996</v>
      </c>
      <c r="D470" s="1">
        <v>71.98</v>
      </c>
      <c r="E470" s="1">
        <v>488.99599999999998</v>
      </c>
      <c r="F470">
        <v>2368.6779999999999</v>
      </c>
      <c r="G470" s="1">
        <f t="shared" si="54"/>
        <v>1879.6819999999998</v>
      </c>
      <c r="H470" s="5">
        <v>750.3119999999999</v>
      </c>
      <c r="I470" s="4">
        <v>0</v>
      </c>
      <c r="J470" s="4" t="s">
        <v>25</v>
      </c>
      <c r="K470" s="8">
        <v>2368.6779999999999</v>
      </c>
      <c r="L470" t="s">
        <v>12</v>
      </c>
      <c r="M470" t="s">
        <v>10</v>
      </c>
      <c r="N470" s="26">
        <f>VLOOKUP(A470,[1]PGReconsile!$A$1:$E$642,5,0)</f>
        <v>45922.443055555559</v>
      </c>
    </row>
    <row r="471" spans="1:14" x14ac:dyDescent="0.3">
      <c r="A471">
        <v>8695941283</v>
      </c>
      <c r="B471">
        <v>3564</v>
      </c>
      <c r="C471" s="1">
        <v>883.15899999999999</v>
      </c>
      <c r="D471" s="1">
        <v>71.98</v>
      </c>
      <c r="E471" s="1">
        <v>558.76199999999994</v>
      </c>
      <c r="F471">
        <v>2590.739</v>
      </c>
      <c r="G471" s="1">
        <f t="shared" si="54"/>
        <v>2031.9770000000001</v>
      </c>
      <c r="H471" s="5">
        <v>973.26099999999997</v>
      </c>
      <c r="I471" s="4">
        <f>VLOOKUP(A471,[1]PGReverse_all!$A$1:$FK$281,167,0)</f>
        <v>132.16</v>
      </c>
      <c r="J471" s="4">
        <f>F471+D471+I471</f>
        <v>2794.8789999999999</v>
      </c>
      <c r="K471" s="7">
        <v>-204.13999999999987</v>
      </c>
      <c r="L471" t="s">
        <v>11</v>
      </c>
      <c r="M471" t="s">
        <v>10</v>
      </c>
      <c r="N471" s="26">
        <f>VLOOKUP(A471,[1]PGReconsile!$A$1:$E$642,5,0)</f>
        <v>45922.443055555559</v>
      </c>
    </row>
    <row r="472" spans="1:14" x14ac:dyDescent="0.3">
      <c r="A472">
        <v>8690310002</v>
      </c>
      <c r="B472">
        <v>3323.99</v>
      </c>
      <c r="C472" s="1">
        <v>706.01499999999999</v>
      </c>
      <c r="D472" s="1">
        <v>71.98</v>
      </c>
      <c r="E472" s="1">
        <v>521.13499999999999</v>
      </c>
      <c r="F472">
        <v>2529.0929999999998</v>
      </c>
      <c r="G472" s="1">
        <f t="shared" si="54"/>
        <v>2007.9579999999999</v>
      </c>
      <c r="H472" s="5">
        <v>794.89699999999993</v>
      </c>
      <c r="I472" s="4">
        <v>0</v>
      </c>
      <c r="J472" s="4" t="s">
        <v>25</v>
      </c>
      <c r="K472" s="8">
        <v>2529.0929999999998</v>
      </c>
      <c r="L472" t="s">
        <v>12</v>
      </c>
      <c r="M472" t="s">
        <v>10</v>
      </c>
      <c r="N472" s="26">
        <f>VLOOKUP(A472,[1]PGReconsile!$A$1:$E$642,5,0)</f>
        <v>45922.443055555559</v>
      </c>
    </row>
    <row r="473" spans="1:14" x14ac:dyDescent="0.3">
      <c r="A473">
        <v>8687823960</v>
      </c>
      <c r="B473">
        <v>2264</v>
      </c>
      <c r="C473" s="1">
        <v>641.16499999999996</v>
      </c>
      <c r="D473" s="1">
        <v>71.98</v>
      </c>
      <c r="E473" s="1">
        <v>118.59100000000001</v>
      </c>
      <c r="F473">
        <v>1537.9179999999999</v>
      </c>
      <c r="G473" s="1">
        <f t="shared" si="54"/>
        <v>1419.3269999999998</v>
      </c>
      <c r="H473" s="5">
        <v>726.08200000000011</v>
      </c>
      <c r="I473" s="4">
        <f>VLOOKUP(A473,[1]PGReverse_all!$A$1:$FK$281,167,0)</f>
        <v>132.16</v>
      </c>
      <c r="J473" s="4">
        <f>F473+D473+I473</f>
        <v>1742.058</v>
      </c>
      <c r="K473" s="7">
        <v>-204.1400000000001</v>
      </c>
      <c r="L473" t="s">
        <v>11</v>
      </c>
      <c r="M473" t="s">
        <v>10</v>
      </c>
      <c r="N473" s="26">
        <f>VLOOKUP(A473,[1]PGReconsile!$A$1:$E$642,5,0)</f>
        <v>45922.443055555559</v>
      </c>
    </row>
    <row r="474" spans="1:14" x14ac:dyDescent="0.3">
      <c r="A474">
        <v>8698177391</v>
      </c>
      <c r="B474">
        <v>1597</v>
      </c>
      <c r="C474" s="1">
        <v>433.42599999999999</v>
      </c>
      <c r="D474" s="1">
        <v>53.1</v>
      </c>
      <c r="E474" s="1">
        <v>83.64500000000001</v>
      </c>
      <c r="F474">
        <v>1101.348</v>
      </c>
      <c r="G474" s="1">
        <f t="shared" si="54"/>
        <v>1017.703</v>
      </c>
      <c r="H474" s="5">
        <v>495.65200000000004</v>
      </c>
      <c r="I474" s="4">
        <v>0</v>
      </c>
      <c r="J474" s="4" t="s">
        <v>25</v>
      </c>
      <c r="K474" s="8">
        <v>1101.348</v>
      </c>
      <c r="L474" t="s">
        <v>12</v>
      </c>
      <c r="M474" t="s">
        <v>10</v>
      </c>
      <c r="N474" s="26">
        <f>VLOOKUP(A474,[1]PGReconsile!$A$1:$E$642,5,0)</f>
        <v>45923.446527777778</v>
      </c>
    </row>
    <row r="475" spans="1:14" x14ac:dyDescent="0.3">
      <c r="A475">
        <v>8683928962</v>
      </c>
      <c r="B475">
        <v>953.99</v>
      </c>
      <c r="C475" s="1">
        <v>258.91300000000001</v>
      </c>
      <c r="D475" s="1">
        <v>31.86</v>
      </c>
      <c r="E475" s="1">
        <v>49.972999999999999</v>
      </c>
      <c r="F475">
        <v>657.76599999999996</v>
      </c>
      <c r="G475" s="1">
        <f t="shared" si="54"/>
        <v>607.79300000000001</v>
      </c>
      <c r="H475" s="5">
        <v>296.22400000000005</v>
      </c>
      <c r="I475" s="4">
        <v>0</v>
      </c>
      <c r="J475" s="4" t="s">
        <v>25</v>
      </c>
      <c r="K475" s="8">
        <v>657.76599999999996</v>
      </c>
      <c r="L475" t="s">
        <v>12</v>
      </c>
      <c r="M475" t="s">
        <v>10</v>
      </c>
      <c r="N475" s="26">
        <f>VLOOKUP(A475,[1]PGReconsile!$A$1:$E$642,5,0)</f>
        <v>45920.473611111112</v>
      </c>
    </row>
    <row r="476" spans="1:14" x14ac:dyDescent="0.3">
      <c r="A476">
        <v>8697069469</v>
      </c>
      <c r="B476">
        <v>5366</v>
      </c>
      <c r="C476" s="1">
        <v>1709.6079999999999</v>
      </c>
      <c r="D476" s="1">
        <v>71.98</v>
      </c>
      <c r="E476" s="1">
        <v>841.27699999999993</v>
      </c>
      <c r="F476">
        <v>3557.1280000000002</v>
      </c>
      <c r="G476" s="1">
        <f t="shared" si="54"/>
        <v>2715.8510000000001</v>
      </c>
      <c r="H476" s="5">
        <v>1808.8719999999998</v>
      </c>
      <c r="I476" s="4">
        <v>0</v>
      </c>
      <c r="J476" s="4" t="s">
        <v>25</v>
      </c>
      <c r="K476" s="8">
        <v>3557.1280000000002</v>
      </c>
      <c r="L476" t="s">
        <v>12</v>
      </c>
      <c r="M476" t="s">
        <v>10</v>
      </c>
      <c r="N476" s="26">
        <f>VLOOKUP(A476,[1]PGReconsile!$A$1:$E$642,5,0)</f>
        <v>45922.779861111114</v>
      </c>
    </row>
    <row r="477" spans="1:14" x14ac:dyDescent="0.3">
      <c r="A477">
        <v>8702278551</v>
      </c>
      <c r="B477">
        <v>3564</v>
      </c>
      <c r="C477" s="1">
        <v>883.15899999999999</v>
      </c>
      <c r="D477" s="1">
        <v>71.98</v>
      </c>
      <c r="E477" s="1">
        <v>558.76199999999994</v>
      </c>
      <c r="F477">
        <v>2590.739</v>
      </c>
      <c r="G477" s="1">
        <f t="shared" si="54"/>
        <v>2031.9770000000001</v>
      </c>
      <c r="H477" s="5">
        <v>973.26099999999997</v>
      </c>
      <c r="I477" s="4">
        <v>0</v>
      </c>
      <c r="J477" s="4" t="s">
        <v>25</v>
      </c>
      <c r="K477" s="8">
        <v>2590.739</v>
      </c>
      <c r="L477" t="s">
        <v>12</v>
      </c>
      <c r="M477" t="s">
        <v>10</v>
      </c>
      <c r="N477" s="26">
        <f>VLOOKUP(A477,[1]PGReconsile!$A$1:$E$642,5,0)</f>
        <v>45924.441666666666</v>
      </c>
    </row>
    <row r="478" spans="1:14" x14ac:dyDescent="0.3">
      <c r="A478">
        <v>8662109200</v>
      </c>
      <c r="B478">
        <v>2344</v>
      </c>
      <c r="C478" s="1">
        <v>608.50199999999995</v>
      </c>
      <c r="D478" s="1">
        <v>71.98</v>
      </c>
      <c r="E478" s="1">
        <v>261.60399999999998</v>
      </c>
      <c r="F478">
        <v>1650.961</v>
      </c>
      <c r="G478" s="1">
        <f t="shared" si="54"/>
        <v>1389.357</v>
      </c>
      <c r="H478" s="5">
        <v>693.03899999999999</v>
      </c>
      <c r="I478" s="4">
        <v>0</v>
      </c>
      <c r="J478" s="4" t="s">
        <v>25</v>
      </c>
      <c r="K478" s="8">
        <v>1650.961</v>
      </c>
      <c r="L478" t="s">
        <v>12</v>
      </c>
      <c r="M478" t="s">
        <v>10</v>
      </c>
      <c r="N478" s="26">
        <f>VLOOKUP(A478,[1]PGReconsile!$A$1:$E$642,5,0)</f>
        <v>45912.475694444445</v>
      </c>
    </row>
    <row r="479" spans="1:14" x14ac:dyDescent="0.3">
      <c r="A479">
        <v>8690582232</v>
      </c>
      <c r="B479">
        <v>3104</v>
      </c>
      <c r="C479" s="1">
        <v>769.17100000000005</v>
      </c>
      <c r="D479" s="1">
        <v>71.98</v>
      </c>
      <c r="E479" s="1">
        <v>486.65300000000002</v>
      </c>
      <c r="F479">
        <v>2247.0650000000001</v>
      </c>
      <c r="G479" s="1">
        <f t="shared" si="54"/>
        <v>1760.412</v>
      </c>
      <c r="H479" s="5">
        <v>856.93499999999995</v>
      </c>
      <c r="I479" s="4">
        <v>0</v>
      </c>
      <c r="J479" s="4" t="s">
        <v>25</v>
      </c>
      <c r="K479" s="8">
        <v>2247.0650000000001</v>
      </c>
      <c r="L479" t="s">
        <v>12</v>
      </c>
      <c r="M479" t="s">
        <v>10</v>
      </c>
      <c r="N479" s="26">
        <f>VLOOKUP(A479,[1]PGReconsile!$A$1:$E$642,5,0)</f>
        <v>45922.443055555559</v>
      </c>
    </row>
    <row r="480" spans="1:14" x14ac:dyDescent="0.3">
      <c r="A480">
        <v>8696450403</v>
      </c>
      <c r="B480">
        <v>3286</v>
      </c>
      <c r="C480" s="1">
        <v>697.94600000000003</v>
      </c>
      <c r="D480" s="1">
        <v>71.98</v>
      </c>
      <c r="E480" s="1">
        <v>515.18399999999997</v>
      </c>
      <c r="F480">
        <v>2499.3649999999998</v>
      </c>
      <c r="G480" s="1">
        <f t="shared" si="54"/>
        <v>1984.1809999999998</v>
      </c>
      <c r="H480" s="5">
        <v>786.63500000000022</v>
      </c>
      <c r="I480" s="4">
        <v>0</v>
      </c>
      <c r="J480" s="4" t="s">
        <v>25</v>
      </c>
      <c r="K480" s="8">
        <v>2499.3649999999998</v>
      </c>
      <c r="L480" t="s">
        <v>12</v>
      </c>
      <c r="M480" t="s">
        <v>10</v>
      </c>
      <c r="N480" s="26">
        <f>VLOOKUP(A480,[1]PGReconsile!$A$1:$E$642,5,0)</f>
        <v>45922.532638888886</v>
      </c>
    </row>
    <row r="481" spans="1:14" x14ac:dyDescent="0.3">
      <c r="A481">
        <v>8706673220</v>
      </c>
      <c r="B481">
        <v>1811</v>
      </c>
      <c r="C481" s="1">
        <v>406.02699999999999</v>
      </c>
      <c r="D481" s="1">
        <v>53.099999999999994</v>
      </c>
      <c r="E481" s="1">
        <v>94.86399999999999</v>
      </c>
      <c r="F481">
        <v>1341.5250000000001</v>
      </c>
      <c r="G481" s="1">
        <f t="shared" si="54"/>
        <v>1246.6610000000001</v>
      </c>
      <c r="H481" s="5">
        <v>469.47499999999991</v>
      </c>
      <c r="I481" s="4">
        <v>0</v>
      </c>
      <c r="J481" s="4" t="s">
        <v>25</v>
      </c>
      <c r="K481" s="8">
        <v>1341.5250000000001</v>
      </c>
      <c r="L481" t="s">
        <v>12</v>
      </c>
      <c r="M481" t="s">
        <v>10</v>
      </c>
      <c r="N481" s="26">
        <f>VLOOKUP(A481,[1]PGReconsile!$A$1:$E$642,5,0)</f>
        <v>45925.451388888891</v>
      </c>
    </row>
    <row r="482" spans="1:14" x14ac:dyDescent="0.3">
      <c r="A482">
        <v>8658143949</v>
      </c>
      <c r="B482">
        <v>2994</v>
      </c>
      <c r="C482" s="1">
        <v>635.92600000000004</v>
      </c>
      <c r="D482" s="1">
        <v>71.98</v>
      </c>
      <c r="E482" s="1">
        <v>334.15600000000001</v>
      </c>
      <c r="F482">
        <v>2270.0549999999998</v>
      </c>
      <c r="G482" s="1">
        <f t="shared" si="54"/>
        <v>1935.8989999999999</v>
      </c>
      <c r="H482" s="5">
        <v>723.94500000000016</v>
      </c>
      <c r="I482" s="4">
        <f>VLOOKUP(A482,[1]PGReverse_all!$A$1:$FK$281,167,0)</f>
        <v>197.06</v>
      </c>
      <c r="J482" s="4">
        <f>F482+D482+I482</f>
        <v>2539.0949999999998</v>
      </c>
      <c r="K482" s="7">
        <v>-269.03999999999996</v>
      </c>
      <c r="L482" t="s">
        <v>11</v>
      </c>
      <c r="M482" t="s">
        <v>10</v>
      </c>
      <c r="N482" s="26">
        <f>VLOOKUP(A482,[1]PGReconsile!$A$1:$E$642,5,0)</f>
        <v>45910.459722222222</v>
      </c>
    </row>
    <row r="483" spans="1:14" x14ac:dyDescent="0.3">
      <c r="A483">
        <v>8662876274</v>
      </c>
      <c r="B483">
        <v>4354</v>
      </c>
      <c r="C483" s="1">
        <v>1233.0530000000001</v>
      </c>
      <c r="D483" s="1">
        <v>71.98</v>
      </c>
      <c r="E483" s="1">
        <v>485.93700000000001</v>
      </c>
      <c r="F483">
        <v>3025.643</v>
      </c>
      <c r="G483" s="1">
        <f t="shared" si="54"/>
        <v>2539.7060000000001</v>
      </c>
      <c r="H483" s="5">
        <v>1328.357</v>
      </c>
      <c r="I483" s="4">
        <v>0</v>
      </c>
      <c r="J483" s="4" t="s">
        <v>25</v>
      </c>
      <c r="K483" s="8">
        <v>3025.643</v>
      </c>
      <c r="L483" t="s">
        <v>12</v>
      </c>
      <c r="M483" t="s">
        <v>10</v>
      </c>
      <c r="N483" s="26">
        <f>VLOOKUP(A483,[1]PGReconsile!$A$1:$E$642,5,0)</f>
        <v>45912.475694444445</v>
      </c>
    </row>
    <row r="484" spans="1:14" x14ac:dyDescent="0.3">
      <c r="A484">
        <v>8684439845</v>
      </c>
      <c r="B484">
        <v>3365</v>
      </c>
      <c r="C484" s="1">
        <v>833.84699999999998</v>
      </c>
      <c r="D484" s="1">
        <v>71.98</v>
      </c>
      <c r="E484" s="1">
        <v>375.56200000000001</v>
      </c>
      <c r="F484">
        <v>2441.1469999999999</v>
      </c>
      <c r="G484" s="1">
        <f t="shared" si="54"/>
        <v>2065.585</v>
      </c>
      <c r="H484" s="5">
        <v>923.85300000000007</v>
      </c>
      <c r="I484" s="4">
        <f>VLOOKUP(A484,[1]PGReverse_all!$A$1:$FK$281,167,0)</f>
        <v>197.06</v>
      </c>
      <c r="J484" s="4">
        <f>F484+D484+I484</f>
        <v>2710.1869999999999</v>
      </c>
      <c r="K484" s="7">
        <v>-269.03999999999996</v>
      </c>
      <c r="L484" t="s">
        <v>11</v>
      </c>
      <c r="M484" t="s">
        <v>10</v>
      </c>
      <c r="N484" s="26">
        <f>VLOOKUP(A484,[1]PGReconsile!$A$1:$E$642,5,0)</f>
        <v>45920.473611111112</v>
      </c>
    </row>
    <row r="485" spans="1:14" x14ac:dyDescent="0.3">
      <c r="A485">
        <v>8670314920</v>
      </c>
      <c r="B485">
        <v>499</v>
      </c>
      <c r="C485" s="1">
        <v>47.106000000000002</v>
      </c>
      <c r="D485" s="1">
        <v>31.86</v>
      </c>
      <c r="E485" s="1">
        <v>26.136000000000003</v>
      </c>
      <c r="F485">
        <v>417.18299999999999</v>
      </c>
      <c r="G485" s="1">
        <f t="shared" si="54"/>
        <v>391.04699999999997</v>
      </c>
      <c r="H485" s="5">
        <v>81.817000000000007</v>
      </c>
      <c r="I485" s="4">
        <v>0</v>
      </c>
      <c r="J485" s="4" t="s">
        <v>25</v>
      </c>
      <c r="K485" s="8">
        <v>417.18299999999999</v>
      </c>
      <c r="L485" t="s">
        <v>12</v>
      </c>
      <c r="M485" t="s">
        <v>10</v>
      </c>
      <c r="N485" s="26">
        <f>VLOOKUP(A485,[1]PGReconsile!$A$1:$E$642,5,0)</f>
        <v>45915.47152777778</v>
      </c>
    </row>
    <row r="486" spans="1:14" x14ac:dyDescent="0.3">
      <c r="A486">
        <v>8681010160</v>
      </c>
      <c r="B486">
        <v>3629</v>
      </c>
      <c r="C486" s="1">
        <v>1156.1990000000001</v>
      </c>
      <c r="D486" s="1">
        <v>71.98</v>
      </c>
      <c r="E486" s="1">
        <v>405.02100000000002</v>
      </c>
      <c r="F486">
        <v>2381.38</v>
      </c>
      <c r="G486" s="1">
        <f t="shared" si="54"/>
        <v>1976.3590000000002</v>
      </c>
      <c r="H486" s="5">
        <v>1247.6199999999999</v>
      </c>
      <c r="I486" s="4">
        <f>VLOOKUP(A486,[1]PGReverse_all!$A$1:$FK$281,167,0)</f>
        <v>197.06</v>
      </c>
      <c r="J486" s="4">
        <f t="shared" ref="J486:J487" si="56">F486+D486+I486</f>
        <v>2650.42</v>
      </c>
      <c r="K486" s="7">
        <v>-269.03999999999996</v>
      </c>
      <c r="L486" t="s">
        <v>11</v>
      </c>
      <c r="M486" t="s">
        <v>10</v>
      </c>
      <c r="N486" s="26">
        <f>VLOOKUP(A486,[1]PGReconsile!$A$1:$E$642,5,0)</f>
        <v>45918.802083333336</v>
      </c>
    </row>
    <row r="487" spans="1:14" x14ac:dyDescent="0.3">
      <c r="A487">
        <v>8699197877</v>
      </c>
      <c r="B487">
        <v>2526</v>
      </c>
      <c r="C487" s="1">
        <v>536.52200000000005</v>
      </c>
      <c r="D487" s="1">
        <v>71.98</v>
      </c>
      <c r="E487" s="1">
        <v>132.31900000000002</v>
      </c>
      <c r="F487">
        <v>1903.0630000000001</v>
      </c>
      <c r="G487" s="1">
        <f t="shared" si="54"/>
        <v>1770.7440000000001</v>
      </c>
      <c r="H487" s="5">
        <v>622.9369999999999</v>
      </c>
      <c r="I487" s="4">
        <f>VLOOKUP(A487,[1]PGReverse_all!$A$1:$FK$281,167,0)</f>
        <v>197.06</v>
      </c>
      <c r="J487" s="4">
        <f t="shared" si="56"/>
        <v>2172.1030000000001</v>
      </c>
      <c r="K487" s="7">
        <v>-269.03999999999996</v>
      </c>
      <c r="L487" t="s">
        <v>11</v>
      </c>
      <c r="M487" t="s">
        <v>10</v>
      </c>
      <c r="N487" s="26">
        <f>VLOOKUP(A487,[1]PGReconsile!$A$1:$E$642,5,0)</f>
        <v>45923.446527777778</v>
      </c>
    </row>
    <row r="488" spans="1:14" x14ac:dyDescent="0.3">
      <c r="A488">
        <v>8680104988</v>
      </c>
      <c r="B488">
        <v>1931</v>
      </c>
      <c r="C488" s="1">
        <v>638.00199999999995</v>
      </c>
      <c r="D488" s="1">
        <v>53.1</v>
      </c>
      <c r="E488" s="1">
        <v>215.511</v>
      </c>
      <c r="F488">
        <v>1229.5530000000001</v>
      </c>
      <c r="G488" s="1">
        <f t="shared" si="54"/>
        <v>1014.0420000000001</v>
      </c>
      <c r="H488" s="5">
        <v>701.44699999999989</v>
      </c>
      <c r="I488" s="4">
        <v>0</v>
      </c>
      <c r="J488" s="4" t="s">
        <v>25</v>
      </c>
      <c r="K488" s="8">
        <v>1229.5530000000001</v>
      </c>
      <c r="L488" t="s">
        <v>12</v>
      </c>
      <c r="M488" t="s">
        <v>10</v>
      </c>
      <c r="N488" s="26">
        <f>VLOOKUP(A488,[1]PGReconsile!$A$1:$E$642,5,0)</f>
        <v>45918.445138888892</v>
      </c>
    </row>
    <row r="489" spans="1:14" x14ac:dyDescent="0.3">
      <c r="A489">
        <v>8690920832</v>
      </c>
      <c r="B489">
        <v>3789</v>
      </c>
      <c r="C489" s="1">
        <v>938.91399999999999</v>
      </c>
      <c r="D489" s="1">
        <v>71.98</v>
      </c>
      <c r="E489" s="1">
        <v>594.03499999999997</v>
      </c>
      <c r="F489">
        <v>2758.84</v>
      </c>
      <c r="G489" s="1">
        <f t="shared" si="54"/>
        <v>2164.8050000000003</v>
      </c>
      <c r="H489" s="5">
        <v>1030.1599999999999</v>
      </c>
      <c r="I489" s="4">
        <f>VLOOKUP(A489,[1]PGReverse_all!$A$1:$FK$281,167,0)</f>
        <v>197.06</v>
      </c>
      <c r="J489" s="4">
        <f t="shared" ref="J489:J490" si="57">F489+D489+I489</f>
        <v>3027.88</v>
      </c>
      <c r="K489" s="7">
        <v>-269.03999999999996</v>
      </c>
      <c r="L489" t="s">
        <v>11</v>
      </c>
      <c r="M489" t="s">
        <v>10</v>
      </c>
      <c r="N489" s="26">
        <f>VLOOKUP(A489,[1]PGReconsile!$A$1:$E$642,5,0)</f>
        <v>45922.443055555559</v>
      </c>
    </row>
    <row r="490" spans="1:14" x14ac:dyDescent="0.3">
      <c r="A490">
        <v>8669740522</v>
      </c>
      <c r="B490">
        <v>2216</v>
      </c>
      <c r="C490" s="1">
        <v>575.274</v>
      </c>
      <c r="D490" s="1">
        <v>71.97999999999999</v>
      </c>
      <c r="E490" s="1">
        <v>247.32300000000001</v>
      </c>
      <c r="F490">
        <v>1556.874</v>
      </c>
      <c r="G490" s="1">
        <f t="shared" si="54"/>
        <v>1309.5509999999999</v>
      </c>
      <c r="H490" s="5">
        <v>659.12599999999998</v>
      </c>
      <c r="I490" s="4">
        <f>VLOOKUP(A490,[1]PGReverse_all!$A$1:$FK$281,167,0)</f>
        <v>197.06</v>
      </c>
      <c r="J490" s="4">
        <f t="shared" si="57"/>
        <v>1825.914</v>
      </c>
      <c r="K490" s="7">
        <v>-269.03999999999996</v>
      </c>
      <c r="L490" t="s">
        <v>11</v>
      </c>
      <c r="M490" t="s">
        <v>10</v>
      </c>
      <c r="N490" s="26">
        <f>VLOOKUP(A490,[1]PGReconsile!$A$1:$E$642,5,0)</f>
        <v>45915.47152777778</v>
      </c>
    </row>
    <row r="491" spans="1:14" x14ac:dyDescent="0.3">
      <c r="A491">
        <v>8671977338</v>
      </c>
      <c r="B491">
        <v>2994</v>
      </c>
      <c r="C491" s="1">
        <v>741.91300000000001</v>
      </c>
      <c r="D491" s="1">
        <v>71.98</v>
      </c>
      <c r="E491" s="1">
        <v>334.15600000000001</v>
      </c>
      <c r="F491">
        <v>2164.0680000000002</v>
      </c>
      <c r="G491" s="1">
        <f t="shared" si="54"/>
        <v>1829.9120000000003</v>
      </c>
      <c r="H491" s="5">
        <v>829.93199999999979</v>
      </c>
      <c r="I491" s="4">
        <v>0</v>
      </c>
      <c r="J491" s="4" t="s">
        <v>25</v>
      </c>
      <c r="K491" s="8">
        <v>2164.0680000000002</v>
      </c>
      <c r="L491" t="s">
        <v>12</v>
      </c>
      <c r="M491" t="s">
        <v>10</v>
      </c>
      <c r="N491" s="26">
        <f>VLOOKUP(A491,[1]PGReconsile!$A$1:$E$642,5,0)</f>
        <v>45915.55</v>
      </c>
    </row>
    <row r="492" spans="1:14" x14ac:dyDescent="0.3">
      <c r="A492">
        <v>8678600193</v>
      </c>
      <c r="B492">
        <v>2269</v>
      </c>
      <c r="C492" s="1">
        <v>589.03200000000004</v>
      </c>
      <c r="D492" s="1">
        <v>71.98</v>
      </c>
      <c r="E492" s="1">
        <v>253.239</v>
      </c>
      <c r="F492">
        <v>1595.8330000000001</v>
      </c>
      <c r="G492" s="1">
        <f t="shared" si="54"/>
        <v>1342.5940000000001</v>
      </c>
      <c r="H492" s="5">
        <v>673.16699999999992</v>
      </c>
      <c r="I492" s="4">
        <v>0</v>
      </c>
      <c r="J492" s="4" t="s">
        <v>25</v>
      </c>
      <c r="K492" s="8">
        <v>1595.8330000000001</v>
      </c>
      <c r="L492" t="s">
        <v>12</v>
      </c>
      <c r="M492" t="s">
        <v>10</v>
      </c>
      <c r="N492" s="26">
        <f>VLOOKUP(A492,[1]PGReconsile!$A$1:$E$642,5,0)</f>
        <v>45917.792361111111</v>
      </c>
    </row>
    <row r="493" spans="1:14" x14ac:dyDescent="0.3">
      <c r="A493">
        <v>8681243759</v>
      </c>
      <c r="B493">
        <v>2275</v>
      </c>
      <c r="C493" s="1">
        <v>563.745</v>
      </c>
      <c r="D493" s="1">
        <v>71.98</v>
      </c>
      <c r="E493" s="1">
        <v>253.90600000000001</v>
      </c>
      <c r="F493">
        <v>1627.088</v>
      </c>
      <c r="G493" s="1">
        <f t="shared" si="54"/>
        <v>1373.182</v>
      </c>
      <c r="H493" s="5">
        <v>647.91200000000003</v>
      </c>
      <c r="I493" s="4">
        <v>0</v>
      </c>
      <c r="J493" s="4" t="s">
        <v>25</v>
      </c>
      <c r="K493" s="8">
        <v>1627.088</v>
      </c>
      <c r="L493" t="s">
        <v>12</v>
      </c>
      <c r="M493" t="s">
        <v>10</v>
      </c>
      <c r="N493" s="26">
        <f>VLOOKUP(A493,[1]PGReconsile!$A$1:$E$642,5,0)</f>
        <v>45919.434027777781</v>
      </c>
    </row>
    <row r="494" spans="1:14" x14ac:dyDescent="0.3">
      <c r="A494">
        <v>8681438935</v>
      </c>
      <c r="B494">
        <v>3629</v>
      </c>
      <c r="C494" s="1">
        <v>1156.1990000000001</v>
      </c>
      <c r="D494" s="1">
        <v>71.98</v>
      </c>
      <c r="E494" s="1">
        <v>405.02100000000002</v>
      </c>
      <c r="F494">
        <v>2381.38</v>
      </c>
      <c r="G494" s="1">
        <f t="shared" si="54"/>
        <v>1976.3590000000002</v>
      </c>
      <c r="H494" s="5">
        <v>1247.6199999999999</v>
      </c>
      <c r="I494" s="4">
        <v>0</v>
      </c>
      <c r="J494" s="4" t="s">
        <v>25</v>
      </c>
      <c r="K494" s="8">
        <v>2381.38</v>
      </c>
      <c r="L494" t="s">
        <v>12</v>
      </c>
      <c r="M494" t="s">
        <v>10</v>
      </c>
      <c r="N494" s="26">
        <f>VLOOKUP(A494,[1]PGReconsile!$A$1:$E$642,5,0)</f>
        <v>45919.434027777781</v>
      </c>
    </row>
    <row r="495" spans="1:14" x14ac:dyDescent="0.3">
      <c r="A495">
        <v>8691422928</v>
      </c>
      <c r="B495">
        <v>3564</v>
      </c>
      <c r="C495" s="1">
        <v>883.15899999999999</v>
      </c>
      <c r="D495" s="1">
        <v>71.98</v>
      </c>
      <c r="E495" s="1">
        <v>558.76199999999994</v>
      </c>
      <c r="F495">
        <v>2590.739</v>
      </c>
      <c r="G495" s="1">
        <f t="shared" si="54"/>
        <v>2031.9770000000001</v>
      </c>
      <c r="H495" s="5">
        <v>973.26099999999997</v>
      </c>
      <c r="I495" s="4">
        <v>0</v>
      </c>
      <c r="J495" s="4" t="s">
        <v>25</v>
      </c>
      <c r="K495" s="8">
        <v>2590.739</v>
      </c>
      <c r="L495" t="s">
        <v>12</v>
      </c>
      <c r="M495" t="s">
        <v>10</v>
      </c>
      <c r="N495" s="26">
        <f>VLOOKUP(A495,[1]PGReconsile!$A$1:$E$642,5,0)</f>
        <v>45922.443055555559</v>
      </c>
    </row>
    <row r="496" spans="1:14" x14ac:dyDescent="0.3">
      <c r="A496">
        <v>8694664241</v>
      </c>
      <c r="B496">
        <v>2293</v>
      </c>
      <c r="C496" s="1">
        <v>730.55</v>
      </c>
      <c r="D496" s="1">
        <v>71.97999999999999</v>
      </c>
      <c r="E496" s="1">
        <v>120.119</v>
      </c>
      <c r="F496">
        <v>1477.367</v>
      </c>
      <c r="G496" s="1">
        <f t="shared" si="54"/>
        <v>1357.248</v>
      </c>
      <c r="H496" s="5">
        <v>815.63300000000004</v>
      </c>
      <c r="I496" s="4">
        <f>VLOOKUP(A496,[1]PGReverse_all!$A$1:$FK$281,167,0)</f>
        <v>107.38000000000001</v>
      </c>
      <c r="J496" s="4">
        <f>F496+D496+I496</f>
        <v>1656.7270000000001</v>
      </c>
      <c r="K496" s="7">
        <v>-179.36000000000013</v>
      </c>
      <c r="L496" t="s">
        <v>11</v>
      </c>
      <c r="M496" t="s">
        <v>10</v>
      </c>
      <c r="N496" s="26">
        <f>VLOOKUP(A496,[1]PGReconsile!$A$1:$E$642,5,0)</f>
        <v>45922.443055555559</v>
      </c>
    </row>
    <row r="497" spans="1:14" x14ac:dyDescent="0.3">
      <c r="A497">
        <v>8378115534</v>
      </c>
      <c r="B497">
        <v>3187</v>
      </c>
      <c r="C497" s="1">
        <v>639.31200000000001</v>
      </c>
      <c r="D497" s="1">
        <v>240.41319999999999</v>
      </c>
      <c r="E497" s="1">
        <v>355.69299999999998</v>
      </c>
      <c r="F497">
        <v>2290.2008000000001</v>
      </c>
      <c r="G497" s="1">
        <f t="shared" si="54"/>
        <v>1934.5078000000001</v>
      </c>
      <c r="H497" s="5">
        <v>896.79919999999993</v>
      </c>
      <c r="I497" s="4">
        <v>0</v>
      </c>
      <c r="J497" s="4" t="s">
        <v>25</v>
      </c>
      <c r="K497" s="8">
        <v>2290.2008000000001</v>
      </c>
      <c r="L497" t="s">
        <v>12</v>
      </c>
      <c r="M497" t="s">
        <v>10</v>
      </c>
      <c r="N497" s="26">
        <f>VLOOKUP(A497,[1]PGReconsile!$A$1:$E$642,5,0)</f>
        <v>45737.765972222223</v>
      </c>
    </row>
    <row r="498" spans="1:14" x14ac:dyDescent="0.3">
      <c r="A498">
        <v>8682097274</v>
      </c>
      <c r="B498">
        <v>2769</v>
      </c>
      <c r="C498" s="1">
        <v>718.83199999999999</v>
      </c>
      <c r="D498" s="1">
        <v>71.98</v>
      </c>
      <c r="E498" s="1">
        <v>309.04200000000003</v>
      </c>
      <c r="F498">
        <v>1963.354</v>
      </c>
      <c r="G498" s="1">
        <f t="shared" si="54"/>
        <v>1654.3119999999999</v>
      </c>
      <c r="H498" s="5">
        <v>805.64599999999996</v>
      </c>
      <c r="I498" s="4">
        <v>0</v>
      </c>
      <c r="J498" s="4" t="s">
        <v>25</v>
      </c>
      <c r="K498" s="8">
        <v>1963.354</v>
      </c>
      <c r="L498" t="s">
        <v>12</v>
      </c>
      <c r="M498" t="s">
        <v>10</v>
      </c>
      <c r="N498" s="26">
        <f>VLOOKUP(A498,[1]PGReconsile!$A$1:$E$642,5,0)</f>
        <v>45919.525000000001</v>
      </c>
    </row>
    <row r="499" spans="1:14" x14ac:dyDescent="0.3">
      <c r="A499">
        <v>8664604018</v>
      </c>
      <c r="B499">
        <v>3394</v>
      </c>
      <c r="C499" s="1">
        <v>841.03300000000002</v>
      </c>
      <c r="D499" s="1">
        <v>71.98</v>
      </c>
      <c r="E499" s="1">
        <v>378.79199999999997</v>
      </c>
      <c r="F499">
        <v>2462.8049999999998</v>
      </c>
      <c r="G499" s="1">
        <f t="shared" si="54"/>
        <v>2084.0129999999999</v>
      </c>
      <c r="H499" s="5">
        <v>931.19500000000016</v>
      </c>
      <c r="I499" s="4">
        <f>VLOOKUP(A499,[1]PGReverse_all!$A$1:$FK$281,167,0)</f>
        <v>197.06</v>
      </c>
      <c r="J499" s="4">
        <f>F499+D499+I499</f>
        <v>2731.8449999999998</v>
      </c>
      <c r="K499" s="7">
        <v>-269.03999999999996</v>
      </c>
      <c r="L499" t="s">
        <v>11</v>
      </c>
      <c r="M499" t="s">
        <v>10</v>
      </c>
      <c r="N499" s="26">
        <f>VLOOKUP(A499,[1]PGReconsile!$A$1:$E$642,5,0)</f>
        <v>45913.450694444444</v>
      </c>
    </row>
    <row r="500" spans="1:14" x14ac:dyDescent="0.3">
      <c r="A500">
        <v>8685565962</v>
      </c>
      <c r="B500">
        <v>2556</v>
      </c>
      <c r="C500" s="1">
        <v>633.37699999999995</v>
      </c>
      <c r="D500" s="1">
        <v>71.98</v>
      </c>
      <c r="E500" s="1">
        <v>285.27100000000002</v>
      </c>
      <c r="F500">
        <v>1836.95</v>
      </c>
      <c r="G500" s="1">
        <f t="shared" si="54"/>
        <v>1551.6790000000001</v>
      </c>
      <c r="H500" s="5">
        <v>719.05</v>
      </c>
      <c r="I500" s="4">
        <v>0</v>
      </c>
      <c r="J500" s="4" t="s">
        <v>25</v>
      </c>
      <c r="K500" s="8">
        <v>1836.95</v>
      </c>
      <c r="L500" t="s">
        <v>12</v>
      </c>
      <c r="M500" t="s">
        <v>10</v>
      </c>
      <c r="N500" s="26">
        <f>VLOOKUP(A500,[1]PGReconsile!$A$1:$E$642,5,0)</f>
        <v>45920.473611111112</v>
      </c>
    </row>
    <row r="501" spans="1:14" x14ac:dyDescent="0.3">
      <c r="A501">
        <v>8669905946</v>
      </c>
      <c r="B501">
        <v>3544</v>
      </c>
      <c r="C501" s="1">
        <v>920.02200000000005</v>
      </c>
      <c r="D501" s="1">
        <v>71.98</v>
      </c>
      <c r="E501" s="1">
        <v>395.53100000000001</v>
      </c>
      <c r="F501">
        <v>2533.0129999999999</v>
      </c>
      <c r="G501" s="1">
        <f t="shared" si="54"/>
        <v>2137.482</v>
      </c>
      <c r="H501" s="5">
        <v>1010.9870000000001</v>
      </c>
      <c r="I501" s="4">
        <v>0</v>
      </c>
      <c r="J501" s="4" t="s">
        <v>25</v>
      </c>
      <c r="K501" s="8">
        <v>2533.0129999999999</v>
      </c>
      <c r="L501" t="s">
        <v>12</v>
      </c>
      <c r="M501" t="s">
        <v>10</v>
      </c>
      <c r="N501" s="26">
        <f>VLOOKUP(A501,[1]PGReconsile!$A$1:$E$642,5,0)</f>
        <v>45915.47152777778</v>
      </c>
    </row>
    <row r="502" spans="1:14" x14ac:dyDescent="0.3">
      <c r="A502">
        <v>8692542512</v>
      </c>
      <c r="B502">
        <v>1819</v>
      </c>
      <c r="C502" s="1">
        <v>493.67599999999999</v>
      </c>
      <c r="D502" s="1">
        <v>53.1</v>
      </c>
      <c r="E502" s="1">
        <v>95.282000000000011</v>
      </c>
      <c r="F502">
        <v>1261.829</v>
      </c>
      <c r="G502" s="1">
        <f t="shared" si="54"/>
        <v>1166.547</v>
      </c>
      <c r="H502" s="5">
        <v>557.17100000000005</v>
      </c>
      <c r="I502" s="4">
        <v>0</v>
      </c>
      <c r="J502" s="4" t="s">
        <v>25</v>
      </c>
      <c r="K502" s="8">
        <v>1261.829</v>
      </c>
      <c r="L502" t="s">
        <v>12</v>
      </c>
      <c r="M502" t="s">
        <v>10</v>
      </c>
      <c r="N502" s="26">
        <f>VLOOKUP(A502,[1]PGReconsile!$A$1:$E$642,5,0)</f>
        <v>45922.443055555559</v>
      </c>
    </row>
    <row r="503" spans="1:14" x14ac:dyDescent="0.3">
      <c r="A503">
        <v>8694412952</v>
      </c>
      <c r="B503">
        <v>3788.98</v>
      </c>
      <c r="C503" s="1">
        <v>938.90899999999999</v>
      </c>
      <c r="D503" s="1">
        <v>71.98</v>
      </c>
      <c r="E503" s="1">
        <v>594.03499999999997</v>
      </c>
      <c r="F503">
        <v>2758.8249999999998</v>
      </c>
      <c r="G503" s="1">
        <f t="shared" si="54"/>
        <v>2164.79</v>
      </c>
      <c r="H503" s="5">
        <v>1030.1550000000002</v>
      </c>
      <c r="I503" s="4">
        <f>VLOOKUP(A503,[1]PGReverse_all!$A$1:$FK$281,167,0)</f>
        <v>107.38</v>
      </c>
      <c r="J503" s="4">
        <f t="shared" ref="J503:J504" si="58">F503+D503+I503</f>
        <v>2938.1849999999999</v>
      </c>
      <c r="K503" s="7">
        <v>-179.36000000000013</v>
      </c>
      <c r="L503" t="s">
        <v>11</v>
      </c>
      <c r="M503" t="s">
        <v>10</v>
      </c>
      <c r="N503" s="26">
        <f>VLOOKUP(A503,[1]PGReconsile!$A$1:$E$642,5,0)</f>
        <v>45922.443055555559</v>
      </c>
    </row>
    <row r="504" spans="1:14" x14ac:dyDescent="0.3">
      <c r="A504">
        <v>8696609594</v>
      </c>
      <c r="B504">
        <v>3044</v>
      </c>
      <c r="C504" s="1">
        <v>646.54600000000005</v>
      </c>
      <c r="D504" s="1">
        <v>71.97999999999999</v>
      </c>
      <c r="E504" s="1">
        <v>477.238</v>
      </c>
      <c r="F504">
        <v>2309.9969999999998</v>
      </c>
      <c r="G504" s="1">
        <f t="shared" si="54"/>
        <v>1832.7589999999998</v>
      </c>
      <c r="H504" s="5">
        <v>734.00300000000016</v>
      </c>
      <c r="I504" s="4">
        <f>VLOOKUP(A504,[1]PGReverse_all!$A$1:$FK$281,167,0)</f>
        <v>197.06</v>
      </c>
      <c r="J504" s="4">
        <f t="shared" si="58"/>
        <v>2579.0369999999998</v>
      </c>
      <c r="K504" s="7">
        <v>-269.03999999999996</v>
      </c>
      <c r="L504" t="s">
        <v>11</v>
      </c>
      <c r="M504" t="s">
        <v>10</v>
      </c>
      <c r="N504" s="26">
        <f>VLOOKUP(A504,[1]PGReconsile!$A$1:$E$642,5,0)</f>
        <v>45922.532638888886</v>
      </c>
    </row>
    <row r="505" spans="1:14" x14ac:dyDescent="0.3">
      <c r="A505">
        <v>8691260646</v>
      </c>
      <c r="B505">
        <v>3143</v>
      </c>
      <c r="C505" s="1">
        <v>667.57299999999998</v>
      </c>
      <c r="D505" s="1">
        <v>71.98</v>
      </c>
      <c r="E505" s="1">
        <v>492.75799999999998</v>
      </c>
      <c r="F505">
        <v>2387.4650000000001</v>
      </c>
      <c r="G505" s="1">
        <f t="shared" si="54"/>
        <v>1894.7070000000001</v>
      </c>
      <c r="H505" s="5">
        <v>755.53499999999985</v>
      </c>
      <c r="I505" s="4">
        <v>0</v>
      </c>
      <c r="J505" s="4" t="s">
        <v>25</v>
      </c>
      <c r="K505" s="8">
        <v>2387.4650000000001</v>
      </c>
      <c r="L505" t="s">
        <v>12</v>
      </c>
      <c r="M505" t="s">
        <v>10</v>
      </c>
      <c r="N505" s="26">
        <f>VLOOKUP(A505,[1]PGReconsile!$A$1:$E$642,5,0)</f>
        <v>45922.443055555559</v>
      </c>
    </row>
    <row r="506" spans="1:14" x14ac:dyDescent="0.3">
      <c r="A506">
        <v>8700420125</v>
      </c>
      <c r="B506">
        <v>3119</v>
      </c>
      <c r="C506" s="1">
        <v>662.476</v>
      </c>
      <c r="D506" s="1">
        <v>71.98</v>
      </c>
      <c r="E506" s="1">
        <v>488.99599999999998</v>
      </c>
      <c r="F506">
        <v>2368.6849999999999</v>
      </c>
      <c r="G506" s="1">
        <f t="shared" si="54"/>
        <v>1879.6889999999999</v>
      </c>
      <c r="H506" s="5">
        <v>750.31500000000005</v>
      </c>
      <c r="I506" s="4">
        <f>VLOOKUP(A506,[1]PGReverse_all!$A$1:$FK$281,167,0)</f>
        <v>132.16</v>
      </c>
      <c r="J506" s="4">
        <f t="shared" ref="J506:J507" si="59">F506+D506+I506</f>
        <v>2572.8249999999998</v>
      </c>
      <c r="K506" s="7">
        <v>-204.13999999999987</v>
      </c>
      <c r="L506" t="s">
        <v>11</v>
      </c>
      <c r="M506" t="s">
        <v>10</v>
      </c>
      <c r="N506" s="26">
        <f>VLOOKUP(A506,[1]PGReconsile!$A$1:$E$642,5,0)</f>
        <v>45923.446527777778</v>
      </c>
    </row>
    <row r="507" spans="1:14" x14ac:dyDescent="0.3">
      <c r="A507">
        <v>8663883621</v>
      </c>
      <c r="B507">
        <v>881</v>
      </c>
      <c r="C507" s="1">
        <v>291.08199999999999</v>
      </c>
      <c r="D507" s="1">
        <v>31.86</v>
      </c>
      <c r="E507" s="1">
        <v>46.155000000000001</v>
      </c>
      <c r="F507">
        <v>553.024</v>
      </c>
      <c r="G507" s="1">
        <f t="shared" si="54"/>
        <v>506.86900000000003</v>
      </c>
      <c r="H507" s="5">
        <v>327.976</v>
      </c>
      <c r="I507" s="4">
        <f>VLOOKUP(A507,[1]PGReverse_all!$A$1:$FK$281,167,0)</f>
        <v>197.06</v>
      </c>
      <c r="J507" s="4">
        <f t="shared" si="59"/>
        <v>781.94399999999996</v>
      </c>
      <c r="K507" s="7">
        <v>-228.91999999999996</v>
      </c>
      <c r="L507" t="s">
        <v>11</v>
      </c>
      <c r="M507" t="s">
        <v>10</v>
      </c>
      <c r="N507" s="26">
        <f>VLOOKUP(A507,[1]PGReconsile!$A$1:$E$642,5,0)</f>
        <v>45912.803472222222</v>
      </c>
    </row>
    <row r="508" spans="1:14" x14ac:dyDescent="0.3">
      <c r="A508">
        <v>8659518257</v>
      </c>
      <c r="B508">
        <v>2556</v>
      </c>
      <c r="C508" s="1">
        <v>633.37699999999995</v>
      </c>
      <c r="D508" s="1">
        <v>71.98</v>
      </c>
      <c r="E508" s="1">
        <v>285.27100000000002</v>
      </c>
      <c r="F508">
        <v>1836.95</v>
      </c>
      <c r="G508" s="1">
        <f t="shared" si="54"/>
        <v>1551.6790000000001</v>
      </c>
      <c r="H508" s="5">
        <v>719.05</v>
      </c>
      <c r="I508" s="4">
        <v>0</v>
      </c>
      <c r="J508" s="4" t="s">
        <v>25</v>
      </c>
      <c r="K508" s="8">
        <v>1836.95</v>
      </c>
      <c r="L508" t="s">
        <v>12</v>
      </c>
      <c r="M508" t="s">
        <v>10</v>
      </c>
      <c r="N508" s="26">
        <f>VLOOKUP(A508,[1]PGReconsile!$A$1:$E$642,5,0)</f>
        <v>45911.459027777775</v>
      </c>
    </row>
    <row r="509" spans="1:14" x14ac:dyDescent="0.3">
      <c r="A509">
        <v>8682069874</v>
      </c>
      <c r="B509">
        <v>3109</v>
      </c>
      <c r="C509" s="1">
        <v>660.35199999999998</v>
      </c>
      <c r="D509" s="1">
        <v>71.98</v>
      </c>
      <c r="E509" s="1">
        <v>346.98900000000003</v>
      </c>
      <c r="F509">
        <v>2360.0129999999999</v>
      </c>
      <c r="G509" s="1">
        <f t="shared" si="54"/>
        <v>2013.0239999999999</v>
      </c>
      <c r="H509" s="5">
        <v>748.98700000000008</v>
      </c>
      <c r="I509" s="4">
        <f>VLOOKUP(A509,[1]PGReverse_all!$A$1:$FK$281,167,0)</f>
        <v>132.16</v>
      </c>
      <c r="J509" s="4">
        <f t="shared" ref="J509:J510" si="60">F509+D509+I509</f>
        <v>2564.1529999999998</v>
      </c>
      <c r="K509" s="7">
        <v>-204.13999999999987</v>
      </c>
      <c r="L509" t="s">
        <v>11</v>
      </c>
      <c r="M509" t="s">
        <v>10</v>
      </c>
      <c r="N509" s="26">
        <f>VLOOKUP(A509,[1]PGReconsile!$A$1:$E$642,5,0)</f>
        <v>45919.525000000001</v>
      </c>
    </row>
    <row r="510" spans="1:14" x14ac:dyDescent="0.3">
      <c r="A510">
        <v>8682749335</v>
      </c>
      <c r="B510">
        <v>3294</v>
      </c>
      <c r="C510" s="1">
        <v>699.64599999999996</v>
      </c>
      <c r="D510" s="1">
        <v>71.98</v>
      </c>
      <c r="E510" s="1">
        <v>367.63499999999999</v>
      </c>
      <c r="F510">
        <v>2504.7280000000001</v>
      </c>
      <c r="G510" s="1">
        <f t="shared" si="54"/>
        <v>2137.0929999999998</v>
      </c>
      <c r="H510" s="5">
        <v>789.27199999999993</v>
      </c>
      <c r="I510" s="4">
        <f>VLOOKUP(A510,[1]PGReverse_all!$A$1:$FK$281,167,0)</f>
        <v>197.06</v>
      </c>
      <c r="J510" s="4">
        <f t="shared" si="60"/>
        <v>2773.768</v>
      </c>
      <c r="K510" s="7">
        <v>-269.03999999999996</v>
      </c>
      <c r="L510" t="s">
        <v>11</v>
      </c>
      <c r="M510" t="s">
        <v>10</v>
      </c>
      <c r="N510" s="26">
        <f>VLOOKUP(A510,[1]PGReconsile!$A$1:$E$642,5,0)</f>
        <v>45920.473611111112</v>
      </c>
    </row>
    <row r="511" spans="1:14" x14ac:dyDescent="0.3">
      <c r="A511">
        <v>8668594339</v>
      </c>
      <c r="B511">
        <v>3356</v>
      </c>
      <c r="C511" s="1">
        <v>871.21799999999996</v>
      </c>
      <c r="D511" s="1">
        <v>71.98</v>
      </c>
      <c r="E511" s="1">
        <v>374.55200000000002</v>
      </c>
      <c r="F511">
        <v>2394.8240000000001</v>
      </c>
      <c r="G511" s="1">
        <f t="shared" si="54"/>
        <v>2020.2719999999999</v>
      </c>
      <c r="H511" s="5">
        <v>961.17599999999993</v>
      </c>
      <c r="I511" s="4">
        <v>0</v>
      </c>
      <c r="J511" s="4" t="s">
        <v>25</v>
      </c>
      <c r="K511" s="8">
        <v>2394.8240000000001</v>
      </c>
      <c r="L511" t="s">
        <v>12</v>
      </c>
      <c r="M511" t="s">
        <v>10</v>
      </c>
      <c r="N511" s="26">
        <f>VLOOKUP(A511,[1]PGReconsile!$A$1:$E$642,5,0)</f>
        <v>45915.47152777778</v>
      </c>
    </row>
    <row r="512" spans="1:14" x14ac:dyDescent="0.3">
      <c r="A512">
        <v>8677363499</v>
      </c>
      <c r="B512">
        <v>3994</v>
      </c>
      <c r="C512" s="1">
        <v>1272.4880000000001</v>
      </c>
      <c r="D512" s="1">
        <v>71.98</v>
      </c>
      <c r="E512" s="1">
        <v>445.76</v>
      </c>
      <c r="F512">
        <v>2628.136</v>
      </c>
      <c r="G512" s="1">
        <f t="shared" si="54"/>
        <v>2182.3760000000002</v>
      </c>
      <c r="H512" s="5">
        <v>1365.864</v>
      </c>
      <c r="I512" s="4">
        <v>0</v>
      </c>
      <c r="J512" s="4" t="s">
        <v>25</v>
      </c>
      <c r="K512" s="8">
        <v>2628.136</v>
      </c>
      <c r="L512" t="s">
        <v>12</v>
      </c>
      <c r="M512" t="s">
        <v>10</v>
      </c>
      <c r="N512" s="26">
        <f>VLOOKUP(A512,[1]PGReconsile!$A$1:$E$642,5,0)</f>
        <v>45917.434027777781</v>
      </c>
    </row>
    <row r="513" spans="1:14" x14ac:dyDescent="0.3">
      <c r="A513">
        <v>8679284151</v>
      </c>
      <c r="B513">
        <v>2993.98</v>
      </c>
      <c r="C513" s="1">
        <v>635.92100000000005</v>
      </c>
      <c r="D513" s="1">
        <v>71.98</v>
      </c>
      <c r="E513" s="1">
        <v>334.14599999999996</v>
      </c>
      <c r="F513">
        <v>2270.04</v>
      </c>
      <c r="G513" s="1">
        <f t="shared" si="54"/>
        <v>1935.894</v>
      </c>
      <c r="H513" s="5">
        <v>723.94</v>
      </c>
      <c r="I513" s="4">
        <f>VLOOKUP(A513,[1]PGReverse_all!$A$1:$FK$281,167,0)</f>
        <v>132.16</v>
      </c>
      <c r="J513" s="4">
        <f t="shared" ref="J513:J515" si="61">F513+D513+I513</f>
        <v>2474.1799999999998</v>
      </c>
      <c r="K513" s="7">
        <v>-204.13999999999987</v>
      </c>
      <c r="L513" t="s">
        <v>11</v>
      </c>
      <c r="M513" t="s">
        <v>10</v>
      </c>
      <c r="N513" s="26">
        <f>VLOOKUP(A513,[1]PGReconsile!$A$1:$E$642,5,0)</f>
        <v>45918.445138888892</v>
      </c>
    </row>
    <row r="514" spans="1:14" x14ac:dyDescent="0.3">
      <c r="A514">
        <v>8670004890</v>
      </c>
      <c r="B514">
        <v>969</v>
      </c>
      <c r="C514" s="1">
        <v>320.15800000000002</v>
      </c>
      <c r="D514" s="1">
        <v>31.86</v>
      </c>
      <c r="E514" s="1">
        <v>50.753999999999998</v>
      </c>
      <c r="F514">
        <v>611.44500000000005</v>
      </c>
      <c r="G514" s="1">
        <f t="shared" si="54"/>
        <v>560.69100000000003</v>
      </c>
      <c r="H514" s="5">
        <v>357.55499999999995</v>
      </c>
      <c r="I514" s="4">
        <f>VLOOKUP(A514,[1]PGReverse_all!$A$1:$FK$281,167,0)</f>
        <v>132.16</v>
      </c>
      <c r="J514" s="4">
        <f t="shared" si="61"/>
        <v>775.46500000000003</v>
      </c>
      <c r="K514" s="7">
        <v>-164.01999999999998</v>
      </c>
      <c r="L514" t="s">
        <v>11</v>
      </c>
      <c r="M514" t="s">
        <v>10</v>
      </c>
      <c r="N514" s="26">
        <f>VLOOKUP(A514,[1]PGReconsile!$A$1:$E$642,5,0)</f>
        <v>45915.47152777778</v>
      </c>
    </row>
    <row r="515" spans="1:14" x14ac:dyDescent="0.3">
      <c r="A515">
        <v>8673166572</v>
      </c>
      <c r="B515">
        <v>1204</v>
      </c>
      <c r="C515" s="1">
        <v>326.76600000000002</v>
      </c>
      <c r="D515" s="1">
        <v>53.1</v>
      </c>
      <c r="E515" s="1">
        <v>134.375</v>
      </c>
      <c r="F515">
        <v>817.68399999999997</v>
      </c>
      <c r="G515" s="1">
        <f t="shared" ref="G515:G578" si="62">F515-E515</f>
        <v>683.30899999999997</v>
      </c>
      <c r="H515" s="5">
        <v>386.31600000000003</v>
      </c>
      <c r="I515" s="4">
        <f>VLOOKUP(A515,[1]PGReverse_all!$A$1:$FK$281,167,0)</f>
        <v>197.06</v>
      </c>
      <c r="J515" s="4">
        <f t="shared" si="61"/>
        <v>1067.8440000000001</v>
      </c>
      <c r="K515" s="7">
        <v>-250.16000000000008</v>
      </c>
      <c r="L515" t="s">
        <v>11</v>
      </c>
      <c r="M515" t="s">
        <v>10</v>
      </c>
      <c r="N515" s="26">
        <f>VLOOKUP(A515,[1]PGReconsile!$A$1:$E$642,5,0)</f>
        <v>45916.459722222222</v>
      </c>
    </row>
    <row r="516" spans="1:14" x14ac:dyDescent="0.3">
      <c r="A516">
        <v>8679406849</v>
      </c>
      <c r="B516">
        <v>2594</v>
      </c>
      <c r="C516" s="1">
        <v>550.96600000000001</v>
      </c>
      <c r="D516" s="1">
        <v>71.98</v>
      </c>
      <c r="E516" s="1">
        <v>289.51</v>
      </c>
      <c r="F516">
        <v>1957.1579999999999</v>
      </c>
      <c r="G516" s="1">
        <f t="shared" si="62"/>
        <v>1667.6479999999999</v>
      </c>
      <c r="H516" s="5">
        <v>636.8420000000001</v>
      </c>
      <c r="I516" s="4">
        <v>0</v>
      </c>
      <c r="J516" s="4" t="s">
        <v>25</v>
      </c>
      <c r="K516" s="8">
        <v>1957.1579999999999</v>
      </c>
      <c r="L516" t="s">
        <v>12</v>
      </c>
      <c r="M516" t="s">
        <v>10</v>
      </c>
      <c r="N516" s="26">
        <f>VLOOKUP(A516,[1]PGReconsile!$A$1:$E$642,5,0)</f>
        <v>45918.445138888892</v>
      </c>
    </row>
    <row r="517" spans="1:14" x14ac:dyDescent="0.3">
      <c r="A517">
        <v>8668327470</v>
      </c>
      <c r="B517">
        <v>4045</v>
      </c>
      <c r="C517" s="1">
        <v>1288.7370000000001</v>
      </c>
      <c r="D517" s="1">
        <v>71.98</v>
      </c>
      <c r="E517" s="1">
        <v>451.44799999999998</v>
      </c>
      <c r="F517">
        <v>2662.6129999999998</v>
      </c>
      <c r="G517" s="1">
        <f t="shared" si="62"/>
        <v>2211.165</v>
      </c>
      <c r="H517" s="5">
        <v>1382.3870000000002</v>
      </c>
      <c r="I517" s="4">
        <f>VLOOKUP(A517,[1]PGReverse_all!$A$1:$FK$281,167,0)</f>
        <v>197.06</v>
      </c>
      <c r="J517" s="4">
        <f t="shared" ref="J517:J518" si="63">F517+D517+I517</f>
        <v>2931.6529999999998</v>
      </c>
      <c r="K517" s="7">
        <v>-269.03999999999996</v>
      </c>
      <c r="L517" t="s">
        <v>11</v>
      </c>
      <c r="M517" t="s">
        <v>10</v>
      </c>
      <c r="N517" s="26">
        <f>VLOOKUP(A517,[1]PGReconsile!$A$1:$E$642,5,0)</f>
        <v>45915.47152777778</v>
      </c>
    </row>
    <row r="518" spans="1:14" x14ac:dyDescent="0.3">
      <c r="A518">
        <v>8686759194</v>
      </c>
      <c r="B518">
        <v>3544</v>
      </c>
      <c r="C518" s="1">
        <v>920.02200000000005</v>
      </c>
      <c r="D518" s="1">
        <v>71.98</v>
      </c>
      <c r="E518" s="1">
        <v>395.53100000000001</v>
      </c>
      <c r="F518">
        <v>2533.0129999999999</v>
      </c>
      <c r="G518" s="1">
        <f t="shared" si="62"/>
        <v>2137.482</v>
      </c>
      <c r="H518" s="5">
        <v>1010.9870000000001</v>
      </c>
      <c r="I518" s="4">
        <f>VLOOKUP(A518,[1]PGReverse_all!$A$1:$FK$281,167,0)</f>
        <v>197.06</v>
      </c>
      <c r="J518" s="4">
        <f t="shared" si="63"/>
        <v>2802.0529999999999</v>
      </c>
      <c r="K518" s="7">
        <v>-269.03999999999996</v>
      </c>
      <c r="L518" t="s">
        <v>11</v>
      </c>
      <c r="M518" t="s">
        <v>10</v>
      </c>
      <c r="N518" s="26">
        <f>VLOOKUP(A518,[1]PGReconsile!$A$1:$E$642,5,0)</f>
        <v>45920.538888888892</v>
      </c>
    </row>
    <row r="519" spans="1:14" x14ac:dyDescent="0.3">
      <c r="A519">
        <v>8666983824</v>
      </c>
      <c r="B519">
        <v>2419</v>
      </c>
      <c r="C519" s="1">
        <v>513.79600000000005</v>
      </c>
      <c r="D519" s="1">
        <v>71.98</v>
      </c>
      <c r="E519" s="1">
        <v>269.97899999999998</v>
      </c>
      <c r="F519">
        <v>1820.2650000000001</v>
      </c>
      <c r="G519" s="1">
        <f t="shared" si="62"/>
        <v>1550.2860000000001</v>
      </c>
      <c r="H519" s="5">
        <v>598.7349999999999</v>
      </c>
      <c r="I519" s="4">
        <v>0</v>
      </c>
      <c r="J519" s="4" t="s">
        <v>25</v>
      </c>
      <c r="K519" s="8">
        <v>1820.2650000000001</v>
      </c>
      <c r="L519" t="s">
        <v>12</v>
      </c>
      <c r="M519" t="s">
        <v>10</v>
      </c>
      <c r="N519" s="26">
        <f>VLOOKUP(A519,[1]PGReconsile!$A$1:$E$642,5,0)</f>
        <v>45913.771527777775</v>
      </c>
    </row>
    <row r="520" spans="1:14" x14ac:dyDescent="0.3">
      <c r="A520">
        <v>8681357466</v>
      </c>
      <c r="B520">
        <v>2944</v>
      </c>
      <c r="C520" s="1">
        <v>729.52300000000002</v>
      </c>
      <c r="D520" s="1">
        <v>71.98</v>
      </c>
      <c r="E520" s="1">
        <v>328.57299999999998</v>
      </c>
      <c r="F520">
        <v>2126.7249999999999</v>
      </c>
      <c r="G520" s="1">
        <f t="shared" si="62"/>
        <v>1798.152</v>
      </c>
      <c r="H520" s="5">
        <v>817.27500000000009</v>
      </c>
      <c r="I520" s="4">
        <v>0</v>
      </c>
      <c r="J520" s="4" t="s">
        <v>25</v>
      </c>
      <c r="K520" s="8">
        <v>2126.7249999999999</v>
      </c>
      <c r="L520" t="s">
        <v>12</v>
      </c>
      <c r="M520" t="s">
        <v>10</v>
      </c>
      <c r="N520" s="26">
        <f>VLOOKUP(A520,[1]PGReconsile!$A$1:$E$642,5,0)</f>
        <v>45919.434027777781</v>
      </c>
    </row>
    <row r="521" spans="1:14" x14ac:dyDescent="0.3">
      <c r="A521">
        <v>8709211879</v>
      </c>
      <c r="B521">
        <v>3329</v>
      </c>
      <c r="C521" s="1">
        <v>707.08</v>
      </c>
      <c r="D521" s="1">
        <v>71.98</v>
      </c>
      <c r="E521" s="1">
        <v>521.91600000000005</v>
      </c>
      <c r="F521">
        <v>2533.0129999999999</v>
      </c>
      <c r="G521" s="1">
        <f t="shared" si="62"/>
        <v>2011.0969999999998</v>
      </c>
      <c r="H521" s="5">
        <v>795.98700000000008</v>
      </c>
      <c r="I521" s="4">
        <v>0</v>
      </c>
      <c r="J521" s="4" t="s">
        <v>25</v>
      </c>
      <c r="K521" s="8">
        <v>2533.0129999999999</v>
      </c>
      <c r="L521" t="s">
        <v>12</v>
      </c>
      <c r="M521" t="s">
        <v>10</v>
      </c>
      <c r="N521" s="26">
        <f>VLOOKUP(A521,[1]PGReconsile!$A$1:$E$642,5,0)</f>
        <v>45926.445138888892</v>
      </c>
    </row>
    <row r="522" spans="1:14" x14ac:dyDescent="0.3">
      <c r="A522">
        <v>8659466063</v>
      </c>
      <c r="B522">
        <v>1454</v>
      </c>
      <c r="C522" s="1">
        <v>325.98700000000002</v>
      </c>
      <c r="D522" s="1">
        <v>53.1</v>
      </c>
      <c r="E522" s="1">
        <v>162.28100000000001</v>
      </c>
      <c r="F522">
        <v>1067.124</v>
      </c>
      <c r="G522" s="1">
        <f t="shared" si="62"/>
        <v>904.84300000000007</v>
      </c>
      <c r="H522" s="5">
        <v>386.87599999999998</v>
      </c>
      <c r="I522" s="4">
        <v>0</v>
      </c>
      <c r="J522" s="4" t="s">
        <v>25</v>
      </c>
      <c r="K522" s="8">
        <v>1067.124</v>
      </c>
      <c r="L522" t="s">
        <v>12</v>
      </c>
      <c r="M522" t="s">
        <v>10</v>
      </c>
      <c r="N522" s="26">
        <f>VLOOKUP(A522,[1]PGReconsile!$A$1:$E$642,5,0)</f>
        <v>45910.774305555555</v>
      </c>
    </row>
    <row r="523" spans="1:14" x14ac:dyDescent="0.3">
      <c r="A523">
        <v>8675097215</v>
      </c>
      <c r="B523">
        <v>2794</v>
      </c>
      <c r="C523" s="1">
        <v>692.35299999999995</v>
      </c>
      <c r="D523" s="1">
        <v>71.98</v>
      </c>
      <c r="E523" s="1">
        <v>311.83300000000003</v>
      </c>
      <c r="F523">
        <v>2014.6990000000001</v>
      </c>
      <c r="G523" s="1">
        <f t="shared" si="62"/>
        <v>1702.866</v>
      </c>
      <c r="H523" s="5">
        <v>779.30099999999993</v>
      </c>
      <c r="I523" s="4">
        <v>0</v>
      </c>
      <c r="J523" s="4" t="s">
        <v>25</v>
      </c>
      <c r="K523" s="8">
        <v>2014.6990000000001</v>
      </c>
      <c r="L523" t="s">
        <v>12</v>
      </c>
      <c r="M523" t="s">
        <v>10</v>
      </c>
      <c r="N523" s="26">
        <f>VLOOKUP(A523,[1]PGReconsile!$A$1:$E$642,5,0)</f>
        <v>45916.560416666667</v>
      </c>
    </row>
    <row r="524" spans="1:14" x14ac:dyDescent="0.3">
      <c r="A524">
        <v>8687098475</v>
      </c>
      <c r="B524">
        <v>3643.98</v>
      </c>
      <c r="C524" s="1">
        <v>1117.973</v>
      </c>
      <c r="D524" s="1">
        <v>71.97999999999999</v>
      </c>
      <c r="E524" s="1">
        <v>406.697</v>
      </c>
      <c r="F524">
        <v>2434.5059999999999</v>
      </c>
      <c r="G524" s="1">
        <f t="shared" si="62"/>
        <v>2027.8089999999997</v>
      </c>
      <c r="H524" s="5">
        <v>1209.4740000000002</v>
      </c>
      <c r="I524" s="4">
        <v>0</v>
      </c>
      <c r="J524" s="4" t="s">
        <v>25</v>
      </c>
      <c r="K524" s="8">
        <v>2434.5059999999999</v>
      </c>
      <c r="L524" t="s">
        <v>12</v>
      </c>
      <c r="M524" t="s">
        <v>10</v>
      </c>
      <c r="N524" s="26">
        <f>VLOOKUP(A524,[1]PGReconsile!$A$1:$E$642,5,0)</f>
        <v>45920.575694444444</v>
      </c>
    </row>
    <row r="525" spans="1:14" x14ac:dyDescent="0.3">
      <c r="A525">
        <v>8694687361</v>
      </c>
      <c r="B525">
        <v>3142.99</v>
      </c>
      <c r="C525" s="1">
        <v>667.57100000000003</v>
      </c>
      <c r="D525" s="1">
        <v>71.98</v>
      </c>
      <c r="E525" s="1">
        <v>492.75799999999998</v>
      </c>
      <c r="F525">
        <v>2387.4569999999999</v>
      </c>
      <c r="G525" s="1">
        <f t="shared" si="62"/>
        <v>1894.6989999999998</v>
      </c>
      <c r="H525" s="5">
        <v>755.5329999999999</v>
      </c>
      <c r="I525" s="4">
        <v>0</v>
      </c>
      <c r="J525" s="4" t="s">
        <v>25</v>
      </c>
      <c r="K525" s="8">
        <v>2387.4569999999999</v>
      </c>
      <c r="L525" t="s">
        <v>12</v>
      </c>
      <c r="M525" t="s">
        <v>10</v>
      </c>
      <c r="N525" s="26">
        <f>VLOOKUP(A525,[1]PGReconsile!$A$1:$E$642,5,0)</f>
        <v>45922.443055555559</v>
      </c>
    </row>
    <row r="526" spans="1:14" x14ac:dyDescent="0.3">
      <c r="A526">
        <v>8695543632</v>
      </c>
      <c r="B526">
        <v>3143</v>
      </c>
      <c r="C526" s="1">
        <v>667.57299999999998</v>
      </c>
      <c r="D526" s="1">
        <v>71.98</v>
      </c>
      <c r="E526" s="1">
        <v>492.75799999999998</v>
      </c>
      <c r="F526">
        <v>2387.4650000000001</v>
      </c>
      <c r="G526" s="1">
        <f t="shared" si="62"/>
        <v>1894.7070000000001</v>
      </c>
      <c r="H526" s="5">
        <v>755.53499999999985</v>
      </c>
      <c r="I526" s="4">
        <v>0</v>
      </c>
      <c r="J526" s="4" t="s">
        <v>25</v>
      </c>
      <c r="K526" s="8">
        <v>2387.4650000000001</v>
      </c>
      <c r="L526" t="s">
        <v>12</v>
      </c>
      <c r="M526" t="s">
        <v>10</v>
      </c>
      <c r="N526" s="26">
        <f>VLOOKUP(A526,[1]PGReconsile!$A$1:$E$642,5,0)</f>
        <v>45922.443055555559</v>
      </c>
    </row>
    <row r="527" spans="1:14" x14ac:dyDescent="0.3">
      <c r="A527">
        <v>8704665177</v>
      </c>
      <c r="B527">
        <v>2150</v>
      </c>
      <c r="C527" s="1">
        <v>684.99</v>
      </c>
      <c r="D527" s="1">
        <v>71.98</v>
      </c>
      <c r="E527" s="1">
        <v>112.61799999999999</v>
      </c>
      <c r="F527">
        <v>1380.7439999999999</v>
      </c>
      <c r="G527" s="1">
        <f t="shared" si="62"/>
        <v>1268.126</v>
      </c>
      <c r="H527" s="5">
        <v>769.25600000000009</v>
      </c>
      <c r="I527" s="4">
        <f>VLOOKUP(A527,[1]PGReverse_all!$A$1:$FK$281,167,0)</f>
        <v>197.06</v>
      </c>
      <c r="J527" s="4">
        <f>F527+D527+I527</f>
        <v>1649.7839999999999</v>
      </c>
      <c r="K527" s="7">
        <v>-269.03999999999996</v>
      </c>
      <c r="L527" t="s">
        <v>11</v>
      </c>
      <c r="M527" t="s">
        <v>10</v>
      </c>
      <c r="N527" s="26">
        <f>VLOOKUP(A527,[1]PGReconsile!$A$1:$E$642,5,0)</f>
        <v>45924.55</v>
      </c>
    </row>
    <row r="528" spans="1:14" x14ac:dyDescent="0.3">
      <c r="A528">
        <v>8673411314</v>
      </c>
      <c r="B528">
        <v>1794</v>
      </c>
      <c r="C528" s="1">
        <v>444.553</v>
      </c>
      <c r="D528" s="1">
        <v>53.1</v>
      </c>
      <c r="E528" s="1">
        <v>200.21899999999999</v>
      </c>
      <c r="F528">
        <v>1286.7360000000001</v>
      </c>
      <c r="G528" s="1">
        <f t="shared" si="62"/>
        <v>1086.5170000000001</v>
      </c>
      <c r="H528" s="5">
        <v>507.2639999999999</v>
      </c>
      <c r="I528" s="4">
        <v>0</v>
      </c>
      <c r="J528" s="4" t="s">
        <v>25</v>
      </c>
      <c r="K528" s="8">
        <v>1286.7360000000001</v>
      </c>
      <c r="L528" t="s">
        <v>12</v>
      </c>
      <c r="M528" t="s">
        <v>10</v>
      </c>
      <c r="N528" s="26">
        <f>VLOOKUP(A528,[1]PGReconsile!$A$1:$E$642,5,0)</f>
        <v>45916.459722222222</v>
      </c>
    </row>
    <row r="529" spans="1:14" x14ac:dyDescent="0.3">
      <c r="A529">
        <v>8665007762</v>
      </c>
      <c r="B529">
        <v>5701</v>
      </c>
      <c r="C529" s="1">
        <v>1749.067</v>
      </c>
      <c r="D529" s="1">
        <v>71.98</v>
      </c>
      <c r="E529" s="1">
        <v>636.27100000000007</v>
      </c>
      <c r="F529">
        <v>3849.4119999999998</v>
      </c>
      <c r="G529" s="1">
        <f t="shared" si="62"/>
        <v>3213.1409999999996</v>
      </c>
      <c r="H529" s="5">
        <v>1851.5880000000002</v>
      </c>
      <c r="I529" s="4">
        <v>0</v>
      </c>
      <c r="J529" s="4" t="s">
        <v>25</v>
      </c>
      <c r="K529" s="8">
        <v>3849.4119999999998</v>
      </c>
      <c r="L529" t="s">
        <v>12</v>
      </c>
      <c r="M529" t="s">
        <v>10</v>
      </c>
      <c r="N529" s="26">
        <f>VLOOKUP(A529,[1]PGReconsile!$A$1:$E$642,5,0)</f>
        <v>45913.450694444444</v>
      </c>
    </row>
    <row r="530" spans="1:14" x14ac:dyDescent="0.3">
      <c r="A530">
        <v>8692891232</v>
      </c>
      <c r="B530">
        <v>3564</v>
      </c>
      <c r="C530" s="1">
        <v>883.15899999999999</v>
      </c>
      <c r="D530" s="1">
        <v>71.98</v>
      </c>
      <c r="E530" s="1">
        <v>558.76199999999994</v>
      </c>
      <c r="F530">
        <v>2590.739</v>
      </c>
      <c r="G530" s="1">
        <f t="shared" si="62"/>
        <v>2031.9770000000001</v>
      </c>
      <c r="H530" s="5">
        <v>973.26099999999997</v>
      </c>
      <c r="I530" s="4">
        <v>0</v>
      </c>
      <c r="J530" s="4" t="s">
        <v>25</v>
      </c>
      <c r="K530" s="8">
        <v>2590.739</v>
      </c>
      <c r="L530" t="s">
        <v>12</v>
      </c>
      <c r="M530" t="s">
        <v>10</v>
      </c>
      <c r="N530" s="26">
        <f>VLOOKUP(A530,[1]PGReconsile!$A$1:$E$642,5,0)</f>
        <v>45922.443055555559</v>
      </c>
    </row>
    <row r="531" spans="1:14" x14ac:dyDescent="0.3">
      <c r="A531">
        <v>8679706877</v>
      </c>
      <c r="B531">
        <v>3594</v>
      </c>
      <c r="C531" s="1">
        <v>890.59299999999996</v>
      </c>
      <c r="D531" s="1">
        <v>71.98</v>
      </c>
      <c r="E531" s="1">
        <v>401.11500000000001</v>
      </c>
      <c r="F531">
        <v>2612.1729999999998</v>
      </c>
      <c r="G531" s="1">
        <f t="shared" si="62"/>
        <v>2211.058</v>
      </c>
      <c r="H531" s="5">
        <v>981.82700000000023</v>
      </c>
      <c r="I531" s="4">
        <v>0</v>
      </c>
      <c r="J531" s="4" t="s">
        <v>25</v>
      </c>
      <c r="K531" s="8">
        <v>2612.1729999999998</v>
      </c>
      <c r="L531" t="s">
        <v>12</v>
      </c>
      <c r="M531" t="s">
        <v>10</v>
      </c>
      <c r="N531" s="26">
        <f>VLOOKUP(A531,[1]PGReconsile!$A$1:$E$642,5,0)</f>
        <v>45918.445138888892</v>
      </c>
    </row>
    <row r="532" spans="1:14" x14ac:dyDescent="0.3">
      <c r="A532">
        <v>8698964265</v>
      </c>
      <c r="B532">
        <v>2432</v>
      </c>
      <c r="C532" s="1">
        <v>516.55700000000002</v>
      </c>
      <c r="D532" s="1">
        <v>71.98</v>
      </c>
      <c r="E532" s="1">
        <v>127.401</v>
      </c>
      <c r="F532">
        <v>1829.566</v>
      </c>
      <c r="G532" s="1">
        <f t="shared" si="62"/>
        <v>1702.165</v>
      </c>
      <c r="H532" s="5">
        <v>602.43399999999997</v>
      </c>
      <c r="I532" s="4">
        <f>VLOOKUP(A532,[1]PGReverse_all!$A$1:$FK$281,167,0)</f>
        <v>107.38</v>
      </c>
      <c r="J532" s="4">
        <f t="shared" ref="J532:J533" si="64">F532+D532+I532</f>
        <v>2008.9259999999999</v>
      </c>
      <c r="K532" s="7">
        <v>-179.3599999999999</v>
      </c>
      <c r="L532" t="s">
        <v>11</v>
      </c>
      <c r="M532" t="s">
        <v>10</v>
      </c>
      <c r="N532" s="26">
        <f>VLOOKUP(A532,[1]PGReconsile!$A$1:$E$642,5,0)</f>
        <v>45923.446527777778</v>
      </c>
    </row>
    <row r="533" spans="1:14" x14ac:dyDescent="0.3">
      <c r="A533">
        <v>8689247484</v>
      </c>
      <c r="B533">
        <v>3789</v>
      </c>
      <c r="C533" s="1">
        <v>938.91399999999999</v>
      </c>
      <c r="D533" s="1">
        <v>71.98</v>
      </c>
      <c r="E533" s="1">
        <v>594.03499999999997</v>
      </c>
      <c r="F533">
        <v>2758.84</v>
      </c>
      <c r="G533" s="1">
        <f t="shared" si="62"/>
        <v>2164.8050000000003</v>
      </c>
      <c r="H533" s="5">
        <v>1030.1599999999999</v>
      </c>
      <c r="I533" s="4">
        <f>VLOOKUP(A533,[1]PGReverse_all!$A$1:$FK$281,167,0)</f>
        <v>197.06</v>
      </c>
      <c r="J533" s="4">
        <f t="shared" si="64"/>
        <v>3027.88</v>
      </c>
      <c r="K533" s="7">
        <v>-269.03999999999996</v>
      </c>
      <c r="L533" t="s">
        <v>11</v>
      </c>
      <c r="M533" t="s">
        <v>10</v>
      </c>
      <c r="N533" s="26">
        <f>VLOOKUP(A533,[1]PGReconsile!$A$1:$E$642,5,0)</f>
        <v>45922.443055555559</v>
      </c>
    </row>
    <row r="534" spans="1:14" x14ac:dyDescent="0.3">
      <c r="A534">
        <v>8695689853</v>
      </c>
      <c r="B534">
        <v>3470</v>
      </c>
      <c r="C534" s="1">
        <v>859.86599999999999</v>
      </c>
      <c r="D534" s="1">
        <v>71.98</v>
      </c>
      <c r="E534" s="1">
        <v>544.02300000000002</v>
      </c>
      <c r="F534">
        <v>2520.5100000000002</v>
      </c>
      <c r="G534" s="1">
        <f t="shared" si="62"/>
        <v>1976.4870000000001</v>
      </c>
      <c r="H534" s="5">
        <v>949.48999999999978</v>
      </c>
      <c r="I534" s="4">
        <v>0</v>
      </c>
      <c r="J534" s="4" t="s">
        <v>25</v>
      </c>
      <c r="K534" s="8">
        <v>2520.5100000000002</v>
      </c>
      <c r="L534" t="s">
        <v>12</v>
      </c>
      <c r="M534" t="s">
        <v>10</v>
      </c>
      <c r="N534" s="26">
        <f>VLOOKUP(A534,[1]PGReconsile!$A$1:$E$642,5,0)</f>
        <v>45922.443055555559</v>
      </c>
    </row>
    <row r="535" spans="1:14" x14ac:dyDescent="0.3">
      <c r="A535">
        <v>8599978899</v>
      </c>
      <c r="B535">
        <v>1179</v>
      </c>
      <c r="C535" s="1">
        <v>292.15600000000001</v>
      </c>
      <c r="D535" s="1">
        <v>53.1</v>
      </c>
      <c r="E535" s="1">
        <v>131.583</v>
      </c>
      <c r="F535">
        <v>827.428</v>
      </c>
      <c r="G535" s="1">
        <f t="shared" si="62"/>
        <v>695.84500000000003</v>
      </c>
      <c r="H535" s="5">
        <v>351.572</v>
      </c>
      <c r="I535" s="4">
        <v>0</v>
      </c>
      <c r="J535" s="4" t="s">
        <v>25</v>
      </c>
      <c r="K535" s="8">
        <v>827.428</v>
      </c>
      <c r="L535" t="s">
        <v>12</v>
      </c>
      <c r="M535" t="s">
        <v>10</v>
      </c>
      <c r="N535" s="26">
        <f>VLOOKUP(A535,[1]PGReconsile!$A$1:$E$642,5,0)</f>
        <v>45873.626388888886</v>
      </c>
    </row>
    <row r="536" spans="1:14" x14ac:dyDescent="0.3">
      <c r="A536">
        <v>8670087236</v>
      </c>
      <c r="B536">
        <v>2344</v>
      </c>
      <c r="C536" s="1">
        <v>608.50199999999995</v>
      </c>
      <c r="D536" s="1">
        <v>71.98</v>
      </c>
      <c r="E536" s="1">
        <v>261.60399999999998</v>
      </c>
      <c r="F536">
        <v>1650.961</v>
      </c>
      <c r="G536" s="1">
        <f t="shared" si="62"/>
        <v>1389.357</v>
      </c>
      <c r="H536" s="5">
        <v>693.03899999999999</v>
      </c>
      <c r="I536" s="4">
        <v>0</v>
      </c>
      <c r="J536" s="4" t="s">
        <v>25</v>
      </c>
      <c r="K536" s="8">
        <v>1650.961</v>
      </c>
      <c r="L536" t="s">
        <v>12</v>
      </c>
      <c r="M536" t="s">
        <v>10</v>
      </c>
      <c r="N536" s="26">
        <f>VLOOKUP(A536,[1]PGReconsile!$A$1:$E$642,5,0)</f>
        <v>45915.47152777778</v>
      </c>
    </row>
    <row r="537" spans="1:14" x14ac:dyDescent="0.3">
      <c r="A537">
        <v>8701295928</v>
      </c>
      <c r="B537">
        <v>1012</v>
      </c>
      <c r="C537" s="1">
        <v>250.774</v>
      </c>
      <c r="D537" s="1">
        <v>53.1</v>
      </c>
      <c r="E537" s="1">
        <v>53.009</v>
      </c>
      <c r="F537">
        <v>702.34299999999996</v>
      </c>
      <c r="G537" s="1">
        <f t="shared" si="62"/>
        <v>649.33399999999995</v>
      </c>
      <c r="H537" s="5">
        <v>309.65700000000004</v>
      </c>
      <c r="I537" s="4">
        <f>VLOOKUP(A537,[1]PGReverse_all!$A$1:$FK$281,167,0)</f>
        <v>197.06</v>
      </c>
      <c r="J537" s="4">
        <f>F537+D537+I537</f>
        <v>952.50299999999993</v>
      </c>
      <c r="K537" s="7">
        <v>-250.15999999999997</v>
      </c>
      <c r="L537" t="s">
        <v>11</v>
      </c>
      <c r="M537" t="s">
        <v>10</v>
      </c>
      <c r="N537" s="26">
        <f>VLOOKUP(A537,[1]PGReconsile!$A$1:$E$642,5,0)</f>
        <v>45923.806944444441</v>
      </c>
    </row>
    <row r="538" spans="1:14" x14ac:dyDescent="0.3">
      <c r="A538">
        <v>8672455122</v>
      </c>
      <c r="B538">
        <v>2834</v>
      </c>
      <c r="C538" s="1">
        <v>702.26499999999999</v>
      </c>
      <c r="D538" s="1">
        <v>71.98</v>
      </c>
      <c r="E538" s="1">
        <v>316.29199999999997</v>
      </c>
      <c r="F538">
        <v>2044.5730000000001</v>
      </c>
      <c r="G538" s="1">
        <f t="shared" si="62"/>
        <v>1728.2810000000002</v>
      </c>
      <c r="H538" s="5">
        <v>789.42699999999991</v>
      </c>
      <c r="I538" s="4">
        <v>0</v>
      </c>
      <c r="J538" s="4" t="s">
        <v>25</v>
      </c>
      <c r="K538" s="8">
        <v>2044.5730000000001</v>
      </c>
      <c r="L538" t="s">
        <v>12</v>
      </c>
      <c r="M538" t="s">
        <v>10</v>
      </c>
      <c r="N538" s="26">
        <f>VLOOKUP(A538,[1]PGReconsile!$A$1:$E$642,5,0)</f>
        <v>45915.789583333331</v>
      </c>
    </row>
    <row r="539" spans="1:14" x14ac:dyDescent="0.3">
      <c r="A539">
        <v>8675526093</v>
      </c>
      <c r="B539">
        <v>1079</v>
      </c>
      <c r="C539" s="1">
        <v>267.37599999999998</v>
      </c>
      <c r="D539" s="1">
        <v>53.1</v>
      </c>
      <c r="E539" s="1">
        <v>120.42699999999999</v>
      </c>
      <c r="F539">
        <v>752.74400000000003</v>
      </c>
      <c r="G539" s="1">
        <f t="shared" si="62"/>
        <v>632.31700000000001</v>
      </c>
      <c r="H539" s="5">
        <v>326.25599999999997</v>
      </c>
      <c r="I539" s="4">
        <f>VLOOKUP(A539,[1]PGReverse_all!$A$1:$FK$281,167,0)</f>
        <v>132.16</v>
      </c>
      <c r="J539" s="4">
        <f>F539+D539+I539</f>
        <v>938.00400000000002</v>
      </c>
      <c r="K539" s="7">
        <v>-185.26</v>
      </c>
      <c r="L539" t="s">
        <v>11</v>
      </c>
      <c r="M539" t="s">
        <v>10</v>
      </c>
      <c r="N539" s="26">
        <f>VLOOKUP(A539,[1]PGReconsile!$A$1:$E$642,5,0)</f>
        <v>45916.818055555559</v>
      </c>
    </row>
    <row r="540" spans="1:14" x14ac:dyDescent="0.3">
      <c r="A540">
        <v>8690835100</v>
      </c>
      <c r="B540">
        <v>2293</v>
      </c>
      <c r="C540" s="1">
        <v>730.55</v>
      </c>
      <c r="D540" s="1">
        <v>71.98</v>
      </c>
      <c r="E540" s="1">
        <v>120.10899999999999</v>
      </c>
      <c r="F540">
        <v>1477.367</v>
      </c>
      <c r="G540" s="1">
        <f t="shared" si="62"/>
        <v>1357.258</v>
      </c>
      <c r="H540" s="5">
        <v>815.63300000000004</v>
      </c>
      <c r="I540" s="4">
        <v>0</v>
      </c>
      <c r="J540" s="4" t="s">
        <v>25</v>
      </c>
      <c r="K540" s="8">
        <v>1477.367</v>
      </c>
      <c r="L540" t="s">
        <v>12</v>
      </c>
      <c r="M540" t="s">
        <v>10</v>
      </c>
      <c r="N540" s="26">
        <f>VLOOKUP(A540,[1]PGReconsile!$A$1:$E$642,5,0)</f>
        <v>45922.443055555559</v>
      </c>
    </row>
    <row r="541" spans="1:14" x14ac:dyDescent="0.3">
      <c r="A541">
        <v>8663926203</v>
      </c>
      <c r="B541">
        <v>1454</v>
      </c>
      <c r="C541" s="1">
        <v>325.98700000000002</v>
      </c>
      <c r="D541" s="1">
        <v>53.1</v>
      </c>
      <c r="E541" s="1">
        <v>162.28100000000001</v>
      </c>
      <c r="F541">
        <v>1067.124</v>
      </c>
      <c r="G541" s="1">
        <f t="shared" si="62"/>
        <v>904.84300000000007</v>
      </c>
      <c r="H541" s="5">
        <v>386.87599999999998</v>
      </c>
      <c r="I541" s="4">
        <f>VLOOKUP(A541,[1]PGReverse_all!$A$1:$FK$281,167,0)</f>
        <v>197.06</v>
      </c>
      <c r="J541" s="4">
        <f>F541+D541+I541</f>
        <v>1317.2839999999999</v>
      </c>
      <c r="K541" s="7">
        <v>-250.15999999999985</v>
      </c>
      <c r="L541" t="s">
        <v>11</v>
      </c>
      <c r="M541" t="s">
        <v>10</v>
      </c>
      <c r="N541" s="26">
        <f>VLOOKUP(A541,[1]PGReconsile!$A$1:$E$642,5,0)</f>
        <v>45912.803472222222</v>
      </c>
    </row>
    <row r="542" spans="1:14" x14ac:dyDescent="0.3">
      <c r="A542">
        <v>8706210922</v>
      </c>
      <c r="B542">
        <v>391</v>
      </c>
      <c r="C542" s="1">
        <v>9.2279999999999998</v>
      </c>
      <c r="D542" s="1">
        <v>31.86</v>
      </c>
      <c r="E542" s="1">
        <v>20.481999999999999</v>
      </c>
      <c r="F542">
        <v>347.678</v>
      </c>
      <c r="G542" s="1">
        <f t="shared" si="62"/>
        <v>327.19600000000003</v>
      </c>
      <c r="H542" s="5">
        <v>43.322000000000003</v>
      </c>
      <c r="I542" s="4">
        <v>0</v>
      </c>
      <c r="J542" s="4" t="s">
        <v>25</v>
      </c>
      <c r="K542" s="8">
        <v>347.678</v>
      </c>
      <c r="L542" t="s">
        <v>12</v>
      </c>
      <c r="M542" t="s">
        <v>10</v>
      </c>
      <c r="N542" s="26">
        <f>VLOOKUP(A542,[1]PGReconsile!$A$1:$E$642,5,0)</f>
        <v>45925.451388888891</v>
      </c>
    </row>
    <row r="543" spans="1:14" x14ac:dyDescent="0.3">
      <c r="A543">
        <v>8681023356</v>
      </c>
      <c r="B543">
        <v>3544</v>
      </c>
      <c r="C543" s="1">
        <v>920.02200000000005</v>
      </c>
      <c r="D543" s="1">
        <v>71.98</v>
      </c>
      <c r="E543" s="1">
        <v>395.53100000000001</v>
      </c>
      <c r="F543">
        <v>2533.0129999999999</v>
      </c>
      <c r="G543" s="1">
        <f t="shared" si="62"/>
        <v>2137.482</v>
      </c>
      <c r="H543" s="5">
        <v>1010.9870000000001</v>
      </c>
      <c r="I543" s="4">
        <v>0</v>
      </c>
      <c r="J543" s="4" t="s">
        <v>25</v>
      </c>
      <c r="K543" s="8">
        <v>2533.0129999999999</v>
      </c>
      <c r="L543" t="s">
        <v>12</v>
      </c>
      <c r="M543" t="s">
        <v>10</v>
      </c>
      <c r="N543" s="26">
        <f>VLOOKUP(A543,[1]PGReconsile!$A$1:$E$642,5,0)</f>
        <v>45918.820833333331</v>
      </c>
    </row>
    <row r="544" spans="1:14" x14ac:dyDescent="0.3">
      <c r="A544">
        <v>8700305809</v>
      </c>
      <c r="B544">
        <v>3169</v>
      </c>
      <c r="C544" s="1">
        <v>785.27800000000002</v>
      </c>
      <c r="D544" s="1">
        <v>71.98</v>
      </c>
      <c r="E544" s="1">
        <v>496.82799999999997</v>
      </c>
      <c r="F544">
        <v>2295.6280000000002</v>
      </c>
      <c r="G544" s="1">
        <f t="shared" si="62"/>
        <v>1798.8000000000002</v>
      </c>
      <c r="H544" s="5">
        <v>873.37199999999984</v>
      </c>
      <c r="I544" s="4">
        <v>0</v>
      </c>
      <c r="J544" s="4" t="s">
        <v>25</v>
      </c>
      <c r="K544" s="8">
        <v>2295.6280000000002</v>
      </c>
      <c r="L544" t="s">
        <v>12</v>
      </c>
      <c r="M544" t="s">
        <v>10</v>
      </c>
      <c r="N544" s="26">
        <f>VLOOKUP(A544,[1]PGReconsile!$A$1:$E$642,5,0)</f>
        <v>45923.446527777778</v>
      </c>
    </row>
    <row r="545" spans="1:14" x14ac:dyDescent="0.3">
      <c r="A545">
        <v>8694911050</v>
      </c>
      <c r="B545">
        <v>3564</v>
      </c>
      <c r="C545" s="1">
        <v>883.15899999999999</v>
      </c>
      <c r="D545" s="1">
        <v>71.98</v>
      </c>
      <c r="E545" s="1">
        <v>558.76199999999994</v>
      </c>
      <c r="F545">
        <v>2590.739</v>
      </c>
      <c r="G545" s="1">
        <f t="shared" si="62"/>
        <v>2031.9770000000001</v>
      </c>
      <c r="H545" s="5">
        <v>973.26099999999997</v>
      </c>
      <c r="I545" s="4">
        <v>0</v>
      </c>
      <c r="J545" s="4" t="s">
        <v>25</v>
      </c>
      <c r="K545" s="8">
        <v>2590.739</v>
      </c>
      <c r="L545" t="s">
        <v>12</v>
      </c>
      <c r="M545" t="s">
        <v>10</v>
      </c>
      <c r="N545" s="26">
        <f>VLOOKUP(A545,[1]PGReconsile!$A$1:$E$642,5,0)</f>
        <v>45922.443055555559</v>
      </c>
    </row>
    <row r="546" spans="1:14" x14ac:dyDescent="0.3">
      <c r="A546">
        <v>8702968798</v>
      </c>
      <c r="B546">
        <v>3154</v>
      </c>
      <c r="C546" s="1">
        <v>669.91</v>
      </c>
      <c r="D546" s="1">
        <v>71.98</v>
      </c>
      <c r="E546" s="1">
        <v>494.48399999999998</v>
      </c>
      <c r="F546">
        <v>2396.0729999999999</v>
      </c>
      <c r="G546" s="1">
        <f t="shared" si="62"/>
        <v>1901.5889999999999</v>
      </c>
      <c r="H546" s="5">
        <v>757.92700000000013</v>
      </c>
      <c r="I546" s="4">
        <v>0</v>
      </c>
      <c r="J546" s="4" t="s">
        <v>25</v>
      </c>
      <c r="K546" s="8">
        <v>2396.0729999999999</v>
      </c>
      <c r="L546" t="s">
        <v>12</v>
      </c>
      <c r="M546" t="s">
        <v>10</v>
      </c>
      <c r="N546" s="26">
        <f>VLOOKUP(A546,[1]PGReconsile!$A$1:$E$642,5,0)</f>
        <v>45924.441666666666</v>
      </c>
    </row>
    <row r="547" spans="1:14" x14ac:dyDescent="0.3">
      <c r="A547">
        <v>8706180744</v>
      </c>
      <c r="B547">
        <v>1480</v>
      </c>
      <c r="C547" s="1">
        <v>384.20800000000003</v>
      </c>
      <c r="D547" s="1">
        <v>53.1</v>
      </c>
      <c r="E547" s="1">
        <v>77.528000000000006</v>
      </c>
      <c r="F547">
        <v>1034.2339999999999</v>
      </c>
      <c r="G547" s="1">
        <f t="shared" si="62"/>
        <v>956.7059999999999</v>
      </c>
      <c r="H547" s="5">
        <v>445.76600000000008</v>
      </c>
      <c r="I547" s="4">
        <v>0</v>
      </c>
      <c r="J547" s="4" t="s">
        <v>25</v>
      </c>
      <c r="K547" s="8">
        <v>1034.2339999999999</v>
      </c>
      <c r="L547" t="s">
        <v>12</v>
      </c>
      <c r="M547" t="s">
        <v>10</v>
      </c>
      <c r="N547" s="26">
        <f>VLOOKUP(A547,[1]PGReconsile!$A$1:$E$642,5,0)</f>
        <v>45925.451388888891</v>
      </c>
    </row>
    <row r="548" spans="1:14" x14ac:dyDescent="0.3">
      <c r="A548">
        <v>8667562183</v>
      </c>
      <c r="B548">
        <v>2994</v>
      </c>
      <c r="C548" s="1">
        <v>741.91300000000001</v>
      </c>
      <c r="D548" s="1">
        <v>71.98</v>
      </c>
      <c r="E548" s="1">
        <v>334.14599999999996</v>
      </c>
      <c r="F548">
        <v>2164.0680000000002</v>
      </c>
      <c r="G548" s="1">
        <f t="shared" si="62"/>
        <v>1829.9220000000003</v>
      </c>
      <c r="H548" s="5">
        <v>829.93199999999979</v>
      </c>
      <c r="I548" s="4">
        <v>0</v>
      </c>
      <c r="J548" s="4" t="s">
        <v>25</v>
      </c>
      <c r="K548" s="8">
        <v>2164.0680000000002</v>
      </c>
      <c r="L548" t="s">
        <v>12</v>
      </c>
      <c r="M548" t="s">
        <v>10</v>
      </c>
      <c r="N548" s="26">
        <f>VLOOKUP(A548,[1]PGReconsile!$A$1:$E$642,5,0)</f>
        <v>45915.47152777778</v>
      </c>
    </row>
    <row r="549" spans="1:14" x14ac:dyDescent="0.3">
      <c r="A549">
        <v>8676684709</v>
      </c>
      <c r="B549">
        <v>2994</v>
      </c>
      <c r="C549" s="1">
        <v>741.91300000000001</v>
      </c>
      <c r="D549" s="1">
        <v>71.98</v>
      </c>
      <c r="E549" s="1">
        <v>334.15600000000001</v>
      </c>
      <c r="F549">
        <v>2164.0680000000002</v>
      </c>
      <c r="G549" s="1">
        <f t="shared" si="62"/>
        <v>1829.9120000000003</v>
      </c>
      <c r="H549" s="5">
        <v>829.93199999999979</v>
      </c>
      <c r="I549" s="4">
        <v>0</v>
      </c>
      <c r="J549" s="4" t="s">
        <v>25</v>
      </c>
      <c r="K549" s="8">
        <v>2164.0680000000002</v>
      </c>
      <c r="L549" t="s">
        <v>12</v>
      </c>
      <c r="M549" t="s">
        <v>10</v>
      </c>
      <c r="N549" s="26">
        <f>VLOOKUP(A549,[1]PGReconsile!$A$1:$E$642,5,0)</f>
        <v>45917.434027777781</v>
      </c>
    </row>
    <row r="550" spans="1:14" x14ac:dyDescent="0.3">
      <c r="A550">
        <v>8656967184</v>
      </c>
      <c r="B550">
        <v>2419</v>
      </c>
      <c r="C550" s="1">
        <v>513.79600000000005</v>
      </c>
      <c r="D550" s="1">
        <v>71.98</v>
      </c>
      <c r="E550" s="1">
        <v>269.97899999999998</v>
      </c>
      <c r="F550">
        <v>1820.2650000000001</v>
      </c>
      <c r="G550" s="1">
        <f t="shared" si="62"/>
        <v>1550.2860000000001</v>
      </c>
      <c r="H550" s="5">
        <v>598.7349999999999</v>
      </c>
      <c r="I550" s="4">
        <v>0</v>
      </c>
      <c r="J550" s="4" t="s">
        <v>25</v>
      </c>
      <c r="K550" s="8">
        <v>1820.2650000000001</v>
      </c>
      <c r="L550" t="s">
        <v>12</v>
      </c>
      <c r="M550" t="s">
        <v>10</v>
      </c>
      <c r="N550" s="26">
        <f>VLOOKUP(A550,[1]PGReconsile!$A$1:$E$642,5,0)</f>
        <v>45909.456250000003</v>
      </c>
    </row>
    <row r="551" spans="1:14" x14ac:dyDescent="0.3">
      <c r="A551">
        <v>8672976504</v>
      </c>
      <c r="B551">
        <v>2644</v>
      </c>
      <c r="C551" s="1">
        <v>842.37800000000004</v>
      </c>
      <c r="D551" s="1">
        <v>71.98</v>
      </c>
      <c r="E551" s="1">
        <v>295.09399999999999</v>
      </c>
      <c r="F551">
        <v>1715.4770000000001</v>
      </c>
      <c r="G551" s="1">
        <f t="shared" si="62"/>
        <v>1420.383</v>
      </c>
      <c r="H551" s="5">
        <v>928.52299999999991</v>
      </c>
      <c r="I551" s="4">
        <v>0</v>
      </c>
      <c r="J551" s="4" t="s">
        <v>25</v>
      </c>
      <c r="K551" s="8">
        <v>1715.4770000000001</v>
      </c>
      <c r="L551" t="s">
        <v>12</v>
      </c>
      <c r="M551" t="s">
        <v>10</v>
      </c>
      <c r="N551" s="26">
        <f>VLOOKUP(A551,[1]PGReconsile!$A$1:$E$642,5,0)</f>
        <v>45916.459722222222</v>
      </c>
    </row>
    <row r="552" spans="1:14" x14ac:dyDescent="0.3">
      <c r="A552">
        <v>8687284509</v>
      </c>
      <c r="B552">
        <v>2168</v>
      </c>
      <c r="C552" s="1">
        <v>690.72500000000002</v>
      </c>
      <c r="D552" s="1">
        <v>71.98</v>
      </c>
      <c r="E552" s="1">
        <v>113.56399999999999</v>
      </c>
      <c r="F552">
        <v>1392.9059999999999</v>
      </c>
      <c r="G552" s="1">
        <f t="shared" si="62"/>
        <v>1279.3419999999999</v>
      </c>
      <c r="H552" s="5">
        <v>775.09400000000005</v>
      </c>
      <c r="I552" s="4">
        <v>0</v>
      </c>
      <c r="J552" s="4" t="s">
        <v>25</v>
      </c>
      <c r="K552" s="8">
        <v>1392.9059999999999</v>
      </c>
      <c r="L552" t="s">
        <v>12</v>
      </c>
      <c r="M552" t="s">
        <v>10</v>
      </c>
      <c r="N552" s="26">
        <f>VLOOKUP(A552,[1]PGReconsile!$A$1:$E$642,5,0)</f>
        <v>45922.443055555559</v>
      </c>
    </row>
    <row r="553" spans="1:14" x14ac:dyDescent="0.3">
      <c r="A553">
        <v>8672771876</v>
      </c>
      <c r="B553">
        <v>2606.0099999999998</v>
      </c>
      <c r="C553" s="1">
        <v>553.51599999999996</v>
      </c>
      <c r="D553" s="1">
        <v>71.97999999999999</v>
      </c>
      <c r="E553" s="1">
        <v>290.85400000000004</v>
      </c>
      <c r="F553">
        <v>1966.5530000000001</v>
      </c>
      <c r="G553" s="1">
        <f t="shared" si="62"/>
        <v>1675.6990000000001</v>
      </c>
      <c r="H553" s="5">
        <v>639.45699999999965</v>
      </c>
      <c r="I553" s="4">
        <f>VLOOKUP(A553,[1]PGReverse_all!$A$1:$FK$281,167,0)</f>
        <v>107.38</v>
      </c>
      <c r="J553" s="4">
        <f t="shared" ref="J553:J554" si="65">F553+D553+I553</f>
        <v>2145.913</v>
      </c>
      <c r="K553" s="7">
        <v>-179.3599999999999</v>
      </c>
      <c r="L553" t="s">
        <v>11</v>
      </c>
      <c r="M553" t="s">
        <v>10</v>
      </c>
      <c r="N553" s="26">
        <f>VLOOKUP(A553,[1]PGReconsile!$A$1:$E$642,5,0)</f>
        <v>45915.789583333331</v>
      </c>
    </row>
    <row r="554" spans="1:14" x14ac:dyDescent="0.3">
      <c r="A554">
        <v>8665449739</v>
      </c>
      <c r="B554">
        <v>2994</v>
      </c>
      <c r="C554" s="1">
        <v>635.92600000000004</v>
      </c>
      <c r="D554" s="1">
        <v>71.98</v>
      </c>
      <c r="E554" s="1">
        <v>334.15600000000001</v>
      </c>
      <c r="F554">
        <v>2270.0549999999998</v>
      </c>
      <c r="G554" s="1">
        <f t="shared" si="62"/>
        <v>1935.8989999999999</v>
      </c>
      <c r="H554" s="5">
        <v>723.94500000000016</v>
      </c>
      <c r="I554" s="4">
        <f>VLOOKUP(A554,[1]PGReverse_all!$A$1:$FK$281,167,0)</f>
        <v>132.16</v>
      </c>
      <c r="J554" s="4">
        <f t="shared" si="65"/>
        <v>2474.1949999999997</v>
      </c>
      <c r="K554" s="7">
        <v>-204.13999999999987</v>
      </c>
      <c r="L554" t="s">
        <v>11</v>
      </c>
      <c r="M554" t="s">
        <v>10</v>
      </c>
      <c r="N554" s="26">
        <f>VLOOKUP(A554,[1]PGReconsile!$A$1:$E$642,5,0)</f>
        <v>45913.570833333331</v>
      </c>
    </row>
    <row r="555" spans="1:14" x14ac:dyDescent="0.3">
      <c r="A555">
        <v>8672051089</v>
      </c>
      <c r="B555">
        <v>1794</v>
      </c>
      <c r="C555" s="1">
        <v>486.892</v>
      </c>
      <c r="D555" s="1">
        <v>53.1</v>
      </c>
      <c r="E555" s="1">
        <v>200.21899999999999</v>
      </c>
      <c r="F555">
        <v>1244.3969999999999</v>
      </c>
      <c r="G555" s="1">
        <f t="shared" si="62"/>
        <v>1044.1779999999999</v>
      </c>
      <c r="H555" s="5">
        <v>549.60300000000007</v>
      </c>
      <c r="I555" s="4">
        <v>0</v>
      </c>
      <c r="J555" s="4" t="s">
        <v>25</v>
      </c>
      <c r="K555" s="8">
        <v>1244.3969999999999</v>
      </c>
      <c r="L555" t="s">
        <v>12</v>
      </c>
      <c r="M555" t="s">
        <v>10</v>
      </c>
      <c r="N555" s="26">
        <f>VLOOKUP(A555,[1]PGReconsile!$A$1:$E$642,5,0)</f>
        <v>45915.55</v>
      </c>
    </row>
    <row r="556" spans="1:14" x14ac:dyDescent="0.3">
      <c r="A556">
        <v>8664301435</v>
      </c>
      <c r="B556">
        <v>1108.99</v>
      </c>
      <c r="C556" s="1">
        <v>248.636</v>
      </c>
      <c r="D556" s="1">
        <v>53.1</v>
      </c>
      <c r="E556" s="1">
        <v>123.77099999999999</v>
      </c>
      <c r="F556">
        <v>801.31299999999999</v>
      </c>
      <c r="G556" s="1">
        <f t="shared" si="62"/>
        <v>677.54200000000003</v>
      </c>
      <c r="H556" s="5">
        <v>307.67700000000002</v>
      </c>
      <c r="I556" s="4">
        <v>0</v>
      </c>
      <c r="J556" s="4" t="s">
        <v>25</v>
      </c>
      <c r="K556" s="8">
        <v>801.31299999999999</v>
      </c>
      <c r="L556" t="s">
        <v>12</v>
      </c>
      <c r="M556" t="s">
        <v>10</v>
      </c>
      <c r="N556" s="26">
        <f>VLOOKUP(A556,[1]PGReconsile!$A$1:$E$642,5,0)</f>
        <v>45913.450694444444</v>
      </c>
    </row>
    <row r="557" spans="1:14" x14ac:dyDescent="0.3">
      <c r="A557">
        <v>8680458890</v>
      </c>
      <c r="B557">
        <v>2834</v>
      </c>
      <c r="C557" s="1">
        <v>735.70600000000002</v>
      </c>
      <c r="D557" s="1">
        <v>71.98</v>
      </c>
      <c r="E557" s="1">
        <v>316.29199999999997</v>
      </c>
      <c r="F557">
        <v>2011.1320000000001</v>
      </c>
      <c r="G557" s="1">
        <f t="shared" si="62"/>
        <v>1694.8400000000001</v>
      </c>
      <c r="H557" s="5">
        <v>822.86799999999994</v>
      </c>
      <c r="I557" s="4">
        <v>0</v>
      </c>
      <c r="J557" s="4" t="s">
        <v>25</v>
      </c>
      <c r="K557" s="8">
        <v>2011.1320000000001</v>
      </c>
      <c r="L557" t="s">
        <v>12</v>
      </c>
      <c r="M557" t="s">
        <v>10</v>
      </c>
      <c r="N557" s="26">
        <f>VLOOKUP(A557,[1]PGReconsile!$A$1:$E$642,5,0)</f>
        <v>45918.800694444442</v>
      </c>
    </row>
    <row r="558" spans="1:14" x14ac:dyDescent="0.3">
      <c r="A558">
        <v>8657021789</v>
      </c>
      <c r="B558">
        <v>706</v>
      </c>
      <c r="C558" s="1">
        <v>208.27</v>
      </c>
      <c r="D558" s="1">
        <v>31.86</v>
      </c>
      <c r="E558" s="1">
        <v>36.981999999999999</v>
      </c>
      <c r="F558">
        <v>461.83600000000001</v>
      </c>
      <c r="G558" s="1">
        <f t="shared" si="62"/>
        <v>424.85400000000004</v>
      </c>
      <c r="H558" s="5">
        <v>244.16399999999999</v>
      </c>
      <c r="I558" s="4">
        <v>0</v>
      </c>
      <c r="J558" s="4" t="s">
        <v>25</v>
      </c>
      <c r="K558" s="8">
        <v>461.83600000000001</v>
      </c>
      <c r="L558" t="s">
        <v>12</v>
      </c>
      <c r="M558" t="s">
        <v>10</v>
      </c>
      <c r="N558" s="26">
        <f>VLOOKUP(A558,[1]PGReconsile!$A$1:$E$642,5,0)</f>
        <v>45909.456250000003</v>
      </c>
    </row>
    <row r="559" spans="1:14" x14ac:dyDescent="0.3">
      <c r="A559">
        <v>8695544424</v>
      </c>
      <c r="B559">
        <v>3143</v>
      </c>
      <c r="C559" s="1">
        <v>667.57299999999998</v>
      </c>
      <c r="D559" s="1">
        <v>71.98</v>
      </c>
      <c r="E559" s="1">
        <v>492.75799999999998</v>
      </c>
      <c r="F559">
        <v>2387.4650000000001</v>
      </c>
      <c r="G559" s="1">
        <f t="shared" si="62"/>
        <v>1894.7070000000001</v>
      </c>
      <c r="H559" s="5">
        <v>755.53499999999985</v>
      </c>
      <c r="I559" s="4">
        <v>0</v>
      </c>
      <c r="J559" s="4" t="s">
        <v>25</v>
      </c>
      <c r="K559" s="8">
        <v>2387.4650000000001</v>
      </c>
      <c r="L559" t="s">
        <v>12</v>
      </c>
      <c r="M559" t="s">
        <v>10</v>
      </c>
      <c r="N559" s="26">
        <f>VLOOKUP(A559,[1]PGReconsile!$A$1:$E$642,5,0)</f>
        <v>45922.443055555559</v>
      </c>
    </row>
    <row r="560" spans="1:14" x14ac:dyDescent="0.3">
      <c r="A560">
        <v>8661379163</v>
      </c>
      <c r="B560">
        <v>1204</v>
      </c>
      <c r="C560" s="1">
        <v>312.55799999999999</v>
      </c>
      <c r="D560" s="1">
        <v>53.099999999999994</v>
      </c>
      <c r="E560" s="1">
        <v>134.375</v>
      </c>
      <c r="F560">
        <v>831.89200000000005</v>
      </c>
      <c r="G560" s="1">
        <f t="shared" si="62"/>
        <v>697.51700000000005</v>
      </c>
      <c r="H560" s="5">
        <v>372.10799999999995</v>
      </c>
      <c r="I560" s="4">
        <f>VLOOKUP(A560,[1]PGReverse_all!$A$1:$FK$281,167,0)</f>
        <v>197.06</v>
      </c>
      <c r="J560" s="4">
        <f t="shared" ref="J560:J564" si="66">F560+D560+I560</f>
        <v>1082.0520000000001</v>
      </c>
      <c r="K560" s="7">
        <v>-250.16000000000008</v>
      </c>
      <c r="L560" t="s">
        <v>11</v>
      </c>
      <c r="M560" t="s">
        <v>10</v>
      </c>
      <c r="N560" s="26">
        <f>VLOOKUP(A560,[1]PGReconsile!$A$1:$E$642,5,0)</f>
        <v>45911.783333333333</v>
      </c>
    </row>
    <row r="561" spans="1:14" x14ac:dyDescent="0.3">
      <c r="A561">
        <v>8670004888</v>
      </c>
      <c r="B561">
        <v>1259</v>
      </c>
      <c r="C561" s="1">
        <v>415.97399999999999</v>
      </c>
      <c r="D561" s="1">
        <v>53.1</v>
      </c>
      <c r="E561" s="1">
        <v>140.511</v>
      </c>
      <c r="F561">
        <v>783.18100000000004</v>
      </c>
      <c r="G561" s="1">
        <f t="shared" si="62"/>
        <v>642.67000000000007</v>
      </c>
      <c r="H561" s="5">
        <v>475.81899999999996</v>
      </c>
      <c r="I561" s="4">
        <f>VLOOKUP(A561,[1]PGReverse_all!$A$1:$FK$281,167,0)</f>
        <v>132.16</v>
      </c>
      <c r="J561" s="4">
        <f t="shared" si="66"/>
        <v>968.44100000000003</v>
      </c>
      <c r="K561" s="7">
        <v>-185.26</v>
      </c>
      <c r="L561" t="s">
        <v>11</v>
      </c>
      <c r="M561" t="s">
        <v>10</v>
      </c>
      <c r="N561" s="26">
        <f>VLOOKUP(A561,[1]PGReconsile!$A$1:$E$642,5,0)</f>
        <v>45915.47152777778</v>
      </c>
    </row>
    <row r="562" spans="1:14" x14ac:dyDescent="0.3">
      <c r="A562">
        <v>8681830415</v>
      </c>
      <c r="B562">
        <v>3544</v>
      </c>
      <c r="C562" s="1">
        <v>920.02200000000005</v>
      </c>
      <c r="D562" s="1">
        <v>71.98</v>
      </c>
      <c r="E562" s="1">
        <v>395.53100000000001</v>
      </c>
      <c r="F562">
        <v>2533.0129999999999</v>
      </c>
      <c r="G562" s="1">
        <f t="shared" si="62"/>
        <v>2137.482</v>
      </c>
      <c r="H562" s="5">
        <v>1010.9870000000001</v>
      </c>
      <c r="I562" s="4">
        <f>VLOOKUP(A562,[1]PGReverse_all!$A$1:$FK$281,167,0)</f>
        <v>197.06</v>
      </c>
      <c r="J562" s="4">
        <f t="shared" si="66"/>
        <v>2802.0529999999999</v>
      </c>
      <c r="K562" s="7">
        <v>-269.03999999999996</v>
      </c>
      <c r="L562" t="s">
        <v>11</v>
      </c>
      <c r="M562" t="s">
        <v>10</v>
      </c>
      <c r="N562" s="26">
        <f>VLOOKUP(A562,[1]PGReconsile!$A$1:$E$642,5,0)</f>
        <v>45919.434027777781</v>
      </c>
    </row>
    <row r="563" spans="1:14" x14ac:dyDescent="0.3">
      <c r="A563">
        <v>8687468614</v>
      </c>
      <c r="B563">
        <v>3104</v>
      </c>
      <c r="C563" s="1">
        <v>769.17100000000005</v>
      </c>
      <c r="D563" s="1">
        <v>71.98</v>
      </c>
      <c r="E563" s="1">
        <v>486.64300000000003</v>
      </c>
      <c r="F563">
        <v>2247.0650000000001</v>
      </c>
      <c r="G563" s="1">
        <f t="shared" si="62"/>
        <v>1760.422</v>
      </c>
      <c r="H563" s="5">
        <v>856.93499999999995</v>
      </c>
      <c r="I563" s="4">
        <f>VLOOKUP(A563,[1]PGReverse_all!$A$1:$FK$281,167,0)</f>
        <v>197.06</v>
      </c>
      <c r="J563" s="4">
        <f t="shared" si="66"/>
        <v>2516.105</v>
      </c>
      <c r="K563" s="7">
        <v>-269.03999999999996</v>
      </c>
      <c r="L563" t="s">
        <v>11</v>
      </c>
      <c r="M563" t="s">
        <v>10</v>
      </c>
      <c r="N563" s="26">
        <f>VLOOKUP(A563,[1]PGReconsile!$A$1:$E$642,5,0)</f>
        <v>45922.443055555559</v>
      </c>
    </row>
    <row r="564" spans="1:14" x14ac:dyDescent="0.3">
      <c r="A564">
        <v>8680270452</v>
      </c>
      <c r="B564">
        <v>1994</v>
      </c>
      <c r="C564" s="1">
        <v>541.17100000000005</v>
      </c>
      <c r="D564" s="1">
        <v>53.1</v>
      </c>
      <c r="E564" s="1">
        <v>222.54199999999997</v>
      </c>
      <c r="F564">
        <v>1389.047</v>
      </c>
      <c r="G564" s="1">
        <f t="shared" si="62"/>
        <v>1166.5050000000001</v>
      </c>
      <c r="H564" s="5">
        <v>604.95299999999997</v>
      </c>
      <c r="I564" s="4">
        <f>VLOOKUP(A564,[1]PGReverse_all!$A$1:$FK$281,167,0)</f>
        <v>197.06</v>
      </c>
      <c r="J564" s="4">
        <f t="shared" si="66"/>
        <v>1639.2069999999999</v>
      </c>
      <c r="K564" s="7">
        <v>-250.15999999999985</v>
      </c>
      <c r="L564" t="s">
        <v>11</v>
      </c>
      <c r="M564" t="s">
        <v>10</v>
      </c>
      <c r="N564" s="26">
        <f>VLOOKUP(A564,[1]PGReconsile!$A$1:$E$642,5,0)</f>
        <v>45918.544444444444</v>
      </c>
    </row>
    <row r="565" spans="1:14" x14ac:dyDescent="0.3">
      <c r="A565">
        <v>8667648203</v>
      </c>
      <c r="B565">
        <v>2644</v>
      </c>
      <c r="C565" s="1">
        <v>655.18299999999999</v>
      </c>
      <c r="D565" s="1">
        <v>71.98</v>
      </c>
      <c r="E565" s="1">
        <v>295.09399999999999</v>
      </c>
      <c r="F565">
        <v>1902.672</v>
      </c>
      <c r="G565" s="1">
        <f t="shared" si="62"/>
        <v>1607.578</v>
      </c>
      <c r="H565" s="5">
        <v>741.32799999999997</v>
      </c>
      <c r="I565" s="4">
        <v>0</v>
      </c>
      <c r="J565" s="4" t="s">
        <v>25</v>
      </c>
      <c r="K565" s="8">
        <v>1902.672</v>
      </c>
      <c r="L565" t="s">
        <v>12</v>
      </c>
      <c r="M565" t="s">
        <v>10</v>
      </c>
      <c r="N565" s="26">
        <f>VLOOKUP(A565,[1]PGReconsile!$A$1:$E$642,5,0)</f>
        <v>45915.47152777778</v>
      </c>
    </row>
    <row r="566" spans="1:14" x14ac:dyDescent="0.3">
      <c r="A566">
        <v>8680835728</v>
      </c>
      <c r="B566">
        <v>2594</v>
      </c>
      <c r="C566" s="1">
        <v>550.96600000000001</v>
      </c>
      <c r="D566" s="1">
        <v>71.98</v>
      </c>
      <c r="E566" s="1">
        <v>289.51</v>
      </c>
      <c r="F566">
        <v>1957.1579999999999</v>
      </c>
      <c r="G566" s="1">
        <f t="shared" si="62"/>
        <v>1667.6479999999999</v>
      </c>
      <c r="H566" s="5">
        <v>636.8420000000001</v>
      </c>
      <c r="I566" s="4">
        <f>VLOOKUP(A566,[1]PGReverse_all!$A$1:$FK$281,167,0)</f>
        <v>197.06</v>
      </c>
      <c r="J566" s="4">
        <f>F566+D566+I566</f>
        <v>2226.1979999999999</v>
      </c>
      <c r="K566" s="7">
        <v>-269.03999999999996</v>
      </c>
      <c r="L566" t="s">
        <v>11</v>
      </c>
      <c r="M566" t="s">
        <v>10</v>
      </c>
      <c r="N566" s="26">
        <f>VLOOKUP(A566,[1]PGReconsile!$A$1:$E$642,5,0)</f>
        <v>45918.800694444442</v>
      </c>
    </row>
    <row r="567" spans="1:14" x14ac:dyDescent="0.3">
      <c r="A567">
        <v>8662341758</v>
      </c>
      <c r="B567">
        <v>1931</v>
      </c>
      <c r="C567" s="1">
        <v>638.00300000000004</v>
      </c>
      <c r="D567" s="1">
        <v>53.1</v>
      </c>
      <c r="E567" s="1">
        <v>215.51</v>
      </c>
      <c r="F567">
        <v>1229.5530000000001</v>
      </c>
      <c r="G567" s="1">
        <f t="shared" si="62"/>
        <v>1014.0430000000001</v>
      </c>
      <c r="H567" s="5">
        <v>701.44699999999989</v>
      </c>
      <c r="I567" s="4">
        <v>0</v>
      </c>
      <c r="J567" s="4" t="s">
        <v>25</v>
      </c>
      <c r="K567" s="8">
        <v>1229.5530000000001</v>
      </c>
      <c r="L567" t="s">
        <v>12</v>
      </c>
      <c r="M567" t="s">
        <v>10</v>
      </c>
      <c r="N567" s="26">
        <f>VLOOKUP(A567,[1]PGReconsile!$A$1:$E$642,5,0)</f>
        <v>45912.475694444445</v>
      </c>
    </row>
    <row r="568" spans="1:14" x14ac:dyDescent="0.3">
      <c r="A568">
        <v>8690365732</v>
      </c>
      <c r="B568">
        <v>4543.99</v>
      </c>
      <c r="C568" s="1">
        <v>1126.001</v>
      </c>
      <c r="D568" s="1">
        <v>71.98</v>
      </c>
      <c r="E568" s="1">
        <v>712.404</v>
      </c>
      <c r="F568">
        <v>3322.904</v>
      </c>
      <c r="G568" s="1">
        <f t="shared" si="62"/>
        <v>2610.5</v>
      </c>
      <c r="H568" s="5">
        <v>1221.0859999999998</v>
      </c>
      <c r="I568" s="4">
        <f>VLOOKUP(A568,[1]PGReverse_all!$A$1:$FK$281,167,0)</f>
        <v>197.06</v>
      </c>
      <c r="J568" s="4">
        <f t="shared" ref="J568:J569" si="67">F568+D568+I568</f>
        <v>3591.944</v>
      </c>
      <c r="K568" s="7">
        <v>-269.03999999999996</v>
      </c>
      <c r="L568" t="s">
        <v>11</v>
      </c>
      <c r="M568" t="s">
        <v>10</v>
      </c>
      <c r="N568" s="26">
        <f>VLOOKUP(A568,[1]PGReconsile!$A$1:$E$642,5,0)</f>
        <v>45922.443055555559</v>
      </c>
    </row>
    <row r="569" spans="1:14" x14ac:dyDescent="0.3">
      <c r="A569">
        <v>8666896038</v>
      </c>
      <c r="B569">
        <v>1204</v>
      </c>
      <c r="C569" s="1">
        <v>312.55799999999999</v>
      </c>
      <c r="D569" s="1">
        <v>53.1</v>
      </c>
      <c r="E569" s="1">
        <v>134.375</v>
      </c>
      <c r="F569">
        <v>831.89200000000005</v>
      </c>
      <c r="G569" s="1">
        <f t="shared" si="62"/>
        <v>697.51700000000005</v>
      </c>
      <c r="H569" s="5">
        <v>372.10799999999995</v>
      </c>
      <c r="I569" s="4">
        <f>VLOOKUP(A569,[1]PGReverse_all!$A$1:$FK$281,167,0)</f>
        <v>197.06</v>
      </c>
      <c r="J569" s="4">
        <f t="shared" si="67"/>
        <v>1082.0520000000001</v>
      </c>
      <c r="K569" s="7">
        <v>-250.16000000000008</v>
      </c>
      <c r="L569" t="s">
        <v>11</v>
      </c>
      <c r="M569" t="s">
        <v>10</v>
      </c>
      <c r="N569" s="26">
        <f>VLOOKUP(A569,[1]PGReconsile!$A$1:$E$642,5,0)</f>
        <v>45913.771527777775</v>
      </c>
    </row>
    <row r="570" spans="1:14" x14ac:dyDescent="0.3">
      <c r="A570">
        <v>8685812812</v>
      </c>
      <c r="B570">
        <v>3564</v>
      </c>
      <c r="C570" s="1">
        <v>883.15899999999999</v>
      </c>
      <c r="D570" s="1">
        <v>71.98</v>
      </c>
      <c r="E570" s="1">
        <v>397.77100000000002</v>
      </c>
      <c r="F570">
        <v>2589.768</v>
      </c>
      <c r="G570" s="1">
        <f t="shared" si="62"/>
        <v>2191.9969999999998</v>
      </c>
      <c r="H570" s="5">
        <v>974.23199999999997</v>
      </c>
      <c r="I570" s="4">
        <v>0</v>
      </c>
      <c r="J570" s="4" t="s">
        <v>25</v>
      </c>
      <c r="K570" s="8">
        <v>2589.768</v>
      </c>
      <c r="L570" t="s">
        <v>12</v>
      </c>
      <c r="M570" t="s">
        <v>10</v>
      </c>
      <c r="N570" s="26">
        <f>VLOOKUP(A570,[1]PGReconsile!$A$1:$E$642,5,0)</f>
        <v>45920.473611111112</v>
      </c>
    </row>
    <row r="571" spans="1:14" x14ac:dyDescent="0.3">
      <c r="A571">
        <v>8700359014</v>
      </c>
      <c r="B571">
        <v>2396</v>
      </c>
      <c r="C571" s="1">
        <v>593.72900000000004</v>
      </c>
      <c r="D571" s="1">
        <v>71.98</v>
      </c>
      <c r="E571" s="1">
        <v>125.50999999999999</v>
      </c>
      <c r="F571">
        <v>1716.5989999999999</v>
      </c>
      <c r="G571" s="1">
        <f t="shared" si="62"/>
        <v>1591.0889999999999</v>
      </c>
      <c r="H571" s="5">
        <v>679.40100000000007</v>
      </c>
      <c r="I571" s="4">
        <v>0</v>
      </c>
      <c r="J571" s="4" t="s">
        <v>25</v>
      </c>
      <c r="K571" s="8">
        <v>1716.5989999999999</v>
      </c>
      <c r="L571" t="s">
        <v>12</v>
      </c>
      <c r="M571" t="s">
        <v>10</v>
      </c>
      <c r="N571" s="26">
        <f>VLOOKUP(A571,[1]PGReconsile!$A$1:$E$642,5,0)</f>
        <v>45923.446527777778</v>
      </c>
    </row>
    <row r="572" spans="1:14" x14ac:dyDescent="0.3">
      <c r="A572">
        <v>8680581306</v>
      </c>
      <c r="B572">
        <v>3994</v>
      </c>
      <c r="C572" s="1">
        <v>1272.489</v>
      </c>
      <c r="D572" s="1">
        <v>71.97999999999999</v>
      </c>
      <c r="E572" s="1">
        <v>445.76</v>
      </c>
      <c r="F572">
        <v>2628.1350000000002</v>
      </c>
      <c r="G572" s="1">
        <f t="shared" si="62"/>
        <v>2182.375</v>
      </c>
      <c r="H572" s="5">
        <v>1365.8649999999998</v>
      </c>
      <c r="I572" s="4">
        <f>VLOOKUP(A572,[1]PGReverse_all!$A$1:$FK$281,167,0)</f>
        <v>197.06</v>
      </c>
      <c r="J572" s="4">
        <f t="shared" ref="J572:J573" si="68">F572+D572+I572</f>
        <v>2897.1750000000002</v>
      </c>
      <c r="K572" s="7">
        <v>-269.03999999999996</v>
      </c>
      <c r="L572" t="s">
        <v>11</v>
      </c>
      <c r="M572" t="s">
        <v>10</v>
      </c>
      <c r="N572" s="26">
        <f>VLOOKUP(A572,[1]PGReconsile!$A$1:$E$642,5,0)</f>
        <v>45918.800694444442</v>
      </c>
    </row>
    <row r="573" spans="1:14" x14ac:dyDescent="0.3">
      <c r="A573">
        <v>8673241096</v>
      </c>
      <c r="B573">
        <v>3169</v>
      </c>
      <c r="C573" s="1">
        <v>822.67200000000003</v>
      </c>
      <c r="D573" s="1">
        <v>71.98</v>
      </c>
      <c r="E573" s="1">
        <v>353.68700000000001</v>
      </c>
      <c r="F573">
        <v>2257.3719999999998</v>
      </c>
      <c r="G573" s="1">
        <f t="shared" si="62"/>
        <v>1903.6849999999999</v>
      </c>
      <c r="H573" s="5">
        <v>911.62800000000016</v>
      </c>
      <c r="I573" s="4">
        <f>VLOOKUP(A573,[1]PGReverse_all!$A$1:$FK$281,167,0)</f>
        <v>107.38</v>
      </c>
      <c r="J573" s="4">
        <f t="shared" si="68"/>
        <v>2436.732</v>
      </c>
      <c r="K573" s="7">
        <v>-179.36000000000013</v>
      </c>
      <c r="L573" t="s">
        <v>11</v>
      </c>
      <c r="M573" t="s">
        <v>10</v>
      </c>
      <c r="N573" s="26">
        <f>VLOOKUP(A573,[1]PGReconsile!$A$1:$E$642,5,0)</f>
        <v>45916.459722222222</v>
      </c>
    </row>
    <row r="574" spans="1:14" x14ac:dyDescent="0.3">
      <c r="A574">
        <v>8696468577</v>
      </c>
      <c r="B574">
        <v>3328.99</v>
      </c>
      <c r="C574" s="1">
        <v>707.077</v>
      </c>
      <c r="D574" s="1">
        <v>71.98</v>
      </c>
      <c r="E574" s="1">
        <v>521.91600000000005</v>
      </c>
      <c r="F574">
        <v>2533.0059999999999</v>
      </c>
      <c r="G574" s="1">
        <f t="shared" si="62"/>
        <v>2011.0899999999997</v>
      </c>
      <c r="H574" s="5">
        <v>795.98399999999992</v>
      </c>
      <c r="I574" s="4">
        <v>0</v>
      </c>
      <c r="J574" s="4" t="s">
        <v>25</v>
      </c>
      <c r="K574" s="8">
        <v>2533.0059999999999</v>
      </c>
      <c r="L574" t="s">
        <v>12</v>
      </c>
      <c r="M574" t="s">
        <v>10</v>
      </c>
      <c r="N574" s="26">
        <f>VLOOKUP(A574,[1]PGReconsile!$A$1:$E$642,5,0)</f>
        <v>45922.532638888886</v>
      </c>
    </row>
    <row r="575" spans="1:14" x14ac:dyDescent="0.3">
      <c r="A575">
        <v>8697412249</v>
      </c>
      <c r="B575">
        <v>3109</v>
      </c>
      <c r="C575" s="1">
        <v>660.35199999999998</v>
      </c>
      <c r="D575" s="1">
        <v>71.98</v>
      </c>
      <c r="E575" s="1">
        <v>487.43399999999997</v>
      </c>
      <c r="F575">
        <v>2360.8589999999999</v>
      </c>
      <c r="G575" s="1">
        <f t="shared" si="62"/>
        <v>1873.425</v>
      </c>
      <c r="H575" s="5">
        <v>748.14100000000008</v>
      </c>
      <c r="I575" s="4">
        <v>0</v>
      </c>
      <c r="J575" s="4" t="s">
        <v>25</v>
      </c>
      <c r="K575" s="8">
        <v>2360.8589999999999</v>
      </c>
      <c r="L575" t="s">
        <v>12</v>
      </c>
      <c r="M575" t="s">
        <v>10</v>
      </c>
      <c r="N575" s="26">
        <f>VLOOKUP(A575,[1]PGReconsile!$A$1:$E$642,5,0)</f>
        <v>45922.779861111114</v>
      </c>
    </row>
    <row r="576" spans="1:14" x14ac:dyDescent="0.3">
      <c r="A576">
        <v>8661543409</v>
      </c>
      <c r="B576">
        <v>2719</v>
      </c>
      <c r="C576" s="1">
        <v>673.76800000000003</v>
      </c>
      <c r="D576" s="1">
        <v>71.98</v>
      </c>
      <c r="E576" s="1">
        <v>303.45799999999997</v>
      </c>
      <c r="F576">
        <v>1958.6859999999999</v>
      </c>
      <c r="G576" s="1">
        <f t="shared" si="62"/>
        <v>1655.2280000000001</v>
      </c>
      <c r="H576" s="5">
        <v>760.31400000000008</v>
      </c>
      <c r="I576" s="4">
        <v>0</v>
      </c>
      <c r="J576" s="4" t="s">
        <v>25</v>
      </c>
      <c r="K576" s="8">
        <v>1958.6859999999999</v>
      </c>
      <c r="L576" t="s">
        <v>12</v>
      </c>
      <c r="M576" t="s">
        <v>10</v>
      </c>
      <c r="N576" s="26">
        <f>VLOOKUP(A576,[1]PGReconsile!$A$1:$E$642,5,0)</f>
        <v>45912.475694444445</v>
      </c>
    </row>
    <row r="577" spans="1:14" x14ac:dyDescent="0.3">
      <c r="A577">
        <v>8662707145</v>
      </c>
      <c r="B577">
        <v>2993.99</v>
      </c>
      <c r="C577" s="1">
        <v>777.24</v>
      </c>
      <c r="D577" s="1">
        <v>71.98</v>
      </c>
      <c r="E577" s="1">
        <v>334.15600000000001</v>
      </c>
      <c r="F577">
        <v>2128.7310000000002</v>
      </c>
      <c r="G577" s="1">
        <f t="shared" si="62"/>
        <v>1794.5750000000003</v>
      </c>
      <c r="H577" s="5">
        <v>865.25899999999956</v>
      </c>
      <c r="I577" s="4">
        <v>0</v>
      </c>
      <c r="J577" s="4" t="s">
        <v>25</v>
      </c>
      <c r="K577" s="8">
        <v>2128.7310000000002</v>
      </c>
      <c r="L577" t="s">
        <v>12</v>
      </c>
      <c r="M577" t="s">
        <v>10</v>
      </c>
      <c r="N577" s="26">
        <f>VLOOKUP(A577,[1]PGReconsile!$A$1:$E$642,5,0)</f>
        <v>45912.475694444445</v>
      </c>
    </row>
    <row r="578" spans="1:14" x14ac:dyDescent="0.3">
      <c r="A578">
        <v>8695661593</v>
      </c>
      <c r="B578">
        <v>2149.9899999999998</v>
      </c>
      <c r="C578" s="1">
        <v>532.76800000000003</v>
      </c>
      <c r="D578" s="1">
        <v>71.98</v>
      </c>
      <c r="E578" s="1">
        <v>112.61799999999999</v>
      </c>
      <c r="F578">
        <v>1532.9559999999999</v>
      </c>
      <c r="G578" s="1">
        <f t="shared" si="62"/>
        <v>1420.338</v>
      </c>
      <c r="H578" s="5">
        <v>617.03399999999988</v>
      </c>
      <c r="I578" s="4">
        <f>VLOOKUP(A578,[1]PGReverse_all!$A$1:$FK$281,167,0)</f>
        <v>197.06</v>
      </c>
      <c r="J578" s="4">
        <f>F578+D578+I578</f>
        <v>1801.9959999999999</v>
      </c>
      <c r="K578" s="7">
        <v>-269.03999999999996</v>
      </c>
      <c r="L578" t="s">
        <v>11</v>
      </c>
      <c r="M578" t="s">
        <v>10</v>
      </c>
      <c r="N578" s="26">
        <f>VLOOKUP(A578,[1]PGReconsile!$A$1:$E$642,5,0)</f>
        <v>45922.443055555559</v>
      </c>
    </row>
    <row r="579" spans="1:14" x14ac:dyDescent="0.3">
      <c r="A579">
        <v>8683699399</v>
      </c>
      <c r="B579">
        <v>3563.99</v>
      </c>
      <c r="C579" s="1">
        <v>883.15700000000004</v>
      </c>
      <c r="D579" s="1">
        <v>71.98</v>
      </c>
      <c r="E579" s="1">
        <v>397.77100000000002</v>
      </c>
      <c r="F579">
        <v>2589.7600000000002</v>
      </c>
      <c r="G579" s="1">
        <f t="shared" ref="G579:G642" si="69">F579-E579</f>
        <v>2191.989</v>
      </c>
      <c r="H579" s="5">
        <v>974.22999999999956</v>
      </c>
      <c r="I579" s="4">
        <v>0</v>
      </c>
      <c r="J579" s="4" t="s">
        <v>25</v>
      </c>
      <c r="K579" s="8">
        <v>2589.7600000000002</v>
      </c>
      <c r="L579" t="s">
        <v>12</v>
      </c>
      <c r="M579" t="s">
        <v>10</v>
      </c>
      <c r="N579" s="26">
        <f>VLOOKUP(A579,[1]PGReconsile!$A$1:$E$642,5,0)</f>
        <v>45920.473611111112</v>
      </c>
    </row>
    <row r="580" spans="1:14" x14ac:dyDescent="0.3">
      <c r="A580">
        <v>8694664242</v>
      </c>
      <c r="B580">
        <v>2644</v>
      </c>
      <c r="C580" s="1">
        <v>842.37800000000004</v>
      </c>
      <c r="D580" s="1">
        <v>71.98</v>
      </c>
      <c r="E580" s="1">
        <v>414.52299999999997</v>
      </c>
      <c r="F580">
        <v>1716.1980000000001</v>
      </c>
      <c r="G580" s="1">
        <f t="shared" si="69"/>
        <v>1301.6750000000002</v>
      </c>
      <c r="H580" s="5">
        <v>927.80199999999991</v>
      </c>
      <c r="I580" s="4">
        <v>0</v>
      </c>
      <c r="J580" s="4" t="s">
        <v>25</v>
      </c>
      <c r="K580" s="8">
        <v>1716.1980000000001</v>
      </c>
      <c r="L580" t="s">
        <v>12</v>
      </c>
      <c r="M580" t="s">
        <v>10</v>
      </c>
      <c r="N580" s="26">
        <f>VLOOKUP(A580,[1]PGReconsile!$A$1:$E$642,5,0)</f>
        <v>45922.443055555559</v>
      </c>
    </row>
    <row r="581" spans="1:14" x14ac:dyDescent="0.3">
      <c r="A581">
        <v>8672940065</v>
      </c>
      <c r="B581">
        <v>3544</v>
      </c>
      <c r="C581" s="1">
        <v>920.02200000000005</v>
      </c>
      <c r="D581" s="1">
        <v>71.98</v>
      </c>
      <c r="E581" s="1">
        <v>395.53100000000001</v>
      </c>
      <c r="F581">
        <v>2533.0129999999999</v>
      </c>
      <c r="G581" s="1">
        <f t="shared" si="69"/>
        <v>2137.482</v>
      </c>
      <c r="H581" s="5">
        <v>1010.9870000000001</v>
      </c>
      <c r="I581" s="4">
        <v>0</v>
      </c>
      <c r="J581" s="4" t="s">
        <v>25</v>
      </c>
      <c r="K581" s="8">
        <v>2533.0129999999999</v>
      </c>
      <c r="L581" t="s">
        <v>12</v>
      </c>
      <c r="M581" t="s">
        <v>10</v>
      </c>
      <c r="N581" s="26">
        <f>VLOOKUP(A581,[1]PGReconsile!$A$1:$E$642,5,0)</f>
        <v>45916.459722222222</v>
      </c>
    </row>
    <row r="582" spans="1:14" x14ac:dyDescent="0.3">
      <c r="A582">
        <v>8682620190</v>
      </c>
      <c r="B582">
        <v>3563.99</v>
      </c>
      <c r="C582" s="1">
        <v>883.15700000000004</v>
      </c>
      <c r="D582" s="1">
        <v>71.98</v>
      </c>
      <c r="E582" s="1">
        <v>397.77100000000002</v>
      </c>
      <c r="F582">
        <v>2589.7600000000002</v>
      </c>
      <c r="G582" s="1">
        <f t="shared" si="69"/>
        <v>2191.989</v>
      </c>
      <c r="H582" s="5">
        <v>974.22999999999956</v>
      </c>
      <c r="I582" s="4">
        <v>0</v>
      </c>
      <c r="J582" s="4" t="s">
        <v>25</v>
      </c>
      <c r="K582" s="8">
        <v>2589.7600000000002</v>
      </c>
      <c r="L582" t="s">
        <v>12</v>
      </c>
      <c r="M582" t="s">
        <v>10</v>
      </c>
      <c r="N582" s="26">
        <f>VLOOKUP(A582,[1]PGReconsile!$A$1:$E$642,5,0)</f>
        <v>45919.79791666667</v>
      </c>
    </row>
    <row r="583" spans="1:14" x14ac:dyDescent="0.3">
      <c r="A583">
        <v>8683798730</v>
      </c>
      <c r="B583">
        <v>2293</v>
      </c>
      <c r="C583" s="1">
        <v>730.55</v>
      </c>
      <c r="D583" s="1">
        <v>71.97999999999999</v>
      </c>
      <c r="E583" s="1">
        <v>255.916</v>
      </c>
      <c r="F583">
        <v>1478.1869999999999</v>
      </c>
      <c r="G583" s="1">
        <f t="shared" si="69"/>
        <v>1222.271</v>
      </c>
      <c r="H583" s="5">
        <v>814.8130000000001</v>
      </c>
      <c r="I583" s="4">
        <v>0</v>
      </c>
      <c r="J583" s="4" t="s">
        <v>25</v>
      </c>
      <c r="K583" s="8">
        <v>1478.1869999999999</v>
      </c>
      <c r="L583" t="s">
        <v>12</v>
      </c>
      <c r="M583" t="s">
        <v>10</v>
      </c>
      <c r="N583" s="26">
        <f>VLOOKUP(A583,[1]PGReconsile!$A$1:$E$642,5,0)</f>
        <v>45920.473611111112</v>
      </c>
    </row>
    <row r="584" spans="1:14" x14ac:dyDescent="0.3">
      <c r="A584">
        <v>8695941287</v>
      </c>
      <c r="B584">
        <v>3564</v>
      </c>
      <c r="C584" s="1">
        <v>883.15899999999999</v>
      </c>
      <c r="D584" s="1">
        <v>71.98</v>
      </c>
      <c r="E584" s="1">
        <v>558.76199999999994</v>
      </c>
      <c r="F584">
        <v>2590.739</v>
      </c>
      <c r="G584" s="1">
        <f t="shared" si="69"/>
        <v>2031.9770000000001</v>
      </c>
      <c r="H584" s="5">
        <v>973.26099999999997</v>
      </c>
      <c r="I584" s="4">
        <f>VLOOKUP(A584,[1]PGReverse_all!$A$1:$FK$281,167,0)</f>
        <v>132.16</v>
      </c>
      <c r="J584" s="4">
        <f t="shared" ref="J584:J586" si="70">F584+D584+I584</f>
        <v>2794.8789999999999</v>
      </c>
      <c r="K584" s="7">
        <v>-204.13999999999987</v>
      </c>
      <c r="L584" t="s">
        <v>11</v>
      </c>
      <c r="M584" t="s">
        <v>10</v>
      </c>
      <c r="N584" s="26">
        <f>VLOOKUP(A584,[1]PGReconsile!$A$1:$E$642,5,0)</f>
        <v>45922.443055555559</v>
      </c>
    </row>
    <row r="585" spans="1:14" x14ac:dyDescent="0.3">
      <c r="A585">
        <v>8663313597</v>
      </c>
      <c r="B585">
        <v>2994</v>
      </c>
      <c r="C585" s="1">
        <v>741.91300000000001</v>
      </c>
      <c r="D585" s="1">
        <v>71.98</v>
      </c>
      <c r="E585" s="1">
        <v>334.15600000000001</v>
      </c>
      <c r="F585">
        <v>2164.0680000000002</v>
      </c>
      <c r="G585" s="1">
        <f t="shared" si="69"/>
        <v>1829.9120000000003</v>
      </c>
      <c r="H585" s="5">
        <v>829.93199999999979</v>
      </c>
      <c r="I585" s="4">
        <f>VLOOKUP(A585,[1]PGReverse_all!$A$1:$FK$281,167,0)</f>
        <v>197.06</v>
      </c>
      <c r="J585" s="4">
        <f t="shared" si="70"/>
        <v>2433.1080000000002</v>
      </c>
      <c r="K585" s="7">
        <v>-269.03999999999996</v>
      </c>
      <c r="L585" t="s">
        <v>11</v>
      </c>
      <c r="M585" t="s">
        <v>10</v>
      </c>
      <c r="N585" s="26">
        <f>VLOOKUP(A585,[1]PGReconsile!$A$1:$E$642,5,0)</f>
        <v>45912.803472222222</v>
      </c>
    </row>
    <row r="586" spans="1:14" x14ac:dyDescent="0.3">
      <c r="A586">
        <v>8694664240</v>
      </c>
      <c r="B586">
        <v>2293</v>
      </c>
      <c r="C586" s="1">
        <v>730.55</v>
      </c>
      <c r="D586" s="1">
        <v>71.97999999999999</v>
      </c>
      <c r="E586" s="1">
        <v>120.119</v>
      </c>
      <c r="F586">
        <v>1477.367</v>
      </c>
      <c r="G586" s="1">
        <f t="shared" si="69"/>
        <v>1357.248</v>
      </c>
      <c r="H586" s="5">
        <v>815.63300000000004</v>
      </c>
      <c r="I586" s="4">
        <f>VLOOKUP(A586,[1]PGReverse_all!$A$1:$FK$281,167,0)</f>
        <v>107.38000000000001</v>
      </c>
      <c r="J586" s="4">
        <f t="shared" si="70"/>
        <v>1656.7270000000001</v>
      </c>
      <c r="K586" s="7">
        <v>-179.36000000000013</v>
      </c>
      <c r="L586" t="s">
        <v>11</v>
      </c>
      <c r="M586" t="s">
        <v>10</v>
      </c>
      <c r="N586" s="26">
        <f>VLOOKUP(A586,[1]PGReconsile!$A$1:$E$642,5,0)</f>
        <v>45922.443055555559</v>
      </c>
    </row>
    <row r="587" spans="1:14" x14ac:dyDescent="0.3">
      <c r="A587">
        <v>8672870386</v>
      </c>
      <c r="B587">
        <v>150</v>
      </c>
      <c r="C587" s="1">
        <v>17.7</v>
      </c>
      <c r="D587" s="1">
        <v>31.86</v>
      </c>
      <c r="E587" s="1">
        <v>7.8539999999999992</v>
      </c>
      <c r="F587">
        <v>99.582999999999998</v>
      </c>
      <c r="G587" s="1">
        <f t="shared" si="69"/>
        <v>91.728999999999999</v>
      </c>
      <c r="H587" s="5">
        <v>50.417000000000002</v>
      </c>
      <c r="I587" s="4">
        <v>0</v>
      </c>
      <c r="J587" s="4" t="s">
        <v>25</v>
      </c>
      <c r="K587" s="8">
        <v>99.582999999999998</v>
      </c>
      <c r="L587" t="s">
        <v>12</v>
      </c>
      <c r="M587" t="s">
        <v>10</v>
      </c>
      <c r="N587" s="26">
        <f>VLOOKUP(A587,[1]PGReconsile!$A$1:$E$642,5,0)</f>
        <v>45915.790972222225</v>
      </c>
    </row>
    <row r="588" spans="1:14" x14ac:dyDescent="0.3">
      <c r="A588">
        <v>8693415291</v>
      </c>
      <c r="B588">
        <v>3564</v>
      </c>
      <c r="C588" s="1">
        <v>883.15899999999999</v>
      </c>
      <c r="D588" s="1">
        <v>71.98</v>
      </c>
      <c r="E588" s="1">
        <v>558.76199999999994</v>
      </c>
      <c r="F588">
        <v>2590.739</v>
      </c>
      <c r="G588" s="1">
        <f t="shared" si="69"/>
        <v>2031.9770000000001</v>
      </c>
      <c r="H588" s="5">
        <v>973.26099999999997</v>
      </c>
      <c r="I588" s="4">
        <v>0</v>
      </c>
      <c r="J588" s="4" t="s">
        <v>25</v>
      </c>
      <c r="K588" s="8">
        <v>2590.739</v>
      </c>
      <c r="L588" t="s">
        <v>12</v>
      </c>
      <c r="M588" t="s">
        <v>10</v>
      </c>
      <c r="N588" s="26">
        <f>VLOOKUP(A588,[1]PGReconsile!$A$1:$E$642,5,0)</f>
        <v>45922.443055555559</v>
      </c>
    </row>
    <row r="589" spans="1:14" x14ac:dyDescent="0.3">
      <c r="A589">
        <v>8661360320</v>
      </c>
      <c r="B589">
        <v>3794</v>
      </c>
      <c r="C589" s="1">
        <v>940.15300000000002</v>
      </c>
      <c r="D589" s="1">
        <v>71.98</v>
      </c>
      <c r="E589" s="1">
        <v>423.43700000000001</v>
      </c>
      <c r="F589">
        <v>2761.5419999999999</v>
      </c>
      <c r="G589" s="1">
        <f t="shared" si="69"/>
        <v>2338.105</v>
      </c>
      <c r="H589" s="5">
        <v>1032.4580000000001</v>
      </c>
      <c r="I589" s="4">
        <v>0</v>
      </c>
      <c r="J589" s="4" t="s">
        <v>25</v>
      </c>
      <c r="K589" s="8">
        <v>2761.5419999999999</v>
      </c>
      <c r="L589" t="s">
        <v>12</v>
      </c>
      <c r="M589" t="s">
        <v>10</v>
      </c>
      <c r="N589" s="26">
        <f>VLOOKUP(A589,[1]PGReconsile!$A$1:$E$642,5,0)</f>
        <v>45911.783333333333</v>
      </c>
    </row>
    <row r="590" spans="1:14" x14ac:dyDescent="0.3">
      <c r="A590">
        <v>8686513129</v>
      </c>
      <c r="B590">
        <v>2417</v>
      </c>
      <c r="C590" s="1">
        <v>627.45299999999997</v>
      </c>
      <c r="D590" s="1">
        <v>71.98</v>
      </c>
      <c r="E590" s="1">
        <v>269.75</v>
      </c>
      <c r="F590">
        <v>1704.6189999999999</v>
      </c>
      <c r="G590" s="1">
        <f t="shared" si="69"/>
        <v>1434.8689999999999</v>
      </c>
      <c r="H590" s="5">
        <v>712.38100000000009</v>
      </c>
      <c r="I590" s="4">
        <v>0</v>
      </c>
      <c r="J590" s="4" t="s">
        <v>25</v>
      </c>
      <c r="K590" s="8">
        <v>1704.6189999999999</v>
      </c>
      <c r="L590" t="s">
        <v>12</v>
      </c>
      <c r="M590" t="s">
        <v>10</v>
      </c>
      <c r="N590" s="26">
        <f>VLOOKUP(A590,[1]PGReconsile!$A$1:$E$642,5,0)</f>
        <v>45920.538888888892</v>
      </c>
    </row>
    <row r="591" spans="1:14" x14ac:dyDescent="0.3">
      <c r="A591">
        <v>8698760848</v>
      </c>
      <c r="B591">
        <v>3260</v>
      </c>
      <c r="C591" s="1">
        <v>846.29600000000005</v>
      </c>
      <c r="D591" s="1">
        <v>71.97999999999999</v>
      </c>
      <c r="E591" s="1">
        <v>511.09399999999999</v>
      </c>
      <c r="F591">
        <v>2325.1469999999999</v>
      </c>
      <c r="G591" s="1">
        <f t="shared" si="69"/>
        <v>1814.0529999999999</v>
      </c>
      <c r="H591" s="5">
        <v>934.85300000000007</v>
      </c>
      <c r="I591" s="4">
        <f>VLOOKUP(A591,[1]PGReverse_all!$A$1:$FK$281,167,0)</f>
        <v>197.06</v>
      </c>
      <c r="J591" s="4">
        <f t="shared" ref="J591:J592" si="71">F591+D591+I591</f>
        <v>2594.1869999999999</v>
      </c>
      <c r="K591" s="7">
        <v>-269.03999999999996</v>
      </c>
      <c r="L591" t="s">
        <v>11</v>
      </c>
      <c r="M591" t="s">
        <v>10</v>
      </c>
      <c r="N591" s="26">
        <f>VLOOKUP(A591,[1]PGReconsile!$A$1:$E$642,5,0)</f>
        <v>45923.446527777778</v>
      </c>
    </row>
    <row r="592" spans="1:14" x14ac:dyDescent="0.3">
      <c r="A592">
        <v>8695924416</v>
      </c>
      <c r="B592">
        <v>2244</v>
      </c>
      <c r="C592" s="1">
        <v>582.54200000000003</v>
      </c>
      <c r="D592" s="1">
        <v>71.98</v>
      </c>
      <c r="E592" s="1">
        <v>117.54599999999999</v>
      </c>
      <c r="F592">
        <v>1576.655</v>
      </c>
      <c r="G592" s="1">
        <f t="shared" si="69"/>
        <v>1459.1089999999999</v>
      </c>
      <c r="H592" s="5">
        <v>667.34500000000003</v>
      </c>
      <c r="I592" s="4">
        <f>VLOOKUP(A592,[1]PGReverse_all!$A$1:$FK$281,167,0)</f>
        <v>197.06</v>
      </c>
      <c r="J592" s="4">
        <f t="shared" si="71"/>
        <v>1845.6949999999999</v>
      </c>
      <c r="K592" s="7">
        <v>-269.03999999999996</v>
      </c>
      <c r="L592" t="s">
        <v>11</v>
      </c>
      <c r="M592" t="s">
        <v>10</v>
      </c>
      <c r="N592" s="26">
        <f>VLOOKUP(A592,[1]PGReconsile!$A$1:$E$642,5,0)</f>
        <v>45922.443055555559</v>
      </c>
    </row>
    <row r="593" spans="1:14" x14ac:dyDescent="0.3">
      <c r="A593">
        <v>8665912845</v>
      </c>
      <c r="B593">
        <v>1054</v>
      </c>
      <c r="C593" s="1">
        <v>236.30699999999999</v>
      </c>
      <c r="D593" s="1">
        <v>53.1</v>
      </c>
      <c r="E593" s="1">
        <v>117.63500000000001</v>
      </c>
      <c r="F593">
        <v>758.947</v>
      </c>
      <c r="G593" s="1">
        <f t="shared" si="69"/>
        <v>641.31200000000001</v>
      </c>
      <c r="H593" s="5">
        <v>295.053</v>
      </c>
      <c r="I593" s="4">
        <v>0</v>
      </c>
      <c r="J593" s="4" t="s">
        <v>25</v>
      </c>
      <c r="K593" s="8">
        <v>758.947</v>
      </c>
      <c r="L593" t="s">
        <v>12</v>
      </c>
      <c r="M593" t="s">
        <v>10</v>
      </c>
      <c r="N593" s="26">
        <f>VLOOKUP(A593,[1]PGReconsile!$A$1:$E$642,5,0)</f>
        <v>45913.570833333331</v>
      </c>
    </row>
    <row r="594" spans="1:14" x14ac:dyDescent="0.3">
      <c r="A594">
        <v>8710495331</v>
      </c>
      <c r="B594">
        <v>2149.9900000000002</v>
      </c>
      <c r="C594" s="1">
        <v>684.98699999999997</v>
      </c>
      <c r="D594" s="1">
        <v>71.97999999999999</v>
      </c>
      <c r="E594" s="1">
        <v>112.61799999999999</v>
      </c>
      <c r="F594">
        <v>1380.7370000000001</v>
      </c>
      <c r="G594" s="1">
        <f t="shared" si="69"/>
        <v>1268.1190000000001</v>
      </c>
      <c r="H594" s="5">
        <v>769.25300000000016</v>
      </c>
      <c r="I594" s="4">
        <v>0</v>
      </c>
      <c r="J594" s="4" t="s">
        <v>25</v>
      </c>
      <c r="K594" s="8">
        <v>1380.7370000000001</v>
      </c>
      <c r="L594" t="s">
        <v>12</v>
      </c>
      <c r="M594" t="s">
        <v>10</v>
      </c>
      <c r="N594" s="26">
        <f>VLOOKUP(A594,[1]PGReconsile!$A$1:$E$642,5,0)</f>
        <v>45926.446527777778</v>
      </c>
    </row>
    <row r="595" spans="1:14" x14ac:dyDescent="0.3">
      <c r="A595">
        <v>8664041077</v>
      </c>
      <c r="B595">
        <v>3119</v>
      </c>
      <c r="C595" s="1">
        <v>993.71299999999997</v>
      </c>
      <c r="D595" s="1">
        <v>71.98</v>
      </c>
      <c r="E595" s="1">
        <v>348.10399999999998</v>
      </c>
      <c r="F595">
        <v>2036.598</v>
      </c>
      <c r="G595" s="1">
        <f t="shared" si="69"/>
        <v>1688.4939999999999</v>
      </c>
      <c r="H595" s="5">
        <v>1082.402</v>
      </c>
      <c r="I595" s="4">
        <v>0</v>
      </c>
      <c r="J595" s="4" t="s">
        <v>25</v>
      </c>
      <c r="K595" s="8">
        <v>2036.598</v>
      </c>
      <c r="L595" t="s">
        <v>12</v>
      </c>
      <c r="M595" t="s">
        <v>10</v>
      </c>
      <c r="N595" s="26">
        <f>VLOOKUP(A595,[1]PGReconsile!$A$1:$E$642,5,0)</f>
        <v>45913.450694444444</v>
      </c>
    </row>
    <row r="596" spans="1:14" x14ac:dyDescent="0.3">
      <c r="A596">
        <v>8673164938</v>
      </c>
      <c r="B596">
        <v>3543.99</v>
      </c>
      <c r="C596" s="1">
        <v>920.02</v>
      </c>
      <c r="D596" s="1">
        <v>71.98</v>
      </c>
      <c r="E596" s="1">
        <v>395.53100000000001</v>
      </c>
      <c r="F596">
        <v>2533.0050000000001</v>
      </c>
      <c r="G596" s="1">
        <f t="shared" si="69"/>
        <v>2137.4740000000002</v>
      </c>
      <c r="H596" s="5">
        <v>1010.9849999999997</v>
      </c>
      <c r="I596" s="4">
        <f>VLOOKUP(A596,[1]PGReverse_all!$A$1:$FK$281,167,0)</f>
        <v>197.06</v>
      </c>
      <c r="J596" s="4">
        <f>F596+D596+I596</f>
        <v>2802.0450000000001</v>
      </c>
      <c r="K596" s="7">
        <v>-269.03999999999996</v>
      </c>
      <c r="L596" t="s">
        <v>11</v>
      </c>
      <c r="M596" t="s">
        <v>10</v>
      </c>
      <c r="N596" s="26">
        <f>VLOOKUP(A596,[1]PGReconsile!$A$1:$E$642,5,0)</f>
        <v>45916.459722222222</v>
      </c>
    </row>
    <row r="597" spans="1:14" x14ac:dyDescent="0.3">
      <c r="A597">
        <v>8706210924</v>
      </c>
      <c r="B597">
        <v>391</v>
      </c>
      <c r="C597" s="1">
        <v>9.2279999999999998</v>
      </c>
      <c r="D597" s="1">
        <v>31.86</v>
      </c>
      <c r="E597" s="1">
        <v>20.481999999999999</v>
      </c>
      <c r="F597">
        <v>347.678</v>
      </c>
      <c r="G597" s="1">
        <f t="shared" si="69"/>
        <v>327.19600000000003</v>
      </c>
      <c r="H597" s="5">
        <v>43.322000000000003</v>
      </c>
      <c r="I597" s="4">
        <v>0</v>
      </c>
      <c r="J597" s="4" t="s">
        <v>25</v>
      </c>
      <c r="K597" s="8">
        <v>347.678</v>
      </c>
      <c r="L597" t="s">
        <v>12</v>
      </c>
      <c r="M597" t="s">
        <v>10</v>
      </c>
      <c r="N597" s="26">
        <f>VLOOKUP(A597,[1]PGReconsile!$A$1:$E$642,5,0)</f>
        <v>45925.451388888891</v>
      </c>
    </row>
    <row r="598" spans="1:14" x14ac:dyDescent="0.3">
      <c r="A598">
        <v>8650709167</v>
      </c>
      <c r="B598">
        <v>2594</v>
      </c>
      <c r="C598" s="1">
        <v>642.79300000000001</v>
      </c>
      <c r="D598" s="1">
        <v>71.97999999999999</v>
      </c>
      <c r="E598" s="1">
        <v>289.51100000000002</v>
      </c>
      <c r="F598">
        <v>1865.33</v>
      </c>
      <c r="G598" s="1">
        <f t="shared" si="69"/>
        <v>1575.819</v>
      </c>
      <c r="H598" s="5">
        <v>728.67000000000007</v>
      </c>
      <c r="I598" s="4">
        <v>0</v>
      </c>
      <c r="J598" s="4" t="s">
        <v>25</v>
      </c>
      <c r="K598" s="8">
        <v>1865.33</v>
      </c>
      <c r="L598" t="s">
        <v>12</v>
      </c>
      <c r="M598" t="s">
        <v>10</v>
      </c>
      <c r="N598" s="26">
        <f>VLOOKUP(A598,[1]PGReconsile!$A$1:$E$642,5,0)</f>
        <v>45906.475694444445</v>
      </c>
    </row>
    <row r="599" spans="1:14" x14ac:dyDescent="0.3">
      <c r="A599">
        <v>8672963529</v>
      </c>
      <c r="B599">
        <v>2874</v>
      </c>
      <c r="C599" s="1">
        <v>610.43700000000001</v>
      </c>
      <c r="D599" s="1">
        <v>71.98</v>
      </c>
      <c r="E599" s="1">
        <v>320.76</v>
      </c>
      <c r="F599">
        <v>2176.1869999999999</v>
      </c>
      <c r="G599" s="1">
        <f t="shared" si="69"/>
        <v>1855.4269999999999</v>
      </c>
      <c r="H599" s="5">
        <v>697.8130000000001</v>
      </c>
      <c r="I599" s="4">
        <v>0</v>
      </c>
      <c r="J599" s="4" t="s">
        <v>25</v>
      </c>
      <c r="K599" s="8">
        <v>2176.1869999999999</v>
      </c>
      <c r="L599" t="s">
        <v>12</v>
      </c>
      <c r="M599" t="s">
        <v>10</v>
      </c>
      <c r="N599" s="26">
        <f>VLOOKUP(A599,[1]PGReconsile!$A$1:$E$642,5,0)</f>
        <v>45916.459722222222</v>
      </c>
    </row>
    <row r="600" spans="1:14" x14ac:dyDescent="0.3">
      <c r="A600">
        <v>8690634420</v>
      </c>
      <c r="B600">
        <v>3294</v>
      </c>
      <c r="C600" s="1">
        <v>816.25300000000004</v>
      </c>
      <c r="D600" s="1">
        <v>71.98</v>
      </c>
      <c r="E600" s="1">
        <v>516.43799999999999</v>
      </c>
      <c r="F600">
        <v>2389.0169999999998</v>
      </c>
      <c r="G600" s="1">
        <f t="shared" si="69"/>
        <v>1872.5789999999997</v>
      </c>
      <c r="H600" s="5">
        <v>904.98300000000017</v>
      </c>
      <c r="I600" s="4">
        <f>VLOOKUP(A600,[1]PGReverse_all!$A$1:$FK$281,167,0)</f>
        <v>197.06</v>
      </c>
      <c r="J600" s="4">
        <f>F600+D600+I600</f>
        <v>2658.0569999999998</v>
      </c>
      <c r="K600" s="7">
        <v>-269.03999999999996</v>
      </c>
      <c r="L600" t="s">
        <v>11</v>
      </c>
      <c r="M600" t="s">
        <v>10</v>
      </c>
      <c r="N600" s="26">
        <f>VLOOKUP(A600,[1]PGReconsile!$A$1:$E$642,5,0)</f>
        <v>45922.443055555559</v>
      </c>
    </row>
    <row r="601" spans="1:14" x14ac:dyDescent="0.3">
      <c r="A601">
        <v>8672100659</v>
      </c>
      <c r="B601">
        <v>1204</v>
      </c>
      <c r="C601" s="1">
        <v>298.351</v>
      </c>
      <c r="D601" s="1">
        <v>53.1</v>
      </c>
      <c r="E601" s="1">
        <v>134.375</v>
      </c>
      <c r="F601">
        <v>846.09900000000005</v>
      </c>
      <c r="G601" s="1">
        <f t="shared" si="69"/>
        <v>711.72400000000005</v>
      </c>
      <c r="H601" s="5">
        <v>357.90099999999995</v>
      </c>
      <c r="I601" s="4">
        <v>0</v>
      </c>
      <c r="J601" s="4" t="s">
        <v>25</v>
      </c>
      <c r="K601" s="8">
        <v>846.09900000000005</v>
      </c>
      <c r="L601" t="s">
        <v>12</v>
      </c>
      <c r="M601" t="s">
        <v>10</v>
      </c>
      <c r="N601" s="26">
        <f>VLOOKUP(A601,[1]PGReconsile!$A$1:$E$642,5,0)</f>
        <v>45915.789583333331</v>
      </c>
    </row>
    <row r="602" spans="1:14" x14ac:dyDescent="0.3">
      <c r="A602">
        <v>8689271567</v>
      </c>
      <c r="B602">
        <v>2794</v>
      </c>
      <c r="C602" s="1">
        <v>692.35299999999995</v>
      </c>
      <c r="D602" s="1">
        <v>71.98</v>
      </c>
      <c r="E602" s="1">
        <v>438.03899999999999</v>
      </c>
      <c r="F602">
        <v>2015.46</v>
      </c>
      <c r="G602" s="1">
        <f t="shared" si="69"/>
        <v>1577.421</v>
      </c>
      <c r="H602" s="5">
        <v>778.54</v>
      </c>
      <c r="I602" s="4">
        <v>0</v>
      </c>
      <c r="J602" s="4" t="s">
        <v>25</v>
      </c>
      <c r="K602" s="8">
        <v>2015.46</v>
      </c>
      <c r="L602" t="s">
        <v>12</v>
      </c>
      <c r="M602" t="s">
        <v>10</v>
      </c>
      <c r="N602" s="26">
        <f>VLOOKUP(A602,[1]PGReconsile!$A$1:$E$642,5,0)</f>
        <v>45922.443055555559</v>
      </c>
    </row>
    <row r="603" spans="1:14" x14ac:dyDescent="0.3">
      <c r="A603">
        <v>8664000175</v>
      </c>
      <c r="B603">
        <v>2594</v>
      </c>
      <c r="C603" s="1">
        <v>550.96600000000001</v>
      </c>
      <c r="D603" s="1">
        <v>71.98</v>
      </c>
      <c r="E603" s="1">
        <v>289.51</v>
      </c>
      <c r="F603">
        <v>1957.1579999999999</v>
      </c>
      <c r="G603" s="1">
        <f t="shared" si="69"/>
        <v>1667.6479999999999</v>
      </c>
      <c r="H603" s="5">
        <v>636.8420000000001</v>
      </c>
      <c r="I603" s="4">
        <v>0</v>
      </c>
      <c r="J603" s="4" t="s">
        <v>25</v>
      </c>
      <c r="K603" s="8">
        <v>1957.1579999999999</v>
      </c>
      <c r="L603" t="s">
        <v>12</v>
      </c>
      <c r="M603" t="s">
        <v>10</v>
      </c>
      <c r="N603" s="26">
        <f>VLOOKUP(A603,[1]PGReconsile!$A$1:$E$642,5,0)</f>
        <v>45912.803472222222</v>
      </c>
    </row>
    <row r="604" spans="1:14" x14ac:dyDescent="0.3">
      <c r="A604">
        <v>8675096594</v>
      </c>
      <c r="B604">
        <v>2794</v>
      </c>
      <c r="C604" s="1">
        <v>692.35299999999995</v>
      </c>
      <c r="D604" s="1">
        <v>71.98</v>
      </c>
      <c r="E604" s="1">
        <v>311.83300000000003</v>
      </c>
      <c r="F604">
        <v>2014.6990000000001</v>
      </c>
      <c r="G604" s="1">
        <f t="shared" si="69"/>
        <v>1702.866</v>
      </c>
      <c r="H604" s="5">
        <v>779.30099999999993</v>
      </c>
      <c r="I604" s="4">
        <v>0</v>
      </c>
      <c r="J604" s="4" t="s">
        <v>25</v>
      </c>
      <c r="K604" s="8">
        <v>2014.6990000000001</v>
      </c>
      <c r="L604" t="s">
        <v>12</v>
      </c>
      <c r="M604" t="s">
        <v>10</v>
      </c>
      <c r="N604" s="26">
        <f>VLOOKUP(A604,[1]PGReconsile!$A$1:$E$642,5,0)</f>
        <v>45916.560416666667</v>
      </c>
    </row>
    <row r="605" spans="1:14" x14ac:dyDescent="0.3">
      <c r="A605">
        <v>8692031977</v>
      </c>
      <c r="B605">
        <v>3564</v>
      </c>
      <c r="C605" s="1">
        <v>883.15899999999999</v>
      </c>
      <c r="D605" s="1">
        <v>71.98</v>
      </c>
      <c r="E605" s="1">
        <v>558.76199999999994</v>
      </c>
      <c r="F605">
        <v>2590.739</v>
      </c>
      <c r="G605" s="1">
        <f t="shared" si="69"/>
        <v>2031.9770000000001</v>
      </c>
      <c r="H605" s="5">
        <v>973.26099999999997</v>
      </c>
      <c r="I605" s="4">
        <f>VLOOKUP(A605,[1]PGReverse_all!$A$1:$FK$281,167,0)</f>
        <v>132.16</v>
      </c>
      <c r="J605" s="4">
        <f>F605+D605+I605</f>
        <v>2794.8789999999999</v>
      </c>
      <c r="K605" s="7">
        <v>-204.13999999999987</v>
      </c>
      <c r="L605" t="s">
        <v>11</v>
      </c>
      <c r="M605" t="s">
        <v>10</v>
      </c>
      <c r="N605" s="26">
        <f>VLOOKUP(A605,[1]PGReconsile!$A$1:$E$642,5,0)</f>
        <v>45922.443055555559</v>
      </c>
    </row>
    <row r="606" spans="1:14" x14ac:dyDescent="0.3">
      <c r="A606">
        <v>8658461828</v>
      </c>
      <c r="B606">
        <v>2994</v>
      </c>
      <c r="C606" s="1">
        <v>741.91300000000001</v>
      </c>
      <c r="D606" s="1">
        <v>71.98</v>
      </c>
      <c r="E606" s="1">
        <v>334.15600000000001</v>
      </c>
      <c r="F606">
        <v>2164.0680000000002</v>
      </c>
      <c r="G606" s="1">
        <f t="shared" si="69"/>
        <v>1829.9120000000003</v>
      </c>
      <c r="H606" s="5">
        <v>829.93199999999979</v>
      </c>
      <c r="I606" s="4">
        <v>0</v>
      </c>
      <c r="J606" s="4" t="s">
        <v>25</v>
      </c>
      <c r="K606" s="8">
        <v>2164.0680000000002</v>
      </c>
      <c r="L606" t="s">
        <v>12</v>
      </c>
      <c r="M606" t="s">
        <v>10</v>
      </c>
      <c r="N606" s="26">
        <f>VLOOKUP(A606,[1]PGReconsile!$A$1:$E$642,5,0)</f>
        <v>45910.459722222222</v>
      </c>
    </row>
    <row r="607" spans="1:14" x14ac:dyDescent="0.3">
      <c r="A607">
        <v>8670048910</v>
      </c>
      <c r="B607">
        <v>2169</v>
      </c>
      <c r="C607" s="1">
        <v>691.04300000000001</v>
      </c>
      <c r="D607" s="1">
        <v>71.98</v>
      </c>
      <c r="E607" s="1">
        <v>242.07299999999998</v>
      </c>
      <c r="F607">
        <v>1394.357</v>
      </c>
      <c r="G607" s="1">
        <f t="shared" si="69"/>
        <v>1152.2840000000001</v>
      </c>
      <c r="H607" s="5">
        <v>774.64300000000003</v>
      </c>
      <c r="I607" s="4">
        <v>0</v>
      </c>
      <c r="J607" s="4" t="s">
        <v>25</v>
      </c>
      <c r="K607" s="8">
        <v>1394.357</v>
      </c>
      <c r="L607" t="s">
        <v>12</v>
      </c>
      <c r="M607" t="s">
        <v>10</v>
      </c>
      <c r="N607" s="26">
        <f>VLOOKUP(A607,[1]PGReconsile!$A$1:$E$642,5,0)</f>
        <v>45915.47152777778</v>
      </c>
    </row>
    <row r="608" spans="1:14" x14ac:dyDescent="0.3">
      <c r="A608">
        <v>8672536845</v>
      </c>
      <c r="B608">
        <v>2294</v>
      </c>
      <c r="C608" s="1">
        <v>730.86800000000005</v>
      </c>
      <c r="D608" s="1">
        <v>71.98</v>
      </c>
      <c r="E608" s="1">
        <v>256.03100000000001</v>
      </c>
      <c r="F608">
        <v>1478.8630000000001</v>
      </c>
      <c r="G608" s="1">
        <f t="shared" si="69"/>
        <v>1222.8320000000001</v>
      </c>
      <c r="H608" s="5">
        <v>815.13699999999994</v>
      </c>
      <c r="I608" s="4">
        <v>0</v>
      </c>
      <c r="J608" s="4" t="s">
        <v>25</v>
      </c>
      <c r="K608" s="8">
        <v>1478.8630000000001</v>
      </c>
      <c r="L608" t="s">
        <v>12</v>
      </c>
      <c r="M608" t="s">
        <v>10</v>
      </c>
      <c r="N608" s="26">
        <f>VLOOKUP(A608,[1]PGReconsile!$A$1:$E$642,5,0)</f>
        <v>45915.789583333331</v>
      </c>
    </row>
    <row r="609" spans="1:14" x14ac:dyDescent="0.3">
      <c r="A609">
        <v>8679854503</v>
      </c>
      <c r="B609">
        <v>2419</v>
      </c>
      <c r="C609" s="1">
        <v>513.79600000000005</v>
      </c>
      <c r="D609" s="1">
        <v>71.98</v>
      </c>
      <c r="E609" s="1">
        <v>269.97899999999998</v>
      </c>
      <c r="F609">
        <v>1820.2650000000001</v>
      </c>
      <c r="G609" s="1">
        <f t="shared" si="69"/>
        <v>1550.2860000000001</v>
      </c>
      <c r="H609" s="5">
        <v>598.7349999999999</v>
      </c>
      <c r="I609" s="4">
        <f>VLOOKUP(A609,[1]PGReverse_all!$A$1:$FK$281,167,0)</f>
        <v>132.16</v>
      </c>
      <c r="J609" s="4">
        <f t="shared" ref="J609:J611" si="72">F609+D609+I609</f>
        <v>2024.4050000000002</v>
      </c>
      <c r="K609" s="7">
        <v>-204.1400000000001</v>
      </c>
      <c r="L609" t="s">
        <v>11</v>
      </c>
      <c r="M609" t="s">
        <v>10</v>
      </c>
      <c r="N609" s="26">
        <f>VLOOKUP(A609,[1]PGReconsile!$A$1:$E$642,5,0)</f>
        <v>45918.445138888892</v>
      </c>
    </row>
    <row r="610" spans="1:14" x14ac:dyDescent="0.3">
      <c r="A610">
        <v>8700263061</v>
      </c>
      <c r="B610">
        <v>3564</v>
      </c>
      <c r="C610" s="1">
        <v>883.15899999999999</v>
      </c>
      <c r="D610" s="1">
        <v>71.98</v>
      </c>
      <c r="E610" s="1">
        <v>558.76199999999994</v>
      </c>
      <c r="F610">
        <v>2590.739</v>
      </c>
      <c r="G610" s="1">
        <f t="shared" si="69"/>
        <v>2031.9770000000001</v>
      </c>
      <c r="H610" s="5">
        <v>973.26099999999997</v>
      </c>
      <c r="I610" s="4">
        <f>VLOOKUP(A610,[1]PGReverse_all!$A$1:$FK$281,167,0)</f>
        <v>197.06</v>
      </c>
      <c r="J610" s="4">
        <f t="shared" si="72"/>
        <v>2859.779</v>
      </c>
      <c r="K610" s="7">
        <v>-269.03999999999996</v>
      </c>
      <c r="L610" t="s">
        <v>11</v>
      </c>
      <c r="M610" t="s">
        <v>10</v>
      </c>
      <c r="N610" s="26">
        <f>VLOOKUP(A610,[1]PGReconsile!$A$1:$E$642,5,0)</f>
        <v>45923.446527777778</v>
      </c>
    </row>
    <row r="611" spans="1:14" x14ac:dyDescent="0.3">
      <c r="A611">
        <v>8677429790</v>
      </c>
      <c r="B611">
        <v>2594</v>
      </c>
      <c r="C611" s="1">
        <v>550.96600000000001</v>
      </c>
      <c r="D611" s="1">
        <v>71.98</v>
      </c>
      <c r="E611" s="1">
        <v>289.51</v>
      </c>
      <c r="F611">
        <v>1957.1579999999999</v>
      </c>
      <c r="G611" s="1">
        <f t="shared" si="69"/>
        <v>1667.6479999999999</v>
      </c>
      <c r="H611" s="5">
        <v>636.8420000000001</v>
      </c>
      <c r="I611" s="4">
        <f>VLOOKUP(A611,[1]PGReverse_all!$A$1:$FK$281,167,0)</f>
        <v>197.06</v>
      </c>
      <c r="J611" s="4">
        <f t="shared" si="72"/>
        <v>2226.1979999999999</v>
      </c>
      <c r="K611" s="7">
        <v>-269.03999999999996</v>
      </c>
      <c r="L611" t="s">
        <v>11</v>
      </c>
      <c r="M611" t="s">
        <v>10</v>
      </c>
      <c r="N611" s="26">
        <f>VLOOKUP(A611,[1]PGReconsile!$A$1:$E$642,5,0)</f>
        <v>45917.434027777781</v>
      </c>
    </row>
    <row r="612" spans="1:14" x14ac:dyDescent="0.3">
      <c r="A612">
        <v>8695472253</v>
      </c>
      <c r="B612">
        <v>3329</v>
      </c>
      <c r="C612" s="1">
        <v>707.08</v>
      </c>
      <c r="D612" s="1">
        <v>71.98</v>
      </c>
      <c r="E612" s="1">
        <v>521.91600000000005</v>
      </c>
      <c r="F612">
        <v>2533.0129999999999</v>
      </c>
      <c r="G612" s="1">
        <f t="shared" si="69"/>
        <v>2011.0969999999998</v>
      </c>
      <c r="H612" s="5">
        <v>795.98700000000008</v>
      </c>
      <c r="I612" s="4">
        <v>0</v>
      </c>
      <c r="J612" s="4" t="s">
        <v>25</v>
      </c>
      <c r="K612" s="8">
        <v>2533.0129999999999</v>
      </c>
      <c r="L612" t="s">
        <v>12</v>
      </c>
      <c r="M612" t="s">
        <v>10</v>
      </c>
      <c r="N612" s="26">
        <f>VLOOKUP(A612,[1]PGReconsile!$A$1:$E$642,5,0)</f>
        <v>45922.443055555559</v>
      </c>
    </row>
    <row r="613" spans="1:14" x14ac:dyDescent="0.3">
      <c r="A613">
        <v>8664113232</v>
      </c>
      <c r="B613">
        <v>2406</v>
      </c>
      <c r="C613" s="1">
        <v>596.20699999999999</v>
      </c>
      <c r="D613" s="1">
        <v>71.98</v>
      </c>
      <c r="E613" s="1">
        <v>268.53100000000001</v>
      </c>
      <c r="F613">
        <v>1724.924</v>
      </c>
      <c r="G613" s="1">
        <f t="shared" si="69"/>
        <v>1456.393</v>
      </c>
      <c r="H613" s="5">
        <v>681.07600000000002</v>
      </c>
      <c r="I613" s="4">
        <f>VLOOKUP(A613,[1]PGReverse_all!$A$1:$FK$281,167,0)</f>
        <v>197.06</v>
      </c>
      <c r="J613" s="4">
        <f t="shared" ref="J613:J615" si="73">F613+D613+I613</f>
        <v>1993.9639999999999</v>
      </c>
      <c r="K613" s="7">
        <v>-269.03999999999996</v>
      </c>
      <c r="L613" t="s">
        <v>11</v>
      </c>
      <c r="M613" t="s">
        <v>10</v>
      </c>
      <c r="N613" s="26">
        <f>VLOOKUP(A613,[1]PGReconsile!$A$1:$E$642,5,0)</f>
        <v>45913.450694444444</v>
      </c>
    </row>
    <row r="614" spans="1:14" x14ac:dyDescent="0.3">
      <c r="A614">
        <v>8681666403</v>
      </c>
      <c r="B614">
        <v>3169</v>
      </c>
      <c r="C614" s="1">
        <v>785.27800000000002</v>
      </c>
      <c r="D614" s="1">
        <v>71.98</v>
      </c>
      <c r="E614" s="1">
        <v>353.68700000000001</v>
      </c>
      <c r="F614">
        <v>2294.7660000000001</v>
      </c>
      <c r="G614" s="1">
        <f t="shared" si="69"/>
        <v>1941.0790000000002</v>
      </c>
      <c r="H614" s="5">
        <v>874.23399999999992</v>
      </c>
      <c r="I614" s="4">
        <f>VLOOKUP(A614,[1]PGReverse_all!$A$1:$FK$281,167,0)</f>
        <v>197.06</v>
      </c>
      <c r="J614" s="4">
        <f t="shared" si="73"/>
        <v>2563.806</v>
      </c>
      <c r="K614" s="7">
        <v>-269.03999999999996</v>
      </c>
      <c r="L614" t="s">
        <v>11</v>
      </c>
      <c r="M614" t="s">
        <v>10</v>
      </c>
      <c r="N614" s="26">
        <f>VLOOKUP(A614,[1]PGReconsile!$A$1:$E$642,5,0)</f>
        <v>45919.434027777781</v>
      </c>
    </row>
    <row r="615" spans="1:14" x14ac:dyDescent="0.3">
      <c r="A615">
        <v>8693566791</v>
      </c>
      <c r="B615">
        <v>3294</v>
      </c>
      <c r="C615" s="1">
        <v>816.25300000000004</v>
      </c>
      <c r="D615" s="1">
        <v>71.98</v>
      </c>
      <c r="E615" s="1">
        <v>516.43799999999999</v>
      </c>
      <c r="F615">
        <v>2389.0169999999998</v>
      </c>
      <c r="G615" s="1">
        <f t="shared" si="69"/>
        <v>1872.5789999999997</v>
      </c>
      <c r="H615" s="5">
        <v>904.98300000000017</v>
      </c>
      <c r="I615" s="4">
        <f>VLOOKUP(A615,[1]PGReverse_all!$A$1:$FK$281,167,0)</f>
        <v>197.06</v>
      </c>
      <c r="J615" s="4">
        <f t="shared" si="73"/>
        <v>2658.0569999999998</v>
      </c>
      <c r="K615" s="7">
        <v>-269.03999999999996</v>
      </c>
      <c r="L615" t="s">
        <v>11</v>
      </c>
      <c r="M615" t="s">
        <v>10</v>
      </c>
      <c r="N615" s="26">
        <f>VLOOKUP(A615,[1]PGReconsile!$A$1:$E$642,5,0)</f>
        <v>45922.443055555559</v>
      </c>
    </row>
    <row r="616" spans="1:14" x14ac:dyDescent="0.3">
      <c r="A616">
        <v>8696936954</v>
      </c>
      <c r="B616">
        <v>3143</v>
      </c>
      <c r="C616" s="1">
        <v>667.57299999999998</v>
      </c>
      <c r="D616" s="1">
        <v>71.98</v>
      </c>
      <c r="E616" s="1">
        <v>492.75799999999998</v>
      </c>
      <c r="F616">
        <v>2387.4650000000001</v>
      </c>
      <c r="G616" s="1">
        <f t="shared" si="69"/>
        <v>1894.7070000000001</v>
      </c>
      <c r="H616" s="5">
        <v>755.53499999999985</v>
      </c>
      <c r="I616" s="4">
        <v>0</v>
      </c>
      <c r="J616" s="4" t="s">
        <v>25</v>
      </c>
      <c r="K616" s="8">
        <v>2387.4650000000001</v>
      </c>
      <c r="L616" t="s">
        <v>12</v>
      </c>
      <c r="M616" t="s">
        <v>10</v>
      </c>
      <c r="N616" s="26">
        <f>VLOOKUP(A616,[1]PGReconsile!$A$1:$E$642,5,0)</f>
        <v>45922.779861111114</v>
      </c>
    </row>
    <row r="617" spans="1:14" x14ac:dyDescent="0.3">
      <c r="A617">
        <v>8655681370</v>
      </c>
      <c r="B617">
        <v>2944</v>
      </c>
      <c r="C617" s="1">
        <v>729.52300000000002</v>
      </c>
      <c r="D617" s="1">
        <v>71.98</v>
      </c>
      <c r="E617" s="1">
        <v>328.57299999999998</v>
      </c>
      <c r="F617">
        <v>2126.7249999999999</v>
      </c>
      <c r="G617" s="1">
        <f t="shared" si="69"/>
        <v>1798.152</v>
      </c>
      <c r="H617" s="5">
        <v>817.27500000000009</v>
      </c>
      <c r="I617" s="4">
        <f>VLOOKUP(A617,[1]PGReverse_all!$A$1:$FK$281,167,0)</f>
        <v>197.06</v>
      </c>
      <c r="J617" s="4">
        <f>F617+D617+I617</f>
        <v>2395.7649999999999</v>
      </c>
      <c r="K617" s="7">
        <v>-269.03999999999996</v>
      </c>
      <c r="L617" t="s">
        <v>11</v>
      </c>
      <c r="M617" t="s">
        <v>10</v>
      </c>
      <c r="N617" s="26">
        <f>VLOOKUP(A617,[1]PGReconsile!$A$1:$E$642,5,0)</f>
        <v>45908.48333333333</v>
      </c>
    </row>
    <row r="618" spans="1:14" x14ac:dyDescent="0.3">
      <c r="A618">
        <v>8663891760</v>
      </c>
      <c r="B618">
        <v>1629</v>
      </c>
      <c r="C618" s="1">
        <v>442.11099999999999</v>
      </c>
      <c r="D618" s="1">
        <v>53.1</v>
      </c>
      <c r="E618" s="1">
        <v>181.81199999999998</v>
      </c>
      <c r="F618">
        <v>1125.0630000000001</v>
      </c>
      <c r="G618" s="1">
        <f t="shared" si="69"/>
        <v>943.25100000000009</v>
      </c>
      <c r="H618" s="5">
        <v>503.9369999999999</v>
      </c>
      <c r="I618" s="4">
        <v>0</v>
      </c>
      <c r="J618" s="4" t="s">
        <v>25</v>
      </c>
      <c r="K618" s="8">
        <v>1125.0630000000001</v>
      </c>
      <c r="L618" t="s">
        <v>12</v>
      </c>
      <c r="M618" t="s">
        <v>10</v>
      </c>
      <c r="N618" s="26">
        <f>VLOOKUP(A618,[1]PGReconsile!$A$1:$E$642,5,0)</f>
        <v>45912.803472222222</v>
      </c>
    </row>
    <row r="619" spans="1:14" x14ac:dyDescent="0.3">
      <c r="A619">
        <v>8675256419</v>
      </c>
      <c r="B619">
        <v>2394</v>
      </c>
      <c r="C619" s="1">
        <v>621.48199999999997</v>
      </c>
      <c r="D619" s="1">
        <v>71.98</v>
      </c>
      <c r="E619" s="1">
        <v>267.18799999999999</v>
      </c>
      <c r="F619">
        <v>1687.713</v>
      </c>
      <c r="G619" s="1">
        <f t="shared" si="69"/>
        <v>1420.5250000000001</v>
      </c>
      <c r="H619" s="5">
        <v>706.28700000000003</v>
      </c>
      <c r="I619" s="4">
        <v>0</v>
      </c>
      <c r="J619" s="4" t="s">
        <v>25</v>
      </c>
      <c r="K619" s="8">
        <v>1687.713</v>
      </c>
      <c r="L619" t="s">
        <v>12</v>
      </c>
      <c r="M619" t="s">
        <v>10</v>
      </c>
      <c r="N619" s="26">
        <f>VLOOKUP(A619,[1]PGReconsile!$A$1:$E$642,5,0)</f>
        <v>45916.560416666667</v>
      </c>
    </row>
    <row r="620" spans="1:14" x14ac:dyDescent="0.3">
      <c r="A620">
        <v>8694116902</v>
      </c>
      <c r="B620">
        <v>1204</v>
      </c>
      <c r="C620" s="1">
        <v>326.76600000000002</v>
      </c>
      <c r="D620" s="1">
        <v>53.1</v>
      </c>
      <c r="E620" s="1">
        <v>63.062999999999995</v>
      </c>
      <c r="F620">
        <v>817.25400000000002</v>
      </c>
      <c r="G620" s="1">
        <f t="shared" si="69"/>
        <v>754.19100000000003</v>
      </c>
      <c r="H620" s="5">
        <v>386.74599999999998</v>
      </c>
      <c r="I620" s="4">
        <v>0</v>
      </c>
      <c r="J620" s="4" t="s">
        <v>25</v>
      </c>
      <c r="K620" s="8">
        <v>817.25400000000002</v>
      </c>
      <c r="L620" t="s">
        <v>12</v>
      </c>
      <c r="M620" t="s">
        <v>10</v>
      </c>
      <c r="N620" s="26">
        <f>VLOOKUP(A620,[1]PGReconsile!$A$1:$E$642,5,0)</f>
        <v>45922.443055555559</v>
      </c>
    </row>
    <row r="621" spans="1:14" x14ac:dyDescent="0.3">
      <c r="A621">
        <v>8679197213</v>
      </c>
      <c r="B621">
        <v>3794</v>
      </c>
      <c r="C621" s="1">
        <v>940.15300000000002</v>
      </c>
      <c r="D621" s="1">
        <v>71.98</v>
      </c>
      <c r="E621" s="1">
        <v>423.43700000000001</v>
      </c>
      <c r="F621">
        <v>2761.5419999999999</v>
      </c>
      <c r="G621" s="1">
        <f t="shared" si="69"/>
        <v>2338.105</v>
      </c>
      <c r="H621" s="5">
        <v>1032.4580000000001</v>
      </c>
      <c r="I621" s="4">
        <f>VLOOKUP(A621,[1]PGReverse_all!$A$1:$FK$281,167,0)</f>
        <v>107.38</v>
      </c>
      <c r="J621" s="4">
        <f>F621+D621+I621</f>
        <v>2940.902</v>
      </c>
      <c r="K621" s="7">
        <v>-179.36000000000013</v>
      </c>
      <c r="L621" t="s">
        <v>11</v>
      </c>
      <c r="M621" t="s">
        <v>10</v>
      </c>
      <c r="N621" s="26">
        <f>VLOOKUP(A621,[1]PGReconsile!$A$1:$E$642,5,0)</f>
        <v>45917.792361111111</v>
      </c>
    </row>
    <row r="622" spans="1:14" x14ac:dyDescent="0.3">
      <c r="A622">
        <v>8668992574</v>
      </c>
      <c r="B622">
        <v>1818.99</v>
      </c>
      <c r="C622" s="1">
        <v>536.60199999999998</v>
      </c>
      <c r="D622" s="1">
        <v>53.1</v>
      </c>
      <c r="E622" s="1">
        <v>203.02</v>
      </c>
      <c r="F622">
        <v>1219.5440000000001</v>
      </c>
      <c r="G622" s="1">
        <f t="shared" si="69"/>
        <v>1016.5240000000001</v>
      </c>
      <c r="H622" s="5">
        <v>599.44599999999991</v>
      </c>
      <c r="I622" s="4">
        <v>0</v>
      </c>
      <c r="J622" s="4" t="s">
        <v>25</v>
      </c>
      <c r="K622" s="8">
        <v>1219.5440000000001</v>
      </c>
      <c r="L622" t="s">
        <v>12</v>
      </c>
      <c r="M622" t="s">
        <v>10</v>
      </c>
      <c r="N622" s="26">
        <f>VLOOKUP(A622,[1]PGReconsile!$A$1:$E$642,5,0)</f>
        <v>45915.47152777778</v>
      </c>
    </row>
    <row r="623" spans="1:14" x14ac:dyDescent="0.3">
      <c r="A623">
        <v>8696157014</v>
      </c>
      <c r="B623">
        <v>2150</v>
      </c>
      <c r="C623" s="1">
        <v>684.99</v>
      </c>
      <c r="D623" s="1">
        <v>71.98</v>
      </c>
      <c r="E623" s="1">
        <v>112.61799999999999</v>
      </c>
      <c r="F623">
        <v>1380.7439999999999</v>
      </c>
      <c r="G623" s="1">
        <f t="shared" si="69"/>
        <v>1268.126</v>
      </c>
      <c r="H623" s="5">
        <v>769.25600000000009</v>
      </c>
      <c r="I623" s="4">
        <f>VLOOKUP(A623,[1]PGReverse_all!$A$1:$FK$281,167,0)</f>
        <v>197.06</v>
      </c>
      <c r="J623" s="4">
        <f>F623+D623+I623</f>
        <v>1649.7839999999999</v>
      </c>
      <c r="K623" s="7">
        <v>-269.03999999999996</v>
      </c>
      <c r="L623" t="s">
        <v>11</v>
      </c>
      <c r="M623" t="s">
        <v>10</v>
      </c>
      <c r="N623" s="26">
        <f>VLOOKUP(A623,[1]PGReconsile!$A$1:$E$642,5,0)</f>
        <v>45922.444444444445</v>
      </c>
    </row>
    <row r="624" spans="1:14" x14ac:dyDescent="0.3">
      <c r="A624">
        <v>8672924800</v>
      </c>
      <c r="B624">
        <v>3213.9900000000002</v>
      </c>
      <c r="C624" s="1">
        <v>796.42700000000002</v>
      </c>
      <c r="D624" s="1">
        <v>71.98</v>
      </c>
      <c r="E624" s="1">
        <v>358.70800000000003</v>
      </c>
      <c r="F624">
        <v>2328.3649999999998</v>
      </c>
      <c r="G624" s="1">
        <f t="shared" si="69"/>
        <v>1969.6569999999997</v>
      </c>
      <c r="H624" s="5">
        <v>885.62500000000045</v>
      </c>
      <c r="I624" s="4">
        <v>0</v>
      </c>
      <c r="J624" s="4" t="s">
        <v>25</v>
      </c>
      <c r="K624" s="8">
        <v>2328.3649999999998</v>
      </c>
      <c r="L624" t="s">
        <v>12</v>
      </c>
      <c r="M624" t="s">
        <v>10</v>
      </c>
      <c r="N624" s="26">
        <f>VLOOKUP(A624,[1]PGReconsile!$A$1:$E$642,5,0)</f>
        <v>45916.459722222222</v>
      </c>
    </row>
    <row r="625" spans="1:14" x14ac:dyDescent="0.3">
      <c r="A625">
        <v>8662341757</v>
      </c>
      <c r="B625">
        <v>3294</v>
      </c>
      <c r="C625" s="1">
        <v>1049.4680000000001</v>
      </c>
      <c r="D625" s="1">
        <v>71.98</v>
      </c>
      <c r="E625" s="1">
        <v>367.63499999999999</v>
      </c>
      <c r="F625">
        <v>2154.9059999999999</v>
      </c>
      <c r="G625" s="1">
        <f t="shared" si="69"/>
        <v>1787.271</v>
      </c>
      <c r="H625" s="5">
        <v>1139.0940000000001</v>
      </c>
      <c r="I625" s="4">
        <v>0</v>
      </c>
      <c r="J625" s="4" t="s">
        <v>25</v>
      </c>
      <c r="K625" s="8">
        <v>2154.9059999999999</v>
      </c>
      <c r="L625" t="s">
        <v>12</v>
      </c>
      <c r="M625" t="s">
        <v>10</v>
      </c>
      <c r="N625" s="26">
        <f>VLOOKUP(A625,[1]PGReconsile!$A$1:$E$642,5,0)</f>
        <v>45912.475694444445</v>
      </c>
    </row>
    <row r="626" spans="1:14" x14ac:dyDescent="0.3">
      <c r="A626">
        <v>8682748140</v>
      </c>
      <c r="B626">
        <v>1169</v>
      </c>
      <c r="C626" s="1">
        <v>262.08999999999997</v>
      </c>
      <c r="D626" s="1">
        <v>53.1</v>
      </c>
      <c r="E626" s="1">
        <v>130.46899999999999</v>
      </c>
      <c r="F626">
        <v>847.54700000000003</v>
      </c>
      <c r="G626" s="1">
        <f t="shared" si="69"/>
        <v>717.07799999999997</v>
      </c>
      <c r="H626" s="5">
        <v>321.45299999999997</v>
      </c>
      <c r="I626" s="4">
        <v>0</v>
      </c>
      <c r="J626" s="4" t="s">
        <v>25</v>
      </c>
      <c r="K626" s="8">
        <v>847.54700000000003</v>
      </c>
      <c r="L626" t="s">
        <v>12</v>
      </c>
      <c r="M626" t="s">
        <v>10</v>
      </c>
      <c r="N626" s="26">
        <f>VLOOKUP(A626,[1]PGReconsile!$A$1:$E$642,5,0)</f>
        <v>45920.473611111112</v>
      </c>
    </row>
    <row r="627" spans="1:14" x14ac:dyDescent="0.3">
      <c r="A627">
        <v>8683362445</v>
      </c>
      <c r="B627">
        <v>4219</v>
      </c>
      <c r="C627" s="1">
        <v>1045.4680000000001</v>
      </c>
      <c r="D627" s="1">
        <v>71.98</v>
      </c>
      <c r="E627" s="1">
        <v>470.875</v>
      </c>
      <c r="F627">
        <v>3078.95</v>
      </c>
      <c r="G627" s="1">
        <f t="shared" si="69"/>
        <v>2608.0749999999998</v>
      </c>
      <c r="H627" s="5">
        <v>1140.0500000000002</v>
      </c>
      <c r="I627" s="4">
        <v>0</v>
      </c>
      <c r="J627" s="4" t="s">
        <v>25</v>
      </c>
      <c r="K627" s="8">
        <v>3078.95</v>
      </c>
      <c r="L627" t="s">
        <v>12</v>
      </c>
      <c r="M627" t="s">
        <v>10</v>
      </c>
      <c r="N627" s="26">
        <f>VLOOKUP(A627,[1]PGReconsile!$A$1:$E$642,5,0)</f>
        <v>45920.473611111112</v>
      </c>
    </row>
    <row r="628" spans="1:14" x14ac:dyDescent="0.3">
      <c r="A628">
        <v>8649615155</v>
      </c>
      <c r="B628">
        <v>2594</v>
      </c>
      <c r="C628" s="1">
        <v>550.96600000000001</v>
      </c>
      <c r="D628" s="1">
        <v>71.98</v>
      </c>
      <c r="E628" s="1">
        <v>289.51</v>
      </c>
      <c r="F628">
        <v>1957.1579999999999</v>
      </c>
      <c r="G628" s="1">
        <f t="shared" si="69"/>
        <v>1667.6479999999999</v>
      </c>
      <c r="H628" s="5">
        <v>636.8420000000001</v>
      </c>
      <c r="I628" s="4">
        <v>0</v>
      </c>
      <c r="J628" s="4" t="s">
        <v>25</v>
      </c>
      <c r="K628" s="8">
        <v>1957.1579999999999</v>
      </c>
      <c r="L628" t="s">
        <v>12</v>
      </c>
      <c r="M628" t="s">
        <v>10</v>
      </c>
      <c r="N628" s="26">
        <f>VLOOKUP(A628,[1]PGReconsile!$A$1:$E$642,5,0)</f>
        <v>45905.450694444444</v>
      </c>
    </row>
    <row r="629" spans="1:14" x14ac:dyDescent="0.3">
      <c r="A629">
        <v>8670260084</v>
      </c>
      <c r="B629">
        <v>3544</v>
      </c>
      <c r="C629" s="1">
        <v>920.02200000000005</v>
      </c>
      <c r="D629" s="1">
        <v>71.98</v>
      </c>
      <c r="E629" s="1">
        <v>395.53100000000001</v>
      </c>
      <c r="F629">
        <v>2533.0129999999999</v>
      </c>
      <c r="G629" s="1">
        <f t="shared" si="69"/>
        <v>2137.482</v>
      </c>
      <c r="H629" s="5">
        <v>1010.9870000000001</v>
      </c>
      <c r="I629" s="4">
        <f>VLOOKUP(A629,[1]PGReverse_all!$A$1:$FK$281,167,0)</f>
        <v>197.06</v>
      </c>
      <c r="J629" s="4">
        <f>F629+D629+I629</f>
        <v>2802.0529999999999</v>
      </c>
      <c r="K629" s="7">
        <v>-269.03999999999996</v>
      </c>
      <c r="L629" t="s">
        <v>11</v>
      </c>
      <c r="M629" t="s">
        <v>10</v>
      </c>
      <c r="N629" s="26">
        <f>VLOOKUP(A629,[1]PGReconsile!$A$1:$E$642,5,0)</f>
        <v>45915.47152777778</v>
      </c>
    </row>
    <row r="630" spans="1:14" x14ac:dyDescent="0.3">
      <c r="A630">
        <v>8671776895</v>
      </c>
      <c r="B630">
        <v>2594</v>
      </c>
      <c r="C630" s="1">
        <v>550.96600000000001</v>
      </c>
      <c r="D630" s="1">
        <v>71.98</v>
      </c>
      <c r="E630" s="1">
        <v>289.51</v>
      </c>
      <c r="F630">
        <v>1957.1579999999999</v>
      </c>
      <c r="G630" s="1">
        <f t="shared" si="69"/>
        <v>1667.6479999999999</v>
      </c>
      <c r="H630" s="5">
        <v>636.8420000000001</v>
      </c>
      <c r="I630" s="4">
        <v>0</v>
      </c>
      <c r="J630" s="4" t="s">
        <v>25</v>
      </c>
      <c r="K630" s="8">
        <v>1957.1579999999999</v>
      </c>
      <c r="L630" t="s">
        <v>12</v>
      </c>
      <c r="M630" t="s">
        <v>10</v>
      </c>
      <c r="N630" s="26">
        <f>VLOOKUP(A630,[1]PGReconsile!$A$1:$E$642,5,0)</f>
        <v>45915.47152777778</v>
      </c>
    </row>
    <row r="631" spans="1:14" x14ac:dyDescent="0.3">
      <c r="A631">
        <v>8676687007</v>
      </c>
      <c r="B631">
        <v>1149</v>
      </c>
      <c r="C631" s="1">
        <v>366.07100000000003</v>
      </c>
      <c r="D631" s="1">
        <v>53.1</v>
      </c>
      <c r="E631" s="1">
        <v>128.239</v>
      </c>
      <c r="F631">
        <v>723.67399999999998</v>
      </c>
      <c r="G631" s="1">
        <f t="shared" si="69"/>
        <v>595.43499999999995</v>
      </c>
      <c r="H631" s="5">
        <v>425.32600000000002</v>
      </c>
      <c r="I631" s="4">
        <v>0</v>
      </c>
      <c r="J631" s="4" t="s">
        <v>25</v>
      </c>
      <c r="K631" s="8">
        <v>723.67399999999998</v>
      </c>
      <c r="L631" t="s">
        <v>12</v>
      </c>
      <c r="M631" t="s">
        <v>10</v>
      </c>
      <c r="N631" s="26">
        <f>VLOOKUP(A631,[1]PGReconsile!$A$1:$E$642,5,0)</f>
        <v>45917.434027777781</v>
      </c>
    </row>
    <row r="632" spans="1:14" x14ac:dyDescent="0.3">
      <c r="A632">
        <v>8689364850</v>
      </c>
      <c r="B632">
        <v>1102</v>
      </c>
      <c r="C632" s="1">
        <v>247.06800000000001</v>
      </c>
      <c r="D632" s="1">
        <v>53.1</v>
      </c>
      <c r="E632" s="1">
        <v>57.727999999999994</v>
      </c>
      <c r="F632">
        <v>795.53499999999997</v>
      </c>
      <c r="G632" s="1">
        <f t="shared" si="69"/>
        <v>737.80700000000002</v>
      </c>
      <c r="H632" s="5">
        <v>306.46500000000003</v>
      </c>
      <c r="I632" s="4">
        <v>0</v>
      </c>
      <c r="J632" s="4" t="s">
        <v>25</v>
      </c>
      <c r="K632" s="8">
        <v>795.53499999999997</v>
      </c>
      <c r="L632" t="s">
        <v>12</v>
      </c>
      <c r="M632" t="s">
        <v>10</v>
      </c>
      <c r="N632" s="26">
        <f>VLOOKUP(A632,[1]PGReconsile!$A$1:$E$642,5,0)</f>
        <v>45922.443055555559</v>
      </c>
    </row>
    <row r="633" spans="1:14" x14ac:dyDescent="0.3">
      <c r="A633">
        <v>8695986634</v>
      </c>
      <c r="B633">
        <v>3564</v>
      </c>
      <c r="C633" s="1">
        <v>883.15899999999999</v>
      </c>
      <c r="D633" s="1">
        <v>71.98</v>
      </c>
      <c r="E633" s="1">
        <v>558.76199999999994</v>
      </c>
      <c r="F633">
        <v>2590.739</v>
      </c>
      <c r="G633" s="1">
        <f t="shared" si="69"/>
        <v>2031.9770000000001</v>
      </c>
      <c r="H633" s="5">
        <v>973.26099999999997</v>
      </c>
      <c r="I633" s="4">
        <v>0</v>
      </c>
      <c r="J633" s="4" t="s">
        <v>25</v>
      </c>
      <c r="K633" s="8">
        <v>2590.739</v>
      </c>
      <c r="L633" t="s">
        <v>12</v>
      </c>
      <c r="M633" t="s">
        <v>10</v>
      </c>
      <c r="N633" s="26">
        <f>VLOOKUP(A633,[1]PGReconsile!$A$1:$E$642,5,0)</f>
        <v>45922.443055555559</v>
      </c>
    </row>
    <row r="634" spans="1:14" x14ac:dyDescent="0.3">
      <c r="A634">
        <v>8661889346</v>
      </c>
      <c r="B634">
        <v>2556</v>
      </c>
      <c r="C634" s="1">
        <v>663.53800000000001</v>
      </c>
      <c r="D634" s="1">
        <v>71.98</v>
      </c>
      <c r="E634" s="1">
        <v>285.27100000000002</v>
      </c>
      <c r="F634">
        <v>1806.789</v>
      </c>
      <c r="G634" s="1">
        <f t="shared" si="69"/>
        <v>1521.518</v>
      </c>
      <c r="H634" s="5">
        <v>749.21100000000001</v>
      </c>
      <c r="I634" s="4">
        <v>0</v>
      </c>
      <c r="J634" s="4" t="s">
        <v>25</v>
      </c>
      <c r="K634" s="8">
        <v>1806.789</v>
      </c>
      <c r="L634" t="s">
        <v>12</v>
      </c>
      <c r="M634" t="s">
        <v>10</v>
      </c>
      <c r="N634" s="26">
        <f>VLOOKUP(A634,[1]PGReconsile!$A$1:$E$642,5,0)</f>
        <v>45912.475694444445</v>
      </c>
    </row>
    <row r="635" spans="1:14" x14ac:dyDescent="0.3">
      <c r="A635">
        <v>8672975238</v>
      </c>
      <c r="B635">
        <v>2719</v>
      </c>
      <c r="C635" s="1">
        <v>866.27300000000002</v>
      </c>
      <c r="D635" s="1">
        <v>71.98</v>
      </c>
      <c r="E635" s="1">
        <v>303.45799999999997</v>
      </c>
      <c r="F635">
        <v>1766.181</v>
      </c>
      <c r="G635" s="1">
        <f t="shared" si="69"/>
        <v>1462.723</v>
      </c>
      <c r="H635" s="5">
        <v>952.81899999999996</v>
      </c>
      <c r="I635" s="4">
        <f>VLOOKUP(A635,[1]PGReverse_all!$A$1:$FK$281,167,0)</f>
        <v>197.06</v>
      </c>
      <c r="J635" s="4">
        <f>F635+D635+I635</f>
        <v>2035.221</v>
      </c>
      <c r="K635" s="7">
        <v>-269.03999999999996</v>
      </c>
      <c r="L635" t="s">
        <v>11</v>
      </c>
      <c r="M635" t="s">
        <v>10</v>
      </c>
      <c r="N635" s="26">
        <f>VLOOKUP(A635,[1]PGReconsile!$A$1:$E$642,5,0)</f>
        <v>45916.459722222222</v>
      </c>
    </row>
    <row r="636" spans="1:14" x14ac:dyDescent="0.3">
      <c r="A636">
        <v>8674661457</v>
      </c>
      <c r="B636">
        <v>1079</v>
      </c>
      <c r="C636" s="1">
        <v>280.108</v>
      </c>
      <c r="D636" s="1">
        <v>53.1</v>
      </c>
      <c r="E636" s="1">
        <v>120.42699999999999</v>
      </c>
      <c r="F636">
        <v>740.01199999999994</v>
      </c>
      <c r="G636" s="1">
        <f t="shared" si="69"/>
        <v>619.58499999999992</v>
      </c>
      <c r="H636" s="5">
        <v>338.98800000000006</v>
      </c>
      <c r="I636" s="4">
        <v>0</v>
      </c>
      <c r="J636" s="4" t="s">
        <v>25</v>
      </c>
      <c r="K636" s="8">
        <v>740.01199999999994</v>
      </c>
      <c r="L636" t="s">
        <v>12</v>
      </c>
      <c r="M636" t="s">
        <v>10</v>
      </c>
      <c r="N636" s="26">
        <f>VLOOKUP(A636,[1]PGReconsile!$A$1:$E$642,5,0)</f>
        <v>45916.459722222222</v>
      </c>
    </row>
    <row r="637" spans="1:14" x14ac:dyDescent="0.3">
      <c r="A637">
        <v>8698580421</v>
      </c>
      <c r="B637">
        <v>1716.99</v>
      </c>
      <c r="C637" s="1">
        <v>465.99099999999999</v>
      </c>
      <c r="D637" s="1">
        <v>53.1</v>
      </c>
      <c r="E637" s="1">
        <v>89.936000000000007</v>
      </c>
      <c r="F637">
        <v>1188.088</v>
      </c>
      <c r="G637" s="1">
        <f t="shared" si="69"/>
        <v>1098.152</v>
      </c>
      <c r="H637" s="5">
        <v>528.90200000000004</v>
      </c>
      <c r="I637" s="4">
        <v>0</v>
      </c>
      <c r="J637" s="4" t="s">
        <v>25</v>
      </c>
      <c r="K637" s="8">
        <v>1188.088</v>
      </c>
      <c r="L637" t="s">
        <v>12</v>
      </c>
      <c r="M637" t="s">
        <v>10</v>
      </c>
      <c r="N637" s="26">
        <f>VLOOKUP(A637,[1]PGReconsile!$A$1:$E$642,5,0)</f>
        <v>45923.446527777778</v>
      </c>
    </row>
    <row r="638" spans="1:14" x14ac:dyDescent="0.3">
      <c r="A638">
        <v>8661072455</v>
      </c>
      <c r="B638">
        <v>2194.0100000000002</v>
      </c>
      <c r="C638" s="1">
        <v>466.00799999999998</v>
      </c>
      <c r="D638" s="1">
        <v>71.98</v>
      </c>
      <c r="E638" s="1">
        <v>244.86499999999998</v>
      </c>
      <c r="F638">
        <v>1644.268</v>
      </c>
      <c r="G638" s="1">
        <f t="shared" si="69"/>
        <v>1399.403</v>
      </c>
      <c r="H638" s="5">
        <v>549.74200000000019</v>
      </c>
      <c r="I638" s="4">
        <f>VLOOKUP(A638,[1]PGReverse_all!$A$1:$FK$281,167,0)</f>
        <v>197.06</v>
      </c>
      <c r="J638" s="4">
        <f t="shared" ref="J638:J640" si="74">F638+D638+I638</f>
        <v>1913.308</v>
      </c>
      <c r="K638" s="7">
        <v>-269.03999999999996</v>
      </c>
      <c r="L638" t="s">
        <v>11</v>
      </c>
      <c r="M638" t="s">
        <v>10</v>
      </c>
      <c r="N638" s="26">
        <f>VLOOKUP(A638,[1]PGReconsile!$A$1:$E$642,5,0)</f>
        <v>45911.783333333333</v>
      </c>
    </row>
    <row r="639" spans="1:14" x14ac:dyDescent="0.3">
      <c r="A639">
        <v>8689877308</v>
      </c>
      <c r="B639">
        <v>3294</v>
      </c>
      <c r="C639" s="1">
        <v>816.25300000000004</v>
      </c>
      <c r="D639" s="1">
        <v>71.98</v>
      </c>
      <c r="E639" s="1">
        <v>516.43799999999999</v>
      </c>
      <c r="F639">
        <v>2389.0169999999998</v>
      </c>
      <c r="G639" s="1">
        <f t="shared" si="69"/>
        <v>1872.5789999999997</v>
      </c>
      <c r="H639" s="5">
        <v>904.98300000000017</v>
      </c>
      <c r="I639" s="4">
        <f>VLOOKUP(A639,[1]PGReverse_all!$A$1:$FK$281,167,0)</f>
        <v>197.06</v>
      </c>
      <c r="J639" s="4">
        <f t="shared" si="74"/>
        <v>2658.0569999999998</v>
      </c>
      <c r="K639" s="7">
        <v>-269.03999999999996</v>
      </c>
      <c r="L639" t="s">
        <v>11</v>
      </c>
      <c r="M639" t="s">
        <v>10</v>
      </c>
      <c r="N639" s="26">
        <f>VLOOKUP(A639,[1]PGReconsile!$A$1:$E$642,5,0)</f>
        <v>45922.443055555559</v>
      </c>
    </row>
    <row r="640" spans="1:14" x14ac:dyDescent="0.3">
      <c r="A640">
        <v>8666747268</v>
      </c>
      <c r="B640">
        <v>2594</v>
      </c>
      <c r="C640" s="1">
        <v>550.96600000000001</v>
      </c>
      <c r="D640" s="1">
        <v>71.98</v>
      </c>
      <c r="E640" s="1">
        <v>289.51</v>
      </c>
      <c r="F640">
        <v>1957.1579999999999</v>
      </c>
      <c r="G640" s="1">
        <f t="shared" si="69"/>
        <v>1667.6479999999999</v>
      </c>
      <c r="H640" s="5">
        <v>636.8420000000001</v>
      </c>
      <c r="I640" s="4">
        <f>VLOOKUP(A640,[1]PGReverse_all!$A$1:$FK$281,167,0)</f>
        <v>197.06</v>
      </c>
      <c r="J640" s="4">
        <f t="shared" si="74"/>
        <v>2226.1979999999999</v>
      </c>
      <c r="K640" s="7">
        <v>-269.03999999999996</v>
      </c>
      <c r="L640" t="s">
        <v>11</v>
      </c>
      <c r="M640" t="s">
        <v>10</v>
      </c>
      <c r="N640" s="26">
        <f>VLOOKUP(A640,[1]PGReconsile!$A$1:$E$642,5,0)</f>
        <v>45913.771527777775</v>
      </c>
    </row>
    <row r="641" spans="1:14" x14ac:dyDescent="0.3">
      <c r="A641">
        <v>8673323216</v>
      </c>
      <c r="B641">
        <v>2993.98</v>
      </c>
      <c r="C641" s="1">
        <v>635.92100000000005</v>
      </c>
      <c r="D641" s="1">
        <v>71.98</v>
      </c>
      <c r="E641" s="1">
        <v>334.14599999999996</v>
      </c>
      <c r="F641">
        <v>2270.04</v>
      </c>
      <c r="G641" s="1">
        <f t="shared" si="69"/>
        <v>1935.894</v>
      </c>
      <c r="H641" s="5">
        <v>723.94</v>
      </c>
      <c r="I641" s="4">
        <v>0</v>
      </c>
      <c r="J641" s="4" t="s">
        <v>25</v>
      </c>
      <c r="K641" s="8">
        <v>2270.04</v>
      </c>
      <c r="L641" t="s">
        <v>12</v>
      </c>
      <c r="M641" t="s">
        <v>10</v>
      </c>
      <c r="N641" s="26">
        <f>VLOOKUP(A641,[1]PGReconsile!$A$1:$E$642,5,0)</f>
        <v>45916.459722222222</v>
      </c>
    </row>
    <row r="642" spans="1:14" x14ac:dyDescent="0.3">
      <c r="A642">
        <v>8690064005</v>
      </c>
      <c r="B642">
        <v>2719</v>
      </c>
      <c r="C642" s="1">
        <v>705.85199999999998</v>
      </c>
      <c r="D642" s="1">
        <v>71.98</v>
      </c>
      <c r="E642" s="1">
        <v>426.28100000000001</v>
      </c>
      <c r="F642">
        <v>1927.3430000000001</v>
      </c>
      <c r="G642" s="1">
        <f t="shared" si="69"/>
        <v>1501.0620000000001</v>
      </c>
      <c r="H642" s="5">
        <v>791.65699999999993</v>
      </c>
      <c r="I642" s="4">
        <v>0</v>
      </c>
      <c r="J642" s="4" t="s">
        <v>25</v>
      </c>
      <c r="K642" s="8">
        <v>1927.3430000000001</v>
      </c>
      <c r="L642" t="s">
        <v>12</v>
      </c>
      <c r="M642" t="s">
        <v>10</v>
      </c>
      <c r="N642" s="26">
        <f>VLOOKUP(A642,[1]PGReconsile!$A$1:$E$642,5,0)</f>
        <v>45922.443055555559</v>
      </c>
    </row>
    <row r="643" spans="1:14" x14ac:dyDescent="0.3">
      <c r="G643" s="1"/>
      <c r="K64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5593-7DA6-457E-8ED3-B7BF1AEC1D07}">
  <dimension ref="A1:I1048566"/>
  <sheetViews>
    <sheetView zoomScale="70" zoomScaleNormal="70" workbookViewId="0">
      <selection activeCell="H15" sqref="H15"/>
    </sheetView>
  </sheetViews>
  <sheetFormatPr defaultRowHeight="14.4" x14ac:dyDescent="0.3"/>
  <cols>
    <col min="1" max="1" width="59" style="10" bestFit="1" customWidth="1"/>
    <col min="2" max="2" width="22.88671875" style="10" bestFit="1" customWidth="1"/>
    <col min="3" max="3" width="94.88671875" style="10" bestFit="1" customWidth="1"/>
    <col min="4" max="4" width="22.88671875" style="10" bestFit="1" customWidth="1"/>
    <col min="5" max="5" width="31.109375" style="10" bestFit="1" customWidth="1"/>
    <col min="6" max="6" width="18.44140625" style="10" bestFit="1" customWidth="1"/>
    <col min="7" max="7" width="13.88671875" style="10" bestFit="1" customWidth="1"/>
    <col min="8" max="8" width="21.6640625" style="10" bestFit="1" customWidth="1"/>
    <col min="9" max="9" width="17.6640625" style="10" bestFit="1" customWidth="1"/>
    <col min="10" max="16384" width="8.88671875" style="10"/>
  </cols>
  <sheetData>
    <row r="1" spans="1:6" ht="31.2" x14ac:dyDescent="0.6">
      <c r="A1" s="57" t="s">
        <v>72</v>
      </c>
      <c r="B1" s="58"/>
      <c r="C1" s="58"/>
      <c r="D1" s="58"/>
      <c r="E1" s="58"/>
      <c r="F1" s="59"/>
    </row>
    <row r="2" spans="1:6" x14ac:dyDescent="0.3">
      <c r="A2" s="37"/>
      <c r="F2" s="38"/>
    </row>
    <row r="3" spans="1:6" s="17" customFormat="1" ht="31.2" x14ac:dyDescent="0.6">
      <c r="A3" s="53" t="s">
        <v>35</v>
      </c>
      <c r="B3" s="54"/>
      <c r="C3" s="54"/>
      <c r="E3" s="36" t="s">
        <v>82</v>
      </c>
      <c r="F3" s="39"/>
    </row>
    <row r="4" spans="1:6" ht="43.2" x14ac:dyDescent="0.3">
      <c r="A4" s="40" t="s">
        <v>26</v>
      </c>
      <c r="B4" s="32" t="s">
        <v>7</v>
      </c>
      <c r="C4" s="32" t="s">
        <v>27</v>
      </c>
      <c r="E4" s="33" t="s">
        <v>79</v>
      </c>
      <c r="F4" s="38"/>
    </row>
    <row r="5" spans="1:6" ht="18" customHeight="1" x14ac:dyDescent="0.35">
      <c r="A5" s="41" t="s">
        <v>73</v>
      </c>
      <c r="B5" s="11">
        <f>B6+B7</f>
        <v>1691254.5299999998</v>
      </c>
      <c r="C5" s="16" t="s">
        <v>50</v>
      </c>
      <c r="E5" s="34" t="s">
        <v>80</v>
      </c>
      <c r="F5" s="38"/>
    </row>
    <row r="6" spans="1:6" ht="18" customHeight="1" x14ac:dyDescent="0.35">
      <c r="A6" s="42" t="s">
        <v>28</v>
      </c>
      <c r="B6" s="11">
        <f>SUMIF(PGReconsile!L1:L642,"Completed",PGReconsile!B1:B642)</f>
        <v>948289.69999999972</v>
      </c>
      <c r="C6" s="12" t="s">
        <v>41</v>
      </c>
      <c r="E6" s="29" t="s">
        <v>81</v>
      </c>
      <c r="F6" s="38"/>
    </row>
    <row r="7" spans="1:6" ht="18" customHeight="1" x14ac:dyDescent="0.35">
      <c r="A7" s="42" t="s">
        <v>74</v>
      </c>
      <c r="B7" s="11">
        <f>SUMIF(PGReconsile!L1:L642,"Return",PGReconsile!B1:B642)</f>
        <v>742964.83</v>
      </c>
      <c r="C7" s="12" t="s">
        <v>42</v>
      </c>
      <c r="E7" s="29" t="s">
        <v>83</v>
      </c>
      <c r="F7" s="38"/>
    </row>
    <row r="8" spans="1:6" ht="18" customHeight="1" x14ac:dyDescent="0.35">
      <c r="A8" s="42" t="s">
        <v>75</v>
      </c>
      <c r="B8" s="11">
        <f>SUMIF(PGReconsile!L1:L642,"Completed",PGReconsile!C1:C642)</f>
        <v>239885.21700000003</v>
      </c>
      <c r="C8" s="12" t="s">
        <v>43</v>
      </c>
      <c r="E8" s="35" t="s">
        <v>84</v>
      </c>
      <c r="F8" s="38"/>
    </row>
    <row r="9" spans="1:6" ht="18" customHeight="1" x14ac:dyDescent="0.35">
      <c r="A9" s="42" t="s">
        <v>76</v>
      </c>
      <c r="B9" s="11">
        <f>B10+B11</f>
        <v>89164.033200000136</v>
      </c>
      <c r="C9" s="12" t="s">
        <v>53</v>
      </c>
      <c r="E9" s="30"/>
      <c r="F9" s="38"/>
    </row>
    <row r="10" spans="1:6" ht="18" customHeight="1" x14ac:dyDescent="0.35">
      <c r="A10" s="42" t="s">
        <v>29</v>
      </c>
      <c r="B10" s="11">
        <f>SUM(PGReconsile!D2:D642)</f>
        <v>43008.333200000154</v>
      </c>
      <c r="C10" s="12" t="s">
        <v>44</v>
      </c>
      <c r="F10" s="38"/>
    </row>
    <row r="11" spans="1:6" ht="18" customHeight="1" x14ac:dyDescent="0.35">
      <c r="A11" s="42" t="s">
        <v>30</v>
      </c>
      <c r="B11" s="11">
        <f>SUM(PGReconsile!I2:I642)</f>
        <v>46155.699999999983</v>
      </c>
      <c r="C11" s="12" t="s">
        <v>45</v>
      </c>
      <c r="F11" s="38"/>
    </row>
    <row r="12" spans="1:6" ht="18" customHeight="1" x14ac:dyDescent="0.35">
      <c r="A12" s="42" t="s">
        <v>31</v>
      </c>
      <c r="B12" s="11">
        <f>SUMIF(PGReconsile!L1:L642,"Completed",PGReconsile!E1:E642)</f>
        <v>108367.16999999994</v>
      </c>
      <c r="C12" s="12" t="s">
        <v>46</v>
      </c>
      <c r="E12" s="31"/>
      <c r="F12" s="38"/>
    </row>
    <row r="13" spans="1:6" ht="18" customHeight="1" x14ac:dyDescent="0.35">
      <c r="A13" s="42" t="s">
        <v>32</v>
      </c>
      <c r="B13" s="11">
        <f>SUMIF(PGReconsile!L1:L642,"Completed",PGReconsile!G1:G642)</f>
        <v>570113.70080000069</v>
      </c>
      <c r="C13" s="12" t="s">
        <v>47</v>
      </c>
      <c r="F13" s="38"/>
    </row>
    <row r="14" spans="1:6" ht="18" customHeight="1" x14ac:dyDescent="0.35">
      <c r="A14" s="42" t="s">
        <v>77</v>
      </c>
      <c r="B14" s="11">
        <f>SUMIF(PGReconsile!L1:L642,"Return",PGReconsile!J1:J642)</f>
        <v>591962.38700000022</v>
      </c>
      <c r="C14" s="12" t="s">
        <v>48</v>
      </c>
      <c r="F14" s="38"/>
    </row>
    <row r="15" spans="1:6" ht="18" customHeight="1" x14ac:dyDescent="0.35">
      <c r="A15" s="42" t="s">
        <v>78</v>
      </c>
      <c r="B15" s="11">
        <f>SUM(PGReconsile!K2:K642)</f>
        <v>614175.59079999966</v>
      </c>
      <c r="C15" s="12" t="s">
        <v>49</v>
      </c>
      <c r="F15" s="38"/>
    </row>
    <row r="16" spans="1:6" ht="18" customHeight="1" x14ac:dyDescent="0.35">
      <c r="A16" s="42" t="s">
        <v>33</v>
      </c>
      <c r="B16" s="13">
        <f>B7/B5</f>
        <v>0.43929805763772295</v>
      </c>
      <c r="C16" s="12" t="s">
        <v>51</v>
      </c>
      <c r="F16" s="38"/>
    </row>
    <row r="17" spans="1:9" ht="18" customHeight="1" x14ac:dyDescent="0.35">
      <c r="A17" s="42" t="s">
        <v>34</v>
      </c>
      <c r="B17" s="13">
        <f>B15/B5</f>
        <v>0.36314793539680851</v>
      </c>
      <c r="C17" s="12" t="s">
        <v>52</v>
      </c>
      <c r="F17" s="38"/>
    </row>
    <row r="18" spans="1:9" x14ac:dyDescent="0.3">
      <c r="A18" s="43"/>
      <c r="F18" s="38"/>
    </row>
    <row r="19" spans="1:9" ht="31.2" x14ac:dyDescent="0.6">
      <c r="A19" s="55" t="s">
        <v>60</v>
      </c>
      <c r="B19" s="56"/>
      <c r="C19" s="56"/>
      <c r="D19" s="56"/>
      <c r="E19" s="56"/>
      <c r="F19" s="38"/>
    </row>
    <row r="20" spans="1:9" s="18" customFormat="1" ht="31.2" x14ac:dyDescent="0.6">
      <c r="A20" s="44" t="s">
        <v>8</v>
      </c>
      <c r="B20" s="9" t="s">
        <v>12</v>
      </c>
      <c r="C20" s="9" t="s">
        <v>11</v>
      </c>
      <c r="D20" s="9" t="s">
        <v>36</v>
      </c>
      <c r="E20" s="9" t="s">
        <v>37</v>
      </c>
      <c r="F20" s="45"/>
    </row>
    <row r="21" spans="1:9" ht="18" x14ac:dyDescent="0.35">
      <c r="A21" s="42" t="s">
        <v>38</v>
      </c>
      <c r="B21" s="11">
        <f>SUMIF(PGReconsile!L1:L642,"Completed",PGReconsile!B1:B642)</f>
        <v>948289.69999999972</v>
      </c>
      <c r="C21" s="14">
        <f>SUMIF(PGReconsile!L1:L642,"Return",PGReconsile!B1:B642)</f>
        <v>742964.83</v>
      </c>
      <c r="D21" s="15">
        <f>B21+C21</f>
        <v>1691254.5299999998</v>
      </c>
      <c r="E21" s="15">
        <f>B21-C21</f>
        <v>205324.86999999976</v>
      </c>
      <c r="F21" s="38"/>
    </row>
    <row r="22" spans="1:9" ht="18" x14ac:dyDescent="0.35">
      <c r="A22" s="42" t="s">
        <v>2</v>
      </c>
      <c r="B22" s="15">
        <f>SUMIF(PGReconsile!L1:L642,"Completed",PGReconsile!C1:C642)</f>
        <v>239885.21700000003</v>
      </c>
      <c r="C22" s="14">
        <f>SUMIF(PGReconsile!L1:L642,"Return",PGReconsile!C1:C642)</f>
        <v>193180.99899999975</v>
      </c>
      <c r="D22" s="15">
        <f>B22+C22</f>
        <v>433066.21599999978</v>
      </c>
      <c r="E22" s="15">
        <f t="shared" ref="E22:E27" si="0">B22-C22</f>
        <v>46704.218000000285</v>
      </c>
      <c r="F22" s="38"/>
    </row>
    <row r="23" spans="1:9" ht="18" x14ac:dyDescent="0.35">
      <c r="A23" s="41" t="s">
        <v>3</v>
      </c>
      <c r="B23" s="15">
        <f>SUMIF(PGReconsile!L1:L642,"Completed",PGReconsile!D1:D642)</f>
        <v>24858.753199999879</v>
      </c>
      <c r="C23" s="14">
        <v>64305.279999999999</v>
      </c>
      <c r="D23" s="15">
        <f>B23+C23</f>
        <v>89164.033199999874</v>
      </c>
      <c r="E23" s="15">
        <f t="shared" si="0"/>
        <v>-39446.526800000123</v>
      </c>
      <c r="F23" s="38"/>
    </row>
    <row r="24" spans="1:9" ht="18" x14ac:dyDescent="0.35">
      <c r="A24" s="41" t="s">
        <v>39</v>
      </c>
      <c r="B24" s="15">
        <f>SUMIF(PGReconsile!L1:L642,"Completed",PGReconsile!E1:E642)</f>
        <v>108367.16999999994</v>
      </c>
      <c r="C24" s="14">
        <f>SUMIF(PGReconsile!L1:L642,"Return",PGReconsile!E1:E642)</f>
        <v>84292.630000000048</v>
      </c>
      <c r="D24" s="15">
        <f t="shared" ref="D24:D27" si="1">B24+C24</f>
        <v>192659.8</v>
      </c>
      <c r="E24" s="15">
        <f t="shared" si="0"/>
        <v>24074.539999999892</v>
      </c>
      <c r="F24" s="38"/>
    </row>
    <row r="25" spans="1:9" ht="18" x14ac:dyDescent="0.35">
      <c r="A25" s="41" t="s">
        <v>40</v>
      </c>
      <c r="B25" s="15">
        <f>SUMIF(PGReconsile!L1:L642,"Completed",PGReconsile!G1:G642)</f>
        <v>570113.70080000069</v>
      </c>
      <c r="C25" s="14">
        <f>SUMIF(PGReconsile!L1:L642,"Return",PGReconsile!G1:G642)</f>
        <v>443364.47699999984</v>
      </c>
      <c r="D25" s="15">
        <f t="shared" si="1"/>
        <v>1013478.1778000005</v>
      </c>
      <c r="E25" s="15">
        <f t="shared" si="0"/>
        <v>126749.22380000085</v>
      </c>
      <c r="F25" s="38"/>
    </row>
    <row r="26" spans="1:9" ht="18" x14ac:dyDescent="0.35">
      <c r="A26" s="41" t="s">
        <v>24</v>
      </c>
      <c r="B26" s="15">
        <f>SUMIF(PGReconsile!L1:L642,"Completed",PGReconsile!J1:J642)</f>
        <v>0</v>
      </c>
      <c r="C26" s="14">
        <f>SUMIF(PGReconsile!L1:L642,"Return",PGReconsile!J1:J642)</f>
        <v>591962.38700000022</v>
      </c>
      <c r="D26" s="15">
        <f t="shared" si="1"/>
        <v>591962.38700000022</v>
      </c>
      <c r="E26" s="15">
        <f t="shared" si="0"/>
        <v>-591962.38700000022</v>
      </c>
      <c r="F26" s="38"/>
    </row>
    <row r="27" spans="1:9" ht="18" x14ac:dyDescent="0.35">
      <c r="A27" s="41" t="s">
        <v>54</v>
      </c>
      <c r="B27" s="15">
        <f>SUMIF(PGReconsile!L1:L642,"Completed",PGReconsile!K1:K642)</f>
        <v>678480.87079999945</v>
      </c>
      <c r="C27" s="14">
        <f>SUMIF(PGReconsile!L1:L642,"Return",PGReconsile!K1:K642)</f>
        <v>-64305.280000000123</v>
      </c>
      <c r="D27" s="15">
        <f t="shared" si="1"/>
        <v>614175.59079999931</v>
      </c>
      <c r="E27" s="15">
        <f t="shared" si="0"/>
        <v>742786.1507999996</v>
      </c>
      <c r="F27" s="38"/>
    </row>
    <row r="28" spans="1:9" x14ac:dyDescent="0.3">
      <c r="A28" s="37"/>
      <c r="F28" s="38"/>
    </row>
    <row r="29" spans="1:9" x14ac:dyDescent="0.3">
      <c r="A29" s="37"/>
      <c r="F29" s="38"/>
    </row>
    <row r="30" spans="1:9" ht="18" x14ac:dyDescent="0.35">
      <c r="A30" s="46" t="s">
        <v>55</v>
      </c>
      <c r="F30" s="38"/>
      <c r="I30"/>
    </row>
    <row r="31" spans="1:9" ht="18" x14ac:dyDescent="0.35">
      <c r="A31" s="47" t="s">
        <v>65</v>
      </c>
      <c r="F31" s="38"/>
    </row>
    <row r="32" spans="1:9" ht="18" x14ac:dyDescent="0.35">
      <c r="A32" s="47" t="s">
        <v>58</v>
      </c>
      <c r="F32" s="38"/>
    </row>
    <row r="33" spans="1:6" ht="18" x14ac:dyDescent="0.35">
      <c r="A33" s="47" t="s">
        <v>61</v>
      </c>
      <c r="F33" s="38"/>
    </row>
    <row r="34" spans="1:6" ht="18" x14ac:dyDescent="0.35">
      <c r="A34" s="47" t="s">
        <v>59</v>
      </c>
      <c r="F34" s="38"/>
    </row>
    <row r="35" spans="1:6" ht="54" x14ac:dyDescent="0.35">
      <c r="A35" s="48" t="s">
        <v>56</v>
      </c>
      <c r="F35" s="38"/>
    </row>
    <row r="36" spans="1:6" ht="54" x14ac:dyDescent="0.3">
      <c r="A36" s="49" t="s">
        <v>57</v>
      </c>
      <c r="F36" s="38"/>
    </row>
    <row r="37" spans="1:6" x14ac:dyDescent="0.3">
      <c r="A37" s="37"/>
      <c r="F37" s="38"/>
    </row>
    <row r="38" spans="1:6" x14ac:dyDescent="0.3">
      <c r="A38" s="37"/>
      <c r="F38" s="38"/>
    </row>
    <row r="39" spans="1:6" x14ac:dyDescent="0.3">
      <c r="A39" s="37"/>
      <c r="F39" s="38"/>
    </row>
    <row r="40" spans="1:6" x14ac:dyDescent="0.3">
      <c r="A40" s="37"/>
      <c r="F40" s="38"/>
    </row>
    <row r="41" spans="1:6" x14ac:dyDescent="0.3">
      <c r="A41" s="37"/>
      <c r="F41" s="38"/>
    </row>
    <row r="42" spans="1:6" x14ac:dyDescent="0.3">
      <c r="A42" s="37"/>
      <c r="F42" s="38"/>
    </row>
    <row r="43" spans="1:6" x14ac:dyDescent="0.3">
      <c r="A43" s="37"/>
      <c r="F43" s="38"/>
    </row>
    <row r="44" spans="1:6" x14ac:dyDescent="0.3">
      <c r="A44" s="37"/>
      <c r="F44" s="38"/>
    </row>
    <row r="45" spans="1:6" x14ac:dyDescent="0.3">
      <c r="A45" s="37"/>
      <c r="F45" s="38"/>
    </row>
    <row r="46" spans="1:6" x14ac:dyDescent="0.3">
      <c r="A46" s="37"/>
      <c r="F46" s="38"/>
    </row>
    <row r="47" spans="1:6" x14ac:dyDescent="0.3">
      <c r="A47" s="37"/>
      <c r="F47" s="38"/>
    </row>
    <row r="48" spans="1:6" x14ac:dyDescent="0.3">
      <c r="A48" s="37"/>
      <c r="F48" s="38"/>
    </row>
    <row r="49" spans="1:6" x14ac:dyDescent="0.3">
      <c r="A49" s="37"/>
      <c r="F49" s="38"/>
    </row>
    <row r="50" spans="1:6" x14ac:dyDescent="0.3">
      <c r="A50" s="37"/>
      <c r="F50" s="38"/>
    </row>
    <row r="51" spans="1:6" x14ac:dyDescent="0.3">
      <c r="A51" s="37"/>
      <c r="F51" s="38"/>
    </row>
    <row r="52" spans="1:6" x14ac:dyDescent="0.3">
      <c r="A52" s="37"/>
      <c r="F52" s="38"/>
    </row>
    <row r="53" spans="1:6" x14ac:dyDescent="0.3">
      <c r="A53" s="37"/>
      <c r="F53" s="38"/>
    </row>
    <row r="54" spans="1:6" x14ac:dyDescent="0.3">
      <c r="A54" s="37"/>
      <c r="F54" s="38"/>
    </row>
    <row r="55" spans="1:6" x14ac:dyDescent="0.3">
      <c r="A55" s="37"/>
      <c r="F55" s="38"/>
    </row>
    <row r="56" spans="1:6" x14ac:dyDescent="0.3">
      <c r="A56" s="37"/>
      <c r="F56" s="38"/>
    </row>
    <row r="57" spans="1:6" x14ac:dyDescent="0.3">
      <c r="A57" s="37"/>
      <c r="F57" s="38"/>
    </row>
    <row r="58" spans="1:6" x14ac:dyDescent="0.3">
      <c r="A58" s="37"/>
      <c r="F58" s="38"/>
    </row>
    <row r="59" spans="1:6" x14ac:dyDescent="0.3">
      <c r="A59" s="37"/>
      <c r="F59" s="38"/>
    </row>
    <row r="60" spans="1:6" x14ac:dyDescent="0.3">
      <c r="A60" s="37"/>
      <c r="F60" s="38"/>
    </row>
    <row r="61" spans="1:6" x14ac:dyDescent="0.3">
      <c r="A61" s="37"/>
      <c r="F61" s="38"/>
    </row>
    <row r="62" spans="1:6" x14ac:dyDescent="0.3">
      <c r="A62" s="37"/>
      <c r="F62" s="38"/>
    </row>
    <row r="63" spans="1:6" x14ac:dyDescent="0.3">
      <c r="A63" s="37"/>
      <c r="F63" s="38"/>
    </row>
    <row r="64" spans="1:6" x14ac:dyDescent="0.3">
      <c r="A64" s="37"/>
      <c r="F64" s="38"/>
    </row>
    <row r="65" spans="1:6" x14ac:dyDescent="0.3">
      <c r="A65" s="37"/>
      <c r="F65" s="38"/>
    </row>
    <row r="66" spans="1:6" x14ac:dyDescent="0.3">
      <c r="A66" s="37"/>
      <c r="F66" s="38"/>
    </row>
    <row r="67" spans="1:6" x14ac:dyDescent="0.3">
      <c r="A67" s="37"/>
      <c r="F67" s="38"/>
    </row>
    <row r="68" spans="1:6" x14ac:dyDescent="0.3">
      <c r="A68" s="37"/>
      <c r="F68" s="38"/>
    </row>
    <row r="69" spans="1:6" x14ac:dyDescent="0.3">
      <c r="A69" s="37"/>
      <c r="F69" s="38"/>
    </row>
    <row r="70" spans="1:6" x14ac:dyDescent="0.3">
      <c r="A70" s="37"/>
      <c r="F70" s="38"/>
    </row>
    <row r="71" spans="1:6" x14ac:dyDescent="0.3">
      <c r="A71" s="37"/>
      <c r="F71" s="38"/>
    </row>
    <row r="72" spans="1:6" x14ac:dyDescent="0.3">
      <c r="A72" s="37"/>
      <c r="F72" s="38"/>
    </row>
    <row r="73" spans="1:6" x14ac:dyDescent="0.3">
      <c r="A73" s="37"/>
      <c r="F73" s="38"/>
    </row>
    <row r="74" spans="1:6" ht="15" thickBot="1" x14ac:dyDescent="0.35">
      <c r="A74" s="50"/>
      <c r="B74" s="51"/>
      <c r="C74" s="51"/>
      <c r="D74" s="51"/>
      <c r="E74" s="51"/>
      <c r="F74" s="52"/>
    </row>
    <row r="1048560" spans="1:5" x14ac:dyDescent="0.3">
      <c r="A1048560" s="24" t="s">
        <v>62</v>
      </c>
      <c r="B1048560" s="25" t="s">
        <v>63</v>
      </c>
      <c r="D1048560" s="27" t="s">
        <v>66</v>
      </c>
      <c r="E1048560" t="s">
        <v>71</v>
      </c>
    </row>
    <row r="1048561" spans="1:5" ht="18" x14ac:dyDescent="0.3">
      <c r="A1048561" s="19" t="s">
        <v>38</v>
      </c>
      <c r="B1048561" s="21">
        <f>VLOOKUP(A1048561,A20:D27,4,0)</f>
        <v>1691254.5299999998</v>
      </c>
      <c r="D1048561" s="28" t="s">
        <v>68</v>
      </c>
      <c r="E1048561" s="1">
        <v>2290.2008000000001</v>
      </c>
    </row>
    <row r="1048562" spans="1:5" ht="18" x14ac:dyDescent="0.3">
      <c r="A1048562" s="19" t="s">
        <v>2</v>
      </c>
      <c r="B1048562" s="21">
        <f>VLOOKUP(A1048562,A21:D28,4,0)</f>
        <v>433066.21599999978</v>
      </c>
      <c r="D1048562" s="28" t="s">
        <v>69</v>
      </c>
      <c r="E1048562" s="1">
        <v>237712.0529999999</v>
      </c>
    </row>
    <row r="1048563" spans="1:5" ht="18" x14ac:dyDescent="0.35">
      <c r="A1048563" s="20" t="s">
        <v>3</v>
      </c>
      <c r="B1048563" s="21">
        <f>VLOOKUP(A1048563,A22:D28,4,0)</f>
        <v>89164.033199999874</v>
      </c>
      <c r="D1048563" s="28" t="s">
        <v>70</v>
      </c>
      <c r="E1048563" s="1">
        <v>374173.33700000058</v>
      </c>
    </row>
    <row r="1048564" spans="1:5" ht="18" x14ac:dyDescent="0.35">
      <c r="A1048564" s="20" t="s">
        <v>39</v>
      </c>
      <c r="B1048564" s="21">
        <f>VLOOKUP(A1048564,A23:D29,4,0)</f>
        <v>192659.8</v>
      </c>
      <c r="D1048564" s="28" t="s">
        <v>67</v>
      </c>
      <c r="E1048564" s="1">
        <v>614175.59080000047</v>
      </c>
    </row>
    <row r="1048565" spans="1:5" ht="18" x14ac:dyDescent="0.35">
      <c r="A1048565" s="20" t="s">
        <v>24</v>
      </c>
      <c r="B1048565" s="21">
        <f>VLOOKUP(A1048565,A24:D30,4,0)</f>
        <v>591962.38700000022</v>
      </c>
    </row>
    <row r="1048566" spans="1:5" ht="18" x14ac:dyDescent="0.35">
      <c r="A1048566" s="22" t="s">
        <v>54</v>
      </c>
      <c r="B1048566" s="23">
        <f>VLOOKUP(A1048566,A25:D31,4,0)</f>
        <v>614175.59079999931</v>
      </c>
    </row>
  </sheetData>
  <mergeCells count="3">
    <mergeCell ref="A3:C3"/>
    <mergeCell ref="A19:E19"/>
    <mergeCell ref="A1:F1"/>
  </mergeCell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C050-009E-46DD-8ACA-6D4F9FDE4F8C}">
  <dimension ref="A1:K31"/>
  <sheetViews>
    <sheetView zoomScale="85" zoomScaleNormal="85" workbookViewId="0">
      <selection activeCell="G6" sqref="G6"/>
    </sheetView>
  </sheetViews>
  <sheetFormatPr defaultRowHeight="15" customHeight="1" x14ac:dyDescent="0.3"/>
  <cols>
    <col min="1" max="1" width="38.88671875" style="61" bestFit="1" customWidth="1"/>
    <col min="2" max="2" width="35.33203125" style="61" bestFit="1" customWidth="1"/>
    <col min="3" max="3" width="74.5546875" style="61" bestFit="1" customWidth="1"/>
    <col min="4" max="4" width="39.21875" style="61" bestFit="1" customWidth="1"/>
    <col min="5" max="16384" width="8.88671875" style="61"/>
  </cols>
  <sheetData>
    <row r="1" spans="1:11" ht="29.4" thickBot="1" x14ac:dyDescent="0.6">
      <c r="A1" s="81" t="s">
        <v>140</v>
      </c>
      <c r="B1" s="81"/>
      <c r="C1" s="81"/>
      <c r="D1" s="81"/>
      <c r="E1" s="81"/>
    </row>
    <row r="2" spans="1:11" ht="28.8" x14ac:dyDescent="0.3">
      <c r="A2" s="78" t="s">
        <v>85</v>
      </c>
      <c r="B2" s="79"/>
      <c r="C2" s="79"/>
      <c r="D2" s="79"/>
      <c r="E2" s="80"/>
      <c r="F2" s="60"/>
      <c r="G2" s="60"/>
      <c r="H2" s="60"/>
      <c r="I2" s="60"/>
      <c r="J2" s="60"/>
      <c r="K2" s="60"/>
    </row>
    <row r="3" spans="1:11" ht="15" customHeight="1" x14ac:dyDescent="0.3">
      <c r="A3" s="66"/>
      <c r="B3" s="67"/>
      <c r="C3" s="67"/>
      <c r="D3" s="67"/>
      <c r="E3" s="68"/>
    </row>
    <row r="4" spans="1:11" ht="15" customHeight="1" x14ac:dyDescent="0.3">
      <c r="A4" s="63" t="s">
        <v>86</v>
      </c>
      <c r="B4" s="62" t="s">
        <v>87</v>
      </c>
      <c r="C4" s="62" t="s">
        <v>88</v>
      </c>
      <c r="D4" s="67"/>
      <c r="E4" s="68"/>
    </row>
    <row r="5" spans="1:11" ht="15" customHeight="1" x14ac:dyDescent="0.3">
      <c r="A5" s="70" t="s">
        <v>89</v>
      </c>
      <c r="B5" s="71">
        <v>1691254.53</v>
      </c>
      <c r="C5" s="72" t="s">
        <v>90</v>
      </c>
      <c r="D5" s="67"/>
      <c r="E5" s="68"/>
    </row>
    <row r="6" spans="1:11" ht="15" customHeight="1" x14ac:dyDescent="0.3">
      <c r="A6" s="70" t="s">
        <v>91</v>
      </c>
      <c r="B6" s="71">
        <v>742964.83</v>
      </c>
      <c r="C6" s="72" t="s">
        <v>92</v>
      </c>
      <c r="D6" s="67"/>
      <c r="E6" s="68"/>
    </row>
    <row r="7" spans="1:11" ht="15" customHeight="1" x14ac:dyDescent="0.3">
      <c r="A7" s="70" t="s">
        <v>93</v>
      </c>
      <c r="B7" s="71">
        <v>948289.7</v>
      </c>
      <c r="C7" s="72" t="s">
        <v>94</v>
      </c>
      <c r="D7" s="67"/>
      <c r="E7" s="68"/>
    </row>
    <row r="8" spans="1:11" ht="15" customHeight="1" x14ac:dyDescent="0.3">
      <c r="A8" s="70" t="s">
        <v>95</v>
      </c>
      <c r="B8" s="71">
        <v>239885.22</v>
      </c>
      <c r="C8" s="72" t="s">
        <v>96</v>
      </c>
      <c r="D8" s="67"/>
      <c r="E8" s="68"/>
    </row>
    <row r="9" spans="1:11" ht="15" customHeight="1" x14ac:dyDescent="0.3">
      <c r="A9" s="70" t="s">
        <v>97</v>
      </c>
      <c r="B9" s="71">
        <v>89164.03</v>
      </c>
      <c r="C9" s="72" t="s">
        <v>139</v>
      </c>
      <c r="D9" s="67"/>
      <c r="E9" s="68"/>
    </row>
    <row r="10" spans="1:11" ht="15" customHeight="1" x14ac:dyDescent="0.3">
      <c r="A10" s="70" t="s">
        <v>98</v>
      </c>
      <c r="B10" s="69" t="s">
        <v>99</v>
      </c>
      <c r="C10" s="72" t="s">
        <v>100</v>
      </c>
      <c r="D10" s="67"/>
      <c r="E10" s="68"/>
    </row>
    <row r="11" spans="1:11" ht="15" customHeight="1" x14ac:dyDescent="0.3">
      <c r="A11" s="70" t="s">
        <v>101</v>
      </c>
      <c r="B11" s="69" t="s">
        <v>102</v>
      </c>
      <c r="C11" s="72" t="s">
        <v>103</v>
      </c>
      <c r="D11" s="67"/>
      <c r="E11" s="68"/>
    </row>
    <row r="12" spans="1:11" ht="15" customHeight="1" x14ac:dyDescent="0.3">
      <c r="A12" s="70" t="s">
        <v>104</v>
      </c>
      <c r="B12" s="72" t="s">
        <v>105</v>
      </c>
      <c r="C12" s="72" t="s">
        <v>106</v>
      </c>
      <c r="D12" s="67"/>
      <c r="E12" s="68"/>
    </row>
    <row r="13" spans="1:11" ht="15" customHeight="1" x14ac:dyDescent="0.3">
      <c r="A13" s="70" t="s">
        <v>107</v>
      </c>
      <c r="B13" s="72"/>
      <c r="C13" s="72" t="s">
        <v>108</v>
      </c>
      <c r="D13" s="67"/>
      <c r="E13" s="68"/>
    </row>
    <row r="14" spans="1:11" ht="15" customHeight="1" x14ac:dyDescent="0.3">
      <c r="A14" s="66"/>
      <c r="B14" s="67"/>
      <c r="C14" s="67"/>
      <c r="D14" s="67"/>
      <c r="E14" s="68"/>
    </row>
    <row r="15" spans="1:11" ht="15" customHeight="1" x14ac:dyDescent="0.3">
      <c r="A15" s="66"/>
      <c r="B15" s="67"/>
      <c r="C15" s="67"/>
      <c r="D15" s="67"/>
      <c r="E15" s="68"/>
    </row>
    <row r="16" spans="1:11" ht="15" customHeight="1" x14ac:dyDescent="0.3">
      <c r="A16" s="64" t="s">
        <v>109</v>
      </c>
      <c r="B16" s="65"/>
      <c r="C16" s="65"/>
      <c r="D16" s="65"/>
      <c r="E16" s="68"/>
    </row>
    <row r="17" spans="1:5" ht="15" customHeight="1" x14ac:dyDescent="0.3">
      <c r="A17" s="66"/>
      <c r="B17" s="67"/>
      <c r="C17" s="67"/>
      <c r="D17" s="67"/>
      <c r="E17" s="68"/>
    </row>
    <row r="18" spans="1:5" ht="15" customHeight="1" x14ac:dyDescent="0.3">
      <c r="A18" s="63" t="s">
        <v>110</v>
      </c>
      <c r="B18" s="62" t="s">
        <v>111</v>
      </c>
      <c r="C18" s="62" t="s">
        <v>112</v>
      </c>
      <c r="D18" s="62" t="s">
        <v>113</v>
      </c>
      <c r="E18" s="68"/>
    </row>
    <row r="19" spans="1:5" ht="15" customHeight="1" x14ac:dyDescent="0.3">
      <c r="A19" s="70" t="s">
        <v>114</v>
      </c>
      <c r="B19" s="72" t="s">
        <v>115</v>
      </c>
      <c r="C19" s="72" t="s">
        <v>116</v>
      </c>
      <c r="D19" s="72" t="s">
        <v>117</v>
      </c>
      <c r="E19" s="68"/>
    </row>
    <row r="20" spans="1:5" ht="15" customHeight="1" x14ac:dyDescent="0.3">
      <c r="A20" s="70" t="s">
        <v>118</v>
      </c>
      <c r="B20" s="72" t="s">
        <v>119</v>
      </c>
      <c r="C20" s="72" t="s">
        <v>120</v>
      </c>
      <c r="D20" s="72" t="s">
        <v>121</v>
      </c>
      <c r="E20" s="68"/>
    </row>
    <row r="21" spans="1:5" ht="15" customHeight="1" x14ac:dyDescent="0.3">
      <c r="A21" s="70" t="s">
        <v>122</v>
      </c>
      <c r="B21" s="72" t="s">
        <v>123</v>
      </c>
      <c r="C21" s="72" t="s">
        <v>124</v>
      </c>
      <c r="D21" s="72" t="s">
        <v>125</v>
      </c>
      <c r="E21" s="68"/>
    </row>
    <row r="22" spans="1:5" ht="15" customHeight="1" x14ac:dyDescent="0.3">
      <c r="A22" s="70" t="s">
        <v>126</v>
      </c>
      <c r="B22" s="72" t="s">
        <v>127</v>
      </c>
      <c r="C22" s="72" t="s">
        <v>128</v>
      </c>
      <c r="D22" s="72" t="s">
        <v>129</v>
      </c>
      <c r="E22" s="68"/>
    </row>
    <row r="23" spans="1:5" ht="15" customHeight="1" x14ac:dyDescent="0.3">
      <c r="A23" s="70" t="s">
        <v>130</v>
      </c>
      <c r="B23" s="72" t="s">
        <v>131</v>
      </c>
      <c r="C23" s="72" t="s">
        <v>132</v>
      </c>
      <c r="D23" s="72" t="s">
        <v>133</v>
      </c>
      <c r="E23" s="68"/>
    </row>
    <row r="24" spans="1:5" ht="15" customHeight="1" x14ac:dyDescent="0.3">
      <c r="A24" s="66"/>
      <c r="B24" s="67"/>
      <c r="C24" s="67"/>
      <c r="D24" s="67"/>
      <c r="E24" s="68"/>
    </row>
    <row r="25" spans="1:5" ht="15" customHeight="1" x14ac:dyDescent="0.3">
      <c r="A25" s="66"/>
      <c r="B25" s="67"/>
      <c r="C25" s="67"/>
      <c r="D25" s="67"/>
      <c r="E25" s="68"/>
    </row>
    <row r="26" spans="1:5" ht="15" customHeight="1" x14ac:dyDescent="0.3">
      <c r="A26" s="73" t="s">
        <v>134</v>
      </c>
      <c r="B26" s="67"/>
      <c r="C26" s="67"/>
      <c r="D26" s="67"/>
      <c r="E26" s="68"/>
    </row>
    <row r="27" spans="1:5" ht="15" customHeight="1" x14ac:dyDescent="0.3">
      <c r="A27" s="74" t="s">
        <v>135</v>
      </c>
      <c r="B27" s="67"/>
      <c r="C27" s="67"/>
      <c r="D27" s="67"/>
      <c r="E27" s="68"/>
    </row>
    <row r="28" spans="1:5" ht="15" customHeight="1" x14ac:dyDescent="0.3">
      <c r="A28" s="74" t="s">
        <v>136</v>
      </c>
      <c r="B28" s="67"/>
      <c r="C28" s="67"/>
      <c r="D28" s="67"/>
      <c r="E28" s="68"/>
    </row>
    <row r="29" spans="1:5" ht="15" customHeight="1" x14ac:dyDescent="0.3">
      <c r="A29" s="74" t="s">
        <v>137</v>
      </c>
      <c r="B29" s="67"/>
      <c r="C29" s="67"/>
      <c r="D29" s="67"/>
      <c r="E29" s="68"/>
    </row>
    <row r="30" spans="1:5" ht="15" customHeight="1" x14ac:dyDescent="0.3">
      <c r="A30" s="74" t="s">
        <v>138</v>
      </c>
      <c r="B30" s="67"/>
      <c r="C30" s="67"/>
      <c r="D30" s="67"/>
      <c r="E30" s="68"/>
    </row>
    <row r="31" spans="1:5" ht="15" customHeight="1" thickBot="1" x14ac:dyDescent="0.35">
      <c r="A31" s="75"/>
      <c r="B31" s="76"/>
      <c r="C31" s="76"/>
      <c r="D31" s="76"/>
      <c r="E31" s="77"/>
    </row>
  </sheetData>
  <mergeCells count="3">
    <mergeCell ref="A2:E2"/>
    <mergeCell ref="A16:D16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4E2D-78B0-45FE-AA13-5154F9079BE9}">
  <dimension ref="A1:I374"/>
  <sheetViews>
    <sheetView workbookViewId="0">
      <selection activeCell="K12" sqref="K12"/>
    </sheetView>
  </sheetViews>
  <sheetFormatPr defaultRowHeight="14.4" x14ac:dyDescent="0.3"/>
  <cols>
    <col min="1" max="1" width="11" bestFit="1" customWidth="1"/>
    <col min="2" max="2" width="13.88671875" bestFit="1" customWidth="1"/>
    <col min="3" max="3" width="11.21875" bestFit="1" customWidth="1"/>
    <col min="4" max="4" width="8" bestFit="1" customWidth="1"/>
    <col min="5" max="5" width="9.5546875" bestFit="1" customWidth="1"/>
    <col min="6" max="6" width="17.6640625" bestFit="1" customWidth="1"/>
    <col min="7" max="7" width="17.6640625" customWidth="1"/>
    <col min="8" max="8" width="35.44140625" style="5" bestFit="1" customWidth="1"/>
    <col min="9" max="9" width="11.77734375" bestFit="1" customWidth="1"/>
    <col min="10" max="10" width="9.332031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18</v>
      </c>
      <c r="H1" s="3" t="s">
        <v>6</v>
      </c>
      <c r="I1" s="2" t="s">
        <v>14</v>
      </c>
    </row>
    <row r="2" spans="1:9" x14ac:dyDescent="0.3">
      <c r="A2">
        <v>8657309311</v>
      </c>
      <c r="B2">
        <v>4193.99</v>
      </c>
      <c r="C2" s="1">
        <v>1336.2049999999999</v>
      </c>
      <c r="D2" s="1">
        <v>71.98</v>
      </c>
      <c r="E2" s="1">
        <v>468.084</v>
      </c>
      <c r="F2">
        <v>2763.337</v>
      </c>
      <c r="G2" s="1">
        <v>2295.2530000000002</v>
      </c>
      <c r="H2" s="4">
        <v>1430.6529999999998</v>
      </c>
      <c r="I2" t="s">
        <v>9</v>
      </c>
    </row>
    <row r="3" spans="1:9" x14ac:dyDescent="0.3">
      <c r="A3">
        <v>8622766805</v>
      </c>
      <c r="B3">
        <v>2419</v>
      </c>
      <c r="C3" s="1">
        <v>513.79499999999996</v>
      </c>
      <c r="D3" s="1">
        <v>71.98</v>
      </c>
      <c r="E3" s="1">
        <v>269.97899999999998</v>
      </c>
      <c r="F3">
        <v>1820.2660000000001</v>
      </c>
      <c r="G3" s="1">
        <v>1550.287</v>
      </c>
      <c r="H3" s="4">
        <v>598.73399999999992</v>
      </c>
      <c r="I3" t="s">
        <v>9</v>
      </c>
    </row>
    <row r="4" spans="1:9" x14ac:dyDescent="0.3">
      <c r="A4">
        <v>8625934871</v>
      </c>
      <c r="B4">
        <v>2944</v>
      </c>
      <c r="C4" s="1">
        <v>764.26199999999994</v>
      </c>
      <c r="D4" s="1">
        <v>71.98</v>
      </c>
      <c r="E4" s="1">
        <v>328.57299999999998</v>
      </c>
      <c r="F4">
        <v>2091.9859999999999</v>
      </c>
      <c r="G4" s="1">
        <v>1763.413</v>
      </c>
      <c r="H4" s="4">
        <v>852.01400000000012</v>
      </c>
      <c r="I4" t="s">
        <v>9</v>
      </c>
    </row>
    <row r="5" spans="1:9" x14ac:dyDescent="0.3">
      <c r="A5">
        <v>8644779341</v>
      </c>
      <c r="B5">
        <v>2794</v>
      </c>
      <c r="C5" s="1">
        <v>692.35299999999995</v>
      </c>
      <c r="D5" s="1">
        <v>71.98</v>
      </c>
      <c r="E5" s="1">
        <v>311.83300000000003</v>
      </c>
      <c r="F5">
        <v>2014.6990000000001</v>
      </c>
      <c r="G5" s="1">
        <v>1702.866</v>
      </c>
      <c r="H5" s="4">
        <v>779.30099999999993</v>
      </c>
      <c r="I5" t="s">
        <v>9</v>
      </c>
    </row>
    <row r="6" spans="1:9" x14ac:dyDescent="0.3">
      <c r="A6">
        <v>8592986686</v>
      </c>
      <c r="B6">
        <v>2406</v>
      </c>
      <c r="C6" s="1">
        <v>596.20699999999999</v>
      </c>
      <c r="D6" s="1">
        <v>71.98</v>
      </c>
      <c r="E6" s="1">
        <v>268.53100000000001</v>
      </c>
      <c r="F6">
        <v>1724.924</v>
      </c>
      <c r="G6" s="1">
        <v>1456.393</v>
      </c>
      <c r="H6" s="4">
        <v>681.07600000000002</v>
      </c>
      <c r="I6" t="s">
        <v>9</v>
      </c>
    </row>
    <row r="7" spans="1:9" x14ac:dyDescent="0.3">
      <c r="A7">
        <v>8631845358</v>
      </c>
      <c r="B7">
        <v>3169</v>
      </c>
      <c r="C7" s="1">
        <v>822.67200000000003</v>
      </c>
      <c r="D7" s="1">
        <v>71.98</v>
      </c>
      <c r="E7" s="1">
        <v>353.68700000000001</v>
      </c>
      <c r="F7">
        <v>2257.3719999999998</v>
      </c>
      <c r="G7" s="1">
        <v>1903.6849999999999</v>
      </c>
      <c r="H7" s="4">
        <v>911.62800000000016</v>
      </c>
      <c r="I7" t="s">
        <v>9</v>
      </c>
    </row>
    <row r="8" spans="1:9" x14ac:dyDescent="0.3">
      <c r="A8">
        <v>8614350224</v>
      </c>
      <c r="B8">
        <v>2994</v>
      </c>
      <c r="C8" s="1">
        <v>635.92600000000004</v>
      </c>
      <c r="D8" s="1">
        <v>71.98</v>
      </c>
      <c r="E8" s="1">
        <v>334.15600000000001</v>
      </c>
      <c r="F8">
        <v>2270.0549999999998</v>
      </c>
      <c r="G8" s="1">
        <v>1935.8989999999999</v>
      </c>
      <c r="H8" s="4">
        <v>723.94500000000016</v>
      </c>
      <c r="I8" t="s">
        <v>9</v>
      </c>
    </row>
    <row r="9" spans="1:9" x14ac:dyDescent="0.3">
      <c r="A9">
        <v>8598134488</v>
      </c>
      <c r="B9">
        <v>1204</v>
      </c>
      <c r="C9" s="1">
        <v>298.351</v>
      </c>
      <c r="D9" s="1">
        <v>53.1</v>
      </c>
      <c r="E9" s="1">
        <v>134.375</v>
      </c>
      <c r="F9">
        <v>846.09900000000005</v>
      </c>
      <c r="G9" s="1">
        <v>711.72400000000005</v>
      </c>
      <c r="H9" s="4">
        <v>357.90099999999995</v>
      </c>
      <c r="I9" t="s">
        <v>9</v>
      </c>
    </row>
    <row r="10" spans="1:9" x14ac:dyDescent="0.3">
      <c r="A10">
        <v>8594147199</v>
      </c>
      <c r="B10">
        <v>2343.9899999999998</v>
      </c>
      <c r="C10" s="1">
        <v>608.5</v>
      </c>
      <c r="D10" s="1">
        <v>71.97999999999999</v>
      </c>
      <c r="E10" s="1">
        <v>261.60399999999998</v>
      </c>
      <c r="F10">
        <v>1650.953</v>
      </c>
      <c r="G10" s="1">
        <v>1389.3489999999999</v>
      </c>
      <c r="H10" s="4">
        <v>693.03699999999981</v>
      </c>
      <c r="I10" t="s">
        <v>9</v>
      </c>
    </row>
    <row r="11" spans="1:9" x14ac:dyDescent="0.3">
      <c r="A11">
        <v>8631135329</v>
      </c>
      <c r="B11">
        <v>3294</v>
      </c>
      <c r="C11" s="1">
        <v>816.25300000000004</v>
      </c>
      <c r="D11" s="1">
        <v>71.98</v>
      </c>
      <c r="E11" s="1">
        <v>367.63499999999999</v>
      </c>
      <c r="F11">
        <v>2388.1210000000001</v>
      </c>
      <c r="G11" s="1">
        <v>2020.4860000000001</v>
      </c>
      <c r="H11" s="4">
        <v>905.87899999999991</v>
      </c>
      <c r="I11" t="s">
        <v>9</v>
      </c>
    </row>
    <row r="12" spans="1:9" x14ac:dyDescent="0.3">
      <c r="A12">
        <v>8631283767</v>
      </c>
      <c r="B12">
        <v>3674</v>
      </c>
      <c r="C12" s="1">
        <v>1127.183</v>
      </c>
      <c r="D12" s="1">
        <v>71.98</v>
      </c>
      <c r="E12" s="1">
        <v>410.04199999999997</v>
      </c>
      <c r="F12">
        <v>2455.1550000000002</v>
      </c>
      <c r="G12" s="1">
        <v>2045.1130000000003</v>
      </c>
      <c r="H12" s="4">
        <v>1218.8449999999998</v>
      </c>
      <c r="I12" t="s">
        <v>9</v>
      </c>
    </row>
    <row r="13" spans="1:9" x14ac:dyDescent="0.3">
      <c r="A13">
        <v>8619882203</v>
      </c>
      <c r="B13">
        <v>2156</v>
      </c>
      <c r="C13" s="1">
        <v>457.93400000000003</v>
      </c>
      <c r="D13" s="1">
        <v>71.98</v>
      </c>
      <c r="E13" s="1">
        <v>240.625</v>
      </c>
      <c r="F13">
        <v>1614.5360000000001</v>
      </c>
      <c r="G13" s="1">
        <v>1373.9110000000001</v>
      </c>
      <c r="H13" s="4">
        <v>541.46399999999994</v>
      </c>
      <c r="I13" t="s">
        <v>9</v>
      </c>
    </row>
    <row r="14" spans="1:9" x14ac:dyDescent="0.3">
      <c r="A14">
        <v>8643095523</v>
      </c>
      <c r="B14">
        <v>3544</v>
      </c>
      <c r="C14" s="1">
        <v>920.02200000000005</v>
      </c>
      <c r="D14" s="1">
        <v>71.98</v>
      </c>
      <c r="E14" s="1">
        <v>395.53100000000001</v>
      </c>
      <c r="F14">
        <v>2533.0129999999999</v>
      </c>
      <c r="G14" s="1">
        <v>2137.482</v>
      </c>
      <c r="H14" s="4">
        <v>1010.9870000000001</v>
      </c>
      <c r="I14" t="s">
        <v>9</v>
      </c>
    </row>
    <row r="15" spans="1:9" x14ac:dyDescent="0.3">
      <c r="A15">
        <v>8647294613</v>
      </c>
      <c r="B15">
        <v>1079</v>
      </c>
      <c r="C15" s="1">
        <v>267.37599999999998</v>
      </c>
      <c r="D15" s="1">
        <v>53.1</v>
      </c>
      <c r="E15" s="1">
        <v>120.417</v>
      </c>
      <c r="F15">
        <v>752.74400000000003</v>
      </c>
      <c r="G15" s="1">
        <v>632.327</v>
      </c>
      <c r="H15" s="4">
        <v>326.25599999999997</v>
      </c>
      <c r="I15" t="s">
        <v>9</v>
      </c>
    </row>
    <row r="16" spans="1:9" x14ac:dyDescent="0.3">
      <c r="A16">
        <v>8642965420</v>
      </c>
      <c r="B16">
        <v>2556</v>
      </c>
      <c r="C16" s="1">
        <v>633.37699999999995</v>
      </c>
      <c r="D16" s="1">
        <v>71.98</v>
      </c>
      <c r="E16" s="1">
        <v>285.27100000000002</v>
      </c>
      <c r="F16">
        <v>1836.95</v>
      </c>
      <c r="G16" s="1">
        <v>1551.6790000000001</v>
      </c>
      <c r="H16" s="4">
        <v>719.05</v>
      </c>
      <c r="I16" t="s">
        <v>9</v>
      </c>
    </row>
    <row r="17" spans="1:9" x14ac:dyDescent="0.3">
      <c r="A17">
        <v>8633233419</v>
      </c>
      <c r="B17">
        <v>2981</v>
      </c>
      <c r="C17" s="1">
        <v>738.69200000000001</v>
      </c>
      <c r="D17" s="1">
        <v>71.98</v>
      </c>
      <c r="E17" s="1">
        <v>332.69799999999998</v>
      </c>
      <c r="F17">
        <v>2154.3580000000002</v>
      </c>
      <c r="G17" s="1">
        <v>1821.6600000000003</v>
      </c>
      <c r="H17" s="4">
        <v>826.64199999999983</v>
      </c>
      <c r="I17" t="s">
        <v>9</v>
      </c>
    </row>
    <row r="18" spans="1:9" x14ac:dyDescent="0.3">
      <c r="A18">
        <v>8634212307</v>
      </c>
      <c r="B18">
        <v>1516</v>
      </c>
      <c r="C18" s="1">
        <v>339.887</v>
      </c>
      <c r="D18" s="1">
        <v>53.1</v>
      </c>
      <c r="E18" s="1">
        <v>169.19800000000001</v>
      </c>
      <c r="F18">
        <v>1114.8910000000001</v>
      </c>
      <c r="G18" s="1">
        <v>945.6930000000001</v>
      </c>
      <c r="H18" s="4">
        <v>401.10899999999992</v>
      </c>
      <c r="I18" t="s">
        <v>9</v>
      </c>
    </row>
    <row r="19" spans="1:9" x14ac:dyDescent="0.3">
      <c r="A19">
        <v>8626237350</v>
      </c>
      <c r="B19">
        <v>3294</v>
      </c>
      <c r="C19" s="1">
        <v>816.25300000000004</v>
      </c>
      <c r="D19" s="1">
        <v>71.98</v>
      </c>
      <c r="E19" s="1">
        <v>367.63499999999999</v>
      </c>
      <c r="F19">
        <v>2388.1210000000001</v>
      </c>
      <c r="G19" s="1">
        <v>2020.4860000000001</v>
      </c>
      <c r="H19" s="4">
        <v>905.87899999999991</v>
      </c>
      <c r="I19" t="s">
        <v>9</v>
      </c>
    </row>
    <row r="20" spans="1:9" x14ac:dyDescent="0.3">
      <c r="A20">
        <v>8615334100</v>
      </c>
      <c r="B20">
        <v>954</v>
      </c>
      <c r="C20" s="1">
        <v>258.916</v>
      </c>
      <c r="D20" s="1">
        <v>31.86</v>
      </c>
      <c r="E20" s="1">
        <v>49.972999999999999</v>
      </c>
      <c r="F20">
        <v>657.77200000000005</v>
      </c>
      <c r="G20" s="1">
        <v>607.79900000000009</v>
      </c>
      <c r="H20" s="4">
        <v>296.22799999999995</v>
      </c>
      <c r="I20" t="s">
        <v>9</v>
      </c>
    </row>
    <row r="21" spans="1:9" x14ac:dyDescent="0.3">
      <c r="A21">
        <v>8608720011</v>
      </c>
      <c r="B21">
        <v>2944</v>
      </c>
      <c r="C21" s="1">
        <v>729.52300000000002</v>
      </c>
      <c r="D21" s="1">
        <v>71.98</v>
      </c>
      <c r="E21" s="1">
        <v>328.57299999999998</v>
      </c>
      <c r="F21">
        <v>2126.7249999999999</v>
      </c>
      <c r="G21" s="1">
        <v>1798.152</v>
      </c>
      <c r="H21" s="4">
        <v>817.27500000000009</v>
      </c>
      <c r="I21" t="s">
        <v>9</v>
      </c>
    </row>
    <row r="22" spans="1:9" x14ac:dyDescent="0.3">
      <c r="A22">
        <v>8617707567</v>
      </c>
      <c r="B22">
        <v>2786</v>
      </c>
      <c r="C22" s="1">
        <v>591.74599999999998</v>
      </c>
      <c r="D22" s="1">
        <v>71.98</v>
      </c>
      <c r="E22" s="1">
        <v>310.93799999999999</v>
      </c>
      <c r="F22">
        <v>2107.348</v>
      </c>
      <c r="G22" s="1">
        <v>1796.4099999999999</v>
      </c>
      <c r="H22" s="4">
        <v>678.65200000000004</v>
      </c>
      <c r="I22" t="s">
        <v>9</v>
      </c>
    </row>
    <row r="23" spans="1:9" x14ac:dyDescent="0.3">
      <c r="A23">
        <v>8601398846</v>
      </c>
      <c r="B23">
        <v>2131</v>
      </c>
      <c r="C23" s="1">
        <v>553.20799999999997</v>
      </c>
      <c r="D23" s="1">
        <v>71.98</v>
      </c>
      <c r="E23" s="1">
        <v>237.833</v>
      </c>
      <c r="F23">
        <v>1494.396</v>
      </c>
      <c r="G23" s="1">
        <v>1256.5629999999999</v>
      </c>
      <c r="H23" s="4">
        <v>636.60400000000004</v>
      </c>
      <c r="I23" t="s">
        <v>9</v>
      </c>
    </row>
    <row r="24" spans="1:9" x14ac:dyDescent="0.3">
      <c r="A24">
        <v>8618164100</v>
      </c>
      <c r="B24">
        <v>2994</v>
      </c>
      <c r="C24" s="1">
        <v>635.92600000000004</v>
      </c>
      <c r="D24" s="1">
        <v>71.98</v>
      </c>
      <c r="E24" s="1">
        <v>334.14599999999996</v>
      </c>
      <c r="F24">
        <v>2270.0549999999998</v>
      </c>
      <c r="G24" s="1">
        <v>1935.9089999999999</v>
      </c>
      <c r="H24" s="4">
        <v>723.94500000000016</v>
      </c>
      <c r="I24" t="s">
        <v>9</v>
      </c>
    </row>
    <row r="25" spans="1:9" x14ac:dyDescent="0.3">
      <c r="A25">
        <v>8611927891</v>
      </c>
      <c r="B25">
        <v>2131</v>
      </c>
      <c r="C25" s="1">
        <v>553.20799999999997</v>
      </c>
      <c r="D25" s="1">
        <v>71.98</v>
      </c>
      <c r="E25" s="1">
        <v>237.833</v>
      </c>
      <c r="F25">
        <v>1494.396</v>
      </c>
      <c r="G25" s="1">
        <v>1256.5629999999999</v>
      </c>
      <c r="H25" s="4">
        <v>636.60400000000004</v>
      </c>
      <c r="I25" t="s">
        <v>9</v>
      </c>
    </row>
    <row r="26" spans="1:9" x14ac:dyDescent="0.3">
      <c r="A26">
        <v>8633660254</v>
      </c>
      <c r="B26">
        <v>2981</v>
      </c>
      <c r="C26" s="1">
        <v>738.69200000000001</v>
      </c>
      <c r="D26" s="1">
        <v>71.98</v>
      </c>
      <c r="E26" s="1">
        <v>332.69799999999998</v>
      </c>
      <c r="F26">
        <v>2154.3580000000002</v>
      </c>
      <c r="G26" s="1">
        <v>1821.6600000000003</v>
      </c>
      <c r="H26" s="4">
        <v>826.64199999999983</v>
      </c>
      <c r="I26" t="s">
        <v>9</v>
      </c>
    </row>
    <row r="27" spans="1:9" x14ac:dyDescent="0.3">
      <c r="A27">
        <v>8631868697</v>
      </c>
      <c r="B27">
        <v>2244</v>
      </c>
      <c r="C27" s="1">
        <v>476.62599999999998</v>
      </c>
      <c r="D27" s="1">
        <v>71.98</v>
      </c>
      <c r="E27" s="1">
        <v>250.44800000000001</v>
      </c>
      <c r="F27">
        <v>1683.3720000000001</v>
      </c>
      <c r="G27" s="1">
        <v>1432.924</v>
      </c>
      <c r="H27" s="4">
        <v>560.62799999999993</v>
      </c>
      <c r="I27" t="s">
        <v>9</v>
      </c>
    </row>
    <row r="28" spans="1:9" x14ac:dyDescent="0.3">
      <c r="A28">
        <v>8620719877</v>
      </c>
      <c r="B28">
        <v>3394</v>
      </c>
      <c r="C28" s="1">
        <v>841.03300000000002</v>
      </c>
      <c r="D28" s="1">
        <v>71.98</v>
      </c>
      <c r="E28" s="1">
        <v>378.79199999999997</v>
      </c>
      <c r="F28">
        <v>2462.8040000000001</v>
      </c>
      <c r="G28" s="1">
        <v>2084.0120000000002</v>
      </c>
      <c r="H28" s="4">
        <v>931.19599999999991</v>
      </c>
      <c r="I28" t="s">
        <v>9</v>
      </c>
    </row>
    <row r="29" spans="1:9" x14ac:dyDescent="0.3">
      <c r="A29">
        <v>8623066496</v>
      </c>
      <c r="B29">
        <v>2594</v>
      </c>
      <c r="C29" s="1">
        <v>550.96600000000001</v>
      </c>
      <c r="D29" s="1">
        <v>71.98</v>
      </c>
      <c r="E29" s="1">
        <v>289.5</v>
      </c>
      <c r="F29">
        <v>1957.1579999999999</v>
      </c>
      <c r="G29" s="1">
        <v>1667.6579999999999</v>
      </c>
      <c r="H29" s="4">
        <v>636.8420000000001</v>
      </c>
      <c r="I29" t="s">
        <v>9</v>
      </c>
    </row>
    <row r="30" spans="1:9" x14ac:dyDescent="0.3">
      <c r="A30">
        <v>8655144624</v>
      </c>
      <c r="B30">
        <v>2794</v>
      </c>
      <c r="C30" s="1">
        <v>593.44600000000003</v>
      </c>
      <c r="D30" s="1">
        <v>71.98</v>
      </c>
      <c r="E30" s="1">
        <v>311.83300000000003</v>
      </c>
      <c r="F30">
        <v>2113.6060000000002</v>
      </c>
      <c r="G30" s="1">
        <v>1801.7730000000001</v>
      </c>
      <c r="H30" s="4">
        <v>680.39399999999978</v>
      </c>
      <c r="I30" t="s">
        <v>9</v>
      </c>
    </row>
    <row r="31" spans="1:9" x14ac:dyDescent="0.3">
      <c r="A31">
        <v>8649996593</v>
      </c>
      <c r="B31">
        <v>2594</v>
      </c>
      <c r="C31" s="1">
        <v>550.96600000000001</v>
      </c>
      <c r="D31" s="1">
        <v>71.98</v>
      </c>
      <c r="E31" s="1">
        <v>289.5</v>
      </c>
      <c r="F31">
        <v>1957.1579999999999</v>
      </c>
      <c r="G31" s="1">
        <v>1667.6579999999999</v>
      </c>
      <c r="H31" s="4">
        <v>636.8420000000001</v>
      </c>
      <c r="I31" t="s">
        <v>9</v>
      </c>
    </row>
    <row r="32" spans="1:9" x14ac:dyDescent="0.3">
      <c r="A32">
        <v>8637941448</v>
      </c>
      <c r="B32">
        <v>3544</v>
      </c>
      <c r="C32" s="1">
        <v>920.02200000000005</v>
      </c>
      <c r="D32" s="1">
        <v>71.98</v>
      </c>
      <c r="E32" s="1">
        <v>395.53100000000001</v>
      </c>
      <c r="F32">
        <v>2533.0129999999999</v>
      </c>
      <c r="G32" s="1">
        <v>2137.482</v>
      </c>
      <c r="H32" s="4">
        <v>1010.9870000000001</v>
      </c>
      <c r="I32" t="s">
        <v>9</v>
      </c>
    </row>
    <row r="33" spans="1:9" x14ac:dyDescent="0.3">
      <c r="A33">
        <v>8615512711</v>
      </c>
      <c r="B33">
        <v>2419</v>
      </c>
      <c r="C33" s="1">
        <v>513.79600000000005</v>
      </c>
      <c r="D33" s="1">
        <v>71.98</v>
      </c>
      <c r="E33" s="1">
        <v>269.97899999999998</v>
      </c>
      <c r="F33">
        <v>1820.2650000000001</v>
      </c>
      <c r="G33" s="1">
        <v>1550.2860000000001</v>
      </c>
      <c r="H33" s="4">
        <v>598.7349999999999</v>
      </c>
      <c r="I33" t="s">
        <v>9</v>
      </c>
    </row>
    <row r="34" spans="1:9" x14ac:dyDescent="0.3">
      <c r="A34">
        <v>8654231853</v>
      </c>
      <c r="B34">
        <v>2194</v>
      </c>
      <c r="C34" s="1">
        <v>466.00599999999997</v>
      </c>
      <c r="D34" s="1">
        <v>71.98</v>
      </c>
      <c r="E34" s="1">
        <v>244.86499999999998</v>
      </c>
      <c r="F34">
        <v>1644.26</v>
      </c>
      <c r="G34" s="1">
        <v>1399.395</v>
      </c>
      <c r="H34" s="4">
        <v>549.74</v>
      </c>
      <c r="I34" t="s">
        <v>9</v>
      </c>
    </row>
    <row r="35" spans="1:9" x14ac:dyDescent="0.3">
      <c r="A35">
        <v>8664266778</v>
      </c>
      <c r="B35">
        <v>2994</v>
      </c>
      <c r="C35" s="1">
        <v>741.91300000000001</v>
      </c>
      <c r="D35" s="1">
        <v>71.98</v>
      </c>
      <c r="E35" s="1">
        <v>334.15600000000001</v>
      </c>
      <c r="F35">
        <v>2164.0680000000002</v>
      </c>
      <c r="G35" s="1">
        <v>1829.9120000000003</v>
      </c>
      <c r="H35" s="4">
        <v>829.93199999999979</v>
      </c>
      <c r="I35" t="s">
        <v>9</v>
      </c>
    </row>
    <row r="36" spans="1:9" x14ac:dyDescent="0.3">
      <c r="A36">
        <v>8661941772</v>
      </c>
      <c r="B36">
        <v>2993.99</v>
      </c>
      <c r="C36" s="1">
        <v>741.91099999999994</v>
      </c>
      <c r="D36" s="1">
        <v>71.98</v>
      </c>
      <c r="E36" s="1">
        <v>334.15600000000001</v>
      </c>
      <c r="F36">
        <v>2164.06</v>
      </c>
      <c r="G36" s="1">
        <v>1829.904</v>
      </c>
      <c r="H36" s="4">
        <v>829.92999999999984</v>
      </c>
      <c r="I36" t="s">
        <v>9</v>
      </c>
    </row>
    <row r="37" spans="1:9" x14ac:dyDescent="0.3">
      <c r="A37">
        <v>8614858318</v>
      </c>
      <c r="B37">
        <v>3844</v>
      </c>
      <c r="C37" s="1">
        <v>952.54300000000001</v>
      </c>
      <c r="D37" s="1">
        <v>71.98</v>
      </c>
      <c r="E37" s="1">
        <v>429.02100000000002</v>
      </c>
      <c r="F37">
        <v>2798.884</v>
      </c>
      <c r="G37" s="1">
        <v>2369.8629999999998</v>
      </c>
      <c r="H37" s="4">
        <v>1045.116</v>
      </c>
      <c r="I37" t="s">
        <v>9</v>
      </c>
    </row>
    <row r="38" spans="1:9" x14ac:dyDescent="0.3">
      <c r="A38">
        <v>8630979515</v>
      </c>
      <c r="B38">
        <v>2821</v>
      </c>
      <c r="C38" s="1">
        <v>599.17999999999995</v>
      </c>
      <c r="D38" s="1">
        <v>71.98</v>
      </c>
      <c r="E38" s="1">
        <v>314.84399999999999</v>
      </c>
      <c r="F38">
        <v>2134.7269999999999</v>
      </c>
      <c r="G38" s="1">
        <v>1819.8829999999998</v>
      </c>
      <c r="H38" s="4">
        <v>686.27300000000014</v>
      </c>
      <c r="I38" t="s">
        <v>9</v>
      </c>
    </row>
    <row r="39" spans="1:9" x14ac:dyDescent="0.3">
      <c r="A39">
        <v>8653894535</v>
      </c>
      <c r="B39">
        <v>2994</v>
      </c>
      <c r="C39" s="1">
        <v>741.91300000000001</v>
      </c>
      <c r="D39" s="1">
        <v>71.98</v>
      </c>
      <c r="E39" s="1">
        <v>334.15600000000001</v>
      </c>
      <c r="F39">
        <v>2164.0680000000002</v>
      </c>
      <c r="G39" s="1">
        <v>1829.9120000000003</v>
      </c>
      <c r="H39" s="4">
        <v>829.93199999999979</v>
      </c>
      <c r="I39" t="s">
        <v>9</v>
      </c>
    </row>
    <row r="40" spans="1:9" x14ac:dyDescent="0.3">
      <c r="A40">
        <v>8662493509</v>
      </c>
      <c r="B40">
        <v>2794</v>
      </c>
      <c r="C40" s="1">
        <v>593.44600000000003</v>
      </c>
      <c r="D40" s="1">
        <v>71.98</v>
      </c>
      <c r="E40" s="1">
        <v>311.83300000000003</v>
      </c>
      <c r="F40">
        <v>2113.6060000000002</v>
      </c>
      <c r="G40" s="1">
        <v>1801.7730000000001</v>
      </c>
      <c r="H40" s="4">
        <v>680.39399999999978</v>
      </c>
      <c r="I40" t="s">
        <v>9</v>
      </c>
    </row>
    <row r="41" spans="1:9" x14ac:dyDescent="0.3">
      <c r="A41">
        <v>8631067091</v>
      </c>
      <c r="B41">
        <v>1794</v>
      </c>
      <c r="C41" s="1">
        <v>529.23</v>
      </c>
      <c r="D41" s="1">
        <v>53.1</v>
      </c>
      <c r="E41" s="1">
        <v>200.21899999999999</v>
      </c>
      <c r="F41">
        <v>1202.059</v>
      </c>
      <c r="G41" s="1">
        <v>1001.8399999999999</v>
      </c>
      <c r="H41" s="4">
        <v>591.94100000000003</v>
      </c>
      <c r="I41" t="s">
        <v>9</v>
      </c>
    </row>
    <row r="42" spans="1:9" x14ac:dyDescent="0.3">
      <c r="A42">
        <v>8619859831</v>
      </c>
      <c r="B42">
        <v>2044</v>
      </c>
      <c r="C42" s="1">
        <v>651.21799999999996</v>
      </c>
      <c r="D42" s="1">
        <v>71.98</v>
      </c>
      <c r="E42" s="1">
        <v>228.125</v>
      </c>
      <c r="F42">
        <v>1309.8520000000001</v>
      </c>
      <c r="G42" s="1">
        <v>1081.7270000000001</v>
      </c>
      <c r="H42" s="4">
        <v>734.14799999999991</v>
      </c>
      <c r="I42" t="s">
        <v>9</v>
      </c>
    </row>
    <row r="43" spans="1:9" x14ac:dyDescent="0.3">
      <c r="A43">
        <v>8611998481</v>
      </c>
      <c r="B43">
        <v>2944</v>
      </c>
      <c r="C43" s="1">
        <v>729.52300000000002</v>
      </c>
      <c r="D43" s="1">
        <v>71.98</v>
      </c>
      <c r="E43" s="1">
        <v>328.57299999999998</v>
      </c>
      <c r="F43">
        <v>2126.7249999999999</v>
      </c>
      <c r="G43" s="1">
        <v>1798.152</v>
      </c>
      <c r="H43" s="4">
        <v>817.27500000000009</v>
      </c>
      <c r="I43" t="s">
        <v>9</v>
      </c>
    </row>
    <row r="44" spans="1:9" x14ac:dyDescent="0.3">
      <c r="A44">
        <v>8613217978</v>
      </c>
      <c r="B44">
        <v>2344</v>
      </c>
      <c r="C44" s="1">
        <v>580.84299999999996</v>
      </c>
      <c r="D44" s="1">
        <v>71.98</v>
      </c>
      <c r="E44" s="1">
        <v>261.60399999999998</v>
      </c>
      <c r="F44">
        <v>1678.62</v>
      </c>
      <c r="G44" s="1">
        <v>1417.0159999999998</v>
      </c>
      <c r="H44" s="4">
        <v>665.38000000000011</v>
      </c>
      <c r="I44" t="s">
        <v>9</v>
      </c>
    </row>
    <row r="45" spans="1:9" x14ac:dyDescent="0.3">
      <c r="A45">
        <v>8649618848</v>
      </c>
      <c r="B45">
        <v>3643.98</v>
      </c>
      <c r="C45" s="1">
        <v>1160.972</v>
      </c>
      <c r="D45" s="1">
        <v>71.98</v>
      </c>
      <c r="E45" s="1">
        <v>406.69799999999998</v>
      </c>
      <c r="F45">
        <v>2391.5059999999999</v>
      </c>
      <c r="G45" s="1">
        <v>1984.808</v>
      </c>
      <c r="H45" s="4">
        <v>1252.4740000000002</v>
      </c>
      <c r="I45" t="s">
        <v>9</v>
      </c>
    </row>
    <row r="46" spans="1:9" x14ac:dyDescent="0.3">
      <c r="A46">
        <v>8648759873</v>
      </c>
      <c r="B46">
        <v>2556</v>
      </c>
      <c r="C46" s="1">
        <v>633.37699999999995</v>
      </c>
      <c r="D46" s="1">
        <v>71.98</v>
      </c>
      <c r="E46" s="1">
        <v>285.27100000000002</v>
      </c>
      <c r="F46">
        <v>1836.95</v>
      </c>
      <c r="G46" s="1">
        <v>1551.6790000000001</v>
      </c>
      <c r="H46" s="4">
        <v>719.05</v>
      </c>
      <c r="I46" t="s">
        <v>9</v>
      </c>
    </row>
    <row r="47" spans="1:9" x14ac:dyDescent="0.3">
      <c r="A47">
        <v>8595142933</v>
      </c>
      <c r="B47">
        <v>2156.0099999999998</v>
      </c>
      <c r="C47" s="1">
        <v>457.93599999999998</v>
      </c>
      <c r="D47" s="1">
        <v>71.98</v>
      </c>
      <c r="E47" s="1">
        <v>240.625</v>
      </c>
      <c r="F47">
        <v>1614.5440000000001</v>
      </c>
      <c r="G47" s="1">
        <v>1373.9190000000001</v>
      </c>
      <c r="H47" s="4">
        <v>541.46599999999967</v>
      </c>
      <c r="I47" t="s">
        <v>9</v>
      </c>
    </row>
    <row r="48" spans="1:9" x14ac:dyDescent="0.3">
      <c r="A48">
        <v>8624894778</v>
      </c>
      <c r="B48">
        <v>3194</v>
      </c>
      <c r="C48" s="1">
        <v>791.47299999999996</v>
      </c>
      <c r="D48" s="1">
        <v>71.98</v>
      </c>
      <c r="E48" s="1">
        <v>356.47900000000004</v>
      </c>
      <c r="F48">
        <v>2313.4360000000001</v>
      </c>
      <c r="G48" s="1">
        <v>1956.9570000000001</v>
      </c>
      <c r="H48" s="4">
        <v>880.56399999999985</v>
      </c>
      <c r="I48" t="s">
        <v>9</v>
      </c>
    </row>
    <row r="49" spans="1:9" x14ac:dyDescent="0.3">
      <c r="A49">
        <v>8632189753</v>
      </c>
      <c r="B49">
        <v>2089</v>
      </c>
      <c r="C49" s="1">
        <v>542.30399999999997</v>
      </c>
      <c r="D49" s="1">
        <v>71.98</v>
      </c>
      <c r="E49" s="1">
        <v>233.14599999999999</v>
      </c>
      <c r="F49">
        <v>1463.5250000000001</v>
      </c>
      <c r="G49" s="1">
        <v>1230.3790000000001</v>
      </c>
      <c r="H49" s="4">
        <v>625.47499999999991</v>
      </c>
      <c r="I49" t="s">
        <v>9</v>
      </c>
    </row>
    <row r="50" spans="1:9" x14ac:dyDescent="0.3">
      <c r="A50">
        <v>8655940273</v>
      </c>
      <c r="B50">
        <v>2994</v>
      </c>
      <c r="C50" s="1">
        <v>741.91300000000001</v>
      </c>
      <c r="D50" s="1">
        <v>71.98</v>
      </c>
      <c r="E50" s="1">
        <v>334.15600000000001</v>
      </c>
      <c r="F50">
        <v>2164.0680000000002</v>
      </c>
      <c r="G50" s="1">
        <v>1829.9120000000003</v>
      </c>
      <c r="H50" s="4">
        <v>829.93199999999979</v>
      </c>
      <c r="I50" t="s">
        <v>9</v>
      </c>
    </row>
    <row r="51" spans="1:9" x14ac:dyDescent="0.3">
      <c r="A51">
        <v>8633269027</v>
      </c>
      <c r="B51">
        <v>3644</v>
      </c>
      <c r="C51" s="1">
        <v>1117.979</v>
      </c>
      <c r="D51" s="1">
        <v>71.98</v>
      </c>
      <c r="E51" s="1">
        <v>406.69799999999998</v>
      </c>
      <c r="F51">
        <v>2434.5189999999998</v>
      </c>
      <c r="G51" s="1">
        <v>2027.8209999999999</v>
      </c>
      <c r="H51" s="4">
        <v>1209.4810000000002</v>
      </c>
      <c r="I51" t="s">
        <v>9</v>
      </c>
    </row>
    <row r="52" spans="1:9" x14ac:dyDescent="0.3">
      <c r="A52">
        <v>8605655495</v>
      </c>
      <c r="B52">
        <v>1516</v>
      </c>
      <c r="C52" s="1">
        <v>500.88600000000002</v>
      </c>
      <c r="D52" s="1">
        <v>53.1</v>
      </c>
      <c r="E52" s="1">
        <v>169.19800000000001</v>
      </c>
      <c r="F52">
        <v>953.89200000000005</v>
      </c>
      <c r="G52" s="1">
        <v>784.69400000000007</v>
      </c>
      <c r="H52" s="4">
        <v>562.10799999999995</v>
      </c>
      <c r="I52" t="s">
        <v>9</v>
      </c>
    </row>
    <row r="53" spans="1:9" x14ac:dyDescent="0.3">
      <c r="A53">
        <v>8635882443</v>
      </c>
      <c r="B53">
        <v>2981</v>
      </c>
      <c r="C53" s="1">
        <v>738.69200000000001</v>
      </c>
      <c r="D53" s="1">
        <v>71.98</v>
      </c>
      <c r="E53" s="1">
        <v>332.69799999999998</v>
      </c>
      <c r="F53">
        <v>2154.3580000000002</v>
      </c>
      <c r="G53" s="1">
        <v>1821.6600000000003</v>
      </c>
      <c r="H53" s="4">
        <v>826.64199999999983</v>
      </c>
      <c r="I53" t="s">
        <v>9</v>
      </c>
    </row>
    <row r="54" spans="1:9" x14ac:dyDescent="0.3">
      <c r="A54">
        <v>8646141428</v>
      </c>
      <c r="B54">
        <v>1994</v>
      </c>
      <c r="C54" s="1">
        <v>541.17200000000003</v>
      </c>
      <c r="D54" s="1">
        <v>53.1</v>
      </c>
      <c r="E54" s="1">
        <v>222.54199999999997</v>
      </c>
      <c r="F54">
        <v>1389.046</v>
      </c>
      <c r="G54" s="1">
        <v>1166.5040000000001</v>
      </c>
      <c r="H54" s="4">
        <v>604.95399999999995</v>
      </c>
      <c r="I54" t="s">
        <v>9</v>
      </c>
    </row>
    <row r="55" spans="1:9" x14ac:dyDescent="0.3">
      <c r="A55">
        <v>8646561051</v>
      </c>
      <c r="B55">
        <v>1329</v>
      </c>
      <c r="C55" s="1">
        <v>360.69099999999997</v>
      </c>
      <c r="D55" s="1">
        <v>53.1</v>
      </c>
      <c r="E55" s="1">
        <v>148.32299999999998</v>
      </c>
      <c r="F55">
        <v>908.08900000000006</v>
      </c>
      <c r="G55" s="1">
        <v>759.76600000000008</v>
      </c>
      <c r="H55" s="4">
        <v>420.91099999999994</v>
      </c>
      <c r="I55" t="s">
        <v>9</v>
      </c>
    </row>
    <row r="56" spans="1:9" x14ac:dyDescent="0.3">
      <c r="A56">
        <v>8611998482</v>
      </c>
      <c r="B56">
        <v>2944</v>
      </c>
      <c r="C56" s="1">
        <v>729.52300000000002</v>
      </c>
      <c r="D56" s="1">
        <v>71.98</v>
      </c>
      <c r="E56" s="1">
        <v>328.57299999999998</v>
      </c>
      <c r="F56">
        <v>2126.7249999999999</v>
      </c>
      <c r="G56" s="1">
        <v>1798.152</v>
      </c>
      <c r="H56" s="4">
        <v>817.27500000000009</v>
      </c>
      <c r="I56" t="s">
        <v>9</v>
      </c>
    </row>
    <row r="57" spans="1:9" x14ac:dyDescent="0.3">
      <c r="A57">
        <v>8622249725</v>
      </c>
      <c r="B57">
        <v>2606</v>
      </c>
      <c r="C57" s="1">
        <v>553.51400000000001</v>
      </c>
      <c r="D57" s="1">
        <v>71.98</v>
      </c>
      <c r="E57" s="1">
        <v>290.84399999999999</v>
      </c>
      <c r="F57">
        <v>1966.5450000000001</v>
      </c>
      <c r="G57" s="1">
        <v>1675.701</v>
      </c>
      <c r="H57" s="4">
        <v>639.45499999999993</v>
      </c>
      <c r="I57" t="s">
        <v>9</v>
      </c>
    </row>
    <row r="58" spans="1:9" x14ac:dyDescent="0.3">
      <c r="A58">
        <v>8634483521</v>
      </c>
      <c r="B58">
        <v>3274</v>
      </c>
      <c r="C58" s="1">
        <v>695.39800000000002</v>
      </c>
      <c r="D58" s="1">
        <v>71.98</v>
      </c>
      <c r="E58" s="1">
        <v>365.39599999999996</v>
      </c>
      <c r="F58">
        <v>2489.0830000000001</v>
      </c>
      <c r="G58" s="1">
        <v>2123.6869999999999</v>
      </c>
      <c r="H58" s="4">
        <v>784.91699999999992</v>
      </c>
      <c r="I58" t="s">
        <v>9</v>
      </c>
    </row>
    <row r="59" spans="1:9" x14ac:dyDescent="0.3">
      <c r="A59">
        <v>8665229227</v>
      </c>
      <c r="B59">
        <v>829</v>
      </c>
      <c r="C59" s="1">
        <v>215.209</v>
      </c>
      <c r="D59" s="1">
        <v>31.86</v>
      </c>
      <c r="E59" s="1">
        <v>43.427</v>
      </c>
      <c r="F59">
        <v>577.19399999999996</v>
      </c>
      <c r="G59" s="1">
        <v>533.76699999999994</v>
      </c>
      <c r="H59" s="4">
        <v>251.80600000000004</v>
      </c>
      <c r="I59" t="s">
        <v>9</v>
      </c>
    </row>
    <row r="60" spans="1:9" x14ac:dyDescent="0.3">
      <c r="A60">
        <v>8639804850</v>
      </c>
      <c r="B60">
        <v>245</v>
      </c>
      <c r="C60" s="1">
        <v>23.128</v>
      </c>
      <c r="D60" s="1">
        <v>31.86</v>
      </c>
      <c r="E60" s="1">
        <v>12.837</v>
      </c>
      <c r="F60">
        <v>188.61199999999999</v>
      </c>
      <c r="G60" s="1">
        <v>175.77500000000001</v>
      </c>
      <c r="H60" s="4">
        <v>56.388000000000005</v>
      </c>
      <c r="I60" t="s">
        <v>9</v>
      </c>
    </row>
    <row r="61" spans="1:9" x14ac:dyDescent="0.3">
      <c r="A61">
        <v>8620997934</v>
      </c>
      <c r="B61">
        <v>2994</v>
      </c>
      <c r="C61" s="1">
        <v>635.92600000000004</v>
      </c>
      <c r="D61" s="1">
        <v>71.98</v>
      </c>
      <c r="E61" s="1">
        <v>334.15600000000001</v>
      </c>
      <c r="F61">
        <v>2270.0549999999998</v>
      </c>
      <c r="G61" s="1">
        <v>1935.8989999999999</v>
      </c>
      <c r="H61" s="4">
        <v>723.94500000000016</v>
      </c>
      <c r="I61" t="s">
        <v>9</v>
      </c>
    </row>
    <row r="62" spans="1:9" x14ac:dyDescent="0.3">
      <c r="A62">
        <v>8614858323</v>
      </c>
      <c r="B62">
        <v>2556</v>
      </c>
      <c r="C62" s="1">
        <v>633.37699999999995</v>
      </c>
      <c r="D62" s="1">
        <v>71.98</v>
      </c>
      <c r="E62" s="1">
        <v>285.27100000000002</v>
      </c>
      <c r="F62">
        <v>1836.95</v>
      </c>
      <c r="G62" s="1">
        <v>1551.6790000000001</v>
      </c>
      <c r="H62" s="4">
        <v>719.05</v>
      </c>
      <c r="I62" t="s">
        <v>9</v>
      </c>
    </row>
    <row r="63" spans="1:9" x14ac:dyDescent="0.3">
      <c r="A63">
        <v>8644439800</v>
      </c>
      <c r="B63">
        <v>829</v>
      </c>
      <c r="C63" s="1">
        <v>215.208</v>
      </c>
      <c r="D63" s="1">
        <v>31.86</v>
      </c>
      <c r="E63" s="1">
        <v>43.427999999999997</v>
      </c>
      <c r="F63">
        <v>577.19399999999996</v>
      </c>
      <c r="G63" s="1">
        <v>533.76599999999996</v>
      </c>
      <c r="H63" s="4">
        <v>251.80600000000004</v>
      </c>
      <c r="I63" t="s">
        <v>9</v>
      </c>
    </row>
    <row r="64" spans="1:9" x14ac:dyDescent="0.3">
      <c r="A64">
        <v>8620680302</v>
      </c>
      <c r="B64">
        <v>1998.99</v>
      </c>
      <c r="C64" s="1">
        <v>448.17399999999998</v>
      </c>
      <c r="D64" s="1">
        <v>53.1</v>
      </c>
      <c r="E64" s="1">
        <v>223.10400000000001</v>
      </c>
      <c r="F64">
        <v>1487.0070000000001</v>
      </c>
      <c r="G64" s="1">
        <v>1263.903</v>
      </c>
      <c r="H64" s="4">
        <v>511.98299999999995</v>
      </c>
      <c r="I64" t="s">
        <v>9</v>
      </c>
    </row>
    <row r="65" spans="1:9" x14ac:dyDescent="0.3">
      <c r="A65">
        <v>8650305629</v>
      </c>
      <c r="B65">
        <v>150</v>
      </c>
      <c r="C65" s="1">
        <v>17.7</v>
      </c>
      <c r="D65" s="1">
        <v>31.86</v>
      </c>
      <c r="E65" s="1">
        <v>7.8539999999999992</v>
      </c>
      <c r="F65">
        <v>99.582999999999998</v>
      </c>
      <c r="G65" s="1">
        <v>91.728999999999999</v>
      </c>
      <c r="H65" s="4">
        <v>50.417000000000002</v>
      </c>
      <c r="I65" t="s">
        <v>9</v>
      </c>
    </row>
    <row r="66" spans="1:9" x14ac:dyDescent="0.3">
      <c r="A66">
        <v>8622783699</v>
      </c>
      <c r="B66">
        <v>1754</v>
      </c>
      <c r="C66" s="1">
        <v>579.52200000000005</v>
      </c>
      <c r="D66" s="1">
        <v>53.1</v>
      </c>
      <c r="E66" s="1">
        <v>195.76000000000002</v>
      </c>
      <c r="F66">
        <v>1111.982</v>
      </c>
      <c r="G66" s="1">
        <v>916.22199999999998</v>
      </c>
      <c r="H66" s="4">
        <v>642.01800000000003</v>
      </c>
      <c r="I66" t="s">
        <v>9</v>
      </c>
    </row>
    <row r="67" spans="1:9" x14ac:dyDescent="0.3">
      <c r="A67">
        <v>8618858030</v>
      </c>
      <c r="B67">
        <v>1454</v>
      </c>
      <c r="C67" s="1">
        <v>325.98700000000002</v>
      </c>
      <c r="D67" s="1">
        <v>53.1</v>
      </c>
      <c r="E67" s="1">
        <v>162.28100000000001</v>
      </c>
      <c r="F67">
        <v>1067.124</v>
      </c>
      <c r="G67" s="1">
        <v>904.84300000000007</v>
      </c>
      <c r="H67" s="4">
        <v>386.87599999999998</v>
      </c>
      <c r="I67" t="s">
        <v>9</v>
      </c>
    </row>
    <row r="68" spans="1:9" x14ac:dyDescent="0.3">
      <c r="A68">
        <v>8655224652</v>
      </c>
      <c r="B68">
        <v>3644</v>
      </c>
      <c r="C68" s="1">
        <v>1160.9780000000001</v>
      </c>
      <c r="D68" s="1">
        <v>71.98</v>
      </c>
      <c r="E68" s="1">
        <v>406.69799999999998</v>
      </c>
      <c r="F68">
        <v>2391.52</v>
      </c>
      <c r="G68" s="1">
        <v>1984.8220000000001</v>
      </c>
      <c r="H68" s="4">
        <v>1252.48</v>
      </c>
      <c r="I68" t="s">
        <v>9</v>
      </c>
    </row>
    <row r="69" spans="1:9" x14ac:dyDescent="0.3">
      <c r="A69">
        <v>8635410357</v>
      </c>
      <c r="B69">
        <v>2981</v>
      </c>
      <c r="C69" s="1">
        <v>738.69200000000001</v>
      </c>
      <c r="D69" s="1">
        <v>71.98</v>
      </c>
      <c r="E69" s="1">
        <v>332.70799999999997</v>
      </c>
      <c r="F69">
        <v>2154.3580000000002</v>
      </c>
      <c r="G69" s="1">
        <v>1821.65</v>
      </c>
      <c r="H69" s="4">
        <v>826.64199999999983</v>
      </c>
      <c r="I69" t="s">
        <v>9</v>
      </c>
    </row>
    <row r="70" spans="1:9" x14ac:dyDescent="0.3">
      <c r="A70">
        <v>8655711888</v>
      </c>
      <c r="B70">
        <v>1479</v>
      </c>
      <c r="C70" s="1">
        <v>401.40100000000001</v>
      </c>
      <c r="D70" s="1">
        <v>53.1</v>
      </c>
      <c r="E70" s="1">
        <v>165.06300000000002</v>
      </c>
      <c r="F70">
        <v>1016.575</v>
      </c>
      <c r="G70" s="1">
        <v>851.51200000000006</v>
      </c>
      <c r="H70" s="4">
        <v>462.42499999999995</v>
      </c>
      <c r="I70" t="s">
        <v>9</v>
      </c>
    </row>
    <row r="71" spans="1:9" x14ac:dyDescent="0.3">
      <c r="A71">
        <v>8635287351</v>
      </c>
      <c r="B71">
        <v>2944</v>
      </c>
      <c r="C71" s="1">
        <v>937.95799999999997</v>
      </c>
      <c r="D71" s="1">
        <v>71.98</v>
      </c>
      <c r="E71" s="1">
        <v>328.57299999999998</v>
      </c>
      <c r="F71">
        <v>1918.29</v>
      </c>
      <c r="G71" s="1">
        <v>1589.7170000000001</v>
      </c>
      <c r="H71" s="4">
        <v>1025.71</v>
      </c>
      <c r="I71" t="s">
        <v>9</v>
      </c>
    </row>
    <row r="72" spans="1:9" x14ac:dyDescent="0.3">
      <c r="A72">
        <v>8642386129</v>
      </c>
      <c r="B72">
        <v>2769</v>
      </c>
      <c r="C72" s="1">
        <v>686.15800000000002</v>
      </c>
      <c r="D72" s="1">
        <v>71.98</v>
      </c>
      <c r="E72" s="1">
        <v>309.04200000000003</v>
      </c>
      <c r="F72">
        <v>1996.028</v>
      </c>
      <c r="G72" s="1">
        <v>1686.9859999999999</v>
      </c>
      <c r="H72" s="4">
        <v>772.97199999999998</v>
      </c>
      <c r="I72" t="s">
        <v>9</v>
      </c>
    </row>
    <row r="73" spans="1:9" x14ac:dyDescent="0.3">
      <c r="A73">
        <v>8658028844</v>
      </c>
      <c r="B73">
        <v>2994</v>
      </c>
      <c r="C73" s="1">
        <v>777.24199999999996</v>
      </c>
      <c r="D73" s="1">
        <v>71.98</v>
      </c>
      <c r="E73" s="1">
        <v>334.15600000000001</v>
      </c>
      <c r="F73">
        <v>2128.739</v>
      </c>
      <c r="G73" s="1">
        <v>1794.5830000000001</v>
      </c>
      <c r="H73" s="4">
        <v>865.26099999999997</v>
      </c>
      <c r="I73" t="s">
        <v>9</v>
      </c>
    </row>
    <row r="74" spans="1:9" x14ac:dyDescent="0.3">
      <c r="A74">
        <v>8623285922</v>
      </c>
      <c r="B74">
        <v>1794</v>
      </c>
      <c r="C74" s="1">
        <v>444.553</v>
      </c>
      <c r="D74" s="1">
        <v>53.1</v>
      </c>
      <c r="E74" s="1">
        <v>200.21899999999999</v>
      </c>
      <c r="F74">
        <v>1286.7360000000001</v>
      </c>
      <c r="G74" s="1">
        <v>1086.5170000000001</v>
      </c>
      <c r="H74" s="4">
        <v>507.2639999999999</v>
      </c>
      <c r="I74" t="s">
        <v>9</v>
      </c>
    </row>
    <row r="75" spans="1:9" x14ac:dyDescent="0.3">
      <c r="A75">
        <v>8636449239</v>
      </c>
      <c r="B75">
        <v>2944</v>
      </c>
      <c r="C75" s="1">
        <v>729.52300000000002</v>
      </c>
      <c r="D75" s="1">
        <v>71.98</v>
      </c>
      <c r="E75" s="1">
        <v>328.57299999999998</v>
      </c>
      <c r="F75">
        <v>2126.7249999999999</v>
      </c>
      <c r="G75" s="1">
        <v>1798.152</v>
      </c>
      <c r="H75" s="4">
        <v>817.27500000000009</v>
      </c>
      <c r="I75" t="s">
        <v>9</v>
      </c>
    </row>
    <row r="76" spans="1:9" x14ac:dyDescent="0.3">
      <c r="A76">
        <v>8644832787</v>
      </c>
      <c r="B76">
        <v>954</v>
      </c>
      <c r="C76" s="1">
        <v>258.916</v>
      </c>
      <c r="D76" s="1">
        <v>31.86</v>
      </c>
      <c r="E76" s="1">
        <v>49.972999999999999</v>
      </c>
      <c r="F76">
        <v>657.77200000000005</v>
      </c>
      <c r="G76" s="1">
        <v>607.79900000000009</v>
      </c>
      <c r="H76" s="4">
        <v>296.22799999999995</v>
      </c>
      <c r="I76" t="s">
        <v>9</v>
      </c>
    </row>
    <row r="77" spans="1:9" x14ac:dyDescent="0.3">
      <c r="A77">
        <v>8657871207</v>
      </c>
      <c r="B77">
        <v>2343.9899999999998</v>
      </c>
      <c r="C77" s="1">
        <v>746.79499999999996</v>
      </c>
      <c r="D77" s="1">
        <v>71.98</v>
      </c>
      <c r="E77" s="1">
        <v>261.60399999999998</v>
      </c>
      <c r="F77">
        <v>1512.6579999999999</v>
      </c>
      <c r="G77" s="1">
        <v>1251.0539999999999</v>
      </c>
      <c r="H77" s="4">
        <v>831.33199999999988</v>
      </c>
      <c r="I77" t="s">
        <v>9</v>
      </c>
    </row>
    <row r="78" spans="1:9" x14ac:dyDescent="0.3">
      <c r="A78">
        <v>8601039770</v>
      </c>
      <c r="B78">
        <v>503</v>
      </c>
      <c r="C78" s="1">
        <v>136.51400000000001</v>
      </c>
      <c r="D78" s="1">
        <v>31.86</v>
      </c>
      <c r="E78" s="1">
        <v>26.344999999999999</v>
      </c>
      <c r="F78">
        <v>331.75200000000001</v>
      </c>
      <c r="G78" s="1">
        <v>305.40700000000004</v>
      </c>
      <c r="H78" s="4">
        <v>171.24799999999999</v>
      </c>
      <c r="I78" t="s">
        <v>9</v>
      </c>
    </row>
    <row r="79" spans="1:9" x14ac:dyDescent="0.3">
      <c r="A79">
        <v>8656222867</v>
      </c>
      <c r="B79">
        <v>2994</v>
      </c>
      <c r="C79" s="1">
        <v>777.24199999999996</v>
      </c>
      <c r="D79" s="1">
        <v>71.98</v>
      </c>
      <c r="E79" s="1">
        <v>334.15600000000001</v>
      </c>
      <c r="F79">
        <v>2128.739</v>
      </c>
      <c r="G79" s="1">
        <v>1794.5830000000001</v>
      </c>
      <c r="H79" s="4">
        <v>865.26099999999997</v>
      </c>
      <c r="I79" t="s">
        <v>9</v>
      </c>
    </row>
    <row r="80" spans="1:9" x14ac:dyDescent="0.3">
      <c r="A80">
        <v>8654195528</v>
      </c>
      <c r="B80">
        <v>1204</v>
      </c>
      <c r="C80" s="1">
        <v>312.55799999999999</v>
      </c>
      <c r="D80" s="1">
        <v>53.1</v>
      </c>
      <c r="E80" s="1">
        <v>134.375</v>
      </c>
      <c r="F80">
        <v>831.89200000000005</v>
      </c>
      <c r="G80" s="1">
        <v>697.51700000000005</v>
      </c>
      <c r="H80" s="4">
        <v>372.10799999999995</v>
      </c>
      <c r="I80" t="s">
        <v>9</v>
      </c>
    </row>
    <row r="81" spans="1:9" x14ac:dyDescent="0.3">
      <c r="A81">
        <v>8638593036</v>
      </c>
      <c r="B81">
        <v>2719</v>
      </c>
      <c r="C81" s="1">
        <v>705.85199999999998</v>
      </c>
      <c r="D81" s="1">
        <v>71.98</v>
      </c>
      <c r="E81" s="1">
        <v>303.45799999999997</v>
      </c>
      <c r="F81">
        <v>1926.6020000000001</v>
      </c>
      <c r="G81" s="1">
        <v>1623.1440000000002</v>
      </c>
      <c r="H81" s="4">
        <v>792.39799999999991</v>
      </c>
      <c r="I81" t="s">
        <v>9</v>
      </c>
    </row>
    <row r="82" spans="1:9" x14ac:dyDescent="0.3">
      <c r="A82">
        <v>8656573052</v>
      </c>
      <c r="B82">
        <v>2944</v>
      </c>
      <c r="C82" s="1">
        <v>764.26199999999994</v>
      </c>
      <c r="D82" s="1">
        <v>71.98</v>
      </c>
      <c r="E82" s="1">
        <v>328.57299999999998</v>
      </c>
      <c r="F82">
        <v>2091.9859999999999</v>
      </c>
      <c r="G82" s="1">
        <v>1763.413</v>
      </c>
      <c r="H82" s="4">
        <v>852.01400000000012</v>
      </c>
      <c r="I82" t="s">
        <v>9</v>
      </c>
    </row>
    <row r="83" spans="1:9" x14ac:dyDescent="0.3">
      <c r="A83">
        <v>8634034187</v>
      </c>
      <c r="B83">
        <v>2769</v>
      </c>
      <c r="C83" s="1">
        <v>588.13599999999997</v>
      </c>
      <c r="D83" s="1">
        <v>71.98</v>
      </c>
      <c r="E83" s="1">
        <v>309.04200000000003</v>
      </c>
      <c r="F83">
        <v>2094.0500000000002</v>
      </c>
      <c r="G83" s="1">
        <v>1785.0080000000003</v>
      </c>
      <c r="H83" s="4">
        <v>674.94999999999982</v>
      </c>
      <c r="I83" t="s">
        <v>9</v>
      </c>
    </row>
    <row r="84" spans="1:9" x14ac:dyDescent="0.3">
      <c r="A84">
        <v>8617018913</v>
      </c>
      <c r="B84">
        <v>4069</v>
      </c>
      <c r="C84" s="1">
        <v>1008.298</v>
      </c>
      <c r="D84" s="1">
        <v>71.98</v>
      </c>
      <c r="E84" s="1">
        <v>454.125</v>
      </c>
      <c r="F84">
        <v>2966.924</v>
      </c>
      <c r="G84" s="1">
        <v>2512.799</v>
      </c>
      <c r="H84" s="4">
        <v>1102.076</v>
      </c>
      <c r="I84" t="s">
        <v>9</v>
      </c>
    </row>
    <row r="85" spans="1:9" x14ac:dyDescent="0.3">
      <c r="A85">
        <v>8630722093</v>
      </c>
      <c r="B85">
        <v>5006</v>
      </c>
      <c r="C85" s="1">
        <v>1535.8409999999999</v>
      </c>
      <c r="D85" s="1">
        <v>71.98</v>
      </c>
      <c r="E85" s="1">
        <v>558.70799999999997</v>
      </c>
      <c r="F85">
        <v>3371.3609999999999</v>
      </c>
      <c r="G85" s="1">
        <v>2812.6529999999998</v>
      </c>
      <c r="H85" s="4">
        <v>1634.6390000000001</v>
      </c>
      <c r="I85" t="s">
        <v>9</v>
      </c>
    </row>
    <row r="86" spans="1:9" x14ac:dyDescent="0.3">
      <c r="A86">
        <v>8655960955</v>
      </c>
      <c r="B86">
        <v>2719</v>
      </c>
      <c r="C86" s="1">
        <v>705.85199999999998</v>
      </c>
      <c r="D86" s="1">
        <v>71.98</v>
      </c>
      <c r="E86" s="1">
        <v>303.45799999999997</v>
      </c>
      <c r="F86">
        <v>1926.6020000000001</v>
      </c>
      <c r="G86" s="1">
        <v>1623.1440000000002</v>
      </c>
      <c r="H86" s="4">
        <v>792.39799999999991</v>
      </c>
      <c r="I86" t="s">
        <v>9</v>
      </c>
    </row>
    <row r="87" spans="1:9" x14ac:dyDescent="0.3">
      <c r="A87">
        <v>8617656468</v>
      </c>
      <c r="B87">
        <v>2156</v>
      </c>
      <c r="C87" s="1">
        <v>457.93400000000003</v>
      </c>
      <c r="D87" s="1">
        <v>71.98</v>
      </c>
      <c r="E87" s="1">
        <v>240.625</v>
      </c>
      <c r="F87">
        <v>1614.5360000000001</v>
      </c>
      <c r="G87" s="1">
        <v>1373.9110000000001</v>
      </c>
      <c r="H87" s="4">
        <v>541.46399999999994</v>
      </c>
      <c r="I87" t="s">
        <v>9</v>
      </c>
    </row>
    <row r="88" spans="1:9" x14ac:dyDescent="0.3">
      <c r="A88">
        <v>8604969678</v>
      </c>
      <c r="B88">
        <v>3394</v>
      </c>
      <c r="C88" s="1">
        <v>841.03300000000002</v>
      </c>
      <c r="D88" s="1">
        <v>71.98</v>
      </c>
      <c r="E88" s="1">
        <v>378.79199999999997</v>
      </c>
      <c r="F88">
        <v>2462.8049999999998</v>
      </c>
      <c r="G88" s="1">
        <v>2084.0129999999999</v>
      </c>
      <c r="H88" s="4">
        <v>931.19500000000016</v>
      </c>
      <c r="I88" t="s">
        <v>9</v>
      </c>
    </row>
    <row r="89" spans="1:9" x14ac:dyDescent="0.3">
      <c r="A89">
        <v>8657839426</v>
      </c>
      <c r="B89">
        <v>1372</v>
      </c>
      <c r="C89" s="1">
        <v>356.17200000000003</v>
      </c>
      <c r="D89" s="1">
        <v>53.099999999999994</v>
      </c>
      <c r="E89" s="1">
        <v>153.125</v>
      </c>
      <c r="F89">
        <v>955.37800000000004</v>
      </c>
      <c r="G89" s="1">
        <v>802.25300000000004</v>
      </c>
      <c r="H89" s="4">
        <v>416.62199999999996</v>
      </c>
      <c r="I89" t="s">
        <v>9</v>
      </c>
    </row>
    <row r="90" spans="1:9" x14ac:dyDescent="0.3">
      <c r="A90">
        <v>8624085547</v>
      </c>
      <c r="B90">
        <v>2324</v>
      </c>
      <c r="C90" s="1">
        <v>575.88699999999994</v>
      </c>
      <c r="D90" s="1">
        <v>71.98</v>
      </c>
      <c r="E90" s="1">
        <v>259.375</v>
      </c>
      <c r="F90">
        <v>1663.683</v>
      </c>
      <c r="G90" s="1">
        <v>1404.308</v>
      </c>
      <c r="H90" s="4">
        <v>660.31700000000001</v>
      </c>
      <c r="I90" t="s">
        <v>9</v>
      </c>
    </row>
    <row r="91" spans="1:9" x14ac:dyDescent="0.3">
      <c r="A91">
        <v>8616286171</v>
      </c>
      <c r="B91">
        <v>3394</v>
      </c>
      <c r="C91" s="1">
        <v>841.03300000000002</v>
      </c>
      <c r="D91" s="1">
        <v>71.98</v>
      </c>
      <c r="E91" s="1">
        <v>378.79199999999997</v>
      </c>
      <c r="F91">
        <v>2462.8049999999998</v>
      </c>
      <c r="G91" s="1">
        <v>2084.0129999999999</v>
      </c>
      <c r="H91" s="4">
        <v>931.19500000000016</v>
      </c>
      <c r="I91" t="s">
        <v>9</v>
      </c>
    </row>
    <row r="92" spans="1:9" x14ac:dyDescent="0.3">
      <c r="A92">
        <v>8625147027</v>
      </c>
      <c r="B92">
        <v>2629</v>
      </c>
      <c r="C92" s="1">
        <v>651.46600000000001</v>
      </c>
      <c r="D92" s="1">
        <v>71.98</v>
      </c>
      <c r="E92" s="1">
        <v>293.41700000000003</v>
      </c>
      <c r="F92">
        <v>1891.47</v>
      </c>
      <c r="G92" s="1">
        <v>1598.0529999999999</v>
      </c>
      <c r="H92" s="4">
        <v>737.53</v>
      </c>
      <c r="I92" t="s">
        <v>9</v>
      </c>
    </row>
    <row r="93" spans="1:9" x14ac:dyDescent="0.3">
      <c r="A93">
        <v>8630548620</v>
      </c>
      <c r="B93">
        <v>2944</v>
      </c>
      <c r="C93" s="1">
        <v>729.52300000000002</v>
      </c>
      <c r="D93" s="1">
        <v>71.98</v>
      </c>
      <c r="E93" s="1">
        <v>328.57299999999998</v>
      </c>
      <c r="F93">
        <v>2126.7249999999999</v>
      </c>
      <c r="G93" s="1">
        <v>1798.152</v>
      </c>
      <c r="H93" s="4">
        <v>817.27500000000009</v>
      </c>
      <c r="I93" t="s">
        <v>9</v>
      </c>
    </row>
    <row r="94" spans="1:9" x14ac:dyDescent="0.3">
      <c r="A94">
        <v>8642027320</v>
      </c>
      <c r="B94">
        <v>2768.99</v>
      </c>
      <c r="C94" s="1">
        <v>588.13300000000004</v>
      </c>
      <c r="D94" s="1">
        <v>71.98</v>
      </c>
      <c r="E94" s="1">
        <v>309.04200000000003</v>
      </c>
      <c r="F94">
        <v>2094.0430000000001</v>
      </c>
      <c r="G94" s="1">
        <v>1785.0010000000002</v>
      </c>
      <c r="H94" s="4">
        <v>674.94699999999966</v>
      </c>
      <c r="I94" t="s">
        <v>9</v>
      </c>
    </row>
    <row r="95" spans="1:9" x14ac:dyDescent="0.3">
      <c r="A95">
        <v>8634985043</v>
      </c>
      <c r="B95">
        <v>2629</v>
      </c>
      <c r="C95" s="1">
        <v>651.46600000000001</v>
      </c>
      <c r="D95" s="1">
        <v>71.98</v>
      </c>
      <c r="E95" s="1">
        <v>293.41700000000003</v>
      </c>
      <c r="F95">
        <v>1891.47</v>
      </c>
      <c r="G95" s="1">
        <v>1598.0529999999999</v>
      </c>
      <c r="H95" s="4">
        <v>737.53</v>
      </c>
      <c r="I95" t="s">
        <v>9</v>
      </c>
    </row>
    <row r="96" spans="1:9" x14ac:dyDescent="0.3">
      <c r="A96">
        <v>8627160408</v>
      </c>
      <c r="B96">
        <v>2244</v>
      </c>
      <c r="C96" s="1">
        <v>476.62599999999998</v>
      </c>
      <c r="D96" s="1">
        <v>71.98</v>
      </c>
      <c r="E96" s="1">
        <v>250.44800000000001</v>
      </c>
      <c r="F96">
        <v>1683.3720000000001</v>
      </c>
      <c r="G96" s="1">
        <v>1432.924</v>
      </c>
      <c r="H96" s="4">
        <v>560.62799999999993</v>
      </c>
      <c r="I96" t="s">
        <v>9</v>
      </c>
    </row>
    <row r="97" spans="1:9" x14ac:dyDescent="0.3">
      <c r="A97">
        <v>8657535433</v>
      </c>
      <c r="B97">
        <v>2994</v>
      </c>
      <c r="C97" s="1">
        <v>777.24199999999996</v>
      </c>
      <c r="D97" s="1">
        <v>71.98</v>
      </c>
      <c r="E97" s="1">
        <v>334.14599999999996</v>
      </c>
      <c r="F97">
        <v>2128.739</v>
      </c>
      <c r="G97" s="1">
        <v>1794.5930000000001</v>
      </c>
      <c r="H97" s="4">
        <v>865.26099999999997</v>
      </c>
      <c r="I97" t="s">
        <v>9</v>
      </c>
    </row>
    <row r="98" spans="1:9" x14ac:dyDescent="0.3">
      <c r="A98">
        <v>8625537944</v>
      </c>
      <c r="B98">
        <v>1179</v>
      </c>
      <c r="C98" s="1">
        <v>306.06799999999998</v>
      </c>
      <c r="D98" s="1">
        <v>53.1</v>
      </c>
      <c r="E98" s="1">
        <v>131.583</v>
      </c>
      <c r="F98">
        <v>813.51599999999996</v>
      </c>
      <c r="G98" s="1">
        <v>681.93299999999999</v>
      </c>
      <c r="H98" s="4">
        <v>365.48400000000004</v>
      </c>
      <c r="I98" t="s">
        <v>9</v>
      </c>
    </row>
    <row r="99" spans="1:9" x14ac:dyDescent="0.3">
      <c r="A99">
        <v>8623193877</v>
      </c>
      <c r="B99">
        <v>2244</v>
      </c>
      <c r="C99" s="1">
        <v>476.62599999999998</v>
      </c>
      <c r="D99" s="1">
        <v>71.98</v>
      </c>
      <c r="E99" s="1">
        <v>250.44800000000001</v>
      </c>
      <c r="F99">
        <v>1683.3720000000001</v>
      </c>
      <c r="G99" s="1">
        <v>1432.924</v>
      </c>
      <c r="H99" s="4">
        <v>560.62799999999993</v>
      </c>
      <c r="I99" t="s">
        <v>9</v>
      </c>
    </row>
    <row r="100" spans="1:9" x14ac:dyDescent="0.3">
      <c r="A100">
        <v>8629976627</v>
      </c>
      <c r="B100">
        <v>2629</v>
      </c>
      <c r="C100" s="1">
        <v>651.46600000000001</v>
      </c>
      <c r="D100" s="1">
        <v>71.98</v>
      </c>
      <c r="E100" s="1">
        <v>293.41700000000003</v>
      </c>
      <c r="F100">
        <v>1891.47</v>
      </c>
      <c r="G100" s="1">
        <v>1598.0529999999999</v>
      </c>
      <c r="H100" s="4">
        <v>737.53</v>
      </c>
      <c r="I100" t="s">
        <v>9</v>
      </c>
    </row>
    <row r="101" spans="1:9" x14ac:dyDescent="0.3">
      <c r="A101">
        <v>8614858315</v>
      </c>
      <c r="B101">
        <v>2419</v>
      </c>
      <c r="C101" s="1">
        <v>513.79600000000005</v>
      </c>
      <c r="D101" s="1">
        <v>71.98</v>
      </c>
      <c r="E101" s="1">
        <v>269.97899999999998</v>
      </c>
      <c r="F101">
        <v>1820.2650000000001</v>
      </c>
      <c r="G101" s="1">
        <v>1550.2860000000001</v>
      </c>
      <c r="H101" s="4">
        <v>598.7349999999999</v>
      </c>
      <c r="I101" t="s">
        <v>9</v>
      </c>
    </row>
    <row r="102" spans="1:9" x14ac:dyDescent="0.3">
      <c r="A102">
        <v>8634524687</v>
      </c>
      <c r="B102">
        <v>2926</v>
      </c>
      <c r="C102" s="1">
        <v>621.48199999999997</v>
      </c>
      <c r="D102" s="1">
        <v>71.98</v>
      </c>
      <c r="E102" s="1">
        <v>326.56200000000001</v>
      </c>
      <c r="F102">
        <v>2216.864</v>
      </c>
      <c r="G102" s="1">
        <v>1890.3020000000001</v>
      </c>
      <c r="H102" s="4">
        <v>709.13599999999997</v>
      </c>
      <c r="I102" t="s">
        <v>9</v>
      </c>
    </row>
    <row r="103" spans="1:9" x14ac:dyDescent="0.3">
      <c r="A103">
        <v>8629162385</v>
      </c>
      <c r="B103">
        <v>2821</v>
      </c>
      <c r="C103" s="1">
        <v>699.04399999999998</v>
      </c>
      <c r="D103" s="1">
        <v>71.98</v>
      </c>
      <c r="E103" s="1">
        <v>314.84399999999999</v>
      </c>
      <c r="F103">
        <v>2034.8630000000001</v>
      </c>
      <c r="G103" s="1">
        <v>1720.019</v>
      </c>
      <c r="H103" s="4">
        <v>786.13699999999994</v>
      </c>
      <c r="I103" t="s">
        <v>9</v>
      </c>
    </row>
    <row r="104" spans="1:9" x14ac:dyDescent="0.3">
      <c r="A104">
        <v>8624024901</v>
      </c>
      <c r="B104">
        <v>2944</v>
      </c>
      <c r="C104" s="1">
        <v>903.21900000000005</v>
      </c>
      <c r="D104" s="1">
        <v>71.98</v>
      </c>
      <c r="E104" s="1">
        <v>328.57299999999998</v>
      </c>
      <c r="F104">
        <v>1953.029</v>
      </c>
      <c r="G104" s="1">
        <v>1624.4560000000001</v>
      </c>
      <c r="H104" s="4">
        <v>990.971</v>
      </c>
      <c r="I104" t="s">
        <v>9</v>
      </c>
    </row>
    <row r="105" spans="1:9" x14ac:dyDescent="0.3">
      <c r="A105">
        <v>8636224352</v>
      </c>
      <c r="B105">
        <v>1179</v>
      </c>
      <c r="C105" s="1">
        <v>306.06799999999998</v>
      </c>
      <c r="D105" s="1">
        <v>53.1</v>
      </c>
      <c r="E105" s="1">
        <v>131.583</v>
      </c>
      <c r="F105">
        <v>813.51599999999996</v>
      </c>
      <c r="G105" s="1">
        <v>681.93299999999999</v>
      </c>
      <c r="H105" s="4">
        <v>365.48400000000004</v>
      </c>
      <c r="I105" t="s">
        <v>9</v>
      </c>
    </row>
    <row r="106" spans="1:9" x14ac:dyDescent="0.3">
      <c r="A106">
        <v>8650648101</v>
      </c>
      <c r="B106">
        <v>2794</v>
      </c>
      <c r="C106" s="1">
        <v>692.35299999999995</v>
      </c>
      <c r="D106" s="1">
        <v>71.98</v>
      </c>
      <c r="E106" s="1">
        <v>311.83300000000003</v>
      </c>
      <c r="F106">
        <v>2014.6990000000001</v>
      </c>
      <c r="G106" s="1">
        <v>1702.866</v>
      </c>
      <c r="H106" s="4">
        <v>779.30099999999993</v>
      </c>
      <c r="I106" t="s">
        <v>9</v>
      </c>
    </row>
    <row r="107" spans="1:9" x14ac:dyDescent="0.3">
      <c r="A107">
        <v>8618668909</v>
      </c>
      <c r="B107">
        <v>1919</v>
      </c>
      <c r="C107" s="1">
        <v>475.52800000000002</v>
      </c>
      <c r="D107" s="1">
        <v>53.1</v>
      </c>
      <c r="E107" s="1">
        <v>214.17700000000002</v>
      </c>
      <c r="F107">
        <v>1380.0920000000001</v>
      </c>
      <c r="G107" s="1">
        <v>1165.915</v>
      </c>
      <c r="H107" s="4">
        <v>538.9079999999999</v>
      </c>
      <c r="I107" t="s">
        <v>9</v>
      </c>
    </row>
    <row r="108" spans="1:9" x14ac:dyDescent="0.3">
      <c r="A108">
        <v>8603486464</v>
      </c>
      <c r="B108">
        <v>1054</v>
      </c>
      <c r="C108" s="1">
        <v>273.61799999999999</v>
      </c>
      <c r="D108" s="1">
        <v>53.1</v>
      </c>
      <c r="E108" s="1">
        <v>117.625</v>
      </c>
      <c r="F108">
        <v>721.63599999999997</v>
      </c>
      <c r="G108" s="1">
        <v>604.01099999999997</v>
      </c>
      <c r="H108" s="4">
        <v>332.36400000000003</v>
      </c>
      <c r="I108" t="s">
        <v>9</v>
      </c>
    </row>
    <row r="109" spans="1:9" x14ac:dyDescent="0.3">
      <c r="A109">
        <v>8657028777</v>
      </c>
      <c r="B109">
        <v>2834</v>
      </c>
      <c r="C109" s="1">
        <v>702.26499999999999</v>
      </c>
      <c r="D109" s="1">
        <v>71.98</v>
      </c>
      <c r="E109" s="1">
        <v>316.29199999999997</v>
      </c>
      <c r="F109">
        <v>2044.5730000000001</v>
      </c>
      <c r="G109" s="1">
        <v>1728.2810000000002</v>
      </c>
      <c r="H109" s="4">
        <v>789.42699999999991</v>
      </c>
      <c r="I109" t="s">
        <v>9</v>
      </c>
    </row>
    <row r="110" spans="1:9" x14ac:dyDescent="0.3">
      <c r="A110">
        <v>8635637442</v>
      </c>
      <c r="B110">
        <v>2044</v>
      </c>
      <c r="C110" s="1">
        <v>506.50299999999999</v>
      </c>
      <c r="D110" s="1">
        <v>71.98</v>
      </c>
      <c r="E110" s="1">
        <v>228.125</v>
      </c>
      <c r="F110">
        <v>1454.567</v>
      </c>
      <c r="G110" s="1">
        <v>1226.442</v>
      </c>
      <c r="H110" s="4">
        <v>589.43299999999999</v>
      </c>
      <c r="I110" t="s">
        <v>9</v>
      </c>
    </row>
    <row r="111" spans="1:9" x14ac:dyDescent="0.3">
      <c r="A111">
        <v>8628375004</v>
      </c>
      <c r="B111">
        <v>3294</v>
      </c>
      <c r="C111" s="1">
        <v>1049.4680000000001</v>
      </c>
      <c r="D111" s="1">
        <v>71.98</v>
      </c>
      <c r="E111" s="1">
        <v>367.63499999999999</v>
      </c>
      <c r="F111">
        <v>2154.9059999999999</v>
      </c>
      <c r="G111" s="1">
        <v>1787.271</v>
      </c>
      <c r="H111" s="4">
        <v>1139.0940000000001</v>
      </c>
      <c r="I111" t="s">
        <v>9</v>
      </c>
    </row>
    <row r="112" spans="1:9" x14ac:dyDescent="0.3">
      <c r="A112">
        <v>8643430473</v>
      </c>
      <c r="B112">
        <v>1919</v>
      </c>
      <c r="C112" s="1">
        <v>520.81700000000001</v>
      </c>
      <c r="D112" s="1">
        <v>53.1</v>
      </c>
      <c r="E112" s="1">
        <v>214.167</v>
      </c>
      <c r="F112">
        <v>1334.8030000000001</v>
      </c>
      <c r="G112" s="1">
        <v>1120.6360000000002</v>
      </c>
      <c r="H112" s="4">
        <v>584.19699999999989</v>
      </c>
      <c r="I112" t="s">
        <v>9</v>
      </c>
    </row>
    <row r="113" spans="1:9" x14ac:dyDescent="0.3">
      <c r="A113">
        <v>8634260648</v>
      </c>
      <c r="B113">
        <v>150</v>
      </c>
      <c r="C113" s="1">
        <v>17.7</v>
      </c>
      <c r="D113" s="1">
        <v>31.86</v>
      </c>
      <c r="E113" s="1">
        <v>7.8539999999999992</v>
      </c>
      <c r="F113">
        <v>99.582999999999998</v>
      </c>
      <c r="G113" s="1">
        <v>91.728999999999999</v>
      </c>
      <c r="H113" s="4">
        <v>50.417000000000002</v>
      </c>
      <c r="I113" t="s">
        <v>9</v>
      </c>
    </row>
    <row r="114" spans="1:9" x14ac:dyDescent="0.3">
      <c r="A114">
        <v>8647113461</v>
      </c>
      <c r="B114">
        <v>3469.01</v>
      </c>
      <c r="C114" s="1">
        <v>1105.2270000000001</v>
      </c>
      <c r="D114" s="1">
        <v>71.98</v>
      </c>
      <c r="E114" s="1">
        <v>387.16700000000003</v>
      </c>
      <c r="F114">
        <v>2273.2190000000001</v>
      </c>
      <c r="G114" s="1">
        <v>1886.0520000000001</v>
      </c>
      <c r="H114" s="4">
        <v>1195.7910000000002</v>
      </c>
      <c r="I114" t="s">
        <v>9</v>
      </c>
    </row>
    <row r="115" spans="1:9" x14ac:dyDescent="0.3">
      <c r="A115">
        <v>8665279897</v>
      </c>
      <c r="B115">
        <v>2994</v>
      </c>
      <c r="C115" s="1">
        <v>741.91300000000001</v>
      </c>
      <c r="D115" s="1">
        <v>71.98</v>
      </c>
      <c r="E115" s="1">
        <v>334.14599999999996</v>
      </c>
      <c r="F115">
        <v>2164.0680000000002</v>
      </c>
      <c r="G115" s="1">
        <v>1829.9220000000003</v>
      </c>
      <c r="H115" s="4">
        <v>829.93199999999979</v>
      </c>
      <c r="I115" t="s">
        <v>9</v>
      </c>
    </row>
    <row r="116" spans="1:9" x14ac:dyDescent="0.3">
      <c r="A116">
        <v>8596386099</v>
      </c>
      <c r="B116">
        <v>2606</v>
      </c>
      <c r="C116" s="1">
        <v>553.51400000000001</v>
      </c>
      <c r="D116" s="1">
        <v>71.98</v>
      </c>
      <c r="E116" s="1">
        <v>290.84399999999999</v>
      </c>
      <c r="F116">
        <v>1966.5450000000001</v>
      </c>
      <c r="G116" s="1">
        <v>1675.701</v>
      </c>
      <c r="H116" s="4">
        <v>639.45499999999993</v>
      </c>
      <c r="I116" t="s">
        <v>9</v>
      </c>
    </row>
    <row r="117" spans="1:9" x14ac:dyDescent="0.3">
      <c r="A117">
        <v>8642584889</v>
      </c>
      <c r="B117">
        <v>2044</v>
      </c>
      <c r="C117" s="1">
        <v>506.50299999999999</v>
      </c>
      <c r="D117" s="1">
        <v>71.98</v>
      </c>
      <c r="E117" s="1">
        <v>228.125</v>
      </c>
      <c r="F117">
        <v>1454.567</v>
      </c>
      <c r="G117" s="1">
        <v>1226.442</v>
      </c>
      <c r="H117" s="4">
        <v>589.43299999999999</v>
      </c>
      <c r="I117" t="s">
        <v>9</v>
      </c>
    </row>
    <row r="118" spans="1:9" x14ac:dyDescent="0.3">
      <c r="A118">
        <v>8642884331</v>
      </c>
      <c r="B118">
        <v>2359</v>
      </c>
      <c r="C118" s="1">
        <v>612.39599999999996</v>
      </c>
      <c r="D118" s="1">
        <v>71.98</v>
      </c>
      <c r="E118" s="1">
        <v>263.28100000000001</v>
      </c>
      <c r="F118">
        <v>1661.9870000000001</v>
      </c>
      <c r="G118" s="1">
        <v>1398.7060000000001</v>
      </c>
      <c r="H118" s="4">
        <v>697.01299999999992</v>
      </c>
      <c r="I118" t="s">
        <v>9</v>
      </c>
    </row>
    <row r="119" spans="1:9" x14ac:dyDescent="0.3">
      <c r="A119">
        <v>8632319068</v>
      </c>
      <c r="B119">
        <v>2324</v>
      </c>
      <c r="C119" s="1">
        <v>493.61799999999999</v>
      </c>
      <c r="D119" s="1">
        <v>71.98</v>
      </c>
      <c r="E119" s="1">
        <v>259.375</v>
      </c>
      <c r="F119">
        <v>1745.952</v>
      </c>
      <c r="G119" s="1">
        <v>1486.577</v>
      </c>
      <c r="H119" s="4">
        <v>578.048</v>
      </c>
      <c r="I119" t="s">
        <v>9</v>
      </c>
    </row>
    <row r="120" spans="1:9" x14ac:dyDescent="0.3">
      <c r="A120">
        <v>8622701191</v>
      </c>
      <c r="B120">
        <v>2786</v>
      </c>
      <c r="C120" s="1">
        <v>591.74599999999998</v>
      </c>
      <c r="D120" s="1">
        <v>71.98</v>
      </c>
      <c r="E120" s="1">
        <v>310.93799999999999</v>
      </c>
      <c r="F120">
        <v>2107.348</v>
      </c>
      <c r="G120" s="1">
        <v>1796.4099999999999</v>
      </c>
      <c r="H120" s="4">
        <v>678.65200000000004</v>
      </c>
      <c r="I120" t="s">
        <v>9</v>
      </c>
    </row>
    <row r="121" spans="1:9" x14ac:dyDescent="0.3">
      <c r="A121">
        <v>8594583529</v>
      </c>
      <c r="B121">
        <v>3294</v>
      </c>
      <c r="C121" s="1">
        <v>1049.4680000000001</v>
      </c>
      <c r="D121" s="1">
        <v>71.98</v>
      </c>
      <c r="E121" s="1">
        <v>367.63499999999999</v>
      </c>
      <c r="F121">
        <v>2154.9059999999999</v>
      </c>
      <c r="G121" s="1">
        <v>1787.271</v>
      </c>
      <c r="H121" s="4">
        <v>1139.0940000000001</v>
      </c>
      <c r="I121" t="s">
        <v>9</v>
      </c>
    </row>
    <row r="122" spans="1:9" x14ac:dyDescent="0.3">
      <c r="A122">
        <v>8622272769</v>
      </c>
      <c r="B122">
        <v>2493.98</v>
      </c>
      <c r="C122" s="1">
        <v>765.154</v>
      </c>
      <c r="D122" s="1">
        <v>71.97999999999999</v>
      </c>
      <c r="E122" s="1">
        <v>278.34399999999999</v>
      </c>
      <c r="F122">
        <v>1643.4849999999999</v>
      </c>
      <c r="G122" s="1">
        <v>1365.1409999999998</v>
      </c>
      <c r="H122" s="4">
        <v>850.49500000000012</v>
      </c>
      <c r="I122" t="s">
        <v>9</v>
      </c>
    </row>
    <row r="123" spans="1:9" x14ac:dyDescent="0.3">
      <c r="A123">
        <v>8628844817</v>
      </c>
      <c r="B123">
        <v>1079</v>
      </c>
      <c r="C123" s="1">
        <v>267.37599999999998</v>
      </c>
      <c r="D123" s="1">
        <v>53.1</v>
      </c>
      <c r="E123" s="1">
        <v>120.417</v>
      </c>
      <c r="F123">
        <v>752.74400000000003</v>
      </c>
      <c r="G123" s="1">
        <v>632.327</v>
      </c>
      <c r="H123" s="4">
        <v>326.25599999999997</v>
      </c>
      <c r="I123" t="s">
        <v>9</v>
      </c>
    </row>
    <row r="124" spans="1:9" x14ac:dyDescent="0.3">
      <c r="A124">
        <v>8619132751</v>
      </c>
      <c r="B124">
        <v>3394</v>
      </c>
      <c r="C124" s="1">
        <v>841.03300000000002</v>
      </c>
      <c r="D124" s="1">
        <v>71.98</v>
      </c>
      <c r="E124" s="1">
        <v>378.79199999999997</v>
      </c>
      <c r="F124">
        <v>2462.8049999999998</v>
      </c>
      <c r="G124" s="1">
        <v>2084.0129999999999</v>
      </c>
      <c r="H124" s="4">
        <v>931.19500000000016</v>
      </c>
      <c r="I124" t="s">
        <v>9</v>
      </c>
    </row>
    <row r="125" spans="1:9" x14ac:dyDescent="0.3">
      <c r="A125">
        <v>8598520386</v>
      </c>
      <c r="B125">
        <v>3544</v>
      </c>
      <c r="C125" s="1">
        <v>920.02200000000005</v>
      </c>
      <c r="D125" s="1">
        <v>71.98</v>
      </c>
      <c r="E125" s="1">
        <v>395.53100000000001</v>
      </c>
      <c r="F125">
        <v>2533.0129999999999</v>
      </c>
      <c r="G125" s="1">
        <v>2137.482</v>
      </c>
      <c r="H125" s="4">
        <v>1010.9870000000001</v>
      </c>
      <c r="I125" t="s">
        <v>9</v>
      </c>
    </row>
    <row r="126" spans="1:9" x14ac:dyDescent="0.3">
      <c r="A126">
        <v>8640221165</v>
      </c>
      <c r="B126">
        <v>4594</v>
      </c>
      <c r="C126" s="1">
        <v>1409.4390000000001</v>
      </c>
      <c r="D126" s="1">
        <v>71.98</v>
      </c>
      <c r="E126" s="1">
        <v>512.72900000000004</v>
      </c>
      <c r="F126">
        <v>3087.97</v>
      </c>
      <c r="G126" s="1">
        <v>2575.241</v>
      </c>
      <c r="H126" s="4">
        <v>1506.0300000000002</v>
      </c>
      <c r="I126" t="s">
        <v>9</v>
      </c>
    </row>
    <row r="127" spans="1:9" x14ac:dyDescent="0.3">
      <c r="A127">
        <v>8638580090</v>
      </c>
      <c r="B127">
        <v>2769</v>
      </c>
      <c r="C127" s="1">
        <v>686.15800000000002</v>
      </c>
      <c r="D127" s="1">
        <v>71.98</v>
      </c>
      <c r="E127" s="1">
        <v>309.04200000000003</v>
      </c>
      <c r="F127">
        <v>1996.028</v>
      </c>
      <c r="G127" s="1">
        <v>1686.9859999999999</v>
      </c>
      <c r="H127" s="4">
        <v>772.97199999999998</v>
      </c>
      <c r="I127" t="s">
        <v>9</v>
      </c>
    </row>
    <row r="128" spans="1:9" x14ac:dyDescent="0.3">
      <c r="A128">
        <v>8614786485</v>
      </c>
      <c r="B128">
        <v>2994</v>
      </c>
      <c r="C128" s="1">
        <v>635.92600000000004</v>
      </c>
      <c r="D128" s="1">
        <v>71.97999999999999</v>
      </c>
      <c r="E128" s="1">
        <v>334.15600000000001</v>
      </c>
      <c r="F128">
        <v>2270.0549999999998</v>
      </c>
      <c r="G128" s="1">
        <v>1935.8989999999999</v>
      </c>
      <c r="H128" s="4">
        <v>723.94500000000016</v>
      </c>
      <c r="I128" t="s">
        <v>9</v>
      </c>
    </row>
    <row r="129" spans="1:9" x14ac:dyDescent="0.3">
      <c r="A129">
        <v>8650143286</v>
      </c>
      <c r="B129">
        <v>3294</v>
      </c>
      <c r="C129" s="1">
        <v>1049.4690000000001</v>
      </c>
      <c r="D129" s="1">
        <v>71.98</v>
      </c>
      <c r="E129" s="1">
        <v>367.63499999999999</v>
      </c>
      <c r="F129">
        <v>2154.9050000000002</v>
      </c>
      <c r="G129" s="1">
        <v>1787.2700000000002</v>
      </c>
      <c r="H129" s="4">
        <v>1139.0949999999998</v>
      </c>
      <c r="I129" t="s">
        <v>9</v>
      </c>
    </row>
    <row r="130" spans="1:9" x14ac:dyDescent="0.3">
      <c r="A130">
        <v>8655246903</v>
      </c>
      <c r="B130">
        <v>1919</v>
      </c>
      <c r="C130" s="1">
        <v>430.24</v>
      </c>
      <c r="D130" s="1">
        <v>53.1</v>
      </c>
      <c r="E130" s="1">
        <v>214.17700000000002</v>
      </c>
      <c r="F130">
        <v>1425.38</v>
      </c>
      <c r="G130" s="1">
        <v>1211.203</v>
      </c>
      <c r="H130" s="4">
        <v>493.61999999999989</v>
      </c>
      <c r="I130" t="s">
        <v>9</v>
      </c>
    </row>
    <row r="131" spans="1:9" x14ac:dyDescent="0.3">
      <c r="A131">
        <v>8642965422</v>
      </c>
      <c r="B131">
        <v>2556</v>
      </c>
      <c r="C131" s="1">
        <v>633.37699999999995</v>
      </c>
      <c r="D131" s="1">
        <v>71.98</v>
      </c>
      <c r="E131" s="1">
        <v>285.27100000000002</v>
      </c>
      <c r="F131">
        <v>1836.95</v>
      </c>
      <c r="G131" s="1">
        <v>1551.6790000000001</v>
      </c>
      <c r="H131" s="4">
        <v>719.05</v>
      </c>
      <c r="I131" t="s">
        <v>9</v>
      </c>
    </row>
    <row r="132" spans="1:9" x14ac:dyDescent="0.3">
      <c r="A132">
        <v>8657183923</v>
      </c>
      <c r="B132">
        <v>2994</v>
      </c>
      <c r="C132" s="1">
        <v>741.91300000000001</v>
      </c>
      <c r="D132" s="1">
        <v>71.98</v>
      </c>
      <c r="E132" s="1">
        <v>334.15600000000001</v>
      </c>
      <c r="F132">
        <v>2164.0680000000002</v>
      </c>
      <c r="G132" s="1">
        <v>1829.9120000000003</v>
      </c>
      <c r="H132" s="4">
        <v>829.93199999999979</v>
      </c>
      <c r="I132" t="s">
        <v>9</v>
      </c>
    </row>
    <row r="133" spans="1:9" x14ac:dyDescent="0.3">
      <c r="A133">
        <v>8630036288</v>
      </c>
      <c r="B133">
        <v>954</v>
      </c>
      <c r="C133" s="1">
        <v>258.916</v>
      </c>
      <c r="D133" s="1">
        <v>31.86</v>
      </c>
      <c r="E133" s="1">
        <v>49.972999999999999</v>
      </c>
      <c r="F133">
        <v>657.77200000000005</v>
      </c>
      <c r="G133" s="1">
        <v>607.79900000000009</v>
      </c>
      <c r="H133" s="4">
        <v>296.22799999999995</v>
      </c>
      <c r="I133" t="s">
        <v>9</v>
      </c>
    </row>
    <row r="134" spans="1:9" x14ac:dyDescent="0.3">
      <c r="A134">
        <v>8624909764</v>
      </c>
      <c r="B134">
        <v>1109</v>
      </c>
      <c r="C134" s="1">
        <v>248.63800000000001</v>
      </c>
      <c r="D134" s="1">
        <v>53.1</v>
      </c>
      <c r="E134" s="1">
        <v>123.77099999999999</v>
      </c>
      <c r="F134">
        <v>801.32100000000003</v>
      </c>
      <c r="G134" s="1">
        <v>677.55000000000007</v>
      </c>
      <c r="H134" s="4">
        <v>307.67899999999997</v>
      </c>
      <c r="I134" t="s">
        <v>9</v>
      </c>
    </row>
    <row r="135" spans="1:9" x14ac:dyDescent="0.3">
      <c r="A135">
        <v>8642873485</v>
      </c>
      <c r="B135">
        <v>729</v>
      </c>
      <c r="C135" s="1">
        <v>215.05500000000001</v>
      </c>
      <c r="D135" s="1">
        <v>31.86</v>
      </c>
      <c r="E135" s="1">
        <v>38.180999999999997</v>
      </c>
      <c r="F135">
        <v>477.92</v>
      </c>
      <c r="G135" s="1">
        <v>439.73900000000003</v>
      </c>
      <c r="H135" s="4">
        <v>251.07999999999998</v>
      </c>
      <c r="I135" t="s">
        <v>9</v>
      </c>
    </row>
    <row r="136" spans="1:9" x14ac:dyDescent="0.3">
      <c r="A136">
        <v>8641175399</v>
      </c>
      <c r="B136">
        <v>2419</v>
      </c>
      <c r="C136" s="1">
        <v>513.79600000000005</v>
      </c>
      <c r="D136" s="1">
        <v>71.98</v>
      </c>
      <c r="E136" s="1">
        <v>269.97899999999998</v>
      </c>
      <c r="F136">
        <v>1820.2650000000001</v>
      </c>
      <c r="G136" s="1">
        <v>1550.2860000000001</v>
      </c>
      <c r="H136" s="4">
        <v>598.7349999999999</v>
      </c>
      <c r="I136" t="s">
        <v>9</v>
      </c>
    </row>
    <row r="137" spans="1:9" x14ac:dyDescent="0.3">
      <c r="A137">
        <v>8642965423</v>
      </c>
      <c r="B137">
        <v>2769</v>
      </c>
      <c r="C137" s="1">
        <v>686.15800000000002</v>
      </c>
      <c r="D137" s="1">
        <v>71.98</v>
      </c>
      <c r="E137" s="1">
        <v>309.04200000000003</v>
      </c>
      <c r="F137">
        <v>1996.028</v>
      </c>
      <c r="G137" s="1">
        <v>1686.9859999999999</v>
      </c>
      <c r="H137" s="4">
        <v>772.97199999999998</v>
      </c>
      <c r="I137" t="s">
        <v>9</v>
      </c>
    </row>
    <row r="138" spans="1:9" x14ac:dyDescent="0.3">
      <c r="A138">
        <v>8648630547</v>
      </c>
      <c r="B138">
        <v>3994</v>
      </c>
      <c r="C138" s="1">
        <v>1272.4880000000001</v>
      </c>
      <c r="D138" s="1">
        <v>71.98</v>
      </c>
      <c r="E138" s="1">
        <v>445.76100000000002</v>
      </c>
      <c r="F138">
        <v>2628.1350000000002</v>
      </c>
      <c r="G138" s="1">
        <v>2182.3740000000003</v>
      </c>
      <c r="H138" s="4">
        <v>1365.8649999999998</v>
      </c>
      <c r="I138" t="s">
        <v>9</v>
      </c>
    </row>
    <row r="139" spans="1:9" x14ac:dyDescent="0.3">
      <c r="A139">
        <v>8656641164</v>
      </c>
      <c r="B139">
        <v>2994</v>
      </c>
      <c r="C139" s="1">
        <v>741.91300000000001</v>
      </c>
      <c r="D139" s="1">
        <v>71.98</v>
      </c>
      <c r="E139" s="1">
        <v>334.15600000000001</v>
      </c>
      <c r="F139">
        <v>2164.0680000000002</v>
      </c>
      <c r="G139" s="1">
        <v>1829.9120000000003</v>
      </c>
      <c r="H139" s="4">
        <v>829.93199999999979</v>
      </c>
      <c r="I139" t="s">
        <v>9</v>
      </c>
    </row>
    <row r="140" spans="1:9" x14ac:dyDescent="0.3">
      <c r="A140">
        <v>8618096250</v>
      </c>
      <c r="B140">
        <v>1066</v>
      </c>
      <c r="C140" s="1">
        <v>276.73399999999998</v>
      </c>
      <c r="D140" s="1">
        <v>53.1</v>
      </c>
      <c r="E140" s="1">
        <v>118.96899999999999</v>
      </c>
      <c r="F140">
        <v>730.45500000000004</v>
      </c>
      <c r="G140" s="1">
        <v>611.4860000000001</v>
      </c>
      <c r="H140" s="4">
        <v>335.54499999999996</v>
      </c>
      <c r="I140" t="s">
        <v>9</v>
      </c>
    </row>
    <row r="141" spans="1:9" x14ac:dyDescent="0.3">
      <c r="A141">
        <v>8626206228</v>
      </c>
      <c r="B141">
        <v>2981</v>
      </c>
      <c r="C141" s="1">
        <v>738.69200000000001</v>
      </c>
      <c r="D141" s="1">
        <v>71.98</v>
      </c>
      <c r="E141" s="1">
        <v>332.69799999999998</v>
      </c>
      <c r="F141">
        <v>2154.3580000000002</v>
      </c>
      <c r="G141" s="1">
        <v>1821.6600000000003</v>
      </c>
      <c r="H141" s="4">
        <v>826.64199999999983</v>
      </c>
      <c r="I141" t="s">
        <v>9</v>
      </c>
    </row>
    <row r="142" spans="1:9" x14ac:dyDescent="0.3">
      <c r="A142">
        <v>8639701061</v>
      </c>
      <c r="B142">
        <v>3194</v>
      </c>
      <c r="C142" s="1">
        <v>791.47299999999996</v>
      </c>
      <c r="D142" s="1">
        <v>71.98</v>
      </c>
      <c r="E142" s="1">
        <v>356.47900000000004</v>
      </c>
      <c r="F142">
        <v>2313.4360000000001</v>
      </c>
      <c r="G142" s="1">
        <v>1956.9570000000001</v>
      </c>
      <c r="H142" s="4">
        <v>880.56399999999985</v>
      </c>
      <c r="I142" t="s">
        <v>9</v>
      </c>
    </row>
    <row r="143" spans="1:9" x14ac:dyDescent="0.3">
      <c r="A143">
        <v>8644828432</v>
      </c>
      <c r="B143">
        <v>3194</v>
      </c>
      <c r="C143" s="1">
        <v>791.47299999999996</v>
      </c>
      <c r="D143" s="1">
        <v>71.98</v>
      </c>
      <c r="E143" s="1">
        <v>356.46899999999999</v>
      </c>
      <c r="F143">
        <v>2313.4360000000001</v>
      </c>
      <c r="G143" s="1">
        <v>1956.9670000000001</v>
      </c>
      <c r="H143" s="4">
        <v>880.56399999999985</v>
      </c>
      <c r="I143" t="s">
        <v>9</v>
      </c>
    </row>
    <row r="144" spans="1:9" x14ac:dyDescent="0.3">
      <c r="A144">
        <v>8631678076</v>
      </c>
      <c r="B144">
        <v>2419</v>
      </c>
      <c r="C144" s="1">
        <v>513.79600000000005</v>
      </c>
      <c r="D144" s="1">
        <v>71.98</v>
      </c>
      <c r="E144" s="1">
        <v>269.97899999999998</v>
      </c>
      <c r="F144">
        <v>1820.2660000000001</v>
      </c>
      <c r="G144" s="1">
        <v>1550.287</v>
      </c>
      <c r="H144" s="4">
        <v>598.73399999999992</v>
      </c>
      <c r="I144" t="s">
        <v>9</v>
      </c>
    </row>
    <row r="145" spans="1:9" x14ac:dyDescent="0.3">
      <c r="A145">
        <v>8640576578</v>
      </c>
      <c r="B145">
        <v>3194</v>
      </c>
      <c r="C145" s="1">
        <v>791.47299999999996</v>
      </c>
      <c r="D145" s="1">
        <v>71.98</v>
      </c>
      <c r="E145" s="1">
        <v>356.46899999999999</v>
      </c>
      <c r="F145">
        <v>2313.4360000000001</v>
      </c>
      <c r="G145" s="1">
        <v>1956.9670000000001</v>
      </c>
      <c r="H145" s="4">
        <v>880.56399999999985</v>
      </c>
      <c r="I145" t="s">
        <v>9</v>
      </c>
    </row>
    <row r="146" spans="1:9" x14ac:dyDescent="0.3">
      <c r="A146">
        <v>8633202707</v>
      </c>
      <c r="B146">
        <v>2606</v>
      </c>
      <c r="C146" s="1">
        <v>553.51400000000001</v>
      </c>
      <c r="D146" s="1">
        <v>71.98</v>
      </c>
      <c r="E146" s="1">
        <v>290.84399999999999</v>
      </c>
      <c r="F146">
        <v>1966.5450000000001</v>
      </c>
      <c r="G146" s="1">
        <v>1675.701</v>
      </c>
      <c r="H146" s="4">
        <v>639.45499999999993</v>
      </c>
      <c r="I146" t="s">
        <v>9</v>
      </c>
    </row>
    <row r="147" spans="1:9" x14ac:dyDescent="0.3">
      <c r="A147">
        <v>8613337691</v>
      </c>
      <c r="B147">
        <v>3544</v>
      </c>
      <c r="C147" s="1">
        <v>920.02200000000005</v>
      </c>
      <c r="D147" s="1">
        <v>71.98</v>
      </c>
      <c r="E147" s="1">
        <v>395.53100000000001</v>
      </c>
      <c r="F147">
        <v>2533.0129999999999</v>
      </c>
      <c r="G147" s="1">
        <v>2137.482</v>
      </c>
      <c r="H147" s="4">
        <v>1010.9870000000001</v>
      </c>
      <c r="I147" t="s">
        <v>9</v>
      </c>
    </row>
    <row r="148" spans="1:9" x14ac:dyDescent="0.3">
      <c r="A148">
        <v>8631713530</v>
      </c>
      <c r="B148">
        <v>2719</v>
      </c>
      <c r="C148" s="1">
        <v>705.85199999999998</v>
      </c>
      <c r="D148" s="1">
        <v>71.98</v>
      </c>
      <c r="E148" s="1">
        <v>303.45799999999997</v>
      </c>
      <c r="F148">
        <v>1926.6020000000001</v>
      </c>
      <c r="G148" s="1">
        <v>1623.1440000000002</v>
      </c>
      <c r="H148" s="4">
        <v>792.39799999999991</v>
      </c>
      <c r="I148" t="s">
        <v>9</v>
      </c>
    </row>
    <row r="149" spans="1:9" x14ac:dyDescent="0.3">
      <c r="A149">
        <v>8656567847</v>
      </c>
      <c r="B149">
        <v>2344</v>
      </c>
      <c r="C149" s="1">
        <v>608.50199999999995</v>
      </c>
      <c r="D149" s="1">
        <v>71.98</v>
      </c>
      <c r="E149" s="1">
        <v>261.60399999999998</v>
      </c>
      <c r="F149">
        <v>1650.961</v>
      </c>
      <c r="G149" s="1">
        <v>1389.357</v>
      </c>
      <c r="H149" s="4">
        <v>693.03899999999999</v>
      </c>
      <c r="I149" t="s">
        <v>9</v>
      </c>
    </row>
    <row r="150" spans="1:9" x14ac:dyDescent="0.3">
      <c r="A150">
        <v>8643130128</v>
      </c>
      <c r="B150">
        <v>2719</v>
      </c>
      <c r="C150" s="1">
        <v>705.85199999999998</v>
      </c>
      <c r="D150" s="1">
        <v>71.98</v>
      </c>
      <c r="E150" s="1">
        <v>303.45799999999997</v>
      </c>
      <c r="F150">
        <v>1926.6020000000001</v>
      </c>
      <c r="G150" s="1">
        <v>1623.1440000000002</v>
      </c>
      <c r="H150" s="4">
        <v>792.39799999999991</v>
      </c>
      <c r="I150" t="s">
        <v>9</v>
      </c>
    </row>
    <row r="151" spans="1:9" x14ac:dyDescent="0.3">
      <c r="A151">
        <v>8645076729</v>
      </c>
      <c r="B151">
        <v>3274</v>
      </c>
      <c r="C151" s="1">
        <v>695.39800000000002</v>
      </c>
      <c r="D151" s="1">
        <v>71.98</v>
      </c>
      <c r="E151" s="1">
        <v>365.40600000000001</v>
      </c>
      <c r="F151">
        <v>2489.0830000000001</v>
      </c>
      <c r="G151" s="1">
        <v>2123.6770000000001</v>
      </c>
      <c r="H151" s="4">
        <v>784.91699999999992</v>
      </c>
      <c r="I151" t="s">
        <v>9</v>
      </c>
    </row>
    <row r="152" spans="1:9" x14ac:dyDescent="0.3">
      <c r="A152">
        <v>8624711194</v>
      </c>
      <c r="B152">
        <v>2494</v>
      </c>
      <c r="C152" s="1">
        <v>765.15899999999999</v>
      </c>
      <c r="D152" s="1">
        <v>71.98</v>
      </c>
      <c r="E152" s="1">
        <v>278.34399999999999</v>
      </c>
      <c r="F152">
        <v>1643.5</v>
      </c>
      <c r="G152" s="1">
        <v>1365.1559999999999</v>
      </c>
      <c r="H152" s="4">
        <v>850.5</v>
      </c>
      <c r="I152" t="s">
        <v>9</v>
      </c>
    </row>
    <row r="153" spans="1:9" x14ac:dyDescent="0.3">
      <c r="A153">
        <v>8630654919</v>
      </c>
      <c r="B153">
        <v>2044</v>
      </c>
      <c r="C153" s="1">
        <v>506.50299999999999</v>
      </c>
      <c r="D153" s="1">
        <v>71.98</v>
      </c>
      <c r="E153" s="1">
        <v>228.125</v>
      </c>
      <c r="F153">
        <v>1454.567</v>
      </c>
      <c r="G153" s="1">
        <v>1226.442</v>
      </c>
      <c r="H153" s="4">
        <v>589.43299999999999</v>
      </c>
      <c r="I153" t="s">
        <v>9</v>
      </c>
    </row>
    <row r="154" spans="1:9" x14ac:dyDescent="0.3">
      <c r="A154">
        <v>8641458109</v>
      </c>
      <c r="B154">
        <v>1179.01</v>
      </c>
      <c r="C154" s="1">
        <v>306.07100000000003</v>
      </c>
      <c r="D154" s="1">
        <v>53.099999999999994</v>
      </c>
      <c r="E154" s="1">
        <v>131.584</v>
      </c>
      <c r="F154">
        <v>813.52200000000005</v>
      </c>
      <c r="G154" s="1">
        <v>681.9380000000001</v>
      </c>
      <c r="H154" s="4">
        <v>365.48799999999994</v>
      </c>
      <c r="I154" t="s">
        <v>9</v>
      </c>
    </row>
    <row r="155" spans="1:9" x14ac:dyDescent="0.3">
      <c r="A155">
        <v>8630231099</v>
      </c>
      <c r="B155">
        <v>3169</v>
      </c>
      <c r="C155" s="1">
        <v>822.67200000000003</v>
      </c>
      <c r="D155" s="1">
        <v>71.98</v>
      </c>
      <c r="E155" s="1">
        <v>353.68700000000001</v>
      </c>
      <c r="F155">
        <v>2257.3719999999998</v>
      </c>
      <c r="G155" s="1">
        <v>1903.6849999999999</v>
      </c>
      <c r="H155" s="4">
        <v>911.62800000000016</v>
      </c>
      <c r="I155" t="s">
        <v>9</v>
      </c>
    </row>
    <row r="156" spans="1:9" x14ac:dyDescent="0.3">
      <c r="A156">
        <v>8649151095</v>
      </c>
      <c r="B156">
        <v>2994</v>
      </c>
      <c r="C156" s="1">
        <v>777.24199999999996</v>
      </c>
      <c r="D156" s="1">
        <v>71.98</v>
      </c>
      <c r="E156" s="1">
        <v>334.15600000000001</v>
      </c>
      <c r="F156">
        <v>2128.739</v>
      </c>
      <c r="G156" s="1">
        <v>1794.5830000000001</v>
      </c>
      <c r="H156" s="4">
        <v>865.26099999999997</v>
      </c>
      <c r="I156" t="s">
        <v>9</v>
      </c>
    </row>
    <row r="157" spans="1:9" x14ac:dyDescent="0.3">
      <c r="A157">
        <v>8658171088</v>
      </c>
      <c r="B157">
        <v>1135</v>
      </c>
      <c r="C157" s="1">
        <v>294.64600000000002</v>
      </c>
      <c r="D157" s="1">
        <v>53.1</v>
      </c>
      <c r="E157" s="1">
        <v>126.67699999999999</v>
      </c>
      <c r="F157">
        <v>781.17399999999998</v>
      </c>
      <c r="G157" s="1">
        <v>654.49699999999996</v>
      </c>
      <c r="H157" s="4">
        <v>353.82600000000002</v>
      </c>
      <c r="I157" t="s">
        <v>9</v>
      </c>
    </row>
    <row r="158" spans="1:9" x14ac:dyDescent="0.3">
      <c r="A158">
        <v>8650725377</v>
      </c>
      <c r="B158">
        <v>2419</v>
      </c>
      <c r="C158" s="1">
        <v>513.79600000000005</v>
      </c>
      <c r="D158" s="1">
        <v>71.98</v>
      </c>
      <c r="E158" s="1">
        <v>269.97899999999998</v>
      </c>
      <c r="F158">
        <v>1820.2650000000001</v>
      </c>
      <c r="G158" s="1">
        <v>1550.2860000000001</v>
      </c>
      <c r="H158" s="4">
        <v>598.7349999999999</v>
      </c>
      <c r="I158" t="s">
        <v>9</v>
      </c>
    </row>
    <row r="159" spans="1:9" x14ac:dyDescent="0.3">
      <c r="A159">
        <v>8653075542</v>
      </c>
      <c r="B159">
        <v>1079</v>
      </c>
      <c r="C159" s="1">
        <v>267.37599999999998</v>
      </c>
      <c r="D159" s="1">
        <v>53.1</v>
      </c>
      <c r="E159" s="1">
        <v>120.42699999999999</v>
      </c>
      <c r="F159">
        <v>752.74400000000003</v>
      </c>
      <c r="G159" s="1">
        <v>632.31700000000001</v>
      </c>
      <c r="H159" s="4">
        <v>326.25599999999997</v>
      </c>
      <c r="I159" t="s">
        <v>9</v>
      </c>
    </row>
    <row r="160" spans="1:9" x14ac:dyDescent="0.3">
      <c r="A160">
        <v>8644294847</v>
      </c>
      <c r="B160">
        <v>2944</v>
      </c>
      <c r="C160" s="1">
        <v>729.52300000000002</v>
      </c>
      <c r="D160" s="1">
        <v>71.98</v>
      </c>
      <c r="E160" s="1">
        <v>328.57299999999998</v>
      </c>
      <c r="F160">
        <v>2126.7249999999999</v>
      </c>
      <c r="G160" s="1">
        <v>1798.152</v>
      </c>
      <c r="H160" s="4">
        <v>817.27500000000009</v>
      </c>
      <c r="I160" t="s">
        <v>9</v>
      </c>
    </row>
    <row r="161" spans="1:9" x14ac:dyDescent="0.3">
      <c r="A161">
        <v>8621653964</v>
      </c>
      <c r="B161">
        <v>3169</v>
      </c>
      <c r="C161" s="1">
        <v>673.096</v>
      </c>
      <c r="D161" s="1">
        <v>71.98</v>
      </c>
      <c r="E161" s="1">
        <v>353.68700000000001</v>
      </c>
      <c r="F161">
        <v>2406.9479999999999</v>
      </c>
      <c r="G161" s="1">
        <v>2053.261</v>
      </c>
      <c r="H161" s="4">
        <v>762.05200000000013</v>
      </c>
      <c r="I161" t="s">
        <v>9</v>
      </c>
    </row>
    <row r="162" spans="1:9" x14ac:dyDescent="0.3">
      <c r="A162">
        <v>8594510488</v>
      </c>
      <c r="B162">
        <v>2944</v>
      </c>
      <c r="C162" s="1">
        <v>729.52300000000002</v>
      </c>
      <c r="D162" s="1">
        <v>71.98</v>
      </c>
      <c r="E162" s="1">
        <v>328.57299999999998</v>
      </c>
      <c r="F162">
        <v>2126.7249999999999</v>
      </c>
      <c r="G162" s="1">
        <v>1798.152</v>
      </c>
      <c r="H162" s="4">
        <v>817.27500000000009</v>
      </c>
      <c r="I162" t="s">
        <v>9</v>
      </c>
    </row>
    <row r="163" spans="1:9" x14ac:dyDescent="0.3">
      <c r="A163">
        <v>8615408852</v>
      </c>
      <c r="B163">
        <v>2719</v>
      </c>
      <c r="C163" s="1">
        <v>673.76800000000003</v>
      </c>
      <c r="D163" s="1">
        <v>71.98</v>
      </c>
      <c r="E163" s="1">
        <v>303.45799999999997</v>
      </c>
      <c r="F163">
        <v>1958.6859999999999</v>
      </c>
      <c r="G163" s="1">
        <v>1655.2280000000001</v>
      </c>
      <c r="H163" s="4">
        <v>760.31400000000008</v>
      </c>
      <c r="I163" t="s">
        <v>9</v>
      </c>
    </row>
    <row r="164" spans="1:9" x14ac:dyDescent="0.3">
      <c r="A164">
        <v>8636288291</v>
      </c>
      <c r="B164">
        <v>3024</v>
      </c>
      <c r="C164" s="1">
        <v>749.34699999999998</v>
      </c>
      <c r="D164" s="1">
        <v>71.98</v>
      </c>
      <c r="E164" s="1">
        <v>337.5</v>
      </c>
      <c r="F164">
        <v>2186.473</v>
      </c>
      <c r="G164" s="1">
        <v>1848.973</v>
      </c>
      <c r="H164" s="4">
        <v>837.52700000000004</v>
      </c>
      <c r="I164" t="s">
        <v>9</v>
      </c>
    </row>
    <row r="165" spans="1:9" x14ac:dyDescent="0.3">
      <c r="A165">
        <v>8621952556</v>
      </c>
      <c r="B165">
        <v>2719</v>
      </c>
      <c r="C165" s="1">
        <v>673.76800000000003</v>
      </c>
      <c r="D165" s="1">
        <v>71.98</v>
      </c>
      <c r="E165" s="1">
        <v>303.45799999999997</v>
      </c>
      <c r="F165">
        <v>1958.6859999999999</v>
      </c>
      <c r="G165" s="1">
        <v>1655.2280000000001</v>
      </c>
      <c r="H165" s="4">
        <v>760.31400000000008</v>
      </c>
      <c r="I165" t="s">
        <v>9</v>
      </c>
    </row>
    <row r="166" spans="1:9" x14ac:dyDescent="0.3">
      <c r="A166">
        <v>8617657782</v>
      </c>
      <c r="B166">
        <v>2944</v>
      </c>
      <c r="C166" s="1">
        <v>729.52300000000002</v>
      </c>
      <c r="D166" s="1">
        <v>71.98</v>
      </c>
      <c r="E166" s="1">
        <v>328.56299999999999</v>
      </c>
      <c r="F166">
        <v>2126.7249999999999</v>
      </c>
      <c r="G166" s="1">
        <v>1798.1619999999998</v>
      </c>
      <c r="H166" s="4">
        <v>817.27500000000009</v>
      </c>
      <c r="I166" t="s">
        <v>9</v>
      </c>
    </row>
    <row r="167" spans="1:9" x14ac:dyDescent="0.3">
      <c r="A167">
        <v>8658003073</v>
      </c>
      <c r="B167">
        <v>2419</v>
      </c>
      <c r="C167" s="1">
        <v>513.79600000000005</v>
      </c>
      <c r="D167" s="1">
        <v>71.98</v>
      </c>
      <c r="E167" s="1">
        <v>269.97899999999998</v>
      </c>
      <c r="F167">
        <v>1820.2650000000001</v>
      </c>
      <c r="G167" s="1">
        <v>1550.2860000000001</v>
      </c>
      <c r="H167" s="4">
        <v>598.7349999999999</v>
      </c>
      <c r="I167" t="s">
        <v>9</v>
      </c>
    </row>
    <row r="168" spans="1:9" x14ac:dyDescent="0.3">
      <c r="A168">
        <v>8636867538</v>
      </c>
      <c r="B168">
        <v>2194</v>
      </c>
      <c r="C168" s="1">
        <v>466.00599999999997</v>
      </c>
      <c r="D168" s="1">
        <v>71.98</v>
      </c>
      <c r="E168" s="1">
        <v>244.86499999999998</v>
      </c>
      <c r="F168">
        <v>1644.26</v>
      </c>
      <c r="G168" s="1">
        <v>1399.395</v>
      </c>
      <c r="H168" s="4">
        <v>549.74</v>
      </c>
      <c r="I168" t="s">
        <v>9</v>
      </c>
    </row>
    <row r="169" spans="1:9" x14ac:dyDescent="0.3">
      <c r="A169">
        <v>8634990032</v>
      </c>
      <c r="B169">
        <v>2944</v>
      </c>
      <c r="C169" s="1">
        <v>937.95799999999997</v>
      </c>
      <c r="D169" s="1">
        <v>71.98</v>
      </c>
      <c r="E169" s="1">
        <v>328.57299999999998</v>
      </c>
      <c r="F169">
        <v>1918.29</v>
      </c>
      <c r="G169" s="1">
        <v>1589.7170000000001</v>
      </c>
      <c r="H169" s="4">
        <v>1025.71</v>
      </c>
      <c r="I169" t="s">
        <v>9</v>
      </c>
    </row>
    <row r="170" spans="1:9" x14ac:dyDescent="0.3">
      <c r="A170">
        <v>8649077969</v>
      </c>
      <c r="B170">
        <v>2994</v>
      </c>
      <c r="C170" s="1">
        <v>777.24199999999996</v>
      </c>
      <c r="D170" s="1">
        <v>71.98</v>
      </c>
      <c r="E170" s="1">
        <v>334.15600000000001</v>
      </c>
      <c r="F170">
        <v>2128.739</v>
      </c>
      <c r="G170" s="1">
        <v>1794.5830000000001</v>
      </c>
      <c r="H170" s="4">
        <v>865.26099999999997</v>
      </c>
      <c r="I170" t="s">
        <v>9</v>
      </c>
    </row>
    <row r="171" spans="1:9" x14ac:dyDescent="0.3">
      <c r="A171">
        <v>8653183954</v>
      </c>
      <c r="B171">
        <v>2644</v>
      </c>
      <c r="C171" s="1">
        <v>561.58600000000001</v>
      </c>
      <c r="D171" s="1">
        <v>71.98</v>
      </c>
      <c r="E171" s="1">
        <v>295.09399999999999</v>
      </c>
      <c r="F171">
        <v>1996.269</v>
      </c>
      <c r="G171" s="1">
        <v>1701.175</v>
      </c>
      <c r="H171" s="4">
        <v>647.73099999999999</v>
      </c>
      <c r="I171" t="s">
        <v>9</v>
      </c>
    </row>
    <row r="172" spans="1:9" x14ac:dyDescent="0.3">
      <c r="A172">
        <v>8612608577</v>
      </c>
      <c r="B172">
        <v>3844</v>
      </c>
      <c r="C172" s="1">
        <v>952.54399999999998</v>
      </c>
      <c r="D172" s="1">
        <v>71.98</v>
      </c>
      <c r="E172" s="1">
        <v>429.02100000000002</v>
      </c>
      <c r="F172">
        <v>2798.8829999999998</v>
      </c>
      <c r="G172" s="1">
        <v>2369.8619999999996</v>
      </c>
      <c r="H172" s="4">
        <v>1045.1170000000002</v>
      </c>
      <c r="I172" t="s">
        <v>9</v>
      </c>
    </row>
    <row r="173" spans="1:9" x14ac:dyDescent="0.3">
      <c r="A173">
        <v>8653144719</v>
      </c>
      <c r="B173">
        <v>2593.98</v>
      </c>
      <c r="C173" s="1">
        <v>550.96100000000001</v>
      </c>
      <c r="D173" s="1">
        <v>71.98</v>
      </c>
      <c r="E173" s="1">
        <v>289.51</v>
      </c>
      <c r="F173">
        <v>1957.143</v>
      </c>
      <c r="G173" s="1">
        <v>1667.633</v>
      </c>
      <c r="H173" s="4">
        <v>636.83699999999999</v>
      </c>
      <c r="I173" t="s">
        <v>9</v>
      </c>
    </row>
    <row r="174" spans="1:9" x14ac:dyDescent="0.3">
      <c r="A174">
        <v>8646141427</v>
      </c>
      <c r="B174">
        <v>1994</v>
      </c>
      <c r="C174" s="1">
        <v>541.17200000000003</v>
      </c>
      <c r="D174" s="1">
        <v>53.1</v>
      </c>
      <c r="E174" s="1">
        <v>222.54199999999997</v>
      </c>
      <c r="F174">
        <v>1389.046</v>
      </c>
      <c r="G174" s="1">
        <v>1166.5040000000001</v>
      </c>
      <c r="H174" s="4">
        <v>604.95399999999995</v>
      </c>
      <c r="I174" t="s">
        <v>9</v>
      </c>
    </row>
    <row r="175" spans="1:9" x14ac:dyDescent="0.3">
      <c r="A175">
        <v>8623259829</v>
      </c>
      <c r="B175">
        <v>3294</v>
      </c>
      <c r="C175" s="1">
        <v>1049.4680000000001</v>
      </c>
      <c r="D175" s="1">
        <v>71.98</v>
      </c>
      <c r="E175" s="1">
        <v>367.63499999999999</v>
      </c>
      <c r="F175">
        <v>2154.9059999999999</v>
      </c>
      <c r="G175" s="1">
        <v>1787.271</v>
      </c>
      <c r="H175" s="4">
        <v>1139.0940000000001</v>
      </c>
      <c r="I175" t="s">
        <v>9</v>
      </c>
    </row>
    <row r="176" spans="1:9" x14ac:dyDescent="0.3">
      <c r="A176">
        <v>8621921134</v>
      </c>
      <c r="B176">
        <v>3169</v>
      </c>
      <c r="C176" s="1">
        <v>785.27800000000002</v>
      </c>
      <c r="D176" s="1">
        <v>71.98</v>
      </c>
      <c r="E176" s="1">
        <v>353.68700000000001</v>
      </c>
      <c r="F176">
        <v>2294.7660000000001</v>
      </c>
      <c r="G176" s="1">
        <v>1941.0790000000002</v>
      </c>
      <c r="H176" s="4">
        <v>874.23399999999992</v>
      </c>
      <c r="I176" t="s">
        <v>9</v>
      </c>
    </row>
    <row r="177" spans="1:9" x14ac:dyDescent="0.3">
      <c r="A177">
        <v>8658000528</v>
      </c>
      <c r="B177">
        <v>2719</v>
      </c>
      <c r="C177" s="1">
        <v>673.76800000000003</v>
      </c>
      <c r="D177" s="1">
        <v>71.98</v>
      </c>
      <c r="E177" s="1">
        <v>303.45799999999997</v>
      </c>
      <c r="F177">
        <v>1958.6859999999999</v>
      </c>
      <c r="G177" s="1">
        <v>1655.2280000000001</v>
      </c>
      <c r="H177" s="4">
        <v>760.31400000000008</v>
      </c>
      <c r="I177" t="s">
        <v>9</v>
      </c>
    </row>
    <row r="178" spans="1:9" x14ac:dyDescent="0.3">
      <c r="A178">
        <v>8614145438</v>
      </c>
      <c r="B178">
        <v>1954</v>
      </c>
      <c r="C178" s="1">
        <v>438.08699999999999</v>
      </c>
      <c r="D178" s="1">
        <v>53.1</v>
      </c>
      <c r="E178" s="1">
        <v>218.08300000000003</v>
      </c>
      <c r="F178">
        <v>1452.345</v>
      </c>
      <c r="G178" s="1">
        <v>1234.2619999999999</v>
      </c>
      <c r="H178" s="4">
        <v>501.65499999999997</v>
      </c>
      <c r="I178" t="s">
        <v>9</v>
      </c>
    </row>
    <row r="179" spans="1:9" x14ac:dyDescent="0.3">
      <c r="A179">
        <v>8632124182</v>
      </c>
      <c r="B179">
        <v>2719</v>
      </c>
      <c r="C179" s="1">
        <v>673.76800000000003</v>
      </c>
      <c r="D179" s="1">
        <v>71.98</v>
      </c>
      <c r="E179" s="1">
        <v>303.45799999999997</v>
      </c>
      <c r="F179">
        <v>1958.6859999999999</v>
      </c>
      <c r="G179" s="1">
        <v>1655.2280000000001</v>
      </c>
      <c r="H179" s="4">
        <v>760.31400000000008</v>
      </c>
      <c r="I179" t="s">
        <v>9</v>
      </c>
    </row>
    <row r="180" spans="1:9" x14ac:dyDescent="0.3">
      <c r="A180">
        <v>8611739283</v>
      </c>
      <c r="B180">
        <v>2944</v>
      </c>
      <c r="C180" s="1">
        <v>729.52300000000002</v>
      </c>
      <c r="D180" s="1">
        <v>71.98</v>
      </c>
      <c r="E180" s="1">
        <v>328.57299999999998</v>
      </c>
      <c r="F180">
        <v>2126.7249999999999</v>
      </c>
      <c r="G180" s="1">
        <v>1798.152</v>
      </c>
      <c r="H180" s="4">
        <v>817.27500000000009</v>
      </c>
      <c r="I180" t="s">
        <v>9</v>
      </c>
    </row>
    <row r="181" spans="1:9" x14ac:dyDescent="0.3">
      <c r="A181">
        <v>8625453494</v>
      </c>
      <c r="B181">
        <v>2244</v>
      </c>
      <c r="C181" s="1">
        <v>476.62599999999998</v>
      </c>
      <c r="D181" s="1">
        <v>71.98</v>
      </c>
      <c r="E181" s="1">
        <v>250.44800000000001</v>
      </c>
      <c r="F181">
        <v>1683.3720000000001</v>
      </c>
      <c r="G181" s="1">
        <v>1432.924</v>
      </c>
      <c r="H181" s="4">
        <v>560.62799999999993</v>
      </c>
      <c r="I181" t="s">
        <v>9</v>
      </c>
    </row>
    <row r="182" spans="1:9" x14ac:dyDescent="0.3">
      <c r="A182">
        <v>8635172599</v>
      </c>
      <c r="B182">
        <v>500</v>
      </c>
      <c r="C182" s="1">
        <v>135.69999999999999</v>
      </c>
      <c r="D182" s="1">
        <v>31.86</v>
      </c>
      <c r="E182" s="1">
        <v>26.190999999999999</v>
      </c>
      <c r="F182">
        <v>329.58300000000003</v>
      </c>
      <c r="G182" s="1">
        <v>303.39200000000005</v>
      </c>
      <c r="H182" s="4">
        <v>170.41699999999997</v>
      </c>
      <c r="I182" t="s">
        <v>9</v>
      </c>
    </row>
    <row r="183" spans="1:9" x14ac:dyDescent="0.3">
      <c r="A183">
        <v>8662683431</v>
      </c>
      <c r="B183">
        <v>1229</v>
      </c>
      <c r="C183" s="1">
        <v>275.54199999999997</v>
      </c>
      <c r="D183" s="1">
        <v>53.1</v>
      </c>
      <c r="E183" s="1">
        <v>137.167</v>
      </c>
      <c r="F183">
        <v>893.774</v>
      </c>
      <c r="G183" s="1">
        <v>756.60699999999997</v>
      </c>
      <c r="H183" s="4">
        <v>335.226</v>
      </c>
      <c r="I183" t="s">
        <v>9</v>
      </c>
    </row>
    <row r="184" spans="1:9" x14ac:dyDescent="0.3">
      <c r="A184">
        <v>8620565102</v>
      </c>
      <c r="B184">
        <v>3169</v>
      </c>
      <c r="C184" s="1">
        <v>822.67200000000003</v>
      </c>
      <c r="D184" s="1">
        <v>71.98</v>
      </c>
      <c r="E184" s="1">
        <v>353.68700000000001</v>
      </c>
      <c r="F184">
        <v>2257.3719999999998</v>
      </c>
      <c r="G184" s="1">
        <v>1903.6849999999999</v>
      </c>
      <c r="H184" s="4">
        <v>911.62800000000016</v>
      </c>
      <c r="I184" t="s">
        <v>9</v>
      </c>
    </row>
    <row r="185" spans="1:9" x14ac:dyDescent="0.3">
      <c r="A185">
        <v>8632189754</v>
      </c>
      <c r="B185">
        <v>2089</v>
      </c>
      <c r="C185" s="1">
        <v>542.30399999999997</v>
      </c>
      <c r="D185" s="1">
        <v>71.98</v>
      </c>
      <c r="E185" s="1">
        <v>233.14599999999999</v>
      </c>
      <c r="F185">
        <v>1463.5250000000001</v>
      </c>
      <c r="G185" s="1">
        <v>1230.3790000000001</v>
      </c>
      <c r="H185" s="4">
        <v>625.47499999999991</v>
      </c>
      <c r="I185" t="s">
        <v>9</v>
      </c>
    </row>
    <row r="186" spans="1:9" x14ac:dyDescent="0.3">
      <c r="A186">
        <v>8626914564</v>
      </c>
      <c r="B186">
        <v>1629</v>
      </c>
      <c r="C186" s="1">
        <v>403.666</v>
      </c>
      <c r="D186" s="1">
        <v>53.1</v>
      </c>
      <c r="E186" s="1">
        <v>181.81199999999998</v>
      </c>
      <c r="F186">
        <v>1163.508</v>
      </c>
      <c r="G186" s="1">
        <v>981.69600000000003</v>
      </c>
      <c r="H186" s="4">
        <v>465.49199999999996</v>
      </c>
      <c r="I186" t="s">
        <v>9</v>
      </c>
    </row>
    <row r="187" spans="1:9" x14ac:dyDescent="0.3">
      <c r="A187">
        <v>8599574787</v>
      </c>
      <c r="B187">
        <v>1594.01</v>
      </c>
      <c r="C187" s="1">
        <v>394.99599999999998</v>
      </c>
      <c r="D187" s="1">
        <v>53.1</v>
      </c>
      <c r="E187" s="1">
        <v>177.90600000000001</v>
      </c>
      <c r="F187">
        <v>1137.375</v>
      </c>
      <c r="G187" s="1">
        <v>959.46900000000005</v>
      </c>
      <c r="H187" s="4">
        <v>456.63499999999999</v>
      </c>
      <c r="I187" t="s">
        <v>9</v>
      </c>
    </row>
    <row r="188" spans="1:9" x14ac:dyDescent="0.3">
      <c r="A188">
        <v>8616438555</v>
      </c>
      <c r="B188">
        <v>2794</v>
      </c>
      <c r="C188" s="1">
        <v>692.35299999999995</v>
      </c>
      <c r="D188" s="1">
        <v>71.98</v>
      </c>
      <c r="E188" s="1">
        <v>311.83300000000003</v>
      </c>
      <c r="F188">
        <v>2014.6990000000001</v>
      </c>
      <c r="G188" s="1">
        <v>1702.866</v>
      </c>
      <c r="H188" s="4">
        <v>779.30099999999993</v>
      </c>
      <c r="I188" t="s">
        <v>9</v>
      </c>
    </row>
    <row r="189" spans="1:9" x14ac:dyDescent="0.3">
      <c r="A189">
        <v>8612072167</v>
      </c>
      <c r="B189">
        <v>2426</v>
      </c>
      <c r="C189" s="1">
        <v>601.16300000000001</v>
      </c>
      <c r="D189" s="1">
        <v>71.98</v>
      </c>
      <c r="E189" s="1">
        <v>270.76</v>
      </c>
      <c r="F189">
        <v>1739.8610000000001</v>
      </c>
      <c r="G189" s="1">
        <v>1469.1010000000001</v>
      </c>
      <c r="H189" s="4">
        <v>686.1389999999999</v>
      </c>
      <c r="I189" t="s">
        <v>9</v>
      </c>
    </row>
    <row r="190" spans="1:9" x14ac:dyDescent="0.3">
      <c r="A190">
        <v>8646062383</v>
      </c>
      <c r="B190">
        <v>2156</v>
      </c>
      <c r="C190" s="1">
        <v>457.93400000000003</v>
      </c>
      <c r="D190" s="1">
        <v>71.98</v>
      </c>
      <c r="E190" s="1">
        <v>240.625</v>
      </c>
      <c r="F190">
        <v>1614.5360000000001</v>
      </c>
      <c r="G190" s="1">
        <v>1373.9110000000001</v>
      </c>
      <c r="H190" s="4">
        <v>541.46399999999994</v>
      </c>
      <c r="I190" t="s">
        <v>9</v>
      </c>
    </row>
    <row r="191" spans="1:9" x14ac:dyDescent="0.3">
      <c r="A191">
        <v>8615996505</v>
      </c>
      <c r="B191">
        <v>2606</v>
      </c>
      <c r="C191" s="1">
        <v>553.51400000000001</v>
      </c>
      <c r="D191" s="1">
        <v>71.98</v>
      </c>
      <c r="E191" s="1">
        <v>290.84399999999999</v>
      </c>
      <c r="F191">
        <v>1966.5450000000001</v>
      </c>
      <c r="G191" s="1">
        <v>1675.701</v>
      </c>
      <c r="H191" s="4">
        <v>639.45499999999993</v>
      </c>
      <c r="I191" t="s">
        <v>9</v>
      </c>
    </row>
    <row r="192" spans="1:9" x14ac:dyDescent="0.3">
      <c r="A192">
        <v>8650311281</v>
      </c>
      <c r="B192">
        <v>3644</v>
      </c>
      <c r="C192" s="1">
        <v>1160.9780000000001</v>
      </c>
      <c r="D192" s="1">
        <v>71.98</v>
      </c>
      <c r="E192" s="1">
        <v>406.69799999999998</v>
      </c>
      <c r="F192">
        <v>2391.52</v>
      </c>
      <c r="G192" s="1">
        <v>1984.8220000000001</v>
      </c>
      <c r="H192" s="4">
        <v>1252.48</v>
      </c>
      <c r="I192" t="s">
        <v>9</v>
      </c>
    </row>
    <row r="193" spans="1:9" x14ac:dyDescent="0.3">
      <c r="A193">
        <v>8614721402</v>
      </c>
      <c r="B193">
        <v>2294</v>
      </c>
      <c r="C193" s="1">
        <v>730.86800000000005</v>
      </c>
      <c r="D193" s="1">
        <v>71.98</v>
      </c>
      <c r="E193" s="1">
        <v>256.03100000000001</v>
      </c>
      <c r="F193">
        <v>1478.8630000000001</v>
      </c>
      <c r="G193" s="1">
        <v>1222.8320000000001</v>
      </c>
      <c r="H193" s="4">
        <v>815.13699999999994</v>
      </c>
      <c r="I193" t="s">
        <v>9</v>
      </c>
    </row>
    <row r="194" spans="1:9" x14ac:dyDescent="0.3">
      <c r="A194">
        <v>8627479783</v>
      </c>
      <c r="B194">
        <v>2494</v>
      </c>
      <c r="C194" s="1">
        <v>647.44200000000001</v>
      </c>
      <c r="D194" s="1">
        <v>71.98</v>
      </c>
      <c r="E194" s="1">
        <v>278.34399999999999</v>
      </c>
      <c r="F194">
        <v>1761.2170000000001</v>
      </c>
      <c r="G194" s="1">
        <v>1482.873</v>
      </c>
      <c r="H194" s="4">
        <v>732.7829999999999</v>
      </c>
      <c r="I194" t="s">
        <v>9</v>
      </c>
    </row>
    <row r="195" spans="1:9" x14ac:dyDescent="0.3">
      <c r="A195">
        <v>8654426480</v>
      </c>
      <c r="B195">
        <v>2594</v>
      </c>
      <c r="C195" s="1">
        <v>550.96600000000001</v>
      </c>
      <c r="D195" s="1">
        <v>71.98</v>
      </c>
      <c r="E195" s="1">
        <v>289.51</v>
      </c>
      <c r="F195">
        <v>1957.1579999999999</v>
      </c>
      <c r="G195" s="1">
        <v>1667.6479999999999</v>
      </c>
      <c r="H195" s="4">
        <v>636.8420000000001</v>
      </c>
      <c r="I195" t="s">
        <v>9</v>
      </c>
    </row>
    <row r="196" spans="1:9" x14ac:dyDescent="0.3">
      <c r="A196">
        <v>8625377329</v>
      </c>
      <c r="B196">
        <v>1999</v>
      </c>
      <c r="C196" s="1">
        <v>448.17599999999999</v>
      </c>
      <c r="D196" s="1">
        <v>53.1</v>
      </c>
      <c r="E196" s="1">
        <v>223.10400000000001</v>
      </c>
      <c r="F196">
        <v>1487.0150000000001</v>
      </c>
      <c r="G196" s="1">
        <v>1263.9110000000001</v>
      </c>
      <c r="H196" s="4">
        <v>511.9849999999999</v>
      </c>
      <c r="I196" t="s">
        <v>9</v>
      </c>
    </row>
    <row r="197" spans="1:9" x14ac:dyDescent="0.3">
      <c r="A197">
        <v>8655175667</v>
      </c>
      <c r="B197">
        <v>3294</v>
      </c>
      <c r="C197" s="1">
        <v>1049.4680000000001</v>
      </c>
      <c r="D197" s="1">
        <v>71.98</v>
      </c>
      <c r="E197" s="1">
        <v>367.63499999999999</v>
      </c>
      <c r="F197">
        <v>2154.9059999999999</v>
      </c>
      <c r="G197" s="1">
        <v>1787.271</v>
      </c>
      <c r="H197" s="4">
        <v>1139.0940000000001</v>
      </c>
      <c r="I197" t="s">
        <v>9</v>
      </c>
    </row>
    <row r="198" spans="1:9" x14ac:dyDescent="0.3">
      <c r="A198">
        <v>8613337698</v>
      </c>
      <c r="B198">
        <v>3544</v>
      </c>
      <c r="C198" s="1">
        <v>920.02200000000005</v>
      </c>
      <c r="D198" s="1">
        <v>71.98</v>
      </c>
      <c r="E198" s="1">
        <v>395.53100000000001</v>
      </c>
      <c r="F198">
        <v>2533.0129999999999</v>
      </c>
      <c r="G198" s="1">
        <v>2137.482</v>
      </c>
      <c r="H198" s="4">
        <v>1010.9870000000001</v>
      </c>
      <c r="I198" t="s">
        <v>9</v>
      </c>
    </row>
    <row r="199" spans="1:9" x14ac:dyDescent="0.3">
      <c r="A199">
        <v>8613337694</v>
      </c>
      <c r="B199">
        <v>3544</v>
      </c>
      <c r="C199" s="1">
        <v>920.02200000000005</v>
      </c>
      <c r="D199" s="1">
        <v>71.98</v>
      </c>
      <c r="E199" s="1">
        <v>395.53100000000001</v>
      </c>
      <c r="F199">
        <v>2533.0129999999999</v>
      </c>
      <c r="G199" s="1">
        <v>2137.482</v>
      </c>
      <c r="H199" s="4">
        <v>1010.9870000000001</v>
      </c>
      <c r="I199" t="s">
        <v>9</v>
      </c>
    </row>
    <row r="200" spans="1:9" x14ac:dyDescent="0.3">
      <c r="A200">
        <v>8628968104</v>
      </c>
      <c r="B200">
        <v>2620</v>
      </c>
      <c r="C200" s="1">
        <v>649.23599999999999</v>
      </c>
      <c r="D200" s="1">
        <v>71.98</v>
      </c>
      <c r="E200" s="1">
        <v>292.40600000000001</v>
      </c>
      <c r="F200">
        <v>1884.749</v>
      </c>
      <c r="G200" s="1">
        <v>1592.3430000000001</v>
      </c>
      <c r="H200" s="4">
        <v>735.25099999999998</v>
      </c>
      <c r="I200" t="s">
        <v>9</v>
      </c>
    </row>
    <row r="201" spans="1:9" x14ac:dyDescent="0.3">
      <c r="A201">
        <v>8631478326</v>
      </c>
      <c r="B201">
        <v>150</v>
      </c>
      <c r="C201" s="1">
        <v>17.7</v>
      </c>
      <c r="D201" s="1">
        <v>31.86</v>
      </c>
      <c r="E201" s="1">
        <v>7.8539999999999992</v>
      </c>
      <c r="F201">
        <v>99.582999999999998</v>
      </c>
      <c r="G201" s="1">
        <v>91.728999999999999</v>
      </c>
      <c r="H201" s="4">
        <v>50.417000000000002</v>
      </c>
      <c r="I201" t="s">
        <v>9</v>
      </c>
    </row>
    <row r="202" spans="1:9" x14ac:dyDescent="0.3">
      <c r="A202">
        <v>8645072481</v>
      </c>
      <c r="B202">
        <v>2629</v>
      </c>
      <c r="C202" s="1">
        <v>651.46600000000001</v>
      </c>
      <c r="D202" s="1">
        <v>71.98</v>
      </c>
      <c r="E202" s="1">
        <v>293.41700000000003</v>
      </c>
      <c r="F202">
        <v>1891.47</v>
      </c>
      <c r="G202" s="1">
        <v>1598.0529999999999</v>
      </c>
      <c r="H202" s="4">
        <v>737.53</v>
      </c>
      <c r="I202" t="s">
        <v>9</v>
      </c>
    </row>
    <row r="203" spans="1:9" x14ac:dyDescent="0.3">
      <c r="A203">
        <v>8626971554</v>
      </c>
      <c r="B203">
        <v>2419</v>
      </c>
      <c r="C203" s="1">
        <v>599.428</v>
      </c>
      <c r="D203" s="1">
        <v>71.98</v>
      </c>
      <c r="E203" s="1">
        <v>269.97899999999998</v>
      </c>
      <c r="F203">
        <v>1734.633</v>
      </c>
      <c r="G203" s="1">
        <v>1464.654</v>
      </c>
      <c r="H203" s="4">
        <v>684.36699999999996</v>
      </c>
      <c r="I203" t="s">
        <v>9</v>
      </c>
    </row>
    <row r="204" spans="1:9" x14ac:dyDescent="0.3">
      <c r="A204">
        <v>8640796782</v>
      </c>
      <c r="B204">
        <v>1516</v>
      </c>
      <c r="C204" s="1">
        <v>393.55399999999997</v>
      </c>
      <c r="D204" s="1">
        <v>53.1</v>
      </c>
      <c r="E204" s="1">
        <v>169.19800000000001</v>
      </c>
      <c r="F204">
        <v>1061.2239999999999</v>
      </c>
      <c r="G204" s="1">
        <v>892.02599999999995</v>
      </c>
      <c r="H204" s="4">
        <v>454.77600000000007</v>
      </c>
      <c r="I204" t="s">
        <v>9</v>
      </c>
    </row>
    <row r="205" spans="1:9" x14ac:dyDescent="0.3">
      <c r="A205">
        <v>8636543222</v>
      </c>
      <c r="B205">
        <v>2794</v>
      </c>
      <c r="C205" s="1">
        <v>692.35299999999995</v>
      </c>
      <c r="D205" s="1">
        <v>71.98</v>
      </c>
      <c r="E205" s="1">
        <v>311.83300000000003</v>
      </c>
      <c r="F205">
        <v>2014.6990000000001</v>
      </c>
      <c r="G205" s="1">
        <v>1702.866</v>
      </c>
      <c r="H205" s="4">
        <v>779.30099999999993</v>
      </c>
      <c r="I205" t="s">
        <v>9</v>
      </c>
    </row>
    <row r="206" spans="1:9" x14ac:dyDescent="0.3">
      <c r="A206">
        <v>8612799933</v>
      </c>
      <c r="B206">
        <v>3644</v>
      </c>
      <c r="C206" s="1">
        <v>945.98199999999997</v>
      </c>
      <c r="D206" s="1">
        <v>71.98</v>
      </c>
      <c r="E206" s="1">
        <v>406.69799999999998</v>
      </c>
      <c r="F206">
        <v>2606.5160000000001</v>
      </c>
      <c r="G206" s="1">
        <v>2199.8180000000002</v>
      </c>
      <c r="H206" s="4">
        <v>1037.4839999999999</v>
      </c>
      <c r="I206" t="s">
        <v>9</v>
      </c>
    </row>
    <row r="207" spans="1:9" x14ac:dyDescent="0.3">
      <c r="A207">
        <v>8635882444</v>
      </c>
      <c r="B207">
        <v>2419</v>
      </c>
      <c r="C207" s="1">
        <v>513.79600000000005</v>
      </c>
      <c r="D207" s="1">
        <v>71.98</v>
      </c>
      <c r="E207" s="1">
        <v>269.97899999999998</v>
      </c>
      <c r="F207">
        <v>1820.2650000000001</v>
      </c>
      <c r="G207" s="1">
        <v>1550.2860000000001</v>
      </c>
      <c r="H207" s="4">
        <v>598.7349999999999</v>
      </c>
      <c r="I207" t="s">
        <v>9</v>
      </c>
    </row>
    <row r="208" spans="1:9" x14ac:dyDescent="0.3">
      <c r="A208">
        <v>8653424812</v>
      </c>
      <c r="B208">
        <v>2394</v>
      </c>
      <c r="C208" s="1">
        <v>621.48199999999997</v>
      </c>
      <c r="D208" s="1">
        <v>71.98</v>
      </c>
      <c r="E208" s="1">
        <v>267.18799999999999</v>
      </c>
      <c r="F208">
        <v>1687.713</v>
      </c>
      <c r="G208" s="1">
        <v>1420.5250000000001</v>
      </c>
      <c r="H208" s="4">
        <v>706.28700000000003</v>
      </c>
      <c r="I208" t="s">
        <v>9</v>
      </c>
    </row>
    <row r="209" spans="1:9" x14ac:dyDescent="0.3">
      <c r="A209">
        <v>8642433391</v>
      </c>
      <c r="B209">
        <v>2044</v>
      </c>
      <c r="C209" s="1">
        <v>506.50299999999999</v>
      </c>
      <c r="D209" s="1">
        <v>71.98</v>
      </c>
      <c r="E209" s="1">
        <v>228.125</v>
      </c>
      <c r="F209">
        <v>1454.567</v>
      </c>
      <c r="G209" s="1">
        <v>1226.442</v>
      </c>
      <c r="H209" s="4">
        <v>589.43299999999999</v>
      </c>
      <c r="I209" t="s">
        <v>9</v>
      </c>
    </row>
    <row r="210" spans="1:9" x14ac:dyDescent="0.3">
      <c r="A210">
        <v>8630957553</v>
      </c>
      <c r="B210">
        <v>2294</v>
      </c>
      <c r="C210" s="1">
        <v>703.79899999999998</v>
      </c>
      <c r="D210" s="1">
        <v>71.98</v>
      </c>
      <c r="E210" s="1">
        <v>256.02100000000002</v>
      </c>
      <c r="F210">
        <v>1505.932</v>
      </c>
      <c r="G210" s="1">
        <v>1249.9110000000001</v>
      </c>
      <c r="H210" s="4">
        <v>788.06799999999998</v>
      </c>
      <c r="I210" t="s">
        <v>9</v>
      </c>
    </row>
    <row r="211" spans="1:9" x14ac:dyDescent="0.3">
      <c r="A211">
        <v>8658158921</v>
      </c>
      <c r="B211">
        <v>1629</v>
      </c>
      <c r="C211" s="1">
        <v>422.88799999999998</v>
      </c>
      <c r="D211" s="1">
        <v>53.1</v>
      </c>
      <c r="E211" s="1">
        <v>181.81199999999998</v>
      </c>
      <c r="F211">
        <v>1144.2860000000001</v>
      </c>
      <c r="G211" s="1">
        <v>962.47400000000005</v>
      </c>
      <c r="H211" s="4">
        <v>484.71399999999994</v>
      </c>
      <c r="I211" t="s">
        <v>9</v>
      </c>
    </row>
    <row r="212" spans="1:9" x14ac:dyDescent="0.3">
      <c r="A212">
        <v>8654592035</v>
      </c>
      <c r="B212">
        <v>2994</v>
      </c>
      <c r="C212" s="1">
        <v>741.91300000000001</v>
      </c>
      <c r="D212" s="1">
        <v>71.98</v>
      </c>
      <c r="E212" s="1">
        <v>334.15600000000001</v>
      </c>
      <c r="F212">
        <v>2164.0680000000002</v>
      </c>
      <c r="G212" s="1">
        <v>1829.9120000000003</v>
      </c>
      <c r="H212" s="4">
        <v>829.93199999999979</v>
      </c>
      <c r="I212" t="s">
        <v>9</v>
      </c>
    </row>
    <row r="213" spans="1:9" x14ac:dyDescent="0.3">
      <c r="A213">
        <v>8615448972</v>
      </c>
      <c r="B213">
        <v>461</v>
      </c>
      <c r="C213" s="1">
        <v>114.236</v>
      </c>
      <c r="D213" s="1">
        <v>31.86</v>
      </c>
      <c r="E213" s="1">
        <v>24.155000000000001</v>
      </c>
      <c r="F213">
        <v>312.27</v>
      </c>
      <c r="G213" s="1">
        <v>288.11500000000001</v>
      </c>
      <c r="H213" s="4">
        <v>148.73000000000002</v>
      </c>
      <c r="I213" t="s">
        <v>9</v>
      </c>
    </row>
    <row r="214" spans="1:9" x14ac:dyDescent="0.3">
      <c r="A214">
        <v>8619059124</v>
      </c>
      <c r="B214">
        <v>2944</v>
      </c>
      <c r="C214" s="1">
        <v>625.30600000000004</v>
      </c>
      <c r="D214" s="1">
        <v>71.98</v>
      </c>
      <c r="E214" s="1">
        <v>328.57299999999998</v>
      </c>
      <c r="F214">
        <v>2230.942</v>
      </c>
      <c r="G214" s="1">
        <v>1902.3690000000001</v>
      </c>
      <c r="H214" s="4">
        <v>713.05799999999999</v>
      </c>
      <c r="I214" t="s">
        <v>9</v>
      </c>
    </row>
    <row r="215" spans="1:9" x14ac:dyDescent="0.3">
      <c r="A215">
        <v>8619663048</v>
      </c>
      <c r="B215">
        <v>1794</v>
      </c>
      <c r="C215" s="1">
        <v>465.72199999999998</v>
      </c>
      <c r="D215" s="1">
        <v>53.1</v>
      </c>
      <c r="E215" s="1">
        <v>200.21899999999999</v>
      </c>
      <c r="F215">
        <v>1265.567</v>
      </c>
      <c r="G215" s="1">
        <v>1065.348</v>
      </c>
      <c r="H215" s="4">
        <v>528.43299999999999</v>
      </c>
      <c r="I215" t="s">
        <v>9</v>
      </c>
    </row>
    <row r="216" spans="1:9" x14ac:dyDescent="0.3">
      <c r="A216">
        <v>8594122312</v>
      </c>
      <c r="B216">
        <v>2419</v>
      </c>
      <c r="C216" s="1">
        <v>513.79600000000005</v>
      </c>
      <c r="D216" s="1">
        <v>71.98</v>
      </c>
      <c r="E216" s="1">
        <v>269.97899999999998</v>
      </c>
      <c r="F216">
        <v>1820.2650000000001</v>
      </c>
      <c r="G216" s="1">
        <v>1550.2860000000001</v>
      </c>
      <c r="H216" s="4">
        <v>598.7349999999999</v>
      </c>
      <c r="I216" t="s">
        <v>9</v>
      </c>
    </row>
    <row r="217" spans="1:9" x14ac:dyDescent="0.3">
      <c r="A217">
        <v>8612178217</v>
      </c>
      <c r="B217">
        <v>1629</v>
      </c>
      <c r="C217" s="1">
        <v>422.88799999999998</v>
      </c>
      <c r="D217" s="1">
        <v>53.1</v>
      </c>
      <c r="E217" s="1">
        <v>181.81299999999999</v>
      </c>
      <c r="F217">
        <v>1144.2840000000001</v>
      </c>
      <c r="G217" s="1">
        <v>962.47100000000012</v>
      </c>
      <c r="H217" s="4">
        <v>484.71599999999989</v>
      </c>
      <c r="I217" t="s">
        <v>9</v>
      </c>
    </row>
    <row r="218" spans="1:9" x14ac:dyDescent="0.3">
      <c r="A218">
        <v>8614694734</v>
      </c>
      <c r="B218">
        <v>2719</v>
      </c>
      <c r="C218" s="1">
        <v>673.76800000000003</v>
      </c>
      <c r="D218" s="1">
        <v>71.98</v>
      </c>
      <c r="E218" s="1">
        <v>303.45799999999997</v>
      </c>
      <c r="F218">
        <v>1958.6859999999999</v>
      </c>
      <c r="G218" s="1">
        <v>1655.2280000000001</v>
      </c>
      <c r="H218" s="4">
        <v>760.31400000000008</v>
      </c>
      <c r="I218" t="s">
        <v>9</v>
      </c>
    </row>
    <row r="219" spans="1:9" x14ac:dyDescent="0.3">
      <c r="A219">
        <v>8635410358</v>
      </c>
      <c r="B219">
        <v>3194</v>
      </c>
      <c r="C219" s="1">
        <v>791.47299999999996</v>
      </c>
      <c r="D219" s="1">
        <v>71.98</v>
      </c>
      <c r="E219" s="1">
        <v>356.47900000000004</v>
      </c>
      <c r="F219">
        <v>2313.4360000000001</v>
      </c>
      <c r="G219" s="1">
        <v>1956.9570000000001</v>
      </c>
      <c r="H219" s="4">
        <v>880.56399999999985</v>
      </c>
      <c r="I219" t="s">
        <v>9</v>
      </c>
    </row>
    <row r="220" spans="1:9" x14ac:dyDescent="0.3">
      <c r="A220">
        <v>8612950081</v>
      </c>
      <c r="B220">
        <v>1204</v>
      </c>
      <c r="C220" s="1">
        <v>298.351</v>
      </c>
      <c r="D220" s="1">
        <v>53.1</v>
      </c>
      <c r="E220" s="1">
        <v>134.375</v>
      </c>
      <c r="F220">
        <v>846.09900000000005</v>
      </c>
      <c r="G220" s="1">
        <v>711.72400000000005</v>
      </c>
      <c r="H220" s="4">
        <v>357.90099999999995</v>
      </c>
      <c r="I220" t="s">
        <v>9</v>
      </c>
    </row>
    <row r="221" spans="1:9" x14ac:dyDescent="0.3">
      <c r="A221">
        <v>8593854887</v>
      </c>
      <c r="B221">
        <v>1066</v>
      </c>
      <c r="C221" s="1">
        <v>264.15499999999997</v>
      </c>
      <c r="D221" s="1">
        <v>53.1</v>
      </c>
      <c r="E221" s="1">
        <v>118.96899999999999</v>
      </c>
      <c r="F221">
        <v>743.03399999999999</v>
      </c>
      <c r="G221" s="1">
        <v>624.06500000000005</v>
      </c>
      <c r="H221" s="4">
        <v>322.96600000000001</v>
      </c>
      <c r="I221" t="s">
        <v>9</v>
      </c>
    </row>
    <row r="222" spans="1:9" x14ac:dyDescent="0.3">
      <c r="A222">
        <v>8634183880</v>
      </c>
      <c r="B222">
        <v>2244</v>
      </c>
      <c r="C222" s="1">
        <v>476.62599999999998</v>
      </c>
      <c r="D222" s="1">
        <v>71.98</v>
      </c>
      <c r="E222" s="1">
        <v>250.44800000000001</v>
      </c>
      <c r="F222">
        <v>1683.3720000000001</v>
      </c>
      <c r="G222" s="1">
        <v>1432.924</v>
      </c>
      <c r="H222" s="4">
        <v>560.62799999999993</v>
      </c>
      <c r="I222" t="s">
        <v>9</v>
      </c>
    </row>
    <row r="223" spans="1:9" x14ac:dyDescent="0.3">
      <c r="A223">
        <v>8654954892</v>
      </c>
      <c r="B223">
        <v>1794</v>
      </c>
      <c r="C223" s="1">
        <v>444.553</v>
      </c>
      <c r="D223" s="1">
        <v>53.1</v>
      </c>
      <c r="E223" s="1">
        <v>200.21899999999999</v>
      </c>
      <c r="F223">
        <v>1286.7360000000001</v>
      </c>
      <c r="G223" s="1">
        <v>1086.5170000000001</v>
      </c>
      <c r="H223" s="4">
        <v>507.2639999999999</v>
      </c>
      <c r="I223" t="s">
        <v>9</v>
      </c>
    </row>
    <row r="224" spans="1:9" x14ac:dyDescent="0.3">
      <c r="A224">
        <v>8635504663</v>
      </c>
      <c r="B224">
        <v>2719</v>
      </c>
      <c r="C224" s="1">
        <v>673.76800000000003</v>
      </c>
      <c r="D224" s="1">
        <v>71.98</v>
      </c>
      <c r="E224" s="1">
        <v>303.45799999999997</v>
      </c>
      <c r="F224">
        <v>1958.6859999999999</v>
      </c>
      <c r="G224" s="1">
        <v>1655.2280000000001</v>
      </c>
      <c r="H224" s="4">
        <v>760.31400000000008</v>
      </c>
      <c r="I224" t="s">
        <v>9</v>
      </c>
    </row>
    <row r="225" spans="1:9" x14ac:dyDescent="0.3">
      <c r="A225">
        <v>8662412310</v>
      </c>
      <c r="B225">
        <v>2644</v>
      </c>
      <c r="C225" s="1">
        <v>561.58600000000001</v>
      </c>
      <c r="D225" s="1">
        <v>71.98</v>
      </c>
      <c r="E225" s="1">
        <v>295.08399999999995</v>
      </c>
      <c r="F225">
        <v>1996.269</v>
      </c>
      <c r="G225" s="1">
        <v>1701.1849999999999</v>
      </c>
      <c r="H225" s="4">
        <v>647.73099999999999</v>
      </c>
      <c r="I225" t="s">
        <v>9</v>
      </c>
    </row>
    <row r="226" spans="1:9" x14ac:dyDescent="0.3">
      <c r="A226">
        <v>8614542450</v>
      </c>
      <c r="B226">
        <v>2224</v>
      </c>
      <c r="C226" s="1">
        <v>708.56600000000003</v>
      </c>
      <c r="D226" s="1">
        <v>71.98</v>
      </c>
      <c r="E226" s="1">
        <v>248.21899999999999</v>
      </c>
      <c r="F226">
        <v>1431.539</v>
      </c>
      <c r="G226" s="1">
        <v>1183.32</v>
      </c>
      <c r="H226" s="4">
        <v>792.46100000000001</v>
      </c>
      <c r="I226" t="s">
        <v>9</v>
      </c>
    </row>
    <row r="227" spans="1:9" x14ac:dyDescent="0.3">
      <c r="A227">
        <v>8637164643</v>
      </c>
      <c r="B227">
        <v>3543.99</v>
      </c>
      <c r="C227" s="1">
        <v>920.02</v>
      </c>
      <c r="D227" s="1">
        <v>71.98</v>
      </c>
      <c r="E227" s="1">
        <v>395.53199999999998</v>
      </c>
      <c r="F227">
        <v>2533.0030000000002</v>
      </c>
      <c r="G227" s="1">
        <v>2137.471</v>
      </c>
      <c r="H227" s="4">
        <v>1010.9869999999996</v>
      </c>
      <c r="I227" t="s">
        <v>9</v>
      </c>
    </row>
    <row r="228" spans="1:9" x14ac:dyDescent="0.3">
      <c r="A228">
        <v>8662691485</v>
      </c>
      <c r="B228">
        <v>1538.99</v>
      </c>
      <c r="C228" s="1">
        <v>417.68200000000002</v>
      </c>
      <c r="D228" s="1">
        <v>53.1</v>
      </c>
      <c r="E228" s="1">
        <v>171.76</v>
      </c>
      <c r="F228">
        <v>1059.9570000000001</v>
      </c>
      <c r="G228" s="1">
        <v>888.19700000000012</v>
      </c>
      <c r="H228" s="5">
        <v>479.0329999999999</v>
      </c>
      <c r="I228" t="s">
        <v>10</v>
      </c>
    </row>
    <row r="229" spans="1:9" x14ac:dyDescent="0.3">
      <c r="A229">
        <v>8695472254</v>
      </c>
      <c r="B229">
        <v>3329</v>
      </c>
      <c r="C229" s="1">
        <v>707.08</v>
      </c>
      <c r="D229" s="1">
        <v>71.98</v>
      </c>
      <c r="E229" s="1">
        <v>521.91600000000005</v>
      </c>
      <c r="F229">
        <v>2533.0129999999999</v>
      </c>
      <c r="G229" s="1">
        <v>2011.0969999999998</v>
      </c>
      <c r="H229" s="5">
        <v>795.98700000000008</v>
      </c>
      <c r="I229" t="s">
        <v>10</v>
      </c>
    </row>
    <row r="230" spans="1:9" x14ac:dyDescent="0.3">
      <c r="A230">
        <v>8677721405</v>
      </c>
      <c r="B230">
        <v>3451</v>
      </c>
      <c r="C230" s="1">
        <v>1099.4880000000001</v>
      </c>
      <c r="D230" s="1">
        <v>71.98</v>
      </c>
      <c r="E230" s="1">
        <v>385.15699999999998</v>
      </c>
      <c r="F230">
        <v>2261.0430000000001</v>
      </c>
      <c r="G230" s="1">
        <v>1875.8860000000002</v>
      </c>
      <c r="H230" s="5">
        <v>1189.9569999999999</v>
      </c>
      <c r="I230" t="s">
        <v>10</v>
      </c>
    </row>
    <row r="231" spans="1:9" x14ac:dyDescent="0.3">
      <c r="A231">
        <v>8673430085</v>
      </c>
      <c r="B231">
        <v>3214</v>
      </c>
      <c r="C231" s="1">
        <v>796.42899999999997</v>
      </c>
      <c r="D231" s="1">
        <v>71.98</v>
      </c>
      <c r="E231" s="1">
        <v>358.70800000000003</v>
      </c>
      <c r="F231">
        <v>2328.373</v>
      </c>
      <c r="G231" s="1">
        <v>1969.665</v>
      </c>
      <c r="H231" s="5">
        <v>885.62699999999995</v>
      </c>
      <c r="I231" t="s">
        <v>10</v>
      </c>
    </row>
    <row r="232" spans="1:9" x14ac:dyDescent="0.3">
      <c r="A232">
        <v>8682570667</v>
      </c>
      <c r="B232">
        <v>3629</v>
      </c>
      <c r="C232" s="1">
        <v>1156.1990000000001</v>
      </c>
      <c r="D232" s="1">
        <v>71.98</v>
      </c>
      <c r="E232" s="1">
        <v>405.02100000000002</v>
      </c>
      <c r="F232">
        <v>2381.38</v>
      </c>
      <c r="G232" s="1">
        <v>1976.3590000000002</v>
      </c>
      <c r="H232" s="5">
        <v>1247.6199999999999</v>
      </c>
      <c r="I232" t="s">
        <v>10</v>
      </c>
    </row>
    <row r="233" spans="1:9" x14ac:dyDescent="0.3">
      <c r="A233">
        <v>8698417103</v>
      </c>
      <c r="B233">
        <v>2146</v>
      </c>
      <c r="C233" s="1">
        <v>455.81</v>
      </c>
      <c r="D233" s="1">
        <v>71.98</v>
      </c>
      <c r="E233" s="1">
        <v>112.40899999999999</v>
      </c>
      <c r="F233">
        <v>1605.9469999999999</v>
      </c>
      <c r="G233" s="1">
        <v>1493.538</v>
      </c>
      <c r="H233" s="5">
        <v>540.05300000000011</v>
      </c>
      <c r="I233" t="s">
        <v>10</v>
      </c>
    </row>
    <row r="234" spans="1:9" x14ac:dyDescent="0.3">
      <c r="A234">
        <v>8690835103</v>
      </c>
      <c r="B234">
        <v>2419</v>
      </c>
      <c r="C234" s="1">
        <v>513.79600000000005</v>
      </c>
      <c r="D234" s="1">
        <v>71.98</v>
      </c>
      <c r="E234" s="1">
        <v>126.709</v>
      </c>
      <c r="F234">
        <v>1819.4010000000001</v>
      </c>
      <c r="G234" s="1">
        <v>1692.692</v>
      </c>
      <c r="H234" s="5">
        <v>599.59899999999993</v>
      </c>
      <c r="I234" t="s">
        <v>10</v>
      </c>
    </row>
    <row r="235" spans="1:9" x14ac:dyDescent="0.3">
      <c r="A235">
        <v>8693762991</v>
      </c>
      <c r="B235">
        <v>4219</v>
      </c>
      <c r="C235" s="1">
        <v>1045.4680000000001</v>
      </c>
      <c r="D235" s="1">
        <v>71.98</v>
      </c>
      <c r="E235" s="1">
        <v>661.45699999999999</v>
      </c>
      <c r="F235">
        <v>3080.1</v>
      </c>
      <c r="G235" s="1">
        <v>2418.643</v>
      </c>
      <c r="H235" s="5">
        <v>1138.9000000000001</v>
      </c>
      <c r="I235" t="s">
        <v>10</v>
      </c>
    </row>
    <row r="236" spans="1:9" x14ac:dyDescent="0.3">
      <c r="A236">
        <v>8700661740</v>
      </c>
      <c r="B236">
        <v>1940</v>
      </c>
      <c r="C236" s="1">
        <v>434.94799999999998</v>
      </c>
      <c r="D236" s="1">
        <v>53.1</v>
      </c>
      <c r="E236" s="1">
        <v>101.61799999999999</v>
      </c>
      <c r="F236">
        <v>1440.866</v>
      </c>
      <c r="G236" s="1">
        <v>1339.248</v>
      </c>
      <c r="H236" s="5">
        <v>499.13400000000001</v>
      </c>
      <c r="I236" t="s">
        <v>10</v>
      </c>
    </row>
    <row r="237" spans="1:9" x14ac:dyDescent="0.3">
      <c r="A237">
        <v>8680316333</v>
      </c>
      <c r="B237">
        <v>2994</v>
      </c>
      <c r="C237" s="1">
        <v>741.91300000000001</v>
      </c>
      <c r="D237" s="1">
        <v>71.98</v>
      </c>
      <c r="E237" s="1">
        <v>334.15600000000001</v>
      </c>
      <c r="F237">
        <v>2164.0680000000002</v>
      </c>
      <c r="G237" s="1">
        <v>1829.9120000000003</v>
      </c>
      <c r="H237" s="5">
        <v>829.93199999999979</v>
      </c>
      <c r="I237" t="s">
        <v>10</v>
      </c>
    </row>
    <row r="238" spans="1:9" x14ac:dyDescent="0.3">
      <c r="A238">
        <v>8700291971</v>
      </c>
      <c r="B238">
        <v>1128.99</v>
      </c>
      <c r="C238" s="1">
        <v>279.76400000000001</v>
      </c>
      <c r="D238" s="1">
        <v>53.1</v>
      </c>
      <c r="E238" s="1">
        <v>59.137</v>
      </c>
      <c r="F238">
        <v>789.673</v>
      </c>
      <c r="G238" s="1">
        <v>730.53600000000006</v>
      </c>
      <c r="H238" s="5">
        <v>339.31700000000001</v>
      </c>
      <c r="I238" t="s">
        <v>10</v>
      </c>
    </row>
    <row r="239" spans="1:9" x14ac:dyDescent="0.3">
      <c r="A239">
        <v>8668586101</v>
      </c>
      <c r="B239">
        <v>3356</v>
      </c>
      <c r="C239" s="1">
        <v>871.21799999999996</v>
      </c>
      <c r="D239" s="1">
        <v>71.98</v>
      </c>
      <c r="E239" s="1">
        <v>374.55200000000002</v>
      </c>
      <c r="F239">
        <v>2394.8240000000001</v>
      </c>
      <c r="G239" s="1">
        <v>2020.2719999999999</v>
      </c>
      <c r="H239" s="5">
        <v>961.17599999999993</v>
      </c>
      <c r="I239" t="s">
        <v>10</v>
      </c>
    </row>
    <row r="240" spans="1:9" x14ac:dyDescent="0.3">
      <c r="A240">
        <v>8674645012</v>
      </c>
      <c r="B240">
        <v>3469</v>
      </c>
      <c r="C240" s="1">
        <v>1105.223</v>
      </c>
      <c r="D240" s="1">
        <v>71.98</v>
      </c>
      <c r="E240" s="1">
        <v>387.16700000000003</v>
      </c>
      <c r="F240">
        <v>2273.2130000000002</v>
      </c>
      <c r="G240" s="1">
        <v>1886.0460000000003</v>
      </c>
      <c r="H240" s="5">
        <v>1195.7869999999998</v>
      </c>
      <c r="I240" t="s">
        <v>10</v>
      </c>
    </row>
    <row r="241" spans="1:9" x14ac:dyDescent="0.3">
      <c r="A241">
        <v>8686235629</v>
      </c>
      <c r="B241">
        <v>4219</v>
      </c>
      <c r="C241" s="1">
        <v>1045.4680000000001</v>
      </c>
      <c r="D241" s="1">
        <v>71.98</v>
      </c>
      <c r="E241" s="1">
        <v>470.875</v>
      </c>
      <c r="F241">
        <v>3078.95</v>
      </c>
      <c r="G241" s="1">
        <v>2608.0749999999998</v>
      </c>
      <c r="H241" s="5">
        <v>1140.0500000000002</v>
      </c>
      <c r="I241" t="s">
        <v>10</v>
      </c>
    </row>
    <row r="242" spans="1:9" x14ac:dyDescent="0.3">
      <c r="A242">
        <v>8676318892</v>
      </c>
      <c r="B242">
        <v>2594</v>
      </c>
      <c r="C242" s="1">
        <v>642.79300000000001</v>
      </c>
      <c r="D242" s="1">
        <v>71.98</v>
      </c>
      <c r="E242" s="1">
        <v>289.51</v>
      </c>
      <c r="F242">
        <v>1865.3309999999999</v>
      </c>
      <c r="G242" s="1">
        <v>1575.8209999999999</v>
      </c>
      <c r="H242" s="5">
        <v>728.6690000000001</v>
      </c>
      <c r="I242" t="s">
        <v>10</v>
      </c>
    </row>
    <row r="243" spans="1:9" x14ac:dyDescent="0.3">
      <c r="A243">
        <v>8682082418</v>
      </c>
      <c r="B243">
        <v>1694</v>
      </c>
      <c r="C243" s="1">
        <v>499.73</v>
      </c>
      <c r="D243" s="1">
        <v>53.1</v>
      </c>
      <c r="E243" s="1">
        <v>189.06200000000001</v>
      </c>
      <c r="F243">
        <v>1132.096</v>
      </c>
      <c r="G243" s="1">
        <v>943.03399999999999</v>
      </c>
      <c r="H243" s="5">
        <v>561.904</v>
      </c>
      <c r="I243" t="s">
        <v>10</v>
      </c>
    </row>
    <row r="244" spans="1:9" x14ac:dyDescent="0.3">
      <c r="A244">
        <v>8700034488</v>
      </c>
      <c r="B244">
        <v>3143</v>
      </c>
      <c r="C244" s="1">
        <v>667.57299999999998</v>
      </c>
      <c r="D244" s="1">
        <v>71.98</v>
      </c>
      <c r="E244" s="1">
        <v>492.75799999999998</v>
      </c>
      <c r="F244">
        <v>2387.4650000000001</v>
      </c>
      <c r="G244" s="1">
        <v>1894.7070000000001</v>
      </c>
      <c r="H244" s="5">
        <v>755.53499999999985</v>
      </c>
      <c r="I244" t="s">
        <v>10</v>
      </c>
    </row>
    <row r="245" spans="1:9" x14ac:dyDescent="0.3">
      <c r="A245">
        <v>8676045557</v>
      </c>
      <c r="B245">
        <v>2494</v>
      </c>
      <c r="C245" s="1">
        <v>794.58799999999997</v>
      </c>
      <c r="D245" s="1">
        <v>71.98</v>
      </c>
      <c r="E245" s="1">
        <v>278.34399999999999</v>
      </c>
      <c r="F245">
        <v>1614.0709999999999</v>
      </c>
      <c r="G245" s="1">
        <v>1335.7269999999999</v>
      </c>
      <c r="H245" s="5">
        <v>879.92900000000009</v>
      </c>
      <c r="I245" t="s">
        <v>10</v>
      </c>
    </row>
    <row r="246" spans="1:9" x14ac:dyDescent="0.3">
      <c r="A246">
        <v>8688316765</v>
      </c>
      <c r="B246">
        <v>2594</v>
      </c>
      <c r="C246" s="1">
        <v>550.96600000000001</v>
      </c>
      <c r="D246" s="1">
        <v>71.98</v>
      </c>
      <c r="E246" s="1">
        <v>135.87199999999999</v>
      </c>
      <c r="F246">
        <v>1956.232</v>
      </c>
      <c r="G246" s="1">
        <v>1820.36</v>
      </c>
      <c r="H246" s="5">
        <v>637.76800000000003</v>
      </c>
      <c r="I246" t="s">
        <v>10</v>
      </c>
    </row>
    <row r="247" spans="1:9" x14ac:dyDescent="0.3">
      <c r="A247">
        <v>8704408298</v>
      </c>
      <c r="B247">
        <v>2548.9899999999998</v>
      </c>
      <c r="C247" s="1">
        <v>661.71799999999996</v>
      </c>
      <c r="D247" s="1">
        <v>71.98</v>
      </c>
      <c r="E247" s="1">
        <v>133.518</v>
      </c>
      <c r="F247">
        <v>1800.741</v>
      </c>
      <c r="G247" s="1">
        <v>1667.223</v>
      </c>
      <c r="H247" s="5">
        <v>748.2489999999998</v>
      </c>
      <c r="I247" t="s">
        <v>10</v>
      </c>
    </row>
    <row r="248" spans="1:9" x14ac:dyDescent="0.3">
      <c r="A248">
        <v>8706216343</v>
      </c>
      <c r="B248">
        <v>391</v>
      </c>
      <c r="C248" s="1">
        <v>32.296999999999997</v>
      </c>
      <c r="D248" s="1">
        <v>31.86</v>
      </c>
      <c r="E248" s="1">
        <v>20.481999999999999</v>
      </c>
      <c r="F248">
        <v>324.60899999999998</v>
      </c>
      <c r="G248" s="1">
        <v>304.12699999999995</v>
      </c>
      <c r="H248" s="5">
        <v>66.39100000000002</v>
      </c>
      <c r="I248" t="s">
        <v>10</v>
      </c>
    </row>
    <row r="249" spans="1:9" x14ac:dyDescent="0.3">
      <c r="A249">
        <v>8687587807</v>
      </c>
      <c r="B249">
        <v>3104</v>
      </c>
      <c r="C249" s="1">
        <v>769.17100000000005</v>
      </c>
      <c r="D249" s="1">
        <v>71.98</v>
      </c>
      <c r="E249" s="1">
        <v>486.64300000000003</v>
      </c>
      <c r="F249">
        <v>2247.0650000000001</v>
      </c>
      <c r="G249" s="1">
        <v>1760.422</v>
      </c>
      <c r="H249" s="5">
        <v>856.93499999999995</v>
      </c>
      <c r="I249" t="s">
        <v>10</v>
      </c>
    </row>
    <row r="250" spans="1:9" x14ac:dyDescent="0.3">
      <c r="A250">
        <v>8690989947</v>
      </c>
      <c r="B250">
        <v>3594.01</v>
      </c>
      <c r="C250" s="1">
        <v>933.005</v>
      </c>
      <c r="D250" s="1">
        <v>71.98</v>
      </c>
      <c r="E250" s="1">
        <v>563.46900000000005</v>
      </c>
      <c r="F250">
        <v>2570.75</v>
      </c>
      <c r="G250" s="1">
        <v>2007.2809999999999</v>
      </c>
      <c r="H250" s="5">
        <v>1023.2600000000002</v>
      </c>
      <c r="I250" t="s">
        <v>10</v>
      </c>
    </row>
    <row r="251" spans="1:9" x14ac:dyDescent="0.3">
      <c r="A251">
        <v>8694911052</v>
      </c>
      <c r="B251">
        <v>3564</v>
      </c>
      <c r="C251" s="1">
        <v>883.15899999999999</v>
      </c>
      <c r="D251" s="1">
        <v>71.98</v>
      </c>
      <c r="E251" s="1">
        <v>558.76199999999994</v>
      </c>
      <c r="F251">
        <v>2590.739</v>
      </c>
      <c r="G251" s="1">
        <v>2031.9770000000001</v>
      </c>
      <c r="H251" s="5">
        <v>973.26099999999997</v>
      </c>
      <c r="I251" t="s">
        <v>10</v>
      </c>
    </row>
    <row r="252" spans="1:9" x14ac:dyDescent="0.3">
      <c r="A252">
        <v>8682619946</v>
      </c>
      <c r="B252">
        <v>3354</v>
      </c>
      <c r="C252" s="1">
        <v>831.12099999999998</v>
      </c>
      <c r="D252" s="1">
        <v>71.98</v>
      </c>
      <c r="E252" s="1">
        <v>374.33300000000003</v>
      </c>
      <c r="F252">
        <v>2432.931</v>
      </c>
      <c r="G252" s="1">
        <v>2058.598</v>
      </c>
      <c r="H252" s="5">
        <v>921.06899999999996</v>
      </c>
      <c r="I252" t="s">
        <v>10</v>
      </c>
    </row>
    <row r="253" spans="1:9" x14ac:dyDescent="0.3">
      <c r="A253">
        <v>8688543757</v>
      </c>
      <c r="B253">
        <v>3119</v>
      </c>
      <c r="C253" s="1">
        <v>662.476</v>
      </c>
      <c r="D253" s="1">
        <v>71.98</v>
      </c>
      <c r="E253" s="1">
        <v>488.99599999999998</v>
      </c>
      <c r="F253">
        <v>2368.6849999999999</v>
      </c>
      <c r="G253" s="1">
        <v>1879.6889999999999</v>
      </c>
      <c r="H253" s="5">
        <v>750.31500000000005</v>
      </c>
      <c r="I253" t="s">
        <v>10</v>
      </c>
    </row>
    <row r="254" spans="1:9" x14ac:dyDescent="0.3">
      <c r="A254">
        <v>8701220872</v>
      </c>
      <c r="B254">
        <v>3794</v>
      </c>
      <c r="C254" s="1">
        <v>984.92200000000003</v>
      </c>
      <c r="D254" s="1">
        <v>71.98</v>
      </c>
      <c r="E254" s="1">
        <v>594.81600000000003</v>
      </c>
      <c r="F254">
        <v>2717.8069999999998</v>
      </c>
      <c r="G254" s="1">
        <v>2122.991</v>
      </c>
      <c r="H254" s="5">
        <v>1076.1930000000002</v>
      </c>
      <c r="I254" t="s">
        <v>10</v>
      </c>
    </row>
    <row r="255" spans="1:9" x14ac:dyDescent="0.3">
      <c r="A255">
        <v>8670163180</v>
      </c>
      <c r="B255">
        <v>1610</v>
      </c>
      <c r="C255" s="1">
        <v>360.96199999999999</v>
      </c>
      <c r="D255" s="1">
        <v>53.1</v>
      </c>
      <c r="E255" s="1">
        <v>179.68799999999999</v>
      </c>
      <c r="F255">
        <v>1187.3119999999999</v>
      </c>
      <c r="G255" s="1">
        <v>1007.6239999999999</v>
      </c>
      <c r="H255" s="5">
        <v>422.6880000000001</v>
      </c>
      <c r="I255" t="s">
        <v>10</v>
      </c>
    </row>
    <row r="256" spans="1:9" x14ac:dyDescent="0.3">
      <c r="A256">
        <v>8680310158</v>
      </c>
      <c r="B256">
        <v>1109</v>
      </c>
      <c r="C256" s="1">
        <v>248.63800000000001</v>
      </c>
      <c r="D256" s="1">
        <v>53.1</v>
      </c>
      <c r="E256" s="1">
        <v>123.77099999999999</v>
      </c>
      <c r="F256">
        <v>801.32100000000003</v>
      </c>
      <c r="G256" s="1">
        <v>677.55000000000007</v>
      </c>
      <c r="H256" s="5">
        <v>307.67899999999997</v>
      </c>
      <c r="I256" t="s">
        <v>10</v>
      </c>
    </row>
    <row r="257" spans="1:9" x14ac:dyDescent="0.3">
      <c r="A257">
        <v>8694225958</v>
      </c>
      <c r="B257">
        <v>3563.98</v>
      </c>
      <c r="C257" s="1">
        <v>883.154</v>
      </c>
      <c r="D257" s="1">
        <v>71.98</v>
      </c>
      <c r="E257" s="1">
        <v>558.76199999999994</v>
      </c>
      <c r="F257">
        <v>2590.7240000000002</v>
      </c>
      <c r="G257" s="1">
        <v>2031.9620000000002</v>
      </c>
      <c r="H257" s="5">
        <v>973.25599999999986</v>
      </c>
      <c r="I257" t="s">
        <v>10</v>
      </c>
    </row>
    <row r="258" spans="1:9" x14ac:dyDescent="0.3">
      <c r="A258">
        <v>8702982660</v>
      </c>
      <c r="B258">
        <v>1442</v>
      </c>
      <c r="C258" s="1">
        <v>391.35899999999998</v>
      </c>
      <c r="D258" s="1">
        <v>53.1</v>
      </c>
      <c r="E258" s="1">
        <v>75.537000000000006</v>
      </c>
      <c r="F258">
        <v>989.30100000000004</v>
      </c>
      <c r="G258" s="1">
        <v>913.76400000000001</v>
      </c>
      <c r="H258" s="5">
        <v>452.69899999999996</v>
      </c>
      <c r="I258" t="s">
        <v>10</v>
      </c>
    </row>
    <row r="259" spans="1:9" x14ac:dyDescent="0.3">
      <c r="A259">
        <v>8686993117</v>
      </c>
      <c r="B259">
        <v>3119</v>
      </c>
      <c r="C259" s="1">
        <v>662.476</v>
      </c>
      <c r="D259" s="1">
        <v>71.98</v>
      </c>
      <c r="E259" s="1">
        <v>348.10399999999998</v>
      </c>
      <c r="F259">
        <v>2367.835</v>
      </c>
      <c r="G259" s="1">
        <v>2019.731</v>
      </c>
      <c r="H259" s="5">
        <v>751.16499999999996</v>
      </c>
      <c r="I259" t="s">
        <v>10</v>
      </c>
    </row>
    <row r="260" spans="1:9" x14ac:dyDescent="0.3">
      <c r="A260">
        <v>8674661455</v>
      </c>
      <c r="B260">
        <v>1079</v>
      </c>
      <c r="C260" s="1">
        <v>280.108</v>
      </c>
      <c r="D260" s="1">
        <v>53.1</v>
      </c>
      <c r="E260" s="1">
        <v>120.42699999999999</v>
      </c>
      <c r="F260">
        <v>740.01199999999994</v>
      </c>
      <c r="G260" s="1">
        <v>619.58499999999992</v>
      </c>
      <c r="H260" s="5">
        <v>338.98800000000006</v>
      </c>
      <c r="I260" t="s">
        <v>10</v>
      </c>
    </row>
    <row r="261" spans="1:9" x14ac:dyDescent="0.3">
      <c r="A261">
        <v>8680652612</v>
      </c>
      <c r="B261">
        <v>2454</v>
      </c>
      <c r="C261" s="1">
        <v>608.101</v>
      </c>
      <c r="D261" s="1">
        <v>71.98</v>
      </c>
      <c r="E261" s="1">
        <v>273.875</v>
      </c>
      <c r="F261">
        <v>1760.7729999999999</v>
      </c>
      <c r="G261" s="1">
        <v>1486.8979999999999</v>
      </c>
      <c r="H261" s="5">
        <v>693.22700000000009</v>
      </c>
      <c r="I261" t="s">
        <v>10</v>
      </c>
    </row>
    <row r="262" spans="1:9" x14ac:dyDescent="0.3">
      <c r="A262">
        <v>8697803935</v>
      </c>
      <c r="B262">
        <v>2244</v>
      </c>
      <c r="C262" s="1">
        <v>582.54200000000003</v>
      </c>
      <c r="D262" s="1">
        <v>71.98</v>
      </c>
      <c r="E262" s="1">
        <v>117.54599999999999</v>
      </c>
      <c r="F262">
        <v>1576.655</v>
      </c>
      <c r="G262" s="1">
        <v>1459.1089999999999</v>
      </c>
      <c r="H262" s="5">
        <v>667.34500000000003</v>
      </c>
      <c r="I262" t="s">
        <v>10</v>
      </c>
    </row>
    <row r="263" spans="1:9" x14ac:dyDescent="0.3">
      <c r="A263">
        <v>8688227979</v>
      </c>
      <c r="B263">
        <v>3118.99</v>
      </c>
      <c r="C263" s="1">
        <v>662.47299999999996</v>
      </c>
      <c r="D263" s="1">
        <v>71.98</v>
      </c>
      <c r="E263" s="1">
        <v>488.99599999999998</v>
      </c>
      <c r="F263">
        <v>2368.6779999999999</v>
      </c>
      <c r="G263" s="1">
        <v>1879.6819999999998</v>
      </c>
      <c r="H263" s="5">
        <v>750.3119999999999</v>
      </c>
      <c r="I263" t="s">
        <v>10</v>
      </c>
    </row>
    <row r="264" spans="1:9" x14ac:dyDescent="0.3">
      <c r="A264">
        <v>8690310002</v>
      </c>
      <c r="B264">
        <v>3323.99</v>
      </c>
      <c r="C264" s="1">
        <v>706.01499999999999</v>
      </c>
      <c r="D264" s="1">
        <v>71.98</v>
      </c>
      <c r="E264" s="1">
        <v>521.13499999999999</v>
      </c>
      <c r="F264">
        <v>2529.0929999999998</v>
      </c>
      <c r="G264" s="1">
        <v>2007.9579999999999</v>
      </c>
      <c r="H264" s="5">
        <v>794.89699999999993</v>
      </c>
      <c r="I264" t="s">
        <v>10</v>
      </c>
    </row>
    <row r="265" spans="1:9" x14ac:dyDescent="0.3">
      <c r="A265">
        <v>8698177391</v>
      </c>
      <c r="B265">
        <v>1597</v>
      </c>
      <c r="C265" s="1">
        <v>433.42599999999999</v>
      </c>
      <c r="D265" s="1">
        <v>53.1</v>
      </c>
      <c r="E265" s="1">
        <v>83.64500000000001</v>
      </c>
      <c r="F265">
        <v>1101.348</v>
      </c>
      <c r="G265" s="1">
        <v>1017.703</v>
      </c>
      <c r="H265" s="5">
        <v>495.65200000000004</v>
      </c>
      <c r="I265" t="s">
        <v>10</v>
      </c>
    </row>
    <row r="266" spans="1:9" x14ac:dyDescent="0.3">
      <c r="A266">
        <v>8683928962</v>
      </c>
      <c r="B266">
        <v>953.99</v>
      </c>
      <c r="C266" s="1">
        <v>258.91300000000001</v>
      </c>
      <c r="D266" s="1">
        <v>31.86</v>
      </c>
      <c r="E266" s="1">
        <v>49.972999999999999</v>
      </c>
      <c r="F266">
        <v>657.76599999999996</v>
      </c>
      <c r="G266" s="1">
        <v>607.79300000000001</v>
      </c>
      <c r="H266" s="5">
        <v>296.22400000000005</v>
      </c>
      <c r="I266" t="s">
        <v>10</v>
      </c>
    </row>
    <row r="267" spans="1:9" x14ac:dyDescent="0.3">
      <c r="A267">
        <v>8697069469</v>
      </c>
      <c r="B267">
        <v>5366</v>
      </c>
      <c r="C267" s="1">
        <v>1709.6079999999999</v>
      </c>
      <c r="D267" s="1">
        <v>71.98</v>
      </c>
      <c r="E267" s="1">
        <v>841.27699999999993</v>
      </c>
      <c r="F267">
        <v>3557.1280000000002</v>
      </c>
      <c r="G267" s="1">
        <v>2715.8510000000001</v>
      </c>
      <c r="H267" s="5">
        <v>1808.8719999999998</v>
      </c>
      <c r="I267" t="s">
        <v>10</v>
      </c>
    </row>
    <row r="268" spans="1:9" x14ac:dyDescent="0.3">
      <c r="A268">
        <v>8702278551</v>
      </c>
      <c r="B268">
        <v>3564</v>
      </c>
      <c r="C268" s="1">
        <v>883.15899999999999</v>
      </c>
      <c r="D268" s="1">
        <v>71.98</v>
      </c>
      <c r="E268" s="1">
        <v>558.76199999999994</v>
      </c>
      <c r="F268">
        <v>2590.739</v>
      </c>
      <c r="G268" s="1">
        <v>2031.9770000000001</v>
      </c>
      <c r="H268" s="5">
        <v>973.26099999999997</v>
      </c>
      <c r="I268" t="s">
        <v>10</v>
      </c>
    </row>
    <row r="269" spans="1:9" x14ac:dyDescent="0.3">
      <c r="A269">
        <v>8662109200</v>
      </c>
      <c r="B269">
        <v>2344</v>
      </c>
      <c r="C269" s="1">
        <v>608.50199999999995</v>
      </c>
      <c r="D269" s="1">
        <v>71.98</v>
      </c>
      <c r="E269" s="1">
        <v>261.60399999999998</v>
      </c>
      <c r="F269">
        <v>1650.961</v>
      </c>
      <c r="G269" s="1">
        <v>1389.357</v>
      </c>
      <c r="H269" s="5">
        <v>693.03899999999999</v>
      </c>
      <c r="I269" t="s">
        <v>10</v>
      </c>
    </row>
    <row r="270" spans="1:9" x14ac:dyDescent="0.3">
      <c r="A270">
        <v>8690582232</v>
      </c>
      <c r="B270">
        <v>3104</v>
      </c>
      <c r="C270" s="1">
        <v>769.17100000000005</v>
      </c>
      <c r="D270" s="1">
        <v>71.98</v>
      </c>
      <c r="E270" s="1">
        <v>486.65300000000002</v>
      </c>
      <c r="F270">
        <v>2247.0650000000001</v>
      </c>
      <c r="G270" s="1">
        <v>1760.412</v>
      </c>
      <c r="H270" s="5">
        <v>856.93499999999995</v>
      </c>
      <c r="I270" t="s">
        <v>10</v>
      </c>
    </row>
    <row r="271" spans="1:9" x14ac:dyDescent="0.3">
      <c r="A271">
        <v>8696450403</v>
      </c>
      <c r="B271">
        <v>3286</v>
      </c>
      <c r="C271" s="1">
        <v>697.94600000000003</v>
      </c>
      <c r="D271" s="1">
        <v>71.98</v>
      </c>
      <c r="E271" s="1">
        <v>515.18399999999997</v>
      </c>
      <c r="F271">
        <v>2499.3649999999998</v>
      </c>
      <c r="G271" s="1">
        <v>1984.1809999999998</v>
      </c>
      <c r="H271" s="5">
        <v>786.63500000000022</v>
      </c>
      <c r="I271" t="s">
        <v>10</v>
      </c>
    </row>
    <row r="272" spans="1:9" x14ac:dyDescent="0.3">
      <c r="A272">
        <v>8706673220</v>
      </c>
      <c r="B272">
        <v>1811</v>
      </c>
      <c r="C272" s="1">
        <v>406.02699999999999</v>
      </c>
      <c r="D272" s="1">
        <v>53.099999999999994</v>
      </c>
      <c r="E272" s="1">
        <v>94.86399999999999</v>
      </c>
      <c r="F272">
        <v>1341.5250000000001</v>
      </c>
      <c r="G272" s="1">
        <v>1246.6610000000001</v>
      </c>
      <c r="H272" s="5">
        <v>469.47499999999991</v>
      </c>
      <c r="I272" t="s">
        <v>10</v>
      </c>
    </row>
    <row r="273" spans="1:9" x14ac:dyDescent="0.3">
      <c r="A273">
        <v>8662876274</v>
      </c>
      <c r="B273">
        <v>4354</v>
      </c>
      <c r="C273" s="1">
        <v>1233.0530000000001</v>
      </c>
      <c r="D273" s="1">
        <v>71.98</v>
      </c>
      <c r="E273" s="1">
        <v>485.93700000000001</v>
      </c>
      <c r="F273">
        <v>3025.643</v>
      </c>
      <c r="G273" s="1">
        <v>2539.7060000000001</v>
      </c>
      <c r="H273" s="5">
        <v>1328.357</v>
      </c>
      <c r="I273" t="s">
        <v>10</v>
      </c>
    </row>
    <row r="274" spans="1:9" x14ac:dyDescent="0.3">
      <c r="A274">
        <v>8670314920</v>
      </c>
      <c r="B274">
        <v>499</v>
      </c>
      <c r="C274" s="1">
        <v>47.106000000000002</v>
      </c>
      <c r="D274" s="1">
        <v>31.86</v>
      </c>
      <c r="E274" s="1">
        <v>26.136000000000003</v>
      </c>
      <c r="F274">
        <v>417.18299999999999</v>
      </c>
      <c r="G274" s="1">
        <v>391.04699999999997</v>
      </c>
      <c r="H274" s="5">
        <v>81.817000000000007</v>
      </c>
      <c r="I274" t="s">
        <v>10</v>
      </c>
    </row>
    <row r="275" spans="1:9" x14ac:dyDescent="0.3">
      <c r="A275">
        <v>8680104988</v>
      </c>
      <c r="B275">
        <v>1931</v>
      </c>
      <c r="C275" s="1">
        <v>638.00199999999995</v>
      </c>
      <c r="D275" s="1">
        <v>53.1</v>
      </c>
      <c r="E275" s="1">
        <v>215.511</v>
      </c>
      <c r="F275">
        <v>1229.5530000000001</v>
      </c>
      <c r="G275" s="1">
        <v>1014.0420000000001</v>
      </c>
      <c r="H275" s="5">
        <v>701.44699999999989</v>
      </c>
      <c r="I275" t="s">
        <v>10</v>
      </c>
    </row>
    <row r="276" spans="1:9" x14ac:dyDescent="0.3">
      <c r="A276">
        <v>8671977338</v>
      </c>
      <c r="B276">
        <v>2994</v>
      </c>
      <c r="C276" s="1">
        <v>741.91300000000001</v>
      </c>
      <c r="D276" s="1">
        <v>71.98</v>
      </c>
      <c r="E276" s="1">
        <v>334.15600000000001</v>
      </c>
      <c r="F276">
        <v>2164.0680000000002</v>
      </c>
      <c r="G276" s="1">
        <v>1829.9120000000003</v>
      </c>
      <c r="H276" s="5">
        <v>829.93199999999979</v>
      </c>
      <c r="I276" t="s">
        <v>10</v>
      </c>
    </row>
    <row r="277" spans="1:9" x14ac:dyDescent="0.3">
      <c r="A277">
        <v>8678600193</v>
      </c>
      <c r="B277">
        <v>2269</v>
      </c>
      <c r="C277" s="1">
        <v>589.03200000000004</v>
      </c>
      <c r="D277" s="1">
        <v>71.98</v>
      </c>
      <c r="E277" s="1">
        <v>253.239</v>
      </c>
      <c r="F277">
        <v>1595.8330000000001</v>
      </c>
      <c r="G277" s="1">
        <v>1342.5940000000001</v>
      </c>
      <c r="H277" s="5">
        <v>673.16699999999992</v>
      </c>
      <c r="I277" t="s">
        <v>10</v>
      </c>
    </row>
    <row r="278" spans="1:9" x14ac:dyDescent="0.3">
      <c r="A278">
        <v>8681243759</v>
      </c>
      <c r="B278">
        <v>2275</v>
      </c>
      <c r="C278" s="1">
        <v>563.745</v>
      </c>
      <c r="D278" s="1">
        <v>71.98</v>
      </c>
      <c r="E278" s="1">
        <v>253.90600000000001</v>
      </c>
      <c r="F278">
        <v>1627.088</v>
      </c>
      <c r="G278" s="1">
        <v>1373.182</v>
      </c>
      <c r="H278" s="5">
        <v>647.91200000000003</v>
      </c>
      <c r="I278" t="s">
        <v>10</v>
      </c>
    </row>
    <row r="279" spans="1:9" x14ac:dyDescent="0.3">
      <c r="A279">
        <v>8681438935</v>
      </c>
      <c r="B279">
        <v>3629</v>
      </c>
      <c r="C279" s="1">
        <v>1156.1990000000001</v>
      </c>
      <c r="D279" s="1">
        <v>71.98</v>
      </c>
      <c r="E279" s="1">
        <v>405.02100000000002</v>
      </c>
      <c r="F279">
        <v>2381.38</v>
      </c>
      <c r="G279" s="1">
        <v>1976.3590000000002</v>
      </c>
      <c r="H279" s="5">
        <v>1247.6199999999999</v>
      </c>
      <c r="I279" t="s">
        <v>10</v>
      </c>
    </row>
    <row r="280" spans="1:9" x14ac:dyDescent="0.3">
      <c r="A280">
        <v>8691422928</v>
      </c>
      <c r="B280">
        <v>3564</v>
      </c>
      <c r="C280" s="1">
        <v>883.15899999999999</v>
      </c>
      <c r="D280" s="1">
        <v>71.98</v>
      </c>
      <c r="E280" s="1">
        <v>558.76199999999994</v>
      </c>
      <c r="F280">
        <v>2590.739</v>
      </c>
      <c r="G280" s="1">
        <v>2031.9770000000001</v>
      </c>
      <c r="H280" s="5">
        <v>973.26099999999997</v>
      </c>
      <c r="I280" t="s">
        <v>10</v>
      </c>
    </row>
    <row r="281" spans="1:9" x14ac:dyDescent="0.3">
      <c r="A281">
        <v>8378115534</v>
      </c>
      <c r="B281">
        <v>3187</v>
      </c>
      <c r="C281" s="1">
        <v>639.31200000000001</v>
      </c>
      <c r="D281" s="1">
        <v>240.41319999999999</v>
      </c>
      <c r="E281" s="1">
        <v>355.69299999999998</v>
      </c>
      <c r="F281">
        <v>2290.2008000000001</v>
      </c>
      <c r="G281" s="1">
        <v>1934.5078000000001</v>
      </c>
      <c r="H281" s="5">
        <v>896.79919999999993</v>
      </c>
      <c r="I281" t="s">
        <v>10</v>
      </c>
    </row>
    <row r="282" spans="1:9" x14ac:dyDescent="0.3">
      <c r="A282">
        <v>8682097274</v>
      </c>
      <c r="B282">
        <v>2769</v>
      </c>
      <c r="C282" s="1">
        <v>718.83199999999999</v>
      </c>
      <c r="D282" s="1">
        <v>71.98</v>
      </c>
      <c r="E282" s="1">
        <v>309.04200000000003</v>
      </c>
      <c r="F282">
        <v>1963.354</v>
      </c>
      <c r="G282" s="1">
        <v>1654.3119999999999</v>
      </c>
      <c r="H282" s="5">
        <v>805.64599999999996</v>
      </c>
      <c r="I282" t="s">
        <v>10</v>
      </c>
    </row>
    <row r="283" spans="1:9" x14ac:dyDescent="0.3">
      <c r="A283">
        <v>8685565962</v>
      </c>
      <c r="B283">
        <v>2556</v>
      </c>
      <c r="C283" s="1">
        <v>633.37699999999995</v>
      </c>
      <c r="D283" s="1">
        <v>71.98</v>
      </c>
      <c r="E283" s="1">
        <v>285.27100000000002</v>
      </c>
      <c r="F283">
        <v>1836.95</v>
      </c>
      <c r="G283" s="1">
        <v>1551.6790000000001</v>
      </c>
      <c r="H283" s="5">
        <v>719.05</v>
      </c>
      <c r="I283" t="s">
        <v>10</v>
      </c>
    </row>
    <row r="284" spans="1:9" x14ac:dyDescent="0.3">
      <c r="A284">
        <v>8669905946</v>
      </c>
      <c r="B284">
        <v>3544</v>
      </c>
      <c r="C284" s="1">
        <v>920.02200000000005</v>
      </c>
      <c r="D284" s="1">
        <v>71.98</v>
      </c>
      <c r="E284" s="1">
        <v>395.53100000000001</v>
      </c>
      <c r="F284">
        <v>2533.0129999999999</v>
      </c>
      <c r="G284" s="1">
        <v>2137.482</v>
      </c>
      <c r="H284" s="5">
        <v>1010.9870000000001</v>
      </c>
      <c r="I284" t="s">
        <v>10</v>
      </c>
    </row>
    <row r="285" spans="1:9" x14ac:dyDescent="0.3">
      <c r="A285">
        <v>8692542512</v>
      </c>
      <c r="B285">
        <v>1819</v>
      </c>
      <c r="C285" s="1">
        <v>493.67599999999999</v>
      </c>
      <c r="D285" s="1">
        <v>53.1</v>
      </c>
      <c r="E285" s="1">
        <v>95.282000000000011</v>
      </c>
      <c r="F285">
        <v>1261.829</v>
      </c>
      <c r="G285" s="1">
        <v>1166.547</v>
      </c>
      <c r="H285" s="5">
        <v>557.17100000000005</v>
      </c>
      <c r="I285" t="s">
        <v>10</v>
      </c>
    </row>
    <row r="286" spans="1:9" x14ac:dyDescent="0.3">
      <c r="A286">
        <v>8691260646</v>
      </c>
      <c r="B286">
        <v>3143</v>
      </c>
      <c r="C286" s="1">
        <v>667.57299999999998</v>
      </c>
      <c r="D286" s="1">
        <v>71.98</v>
      </c>
      <c r="E286" s="1">
        <v>492.75799999999998</v>
      </c>
      <c r="F286">
        <v>2387.4650000000001</v>
      </c>
      <c r="G286" s="1">
        <v>1894.7070000000001</v>
      </c>
      <c r="H286" s="5">
        <v>755.53499999999985</v>
      </c>
      <c r="I286" t="s">
        <v>10</v>
      </c>
    </row>
    <row r="287" spans="1:9" x14ac:dyDescent="0.3">
      <c r="A287">
        <v>8659518257</v>
      </c>
      <c r="B287">
        <v>2556</v>
      </c>
      <c r="C287" s="1">
        <v>633.37699999999995</v>
      </c>
      <c r="D287" s="1">
        <v>71.98</v>
      </c>
      <c r="E287" s="1">
        <v>285.27100000000002</v>
      </c>
      <c r="F287">
        <v>1836.95</v>
      </c>
      <c r="G287" s="1">
        <v>1551.6790000000001</v>
      </c>
      <c r="H287" s="5">
        <v>719.05</v>
      </c>
      <c r="I287" t="s">
        <v>10</v>
      </c>
    </row>
    <row r="288" spans="1:9" x14ac:dyDescent="0.3">
      <c r="A288">
        <v>8668594339</v>
      </c>
      <c r="B288">
        <v>3356</v>
      </c>
      <c r="C288" s="1">
        <v>871.21799999999996</v>
      </c>
      <c r="D288" s="1">
        <v>71.98</v>
      </c>
      <c r="E288" s="1">
        <v>374.55200000000002</v>
      </c>
      <c r="F288">
        <v>2394.8240000000001</v>
      </c>
      <c r="G288" s="1">
        <v>2020.2719999999999</v>
      </c>
      <c r="H288" s="5">
        <v>961.17599999999993</v>
      </c>
      <c r="I288" t="s">
        <v>10</v>
      </c>
    </row>
    <row r="289" spans="1:9" x14ac:dyDescent="0.3">
      <c r="A289">
        <v>8677363499</v>
      </c>
      <c r="B289">
        <v>3994</v>
      </c>
      <c r="C289" s="1">
        <v>1272.4880000000001</v>
      </c>
      <c r="D289" s="1">
        <v>71.98</v>
      </c>
      <c r="E289" s="1">
        <v>445.76</v>
      </c>
      <c r="F289">
        <v>2628.136</v>
      </c>
      <c r="G289" s="1">
        <v>2182.3760000000002</v>
      </c>
      <c r="H289" s="5">
        <v>1365.864</v>
      </c>
      <c r="I289" t="s">
        <v>10</v>
      </c>
    </row>
    <row r="290" spans="1:9" x14ac:dyDescent="0.3">
      <c r="A290">
        <v>8679406849</v>
      </c>
      <c r="B290">
        <v>2594</v>
      </c>
      <c r="C290" s="1">
        <v>550.96600000000001</v>
      </c>
      <c r="D290" s="1">
        <v>71.98</v>
      </c>
      <c r="E290" s="1">
        <v>289.51</v>
      </c>
      <c r="F290">
        <v>1957.1579999999999</v>
      </c>
      <c r="G290" s="1">
        <v>1667.6479999999999</v>
      </c>
      <c r="H290" s="5">
        <v>636.8420000000001</v>
      </c>
      <c r="I290" t="s">
        <v>10</v>
      </c>
    </row>
    <row r="291" spans="1:9" x14ac:dyDescent="0.3">
      <c r="A291">
        <v>8666983824</v>
      </c>
      <c r="B291">
        <v>2419</v>
      </c>
      <c r="C291" s="1">
        <v>513.79600000000005</v>
      </c>
      <c r="D291" s="1">
        <v>71.98</v>
      </c>
      <c r="E291" s="1">
        <v>269.97899999999998</v>
      </c>
      <c r="F291">
        <v>1820.2650000000001</v>
      </c>
      <c r="G291" s="1">
        <v>1550.2860000000001</v>
      </c>
      <c r="H291" s="5">
        <v>598.7349999999999</v>
      </c>
      <c r="I291" t="s">
        <v>10</v>
      </c>
    </row>
    <row r="292" spans="1:9" x14ac:dyDescent="0.3">
      <c r="A292">
        <v>8681357466</v>
      </c>
      <c r="B292">
        <v>2944</v>
      </c>
      <c r="C292" s="1">
        <v>729.52300000000002</v>
      </c>
      <c r="D292" s="1">
        <v>71.98</v>
      </c>
      <c r="E292" s="1">
        <v>328.57299999999998</v>
      </c>
      <c r="F292">
        <v>2126.7249999999999</v>
      </c>
      <c r="G292" s="1">
        <v>1798.152</v>
      </c>
      <c r="H292" s="5">
        <v>817.27500000000009</v>
      </c>
      <c r="I292" t="s">
        <v>10</v>
      </c>
    </row>
    <row r="293" spans="1:9" x14ac:dyDescent="0.3">
      <c r="A293">
        <v>8709211879</v>
      </c>
      <c r="B293">
        <v>3329</v>
      </c>
      <c r="C293" s="1">
        <v>707.08</v>
      </c>
      <c r="D293" s="1">
        <v>71.98</v>
      </c>
      <c r="E293" s="1">
        <v>521.91600000000005</v>
      </c>
      <c r="F293">
        <v>2533.0129999999999</v>
      </c>
      <c r="G293" s="1">
        <v>2011.0969999999998</v>
      </c>
      <c r="H293" s="5">
        <v>795.98700000000008</v>
      </c>
      <c r="I293" t="s">
        <v>10</v>
      </c>
    </row>
    <row r="294" spans="1:9" x14ac:dyDescent="0.3">
      <c r="A294">
        <v>8659466063</v>
      </c>
      <c r="B294">
        <v>1454</v>
      </c>
      <c r="C294" s="1">
        <v>325.98700000000002</v>
      </c>
      <c r="D294" s="1">
        <v>53.1</v>
      </c>
      <c r="E294" s="1">
        <v>162.28100000000001</v>
      </c>
      <c r="F294">
        <v>1067.124</v>
      </c>
      <c r="G294" s="1">
        <v>904.84300000000007</v>
      </c>
      <c r="H294" s="5">
        <v>386.87599999999998</v>
      </c>
      <c r="I294" t="s">
        <v>10</v>
      </c>
    </row>
    <row r="295" spans="1:9" x14ac:dyDescent="0.3">
      <c r="A295">
        <v>8675097215</v>
      </c>
      <c r="B295">
        <v>2794</v>
      </c>
      <c r="C295" s="1">
        <v>692.35299999999995</v>
      </c>
      <c r="D295" s="1">
        <v>71.98</v>
      </c>
      <c r="E295" s="1">
        <v>311.83300000000003</v>
      </c>
      <c r="F295">
        <v>2014.6990000000001</v>
      </c>
      <c r="G295" s="1">
        <v>1702.866</v>
      </c>
      <c r="H295" s="5">
        <v>779.30099999999993</v>
      </c>
      <c r="I295" t="s">
        <v>10</v>
      </c>
    </row>
    <row r="296" spans="1:9" x14ac:dyDescent="0.3">
      <c r="A296">
        <v>8687098475</v>
      </c>
      <c r="B296">
        <v>3643.98</v>
      </c>
      <c r="C296" s="1">
        <v>1117.973</v>
      </c>
      <c r="D296" s="1">
        <v>71.97999999999999</v>
      </c>
      <c r="E296" s="1">
        <v>406.697</v>
      </c>
      <c r="F296">
        <v>2434.5059999999999</v>
      </c>
      <c r="G296" s="1">
        <v>2027.8089999999997</v>
      </c>
      <c r="H296" s="5">
        <v>1209.4740000000002</v>
      </c>
      <c r="I296" t="s">
        <v>10</v>
      </c>
    </row>
    <row r="297" spans="1:9" x14ac:dyDescent="0.3">
      <c r="A297">
        <v>8694687361</v>
      </c>
      <c r="B297">
        <v>3142.99</v>
      </c>
      <c r="C297" s="1">
        <v>667.57100000000003</v>
      </c>
      <c r="D297" s="1">
        <v>71.98</v>
      </c>
      <c r="E297" s="1">
        <v>492.75799999999998</v>
      </c>
      <c r="F297">
        <v>2387.4569999999999</v>
      </c>
      <c r="G297" s="1">
        <v>1894.6989999999998</v>
      </c>
      <c r="H297" s="5">
        <v>755.5329999999999</v>
      </c>
      <c r="I297" t="s">
        <v>10</v>
      </c>
    </row>
    <row r="298" spans="1:9" x14ac:dyDescent="0.3">
      <c r="A298">
        <v>8695543632</v>
      </c>
      <c r="B298">
        <v>3143</v>
      </c>
      <c r="C298" s="1">
        <v>667.57299999999998</v>
      </c>
      <c r="D298" s="1">
        <v>71.98</v>
      </c>
      <c r="E298" s="1">
        <v>492.75799999999998</v>
      </c>
      <c r="F298">
        <v>2387.4650000000001</v>
      </c>
      <c r="G298" s="1">
        <v>1894.7070000000001</v>
      </c>
      <c r="H298" s="5">
        <v>755.53499999999985</v>
      </c>
      <c r="I298" t="s">
        <v>10</v>
      </c>
    </row>
    <row r="299" spans="1:9" x14ac:dyDescent="0.3">
      <c r="A299">
        <v>8673411314</v>
      </c>
      <c r="B299">
        <v>1794</v>
      </c>
      <c r="C299" s="1">
        <v>444.553</v>
      </c>
      <c r="D299" s="1">
        <v>53.1</v>
      </c>
      <c r="E299" s="1">
        <v>200.21899999999999</v>
      </c>
      <c r="F299">
        <v>1286.7360000000001</v>
      </c>
      <c r="G299" s="1">
        <v>1086.5170000000001</v>
      </c>
      <c r="H299" s="5">
        <v>507.2639999999999</v>
      </c>
      <c r="I299" t="s">
        <v>10</v>
      </c>
    </row>
    <row r="300" spans="1:9" x14ac:dyDescent="0.3">
      <c r="A300">
        <v>8665007762</v>
      </c>
      <c r="B300">
        <v>5701</v>
      </c>
      <c r="C300" s="1">
        <v>1749.067</v>
      </c>
      <c r="D300" s="1">
        <v>71.98</v>
      </c>
      <c r="E300" s="1">
        <v>636.27100000000007</v>
      </c>
      <c r="F300">
        <v>3849.4119999999998</v>
      </c>
      <c r="G300" s="1">
        <v>3213.1409999999996</v>
      </c>
      <c r="H300" s="5">
        <v>1851.5880000000002</v>
      </c>
      <c r="I300" t="s">
        <v>10</v>
      </c>
    </row>
    <row r="301" spans="1:9" x14ac:dyDescent="0.3">
      <c r="A301">
        <v>8692891232</v>
      </c>
      <c r="B301">
        <v>3564</v>
      </c>
      <c r="C301" s="1">
        <v>883.15899999999999</v>
      </c>
      <c r="D301" s="1">
        <v>71.98</v>
      </c>
      <c r="E301" s="1">
        <v>558.76199999999994</v>
      </c>
      <c r="F301">
        <v>2590.739</v>
      </c>
      <c r="G301" s="1">
        <v>2031.9770000000001</v>
      </c>
      <c r="H301" s="5">
        <v>973.26099999999997</v>
      </c>
      <c r="I301" t="s">
        <v>10</v>
      </c>
    </row>
    <row r="302" spans="1:9" x14ac:dyDescent="0.3">
      <c r="A302">
        <v>8679706877</v>
      </c>
      <c r="B302">
        <v>3594</v>
      </c>
      <c r="C302" s="1">
        <v>890.59299999999996</v>
      </c>
      <c r="D302" s="1">
        <v>71.98</v>
      </c>
      <c r="E302" s="1">
        <v>401.11500000000001</v>
      </c>
      <c r="F302">
        <v>2612.1729999999998</v>
      </c>
      <c r="G302" s="1">
        <v>2211.058</v>
      </c>
      <c r="H302" s="5">
        <v>981.82700000000023</v>
      </c>
      <c r="I302" t="s">
        <v>10</v>
      </c>
    </row>
    <row r="303" spans="1:9" x14ac:dyDescent="0.3">
      <c r="A303">
        <v>8695689853</v>
      </c>
      <c r="B303">
        <v>3470</v>
      </c>
      <c r="C303" s="1">
        <v>859.86599999999999</v>
      </c>
      <c r="D303" s="1">
        <v>71.98</v>
      </c>
      <c r="E303" s="1">
        <v>544.02300000000002</v>
      </c>
      <c r="F303">
        <v>2520.5100000000002</v>
      </c>
      <c r="G303" s="1">
        <v>1976.4870000000001</v>
      </c>
      <c r="H303" s="5">
        <v>949.48999999999978</v>
      </c>
      <c r="I303" t="s">
        <v>10</v>
      </c>
    </row>
    <row r="304" spans="1:9" x14ac:dyDescent="0.3">
      <c r="A304">
        <v>8599978899</v>
      </c>
      <c r="B304">
        <v>1179</v>
      </c>
      <c r="C304" s="1">
        <v>292.15600000000001</v>
      </c>
      <c r="D304" s="1">
        <v>53.1</v>
      </c>
      <c r="E304" s="1">
        <v>131.583</v>
      </c>
      <c r="F304">
        <v>827.428</v>
      </c>
      <c r="G304" s="1">
        <v>695.84500000000003</v>
      </c>
      <c r="H304" s="5">
        <v>351.572</v>
      </c>
      <c r="I304" t="s">
        <v>10</v>
      </c>
    </row>
    <row r="305" spans="1:9" x14ac:dyDescent="0.3">
      <c r="A305">
        <v>8670087236</v>
      </c>
      <c r="B305">
        <v>2344</v>
      </c>
      <c r="C305" s="1">
        <v>608.50199999999995</v>
      </c>
      <c r="D305" s="1">
        <v>71.98</v>
      </c>
      <c r="E305" s="1">
        <v>261.60399999999998</v>
      </c>
      <c r="F305">
        <v>1650.961</v>
      </c>
      <c r="G305" s="1">
        <v>1389.357</v>
      </c>
      <c r="H305" s="5">
        <v>693.03899999999999</v>
      </c>
      <c r="I305" t="s">
        <v>10</v>
      </c>
    </row>
    <row r="306" spans="1:9" x14ac:dyDescent="0.3">
      <c r="A306">
        <v>8672455122</v>
      </c>
      <c r="B306">
        <v>2834</v>
      </c>
      <c r="C306" s="1">
        <v>702.26499999999999</v>
      </c>
      <c r="D306" s="1">
        <v>71.98</v>
      </c>
      <c r="E306" s="1">
        <v>316.29199999999997</v>
      </c>
      <c r="F306">
        <v>2044.5730000000001</v>
      </c>
      <c r="G306" s="1">
        <v>1728.2810000000002</v>
      </c>
      <c r="H306" s="5">
        <v>789.42699999999991</v>
      </c>
      <c r="I306" t="s">
        <v>10</v>
      </c>
    </row>
    <row r="307" spans="1:9" x14ac:dyDescent="0.3">
      <c r="A307">
        <v>8690835100</v>
      </c>
      <c r="B307">
        <v>2293</v>
      </c>
      <c r="C307" s="1">
        <v>730.55</v>
      </c>
      <c r="D307" s="1">
        <v>71.98</v>
      </c>
      <c r="E307" s="1">
        <v>120.10899999999999</v>
      </c>
      <c r="F307">
        <v>1477.367</v>
      </c>
      <c r="G307" s="1">
        <v>1357.258</v>
      </c>
      <c r="H307" s="5">
        <v>815.63300000000004</v>
      </c>
      <c r="I307" t="s">
        <v>10</v>
      </c>
    </row>
    <row r="308" spans="1:9" x14ac:dyDescent="0.3">
      <c r="A308">
        <v>8706210922</v>
      </c>
      <c r="B308">
        <v>391</v>
      </c>
      <c r="C308" s="1">
        <v>9.2279999999999998</v>
      </c>
      <c r="D308" s="1">
        <v>31.86</v>
      </c>
      <c r="E308" s="1">
        <v>20.481999999999999</v>
      </c>
      <c r="F308">
        <v>347.678</v>
      </c>
      <c r="G308" s="1">
        <v>327.19600000000003</v>
      </c>
      <c r="H308" s="5">
        <v>43.322000000000003</v>
      </c>
      <c r="I308" t="s">
        <v>10</v>
      </c>
    </row>
    <row r="309" spans="1:9" x14ac:dyDescent="0.3">
      <c r="A309">
        <v>8681023356</v>
      </c>
      <c r="B309">
        <v>3544</v>
      </c>
      <c r="C309" s="1">
        <v>920.02200000000005</v>
      </c>
      <c r="D309" s="1">
        <v>71.98</v>
      </c>
      <c r="E309" s="1">
        <v>395.53100000000001</v>
      </c>
      <c r="F309">
        <v>2533.0129999999999</v>
      </c>
      <c r="G309" s="1">
        <v>2137.482</v>
      </c>
      <c r="H309" s="5">
        <v>1010.9870000000001</v>
      </c>
      <c r="I309" t="s">
        <v>10</v>
      </c>
    </row>
    <row r="310" spans="1:9" x14ac:dyDescent="0.3">
      <c r="A310">
        <v>8700305809</v>
      </c>
      <c r="B310">
        <v>3169</v>
      </c>
      <c r="C310" s="1">
        <v>785.27800000000002</v>
      </c>
      <c r="D310" s="1">
        <v>71.98</v>
      </c>
      <c r="E310" s="1">
        <v>496.82799999999997</v>
      </c>
      <c r="F310">
        <v>2295.6280000000002</v>
      </c>
      <c r="G310" s="1">
        <v>1798.8000000000002</v>
      </c>
      <c r="H310" s="5">
        <v>873.37199999999984</v>
      </c>
      <c r="I310" t="s">
        <v>10</v>
      </c>
    </row>
    <row r="311" spans="1:9" x14ac:dyDescent="0.3">
      <c r="A311">
        <v>8694911050</v>
      </c>
      <c r="B311">
        <v>3564</v>
      </c>
      <c r="C311" s="1">
        <v>883.15899999999999</v>
      </c>
      <c r="D311" s="1">
        <v>71.98</v>
      </c>
      <c r="E311" s="1">
        <v>558.76199999999994</v>
      </c>
      <c r="F311">
        <v>2590.739</v>
      </c>
      <c r="G311" s="1">
        <v>2031.9770000000001</v>
      </c>
      <c r="H311" s="5">
        <v>973.26099999999997</v>
      </c>
      <c r="I311" t="s">
        <v>10</v>
      </c>
    </row>
    <row r="312" spans="1:9" x14ac:dyDescent="0.3">
      <c r="A312">
        <v>8702968798</v>
      </c>
      <c r="B312">
        <v>3154</v>
      </c>
      <c r="C312" s="1">
        <v>669.91</v>
      </c>
      <c r="D312" s="1">
        <v>71.98</v>
      </c>
      <c r="E312" s="1">
        <v>494.48399999999998</v>
      </c>
      <c r="F312">
        <v>2396.0729999999999</v>
      </c>
      <c r="G312" s="1">
        <v>1901.5889999999999</v>
      </c>
      <c r="H312" s="5">
        <v>757.92700000000013</v>
      </c>
      <c r="I312" t="s">
        <v>10</v>
      </c>
    </row>
    <row r="313" spans="1:9" x14ac:dyDescent="0.3">
      <c r="A313">
        <v>8706180744</v>
      </c>
      <c r="B313">
        <v>1480</v>
      </c>
      <c r="C313" s="1">
        <v>384.20800000000003</v>
      </c>
      <c r="D313" s="1">
        <v>53.1</v>
      </c>
      <c r="E313" s="1">
        <v>77.528000000000006</v>
      </c>
      <c r="F313">
        <v>1034.2339999999999</v>
      </c>
      <c r="G313" s="1">
        <v>956.7059999999999</v>
      </c>
      <c r="H313" s="5">
        <v>445.76600000000008</v>
      </c>
      <c r="I313" t="s">
        <v>10</v>
      </c>
    </row>
    <row r="314" spans="1:9" x14ac:dyDescent="0.3">
      <c r="A314">
        <v>8667562183</v>
      </c>
      <c r="B314">
        <v>2994</v>
      </c>
      <c r="C314" s="1">
        <v>741.91300000000001</v>
      </c>
      <c r="D314" s="1">
        <v>71.98</v>
      </c>
      <c r="E314" s="1">
        <v>334.14599999999996</v>
      </c>
      <c r="F314">
        <v>2164.0680000000002</v>
      </c>
      <c r="G314" s="1">
        <v>1829.9220000000003</v>
      </c>
      <c r="H314" s="5">
        <v>829.93199999999979</v>
      </c>
      <c r="I314" t="s">
        <v>10</v>
      </c>
    </row>
    <row r="315" spans="1:9" x14ac:dyDescent="0.3">
      <c r="A315">
        <v>8676684709</v>
      </c>
      <c r="B315">
        <v>2994</v>
      </c>
      <c r="C315" s="1">
        <v>741.91300000000001</v>
      </c>
      <c r="D315" s="1">
        <v>71.98</v>
      </c>
      <c r="E315" s="1">
        <v>334.15600000000001</v>
      </c>
      <c r="F315">
        <v>2164.0680000000002</v>
      </c>
      <c r="G315" s="1">
        <v>1829.9120000000003</v>
      </c>
      <c r="H315" s="5">
        <v>829.93199999999979</v>
      </c>
      <c r="I315" t="s">
        <v>10</v>
      </c>
    </row>
    <row r="316" spans="1:9" x14ac:dyDescent="0.3">
      <c r="A316">
        <v>8656967184</v>
      </c>
      <c r="B316">
        <v>2419</v>
      </c>
      <c r="C316" s="1">
        <v>513.79600000000005</v>
      </c>
      <c r="D316" s="1">
        <v>71.98</v>
      </c>
      <c r="E316" s="1">
        <v>269.97899999999998</v>
      </c>
      <c r="F316">
        <v>1820.2650000000001</v>
      </c>
      <c r="G316" s="1">
        <v>1550.2860000000001</v>
      </c>
      <c r="H316" s="5">
        <v>598.7349999999999</v>
      </c>
      <c r="I316" t="s">
        <v>10</v>
      </c>
    </row>
    <row r="317" spans="1:9" x14ac:dyDescent="0.3">
      <c r="A317">
        <v>8672976504</v>
      </c>
      <c r="B317">
        <v>2644</v>
      </c>
      <c r="C317" s="1">
        <v>842.37800000000004</v>
      </c>
      <c r="D317" s="1">
        <v>71.98</v>
      </c>
      <c r="E317" s="1">
        <v>295.09399999999999</v>
      </c>
      <c r="F317">
        <v>1715.4770000000001</v>
      </c>
      <c r="G317" s="1">
        <v>1420.383</v>
      </c>
      <c r="H317" s="5">
        <v>928.52299999999991</v>
      </c>
      <c r="I317" t="s">
        <v>10</v>
      </c>
    </row>
    <row r="318" spans="1:9" x14ac:dyDescent="0.3">
      <c r="A318">
        <v>8687284509</v>
      </c>
      <c r="B318">
        <v>2168</v>
      </c>
      <c r="C318" s="1">
        <v>690.72500000000002</v>
      </c>
      <c r="D318" s="1">
        <v>71.98</v>
      </c>
      <c r="E318" s="1">
        <v>113.56399999999999</v>
      </c>
      <c r="F318">
        <v>1392.9059999999999</v>
      </c>
      <c r="G318" s="1">
        <v>1279.3419999999999</v>
      </c>
      <c r="H318" s="5">
        <v>775.09400000000005</v>
      </c>
      <c r="I318" t="s">
        <v>10</v>
      </c>
    </row>
    <row r="319" spans="1:9" x14ac:dyDescent="0.3">
      <c r="A319">
        <v>8672051089</v>
      </c>
      <c r="B319">
        <v>1794</v>
      </c>
      <c r="C319" s="1">
        <v>486.892</v>
      </c>
      <c r="D319" s="1">
        <v>53.1</v>
      </c>
      <c r="E319" s="1">
        <v>200.21899999999999</v>
      </c>
      <c r="F319">
        <v>1244.3969999999999</v>
      </c>
      <c r="G319" s="1">
        <v>1044.1779999999999</v>
      </c>
      <c r="H319" s="5">
        <v>549.60300000000007</v>
      </c>
      <c r="I319" t="s">
        <v>10</v>
      </c>
    </row>
    <row r="320" spans="1:9" x14ac:dyDescent="0.3">
      <c r="A320">
        <v>8664301435</v>
      </c>
      <c r="B320">
        <v>1108.99</v>
      </c>
      <c r="C320" s="1">
        <v>248.636</v>
      </c>
      <c r="D320" s="1">
        <v>53.1</v>
      </c>
      <c r="E320" s="1">
        <v>123.77099999999999</v>
      </c>
      <c r="F320">
        <v>801.31299999999999</v>
      </c>
      <c r="G320" s="1">
        <v>677.54200000000003</v>
      </c>
      <c r="H320" s="5">
        <v>307.67700000000002</v>
      </c>
      <c r="I320" t="s">
        <v>10</v>
      </c>
    </row>
    <row r="321" spans="1:9" x14ac:dyDescent="0.3">
      <c r="A321">
        <v>8680458890</v>
      </c>
      <c r="B321">
        <v>2834</v>
      </c>
      <c r="C321" s="1">
        <v>735.70600000000002</v>
      </c>
      <c r="D321" s="1">
        <v>71.98</v>
      </c>
      <c r="E321" s="1">
        <v>316.29199999999997</v>
      </c>
      <c r="F321">
        <v>2011.1320000000001</v>
      </c>
      <c r="G321" s="1">
        <v>1694.8400000000001</v>
      </c>
      <c r="H321" s="5">
        <v>822.86799999999994</v>
      </c>
      <c r="I321" t="s">
        <v>10</v>
      </c>
    </row>
    <row r="322" spans="1:9" x14ac:dyDescent="0.3">
      <c r="A322">
        <v>8657021789</v>
      </c>
      <c r="B322">
        <v>706</v>
      </c>
      <c r="C322" s="1">
        <v>208.27</v>
      </c>
      <c r="D322" s="1">
        <v>31.86</v>
      </c>
      <c r="E322" s="1">
        <v>36.981999999999999</v>
      </c>
      <c r="F322">
        <v>461.83600000000001</v>
      </c>
      <c r="G322" s="1">
        <v>424.85400000000004</v>
      </c>
      <c r="H322" s="5">
        <v>244.16399999999999</v>
      </c>
      <c r="I322" t="s">
        <v>10</v>
      </c>
    </row>
    <row r="323" spans="1:9" x14ac:dyDescent="0.3">
      <c r="A323">
        <v>8695544424</v>
      </c>
      <c r="B323">
        <v>3143</v>
      </c>
      <c r="C323" s="1">
        <v>667.57299999999998</v>
      </c>
      <c r="D323" s="1">
        <v>71.98</v>
      </c>
      <c r="E323" s="1">
        <v>492.75799999999998</v>
      </c>
      <c r="F323">
        <v>2387.4650000000001</v>
      </c>
      <c r="G323" s="1">
        <v>1894.7070000000001</v>
      </c>
      <c r="H323" s="5">
        <v>755.53499999999985</v>
      </c>
      <c r="I323" t="s">
        <v>10</v>
      </c>
    </row>
    <row r="324" spans="1:9" x14ac:dyDescent="0.3">
      <c r="A324">
        <v>8667648203</v>
      </c>
      <c r="B324">
        <v>2644</v>
      </c>
      <c r="C324" s="1">
        <v>655.18299999999999</v>
      </c>
      <c r="D324" s="1">
        <v>71.98</v>
      </c>
      <c r="E324" s="1">
        <v>295.09399999999999</v>
      </c>
      <c r="F324">
        <v>1902.672</v>
      </c>
      <c r="G324" s="1">
        <v>1607.578</v>
      </c>
      <c r="H324" s="5">
        <v>741.32799999999997</v>
      </c>
      <c r="I324" t="s">
        <v>10</v>
      </c>
    </row>
    <row r="325" spans="1:9" x14ac:dyDescent="0.3">
      <c r="A325">
        <v>8662341758</v>
      </c>
      <c r="B325">
        <v>1931</v>
      </c>
      <c r="C325" s="1">
        <v>638.00300000000004</v>
      </c>
      <c r="D325" s="1">
        <v>53.1</v>
      </c>
      <c r="E325" s="1">
        <v>215.51</v>
      </c>
      <c r="F325">
        <v>1229.5530000000001</v>
      </c>
      <c r="G325" s="1">
        <v>1014.0430000000001</v>
      </c>
      <c r="H325" s="5">
        <v>701.44699999999989</v>
      </c>
      <c r="I325" t="s">
        <v>10</v>
      </c>
    </row>
    <row r="326" spans="1:9" x14ac:dyDescent="0.3">
      <c r="A326">
        <v>8685812812</v>
      </c>
      <c r="B326">
        <v>3564</v>
      </c>
      <c r="C326" s="1">
        <v>883.15899999999999</v>
      </c>
      <c r="D326" s="1">
        <v>71.98</v>
      </c>
      <c r="E326" s="1">
        <v>397.77100000000002</v>
      </c>
      <c r="F326">
        <v>2589.768</v>
      </c>
      <c r="G326" s="1">
        <v>2191.9969999999998</v>
      </c>
      <c r="H326" s="5">
        <v>974.23199999999997</v>
      </c>
      <c r="I326" t="s">
        <v>10</v>
      </c>
    </row>
    <row r="327" spans="1:9" x14ac:dyDescent="0.3">
      <c r="A327">
        <v>8700359014</v>
      </c>
      <c r="B327">
        <v>2396</v>
      </c>
      <c r="C327" s="1">
        <v>593.72900000000004</v>
      </c>
      <c r="D327" s="1">
        <v>71.98</v>
      </c>
      <c r="E327" s="1">
        <v>125.50999999999999</v>
      </c>
      <c r="F327">
        <v>1716.5989999999999</v>
      </c>
      <c r="G327" s="1">
        <v>1591.0889999999999</v>
      </c>
      <c r="H327" s="5">
        <v>679.40100000000007</v>
      </c>
      <c r="I327" t="s">
        <v>10</v>
      </c>
    </row>
    <row r="328" spans="1:9" x14ac:dyDescent="0.3">
      <c r="A328">
        <v>8696468577</v>
      </c>
      <c r="B328">
        <v>3328.99</v>
      </c>
      <c r="C328" s="1">
        <v>707.077</v>
      </c>
      <c r="D328" s="1">
        <v>71.98</v>
      </c>
      <c r="E328" s="1">
        <v>521.91600000000005</v>
      </c>
      <c r="F328">
        <v>2533.0059999999999</v>
      </c>
      <c r="G328" s="1">
        <v>2011.0899999999997</v>
      </c>
      <c r="H328" s="5">
        <v>795.98399999999992</v>
      </c>
      <c r="I328" t="s">
        <v>10</v>
      </c>
    </row>
    <row r="329" spans="1:9" x14ac:dyDescent="0.3">
      <c r="A329">
        <v>8697412249</v>
      </c>
      <c r="B329">
        <v>3109</v>
      </c>
      <c r="C329" s="1">
        <v>660.35199999999998</v>
      </c>
      <c r="D329" s="1">
        <v>71.98</v>
      </c>
      <c r="E329" s="1">
        <v>487.43399999999997</v>
      </c>
      <c r="F329">
        <v>2360.8589999999999</v>
      </c>
      <c r="G329" s="1">
        <v>1873.425</v>
      </c>
      <c r="H329" s="5">
        <v>748.14100000000008</v>
      </c>
      <c r="I329" t="s">
        <v>10</v>
      </c>
    </row>
    <row r="330" spans="1:9" x14ac:dyDescent="0.3">
      <c r="A330">
        <v>8661543409</v>
      </c>
      <c r="B330">
        <v>2719</v>
      </c>
      <c r="C330" s="1">
        <v>673.76800000000003</v>
      </c>
      <c r="D330" s="1">
        <v>71.98</v>
      </c>
      <c r="E330" s="1">
        <v>303.45799999999997</v>
      </c>
      <c r="F330">
        <v>1958.6859999999999</v>
      </c>
      <c r="G330" s="1">
        <v>1655.2280000000001</v>
      </c>
      <c r="H330" s="5">
        <v>760.31400000000008</v>
      </c>
      <c r="I330" t="s">
        <v>10</v>
      </c>
    </row>
    <row r="331" spans="1:9" x14ac:dyDescent="0.3">
      <c r="A331">
        <v>8662707145</v>
      </c>
      <c r="B331">
        <v>2993.99</v>
      </c>
      <c r="C331" s="1">
        <v>777.24</v>
      </c>
      <c r="D331" s="1">
        <v>71.98</v>
      </c>
      <c r="E331" s="1">
        <v>334.15600000000001</v>
      </c>
      <c r="F331">
        <v>2128.7310000000002</v>
      </c>
      <c r="G331" s="1">
        <v>1794.5750000000003</v>
      </c>
      <c r="H331" s="5">
        <v>865.25899999999956</v>
      </c>
      <c r="I331" t="s">
        <v>10</v>
      </c>
    </row>
    <row r="332" spans="1:9" x14ac:dyDescent="0.3">
      <c r="A332">
        <v>8683699399</v>
      </c>
      <c r="B332">
        <v>3563.99</v>
      </c>
      <c r="C332" s="1">
        <v>883.15700000000004</v>
      </c>
      <c r="D332" s="1">
        <v>71.98</v>
      </c>
      <c r="E332" s="1">
        <v>397.77100000000002</v>
      </c>
      <c r="F332">
        <v>2589.7600000000002</v>
      </c>
      <c r="G332" s="1">
        <v>2191.989</v>
      </c>
      <c r="H332" s="5">
        <v>974.22999999999956</v>
      </c>
      <c r="I332" t="s">
        <v>10</v>
      </c>
    </row>
    <row r="333" spans="1:9" x14ac:dyDescent="0.3">
      <c r="A333">
        <v>8694664242</v>
      </c>
      <c r="B333">
        <v>2644</v>
      </c>
      <c r="C333" s="1">
        <v>842.37800000000004</v>
      </c>
      <c r="D333" s="1">
        <v>71.98</v>
      </c>
      <c r="E333" s="1">
        <v>414.52299999999997</v>
      </c>
      <c r="F333">
        <v>1716.1980000000001</v>
      </c>
      <c r="G333" s="1">
        <v>1301.6750000000002</v>
      </c>
      <c r="H333" s="5">
        <v>927.80199999999991</v>
      </c>
      <c r="I333" t="s">
        <v>10</v>
      </c>
    </row>
    <row r="334" spans="1:9" x14ac:dyDescent="0.3">
      <c r="A334">
        <v>8672940065</v>
      </c>
      <c r="B334">
        <v>3544</v>
      </c>
      <c r="C334" s="1">
        <v>920.02200000000005</v>
      </c>
      <c r="D334" s="1">
        <v>71.98</v>
      </c>
      <c r="E334" s="1">
        <v>395.53100000000001</v>
      </c>
      <c r="F334">
        <v>2533.0129999999999</v>
      </c>
      <c r="G334" s="1">
        <v>2137.482</v>
      </c>
      <c r="H334" s="5">
        <v>1010.9870000000001</v>
      </c>
      <c r="I334" t="s">
        <v>10</v>
      </c>
    </row>
    <row r="335" spans="1:9" x14ac:dyDescent="0.3">
      <c r="A335">
        <v>8682620190</v>
      </c>
      <c r="B335">
        <v>3563.99</v>
      </c>
      <c r="C335" s="1">
        <v>883.15700000000004</v>
      </c>
      <c r="D335" s="1">
        <v>71.98</v>
      </c>
      <c r="E335" s="1">
        <v>397.77100000000002</v>
      </c>
      <c r="F335">
        <v>2589.7600000000002</v>
      </c>
      <c r="G335" s="1">
        <v>2191.989</v>
      </c>
      <c r="H335" s="5">
        <v>974.22999999999956</v>
      </c>
      <c r="I335" t="s">
        <v>10</v>
      </c>
    </row>
    <row r="336" spans="1:9" x14ac:dyDescent="0.3">
      <c r="A336">
        <v>8683798730</v>
      </c>
      <c r="B336">
        <v>2293</v>
      </c>
      <c r="C336" s="1">
        <v>730.55</v>
      </c>
      <c r="D336" s="1">
        <v>71.97999999999999</v>
      </c>
      <c r="E336" s="1">
        <v>255.916</v>
      </c>
      <c r="F336">
        <v>1478.1869999999999</v>
      </c>
      <c r="G336" s="1">
        <v>1222.271</v>
      </c>
      <c r="H336" s="5">
        <v>814.8130000000001</v>
      </c>
      <c r="I336" t="s">
        <v>10</v>
      </c>
    </row>
    <row r="337" spans="1:9" x14ac:dyDescent="0.3">
      <c r="A337">
        <v>8672870386</v>
      </c>
      <c r="B337">
        <v>150</v>
      </c>
      <c r="C337" s="1">
        <v>17.7</v>
      </c>
      <c r="D337" s="1">
        <v>31.86</v>
      </c>
      <c r="E337" s="1">
        <v>7.8539999999999992</v>
      </c>
      <c r="F337">
        <v>99.582999999999998</v>
      </c>
      <c r="G337" s="1">
        <v>91.728999999999999</v>
      </c>
      <c r="H337" s="5">
        <v>50.417000000000002</v>
      </c>
      <c r="I337" t="s">
        <v>10</v>
      </c>
    </row>
    <row r="338" spans="1:9" x14ac:dyDescent="0.3">
      <c r="A338">
        <v>8693415291</v>
      </c>
      <c r="B338">
        <v>3564</v>
      </c>
      <c r="C338" s="1">
        <v>883.15899999999999</v>
      </c>
      <c r="D338" s="1">
        <v>71.98</v>
      </c>
      <c r="E338" s="1">
        <v>558.76199999999994</v>
      </c>
      <c r="F338">
        <v>2590.739</v>
      </c>
      <c r="G338" s="1">
        <v>2031.9770000000001</v>
      </c>
      <c r="H338" s="5">
        <v>973.26099999999997</v>
      </c>
      <c r="I338" t="s">
        <v>10</v>
      </c>
    </row>
    <row r="339" spans="1:9" x14ac:dyDescent="0.3">
      <c r="A339">
        <v>8661360320</v>
      </c>
      <c r="B339">
        <v>3794</v>
      </c>
      <c r="C339" s="1">
        <v>940.15300000000002</v>
      </c>
      <c r="D339" s="1">
        <v>71.98</v>
      </c>
      <c r="E339" s="1">
        <v>423.43700000000001</v>
      </c>
      <c r="F339">
        <v>2761.5419999999999</v>
      </c>
      <c r="G339" s="1">
        <v>2338.105</v>
      </c>
      <c r="H339" s="5">
        <v>1032.4580000000001</v>
      </c>
      <c r="I339" t="s">
        <v>10</v>
      </c>
    </row>
    <row r="340" spans="1:9" x14ac:dyDescent="0.3">
      <c r="A340">
        <v>8686513129</v>
      </c>
      <c r="B340">
        <v>2417</v>
      </c>
      <c r="C340" s="1">
        <v>627.45299999999997</v>
      </c>
      <c r="D340" s="1">
        <v>71.98</v>
      </c>
      <c r="E340" s="1">
        <v>269.75</v>
      </c>
      <c r="F340">
        <v>1704.6189999999999</v>
      </c>
      <c r="G340" s="1">
        <v>1434.8689999999999</v>
      </c>
      <c r="H340" s="5">
        <v>712.38100000000009</v>
      </c>
      <c r="I340" t="s">
        <v>10</v>
      </c>
    </row>
    <row r="341" spans="1:9" x14ac:dyDescent="0.3">
      <c r="A341">
        <v>8665912845</v>
      </c>
      <c r="B341">
        <v>1054</v>
      </c>
      <c r="C341" s="1">
        <v>236.30699999999999</v>
      </c>
      <c r="D341" s="1">
        <v>53.1</v>
      </c>
      <c r="E341" s="1">
        <v>117.63500000000001</v>
      </c>
      <c r="F341">
        <v>758.947</v>
      </c>
      <c r="G341" s="1">
        <v>641.31200000000001</v>
      </c>
      <c r="H341" s="5">
        <v>295.053</v>
      </c>
      <c r="I341" t="s">
        <v>10</v>
      </c>
    </row>
    <row r="342" spans="1:9" x14ac:dyDescent="0.3">
      <c r="A342">
        <v>8710495331</v>
      </c>
      <c r="B342">
        <v>2149.9900000000002</v>
      </c>
      <c r="C342" s="1">
        <v>684.98699999999997</v>
      </c>
      <c r="D342" s="1">
        <v>71.97999999999999</v>
      </c>
      <c r="E342" s="1">
        <v>112.61799999999999</v>
      </c>
      <c r="F342">
        <v>1380.7370000000001</v>
      </c>
      <c r="G342" s="1">
        <v>1268.1190000000001</v>
      </c>
      <c r="H342" s="5">
        <v>769.25300000000016</v>
      </c>
      <c r="I342" t="s">
        <v>10</v>
      </c>
    </row>
    <row r="343" spans="1:9" x14ac:dyDescent="0.3">
      <c r="A343">
        <v>8664041077</v>
      </c>
      <c r="B343">
        <v>3119</v>
      </c>
      <c r="C343" s="1">
        <v>993.71299999999997</v>
      </c>
      <c r="D343" s="1">
        <v>71.98</v>
      </c>
      <c r="E343" s="1">
        <v>348.10399999999998</v>
      </c>
      <c r="F343">
        <v>2036.598</v>
      </c>
      <c r="G343" s="1">
        <v>1688.4939999999999</v>
      </c>
      <c r="H343" s="5">
        <v>1082.402</v>
      </c>
      <c r="I343" t="s">
        <v>10</v>
      </c>
    </row>
    <row r="344" spans="1:9" x14ac:dyDescent="0.3">
      <c r="A344">
        <v>8706210924</v>
      </c>
      <c r="B344">
        <v>391</v>
      </c>
      <c r="C344" s="1">
        <v>9.2279999999999998</v>
      </c>
      <c r="D344" s="1">
        <v>31.86</v>
      </c>
      <c r="E344" s="1">
        <v>20.481999999999999</v>
      </c>
      <c r="F344">
        <v>347.678</v>
      </c>
      <c r="G344" s="1">
        <v>327.19600000000003</v>
      </c>
      <c r="H344" s="5">
        <v>43.322000000000003</v>
      </c>
      <c r="I344" t="s">
        <v>10</v>
      </c>
    </row>
    <row r="345" spans="1:9" x14ac:dyDescent="0.3">
      <c r="A345">
        <v>8650709167</v>
      </c>
      <c r="B345">
        <v>2594</v>
      </c>
      <c r="C345" s="1">
        <v>642.79300000000001</v>
      </c>
      <c r="D345" s="1">
        <v>71.97999999999999</v>
      </c>
      <c r="E345" s="1">
        <v>289.51100000000002</v>
      </c>
      <c r="F345">
        <v>1865.33</v>
      </c>
      <c r="G345" s="1">
        <v>1575.819</v>
      </c>
      <c r="H345" s="5">
        <v>728.67000000000007</v>
      </c>
      <c r="I345" t="s">
        <v>10</v>
      </c>
    </row>
    <row r="346" spans="1:9" x14ac:dyDescent="0.3">
      <c r="A346">
        <v>8672963529</v>
      </c>
      <c r="B346">
        <v>2874</v>
      </c>
      <c r="C346" s="1">
        <v>610.43700000000001</v>
      </c>
      <c r="D346" s="1">
        <v>71.98</v>
      </c>
      <c r="E346" s="1">
        <v>320.76</v>
      </c>
      <c r="F346">
        <v>2176.1869999999999</v>
      </c>
      <c r="G346" s="1">
        <v>1855.4269999999999</v>
      </c>
      <c r="H346" s="5">
        <v>697.8130000000001</v>
      </c>
      <c r="I346" t="s">
        <v>10</v>
      </c>
    </row>
    <row r="347" spans="1:9" x14ac:dyDescent="0.3">
      <c r="A347">
        <v>8672100659</v>
      </c>
      <c r="B347">
        <v>1204</v>
      </c>
      <c r="C347" s="1">
        <v>298.351</v>
      </c>
      <c r="D347" s="1">
        <v>53.1</v>
      </c>
      <c r="E347" s="1">
        <v>134.375</v>
      </c>
      <c r="F347">
        <v>846.09900000000005</v>
      </c>
      <c r="G347" s="1">
        <v>711.72400000000005</v>
      </c>
      <c r="H347" s="5">
        <v>357.90099999999995</v>
      </c>
      <c r="I347" t="s">
        <v>10</v>
      </c>
    </row>
    <row r="348" spans="1:9" x14ac:dyDescent="0.3">
      <c r="A348">
        <v>8689271567</v>
      </c>
      <c r="B348">
        <v>2794</v>
      </c>
      <c r="C348" s="1">
        <v>692.35299999999995</v>
      </c>
      <c r="D348" s="1">
        <v>71.98</v>
      </c>
      <c r="E348" s="1">
        <v>438.03899999999999</v>
      </c>
      <c r="F348">
        <v>2015.46</v>
      </c>
      <c r="G348" s="1">
        <v>1577.421</v>
      </c>
      <c r="H348" s="5">
        <v>778.54</v>
      </c>
      <c r="I348" t="s">
        <v>10</v>
      </c>
    </row>
    <row r="349" spans="1:9" x14ac:dyDescent="0.3">
      <c r="A349">
        <v>8664000175</v>
      </c>
      <c r="B349">
        <v>2594</v>
      </c>
      <c r="C349" s="1">
        <v>550.96600000000001</v>
      </c>
      <c r="D349" s="1">
        <v>71.98</v>
      </c>
      <c r="E349" s="1">
        <v>289.51</v>
      </c>
      <c r="F349">
        <v>1957.1579999999999</v>
      </c>
      <c r="G349" s="1">
        <v>1667.6479999999999</v>
      </c>
      <c r="H349" s="5">
        <v>636.8420000000001</v>
      </c>
      <c r="I349" t="s">
        <v>10</v>
      </c>
    </row>
    <row r="350" spans="1:9" x14ac:dyDescent="0.3">
      <c r="A350">
        <v>8675096594</v>
      </c>
      <c r="B350">
        <v>2794</v>
      </c>
      <c r="C350" s="1">
        <v>692.35299999999995</v>
      </c>
      <c r="D350" s="1">
        <v>71.98</v>
      </c>
      <c r="E350" s="1">
        <v>311.83300000000003</v>
      </c>
      <c r="F350">
        <v>2014.6990000000001</v>
      </c>
      <c r="G350" s="1">
        <v>1702.866</v>
      </c>
      <c r="H350" s="5">
        <v>779.30099999999993</v>
      </c>
      <c r="I350" t="s">
        <v>10</v>
      </c>
    </row>
    <row r="351" spans="1:9" x14ac:dyDescent="0.3">
      <c r="A351">
        <v>8658461828</v>
      </c>
      <c r="B351">
        <v>2994</v>
      </c>
      <c r="C351" s="1">
        <v>741.91300000000001</v>
      </c>
      <c r="D351" s="1">
        <v>71.98</v>
      </c>
      <c r="E351" s="1">
        <v>334.15600000000001</v>
      </c>
      <c r="F351">
        <v>2164.0680000000002</v>
      </c>
      <c r="G351" s="1">
        <v>1829.9120000000003</v>
      </c>
      <c r="H351" s="5">
        <v>829.93199999999979</v>
      </c>
      <c r="I351" t="s">
        <v>10</v>
      </c>
    </row>
    <row r="352" spans="1:9" x14ac:dyDescent="0.3">
      <c r="A352">
        <v>8670048910</v>
      </c>
      <c r="B352">
        <v>2169</v>
      </c>
      <c r="C352" s="1">
        <v>691.04300000000001</v>
      </c>
      <c r="D352" s="1">
        <v>71.98</v>
      </c>
      <c r="E352" s="1">
        <v>242.07299999999998</v>
      </c>
      <c r="F352">
        <v>1394.357</v>
      </c>
      <c r="G352" s="1">
        <v>1152.2840000000001</v>
      </c>
      <c r="H352" s="5">
        <v>774.64300000000003</v>
      </c>
      <c r="I352" t="s">
        <v>10</v>
      </c>
    </row>
    <row r="353" spans="1:9" x14ac:dyDescent="0.3">
      <c r="A353">
        <v>8672536845</v>
      </c>
      <c r="B353">
        <v>2294</v>
      </c>
      <c r="C353" s="1">
        <v>730.86800000000005</v>
      </c>
      <c r="D353" s="1">
        <v>71.98</v>
      </c>
      <c r="E353" s="1">
        <v>256.03100000000001</v>
      </c>
      <c r="F353">
        <v>1478.8630000000001</v>
      </c>
      <c r="G353" s="1">
        <v>1222.8320000000001</v>
      </c>
      <c r="H353" s="5">
        <v>815.13699999999994</v>
      </c>
      <c r="I353" t="s">
        <v>10</v>
      </c>
    </row>
    <row r="354" spans="1:9" x14ac:dyDescent="0.3">
      <c r="A354">
        <v>8695472253</v>
      </c>
      <c r="B354">
        <v>3329</v>
      </c>
      <c r="C354" s="1">
        <v>707.08</v>
      </c>
      <c r="D354" s="1">
        <v>71.98</v>
      </c>
      <c r="E354" s="1">
        <v>521.91600000000005</v>
      </c>
      <c r="F354">
        <v>2533.0129999999999</v>
      </c>
      <c r="G354" s="1">
        <v>2011.0969999999998</v>
      </c>
      <c r="H354" s="5">
        <v>795.98700000000008</v>
      </c>
      <c r="I354" t="s">
        <v>10</v>
      </c>
    </row>
    <row r="355" spans="1:9" x14ac:dyDescent="0.3">
      <c r="A355">
        <v>8696936954</v>
      </c>
      <c r="B355">
        <v>3143</v>
      </c>
      <c r="C355" s="1">
        <v>667.57299999999998</v>
      </c>
      <c r="D355" s="1">
        <v>71.98</v>
      </c>
      <c r="E355" s="1">
        <v>492.75799999999998</v>
      </c>
      <c r="F355">
        <v>2387.4650000000001</v>
      </c>
      <c r="G355" s="1">
        <v>1894.7070000000001</v>
      </c>
      <c r="H355" s="5">
        <v>755.53499999999985</v>
      </c>
      <c r="I355" t="s">
        <v>10</v>
      </c>
    </row>
    <row r="356" spans="1:9" x14ac:dyDescent="0.3">
      <c r="A356">
        <v>8663891760</v>
      </c>
      <c r="B356">
        <v>1629</v>
      </c>
      <c r="C356" s="1">
        <v>442.11099999999999</v>
      </c>
      <c r="D356" s="1">
        <v>53.1</v>
      </c>
      <c r="E356" s="1">
        <v>181.81199999999998</v>
      </c>
      <c r="F356">
        <v>1125.0630000000001</v>
      </c>
      <c r="G356" s="1">
        <v>943.25100000000009</v>
      </c>
      <c r="H356" s="5">
        <v>503.9369999999999</v>
      </c>
      <c r="I356" t="s">
        <v>10</v>
      </c>
    </row>
    <row r="357" spans="1:9" x14ac:dyDescent="0.3">
      <c r="A357">
        <v>8675256419</v>
      </c>
      <c r="B357">
        <v>2394</v>
      </c>
      <c r="C357" s="1">
        <v>621.48199999999997</v>
      </c>
      <c r="D357" s="1">
        <v>71.98</v>
      </c>
      <c r="E357" s="1">
        <v>267.18799999999999</v>
      </c>
      <c r="F357">
        <v>1687.713</v>
      </c>
      <c r="G357" s="1">
        <v>1420.5250000000001</v>
      </c>
      <c r="H357" s="5">
        <v>706.28700000000003</v>
      </c>
      <c r="I357" t="s">
        <v>10</v>
      </c>
    </row>
    <row r="358" spans="1:9" x14ac:dyDescent="0.3">
      <c r="A358">
        <v>8694116902</v>
      </c>
      <c r="B358">
        <v>1204</v>
      </c>
      <c r="C358" s="1">
        <v>326.76600000000002</v>
      </c>
      <c r="D358" s="1">
        <v>53.1</v>
      </c>
      <c r="E358" s="1">
        <v>63.062999999999995</v>
      </c>
      <c r="F358">
        <v>817.25400000000002</v>
      </c>
      <c r="G358" s="1">
        <v>754.19100000000003</v>
      </c>
      <c r="H358" s="5">
        <v>386.74599999999998</v>
      </c>
      <c r="I358" t="s">
        <v>10</v>
      </c>
    </row>
    <row r="359" spans="1:9" x14ac:dyDescent="0.3">
      <c r="A359">
        <v>8668992574</v>
      </c>
      <c r="B359">
        <v>1818.99</v>
      </c>
      <c r="C359" s="1">
        <v>536.60199999999998</v>
      </c>
      <c r="D359" s="1">
        <v>53.1</v>
      </c>
      <c r="E359" s="1">
        <v>203.02</v>
      </c>
      <c r="F359">
        <v>1219.5440000000001</v>
      </c>
      <c r="G359" s="1">
        <v>1016.5240000000001</v>
      </c>
      <c r="H359" s="5">
        <v>599.44599999999991</v>
      </c>
      <c r="I359" t="s">
        <v>10</v>
      </c>
    </row>
    <row r="360" spans="1:9" x14ac:dyDescent="0.3">
      <c r="A360">
        <v>8672924800</v>
      </c>
      <c r="B360">
        <v>3213.9900000000002</v>
      </c>
      <c r="C360" s="1">
        <v>796.42700000000002</v>
      </c>
      <c r="D360" s="1">
        <v>71.98</v>
      </c>
      <c r="E360" s="1">
        <v>358.70800000000003</v>
      </c>
      <c r="F360">
        <v>2328.3649999999998</v>
      </c>
      <c r="G360" s="1">
        <v>1969.6569999999997</v>
      </c>
      <c r="H360" s="5">
        <v>885.62500000000045</v>
      </c>
      <c r="I360" t="s">
        <v>10</v>
      </c>
    </row>
    <row r="361" spans="1:9" x14ac:dyDescent="0.3">
      <c r="A361">
        <v>8662341757</v>
      </c>
      <c r="B361">
        <v>3294</v>
      </c>
      <c r="C361" s="1">
        <v>1049.4680000000001</v>
      </c>
      <c r="D361" s="1">
        <v>71.98</v>
      </c>
      <c r="E361" s="1">
        <v>367.63499999999999</v>
      </c>
      <c r="F361">
        <v>2154.9059999999999</v>
      </c>
      <c r="G361" s="1">
        <v>1787.271</v>
      </c>
      <c r="H361" s="5">
        <v>1139.0940000000001</v>
      </c>
      <c r="I361" t="s">
        <v>10</v>
      </c>
    </row>
    <row r="362" spans="1:9" x14ac:dyDescent="0.3">
      <c r="A362">
        <v>8682748140</v>
      </c>
      <c r="B362">
        <v>1169</v>
      </c>
      <c r="C362" s="1">
        <v>262.08999999999997</v>
      </c>
      <c r="D362" s="1">
        <v>53.1</v>
      </c>
      <c r="E362" s="1">
        <v>130.46899999999999</v>
      </c>
      <c r="F362">
        <v>847.54700000000003</v>
      </c>
      <c r="G362" s="1">
        <v>717.07799999999997</v>
      </c>
      <c r="H362" s="5">
        <v>321.45299999999997</v>
      </c>
      <c r="I362" t="s">
        <v>10</v>
      </c>
    </row>
    <row r="363" spans="1:9" x14ac:dyDescent="0.3">
      <c r="A363">
        <v>8683362445</v>
      </c>
      <c r="B363">
        <v>4219</v>
      </c>
      <c r="C363" s="1">
        <v>1045.4680000000001</v>
      </c>
      <c r="D363" s="1">
        <v>71.98</v>
      </c>
      <c r="E363" s="1">
        <v>470.875</v>
      </c>
      <c r="F363">
        <v>3078.95</v>
      </c>
      <c r="G363" s="1">
        <v>2608.0749999999998</v>
      </c>
      <c r="H363" s="5">
        <v>1140.0500000000002</v>
      </c>
      <c r="I363" t="s">
        <v>10</v>
      </c>
    </row>
    <row r="364" spans="1:9" x14ac:dyDescent="0.3">
      <c r="A364">
        <v>8649615155</v>
      </c>
      <c r="B364">
        <v>2594</v>
      </c>
      <c r="C364" s="1">
        <v>550.96600000000001</v>
      </c>
      <c r="D364" s="1">
        <v>71.98</v>
      </c>
      <c r="E364" s="1">
        <v>289.51</v>
      </c>
      <c r="F364">
        <v>1957.1579999999999</v>
      </c>
      <c r="G364" s="1">
        <v>1667.6479999999999</v>
      </c>
      <c r="H364" s="5">
        <v>636.8420000000001</v>
      </c>
      <c r="I364" t="s">
        <v>10</v>
      </c>
    </row>
    <row r="365" spans="1:9" x14ac:dyDescent="0.3">
      <c r="A365">
        <v>8671776895</v>
      </c>
      <c r="B365">
        <v>2594</v>
      </c>
      <c r="C365" s="1">
        <v>550.96600000000001</v>
      </c>
      <c r="D365" s="1">
        <v>71.98</v>
      </c>
      <c r="E365" s="1">
        <v>289.51</v>
      </c>
      <c r="F365">
        <v>1957.1579999999999</v>
      </c>
      <c r="G365" s="1">
        <v>1667.6479999999999</v>
      </c>
      <c r="H365" s="5">
        <v>636.8420000000001</v>
      </c>
      <c r="I365" t="s">
        <v>10</v>
      </c>
    </row>
    <row r="366" spans="1:9" x14ac:dyDescent="0.3">
      <c r="A366">
        <v>8676687007</v>
      </c>
      <c r="B366">
        <v>1149</v>
      </c>
      <c r="C366" s="1">
        <v>366.07100000000003</v>
      </c>
      <c r="D366" s="1">
        <v>53.1</v>
      </c>
      <c r="E366" s="1">
        <v>128.239</v>
      </c>
      <c r="F366">
        <v>723.67399999999998</v>
      </c>
      <c r="G366" s="1">
        <v>595.43499999999995</v>
      </c>
      <c r="H366" s="5">
        <v>425.32600000000002</v>
      </c>
      <c r="I366" t="s">
        <v>10</v>
      </c>
    </row>
    <row r="367" spans="1:9" x14ac:dyDescent="0.3">
      <c r="A367">
        <v>8689364850</v>
      </c>
      <c r="B367">
        <v>1102</v>
      </c>
      <c r="C367" s="1">
        <v>247.06800000000001</v>
      </c>
      <c r="D367" s="1">
        <v>53.1</v>
      </c>
      <c r="E367" s="1">
        <v>57.727999999999994</v>
      </c>
      <c r="F367">
        <v>795.53499999999997</v>
      </c>
      <c r="G367" s="1">
        <v>737.80700000000002</v>
      </c>
      <c r="H367" s="5">
        <v>306.46500000000003</v>
      </c>
      <c r="I367" t="s">
        <v>10</v>
      </c>
    </row>
    <row r="368" spans="1:9" x14ac:dyDescent="0.3">
      <c r="A368">
        <v>8695986634</v>
      </c>
      <c r="B368">
        <v>3564</v>
      </c>
      <c r="C368" s="1">
        <v>883.15899999999999</v>
      </c>
      <c r="D368" s="1">
        <v>71.98</v>
      </c>
      <c r="E368" s="1">
        <v>558.76199999999994</v>
      </c>
      <c r="F368">
        <v>2590.739</v>
      </c>
      <c r="G368" s="1">
        <v>2031.9770000000001</v>
      </c>
      <c r="H368" s="5">
        <v>973.26099999999997</v>
      </c>
      <c r="I368" t="s">
        <v>10</v>
      </c>
    </row>
    <row r="369" spans="1:9" x14ac:dyDescent="0.3">
      <c r="A369">
        <v>8661889346</v>
      </c>
      <c r="B369">
        <v>2556</v>
      </c>
      <c r="C369" s="1">
        <v>663.53800000000001</v>
      </c>
      <c r="D369" s="1">
        <v>71.98</v>
      </c>
      <c r="E369" s="1">
        <v>285.27100000000002</v>
      </c>
      <c r="F369">
        <v>1806.789</v>
      </c>
      <c r="G369" s="1">
        <v>1521.518</v>
      </c>
      <c r="H369" s="5">
        <v>749.21100000000001</v>
      </c>
      <c r="I369" t="s">
        <v>10</v>
      </c>
    </row>
    <row r="370" spans="1:9" x14ac:dyDescent="0.3">
      <c r="A370">
        <v>8674661457</v>
      </c>
      <c r="B370">
        <v>1079</v>
      </c>
      <c r="C370" s="1">
        <v>280.108</v>
      </c>
      <c r="D370" s="1">
        <v>53.1</v>
      </c>
      <c r="E370" s="1">
        <v>120.42699999999999</v>
      </c>
      <c r="F370">
        <v>740.01199999999994</v>
      </c>
      <c r="G370" s="1">
        <v>619.58499999999992</v>
      </c>
      <c r="H370" s="5">
        <v>338.98800000000006</v>
      </c>
      <c r="I370" t="s">
        <v>10</v>
      </c>
    </row>
    <row r="371" spans="1:9" x14ac:dyDescent="0.3">
      <c r="A371">
        <v>8698580421</v>
      </c>
      <c r="B371">
        <v>1716.99</v>
      </c>
      <c r="C371" s="1">
        <v>465.99099999999999</v>
      </c>
      <c r="D371" s="1">
        <v>53.1</v>
      </c>
      <c r="E371" s="1">
        <v>89.936000000000007</v>
      </c>
      <c r="F371">
        <v>1188.088</v>
      </c>
      <c r="G371" s="1">
        <v>1098.152</v>
      </c>
      <c r="H371" s="5">
        <v>528.90200000000004</v>
      </c>
      <c r="I371" t="s">
        <v>10</v>
      </c>
    </row>
    <row r="372" spans="1:9" x14ac:dyDescent="0.3">
      <c r="A372">
        <v>8673323216</v>
      </c>
      <c r="B372">
        <v>2993.98</v>
      </c>
      <c r="C372" s="1">
        <v>635.92100000000005</v>
      </c>
      <c r="D372" s="1">
        <v>71.98</v>
      </c>
      <c r="E372" s="1">
        <v>334.14599999999996</v>
      </c>
      <c r="F372">
        <v>2270.04</v>
      </c>
      <c r="G372" s="1">
        <v>1935.894</v>
      </c>
      <c r="H372" s="5">
        <v>723.94</v>
      </c>
      <c r="I372" t="s">
        <v>10</v>
      </c>
    </row>
    <row r="373" spans="1:9" x14ac:dyDescent="0.3">
      <c r="A373">
        <v>8690064005</v>
      </c>
      <c r="B373">
        <v>2719</v>
      </c>
      <c r="C373" s="1">
        <v>705.85199999999998</v>
      </c>
      <c r="D373" s="1">
        <v>71.98</v>
      </c>
      <c r="E373" s="1">
        <v>426.28100000000001</v>
      </c>
      <c r="F373">
        <v>1927.3430000000001</v>
      </c>
      <c r="G373" s="1">
        <v>1501.0620000000001</v>
      </c>
      <c r="H373" s="5">
        <v>791.65699999999993</v>
      </c>
      <c r="I373" t="s">
        <v>10</v>
      </c>
    </row>
    <row r="374" spans="1:9" x14ac:dyDescent="0.3">
      <c r="G37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4BB1-564D-4F58-B813-5CB1849CC10B}">
  <dimension ref="A1:K282"/>
  <sheetViews>
    <sheetView tabSelected="1" workbookViewId="0">
      <selection activeCell="I2" sqref="I2"/>
    </sheetView>
  </sheetViews>
  <sheetFormatPr defaultRowHeight="14.4" x14ac:dyDescent="0.3"/>
  <cols>
    <col min="1" max="1" width="15.109375" bestFit="1" customWidth="1"/>
    <col min="2" max="2" width="18.109375" bestFit="1" customWidth="1"/>
    <col min="3" max="3" width="11.21875" style="5" bestFit="1" customWidth="1"/>
    <col min="4" max="4" width="8" bestFit="1" customWidth="1"/>
    <col min="5" max="5" width="17.33203125" bestFit="1" customWidth="1"/>
    <col min="6" max="6" width="13.88671875" bestFit="1" customWidth="1"/>
    <col min="7" max="7" width="17.21875" bestFit="1" customWidth="1"/>
    <col min="8" max="8" width="13.77734375" bestFit="1" customWidth="1"/>
  </cols>
  <sheetData>
    <row r="1" spans="1:11" x14ac:dyDescent="0.3">
      <c r="A1" s="3" t="s">
        <v>15</v>
      </c>
      <c r="B1" s="3" t="s">
        <v>16</v>
      </c>
      <c r="C1" s="3" t="s">
        <v>2</v>
      </c>
      <c r="D1" s="3" t="s">
        <v>3</v>
      </c>
      <c r="E1" s="3" t="s">
        <v>20</v>
      </c>
      <c r="F1" s="3" t="s">
        <v>19</v>
      </c>
      <c r="G1" s="3" t="s">
        <v>21</v>
      </c>
      <c r="H1" s="3" t="s">
        <v>22</v>
      </c>
    </row>
    <row r="2" spans="1:11" x14ac:dyDescent="0.3">
      <c r="A2" s="5">
        <v>8620217140</v>
      </c>
      <c r="B2" s="5">
        <v>5212</v>
      </c>
      <c r="C2" s="5">
        <v>1562.6590000000001</v>
      </c>
      <c r="D2" s="5">
        <v>71.98</v>
      </c>
      <c r="E2" s="5">
        <v>3371.3609999999999</v>
      </c>
      <c r="F2" s="5">
        <v>197.06</v>
      </c>
      <c r="G2" s="5">
        <v>3640.4009999999998</v>
      </c>
      <c r="H2" s="6">
        <f t="shared" ref="H2:H65" si="0">E2-G2</f>
        <v>-269.03999999999996</v>
      </c>
      <c r="K2" s="4"/>
    </row>
    <row r="3" spans="1:11" x14ac:dyDescent="0.3">
      <c r="A3" s="5">
        <v>8647172312</v>
      </c>
      <c r="B3" s="5">
        <v>4800</v>
      </c>
      <c r="C3" s="5">
        <v>1325.6320000000001</v>
      </c>
      <c r="D3" s="5">
        <v>71.98</v>
      </c>
      <c r="E3" s="5">
        <v>3196.3879999999999</v>
      </c>
      <c r="F3" s="5">
        <v>197.06</v>
      </c>
      <c r="G3" s="5">
        <v>3465.4279999999999</v>
      </c>
      <c r="H3" s="6">
        <f t="shared" si="0"/>
        <v>-269.03999999999996</v>
      </c>
      <c r="K3" s="4"/>
    </row>
    <row r="4" spans="1:11" x14ac:dyDescent="0.3">
      <c r="A4" s="5">
        <v>8629832600</v>
      </c>
      <c r="B4" s="5">
        <v>4800</v>
      </c>
      <c r="C4" s="5">
        <v>1434.05</v>
      </c>
      <c r="D4" s="5">
        <v>71.98</v>
      </c>
      <c r="E4" s="5">
        <v>3087.9700000000003</v>
      </c>
      <c r="F4" s="5">
        <v>132.16</v>
      </c>
      <c r="G4" s="5">
        <v>3292.11</v>
      </c>
      <c r="H4" s="6">
        <f t="shared" si="0"/>
        <v>-204.13999999999987</v>
      </c>
      <c r="K4" s="4"/>
    </row>
    <row r="5" spans="1:11" x14ac:dyDescent="0.3">
      <c r="A5" s="5">
        <v>8613771637</v>
      </c>
      <c r="B5" s="5">
        <v>4800</v>
      </c>
      <c r="C5" s="5">
        <v>1325.6320000000001</v>
      </c>
      <c r="D5" s="5">
        <v>71.98</v>
      </c>
      <c r="E5" s="5">
        <v>3196.3879999999999</v>
      </c>
      <c r="F5" s="5">
        <v>197.06</v>
      </c>
      <c r="G5" s="5">
        <v>3465.4279999999999</v>
      </c>
      <c r="H5" s="6">
        <f t="shared" si="0"/>
        <v>-269.03999999999996</v>
      </c>
      <c r="K5" s="4"/>
    </row>
    <row r="6" spans="1:11" x14ac:dyDescent="0.3">
      <c r="A6" s="5">
        <v>8611806865</v>
      </c>
      <c r="B6" s="5">
        <v>4800</v>
      </c>
      <c r="C6" s="5">
        <v>1325.6369999999999</v>
      </c>
      <c r="D6" s="5">
        <v>71.98</v>
      </c>
      <c r="E6" s="5">
        <v>3196.4030000000002</v>
      </c>
      <c r="F6" s="5">
        <v>197.06</v>
      </c>
      <c r="G6" s="5">
        <v>3465.4430000000002</v>
      </c>
      <c r="H6" s="6">
        <f t="shared" si="0"/>
        <v>-269.03999999999996</v>
      </c>
      <c r="K6" s="4"/>
    </row>
    <row r="7" spans="1:11" x14ac:dyDescent="0.3">
      <c r="A7" s="5">
        <v>8644200717</v>
      </c>
      <c r="B7" s="5">
        <v>4800</v>
      </c>
      <c r="C7" s="5">
        <v>1434.05</v>
      </c>
      <c r="D7" s="5">
        <v>71.98</v>
      </c>
      <c r="E7" s="5">
        <v>3087.9700000000003</v>
      </c>
      <c r="F7" s="5">
        <v>197.06</v>
      </c>
      <c r="G7" s="5">
        <v>3357.01</v>
      </c>
      <c r="H7" s="6">
        <f t="shared" si="0"/>
        <v>-269.03999999999996</v>
      </c>
      <c r="K7" s="4"/>
    </row>
    <row r="8" spans="1:11" x14ac:dyDescent="0.3">
      <c r="A8" s="5">
        <v>8632082388</v>
      </c>
      <c r="B8" s="5">
        <v>4800</v>
      </c>
      <c r="C8" s="5">
        <v>1325.6320000000001</v>
      </c>
      <c r="D8" s="5">
        <v>71.98</v>
      </c>
      <c r="E8" s="5">
        <v>3196.3879999999999</v>
      </c>
      <c r="F8" s="5">
        <v>197.06</v>
      </c>
      <c r="G8" s="5">
        <v>3465.4279999999999</v>
      </c>
      <c r="H8" s="6">
        <f t="shared" si="0"/>
        <v>-269.03999999999996</v>
      </c>
      <c r="K8" s="4"/>
    </row>
    <row r="9" spans="1:11" x14ac:dyDescent="0.3">
      <c r="A9" s="5">
        <v>8643967266</v>
      </c>
      <c r="B9" s="5">
        <v>4800</v>
      </c>
      <c r="C9" s="5">
        <v>1325.6320000000001</v>
      </c>
      <c r="D9" s="5">
        <v>71.98</v>
      </c>
      <c r="E9" s="5">
        <v>3196.3879999999999</v>
      </c>
      <c r="F9" s="5">
        <v>132.16</v>
      </c>
      <c r="G9" s="5">
        <v>3400.5279999999998</v>
      </c>
      <c r="H9" s="6">
        <f t="shared" si="0"/>
        <v>-204.13999999999987</v>
      </c>
      <c r="K9" s="4"/>
    </row>
    <row r="10" spans="1:11" x14ac:dyDescent="0.3">
      <c r="A10" s="5">
        <v>8637117652</v>
      </c>
      <c r="B10" s="5">
        <v>4785</v>
      </c>
      <c r="C10" s="5">
        <v>1159.2059999999999</v>
      </c>
      <c r="D10" s="5">
        <v>71.98</v>
      </c>
      <c r="E10" s="5">
        <v>3347.8139999999999</v>
      </c>
      <c r="F10" s="5">
        <v>197.06</v>
      </c>
      <c r="G10" s="5">
        <v>3616.8539999999998</v>
      </c>
      <c r="H10" s="6">
        <f t="shared" si="0"/>
        <v>-269.03999999999996</v>
      </c>
      <c r="K10" s="4"/>
    </row>
    <row r="11" spans="1:11" x14ac:dyDescent="0.3">
      <c r="A11" s="5">
        <v>8612739940</v>
      </c>
      <c r="B11" s="5">
        <v>4750</v>
      </c>
      <c r="C11" s="5">
        <v>1150.346</v>
      </c>
      <c r="D11" s="5">
        <v>71.98</v>
      </c>
      <c r="E11" s="5">
        <v>3321.674</v>
      </c>
      <c r="F11" s="5">
        <v>197.06</v>
      </c>
      <c r="G11" s="5">
        <v>3590.7139999999999</v>
      </c>
      <c r="H11" s="6">
        <f t="shared" si="0"/>
        <v>-269.03999999999996</v>
      </c>
      <c r="K11" s="4"/>
    </row>
    <row r="12" spans="1:11" x14ac:dyDescent="0.3">
      <c r="A12" s="5">
        <v>8690365732</v>
      </c>
      <c r="B12" s="5">
        <v>4750</v>
      </c>
      <c r="C12" s="5">
        <v>1149.106</v>
      </c>
      <c r="D12" s="5">
        <v>71.98</v>
      </c>
      <c r="E12" s="5">
        <v>3322.904</v>
      </c>
      <c r="F12" s="5">
        <v>197.06</v>
      </c>
      <c r="G12" s="5">
        <v>3591.944</v>
      </c>
      <c r="H12" s="6">
        <f t="shared" si="0"/>
        <v>-269.03999999999996</v>
      </c>
      <c r="K12" s="4"/>
    </row>
    <row r="13" spans="1:11" x14ac:dyDescent="0.3">
      <c r="A13" s="5">
        <v>8612775582</v>
      </c>
      <c r="B13" s="5">
        <v>4500</v>
      </c>
      <c r="C13" s="5">
        <v>1340.403</v>
      </c>
      <c r="D13" s="5">
        <v>71.98</v>
      </c>
      <c r="E13" s="5">
        <v>2881.6170000000002</v>
      </c>
      <c r="F13" s="5">
        <v>197.06</v>
      </c>
      <c r="G13" s="5">
        <v>3150.6570000000002</v>
      </c>
      <c r="H13" s="6">
        <f t="shared" si="0"/>
        <v>-269.03999999999996</v>
      </c>
      <c r="K13" s="4"/>
    </row>
    <row r="14" spans="1:11" x14ac:dyDescent="0.3">
      <c r="A14" s="5">
        <v>8591878358</v>
      </c>
      <c r="B14" s="5">
        <v>4500</v>
      </c>
      <c r="C14" s="5">
        <v>1340.403</v>
      </c>
      <c r="D14" s="5">
        <v>71.98</v>
      </c>
      <c r="E14" s="5">
        <v>2881.6170000000002</v>
      </c>
      <c r="F14" s="5">
        <v>197.06</v>
      </c>
      <c r="G14" s="5">
        <v>3150.6570000000002</v>
      </c>
      <c r="H14" s="6">
        <f t="shared" si="0"/>
        <v>-269.03999999999996</v>
      </c>
      <c r="K14" s="4"/>
    </row>
    <row r="15" spans="1:11" x14ac:dyDescent="0.3">
      <c r="A15" s="5">
        <v>8616771946</v>
      </c>
      <c r="B15" s="5">
        <v>4500</v>
      </c>
      <c r="C15" s="5">
        <v>1340.396</v>
      </c>
      <c r="D15" s="5">
        <v>71.98</v>
      </c>
      <c r="E15" s="5">
        <v>2881.6039999999998</v>
      </c>
      <c r="F15" s="5">
        <v>197.06</v>
      </c>
      <c r="G15" s="5">
        <v>3150.6439999999998</v>
      </c>
      <c r="H15" s="6">
        <f t="shared" si="0"/>
        <v>-269.03999999999996</v>
      </c>
      <c r="K15" s="4"/>
    </row>
    <row r="16" spans="1:11" x14ac:dyDescent="0.3">
      <c r="A16" s="5">
        <v>8695880488</v>
      </c>
      <c r="B16" s="5">
        <v>4425</v>
      </c>
      <c r="C16" s="5">
        <v>1066.92</v>
      </c>
      <c r="D16" s="5">
        <v>71.98</v>
      </c>
      <c r="E16" s="5">
        <v>3080.1</v>
      </c>
      <c r="F16" s="5">
        <v>197.06</v>
      </c>
      <c r="G16" s="5">
        <v>3349.14</v>
      </c>
      <c r="H16" s="6">
        <f t="shared" si="0"/>
        <v>-269.03999999999996</v>
      </c>
      <c r="K16" s="4"/>
    </row>
    <row r="17" spans="1:11" x14ac:dyDescent="0.3">
      <c r="A17" s="5">
        <v>8687890011</v>
      </c>
      <c r="B17" s="5">
        <v>4425</v>
      </c>
      <c r="C17" s="5">
        <v>1066.92</v>
      </c>
      <c r="D17" s="5">
        <v>71.98</v>
      </c>
      <c r="E17" s="5">
        <v>3080.1</v>
      </c>
      <c r="F17" s="5">
        <v>107.38</v>
      </c>
      <c r="G17" s="5">
        <v>3259.46</v>
      </c>
      <c r="H17" s="6">
        <f t="shared" si="0"/>
        <v>-179.36000000000013</v>
      </c>
      <c r="K17" s="4"/>
    </row>
    <row r="18" spans="1:11" x14ac:dyDescent="0.3">
      <c r="A18" s="5">
        <v>8663980354</v>
      </c>
      <c r="B18" s="5">
        <v>4400</v>
      </c>
      <c r="C18" s="5">
        <v>1358.673</v>
      </c>
      <c r="D18" s="5">
        <v>71.98</v>
      </c>
      <c r="E18" s="5">
        <v>2763.337</v>
      </c>
      <c r="F18" s="5">
        <v>197.06</v>
      </c>
      <c r="G18" s="5">
        <v>3032.377</v>
      </c>
      <c r="H18" s="6">
        <f t="shared" si="0"/>
        <v>-269.03999999999996</v>
      </c>
      <c r="K18" s="4"/>
    </row>
    <row r="19" spans="1:11" x14ac:dyDescent="0.3">
      <c r="A19" s="5">
        <v>8681666404</v>
      </c>
      <c r="B19" s="5">
        <v>4275</v>
      </c>
      <c r="C19" s="5">
        <v>1030.096</v>
      </c>
      <c r="D19" s="5">
        <v>71.98</v>
      </c>
      <c r="E19" s="5">
        <v>2966.924</v>
      </c>
      <c r="F19" s="5">
        <v>197.06</v>
      </c>
      <c r="G19" s="5">
        <v>3235.9639999999999</v>
      </c>
      <c r="H19" s="6">
        <f t="shared" si="0"/>
        <v>-269.03999999999996</v>
      </c>
      <c r="K19" s="4"/>
    </row>
    <row r="20" spans="1:11" x14ac:dyDescent="0.3">
      <c r="A20" s="5">
        <v>8668327470</v>
      </c>
      <c r="B20" s="5">
        <v>4251</v>
      </c>
      <c r="C20" s="5">
        <v>1310.4069999999999</v>
      </c>
      <c r="D20" s="5">
        <v>71.98</v>
      </c>
      <c r="E20" s="5">
        <v>2662.6129999999998</v>
      </c>
      <c r="F20" s="5">
        <v>197.06</v>
      </c>
      <c r="G20" s="5">
        <v>2931.6529999999998</v>
      </c>
      <c r="H20" s="6">
        <f t="shared" si="0"/>
        <v>-269.03999999999996</v>
      </c>
      <c r="K20" s="4"/>
    </row>
    <row r="21" spans="1:11" x14ac:dyDescent="0.3">
      <c r="A21" s="5">
        <v>8677429792</v>
      </c>
      <c r="B21" s="5">
        <v>4251</v>
      </c>
      <c r="C21" s="5">
        <v>1310.404</v>
      </c>
      <c r="D21" s="5">
        <v>71.98</v>
      </c>
      <c r="E21" s="5">
        <v>2662.6060000000002</v>
      </c>
      <c r="F21" s="5">
        <v>197.06</v>
      </c>
      <c r="G21" s="5">
        <v>2931.6460000000002</v>
      </c>
      <c r="H21" s="6">
        <f t="shared" si="0"/>
        <v>-269.03999999999996</v>
      </c>
      <c r="K21" s="4"/>
    </row>
    <row r="22" spans="1:11" x14ac:dyDescent="0.3">
      <c r="A22" s="5">
        <v>8622910273</v>
      </c>
      <c r="B22" s="5">
        <v>4200</v>
      </c>
      <c r="C22" s="5">
        <v>1293.884</v>
      </c>
      <c r="D22" s="5">
        <v>71.98</v>
      </c>
      <c r="E22" s="5">
        <v>2628.136</v>
      </c>
      <c r="F22" s="5">
        <v>197.06</v>
      </c>
      <c r="G22" s="5">
        <v>2897.1759999999999</v>
      </c>
      <c r="H22" s="6">
        <f t="shared" si="0"/>
        <v>-269.03999999999996</v>
      </c>
      <c r="K22" s="4"/>
    </row>
    <row r="23" spans="1:11" x14ac:dyDescent="0.3">
      <c r="A23" s="5">
        <v>8637335371</v>
      </c>
      <c r="B23" s="5">
        <v>4200</v>
      </c>
      <c r="C23" s="5">
        <v>1293.884</v>
      </c>
      <c r="D23" s="5">
        <v>71.98</v>
      </c>
      <c r="E23" s="5">
        <v>2628.136</v>
      </c>
      <c r="F23" s="5">
        <v>197.06</v>
      </c>
      <c r="G23" s="5">
        <v>2897.1759999999999</v>
      </c>
      <c r="H23" s="6">
        <f t="shared" si="0"/>
        <v>-269.03999999999996</v>
      </c>
      <c r="K23" s="4"/>
    </row>
    <row r="24" spans="1:11" x14ac:dyDescent="0.3">
      <c r="A24" s="5">
        <v>8641095253</v>
      </c>
      <c r="B24" s="5">
        <v>4200</v>
      </c>
      <c r="C24" s="5">
        <v>1293.884</v>
      </c>
      <c r="D24" s="5">
        <v>71.98</v>
      </c>
      <c r="E24" s="5">
        <v>2628.136</v>
      </c>
      <c r="F24" s="5">
        <v>197.06</v>
      </c>
      <c r="G24" s="5">
        <v>2897.1759999999999</v>
      </c>
      <c r="H24" s="6">
        <f t="shared" si="0"/>
        <v>-269.03999999999996</v>
      </c>
      <c r="K24" s="4"/>
    </row>
    <row r="25" spans="1:11" x14ac:dyDescent="0.3">
      <c r="A25" s="5">
        <v>8612316630</v>
      </c>
      <c r="B25" s="5">
        <v>4200</v>
      </c>
      <c r="C25" s="5">
        <v>1293.884</v>
      </c>
      <c r="D25" s="5">
        <v>71.98</v>
      </c>
      <c r="E25" s="5">
        <v>2628.136</v>
      </c>
      <c r="F25" s="5">
        <v>197.06</v>
      </c>
      <c r="G25" s="5">
        <v>2897.1759999999999</v>
      </c>
      <c r="H25" s="6">
        <f t="shared" si="0"/>
        <v>-269.03999999999996</v>
      </c>
      <c r="K25" s="4"/>
    </row>
    <row r="26" spans="1:11" x14ac:dyDescent="0.3">
      <c r="A26" s="5">
        <v>8680581306</v>
      </c>
      <c r="B26" s="5">
        <v>4200</v>
      </c>
      <c r="C26" s="5">
        <v>1293.885</v>
      </c>
      <c r="D26" s="5">
        <v>71.97999999999999</v>
      </c>
      <c r="E26" s="5">
        <v>2628.1350000000002</v>
      </c>
      <c r="F26" s="5">
        <v>197.06</v>
      </c>
      <c r="G26" s="5">
        <v>2897.1750000000002</v>
      </c>
      <c r="H26" s="6">
        <f t="shared" si="0"/>
        <v>-269.03999999999996</v>
      </c>
      <c r="K26" s="4"/>
    </row>
    <row r="27" spans="1:11" x14ac:dyDescent="0.3">
      <c r="A27" s="5">
        <v>8615086353</v>
      </c>
      <c r="B27" s="5">
        <v>4125</v>
      </c>
      <c r="C27" s="5">
        <v>992.12300000000005</v>
      </c>
      <c r="D27" s="5">
        <v>71.98</v>
      </c>
      <c r="E27" s="5">
        <v>2854.8969999999999</v>
      </c>
      <c r="F27" s="5">
        <v>197.06</v>
      </c>
      <c r="G27" s="5">
        <v>3123.9369999999999</v>
      </c>
      <c r="H27" s="6">
        <f t="shared" si="0"/>
        <v>-269.03999999999996</v>
      </c>
      <c r="K27" s="4"/>
    </row>
    <row r="28" spans="1:11" x14ac:dyDescent="0.3">
      <c r="A28" s="5">
        <v>8623225789</v>
      </c>
      <c r="B28" s="5">
        <v>4050</v>
      </c>
      <c r="C28" s="5">
        <v>973.13599999999997</v>
      </c>
      <c r="D28" s="5">
        <v>71.98</v>
      </c>
      <c r="E28" s="5">
        <v>2798.884</v>
      </c>
      <c r="F28" s="5">
        <v>197.06</v>
      </c>
      <c r="G28" s="5">
        <v>3067.924</v>
      </c>
      <c r="H28" s="6">
        <f t="shared" si="0"/>
        <v>-269.03999999999996</v>
      </c>
      <c r="K28" s="4"/>
    </row>
    <row r="29" spans="1:11" x14ac:dyDescent="0.3">
      <c r="A29" s="5">
        <v>8654866662</v>
      </c>
      <c r="B29" s="5">
        <v>4000</v>
      </c>
      <c r="C29" s="5">
        <v>960.47799999999995</v>
      </c>
      <c r="D29" s="5">
        <v>71.98</v>
      </c>
      <c r="E29" s="5">
        <v>2761.5419999999999</v>
      </c>
      <c r="F29" s="5">
        <v>197.06</v>
      </c>
      <c r="G29" s="5">
        <v>3030.5819999999999</v>
      </c>
      <c r="H29" s="6">
        <f t="shared" si="0"/>
        <v>-269.03999999999996</v>
      </c>
      <c r="K29" s="4"/>
    </row>
    <row r="30" spans="1:11" x14ac:dyDescent="0.3">
      <c r="A30" s="5">
        <v>8679197213</v>
      </c>
      <c r="B30" s="5">
        <v>4000</v>
      </c>
      <c r="C30" s="5">
        <v>960.47799999999995</v>
      </c>
      <c r="D30" s="5">
        <v>71.98</v>
      </c>
      <c r="E30" s="5">
        <v>2761.5419999999999</v>
      </c>
      <c r="F30" s="5">
        <v>107.38</v>
      </c>
      <c r="G30" s="5">
        <v>2940.902</v>
      </c>
      <c r="H30" s="6">
        <f t="shared" si="0"/>
        <v>-179.36000000000013</v>
      </c>
      <c r="K30" s="4"/>
    </row>
    <row r="31" spans="1:11" x14ac:dyDescent="0.3">
      <c r="A31" s="5">
        <v>8694412952</v>
      </c>
      <c r="B31" s="5">
        <v>3995</v>
      </c>
      <c r="C31" s="5">
        <v>958.17499999999995</v>
      </c>
      <c r="D31" s="5">
        <v>71.98</v>
      </c>
      <c r="E31" s="5">
        <v>2758.8249999999998</v>
      </c>
      <c r="F31" s="5">
        <v>107.38</v>
      </c>
      <c r="G31" s="5">
        <v>2938.1849999999999</v>
      </c>
      <c r="H31" s="6">
        <f t="shared" si="0"/>
        <v>-179.36000000000013</v>
      </c>
      <c r="K31" s="4"/>
    </row>
    <row r="32" spans="1:11" x14ac:dyDescent="0.3">
      <c r="A32" s="5">
        <v>8690920832</v>
      </c>
      <c r="B32" s="5">
        <v>3995</v>
      </c>
      <c r="C32" s="5">
        <v>958.18</v>
      </c>
      <c r="D32" s="5">
        <v>71.98</v>
      </c>
      <c r="E32" s="5">
        <v>2758.84</v>
      </c>
      <c r="F32" s="5">
        <v>197.06</v>
      </c>
      <c r="G32" s="5">
        <v>3027.88</v>
      </c>
      <c r="H32" s="6">
        <f t="shared" si="0"/>
        <v>-269.03999999999996</v>
      </c>
      <c r="K32" s="4"/>
    </row>
    <row r="33" spans="1:11" x14ac:dyDescent="0.3">
      <c r="A33" s="5">
        <v>8689247484</v>
      </c>
      <c r="B33" s="5">
        <v>3995</v>
      </c>
      <c r="C33" s="5">
        <v>958.18</v>
      </c>
      <c r="D33" s="5">
        <v>71.98</v>
      </c>
      <c r="E33" s="5">
        <v>2758.84</v>
      </c>
      <c r="F33" s="5">
        <v>197.06</v>
      </c>
      <c r="G33" s="5">
        <v>3027.88</v>
      </c>
      <c r="H33" s="6">
        <f t="shared" si="0"/>
        <v>-269.03999999999996</v>
      </c>
      <c r="K33" s="4"/>
    </row>
    <row r="34" spans="1:11" x14ac:dyDescent="0.3">
      <c r="A34" s="5">
        <v>8637715863</v>
      </c>
      <c r="B34" s="5">
        <v>3850</v>
      </c>
      <c r="C34" s="5">
        <v>1137.501</v>
      </c>
      <c r="D34" s="5">
        <v>71.98</v>
      </c>
      <c r="E34" s="5">
        <v>2434.5190000000002</v>
      </c>
      <c r="F34" s="5">
        <v>197.06</v>
      </c>
      <c r="G34" s="5">
        <v>2703.5590000000002</v>
      </c>
      <c r="H34" s="6">
        <f t="shared" si="0"/>
        <v>-269.03999999999996</v>
      </c>
      <c r="K34" s="4"/>
    </row>
    <row r="35" spans="1:11" x14ac:dyDescent="0.3">
      <c r="A35" s="5">
        <v>8637107040</v>
      </c>
      <c r="B35" s="5">
        <v>3850</v>
      </c>
      <c r="C35" s="5">
        <v>1180.492</v>
      </c>
      <c r="D35" s="5">
        <v>71.98</v>
      </c>
      <c r="E35" s="5">
        <v>2391.5079999999998</v>
      </c>
      <c r="F35" s="5">
        <v>197.06</v>
      </c>
      <c r="G35" s="5">
        <v>2660.5479999999998</v>
      </c>
      <c r="H35" s="6">
        <f t="shared" si="0"/>
        <v>-269.03999999999996</v>
      </c>
      <c r="K35" s="4"/>
    </row>
    <row r="36" spans="1:11" x14ac:dyDescent="0.3">
      <c r="A36" s="5">
        <v>8658713369</v>
      </c>
      <c r="B36" s="5">
        <v>3850</v>
      </c>
      <c r="C36" s="5">
        <v>1180.5</v>
      </c>
      <c r="D36" s="5">
        <v>71.98</v>
      </c>
      <c r="E36" s="5">
        <v>2391.52</v>
      </c>
      <c r="F36" s="5">
        <v>107.38</v>
      </c>
      <c r="G36" s="5">
        <v>2570.88</v>
      </c>
      <c r="H36" s="6">
        <f t="shared" si="0"/>
        <v>-179.36000000000013</v>
      </c>
      <c r="K36" s="4"/>
    </row>
    <row r="37" spans="1:11" x14ac:dyDescent="0.3">
      <c r="A37" s="5">
        <v>8642596173</v>
      </c>
      <c r="B37" s="5">
        <v>3850</v>
      </c>
      <c r="C37" s="5">
        <v>1137.501</v>
      </c>
      <c r="D37" s="5">
        <v>71.98</v>
      </c>
      <c r="E37" s="5">
        <v>2434.5189999999998</v>
      </c>
      <c r="F37" s="5">
        <v>107.38</v>
      </c>
      <c r="G37" s="5">
        <v>2613.8789999999999</v>
      </c>
      <c r="H37" s="6">
        <f t="shared" si="0"/>
        <v>-179.36000000000013</v>
      </c>
      <c r="K37" s="4"/>
    </row>
    <row r="38" spans="1:11" x14ac:dyDescent="0.3">
      <c r="A38" s="5">
        <v>8681010160</v>
      </c>
      <c r="B38" s="5">
        <v>3835</v>
      </c>
      <c r="C38" s="5">
        <v>1175.6400000000001</v>
      </c>
      <c r="D38" s="5">
        <v>71.98</v>
      </c>
      <c r="E38" s="5">
        <v>2381.38</v>
      </c>
      <c r="F38" s="5">
        <v>197.06</v>
      </c>
      <c r="G38" s="5">
        <v>2650.42</v>
      </c>
      <c r="H38" s="6">
        <f t="shared" si="0"/>
        <v>-269.03999999999996</v>
      </c>
      <c r="K38" s="4"/>
    </row>
    <row r="39" spans="1:11" x14ac:dyDescent="0.3">
      <c r="A39" s="5">
        <v>8637571130</v>
      </c>
      <c r="B39" s="5">
        <v>3825</v>
      </c>
      <c r="C39" s="5">
        <v>916.17499999999995</v>
      </c>
      <c r="D39" s="5">
        <v>71.98</v>
      </c>
      <c r="E39" s="5">
        <v>2630.8450000000003</v>
      </c>
      <c r="F39" s="5">
        <v>197.06</v>
      </c>
      <c r="G39" s="5">
        <v>2899.8850000000002</v>
      </c>
      <c r="H39" s="6">
        <f t="shared" si="0"/>
        <v>-269.03999999999996</v>
      </c>
      <c r="K39" s="4"/>
    </row>
    <row r="40" spans="1:11" x14ac:dyDescent="0.3">
      <c r="A40" s="5">
        <v>8655198144</v>
      </c>
      <c r="B40" s="5">
        <v>3800</v>
      </c>
      <c r="C40" s="5">
        <v>909.84699999999998</v>
      </c>
      <c r="D40" s="5">
        <v>71.98</v>
      </c>
      <c r="E40" s="5">
        <v>2612.1730000000002</v>
      </c>
      <c r="F40" s="5">
        <v>132.16</v>
      </c>
      <c r="G40" s="5">
        <v>2816.3130000000001</v>
      </c>
      <c r="H40" s="6">
        <f t="shared" si="0"/>
        <v>-204.13999999999987</v>
      </c>
      <c r="K40" s="4"/>
    </row>
    <row r="41" spans="1:11" x14ac:dyDescent="0.3">
      <c r="A41" s="5">
        <v>8659785912</v>
      </c>
      <c r="B41" s="5">
        <v>3800</v>
      </c>
      <c r="C41" s="5">
        <v>909.84699999999998</v>
      </c>
      <c r="D41" s="5">
        <v>71.98</v>
      </c>
      <c r="E41" s="5">
        <v>2612.1730000000002</v>
      </c>
      <c r="F41" s="5">
        <v>197.06</v>
      </c>
      <c r="G41" s="5">
        <v>2881.2130000000002</v>
      </c>
      <c r="H41" s="6">
        <f t="shared" si="0"/>
        <v>-269.03999999999996</v>
      </c>
      <c r="K41" s="4"/>
    </row>
    <row r="42" spans="1:11" x14ac:dyDescent="0.3">
      <c r="A42" s="5">
        <v>8627097597</v>
      </c>
      <c r="B42" s="5">
        <v>3800</v>
      </c>
      <c r="C42" s="5">
        <v>1121.893</v>
      </c>
      <c r="D42" s="5">
        <v>71.98</v>
      </c>
      <c r="E42" s="5">
        <v>2400.127</v>
      </c>
      <c r="F42" s="5">
        <v>197.06</v>
      </c>
      <c r="G42" s="5">
        <v>2669.1669999999999</v>
      </c>
      <c r="H42" s="6">
        <f t="shared" si="0"/>
        <v>-269.03999999999996</v>
      </c>
      <c r="K42" s="4"/>
    </row>
    <row r="43" spans="1:11" x14ac:dyDescent="0.3">
      <c r="A43" s="5">
        <v>8675097216</v>
      </c>
      <c r="B43" s="5">
        <v>3800</v>
      </c>
      <c r="C43" s="5">
        <v>909.85199999999998</v>
      </c>
      <c r="D43" s="5">
        <v>71.98</v>
      </c>
      <c r="E43" s="5">
        <v>2612.1880000000001</v>
      </c>
      <c r="F43" s="5">
        <v>132.16</v>
      </c>
      <c r="G43" s="5">
        <v>2816.328</v>
      </c>
      <c r="H43" s="6">
        <f t="shared" si="0"/>
        <v>-204.13999999999987</v>
      </c>
      <c r="K43" s="4"/>
    </row>
    <row r="44" spans="1:11" x14ac:dyDescent="0.3">
      <c r="A44" s="5">
        <v>8691678984</v>
      </c>
      <c r="B44" s="5">
        <v>3770</v>
      </c>
      <c r="C44" s="5">
        <v>901.28199999999993</v>
      </c>
      <c r="D44" s="5">
        <v>71.97999999999999</v>
      </c>
      <c r="E44" s="5">
        <v>2590.7379999999998</v>
      </c>
      <c r="F44" s="5">
        <v>197.06</v>
      </c>
      <c r="G44" s="5">
        <v>2859.7779999999998</v>
      </c>
      <c r="H44" s="6">
        <f t="shared" si="0"/>
        <v>-269.03999999999996</v>
      </c>
      <c r="K44" s="4"/>
    </row>
    <row r="45" spans="1:11" x14ac:dyDescent="0.3">
      <c r="A45" s="5">
        <v>8692031977</v>
      </c>
      <c r="B45" s="5">
        <v>3770</v>
      </c>
      <c r="C45" s="5">
        <v>901.28099999999995</v>
      </c>
      <c r="D45" s="5">
        <v>71.98</v>
      </c>
      <c r="E45" s="5">
        <v>2590.739</v>
      </c>
      <c r="F45" s="5">
        <v>132.16</v>
      </c>
      <c r="G45" s="5">
        <v>2794.8789999999999</v>
      </c>
      <c r="H45" s="6">
        <f t="shared" si="0"/>
        <v>-204.13999999999987</v>
      </c>
      <c r="K45" s="4"/>
    </row>
    <row r="46" spans="1:11" x14ac:dyDescent="0.3">
      <c r="A46" s="5">
        <v>8681405218</v>
      </c>
      <c r="B46" s="5">
        <v>3770</v>
      </c>
      <c r="C46" s="5">
        <v>902.25199999999995</v>
      </c>
      <c r="D46" s="5">
        <v>71.98</v>
      </c>
      <c r="E46" s="5">
        <v>2589.768</v>
      </c>
      <c r="F46" s="5">
        <v>107.38</v>
      </c>
      <c r="G46" s="5">
        <v>2769.1280000000002</v>
      </c>
      <c r="H46" s="6">
        <f t="shared" si="0"/>
        <v>-179.36000000000013</v>
      </c>
      <c r="K46" s="4"/>
    </row>
    <row r="47" spans="1:11" x14ac:dyDescent="0.3">
      <c r="A47" s="5">
        <v>8695941283</v>
      </c>
      <c r="B47" s="5">
        <v>3770</v>
      </c>
      <c r="C47" s="5">
        <v>901.28099999999995</v>
      </c>
      <c r="D47" s="5">
        <v>71.98</v>
      </c>
      <c r="E47" s="5">
        <v>2590.739</v>
      </c>
      <c r="F47" s="5">
        <v>132.16</v>
      </c>
      <c r="G47" s="5">
        <v>2794.8789999999999</v>
      </c>
      <c r="H47" s="6">
        <f t="shared" si="0"/>
        <v>-204.13999999999987</v>
      </c>
      <c r="K47" s="4"/>
    </row>
    <row r="48" spans="1:11" x14ac:dyDescent="0.3">
      <c r="A48" s="5">
        <v>8700263061</v>
      </c>
      <c r="B48" s="5">
        <v>3770</v>
      </c>
      <c r="C48" s="5">
        <v>901.28099999999995</v>
      </c>
      <c r="D48" s="5">
        <v>71.98</v>
      </c>
      <c r="E48" s="5">
        <v>2590.739</v>
      </c>
      <c r="F48" s="5">
        <v>197.06</v>
      </c>
      <c r="G48" s="5">
        <v>2859.779</v>
      </c>
      <c r="H48" s="6">
        <f t="shared" si="0"/>
        <v>-269.03999999999996</v>
      </c>
      <c r="K48" s="4"/>
    </row>
    <row r="49" spans="1:11" x14ac:dyDescent="0.3">
      <c r="A49" s="5">
        <v>8689247485</v>
      </c>
      <c r="B49" s="5">
        <v>3770</v>
      </c>
      <c r="C49" s="5">
        <v>901.28099999999995</v>
      </c>
      <c r="D49" s="5">
        <v>71.98</v>
      </c>
      <c r="E49" s="5">
        <v>2590.739</v>
      </c>
      <c r="F49" s="5">
        <v>197.06</v>
      </c>
      <c r="G49" s="5">
        <v>2859.779</v>
      </c>
      <c r="H49" s="6">
        <f t="shared" si="0"/>
        <v>-269.03999999999996</v>
      </c>
      <c r="K49" s="4"/>
    </row>
    <row r="50" spans="1:11" x14ac:dyDescent="0.3">
      <c r="A50" s="5">
        <v>8695941287</v>
      </c>
      <c r="B50" s="5">
        <v>3770</v>
      </c>
      <c r="C50" s="5">
        <v>901.28099999999995</v>
      </c>
      <c r="D50" s="5">
        <v>71.98</v>
      </c>
      <c r="E50" s="5">
        <v>2590.739</v>
      </c>
      <c r="F50" s="5">
        <v>132.16</v>
      </c>
      <c r="G50" s="5">
        <v>2794.8789999999999</v>
      </c>
      <c r="H50" s="6">
        <f t="shared" si="0"/>
        <v>-204.13999999999987</v>
      </c>
      <c r="K50" s="4"/>
    </row>
    <row r="51" spans="1:11" x14ac:dyDescent="0.3">
      <c r="A51" s="5">
        <v>8593046502</v>
      </c>
      <c r="B51" s="5">
        <v>3750</v>
      </c>
      <c r="C51" s="5">
        <v>939.00699999999995</v>
      </c>
      <c r="D51" s="5">
        <v>71.98</v>
      </c>
      <c r="E51" s="5">
        <v>2533.0129999999999</v>
      </c>
      <c r="F51" s="5">
        <v>197.06</v>
      </c>
      <c r="G51" s="5">
        <v>2802.0529999999999</v>
      </c>
      <c r="H51" s="6">
        <f t="shared" si="0"/>
        <v>-269.03999999999996</v>
      </c>
      <c r="K51" s="4"/>
    </row>
    <row r="52" spans="1:11" x14ac:dyDescent="0.3">
      <c r="A52" s="5">
        <v>8639804045</v>
      </c>
      <c r="B52" s="5">
        <v>3750</v>
      </c>
      <c r="C52" s="5">
        <v>939.00199999999995</v>
      </c>
      <c r="D52" s="5">
        <v>71.98</v>
      </c>
      <c r="E52" s="5">
        <v>2532.998</v>
      </c>
      <c r="F52" s="5">
        <v>197.06</v>
      </c>
      <c r="G52" s="5">
        <v>2802.038</v>
      </c>
      <c r="H52" s="6">
        <f t="shared" si="0"/>
        <v>-269.03999999999996</v>
      </c>
      <c r="K52" s="4"/>
    </row>
    <row r="53" spans="1:11" x14ac:dyDescent="0.3">
      <c r="A53" s="5">
        <v>8636814714</v>
      </c>
      <c r="B53" s="5">
        <v>3750</v>
      </c>
      <c r="C53" s="5">
        <v>939.00699999999995</v>
      </c>
      <c r="D53" s="5">
        <v>71.98</v>
      </c>
      <c r="E53" s="5">
        <v>2533.0129999999999</v>
      </c>
      <c r="F53" s="5">
        <v>197.06</v>
      </c>
      <c r="G53" s="5">
        <v>2802.0529999999999</v>
      </c>
      <c r="H53" s="6">
        <f t="shared" si="0"/>
        <v>-269.03999999999996</v>
      </c>
      <c r="K53" s="4"/>
    </row>
    <row r="54" spans="1:11" x14ac:dyDescent="0.3">
      <c r="A54" s="5">
        <v>8629466445</v>
      </c>
      <c r="B54" s="5">
        <v>3750</v>
      </c>
      <c r="C54" s="5">
        <v>939.00699999999995</v>
      </c>
      <c r="D54" s="5">
        <v>71.98</v>
      </c>
      <c r="E54" s="5">
        <v>2533.0129999999999</v>
      </c>
      <c r="F54" s="5">
        <v>197.06</v>
      </c>
      <c r="G54" s="5">
        <v>2802.0529999999999</v>
      </c>
      <c r="H54" s="6">
        <f t="shared" si="0"/>
        <v>-269.03999999999996</v>
      </c>
      <c r="K54" s="4"/>
    </row>
    <row r="55" spans="1:11" x14ac:dyDescent="0.3">
      <c r="A55" s="5">
        <v>8636814713</v>
      </c>
      <c r="B55" s="5">
        <v>3750</v>
      </c>
      <c r="C55" s="5">
        <v>939.00699999999995</v>
      </c>
      <c r="D55" s="5">
        <v>71.98</v>
      </c>
      <c r="E55" s="5">
        <v>2533.0129999999999</v>
      </c>
      <c r="F55" s="5">
        <v>197.06</v>
      </c>
      <c r="G55" s="5">
        <v>2802.0529999999999</v>
      </c>
      <c r="H55" s="6">
        <f t="shared" si="0"/>
        <v>-269.03999999999996</v>
      </c>
      <c r="K55" s="4"/>
    </row>
    <row r="56" spans="1:11" x14ac:dyDescent="0.3">
      <c r="A56" s="5">
        <v>8597247283</v>
      </c>
      <c r="B56" s="5">
        <v>3750</v>
      </c>
      <c r="C56" s="5">
        <v>939.00699999999995</v>
      </c>
      <c r="D56" s="5">
        <v>71.98</v>
      </c>
      <c r="E56" s="5">
        <v>2533.0129999999999</v>
      </c>
      <c r="F56" s="5">
        <v>197.06</v>
      </c>
      <c r="G56" s="5">
        <v>2802.0529999999999</v>
      </c>
      <c r="H56" s="6">
        <f t="shared" si="0"/>
        <v>-269.03999999999996</v>
      </c>
      <c r="K56" s="4"/>
    </row>
    <row r="57" spans="1:11" x14ac:dyDescent="0.3">
      <c r="A57" s="5">
        <v>8612040958</v>
      </c>
      <c r="B57" s="5">
        <v>3750</v>
      </c>
      <c r="C57" s="5">
        <v>939.00699999999995</v>
      </c>
      <c r="D57" s="5">
        <v>71.98</v>
      </c>
      <c r="E57" s="5">
        <v>2533.0129999999999</v>
      </c>
      <c r="F57" s="5">
        <v>197.06</v>
      </c>
      <c r="G57" s="5">
        <v>2802.0529999999999</v>
      </c>
      <c r="H57" s="6">
        <f t="shared" si="0"/>
        <v>-269.03999999999996</v>
      </c>
      <c r="K57" s="4"/>
    </row>
    <row r="58" spans="1:11" x14ac:dyDescent="0.3">
      <c r="A58" s="5">
        <v>8681830415</v>
      </c>
      <c r="B58" s="5">
        <v>3750</v>
      </c>
      <c r="C58" s="5">
        <v>939.00699999999995</v>
      </c>
      <c r="D58" s="5">
        <v>71.98</v>
      </c>
      <c r="E58" s="5">
        <v>2533.0129999999999</v>
      </c>
      <c r="F58" s="5">
        <v>197.06</v>
      </c>
      <c r="G58" s="5">
        <v>2802.0529999999999</v>
      </c>
      <c r="H58" s="6">
        <f t="shared" si="0"/>
        <v>-269.03999999999996</v>
      </c>
      <c r="K58" s="4"/>
    </row>
    <row r="59" spans="1:11" x14ac:dyDescent="0.3">
      <c r="A59" s="5">
        <v>8673164938</v>
      </c>
      <c r="B59" s="5">
        <v>3750</v>
      </c>
      <c r="C59" s="5">
        <v>939.005</v>
      </c>
      <c r="D59" s="5">
        <v>71.98</v>
      </c>
      <c r="E59" s="5">
        <v>2533.0050000000001</v>
      </c>
      <c r="F59" s="5">
        <v>197.06</v>
      </c>
      <c r="G59" s="5">
        <v>2802.0450000000001</v>
      </c>
      <c r="H59" s="6">
        <f t="shared" si="0"/>
        <v>-269.03999999999996</v>
      </c>
      <c r="K59" s="4"/>
    </row>
    <row r="60" spans="1:11" x14ac:dyDescent="0.3">
      <c r="A60" s="5">
        <v>8670260084</v>
      </c>
      <c r="B60" s="5">
        <v>3750</v>
      </c>
      <c r="C60" s="5">
        <v>939.00699999999995</v>
      </c>
      <c r="D60" s="5">
        <v>71.98</v>
      </c>
      <c r="E60" s="5">
        <v>2533.0129999999999</v>
      </c>
      <c r="F60" s="5">
        <v>197.06</v>
      </c>
      <c r="G60" s="5">
        <v>2802.0529999999999</v>
      </c>
      <c r="H60" s="6">
        <f t="shared" si="0"/>
        <v>-269.03999999999996</v>
      </c>
      <c r="K60" s="4"/>
    </row>
    <row r="61" spans="1:11" x14ac:dyDescent="0.3">
      <c r="A61" s="5">
        <v>8686759194</v>
      </c>
      <c r="B61" s="5">
        <v>3750</v>
      </c>
      <c r="C61" s="5">
        <v>939.00699999999995</v>
      </c>
      <c r="D61" s="5">
        <v>71.98</v>
      </c>
      <c r="E61" s="5">
        <v>2533.0129999999999</v>
      </c>
      <c r="F61" s="5">
        <v>197.06</v>
      </c>
      <c r="G61" s="5">
        <v>2802.0529999999999</v>
      </c>
      <c r="H61" s="6">
        <f t="shared" si="0"/>
        <v>-269.03999999999996</v>
      </c>
      <c r="K61" s="4"/>
    </row>
    <row r="62" spans="1:11" x14ac:dyDescent="0.3">
      <c r="A62" s="5">
        <v>7080578061</v>
      </c>
      <c r="B62" s="5">
        <v>3720</v>
      </c>
      <c r="C62" s="5">
        <v>935.85199999999998</v>
      </c>
      <c r="D62" s="5">
        <v>71.98</v>
      </c>
      <c r="E62" s="5">
        <v>2712.1680000000001</v>
      </c>
      <c r="F62" s="5">
        <v>88.5</v>
      </c>
      <c r="G62" s="5">
        <v>2872.6480000000001</v>
      </c>
      <c r="H62" s="6">
        <f t="shared" si="0"/>
        <v>-160.48000000000002</v>
      </c>
      <c r="K62" s="4"/>
    </row>
    <row r="63" spans="1:11" x14ac:dyDescent="0.3">
      <c r="A63" s="5">
        <v>6982985963</v>
      </c>
      <c r="B63" s="5">
        <v>3720</v>
      </c>
      <c r="C63" s="5">
        <v>935.85199999999998</v>
      </c>
      <c r="D63" s="5">
        <v>71.98</v>
      </c>
      <c r="E63" s="5">
        <v>2712.1680000000001</v>
      </c>
      <c r="F63" s="5">
        <v>88.5</v>
      </c>
      <c r="G63" s="5">
        <v>2872.6480000000001</v>
      </c>
      <c r="H63" s="6">
        <f t="shared" si="0"/>
        <v>-160.48000000000002</v>
      </c>
      <c r="K63" s="4"/>
    </row>
    <row r="64" spans="1:11" x14ac:dyDescent="0.3">
      <c r="A64" s="5">
        <v>8637335372</v>
      </c>
      <c r="B64" s="5">
        <v>3600</v>
      </c>
      <c r="C64" s="5">
        <v>1099.51</v>
      </c>
      <c r="D64" s="5">
        <v>71.98</v>
      </c>
      <c r="E64" s="5">
        <v>2222.5100000000002</v>
      </c>
      <c r="F64" s="5">
        <v>197.06</v>
      </c>
      <c r="G64" s="5">
        <v>2491.5500000000002</v>
      </c>
      <c r="H64" s="6">
        <f t="shared" si="0"/>
        <v>-269.03999999999996</v>
      </c>
      <c r="K64" s="4"/>
    </row>
    <row r="65" spans="1:11" x14ac:dyDescent="0.3">
      <c r="A65" s="5">
        <v>8616196476</v>
      </c>
      <c r="B65" s="5">
        <v>3600</v>
      </c>
      <c r="C65" s="5">
        <v>859.21500000000003</v>
      </c>
      <c r="D65" s="5">
        <v>71.98</v>
      </c>
      <c r="E65" s="5">
        <v>2462.8049999999998</v>
      </c>
      <c r="F65" s="5">
        <v>197.06</v>
      </c>
      <c r="G65" s="5">
        <v>2731.8449999999998</v>
      </c>
      <c r="H65" s="6">
        <f t="shared" si="0"/>
        <v>-269.03999999999996</v>
      </c>
      <c r="K65" s="4"/>
    </row>
    <row r="66" spans="1:11" x14ac:dyDescent="0.3">
      <c r="A66" s="5">
        <v>8648759871</v>
      </c>
      <c r="B66" s="5">
        <v>3600</v>
      </c>
      <c r="C66" s="5">
        <v>859.21500000000003</v>
      </c>
      <c r="D66" s="5">
        <v>71.98</v>
      </c>
      <c r="E66" s="5">
        <v>2462.8049999999998</v>
      </c>
      <c r="F66" s="5">
        <v>197.06</v>
      </c>
      <c r="G66" s="5">
        <v>2731.8449999999998</v>
      </c>
      <c r="H66" s="6">
        <f t="shared" ref="H66:H129" si="1">E66-G66</f>
        <v>-269.03999999999996</v>
      </c>
      <c r="K66" s="4"/>
    </row>
    <row r="67" spans="1:11" x14ac:dyDescent="0.3">
      <c r="A67" s="5">
        <v>8599935220</v>
      </c>
      <c r="B67" s="5">
        <v>3600</v>
      </c>
      <c r="C67" s="5">
        <v>859.21500000000003</v>
      </c>
      <c r="D67" s="5">
        <v>71.98</v>
      </c>
      <c r="E67" s="5">
        <v>2462.8049999999998</v>
      </c>
      <c r="F67" s="5">
        <v>197.06</v>
      </c>
      <c r="G67" s="5">
        <v>2731.8449999999998</v>
      </c>
      <c r="H67" s="6">
        <f t="shared" si="1"/>
        <v>-269.03999999999996</v>
      </c>
      <c r="K67" s="4"/>
    </row>
    <row r="68" spans="1:11" x14ac:dyDescent="0.3">
      <c r="A68" s="5">
        <v>8664604018</v>
      </c>
      <c r="B68" s="5">
        <v>3600</v>
      </c>
      <c r="C68" s="5">
        <v>859.21500000000003</v>
      </c>
      <c r="D68" s="5">
        <v>71.98</v>
      </c>
      <c r="E68" s="5">
        <v>2462.8049999999998</v>
      </c>
      <c r="F68" s="5">
        <v>197.06</v>
      </c>
      <c r="G68" s="5">
        <v>2731.8449999999998</v>
      </c>
      <c r="H68" s="6">
        <f t="shared" si="1"/>
        <v>-269.03999999999996</v>
      </c>
      <c r="K68" s="4"/>
    </row>
    <row r="69" spans="1:11" x14ac:dyDescent="0.3">
      <c r="A69" s="5">
        <v>8679706893</v>
      </c>
      <c r="B69" s="5">
        <v>3600</v>
      </c>
      <c r="C69" s="5">
        <v>859.21500000000003</v>
      </c>
      <c r="D69" s="5">
        <v>71.98</v>
      </c>
      <c r="E69" s="5">
        <v>2462.8050000000003</v>
      </c>
      <c r="F69" s="5">
        <v>132.16</v>
      </c>
      <c r="G69" s="5">
        <v>2666.9450000000002</v>
      </c>
      <c r="H69" s="6">
        <f t="shared" si="1"/>
        <v>-204.13999999999987</v>
      </c>
      <c r="K69" s="4"/>
    </row>
    <row r="70" spans="1:11" x14ac:dyDescent="0.3">
      <c r="A70" s="5">
        <v>8684439845</v>
      </c>
      <c r="B70" s="5">
        <v>3571</v>
      </c>
      <c r="C70" s="5">
        <v>851.87300000000005</v>
      </c>
      <c r="D70" s="5">
        <v>71.98</v>
      </c>
      <c r="E70" s="5">
        <v>2441.1469999999999</v>
      </c>
      <c r="F70" s="5">
        <v>197.06</v>
      </c>
      <c r="G70" s="5">
        <v>2710.1869999999999</v>
      </c>
      <c r="H70" s="6">
        <f t="shared" si="1"/>
        <v>-269.03999999999996</v>
      </c>
      <c r="K70" s="4"/>
    </row>
    <row r="71" spans="1:11" x14ac:dyDescent="0.3">
      <c r="A71" s="5">
        <v>8618007109</v>
      </c>
      <c r="B71" s="5">
        <v>3500</v>
      </c>
      <c r="C71" s="5">
        <v>1067.114</v>
      </c>
      <c r="D71" s="5">
        <v>71.98</v>
      </c>
      <c r="E71" s="5">
        <v>2154.9059999999999</v>
      </c>
      <c r="F71" s="5">
        <v>132.16</v>
      </c>
      <c r="G71" s="5">
        <v>2359.0459999999998</v>
      </c>
      <c r="H71" s="6">
        <f t="shared" si="1"/>
        <v>-204.13999999999987</v>
      </c>
      <c r="K71" s="4"/>
    </row>
    <row r="72" spans="1:11" x14ac:dyDescent="0.3">
      <c r="A72" s="5">
        <v>8605901006</v>
      </c>
      <c r="B72" s="5">
        <v>3500</v>
      </c>
      <c r="C72" s="5">
        <v>1067.114</v>
      </c>
      <c r="D72" s="5">
        <v>71.98</v>
      </c>
      <c r="E72" s="5">
        <v>2154.9059999999999</v>
      </c>
      <c r="F72" s="5">
        <v>197.06</v>
      </c>
      <c r="G72" s="5">
        <v>2423.9459999999999</v>
      </c>
      <c r="H72" s="6">
        <f t="shared" si="1"/>
        <v>-269.03999999999996</v>
      </c>
      <c r="K72" s="4"/>
    </row>
    <row r="73" spans="1:11" x14ac:dyDescent="0.3">
      <c r="A73" s="5">
        <v>8641769544</v>
      </c>
      <c r="B73" s="5">
        <v>3500</v>
      </c>
      <c r="C73" s="5">
        <v>833.899</v>
      </c>
      <c r="D73" s="5">
        <v>71.98</v>
      </c>
      <c r="E73" s="5">
        <v>2388.1210000000001</v>
      </c>
      <c r="F73" s="5">
        <v>197.06</v>
      </c>
      <c r="G73" s="5">
        <v>2657.1610000000001</v>
      </c>
      <c r="H73" s="6">
        <f t="shared" si="1"/>
        <v>-269.03999999999996</v>
      </c>
      <c r="K73" s="4"/>
    </row>
    <row r="74" spans="1:11" x14ac:dyDescent="0.3">
      <c r="A74" s="5">
        <v>8645334629</v>
      </c>
      <c r="B74" s="5">
        <v>3500</v>
      </c>
      <c r="C74" s="5">
        <v>1067.114</v>
      </c>
      <c r="D74" s="5">
        <v>71.98</v>
      </c>
      <c r="E74" s="5">
        <v>2154.9059999999999</v>
      </c>
      <c r="F74" s="5">
        <v>197.06</v>
      </c>
      <c r="G74" s="5">
        <v>2423.9459999999999</v>
      </c>
      <c r="H74" s="6">
        <f t="shared" si="1"/>
        <v>-269.03999999999996</v>
      </c>
      <c r="K74" s="4"/>
    </row>
    <row r="75" spans="1:11" x14ac:dyDescent="0.3">
      <c r="A75" s="5">
        <v>8617829141</v>
      </c>
      <c r="B75" s="5">
        <v>3500</v>
      </c>
      <c r="C75" s="5">
        <v>1067.114</v>
      </c>
      <c r="D75" s="5">
        <v>71.98</v>
      </c>
      <c r="E75" s="5">
        <v>2154.9059999999999</v>
      </c>
      <c r="F75" s="5">
        <v>132.16</v>
      </c>
      <c r="G75" s="5">
        <v>2359.0459999999998</v>
      </c>
      <c r="H75" s="6">
        <f t="shared" si="1"/>
        <v>-204.13999999999987</v>
      </c>
      <c r="K75" s="4"/>
    </row>
    <row r="76" spans="1:11" x14ac:dyDescent="0.3">
      <c r="A76" s="5">
        <v>8649864856</v>
      </c>
      <c r="B76" s="5">
        <v>3500</v>
      </c>
      <c r="C76" s="5">
        <v>1067.114</v>
      </c>
      <c r="D76" s="5">
        <v>71.98</v>
      </c>
      <c r="E76" s="5">
        <v>2154.9059999999999</v>
      </c>
      <c r="F76" s="5">
        <v>197.06</v>
      </c>
      <c r="G76" s="5">
        <v>2423.9459999999999</v>
      </c>
      <c r="H76" s="6">
        <f t="shared" si="1"/>
        <v>-269.03999999999996</v>
      </c>
      <c r="K76" s="4"/>
    </row>
    <row r="77" spans="1:11" x14ac:dyDescent="0.3">
      <c r="A77" s="5">
        <v>8617654049</v>
      </c>
      <c r="B77" s="5">
        <v>3500</v>
      </c>
      <c r="C77" s="5">
        <v>833.899</v>
      </c>
      <c r="D77" s="5">
        <v>71.98</v>
      </c>
      <c r="E77" s="5">
        <v>2388.1210000000001</v>
      </c>
      <c r="F77" s="5">
        <v>197.06</v>
      </c>
      <c r="G77" s="5">
        <v>2657.1610000000001</v>
      </c>
      <c r="H77" s="6">
        <f t="shared" si="1"/>
        <v>-269.03999999999996</v>
      </c>
      <c r="K77" s="4"/>
    </row>
    <row r="78" spans="1:11" x14ac:dyDescent="0.3">
      <c r="A78" s="5">
        <v>8632281492</v>
      </c>
      <c r="B78" s="5">
        <v>3500</v>
      </c>
      <c r="C78" s="5">
        <v>1067.115</v>
      </c>
      <c r="D78" s="5">
        <v>71.98</v>
      </c>
      <c r="E78" s="5">
        <v>2154.9050000000002</v>
      </c>
      <c r="F78" s="5">
        <v>132.16</v>
      </c>
      <c r="G78" s="5">
        <v>2359.0450000000001</v>
      </c>
      <c r="H78" s="6">
        <f t="shared" si="1"/>
        <v>-204.13999999999987</v>
      </c>
      <c r="K78" s="4"/>
    </row>
    <row r="79" spans="1:11" x14ac:dyDescent="0.3">
      <c r="A79" s="5">
        <v>8596909068</v>
      </c>
      <c r="B79" s="5">
        <v>3500</v>
      </c>
      <c r="C79" s="5">
        <v>833.899</v>
      </c>
      <c r="D79" s="5">
        <v>71.98</v>
      </c>
      <c r="E79" s="5">
        <v>2388.1210000000001</v>
      </c>
      <c r="F79" s="5">
        <v>197.06</v>
      </c>
      <c r="G79" s="5">
        <v>2657.1610000000001</v>
      </c>
      <c r="H79" s="6">
        <f t="shared" si="1"/>
        <v>-269.03999999999996</v>
      </c>
      <c r="K79" s="4"/>
    </row>
    <row r="80" spans="1:11" x14ac:dyDescent="0.3">
      <c r="A80" s="5">
        <v>8623704786</v>
      </c>
      <c r="B80" s="5">
        <v>3500</v>
      </c>
      <c r="C80" s="5">
        <v>833.899</v>
      </c>
      <c r="D80" s="5">
        <v>71.98</v>
      </c>
      <c r="E80" s="5">
        <v>2388.1210000000001</v>
      </c>
      <c r="F80" s="5">
        <v>132.16</v>
      </c>
      <c r="G80" s="5">
        <v>2592.261</v>
      </c>
      <c r="H80" s="6">
        <f t="shared" si="1"/>
        <v>-204.13999999999987</v>
      </c>
      <c r="K80" s="4"/>
    </row>
    <row r="81" spans="1:11" x14ac:dyDescent="0.3">
      <c r="A81" s="5">
        <v>8625454150</v>
      </c>
      <c r="B81" s="5">
        <v>3500</v>
      </c>
      <c r="C81" s="5">
        <v>1067.114</v>
      </c>
      <c r="D81" s="5">
        <v>71.98</v>
      </c>
      <c r="E81" s="5">
        <v>2154.9059999999999</v>
      </c>
      <c r="F81" s="5">
        <v>197.06</v>
      </c>
      <c r="G81" s="5">
        <v>2423.9459999999999</v>
      </c>
      <c r="H81" s="6">
        <f t="shared" si="1"/>
        <v>-269.03999999999996</v>
      </c>
      <c r="K81" s="4"/>
    </row>
    <row r="82" spans="1:11" x14ac:dyDescent="0.3">
      <c r="A82" s="5">
        <v>8616454045</v>
      </c>
      <c r="B82" s="5">
        <v>3500</v>
      </c>
      <c r="C82" s="5">
        <v>833.899</v>
      </c>
      <c r="D82" s="5">
        <v>71.98</v>
      </c>
      <c r="E82" s="5">
        <v>2388.1210000000001</v>
      </c>
      <c r="F82" s="5">
        <v>197.06</v>
      </c>
      <c r="G82" s="5">
        <v>2657.1610000000001</v>
      </c>
      <c r="H82" s="6">
        <f t="shared" si="1"/>
        <v>-269.03999999999996</v>
      </c>
      <c r="K82" s="4"/>
    </row>
    <row r="83" spans="1:11" x14ac:dyDescent="0.3">
      <c r="A83" s="5">
        <v>8622529723</v>
      </c>
      <c r="B83" s="5">
        <v>3500</v>
      </c>
      <c r="C83" s="5">
        <v>833.899</v>
      </c>
      <c r="D83" s="5">
        <v>71.98</v>
      </c>
      <c r="E83" s="5">
        <v>2388.1210000000001</v>
      </c>
      <c r="F83" s="5">
        <v>132.16</v>
      </c>
      <c r="G83" s="5">
        <v>2592.261</v>
      </c>
      <c r="H83" s="6">
        <f t="shared" si="1"/>
        <v>-204.13999999999987</v>
      </c>
      <c r="K83" s="4"/>
    </row>
    <row r="84" spans="1:11" x14ac:dyDescent="0.3">
      <c r="A84" s="5">
        <v>8634912774</v>
      </c>
      <c r="B84" s="5">
        <v>3500</v>
      </c>
      <c r="C84" s="5">
        <v>1067.114</v>
      </c>
      <c r="D84" s="5">
        <v>71.98</v>
      </c>
      <c r="E84" s="5">
        <v>2154.9059999999999</v>
      </c>
      <c r="F84" s="5">
        <v>197.06</v>
      </c>
      <c r="G84" s="5">
        <v>2423.9459999999999</v>
      </c>
      <c r="H84" s="6">
        <f t="shared" si="1"/>
        <v>-269.03999999999996</v>
      </c>
      <c r="K84" s="4"/>
    </row>
    <row r="85" spans="1:11" x14ac:dyDescent="0.3">
      <c r="A85" s="5">
        <v>8655513263</v>
      </c>
      <c r="B85" s="5">
        <v>3500</v>
      </c>
      <c r="C85" s="5">
        <v>1067.115</v>
      </c>
      <c r="D85" s="5">
        <v>71.98</v>
      </c>
      <c r="E85" s="5">
        <v>2154.9050000000002</v>
      </c>
      <c r="F85" s="5">
        <v>197.06</v>
      </c>
      <c r="G85" s="5">
        <v>2423.9450000000002</v>
      </c>
      <c r="H85" s="6">
        <f t="shared" si="1"/>
        <v>-269.03999999999996</v>
      </c>
      <c r="K85" s="4"/>
    </row>
    <row r="86" spans="1:11" x14ac:dyDescent="0.3">
      <c r="A86" s="5">
        <v>8693566791</v>
      </c>
      <c r="B86" s="5">
        <v>3500</v>
      </c>
      <c r="C86" s="5">
        <v>833.00300000000004</v>
      </c>
      <c r="D86" s="5">
        <v>71.98</v>
      </c>
      <c r="E86" s="5">
        <v>2389.0169999999998</v>
      </c>
      <c r="F86" s="5">
        <v>197.06</v>
      </c>
      <c r="G86" s="5">
        <v>2658.0569999999998</v>
      </c>
      <c r="H86" s="6">
        <f t="shared" si="1"/>
        <v>-269.03999999999996</v>
      </c>
      <c r="K86" s="4"/>
    </row>
    <row r="87" spans="1:11" x14ac:dyDescent="0.3">
      <c r="A87" s="5">
        <v>8689877308</v>
      </c>
      <c r="B87" s="5">
        <v>3500</v>
      </c>
      <c r="C87" s="5">
        <v>833.00300000000004</v>
      </c>
      <c r="D87" s="5">
        <v>71.98</v>
      </c>
      <c r="E87" s="5">
        <v>2389.0169999999998</v>
      </c>
      <c r="F87" s="5">
        <v>197.06</v>
      </c>
      <c r="G87" s="5">
        <v>2658.0569999999998</v>
      </c>
      <c r="H87" s="6">
        <f t="shared" si="1"/>
        <v>-269.03999999999996</v>
      </c>
      <c r="K87" s="4"/>
    </row>
    <row r="88" spans="1:11" x14ac:dyDescent="0.3">
      <c r="A88" s="5">
        <v>8690634420</v>
      </c>
      <c r="B88" s="5">
        <v>3500</v>
      </c>
      <c r="C88" s="5">
        <v>833.00300000000004</v>
      </c>
      <c r="D88" s="5">
        <v>71.98</v>
      </c>
      <c r="E88" s="5">
        <v>2389.0169999999998</v>
      </c>
      <c r="F88" s="5">
        <v>197.06</v>
      </c>
      <c r="G88" s="5">
        <v>2658.0569999999998</v>
      </c>
      <c r="H88" s="6">
        <f t="shared" si="1"/>
        <v>-269.03999999999996</v>
      </c>
      <c r="K88" s="4"/>
    </row>
    <row r="89" spans="1:11" x14ac:dyDescent="0.3">
      <c r="A89" s="5">
        <v>8682749335</v>
      </c>
      <c r="B89" s="5">
        <v>3500</v>
      </c>
      <c r="C89" s="5">
        <v>717.29200000000003</v>
      </c>
      <c r="D89" s="5">
        <v>71.98</v>
      </c>
      <c r="E89" s="5">
        <v>2504.7280000000001</v>
      </c>
      <c r="F89" s="5">
        <v>197.06</v>
      </c>
      <c r="G89" s="5">
        <v>2773.768</v>
      </c>
      <c r="H89" s="6">
        <f t="shared" si="1"/>
        <v>-269.03999999999996</v>
      </c>
      <c r="K89" s="4"/>
    </row>
    <row r="90" spans="1:11" x14ac:dyDescent="0.3">
      <c r="A90" s="5">
        <v>8641995562</v>
      </c>
      <c r="B90" s="5">
        <v>3480</v>
      </c>
      <c r="C90" s="5">
        <v>712.93700000000001</v>
      </c>
      <c r="D90" s="5">
        <v>71.98</v>
      </c>
      <c r="E90" s="5">
        <v>2489.0830000000001</v>
      </c>
      <c r="F90" s="5">
        <v>197.06</v>
      </c>
      <c r="G90" s="5">
        <v>2758.123</v>
      </c>
      <c r="H90" s="6">
        <f t="shared" si="1"/>
        <v>-269.03999999999996</v>
      </c>
      <c r="K90" s="4"/>
    </row>
    <row r="91" spans="1:11" x14ac:dyDescent="0.3">
      <c r="A91" s="5">
        <v>8638752799</v>
      </c>
      <c r="B91" s="5">
        <v>3480</v>
      </c>
      <c r="C91" s="5">
        <v>712.93700000000001</v>
      </c>
      <c r="D91" s="5">
        <v>71.98</v>
      </c>
      <c r="E91" s="5">
        <v>2489.0830000000001</v>
      </c>
      <c r="F91" s="5">
        <v>197.06</v>
      </c>
      <c r="G91" s="5">
        <v>2758.123</v>
      </c>
      <c r="H91" s="6">
        <f t="shared" si="1"/>
        <v>-269.03999999999996</v>
      </c>
      <c r="K91" s="4"/>
    </row>
    <row r="92" spans="1:11" x14ac:dyDescent="0.3">
      <c r="A92" s="5">
        <v>8636977287</v>
      </c>
      <c r="B92" s="5">
        <v>3480</v>
      </c>
      <c r="C92" s="5">
        <v>712.93700000000001</v>
      </c>
      <c r="D92" s="5">
        <v>71.98</v>
      </c>
      <c r="E92" s="5">
        <v>2489.0830000000001</v>
      </c>
      <c r="F92" s="5">
        <v>132.16</v>
      </c>
      <c r="G92" s="5">
        <v>2693.223</v>
      </c>
      <c r="H92" s="6">
        <f t="shared" si="1"/>
        <v>-204.13999999999987</v>
      </c>
      <c r="K92" s="4"/>
    </row>
    <row r="93" spans="1:11" x14ac:dyDescent="0.3">
      <c r="A93" s="5">
        <v>8635414105</v>
      </c>
      <c r="B93" s="5">
        <v>3480</v>
      </c>
      <c r="C93" s="5">
        <v>712.93700000000001</v>
      </c>
      <c r="D93" s="5">
        <v>71.98</v>
      </c>
      <c r="E93" s="5">
        <v>2489.0830000000001</v>
      </c>
      <c r="F93" s="5">
        <v>107.38</v>
      </c>
      <c r="G93" s="5">
        <v>2668.4430000000002</v>
      </c>
      <c r="H93" s="6">
        <f t="shared" si="1"/>
        <v>-179.36000000000013</v>
      </c>
      <c r="K93" s="4"/>
    </row>
    <row r="94" spans="1:11" x14ac:dyDescent="0.3">
      <c r="A94" s="5">
        <v>8698760848</v>
      </c>
      <c r="B94" s="5">
        <v>3466</v>
      </c>
      <c r="C94" s="5">
        <v>862.87300000000005</v>
      </c>
      <c r="D94" s="5">
        <v>71.97999999999999</v>
      </c>
      <c r="E94" s="5">
        <v>2325.1469999999999</v>
      </c>
      <c r="F94" s="5">
        <v>197.06</v>
      </c>
      <c r="G94" s="5">
        <v>2594.1869999999999</v>
      </c>
      <c r="H94" s="6">
        <f t="shared" si="1"/>
        <v>-269.03999999999996</v>
      </c>
      <c r="K94" s="4"/>
    </row>
    <row r="95" spans="1:11" x14ac:dyDescent="0.3">
      <c r="A95" s="5">
        <v>8647972516</v>
      </c>
      <c r="B95" s="5">
        <v>3400</v>
      </c>
      <c r="C95" s="5">
        <v>808.58399999999995</v>
      </c>
      <c r="D95" s="5">
        <v>71.98</v>
      </c>
      <c r="E95" s="5">
        <v>2313.4360000000001</v>
      </c>
      <c r="F95" s="5">
        <v>197.06</v>
      </c>
      <c r="G95" s="5">
        <v>2582.4760000000001</v>
      </c>
      <c r="H95" s="6">
        <f t="shared" si="1"/>
        <v>-269.03999999999996</v>
      </c>
      <c r="K95" s="4"/>
    </row>
    <row r="96" spans="1:11" x14ac:dyDescent="0.3">
      <c r="A96" s="5">
        <v>8616665867</v>
      </c>
      <c r="B96" s="5">
        <v>3400</v>
      </c>
      <c r="C96" s="5">
        <v>808.58299999999997</v>
      </c>
      <c r="D96" s="5">
        <v>71.98</v>
      </c>
      <c r="E96" s="5">
        <v>2313.4369999999999</v>
      </c>
      <c r="F96" s="5">
        <v>197.06</v>
      </c>
      <c r="G96" s="5">
        <v>2582.4769999999999</v>
      </c>
      <c r="H96" s="6">
        <f t="shared" si="1"/>
        <v>-269.03999999999996</v>
      </c>
      <c r="K96" s="4"/>
    </row>
    <row r="97" spans="1:11" x14ac:dyDescent="0.3">
      <c r="A97" s="5">
        <v>8634757737</v>
      </c>
      <c r="B97" s="5">
        <v>3400</v>
      </c>
      <c r="C97" s="5">
        <v>808.58399999999995</v>
      </c>
      <c r="D97" s="5">
        <v>71.98</v>
      </c>
      <c r="E97" s="5">
        <v>2313.4359999999997</v>
      </c>
      <c r="F97" s="5">
        <v>107.38</v>
      </c>
      <c r="G97" s="5">
        <v>2492.7959999999998</v>
      </c>
      <c r="H97" s="6">
        <f t="shared" si="1"/>
        <v>-179.36000000000013</v>
      </c>
      <c r="K97" s="4"/>
    </row>
    <row r="98" spans="1:11" x14ac:dyDescent="0.3">
      <c r="A98" s="5">
        <v>8644827450</v>
      </c>
      <c r="B98" s="5">
        <v>3400</v>
      </c>
      <c r="C98" s="5">
        <v>808.58399999999995</v>
      </c>
      <c r="D98" s="5">
        <v>71.98</v>
      </c>
      <c r="E98" s="5">
        <v>2313.4360000000001</v>
      </c>
      <c r="F98" s="5">
        <v>197.06</v>
      </c>
      <c r="G98" s="5">
        <v>2582.4760000000001</v>
      </c>
      <c r="H98" s="6">
        <f t="shared" si="1"/>
        <v>-269.03999999999996</v>
      </c>
      <c r="K98" s="4"/>
    </row>
    <row r="99" spans="1:11" x14ac:dyDescent="0.3">
      <c r="A99" s="5">
        <v>8640417637</v>
      </c>
      <c r="B99" s="5">
        <v>3400</v>
      </c>
      <c r="C99" s="5">
        <v>808.58399999999995</v>
      </c>
      <c r="D99" s="5">
        <v>71.98</v>
      </c>
      <c r="E99" s="5">
        <v>2313.4360000000001</v>
      </c>
      <c r="F99" s="5">
        <v>197.06</v>
      </c>
      <c r="G99" s="5">
        <v>2582.4760000000001</v>
      </c>
      <c r="H99" s="6">
        <f t="shared" si="1"/>
        <v>-269.03999999999996</v>
      </c>
      <c r="K99" s="4"/>
    </row>
    <row r="100" spans="1:11" x14ac:dyDescent="0.3">
      <c r="A100" s="5">
        <v>8637711047</v>
      </c>
      <c r="B100" s="5">
        <v>3400</v>
      </c>
      <c r="C100" s="5">
        <v>808.58399999999995</v>
      </c>
      <c r="D100" s="5">
        <v>71.98</v>
      </c>
      <c r="E100" s="5">
        <v>2313.4360000000001</v>
      </c>
      <c r="F100" s="5">
        <v>197.06</v>
      </c>
      <c r="G100" s="5">
        <v>2582.4760000000001</v>
      </c>
      <c r="H100" s="6">
        <f t="shared" si="1"/>
        <v>-269.03999999999996</v>
      </c>
      <c r="K100" s="4"/>
    </row>
    <row r="101" spans="1:11" x14ac:dyDescent="0.3">
      <c r="A101" s="5">
        <v>8637124975</v>
      </c>
      <c r="B101" s="5">
        <v>3400</v>
      </c>
      <c r="C101" s="5">
        <v>808.58399999999995</v>
      </c>
      <c r="D101" s="5">
        <v>71.98</v>
      </c>
      <c r="E101" s="5">
        <v>2313.4360000000001</v>
      </c>
      <c r="F101" s="5">
        <v>197.06</v>
      </c>
      <c r="G101" s="5">
        <v>2582.4760000000001</v>
      </c>
      <c r="H101" s="6">
        <f t="shared" si="1"/>
        <v>-269.03999999999996</v>
      </c>
      <c r="K101" s="4"/>
    </row>
    <row r="102" spans="1:11" x14ac:dyDescent="0.3">
      <c r="A102" s="5">
        <v>8660566214</v>
      </c>
      <c r="B102" s="5">
        <v>3400</v>
      </c>
      <c r="C102" s="5">
        <v>846.27300000000002</v>
      </c>
      <c r="D102" s="5">
        <v>71.98</v>
      </c>
      <c r="E102" s="5">
        <v>2275.7469999999998</v>
      </c>
      <c r="F102" s="5">
        <v>197.06</v>
      </c>
      <c r="G102" s="5">
        <v>2544.7869999999998</v>
      </c>
      <c r="H102" s="6">
        <f t="shared" si="1"/>
        <v>-269.03999999999996</v>
      </c>
      <c r="K102" s="4"/>
    </row>
    <row r="103" spans="1:11" x14ac:dyDescent="0.3">
      <c r="A103" s="5">
        <v>8621146296</v>
      </c>
      <c r="B103" s="5">
        <v>3375</v>
      </c>
      <c r="C103" s="5">
        <v>839.64800000000002</v>
      </c>
      <c r="D103" s="5">
        <v>71.98</v>
      </c>
      <c r="E103" s="5">
        <v>2257.3719999999998</v>
      </c>
      <c r="F103" s="5">
        <v>197.06</v>
      </c>
      <c r="G103" s="5">
        <v>2526.4119999999998</v>
      </c>
      <c r="H103" s="6">
        <f t="shared" si="1"/>
        <v>-269.03999999999996</v>
      </c>
      <c r="K103" s="4"/>
    </row>
    <row r="104" spans="1:11" x14ac:dyDescent="0.3">
      <c r="A104" s="5">
        <v>8597846429</v>
      </c>
      <c r="B104" s="5">
        <v>3375</v>
      </c>
      <c r="C104" s="5">
        <v>690.07399999999996</v>
      </c>
      <c r="D104" s="5">
        <v>71.98</v>
      </c>
      <c r="E104" s="5">
        <v>2406.9560000000001</v>
      </c>
      <c r="F104" s="5">
        <v>197.06</v>
      </c>
      <c r="G104" s="5">
        <v>2675.9960000000001</v>
      </c>
      <c r="H104" s="6">
        <f t="shared" si="1"/>
        <v>-269.03999999999996</v>
      </c>
      <c r="K104" s="4"/>
    </row>
    <row r="105" spans="1:11" x14ac:dyDescent="0.3">
      <c r="A105" s="5">
        <v>8616771948</v>
      </c>
      <c r="B105" s="5">
        <v>3375</v>
      </c>
      <c r="C105" s="5">
        <v>802.25799999999992</v>
      </c>
      <c r="D105" s="5">
        <v>71.97999999999999</v>
      </c>
      <c r="E105" s="5">
        <v>2294.7719999999999</v>
      </c>
      <c r="F105" s="5">
        <v>197.06</v>
      </c>
      <c r="G105" s="5">
        <v>2563.8119999999999</v>
      </c>
      <c r="H105" s="6">
        <f t="shared" si="1"/>
        <v>-269.03999999999996</v>
      </c>
      <c r="K105" s="4"/>
    </row>
    <row r="106" spans="1:11" x14ac:dyDescent="0.3">
      <c r="A106" s="5">
        <v>8622022828</v>
      </c>
      <c r="B106" s="5">
        <v>3375</v>
      </c>
      <c r="C106" s="5">
        <v>839.64800000000002</v>
      </c>
      <c r="D106" s="5">
        <v>71.98</v>
      </c>
      <c r="E106" s="5">
        <v>2257.3719999999998</v>
      </c>
      <c r="F106" s="5">
        <v>107.38</v>
      </c>
      <c r="G106" s="5">
        <v>2436.732</v>
      </c>
      <c r="H106" s="6">
        <f t="shared" si="1"/>
        <v>-179.36000000000013</v>
      </c>
      <c r="K106" s="4"/>
    </row>
    <row r="107" spans="1:11" x14ac:dyDescent="0.3">
      <c r="A107" s="5">
        <v>8630677968</v>
      </c>
      <c r="B107" s="5">
        <v>3375</v>
      </c>
      <c r="C107" s="5">
        <v>839.64800000000002</v>
      </c>
      <c r="D107" s="5">
        <v>71.98</v>
      </c>
      <c r="E107" s="5">
        <v>2257.3719999999998</v>
      </c>
      <c r="F107" s="5">
        <v>197.06</v>
      </c>
      <c r="G107" s="5">
        <v>2526.4119999999998</v>
      </c>
      <c r="H107" s="6">
        <f t="shared" si="1"/>
        <v>-269.03999999999996</v>
      </c>
      <c r="K107" s="4"/>
    </row>
    <row r="108" spans="1:11" x14ac:dyDescent="0.3">
      <c r="A108" s="5">
        <v>8629059218</v>
      </c>
      <c r="B108" s="5">
        <v>3375</v>
      </c>
      <c r="C108" s="5">
        <v>839.64800000000002</v>
      </c>
      <c r="D108" s="5">
        <v>71.98</v>
      </c>
      <c r="E108" s="5">
        <v>2257.3719999999998</v>
      </c>
      <c r="F108" s="5">
        <v>197.06</v>
      </c>
      <c r="G108" s="5">
        <v>2526.4119999999998</v>
      </c>
      <c r="H108" s="6">
        <f t="shared" si="1"/>
        <v>-269.03999999999996</v>
      </c>
      <c r="K108" s="4"/>
    </row>
    <row r="109" spans="1:11" x14ac:dyDescent="0.3">
      <c r="A109" s="5">
        <v>8618679840</v>
      </c>
      <c r="B109" s="5">
        <v>3375</v>
      </c>
      <c r="C109" s="5">
        <v>839.64800000000002</v>
      </c>
      <c r="D109" s="5">
        <v>71.98</v>
      </c>
      <c r="E109" s="5">
        <v>2257.3719999999998</v>
      </c>
      <c r="F109" s="5">
        <v>107.38</v>
      </c>
      <c r="G109" s="5">
        <v>2436.732</v>
      </c>
      <c r="H109" s="6">
        <f t="shared" si="1"/>
        <v>-179.36000000000013</v>
      </c>
      <c r="K109" s="4"/>
    </row>
    <row r="110" spans="1:11" x14ac:dyDescent="0.3">
      <c r="A110" s="5">
        <v>8623738388</v>
      </c>
      <c r="B110" s="5">
        <v>3375</v>
      </c>
      <c r="C110" s="5">
        <v>989.22500000000002</v>
      </c>
      <c r="D110" s="5">
        <v>71.97999999999999</v>
      </c>
      <c r="E110" s="5">
        <v>2107.7950000000001</v>
      </c>
      <c r="F110" s="5">
        <v>197.06</v>
      </c>
      <c r="G110" s="5">
        <v>2376.835</v>
      </c>
      <c r="H110" s="6">
        <f t="shared" si="1"/>
        <v>-269.03999999999996</v>
      </c>
      <c r="K110" s="4"/>
    </row>
    <row r="111" spans="1:11" x14ac:dyDescent="0.3">
      <c r="A111" s="5">
        <v>8620565101</v>
      </c>
      <c r="B111" s="5">
        <v>3375</v>
      </c>
      <c r="C111" s="5">
        <v>839.64800000000002</v>
      </c>
      <c r="D111" s="5">
        <v>71.98</v>
      </c>
      <c r="E111" s="5">
        <v>2257.3719999999998</v>
      </c>
      <c r="F111" s="5">
        <v>107.38</v>
      </c>
      <c r="G111" s="5">
        <v>2436.732</v>
      </c>
      <c r="H111" s="6">
        <f t="shared" si="1"/>
        <v>-179.36000000000013</v>
      </c>
      <c r="K111" s="4"/>
    </row>
    <row r="112" spans="1:11" x14ac:dyDescent="0.3">
      <c r="A112" s="5">
        <v>8656088933</v>
      </c>
      <c r="B112" s="5">
        <v>3375</v>
      </c>
      <c r="C112" s="5">
        <v>839.64800000000002</v>
      </c>
      <c r="D112" s="5">
        <v>71.98</v>
      </c>
      <c r="E112" s="5">
        <v>2257.3719999999998</v>
      </c>
      <c r="F112" s="5">
        <v>197.06</v>
      </c>
      <c r="G112" s="5">
        <v>2526.4119999999998</v>
      </c>
      <c r="H112" s="6">
        <f t="shared" si="1"/>
        <v>-269.03999999999996</v>
      </c>
      <c r="K112" s="4"/>
    </row>
    <row r="113" spans="1:11" x14ac:dyDescent="0.3">
      <c r="A113" s="5">
        <v>8704473352</v>
      </c>
      <c r="B113" s="5">
        <v>3375</v>
      </c>
      <c r="C113" s="5">
        <v>801.39200000000005</v>
      </c>
      <c r="D113" s="5">
        <v>71.98</v>
      </c>
      <c r="E113" s="5">
        <v>2295.6280000000002</v>
      </c>
      <c r="F113" s="5">
        <v>197.06</v>
      </c>
      <c r="G113" s="5">
        <v>2564.6680000000001</v>
      </c>
      <c r="H113" s="6">
        <f t="shared" si="1"/>
        <v>-269.03999999999996</v>
      </c>
      <c r="K113" s="4"/>
    </row>
    <row r="114" spans="1:11" x14ac:dyDescent="0.3">
      <c r="A114" s="5">
        <v>7080578063</v>
      </c>
      <c r="B114" s="5">
        <v>3375</v>
      </c>
      <c r="C114" s="5">
        <v>852.34299999999996</v>
      </c>
      <c r="D114" s="5">
        <v>71.98</v>
      </c>
      <c r="E114" s="5">
        <v>2450.6770000000001</v>
      </c>
      <c r="F114" s="5">
        <v>88.5</v>
      </c>
      <c r="G114" s="5">
        <v>2611.1570000000002</v>
      </c>
      <c r="H114" s="6">
        <f t="shared" si="1"/>
        <v>-160.48000000000002</v>
      </c>
      <c r="K114" s="4"/>
    </row>
    <row r="115" spans="1:11" x14ac:dyDescent="0.3">
      <c r="A115" s="5">
        <v>8681666403</v>
      </c>
      <c r="B115" s="5">
        <v>3375</v>
      </c>
      <c r="C115" s="5">
        <v>802.25400000000002</v>
      </c>
      <c r="D115" s="5">
        <v>71.98</v>
      </c>
      <c r="E115" s="5">
        <v>2294.7660000000001</v>
      </c>
      <c r="F115" s="5">
        <v>197.06</v>
      </c>
      <c r="G115" s="5">
        <v>2563.806</v>
      </c>
      <c r="H115" s="6">
        <f t="shared" si="1"/>
        <v>-269.03999999999996</v>
      </c>
      <c r="K115" s="4"/>
    </row>
    <row r="116" spans="1:11" x14ac:dyDescent="0.3">
      <c r="A116" s="5">
        <v>7092370284</v>
      </c>
      <c r="B116" s="5">
        <v>3375</v>
      </c>
      <c r="C116" s="5">
        <v>852.34299999999996</v>
      </c>
      <c r="D116" s="5">
        <v>71.98</v>
      </c>
      <c r="E116" s="5">
        <v>2450.6770000000001</v>
      </c>
      <c r="F116" s="5">
        <v>88.5</v>
      </c>
      <c r="G116" s="5">
        <v>2611.1570000000002</v>
      </c>
      <c r="H116" s="6">
        <f t="shared" si="1"/>
        <v>-160.48000000000002</v>
      </c>
      <c r="K116" s="4"/>
    </row>
    <row r="117" spans="1:11" x14ac:dyDescent="0.3">
      <c r="A117" s="5">
        <v>8673241096</v>
      </c>
      <c r="B117" s="5">
        <v>3375</v>
      </c>
      <c r="C117" s="5">
        <v>839.64800000000002</v>
      </c>
      <c r="D117" s="5">
        <v>71.98</v>
      </c>
      <c r="E117" s="5">
        <v>2257.3719999999998</v>
      </c>
      <c r="F117" s="5">
        <v>107.38</v>
      </c>
      <c r="G117" s="5">
        <v>2436.732</v>
      </c>
      <c r="H117" s="6">
        <f t="shared" si="1"/>
        <v>-179.36000000000013</v>
      </c>
      <c r="K117" s="4"/>
    </row>
    <row r="118" spans="1:11" x14ac:dyDescent="0.3">
      <c r="A118" s="5">
        <v>8699000629</v>
      </c>
      <c r="B118" s="5">
        <v>3360</v>
      </c>
      <c r="C118" s="5">
        <v>685.947</v>
      </c>
      <c r="D118" s="5">
        <v>71.98</v>
      </c>
      <c r="E118" s="5">
        <v>2396.0729999999999</v>
      </c>
      <c r="F118" s="5">
        <v>197.06</v>
      </c>
      <c r="G118" s="5">
        <v>2665.1129999999998</v>
      </c>
      <c r="H118" s="6">
        <f t="shared" si="1"/>
        <v>-269.03999999999996</v>
      </c>
      <c r="K118" s="4"/>
    </row>
    <row r="119" spans="1:11" x14ac:dyDescent="0.3">
      <c r="A119" s="5">
        <v>8700420125</v>
      </c>
      <c r="B119" s="5">
        <v>3325</v>
      </c>
      <c r="C119" s="5">
        <v>678.33500000000004</v>
      </c>
      <c r="D119" s="5">
        <v>71.98</v>
      </c>
      <c r="E119" s="5">
        <v>2368.6849999999999</v>
      </c>
      <c r="F119" s="5">
        <v>132.16</v>
      </c>
      <c r="G119" s="5">
        <v>2572.8249999999998</v>
      </c>
      <c r="H119" s="6">
        <f t="shared" si="1"/>
        <v>-204.13999999999987</v>
      </c>
      <c r="K119" s="4"/>
    </row>
    <row r="120" spans="1:11" x14ac:dyDescent="0.3">
      <c r="A120" s="5">
        <v>8682069874</v>
      </c>
      <c r="B120" s="5">
        <v>3315</v>
      </c>
      <c r="C120" s="5">
        <v>677.00699999999995</v>
      </c>
      <c r="D120" s="5">
        <v>71.98</v>
      </c>
      <c r="E120" s="5">
        <v>2360.0129999999999</v>
      </c>
      <c r="F120" s="5">
        <v>132.16</v>
      </c>
      <c r="G120" s="5">
        <v>2564.1529999999998</v>
      </c>
      <c r="H120" s="6">
        <f t="shared" si="1"/>
        <v>-204.13999999999987</v>
      </c>
      <c r="K120" s="4"/>
    </row>
    <row r="121" spans="1:11" x14ac:dyDescent="0.3">
      <c r="A121" s="5">
        <v>8687468614</v>
      </c>
      <c r="B121" s="5">
        <v>3310</v>
      </c>
      <c r="C121" s="5">
        <v>784.95500000000004</v>
      </c>
      <c r="D121" s="5">
        <v>71.98</v>
      </c>
      <c r="E121" s="5">
        <v>2247.0650000000001</v>
      </c>
      <c r="F121" s="5">
        <v>197.06</v>
      </c>
      <c r="G121" s="5">
        <v>2516.105</v>
      </c>
      <c r="H121" s="6">
        <f t="shared" si="1"/>
        <v>-269.03999999999996</v>
      </c>
      <c r="K121" s="4"/>
    </row>
    <row r="122" spans="1:11" x14ac:dyDescent="0.3">
      <c r="A122" s="5">
        <v>8640972995</v>
      </c>
      <c r="B122" s="5">
        <v>3262</v>
      </c>
      <c r="C122" s="5">
        <v>665.46600000000001</v>
      </c>
      <c r="D122" s="5">
        <v>71.98</v>
      </c>
      <c r="E122" s="5">
        <v>2318.5540000000001</v>
      </c>
      <c r="F122" s="5">
        <v>197.06</v>
      </c>
      <c r="G122" s="5">
        <v>2587.5940000000001</v>
      </c>
      <c r="H122" s="6">
        <f t="shared" si="1"/>
        <v>-269.03999999999996</v>
      </c>
      <c r="K122" s="4"/>
    </row>
    <row r="123" spans="1:11" x14ac:dyDescent="0.3">
      <c r="A123" s="5">
        <v>8646617700</v>
      </c>
      <c r="B123" s="5">
        <v>3262</v>
      </c>
      <c r="C123" s="5">
        <v>665.46600000000001</v>
      </c>
      <c r="D123" s="5">
        <v>71.98</v>
      </c>
      <c r="E123" s="5">
        <v>2318.5540000000001</v>
      </c>
      <c r="F123" s="5">
        <v>197.06</v>
      </c>
      <c r="G123" s="5">
        <v>2587.5940000000001</v>
      </c>
      <c r="H123" s="6">
        <f t="shared" si="1"/>
        <v>-269.03999999999996</v>
      </c>
      <c r="K123" s="4"/>
    </row>
    <row r="124" spans="1:11" x14ac:dyDescent="0.3">
      <c r="A124" s="5">
        <v>8635171830</v>
      </c>
      <c r="B124" s="5">
        <v>3262</v>
      </c>
      <c r="C124" s="5">
        <v>665.46600000000001</v>
      </c>
      <c r="D124" s="5">
        <v>71.97999999999999</v>
      </c>
      <c r="E124" s="5">
        <v>2318.5540000000001</v>
      </c>
      <c r="F124" s="5">
        <v>132.16</v>
      </c>
      <c r="G124" s="5">
        <v>2522.694</v>
      </c>
      <c r="H124" s="6">
        <f t="shared" si="1"/>
        <v>-204.13999999999987</v>
      </c>
      <c r="K124" s="4"/>
    </row>
    <row r="125" spans="1:11" x14ac:dyDescent="0.3">
      <c r="A125" s="5">
        <v>8696609594</v>
      </c>
      <c r="B125" s="5">
        <v>3250</v>
      </c>
      <c r="C125" s="5">
        <v>662.02299999999991</v>
      </c>
      <c r="D125" s="5">
        <v>71.97999999999999</v>
      </c>
      <c r="E125" s="5">
        <v>2309.9969999999998</v>
      </c>
      <c r="F125" s="5">
        <v>197.06</v>
      </c>
      <c r="G125" s="5">
        <v>2579.0369999999998</v>
      </c>
      <c r="H125" s="6">
        <f t="shared" si="1"/>
        <v>-269.03999999999996</v>
      </c>
      <c r="K125" s="4"/>
    </row>
    <row r="126" spans="1:11" x14ac:dyDescent="0.3">
      <c r="A126" s="5">
        <v>8666939756</v>
      </c>
      <c r="B126" s="5">
        <v>3206</v>
      </c>
      <c r="C126" s="5">
        <v>794.87199999999996</v>
      </c>
      <c r="D126" s="5">
        <v>71.98</v>
      </c>
      <c r="E126" s="5">
        <v>2133.1480000000001</v>
      </c>
      <c r="F126" s="5">
        <v>197.06</v>
      </c>
      <c r="G126" s="5">
        <v>2402.1880000000001</v>
      </c>
      <c r="H126" s="6">
        <f t="shared" si="1"/>
        <v>-269.03999999999996</v>
      </c>
      <c r="K126" s="4"/>
    </row>
    <row r="127" spans="1:11" x14ac:dyDescent="0.3">
      <c r="A127" s="5">
        <v>8625651297</v>
      </c>
      <c r="B127" s="5">
        <v>3200</v>
      </c>
      <c r="C127" s="5">
        <v>651.96500000000003</v>
      </c>
      <c r="D127" s="5">
        <v>71.98</v>
      </c>
      <c r="E127" s="5">
        <v>2270.0549999999998</v>
      </c>
      <c r="F127" s="5">
        <v>197.06</v>
      </c>
      <c r="G127" s="5">
        <v>2539.0949999999998</v>
      </c>
      <c r="H127" s="6">
        <f t="shared" si="1"/>
        <v>-269.03999999999996</v>
      </c>
      <c r="K127" s="4"/>
    </row>
    <row r="128" spans="1:11" x14ac:dyDescent="0.3">
      <c r="A128" s="5">
        <v>8656288035</v>
      </c>
      <c r="B128" s="5">
        <v>3200</v>
      </c>
      <c r="C128" s="5">
        <v>793.28099999999995</v>
      </c>
      <c r="D128" s="5">
        <v>71.98</v>
      </c>
      <c r="E128" s="5">
        <v>2128.739</v>
      </c>
      <c r="F128" s="5">
        <v>132.16</v>
      </c>
      <c r="G128" s="5">
        <v>2332.8789999999999</v>
      </c>
      <c r="H128" s="6">
        <f t="shared" si="1"/>
        <v>-204.13999999999987</v>
      </c>
      <c r="K128" s="4"/>
    </row>
    <row r="129" spans="1:11" x14ac:dyDescent="0.3">
      <c r="A129" s="5">
        <v>8657990645</v>
      </c>
      <c r="B129" s="5">
        <v>3200</v>
      </c>
      <c r="C129" s="5">
        <v>793.28099999999995</v>
      </c>
      <c r="D129" s="5">
        <v>71.98</v>
      </c>
      <c r="E129" s="5">
        <v>2128.739</v>
      </c>
      <c r="F129" s="5">
        <v>197.06</v>
      </c>
      <c r="G129" s="5">
        <v>2397.779</v>
      </c>
      <c r="H129" s="6">
        <f t="shared" si="1"/>
        <v>-269.03999999999996</v>
      </c>
      <c r="K129" s="4"/>
    </row>
    <row r="130" spans="1:11" x14ac:dyDescent="0.3">
      <c r="A130" s="5">
        <v>8654080323</v>
      </c>
      <c r="B130" s="5">
        <v>3200</v>
      </c>
      <c r="C130" s="5">
        <v>757.952</v>
      </c>
      <c r="D130" s="5">
        <v>71.98</v>
      </c>
      <c r="E130" s="5">
        <v>2164.0680000000002</v>
      </c>
      <c r="F130" s="5">
        <v>132.16</v>
      </c>
      <c r="G130" s="5">
        <v>2368.2080000000001</v>
      </c>
      <c r="H130" s="6">
        <f t="shared" ref="H130:H193" si="2">E130-G130</f>
        <v>-204.13999999999987</v>
      </c>
      <c r="K130" s="4"/>
    </row>
    <row r="131" spans="1:11" x14ac:dyDescent="0.3">
      <c r="A131" s="5">
        <v>8663313597</v>
      </c>
      <c r="B131" s="5">
        <v>3200</v>
      </c>
      <c r="C131" s="5">
        <v>757.952</v>
      </c>
      <c r="D131" s="5">
        <v>71.98</v>
      </c>
      <c r="E131" s="5">
        <v>2164.0680000000002</v>
      </c>
      <c r="F131" s="5">
        <v>197.06</v>
      </c>
      <c r="G131" s="5">
        <v>2433.1080000000002</v>
      </c>
      <c r="H131" s="6">
        <f t="shared" si="2"/>
        <v>-269.03999999999996</v>
      </c>
      <c r="K131" s="4"/>
    </row>
    <row r="132" spans="1:11" x14ac:dyDescent="0.3">
      <c r="A132" s="5">
        <v>8675166482</v>
      </c>
      <c r="B132" s="5">
        <v>3200</v>
      </c>
      <c r="C132" s="5">
        <v>793.28099999999995</v>
      </c>
      <c r="D132" s="5">
        <v>71.98</v>
      </c>
      <c r="E132" s="5">
        <v>2128.739</v>
      </c>
      <c r="F132" s="5">
        <v>197.06</v>
      </c>
      <c r="G132" s="5">
        <v>2397.779</v>
      </c>
      <c r="H132" s="6">
        <f t="shared" si="2"/>
        <v>-269.03999999999996</v>
      </c>
      <c r="K132" s="4"/>
    </row>
    <row r="133" spans="1:11" x14ac:dyDescent="0.3">
      <c r="A133" s="5">
        <v>7272865874</v>
      </c>
      <c r="B133" s="5">
        <v>3200</v>
      </c>
      <c r="C133" s="5">
        <v>809.98199999999997</v>
      </c>
      <c r="D133" s="5">
        <v>71.98</v>
      </c>
      <c r="E133" s="5">
        <v>2318.038</v>
      </c>
      <c r="F133" s="5">
        <v>88.5</v>
      </c>
      <c r="G133" s="5">
        <v>2478.518</v>
      </c>
      <c r="H133" s="6">
        <f t="shared" si="2"/>
        <v>-160.48000000000002</v>
      </c>
      <c r="K133" s="4"/>
    </row>
    <row r="134" spans="1:11" x14ac:dyDescent="0.3">
      <c r="A134" s="5">
        <v>8661246795</v>
      </c>
      <c r="B134" s="5">
        <v>3200</v>
      </c>
      <c r="C134" s="5">
        <v>793.28099999999995</v>
      </c>
      <c r="D134" s="5">
        <v>71.98</v>
      </c>
      <c r="E134" s="5">
        <v>2128.739</v>
      </c>
      <c r="F134" s="5">
        <v>197.06</v>
      </c>
      <c r="G134" s="5">
        <v>2397.779</v>
      </c>
      <c r="H134" s="6">
        <f t="shared" si="2"/>
        <v>-269.03999999999996</v>
      </c>
      <c r="K134" s="4"/>
    </row>
    <row r="135" spans="1:11" x14ac:dyDescent="0.3">
      <c r="A135" s="5">
        <v>8666527701</v>
      </c>
      <c r="B135" s="5">
        <v>3200</v>
      </c>
      <c r="C135" s="5">
        <v>651.96500000000003</v>
      </c>
      <c r="D135" s="5">
        <v>71.98</v>
      </c>
      <c r="E135" s="5">
        <v>2270.0549999999998</v>
      </c>
      <c r="F135" s="5">
        <v>197.06</v>
      </c>
      <c r="G135" s="5">
        <v>2539.0949999999998</v>
      </c>
      <c r="H135" s="6">
        <f t="shared" si="2"/>
        <v>-269.03999999999996</v>
      </c>
      <c r="K135" s="4"/>
    </row>
    <row r="136" spans="1:11" x14ac:dyDescent="0.3">
      <c r="A136" s="5">
        <v>8658143949</v>
      </c>
      <c r="B136" s="5">
        <v>3200</v>
      </c>
      <c r="C136" s="5">
        <v>651.96500000000003</v>
      </c>
      <c r="D136" s="5">
        <v>71.98</v>
      </c>
      <c r="E136" s="5">
        <v>2270.0549999999998</v>
      </c>
      <c r="F136" s="5">
        <v>197.06</v>
      </c>
      <c r="G136" s="5">
        <v>2539.0949999999998</v>
      </c>
      <c r="H136" s="6">
        <f t="shared" si="2"/>
        <v>-269.03999999999996</v>
      </c>
      <c r="K136" s="4"/>
    </row>
    <row r="137" spans="1:11" x14ac:dyDescent="0.3">
      <c r="A137" s="5">
        <v>8679284151</v>
      </c>
      <c r="B137" s="5">
        <v>3200</v>
      </c>
      <c r="C137" s="5">
        <v>651.96</v>
      </c>
      <c r="D137" s="5">
        <v>71.98</v>
      </c>
      <c r="E137" s="5">
        <v>2270.04</v>
      </c>
      <c r="F137" s="5">
        <v>132.16</v>
      </c>
      <c r="G137" s="5">
        <v>2474.1799999999998</v>
      </c>
      <c r="H137" s="6">
        <f t="shared" si="2"/>
        <v>-204.13999999999987</v>
      </c>
      <c r="K137" s="4"/>
    </row>
    <row r="138" spans="1:11" x14ac:dyDescent="0.3">
      <c r="A138" s="5">
        <v>8665449739</v>
      </c>
      <c r="B138" s="5">
        <v>3200</v>
      </c>
      <c r="C138" s="5">
        <v>651.96500000000003</v>
      </c>
      <c r="D138" s="5">
        <v>71.98</v>
      </c>
      <c r="E138" s="5">
        <v>2270.0550000000003</v>
      </c>
      <c r="F138" s="5">
        <v>132.16</v>
      </c>
      <c r="G138" s="5">
        <v>2474.1950000000002</v>
      </c>
      <c r="H138" s="6">
        <f t="shared" si="2"/>
        <v>-204.13999999999987</v>
      </c>
      <c r="K138" s="4"/>
    </row>
    <row r="139" spans="1:11" x14ac:dyDescent="0.3">
      <c r="A139" s="5">
        <v>8629057586</v>
      </c>
      <c r="B139" s="5">
        <v>3187</v>
      </c>
      <c r="C139" s="5">
        <v>754.66200000000003</v>
      </c>
      <c r="D139" s="5">
        <v>71.98</v>
      </c>
      <c r="E139" s="5">
        <v>2154.3580000000002</v>
      </c>
      <c r="F139" s="5">
        <v>132.16</v>
      </c>
      <c r="G139" s="5">
        <v>2358.498</v>
      </c>
      <c r="H139" s="6">
        <f t="shared" si="2"/>
        <v>-204.13999999999987</v>
      </c>
      <c r="K139" s="4"/>
    </row>
    <row r="140" spans="1:11" x14ac:dyDescent="0.3">
      <c r="A140" s="5">
        <v>8639764517</v>
      </c>
      <c r="B140" s="5">
        <v>3187</v>
      </c>
      <c r="C140" s="5">
        <v>754.66200000000003</v>
      </c>
      <c r="D140" s="5">
        <v>71.98</v>
      </c>
      <c r="E140" s="5">
        <v>2154.3580000000002</v>
      </c>
      <c r="F140" s="5">
        <v>132.16</v>
      </c>
      <c r="G140" s="5">
        <v>2358.498</v>
      </c>
      <c r="H140" s="6">
        <f t="shared" si="2"/>
        <v>-204.13999999999987</v>
      </c>
      <c r="K140" s="4"/>
    </row>
    <row r="141" spans="1:11" x14ac:dyDescent="0.3">
      <c r="A141" s="5">
        <v>8640366432</v>
      </c>
      <c r="B141" s="5">
        <v>3187</v>
      </c>
      <c r="C141" s="5">
        <v>754.66200000000003</v>
      </c>
      <c r="D141" s="5">
        <v>71.98</v>
      </c>
      <c r="E141" s="5">
        <v>2154.3580000000002</v>
      </c>
      <c r="F141" s="5">
        <v>197.06</v>
      </c>
      <c r="G141" s="5">
        <v>2423.3980000000001</v>
      </c>
      <c r="H141" s="6">
        <f t="shared" si="2"/>
        <v>-269.03999999999996</v>
      </c>
      <c r="K141" s="4"/>
    </row>
    <row r="142" spans="1:11" x14ac:dyDescent="0.3">
      <c r="A142" s="5">
        <v>8622099781</v>
      </c>
      <c r="B142" s="5">
        <v>3150</v>
      </c>
      <c r="C142" s="5">
        <v>745.29499999999996</v>
      </c>
      <c r="D142" s="5">
        <v>71.98</v>
      </c>
      <c r="E142" s="5">
        <v>2126.7249999999999</v>
      </c>
      <c r="F142" s="5">
        <v>132.16</v>
      </c>
      <c r="G142" s="5">
        <v>2330.8649999999998</v>
      </c>
      <c r="H142" s="6">
        <f t="shared" si="2"/>
        <v>-204.13999999999987</v>
      </c>
      <c r="K142" s="4"/>
    </row>
    <row r="143" spans="1:11" x14ac:dyDescent="0.3">
      <c r="A143" s="5">
        <v>8626935106</v>
      </c>
      <c r="B143" s="5">
        <v>3150</v>
      </c>
      <c r="C143" s="5">
        <v>745.29499999999996</v>
      </c>
      <c r="D143" s="5">
        <v>71.98</v>
      </c>
      <c r="E143" s="5">
        <v>2126.7249999999999</v>
      </c>
      <c r="F143" s="5">
        <v>132.16</v>
      </c>
      <c r="G143" s="5">
        <v>2330.8649999999998</v>
      </c>
      <c r="H143" s="6">
        <f t="shared" si="2"/>
        <v>-204.13999999999987</v>
      </c>
      <c r="K143" s="4"/>
    </row>
    <row r="144" spans="1:11" x14ac:dyDescent="0.3">
      <c r="A144" s="5">
        <v>8625549457</v>
      </c>
      <c r="B144" s="5">
        <v>3150</v>
      </c>
      <c r="C144" s="5">
        <v>745.29499999999996</v>
      </c>
      <c r="D144" s="5">
        <v>71.97999999999999</v>
      </c>
      <c r="E144" s="5">
        <v>2126.7249999999999</v>
      </c>
      <c r="F144" s="5">
        <v>197.06</v>
      </c>
      <c r="G144" s="5">
        <v>2395.7649999999999</v>
      </c>
      <c r="H144" s="6">
        <f t="shared" si="2"/>
        <v>-269.03999999999996</v>
      </c>
      <c r="K144" s="4"/>
    </row>
    <row r="145" spans="1:11" x14ac:dyDescent="0.3">
      <c r="A145" s="5">
        <v>8612022945</v>
      </c>
      <c r="B145" s="5">
        <v>3150</v>
      </c>
      <c r="C145" s="5">
        <v>745.29499999999996</v>
      </c>
      <c r="D145" s="5">
        <v>71.98</v>
      </c>
      <c r="E145" s="5">
        <v>2126.7249999999999</v>
      </c>
      <c r="F145" s="5">
        <v>197.06</v>
      </c>
      <c r="G145" s="5">
        <v>2395.7649999999999</v>
      </c>
      <c r="H145" s="6">
        <f t="shared" si="2"/>
        <v>-269.03999999999996</v>
      </c>
      <c r="K145" s="4"/>
    </row>
    <row r="146" spans="1:11" x14ac:dyDescent="0.3">
      <c r="A146" s="5">
        <v>8625958524</v>
      </c>
      <c r="B146" s="5">
        <v>3150</v>
      </c>
      <c r="C146" s="5">
        <v>745.29499999999996</v>
      </c>
      <c r="D146" s="5">
        <v>71.98</v>
      </c>
      <c r="E146" s="5">
        <v>2126.7249999999999</v>
      </c>
      <c r="F146" s="5">
        <v>197.06</v>
      </c>
      <c r="G146" s="5">
        <v>2395.7649999999999</v>
      </c>
      <c r="H146" s="6">
        <f t="shared" si="2"/>
        <v>-269.03999999999996</v>
      </c>
      <c r="K146" s="4"/>
    </row>
    <row r="147" spans="1:11" x14ac:dyDescent="0.3">
      <c r="A147" s="5">
        <v>8639253705</v>
      </c>
      <c r="B147" s="5">
        <v>3150</v>
      </c>
      <c r="C147" s="5">
        <v>745.29499999999996</v>
      </c>
      <c r="D147" s="5">
        <v>71.98</v>
      </c>
      <c r="E147" s="5">
        <v>2126.7249999999999</v>
      </c>
      <c r="F147" s="5">
        <v>197.06</v>
      </c>
      <c r="G147" s="5">
        <v>2395.7649999999999</v>
      </c>
      <c r="H147" s="6">
        <f t="shared" si="2"/>
        <v>-269.03999999999996</v>
      </c>
      <c r="K147" s="4"/>
    </row>
    <row r="148" spans="1:11" x14ac:dyDescent="0.3">
      <c r="A148" s="5">
        <v>8610667779</v>
      </c>
      <c r="B148" s="5">
        <v>3150</v>
      </c>
      <c r="C148" s="5">
        <v>780.03399999999999</v>
      </c>
      <c r="D148" s="5">
        <v>71.98</v>
      </c>
      <c r="E148" s="5">
        <v>2091.9859999999999</v>
      </c>
      <c r="F148" s="5">
        <v>197.06</v>
      </c>
      <c r="G148" s="5">
        <v>2361.0259999999998</v>
      </c>
      <c r="H148" s="6">
        <f t="shared" si="2"/>
        <v>-269.03999999999996</v>
      </c>
      <c r="K148" s="4"/>
    </row>
    <row r="149" spans="1:11" x14ac:dyDescent="0.3">
      <c r="A149" s="5">
        <v>8657935085</v>
      </c>
      <c r="B149" s="5">
        <v>3150</v>
      </c>
      <c r="C149" s="5">
        <v>745.29200000000003</v>
      </c>
      <c r="D149" s="5">
        <v>71.98</v>
      </c>
      <c r="E149" s="5">
        <v>2126.7180000000003</v>
      </c>
      <c r="F149" s="5">
        <v>132.16</v>
      </c>
      <c r="G149" s="5">
        <v>2330.8580000000002</v>
      </c>
      <c r="H149" s="6">
        <f t="shared" si="2"/>
        <v>-204.13999999999987</v>
      </c>
      <c r="K149" s="4"/>
    </row>
    <row r="150" spans="1:11" x14ac:dyDescent="0.3">
      <c r="A150" s="5">
        <v>8621454433</v>
      </c>
      <c r="B150" s="5">
        <v>3150</v>
      </c>
      <c r="C150" s="5">
        <v>745.29499999999996</v>
      </c>
      <c r="D150" s="5">
        <v>71.98</v>
      </c>
      <c r="E150" s="5">
        <v>2126.7249999999999</v>
      </c>
      <c r="F150" s="5">
        <v>197.06</v>
      </c>
      <c r="G150" s="5">
        <v>2395.7649999999999</v>
      </c>
      <c r="H150" s="6">
        <f t="shared" si="2"/>
        <v>-269.03999999999996</v>
      </c>
      <c r="K150" s="4"/>
    </row>
    <row r="151" spans="1:11" x14ac:dyDescent="0.3">
      <c r="A151" s="5">
        <v>8655681370</v>
      </c>
      <c r="B151" s="5">
        <v>3150</v>
      </c>
      <c r="C151" s="5">
        <v>745.29499999999996</v>
      </c>
      <c r="D151" s="5">
        <v>71.98</v>
      </c>
      <c r="E151" s="5">
        <v>2126.7249999999999</v>
      </c>
      <c r="F151" s="5">
        <v>197.06</v>
      </c>
      <c r="G151" s="5">
        <v>2395.7649999999999</v>
      </c>
      <c r="H151" s="6">
        <f t="shared" si="2"/>
        <v>-269.03999999999996</v>
      </c>
      <c r="K151" s="4"/>
    </row>
    <row r="152" spans="1:11" x14ac:dyDescent="0.3">
      <c r="A152" s="5">
        <v>8665242405</v>
      </c>
      <c r="B152" s="5">
        <v>3040</v>
      </c>
      <c r="C152" s="5">
        <v>717.447</v>
      </c>
      <c r="D152" s="5">
        <v>71.98</v>
      </c>
      <c r="E152" s="5">
        <v>2044.5730000000003</v>
      </c>
      <c r="F152" s="5">
        <v>132.16</v>
      </c>
      <c r="G152" s="5">
        <v>2248.7130000000002</v>
      </c>
      <c r="H152" s="6">
        <f t="shared" si="2"/>
        <v>-204.13999999999987</v>
      </c>
      <c r="K152" s="4"/>
    </row>
    <row r="153" spans="1:11" x14ac:dyDescent="0.3">
      <c r="A153" s="5">
        <v>8640582446</v>
      </c>
      <c r="B153" s="5">
        <v>3037</v>
      </c>
      <c r="C153" s="5">
        <v>750.09400000000005</v>
      </c>
      <c r="D153" s="5">
        <v>71.98</v>
      </c>
      <c r="E153" s="5">
        <v>2008.9259999999999</v>
      </c>
      <c r="F153" s="5">
        <v>197.06</v>
      </c>
      <c r="G153" s="5">
        <v>2277.9659999999999</v>
      </c>
      <c r="H153" s="6">
        <f t="shared" si="2"/>
        <v>-269.03999999999996</v>
      </c>
      <c r="K153" s="4"/>
    </row>
    <row r="154" spans="1:11" x14ac:dyDescent="0.3">
      <c r="A154" s="5">
        <v>8617154389</v>
      </c>
      <c r="B154" s="5">
        <v>3037</v>
      </c>
      <c r="C154" s="5">
        <v>750.09400000000005</v>
      </c>
      <c r="D154" s="5">
        <v>71.98</v>
      </c>
      <c r="E154" s="5">
        <v>2008.9259999999999</v>
      </c>
      <c r="F154" s="5">
        <v>197.06</v>
      </c>
      <c r="G154" s="5">
        <v>2277.9659999999999</v>
      </c>
      <c r="H154" s="6">
        <f t="shared" si="2"/>
        <v>-269.03999999999996</v>
      </c>
      <c r="K154" s="4"/>
    </row>
    <row r="155" spans="1:11" x14ac:dyDescent="0.3">
      <c r="A155" s="5">
        <v>8654459527</v>
      </c>
      <c r="B155" s="5">
        <v>3000</v>
      </c>
      <c r="C155" s="5">
        <v>707.32100000000003</v>
      </c>
      <c r="D155" s="5">
        <v>71.98</v>
      </c>
      <c r="E155" s="5">
        <v>2014.6990000000001</v>
      </c>
      <c r="F155" s="5">
        <v>132.16</v>
      </c>
      <c r="G155" s="5">
        <v>2218.8389999999999</v>
      </c>
      <c r="H155" s="6">
        <f t="shared" si="2"/>
        <v>-204.13999999999987</v>
      </c>
      <c r="K155" s="4"/>
    </row>
    <row r="156" spans="1:11" x14ac:dyDescent="0.3">
      <c r="A156" s="5">
        <v>8659781850</v>
      </c>
      <c r="B156" s="5">
        <v>3000</v>
      </c>
      <c r="C156" s="5">
        <v>707.32100000000003</v>
      </c>
      <c r="D156" s="5">
        <v>71.98</v>
      </c>
      <c r="E156" s="5">
        <v>2014.6990000000001</v>
      </c>
      <c r="F156" s="5">
        <v>132.16</v>
      </c>
      <c r="G156" s="5">
        <v>2218.8389999999999</v>
      </c>
      <c r="H156" s="6">
        <f t="shared" si="2"/>
        <v>-204.13999999999987</v>
      </c>
      <c r="K156" s="4"/>
    </row>
    <row r="157" spans="1:11" x14ac:dyDescent="0.3">
      <c r="A157" s="5">
        <v>8655711145</v>
      </c>
      <c r="B157" s="5">
        <v>3000</v>
      </c>
      <c r="C157" s="5">
        <v>707.32100000000003</v>
      </c>
      <c r="D157" s="5">
        <v>71.98</v>
      </c>
      <c r="E157" s="5">
        <v>2014.6990000000001</v>
      </c>
      <c r="F157" s="5">
        <v>197.06</v>
      </c>
      <c r="G157" s="5">
        <v>2283.739</v>
      </c>
      <c r="H157" s="6">
        <f t="shared" si="2"/>
        <v>-269.03999999999996</v>
      </c>
      <c r="K157" s="4"/>
    </row>
    <row r="158" spans="1:11" x14ac:dyDescent="0.3">
      <c r="A158" s="5">
        <v>8680967376</v>
      </c>
      <c r="B158" s="5">
        <v>3000</v>
      </c>
      <c r="C158" s="5">
        <v>608.41399999999999</v>
      </c>
      <c r="D158" s="5">
        <v>71.98</v>
      </c>
      <c r="E158" s="5">
        <v>2113.6060000000002</v>
      </c>
      <c r="F158" s="5">
        <v>197.06</v>
      </c>
      <c r="G158" s="5">
        <v>2382.6460000000002</v>
      </c>
      <c r="H158" s="6">
        <f t="shared" si="2"/>
        <v>-269.03999999999996</v>
      </c>
      <c r="K158" s="4"/>
    </row>
    <row r="159" spans="1:11" x14ac:dyDescent="0.3">
      <c r="A159" s="5">
        <v>8640576575</v>
      </c>
      <c r="B159" s="5">
        <v>2975</v>
      </c>
      <c r="C159" s="5">
        <v>700.99199999999996</v>
      </c>
      <c r="D159" s="5">
        <v>71.98</v>
      </c>
      <c r="E159" s="5">
        <v>1996.0280000000002</v>
      </c>
      <c r="F159" s="5">
        <v>197.06</v>
      </c>
      <c r="G159" s="5">
        <v>2265.0680000000002</v>
      </c>
      <c r="H159" s="6">
        <f t="shared" si="2"/>
        <v>-269.03999999999996</v>
      </c>
      <c r="K159" s="4"/>
    </row>
    <row r="160" spans="1:11" x14ac:dyDescent="0.3">
      <c r="A160" s="5">
        <v>8626239043</v>
      </c>
      <c r="B160" s="5">
        <v>2975</v>
      </c>
      <c r="C160" s="5">
        <v>602.97</v>
      </c>
      <c r="D160" s="5">
        <v>71.98</v>
      </c>
      <c r="E160" s="5">
        <v>2094.0499999999997</v>
      </c>
      <c r="F160" s="5">
        <v>107.38</v>
      </c>
      <c r="G160" s="5">
        <v>2273.41</v>
      </c>
      <c r="H160" s="6">
        <f t="shared" si="2"/>
        <v>-179.36000000000013</v>
      </c>
      <c r="K160" s="4"/>
    </row>
    <row r="161" spans="1:11" x14ac:dyDescent="0.3">
      <c r="A161" s="5">
        <v>8640417638</v>
      </c>
      <c r="B161" s="5">
        <v>2975</v>
      </c>
      <c r="C161" s="5">
        <v>700.99199999999996</v>
      </c>
      <c r="D161" s="5">
        <v>71.98</v>
      </c>
      <c r="E161" s="5">
        <v>1996.0280000000002</v>
      </c>
      <c r="F161" s="5">
        <v>197.06</v>
      </c>
      <c r="G161" s="5">
        <v>2265.0680000000002</v>
      </c>
      <c r="H161" s="6">
        <f t="shared" si="2"/>
        <v>-269.03999999999996</v>
      </c>
      <c r="K161" s="4"/>
    </row>
    <row r="162" spans="1:11" x14ac:dyDescent="0.3">
      <c r="A162" s="5">
        <v>8634169145</v>
      </c>
      <c r="B162" s="5">
        <v>2975</v>
      </c>
      <c r="C162" s="5">
        <v>700.99199999999996</v>
      </c>
      <c r="D162" s="5">
        <v>71.98</v>
      </c>
      <c r="E162" s="5">
        <v>1996.0280000000002</v>
      </c>
      <c r="F162" s="5">
        <v>197.06</v>
      </c>
      <c r="G162" s="5">
        <v>2265.0680000000002</v>
      </c>
      <c r="H162" s="6">
        <f t="shared" si="2"/>
        <v>-269.03999999999996</v>
      </c>
      <c r="K162" s="4"/>
    </row>
    <row r="163" spans="1:11" x14ac:dyDescent="0.3">
      <c r="A163" s="5">
        <v>8647895633</v>
      </c>
      <c r="B163" s="5">
        <v>2975</v>
      </c>
      <c r="C163" s="5">
        <v>602.96699999999998</v>
      </c>
      <c r="D163" s="5">
        <v>71.98</v>
      </c>
      <c r="E163" s="5">
        <v>2094.0430000000001</v>
      </c>
      <c r="F163" s="5">
        <v>132.16</v>
      </c>
      <c r="G163" s="5">
        <v>2298.183</v>
      </c>
      <c r="H163" s="6">
        <f t="shared" si="2"/>
        <v>-204.13999999999987</v>
      </c>
      <c r="K163" s="4"/>
    </row>
    <row r="164" spans="1:11" x14ac:dyDescent="0.3">
      <c r="A164" s="5">
        <v>8636986750</v>
      </c>
      <c r="B164" s="5">
        <v>2975</v>
      </c>
      <c r="C164" s="5">
        <v>602.97</v>
      </c>
      <c r="D164" s="5">
        <v>71.98</v>
      </c>
      <c r="E164" s="5">
        <v>2094.0500000000002</v>
      </c>
      <c r="F164" s="5">
        <v>197.06</v>
      </c>
      <c r="G164" s="5">
        <v>2363.09</v>
      </c>
      <c r="H164" s="6">
        <f t="shared" si="2"/>
        <v>-269.03999999999996</v>
      </c>
      <c r="K164" s="4"/>
    </row>
    <row r="165" spans="1:11" x14ac:dyDescent="0.3">
      <c r="A165" s="5">
        <v>8650282943</v>
      </c>
      <c r="B165" s="5">
        <v>2925</v>
      </c>
      <c r="C165" s="5">
        <v>720.41800000000001</v>
      </c>
      <c r="D165" s="5">
        <v>71.98</v>
      </c>
      <c r="E165" s="5">
        <v>1926.6019999999999</v>
      </c>
      <c r="F165" s="5">
        <v>107.38</v>
      </c>
      <c r="G165" s="5">
        <v>2105.962</v>
      </c>
      <c r="H165" s="6">
        <f t="shared" si="2"/>
        <v>-179.36000000000013</v>
      </c>
      <c r="K165" s="4"/>
    </row>
    <row r="166" spans="1:11" x14ac:dyDescent="0.3">
      <c r="A166" s="5">
        <v>8629218604</v>
      </c>
      <c r="B166" s="5">
        <v>2925</v>
      </c>
      <c r="C166" s="5">
        <v>688.33399999999995</v>
      </c>
      <c r="D166" s="5">
        <v>71.98</v>
      </c>
      <c r="E166" s="5">
        <v>1958.6860000000001</v>
      </c>
      <c r="F166" s="5">
        <v>197.06</v>
      </c>
      <c r="G166" s="5">
        <v>2227.7260000000001</v>
      </c>
      <c r="H166" s="6">
        <f t="shared" si="2"/>
        <v>-269.03999999999996</v>
      </c>
      <c r="K166" s="4"/>
    </row>
    <row r="167" spans="1:11" x14ac:dyDescent="0.3">
      <c r="A167" s="5">
        <v>8624683466</v>
      </c>
      <c r="B167" s="5">
        <v>2925</v>
      </c>
      <c r="C167" s="5">
        <v>688.33399999999995</v>
      </c>
      <c r="D167" s="5">
        <v>71.98</v>
      </c>
      <c r="E167" s="5">
        <v>1958.6859999999997</v>
      </c>
      <c r="F167" s="5">
        <v>107.38</v>
      </c>
      <c r="G167" s="5">
        <v>2138.0459999999998</v>
      </c>
      <c r="H167" s="6">
        <f t="shared" si="2"/>
        <v>-179.36000000000013</v>
      </c>
      <c r="K167" s="4"/>
    </row>
    <row r="168" spans="1:11" x14ac:dyDescent="0.3">
      <c r="A168" s="5">
        <v>8634879839</v>
      </c>
      <c r="B168" s="5">
        <v>2925</v>
      </c>
      <c r="C168" s="5">
        <v>688.33399999999995</v>
      </c>
      <c r="D168" s="5">
        <v>71.98</v>
      </c>
      <c r="E168" s="5">
        <v>1958.6860000000001</v>
      </c>
      <c r="F168" s="5">
        <v>197.06</v>
      </c>
      <c r="G168" s="5">
        <v>2227.7260000000001</v>
      </c>
      <c r="H168" s="6">
        <f t="shared" si="2"/>
        <v>-269.03999999999996</v>
      </c>
      <c r="K168" s="4"/>
    </row>
    <row r="169" spans="1:11" x14ac:dyDescent="0.3">
      <c r="A169" s="5">
        <v>8650798775</v>
      </c>
      <c r="B169" s="5">
        <v>2925</v>
      </c>
      <c r="C169" s="5">
        <v>720.41800000000001</v>
      </c>
      <c r="D169" s="5">
        <v>71.98</v>
      </c>
      <c r="E169" s="5">
        <v>1926.6019999999999</v>
      </c>
      <c r="F169" s="5">
        <v>197.06</v>
      </c>
      <c r="G169" s="5">
        <v>2195.6419999999998</v>
      </c>
      <c r="H169" s="6">
        <f t="shared" si="2"/>
        <v>-269.03999999999996</v>
      </c>
      <c r="K169" s="4"/>
    </row>
    <row r="170" spans="1:11" x14ac:dyDescent="0.3">
      <c r="A170" s="5">
        <v>8672975238</v>
      </c>
      <c r="B170" s="5">
        <v>2925</v>
      </c>
      <c r="C170" s="5">
        <v>880.83900000000006</v>
      </c>
      <c r="D170" s="5">
        <v>71.98</v>
      </c>
      <c r="E170" s="5">
        <v>1766.181</v>
      </c>
      <c r="F170" s="5">
        <v>197.06</v>
      </c>
      <c r="G170" s="5">
        <v>2035.221</v>
      </c>
      <c r="H170" s="6">
        <f t="shared" si="2"/>
        <v>-269.03999999999996</v>
      </c>
      <c r="K170" s="4"/>
    </row>
    <row r="171" spans="1:11" x14ac:dyDescent="0.3">
      <c r="A171" s="5">
        <v>8619901287</v>
      </c>
      <c r="B171" s="5">
        <v>2880</v>
      </c>
      <c r="C171" s="5">
        <v>582.28300000000002</v>
      </c>
      <c r="D171" s="5">
        <v>71.98</v>
      </c>
      <c r="E171" s="5">
        <v>2019.7370000000001</v>
      </c>
      <c r="F171" s="5">
        <v>197.06</v>
      </c>
      <c r="G171" s="5">
        <v>2288.777</v>
      </c>
      <c r="H171" s="6">
        <f t="shared" si="2"/>
        <v>-269.03999999999996</v>
      </c>
      <c r="K171" s="4"/>
    </row>
    <row r="172" spans="1:11" x14ac:dyDescent="0.3">
      <c r="A172" s="5">
        <v>8638525832</v>
      </c>
      <c r="B172" s="5">
        <v>2850</v>
      </c>
      <c r="C172" s="5">
        <v>575.74800000000005</v>
      </c>
      <c r="D172" s="5">
        <v>71.97999999999999</v>
      </c>
      <c r="E172" s="5">
        <v>1996.2620000000002</v>
      </c>
      <c r="F172" s="5">
        <v>197.06</v>
      </c>
      <c r="G172" s="5">
        <v>2265.3020000000001</v>
      </c>
      <c r="H172" s="6">
        <f t="shared" si="2"/>
        <v>-269.03999999999996</v>
      </c>
      <c r="K172" s="4"/>
    </row>
    <row r="173" spans="1:11" x14ac:dyDescent="0.3">
      <c r="A173" s="5">
        <v>8643991542</v>
      </c>
      <c r="B173" s="5">
        <v>2850</v>
      </c>
      <c r="C173" s="5">
        <v>575.75300000000004</v>
      </c>
      <c r="D173" s="5">
        <v>71.98</v>
      </c>
      <c r="E173" s="5">
        <v>1996.277</v>
      </c>
      <c r="F173" s="5">
        <v>132.16</v>
      </c>
      <c r="G173" s="5">
        <v>2200.4169999999999</v>
      </c>
      <c r="H173" s="6">
        <f t="shared" si="2"/>
        <v>-204.13999999999987</v>
      </c>
      <c r="K173" s="4"/>
    </row>
    <row r="174" spans="1:11" x14ac:dyDescent="0.3">
      <c r="A174" s="5">
        <v>8620040748</v>
      </c>
      <c r="B174" s="5">
        <v>2812</v>
      </c>
      <c r="C174" s="5">
        <v>567.47500000000002</v>
      </c>
      <c r="D174" s="5">
        <v>71.98</v>
      </c>
      <c r="E174" s="5">
        <v>1966.5450000000001</v>
      </c>
      <c r="F174" s="5">
        <v>132.16</v>
      </c>
      <c r="G174" s="5">
        <v>2170.6849999999999</v>
      </c>
      <c r="H174" s="6">
        <f t="shared" si="2"/>
        <v>-204.13999999999987</v>
      </c>
      <c r="K174" s="4"/>
    </row>
    <row r="175" spans="1:11" x14ac:dyDescent="0.3">
      <c r="A175" s="5">
        <v>8620040747</v>
      </c>
      <c r="B175" s="5">
        <v>2812</v>
      </c>
      <c r="C175" s="5">
        <v>567.47500000000002</v>
      </c>
      <c r="D175" s="5">
        <v>71.98</v>
      </c>
      <c r="E175" s="5">
        <v>1966.5450000000001</v>
      </c>
      <c r="F175" s="5">
        <v>132.16</v>
      </c>
      <c r="G175" s="5">
        <v>2170.6849999999999</v>
      </c>
      <c r="H175" s="6">
        <f t="shared" si="2"/>
        <v>-204.13999999999987</v>
      </c>
      <c r="K175" s="4"/>
    </row>
    <row r="176" spans="1:11" x14ac:dyDescent="0.3">
      <c r="A176" s="5">
        <v>8622999029</v>
      </c>
      <c r="B176" s="5">
        <v>2812</v>
      </c>
      <c r="C176" s="5">
        <v>659.72799999999995</v>
      </c>
      <c r="D176" s="5">
        <v>71.98</v>
      </c>
      <c r="E176" s="5">
        <v>1874.2919999999999</v>
      </c>
      <c r="F176" s="5">
        <v>132.16</v>
      </c>
      <c r="G176" s="5">
        <v>2078.4319999999998</v>
      </c>
      <c r="H176" s="6">
        <f t="shared" si="2"/>
        <v>-204.13999999999987</v>
      </c>
      <c r="K176" s="4"/>
    </row>
    <row r="177" spans="1:11" x14ac:dyDescent="0.3">
      <c r="A177" s="5">
        <v>8613861450</v>
      </c>
      <c r="B177" s="5">
        <v>2812</v>
      </c>
      <c r="C177" s="5">
        <v>567.47500000000002</v>
      </c>
      <c r="D177" s="5">
        <v>71.98</v>
      </c>
      <c r="E177" s="5">
        <v>1966.5450000000001</v>
      </c>
      <c r="F177" s="5">
        <v>197.06</v>
      </c>
      <c r="G177" s="5">
        <v>2235.585</v>
      </c>
      <c r="H177" s="6">
        <f t="shared" si="2"/>
        <v>-269.03999999999996</v>
      </c>
      <c r="K177" s="4"/>
    </row>
    <row r="178" spans="1:11" x14ac:dyDescent="0.3">
      <c r="A178" s="5">
        <v>8631473616</v>
      </c>
      <c r="B178" s="5">
        <v>2812</v>
      </c>
      <c r="C178" s="5">
        <v>567.47500000000002</v>
      </c>
      <c r="D178" s="5">
        <v>71.98</v>
      </c>
      <c r="E178" s="5">
        <v>1966.5450000000001</v>
      </c>
      <c r="F178" s="5">
        <v>132.16</v>
      </c>
      <c r="G178" s="5">
        <v>2170.6849999999999</v>
      </c>
      <c r="H178" s="6">
        <f t="shared" si="2"/>
        <v>-204.13999999999987</v>
      </c>
      <c r="K178" s="4"/>
    </row>
    <row r="179" spans="1:11" x14ac:dyDescent="0.3">
      <c r="A179" s="5">
        <v>8613805161</v>
      </c>
      <c r="B179" s="5">
        <v>2812</v>
      </c>
      <c r="C179" s="5">
        <v>567.47500000000002</v>
      </c>
      <c r="D179" s="5">
        <v>71.98</v>
      </c>
      <c r="E179" s="5">
        <v>1966.5450000000001</v>
      </c>
      <c r="F179" s="5">
        <v>197.06</v>
      </c>
      <c r="G179" s="5">
        <v>2235.585</v>
      </c>
      <c r="H179" s="6">
        <f t="shared" si="2"/>
        <v>-269.03999999999996</v>
      </c>
      <c r="K179" s="4"/>
    </row>
    <row r="180" spans="1:11" x14ac:dyDescent="0.3">
      <c r="A180" s="5">
        <v>8672771876</v>
      </c>
      <c r="B180" s="5">
        <v>2812</v>
      </c>
      <c r="C180" s="5">
        <v>567.47699999999998</v>
      </c>
      <c r="D180" s="5">
        <v>71.97999999999999</v>
      </c>
      <c r="E180" s="5">
        <v>1966.5530000000001</v>
      </c>
      <c r="F180" s="5">
        <v>107.38</v>
      </c>
      <c r="G180" s="5">
        <v>2145.913</v>
      </c>
      <c r="H180" s="6">
        <f t="shared" si="2"/>
        <v>-179.3599999999999</v>
      </c>
      <c r="K180" s="4"/>
    </row>
    <row r="181" spans="1:11" x14ac:dyDescent="0.3">
      <c r="A181" s="5">
        <v>8658705104</v>
      </c>
      <c r="B181" s="5">
        <v>2800</v>
      </c>
      <c r="C181" s="5">
        <v>564.86199999999997</v>
      </c>
      <c r="D181" s="5">
        <v>71.98</v>
      </c>
      <c r="E181" s="5">
        <v>1957.1579999999999</v>
      </c>
      <c r="F181" s="5">
        <v>197.06</v>
      </c>
      <c r="G181" s="5">
        <v>2226.1979999999999</v>
      </c>
      <c r="H181" s="6">
        <f t="shared" si="2"/>
        <v>-269.03999999999996</v>
      </c>
      <c r="K181" s="4"/>
    </row>
    <row r="182" spans="1:11" x14ac:dyDescent="0.3">
      <c r="A182" s="5">
        <v>8632532798</v>
      </c>
      <c r="B182" s="5">
        <v>2800</v>
      </c>
      <c r="C182" s="5">
        <v>840.34400000000005</v>
      </c>
      <c r="D182" s="5">
        <v>71.98</v>
      </c>
      <c r="E182" s="5">
        <v>1681.6759999999999</v>
      </c>
      <c r="F182" s="5">
        <v>132.16</v>
      </c>
      <c r="G182" s="5">
        <v>1885.816</v>
      </c>
      <c r="H182" s="6">
        <f t="shared" si="2"/>
        <v>-204.1400000000001</v>
      </c>
      <c r="K182" s="4"/>
    </row>
    <row r="183" spans="1:11" x14ac:dyDescent="0.3">
      <c r="A183" s="5">
        <v>8650825318</v>
      </c>
      <c r="B183" s="5">
        <v>2800</v>
      </c>
      <c r="C183" s="5">
        <v>656.68899999999996</v>
      </c>
      <c r="D183" s="5">
        <v>71.98</v>
      </c>
      <c r="E183" s="5">
        <v>1865.3310000000001</v>
      </c>
      <c r="F183" s="5">
        <v>197.06</v>
      </c>
      <c r="G183" s="5">
        <v>2134.3710000000001</v>
      </c>
      <c r="H183" s="6">
        <f t="shared" si="2"/>
        <v>-269.03999999999996</v>
      </c>
      <c r="K183" s="4"/>
    </row>
    <row r="184" spans="1:11" x14ac:dyDescent="0.3">
      <c r="A184" s="5">
        <v>8680835728</v>
      </c>
      <c r="B184" s="5">
        <v>2800</v>
      </c>
      <c r="C184" s="5">
        <v>564.86199999999997</v>
      </c>
      <c r="D184" s="5">
        <v>71.98</v>
      </c>
      <c r="E184" s="5">
        <v>1957.1579999999999</v>
      </c>
      <c r="F184" s="5">
        <v>197.06</v>
      </c>
      <c r="G184" s="5">
        <v>2226.1979999999999</v>
      </c>
      <c r="H184" s="6">
        <f t="shared" si="2"/>
        <v>-269.03999999999996</v>
      </c>
      <c r="K184" s="4"/>
    </row>
    <row r="185" spans="1:11" x14ac:dyDescent="0.3">
      <c r="A185" s="5">
        <v>8677429790</v>
      </c>
      <c r="B185" s="5">
        <v>2800</v>
      </c>
      <c r="C185" s="5">
        <v>564.86199999999997</v>
      </c>
      <c r="D185" s="5">
        <v>71.98</v>
      </c>
      <c r="E185" s="5">
        <v>1957.1579999999999</v>
      </c>
      <c r="F185" s="5">
        <v>197.06</v>
      </c>
      <c r="G185" s="5">
        <v>2226.1979999999999</v>
      </c>
      <c r="H185" s="6">
        <f t="shared" si="2"/>
        <v>-269.03999999999996</v>
      </c>
      <c r="K185" s="4"/>
    </row>
    <row r="186" spans="1:11" x14ac:dyDescent="0.3">
      <c r="A186" s="5">
        <v>8666747268</v>
      </c>
      <c r="B186" s="5">
        <v>2800</v>
      </c>
      <c r="C186" s="5">
        <v>564.86199999999997</v>
      </c>
      <c r="D186" s="5">
        <v>71.98</v>
      </c>
      <c r="E186" s="5">
        <v>1957.1579999999999</v>
      </c>
      <c r="F186" s="5">
        <v>197.06</v>
      </c>
      <c r="G186" s="5">
        <v>2226.1979999999999</v>
      </c>
      <c r="H186" s="6">
        <f t="shared" si="2"/>
        <v>-269.03999999999996</v>
      </c>
      <c r="K186" s="4"/>
    </row>
    <row r="187" spans="1:11" x14ac:dyDescent="0.3">
      <c r="A187" s="5">
        <v>8615659105</v>
      </c>
      <c r="B187" s="5">
        <v>2762</v>
      </c>
      <c r="C187" s="5">
        <v>677.23299999999995</v>
      </c>
      <c r="D187" s="5">
        <v>71.98</v>
      </c>
      <c r="E187" s="5">
        <v>1806.797</v>
      </c>
      <c r="F187" s="5">
        <v>197.06</v>
      </c>
      <c r="G187" s="5">
        <v>2075.837</v>
      </c>
      <c r="H187" s="6">
        <f t="shared" si="2"/>
        <v>-269.03999999999996</v>
      </c>
      <c r="K187" s="4"/>
    </row>
    <row r="188" spans="1:11" x14ac:dyDescent="0.3">
      <c r="A188" s="5">
        <v>8615659103</v>
      </c>
      <c r="B188" s="5">
        <v>2762</v>
      </c>
      <c r="C188" s="5">
        <v>677.23099999999999</v>
      </c>
      <c r="D188" s="5">
        <v>71.98</v>
      </c>
      <c r="E188" s="5">
        <v>1806.7890000000002</v>
      </c>
      <c r="F188" s="5">
        <v>197.06</v>
      </c>
      <c r="G188" s="5">
        <v>2075.8290000000002</v>
      </c>
      <c r="H188" s="6">
        <f t="shared" si="2"/>
        <v>-269.03999999999996</v>
      </c>
      <c r="K188" s="4"/>
    </row>
    <row r="189" spans="1:11" x14ac:dyDescent="0.3">
      <c r="A189" s="5">
        <v>8699197877</v>
      </c>
      <c r="B189" s="5">
        <v>2732</v>
      </c>
      <c r="C189" s="5">
        <v>550.95699999999999</v>
      </c>
      <c r="D189" s="5">
        <v>71.98</v>
      </c>
      <c r="E189" s="5">
        <v>1903.0630000000001</v>
      </c>
      <c r="F189" s="5">
        <v>197.06</v>
      </c>
      <c r="G189" s="5">
        <v>2172.1030000000001</v>
      </c>
      <c r="H189" s="6">
        <f t="shared" si="2"/>
        <v>-269.03999999999996</v>
      </c>
      <c r="K189" s="4"/>
    </row>
    <row r="190" spans="1:11" x14ac:dyDescent="0.3">
      <c r="A190" s="5">
        <v>8612316632</v>
      </c>
      <c r="B190" s="5">
        <v>2700</v>
      </c>
      <c r="C190" s="5">
        <v>807.94899999999996</v>
      </c>
      <c r="D190" s="5">
        <v>71.98</v>
      </c>
      <c r="E190" s="5">
        <v>1614.0710000000001</v>
      </c>
      <c r="F190" s="5">
        <v>197.06</v>
      </c>
      <c r="G190" s="5">
        <v>1883.1110000000001</v>
      </c>
      <c r="H190" s="6">
        <f t="shared" si="2"/>
        <v>-269.03999999999996</v>
      </c>
      <c r="K190" s="4"/>
    </row>
    <row r="191" spans="1:11" x14ac:dyDescent="0.3">
      <c r="A191" s="5">
        <v>8616941569</v>
      </c>
      <c r="B191" s="5">
        <v>2700</v>
      </c>
      <c r="C191" s="5">
        <v>807.94899999999996</v>
      </c>
      <c r="D191" s="5">
        <v>71.98</v>
      </c>
      <c r="E191" s="5">
        <v>1614.0710000000001</v>
      </c>
      <c r="F191" s="5">
        <v>197.06</v>
      </c>
      <c r="G191" s="5">
        <v>1883.1110000000001</v>
      </c>
      <c r="H191" s="6">
        <f t="shared" si="2"/>
        <v>-269.03999999999996</v>
      </c>
      <c r="K191" s="4"/>
    </row>
    <row r="192" spans="1:11" x14ac:dyDescent="0.3">
      <c r="A192" s="5">
        <v>8621926796</v>
      </c>
      <c r="B192" s="5">
        <v>2680</v>
      </c>
      <c r="C192" s="5">
        <v>655.50400000000002</v>
      </c>
      <c r="D192" s="5">
        <v>71.98</v>
      </c>
      <c r="E192" s="5">
        <v>1746.5160000000001</v>
      </c>
      <c r="F192" s="5">
        <v>197.06</v>
      </c>
      <c r="G192" s="5">
        <v>2015.556</v>
      </c>
      <c r="H192" s="6">
        <f t="shared" si="2"/>
        <v>-269.03999999999996</v>
      </c>
      <c r="K192" s="4"/>
    </row>
    <row r="193" spans="1:11" x14ac:dyDescent="0.3">
      <c r="A193" s="5">
        <v>8698964265</v>
      </c>
      <c r="B193" s="5">
        <v>2638</v>
      </c>
      <c r="C193" s="5">
        <v>530.45399999999995</v>
      </c>
      <c r="D193" s="5">
        <v>71.98</v>
      </c>
      <c r="E193" s="5">
        <v>1829.5659999999998</v>
      </c>
      <c r="F193" s="5">
        <v>107.38</v>
      </c>
      <c r="G193" s="5">
        <v>2008.9259999999999</v>
      </c>
      <c r="H193" s="6">
        <f t="shared" si="2"/>
        <v>-179.36000000000013</v>
      </c>
      <c r="K193" s="4"/>
    </row>
    <row r="194" spans="1:11" x14ac:dyDescent="0.3">
      <c r="A194" s="5">
        <v>8612775581</v>
      </c>
      <c r="B194" s="5">
        <v>2625</v>
      </c>
      <c r="C194" s="5">
        <v>783.65200000000004</v>
      </c>
      <c r="D194" s="5">
        <v>71.98</v>
      </c>
      <c r="E194" s="5">
        <v>1563.3679999999999</v>
      </c>
      <c r="F194" s="5">
        <v>197.06</v>
      </c>
      <c r="G194" s="5">
        <v>1832.4079999999999</v>
      </c>
      <c r="H194" s="6">
        <f t="shared" ref="H194:H257" si="3">E194-G194</f>
        <v>-269.03999999999996</v>
      </c>
      <c r="K194" s="4"/>
    </row>
    <row r="195" spans="1:11" x14ac:dyDescent="0.3">
      <c r="A195" s="5">
        <v>8655200769</v>
      </c>
      <c r="B195" s="5">
        <v>2625</v>
      </c>
      <c r="C195" s="5">
        <v>526.755</v>
      </c>
      <c r="D195" s="5">
        <v>71.98</v>
      </c>
      <c r="E195" s="5">
        <v>1820.2649999999999</v>
      </c>
      <c r="F195" s="5">
        <v>132.16</v>
      </c>
      <c r="G195" s="5">
        <v>2024.405</v>
      </c>
      <c r="H195" s="6">
        <f t="shared" si="3"/>
        <v>-204.1400000000001</v>
      </c>
      <c r="K195" s="4"/>
    </row>
    <row r="196" spans="1:11" x14ac:dyDescent="0.3">
      <c r="A196" s="5">
        <v>8649750336</v>
      </c>
      <c r="B196" s="5">
        <v>2625</v>
      </c>
      <c r="C196" s="5">
        <v>783.65200000000004</v>
      </c>
      <c r="D196" s="5">
        <v>71.98</v>
      </c>
      <c r="E196" s="5">
        <v>1563.3679999999999</v>
      </c>
      <c r="F196" s="5">
        <v>197.06</v>
      </c>
      <c r="G196" s="5">
        <v>1832.4079999999999</v>
      </c>
      <c r="H196" s="6">
        <f t="shared" si="3"/>
        <v>-269.03999999999996</v>
      </c>
      <c r="K196" s="4"/>
    </row>
    <row r="197" spans="1:11" x14ac:dyDescent="0.3">
      <c r="A197" s="5">
        <v>8626412492</v>
      </c>
      <c r="B197" s="5">
        <v>2625</v>
      </c>
      <c r="C197" s="5">
        <v>526.755</v>
      </c>
      <c r="D197" s="5">
        <v>71.98</v>
      </c>
      <c r="E197" s="5">
        <v>1820.2649999999999</v>
      </c>
      <c r="F197" s="5">
        <v>197.06</v>
      </c>
      <c r="G197" s="5">
        <v>2089.3049999999998</v>
      </c>
      <c r="H197" s="6">
        <f t="shared" si="3"/>
        <v>-269.03999999999996</v>
      </c>
      <c r="K197" s="4"/>
    </row>
    <row r="198" spans="1:11" x14ac:dyDescent="0.3">
      <c r="A198" s="5">
        <v>8638232224</v>
      </c>
      <c r="B198" s="5">
        <v>2625</v>
      </c>
      <c r="C198" s="5">
        <v>612.38699999999994</v>
      </c>
      <c r="D198" s="5">
        <v>71.98</v>
      </c>
      <c r="E198" s="5">
        <v>1734.6329999999998</v>
      </c>
      <c r="F198" s="5">
        <v>132.16</v>
      </c>
      <c r="G198" s="5">
        <v>1938.7729999999999</v>
      </c>
      <c r="H198" s="6">
        <f t="shared" si="3"/>
        <v>-204.1400000000001</v>
      </c>
      <c r="K198" s="4"/>
    </row>
    <row r="199" spans="1:11" x14ac:dyDescent="0.3">
      <c r="A199" s="5">
        <v>8679854503</v>
      </c>
      <c r="B199" s="5">
        <v>2625</v>
      </c>
      <c r="C199" s="5">
        <v>526.755</v>
      </c>
      <c r="D199" s="5">
        <v>71.98</v>
      </c>
      <c r="E199" s="5">
        <v>1820.2649999999999</v>
      </c>
      <c r="F199" s="5">
        <v>132.16</v>
      </c>
      <c r="G199" s="5">
        <v>2024.405</v>
      </c>
      <c r="H199" s="6">
        <f t="shared" si="3"/>
        <v>-204.1400000000001</v>
      </c>
      <c r="K199" s="4"/>
    </row>
    <row r="200" spans="1:11" x14ac:dyDescent="0.3">
      <c r="A200" s="5">
        <v>8664113232</v>
      </c>
      <c r="B200" s="5">
        <v>2612</v>
      </c>
      <c r="C200" s="5">
        <v>609.096</v>
      </c>
      <c r="D200" s="5">
        <v>71.98</v>
      </c>
      <c r="E200" s="5">
        <v>1724.924</v>
      </c>
      <c r="F200" s="5">
        <v>197.06</v>
      </c>
      <c r="G200" s="5">
        <v>1993.9639999999999</v>
      </c>
      <c r="H200" s="6">
        <f t="shared" si="3"/>
        <v>-269.03999999999996</v>
      </c>
      <c r="K200" s="4"/>
    </row>
    <row r="201" spans="1:11" x14ac:dyDescent="0.3">
      <c r="A201" s="5">
        <v>8680872278</v>
      </c>
      <c r="B201" s="5">
        <v>2612</v>
      </c>
      <c r="C201" s="5">
        <v>609.09699999999998</v>
      </c>
      <c r="D201" s="5">
        <v>71.98</v>
      </c>
      <c r="E201" s="5">
        <v>1724.923</v>
      </c>
      <c r="F201" s="5">
        <v>197.06</v>
      </c>
      <c r="G201" s="5">
        <v>1993.963</v>
      </c>
      <c r="H201" s="6">
        <f t="shared" si="3"/>
        <v>-269.03999999999996</v>
      </c>
      <c r="K201" s="4"/>
    </row>
    <row r="202" spans="1:11" x14ac:dyDescent="0.3">
      <c r="A202" s="5">
        <v>8653424809</v>
      </c>
      <c r="B202" s="5">
        <v>2550</v>
      </c>
      <c r="C202" s="5">
        <v>621.05899999999997</v>
      </c>
      <c r="D202" s="5">
        <v>71.98</v>
      </c>
      <c r="E202" s="5">
        <v>1650.9609999999998</v>
      </c>
      <c r="F202" s="5">
        <v>107.38</v>
      </c>
      <c r="G202" s="5">
        <v>1830.3209999999999</v>
      </c>
      <c r="H202" s="6">
        <f t="shared" si="3"/>
        <v>-179.36000000000013</v>
      </c>
      <c r="K202" s="4"/>
    </row>
    <row r="203" spans="1:11" x14ac:dyDescent="0.3">
      <c r="A203" s="5">
        <v>8644874924</v>
      </c>
      <c r="B203" s="5">
        <v>2550</v>
      </c>
      <c r="C203" s="5">
        <v>593.4</v>
      </c>
      <c r="D203" s="5">
        <v>71.98</v>
      </c>
      <c r="E203" s="5">
        <v>1678.6200000000001</v>
      </c>
      <c r="F203" s="5">
        <v>197.06</v>
      </c>
      <c r="G203" s="5">
        <v>1947.66</v>
      </c>
      <c r="H203" s="6">
        <f t="shared" si="3"/>
        <v>-269.03999999999996</v>
      </c>
      <c r="K203" s="4"/>
    </row>
    <row r="204" spans="1:11" x14ac:dyDescent="0.3">
      <c r="A204" s="5">
        <v>8652499305</v>
      </c>
      <c r="B204" s="5">
        <v>2550</v>
      </c>
      <c r="C204" s="5">
        <v>759.35500000000002</v>
      </c>
      <c r="D204" s="5">
        <v>71.98</v>
      </c>
      <c r="E204" s="5">
        <v>1512.665</v>
      </c>
      <c r="F204" s="5">
        <v>107.38</v>
      </c>
      <c r="G204" s="5">
        <v>1692.0250000000001</v>
      </c>
      <c r="H204" s="6">
        <f t="shared" si="3"/>
        <v>-179.36000000000013</v>
      </c>
      <c r="K204" s="4"/>
    </row>
    <row r="205" spans="1:11" x14ac:dyDescent="0.3">
      <c r="A205" s="5">
        <v>8654767449</v>
      </c>
      <c r="B205" s="5">
        <v>2550</v>
      </c>
      <c r="C205" s="5">
        <v>593.4</v>
      </c>
      <c r="D205" s="5">
        <v>71.98</v>
      </c>
      <c r="E205" s="5">
        <v>1678.6200000000001</v>
      </c>
      <c r="F205" s="5">
        <v>197.06</v>
      </c>
      <c r="G205" s="5">
        <v>1947.66</v>
      </c>
      <c r="H205" s="6">
        <f t="shared" si="3"/>
        <v>-269.03999999999996</v>
      </c>
      <c r="K205" s="4"/>
    </row>
    <row r="206" spans="1:11" x14ac:dyDescent="0.3">
      <c r="A206" s="5">
        <v>8639784997</v>
      </c>
      <c r="B206" s="5">
        <v>2500</v>
      </c>
      <c r="C206" s="5">
        <v>716.08799999999997</v>
      </c>
      <c r="D206" s="5">
        <v>71.98</v>
      </c>
      <c r="E206" s="5">
        <v>1505.9319999999998</v>
      </c>
      <c r="F206" s="5">
        <v>107.38</v>
      </c>
      <c r="G206" s="5">
        <v>1685.2919999999999</v>
      </c>
      <c r="H206" s="6">
        <f t="shared" si="3"/>
        <v>-179.36000000000013</v>
      </c>
      <c r="K206" s="4"/>
    </row>
    <row r="207" spans="1:11" x14ac:dyDescent="0.3">
      <c r="A207" s="5">
        <v>8610375507</v>
      </c>
      <c r="B207" s="5">
        <v>2500</v>
      </c>
      <c r="C207" s="5">
        <v>743.15099999999995</v>
      </c>
      <c r="D207" s="5">
        <v>71.98</v>
      </c>
      <c r="E207" s="5">
        <v>1478.8489999999999</v>
      </c>
      <c r="F207" s="5">
        <v>197.06</v>
      </c>
      <c r="G207" s="5">
        <v>1747.8889999999999</v>
      </c>
      <c r="H207" s="6">
        <f t="shared" si="3"/>
        <v>-269.03999999999996</v>
      </c>
      <c r="K207" s="4"/>
    </row>
    <row r="208" spans="1:11" x14ac:dyDescent="0.3">
      <c r="A208" s="5">
        <v>8639964081</v>
      </c>
      <c r="B208" s="5">
        <v>2500</v>
      </c>
      <c r="C208" s="5">
        <v>580.74199999999996</v>
      </c>
      <c r="D208" s="5">
        <v>71.98</v>
      </c>
      <c r="E208" s="5">
        <v>1641.2779999999998</v>
      </c>
      <c r="F208" s="5">
        <v>132.16</v>
      </c>
      <c r="G208" s="5">
        <v>1845.4179999999999</v>
      </c>
      <c r="H208" s="6">
        <f t="shared" si="3"/>
        <v>-204.1400000000001</v>
      </c>
      <c r="K208" s="4"/>
    </row>
    <row r="209" spans="1:11" x14ac:dyDescent="0.3">
      <c r="A209" s="5">
        <v>8611755278</v>
      </c>
      <c r="B209" s="5">
        <v>2500</v>
      </c>
      <c r="C209" s="5">
        <v>716.08799999999997</v>
      </c>
      <c r="D209" s="5">
        <v>71.98</v>
      </c>
      <c r="E209" s="5">
        <v>1505.9319999999998</v>
      </c>
      <c r="F209" s="5">
        <v>132.16</v>
      </c>
      <c r="G209" s="5">
        <v>1710.0719999999999</v>
      </c>
      <c r="H209" s="6">
        <f t="shared" si="3"/>
        <v>-204.1400000000001</v>
      </c>
      <c r="K209" s="4"/>
    </row>
    <row r="210" spans="1:11" x14ac:dyDescent="0.3">
      <c r="A210" s="5">
        <v>8689881728</v>
      </c>
      <c r="B210" s="5">
        <v>2499</v>
      </c>
      <c r="C210" s="5">
        <v>581.30799999999999</v>
      </c>
      <c r="D210" s="5">
        <v>71.98</v>
      </c>
      <c r="E210" s="5">
        <v>1639.712</v>
      </c>
      <c r="F210" s="5">
        <v>197.06</v>
      </c>
      <c r="G210" s="5">
        <v>1908.752</v>
      </c>
      <c r="H210" s="6">
        <f t="shared" si="3"/>
        <v>-269.03999999999996</v>
      </c>
      <c r="K210" s="4"/>
    </row>
    <row r="211" spans="1:11" x14ac:dyDescent="0.3">
      <c r="A211" s="5">
        <v>8694664241</v>
      </c>
      <c r="B211" s="5">
        <v>2499</v>
      </c>
      <c r="C211" s="5">
        <v>743.65300000000002</v>
      </c>
      <c r="D211" s="5">
        <v>71.97999999999999</v>
      </c>
      <c r="E211" s="5">
        <v>1477.3670000000002</v>
      </c>
      <c r="F211" s="5">
        <v>107.38000000000001</v>
      </c>
      <c r="G211" s="5">
        <v>1656.7270000000001</v>
      </c>
      <c r="H211" s="6">
        <f t="shared" si="3"/>
        <v>-179.3599999999999</v>
      </c>
      <c r="K211" s="4"/>
    </row>
    <row r="212" spans="1:11" x14ac:dyDescent="0.3">
      <c r="A212" s="5">
        <v>8694664240</v>
      </c>
      <c r="B212" s="5">
        <v>2499</v>
      </c>
      <c r="C212" s="5">
        <v>743.65300000000002</v>
      </c>
      <c r="D212" s="5">
        <v>71.97999999999999</v>
      </c>
      <c r="E212" s="5">
        <v>1477.3670000000002</v>
      </c>
      <c r="F212" s="5">
        <v>107.38000000000001</v>
      </c>
      <c r="G212" s="5">
        <v>1656.7270000000001</v>
      </c>
      <c r="H212" s="6">
        <f t="shared" si="3"/>
        <v>-179.3599999999999</v>
      </c>
      <c r="K212" s="4"/>
    </row>
    <row r="213" spans="1:11" x14ac:dyDescent="0.3">
      <c r="A213" s="5">
        <v>8687823960</v>
      </c>
      <c r="B213" s="5">
        <v>2470</v>
      </c>
      <c r="C213" s="5">
        <v>654.10199999999998</v>
      </c>
      <c r="D213" s="5">
        <v>71.98</v>
      </c>
      <c r="E213" s="5">
        <v>1537.9180000000001</v>
      </c>
      <c r="F213" s="5">
        <v>132.16</v>
      </c>
      <c r="G213" s="5">
        <v>1742.058</v>
      </c>
      <c r="H213" s="6">
        <f t="shared" si="3"/>
        <v>-204.13999999999987</v>
      </c>
      <c r="K213" s="4"/>
    </row>
    <row r="214" spans="1:11" x14ac:dyDescent="0.3">
      <c r="A214" s="5">
        <v>8630702581</v>
      </c>
      <c r="B214" s="5">
        <v>2450</v>
      </c>
      <c r="C214" s="5">
        <v>488.64499999999998</v>
      </c>
      <c r="D214" s="5">
        <v>71.97999999999999</v>
      </c>
      <c r="E214" s="5">
        <v>1683.365</v>
      </c>
      <c r="F214" s="5">
        <v>132.16000000000003</v>
      </c>
      <c r="G214" s="5">
        <v>1887.5050000000001</v>
      </c>
      <c r="H214" s="6">
        <f t="shared" si="3"/>
        <v>-204.1400000000001</v>
      </c>
      <c r="K214" s="4"/>
    </row>
    <row r="215" spans="1:11" x14ac:dyDescent="0.3">
      <c r="A215" s="5">
        <v>8695924416</v>
      </c>
      <c r="B215" s="5">
        <v>2450</v>
      </c>
      <c r="C215" s="5">
        <v>595.36500000000001</v>
      </c>
      <c r="D215" s="5">
        <v>71.98</v>
      </c>
      <c r="E215" s="5">
        <v>1576.655</v>
      </c>
      <c r="F215" s="5">
        <v>197.06</v>
      </c>
      <c r="G215" s="5">
        <v>1845.6949999999999</v>
      </c>
      <c r="H215" s="6">
        <f t="shared" si="3"/>
        <v>-269.03999999999996</v>
      </c>
      <c r="K215" s="4"/>
    </row>
    <row r="216" spans="1:11" x14ac:dyDescent="0.3">
      <c r="A216" s="5">
        <v>8669740522</v>
      </c>
      <c r="B216" s="5">
        <v>2422</v>
      </c>
      <c r="C216" s="5">
        <v>587.14599999999996</v>
      </c>
      <c r="D216" s="5">
        <v>71.97999999999999</v>
      </c>
      <c r="E216" s="5">
        <v>1556.874</v>
      </c>
      <c r="F216" s="5">
        <v>197.06</v>
      </c>
      <c r="G216" s="5">
        <v>1825.914</v>
      </c>
      <c r="H216" s="6">
        <f t="shared" si="3"/>
        <v>-269.03999999999996</v>
      </c>
      <c r="K216" s="4"/>
    </row>
    <row r="217" spans="1:11" x14ac:dyDescent="0.3">
      <c r="A217" s="5">
        <v>8639002063</v>
      </c>
      <c r="B217" s="5">
        <v>2400</v>
      </c>
      <c r="C217" s="5">
        <v>477.76</v>
      </c>
      <c r="D217" s="5">
        <v>71.98</v>
      </c>
      <c r="E217" s="5">
        <v>1644.26</v>
      </c>
      <c r="F217" s="5">
        <v>197.06</v>
      </c>
      <c r="G217" s="5">
        <v>1913.3</v>
      </c>
      <c r="H217" s="6">
        <f t="shared" si="3"/>
        <v>-269.03999999999996</v>
      </c>
      <c r="K217" s="4"/>
    </row>
    <row r="218" spans="1:11" x14ac:dyDescent="0.3">
      <c r="A218" s="5">
        <v>8659789290</v>
      </c>
      <c r="B218" s="5">
        <v>2400</v>
      </c>
      <c r="C218" s="5">
        <v>477.76</v>
      </c>
      <c r="D218" s="5">
        <v>71.98</v>
      </c>
      <c r="E218" s="5">
        <v>1644.26</v>
      </c>
      <c r="F218" s="5">
        <v>197.06</v>
      </c>
      <c r="G218" s="5">
        <v>1913.3</v>
      </c>
      <c r="H218" s="6">
        <f t="shared" si="3"/>
        <v>-269.03999999999996</v>
      </c>
      <c r="K218" s="4"/>
    </row>
    <row r="219" spans="1:11" x14ac:dyDescent="0.3">
      <c r="A219" s="5">
        <v>8661072455</v>
      </c>
      <c r="B219" s="5">
        <v>2400</v>
      </c>
      <c r="C219" s="5">
        <v>477.762</v>
      </c>
      <c r="D219" s="5">
        <v>71.98</v>
      </c>
      <c r="E219" s="5">
        <v>1644.268</v>
      </c>
      <c r="F219" s="5">
        <v>197.06</v>
      </c>
      <c r="G219" s="5">
        <v>1913.308</v>
      </c>
      <c r="H219" s="6">
        <f t="shared" si="3"/>
        <v>-269.03999999999996</v>
      </c>
      <c r="K219" s="4"/>
    </row>
    <row r="220" spans="1:11" x14ac:dyDescent="0.3">
      <c r="A220" s="5">
        <v>8655672020</v>
      </c>
      <c r="B220" s="5">
        <v>2375</v>
      </c>
      <c r="C220" s="5">
        <v>549.09799999999996</v>
      </c>
      <c r="D220" s="5">
        <v>71.98</v>
      </c>
      <c r="E220" s="5">
        <v>1547.922</v>
      </c>
      <c r="F220" s="5">
        <v>132.16</v>
      </c>
      <c r="G220" s="5">
        <v>1752.0619999999999</v>
      </c>
      <c r="H220" s="6">
        <f t="shared" si="3"/>
        <v>-204.13999999999987</v>
      </c>
      <c r="K220" s="4"/>
    </row>
    <row r="221" spans="1:11" x14ac:dyDescent="0.3">
      <c r="A221" s="5">
        <v>8698964259</v>
      </c>
      <c r="B221" s="5">
        <v>2356</v>
      </c>
      <c r="C221" s="5">
        <v>697.27599999999995</v>
      </c>
      <c r="D221" s="5">
        <v>71.98</v>
      </c>
      <c r="E221" s="5">
        <v>1380.7440000000001</v>
      </c>
      <c r="F221" s="5">
        <v>107.38</v>
      </c>
      <c r="G221" s="5">
        <v>1560.104</v>
      </c>
      <c r="H221" s="6">
        <f t="shared" si="3"/>
        <v>-179.3599999999999</v>
      </c>
      <c r="K221" s="4"/>
    </row>
    <row r="222" spans="1:11" x14ac:dyDescent="0.3">
      <c r="A222" s="5">
        <v>8696157014</v>
      </c>
      <c r="B222" s="5">
        <v>2356</v>
      </c>
      <c r="C222" s="5">
        <v>697.27599999999995</v>
      </c>
      <c r="D222" s="5">
        <v>71.98</v>
      </c>
      <c r="E222" s="5">
        <v>1380.7440000000001</v>
      </c>
      <c r="F222" s="5">
        <v>197.06</v>
      </c>
      <c r="G222" s="5">
        <v>1649.7840000000001</v>
      </c>
      <c r="H222" s="6">
        <f t="shared" si="3"/>
        <v>-269.03999999999996</v>
      </c>
      <c r="K222" s="4"/>
    </row>
    <row r="223" spans="1:11" x14ac:dyDescent="0.3">
      <c r="A223" s="5">
        <v>8695661593</v>
      </c>
      <c r="B223" s="5">
        <v>2356</v>
      </c>
      <c r="C223" s="5">
        <v>545.05799999999999</v>
      </c>
      <c r="D223" s="5">
        <v>71.98</v>
      </c>
      <c r="E223" s="5">
        <v>1532.972</v>
      </c>
      <c r="F223" s="5">
        <v>197.06</v>
      </c>
      <c r="G223" s="5">
        <v>1802.0119999999999</v>
      </c>
      <c r="H223" s="6">
        <f t="shared" si="3"/>
        <v>-269.03999999999996</v>
      </c>
      <c r="K223" s="4"/>
    </row>
    <row r="224" spans="1:11" x14ac:dyDescent="0.3">
      <c r="A224" s="5">
        <v>8704665177</v>
      </c>
      <c r="B224" s="5">
        <v>2356</v>
      </c>
      <c r="C224" s="5">
        <v>697.27599999999995</v>
      </c>
      <c r="D224" s="5">
        <v>71.98</v>
      </c>
      <c r="E224" s="5">
        <v>1380.7440000000001</v>
      </c>
      <c r="F224" s="5">
        <v>197.06</v>
      </c>
      <c r="G224" s="5">
        <v>1649.7840000000001</v>
      </c>
      <c r="H224" s="6">
        <f t="shared" si="3"/>
        <v>-269.03999999999996</v>
      </c>
      <c r="K224" s="4"/>
    </row>
    <row r="225" spans="1:11" x14ac:dyDescent="0.3">
      <c r="A225" s="5">
        <v>8612316631</v>
      </c>
      <c r="B225" s="5">
        <v>2275</v>
      </c>
      <c r="C225" s="5">
        <v>670.26700000000005</v>
      </c>
      <c r="D225" s="5">
        <v>71.98</v>
      </c>
      <c r="E225" s="5">
        <v>1326.7529999999999</v>
      </c>
      <c r="F225" s="5">
        <v>197.06</v>
      </c>
      <c r="G225" s="5">
        <v>1595.7929999999999</v>
      </c>
      <c r="H225" s="6">
        <f t="shared" si="3"/>
        <v>-269.03999999999996</v>
      </c>
      <c r="K225" s="4"/>
    </row>
    <row r="226" spans="1:11" x14ac:dyDescent="0.3">
      <c r="A226" s="5">
        <v>8648738364</v>
      </c>
      <c r="B226" s="5">
        <v>2250</v>
      </c>
      <c r="C226" s="5">
        <v>662.16800000000001</v>
      </c>
      <c r="D226" s="5">
        <v>71.98</v>
      </c>
      <c r="E226" s="5">
        <v>1309.8520000000001</v>
      </c>
      <c r="F226" s="5">
        <v>197.06</v>
      </c>
      <c r="G226" s="5">
        <v>1578.8920000000001</v>
      </c>
      <c r="H226" s="6">
        <f t="shared" si="3"/>
        <v>-269.03999999999996</v>
      </c>
      <c r="K226" s="4"/>
    </row>
    <row r="227" spans="1:11" x14ac:dyDescent="0.3">
      <c r="A227" s="5">
        <v>8614451899</v>
      </c>
      <c r="B227" s="5">
        <v>2250</v>
      </c>
      <c r="C227" s="5">
        <v>517.45600000000002</v>
      </c>
      <c r="D227" s="5">
        <v>71.98</v>
      </c>
      <c r="E227" s="5">
        <v>1454.5740000000001</v>
      </c>
      <c r="F227" s="5">
        <v>197.06</v>
      </c>
      <c r="G227" s="5">
        <v>1723.614</v>
      </c>
      <c r="H227" s="6">
        <f t="shared" si="3"/>
        <v>-269.03999999999996</v>
      </c>
      <c r="K227" s="4"/>
    </row>
    <row r="228" spans="1:11" x14ac:dyDescent="0.3">
      <c r="A228" s="5">
        <v>8612529781</v>
      </c>
      <c r="B228" s="5">
        <v>2250</v>
      </c>
      <c r="C228" s="5">
        <v>517.45299999999997</v>
      </c>
      <c r="D228" s="5">
        <v>71.98</v>
      </c>
      <c r="E228" s="5">
        <v>1454.567</v>
      </c>
      <c r="F228" s="5">
        <v>197.06</v>
      </c>
      <c r="G228" s="5">
        <v>1723.607</v>
      </c>
      <c r="H228" s="6">
        <f t="shared" si="3"/>
        <v>-269.03999999999996</v>
      </c>
      <c r="K228" s="4"/>
    </row>
    <row r="229" spans="1:11" x14ac:dyDescent="0.3">
      <c r="A229" s="5">
        <v>8634561172</v>
      </c>
      <c r="B229" s="5">
        <v>2205</v>
      </c>
      <c r="C229" s="5">
        <v>458.88499999999999</v>
      </c>
      <c r="D229" s="5">
        <v>71.98</v>
      </c>
      <c r="E229" s="5">
        <v>1468.135</v>
      </c>
      <c r="F229" s="5">
        <v>197.06</v>
      </c>
      <c r="G229" s="5">
        <v>1737.175</v>
      </c>
      <c r="H229" s="6">
        <f t="shared" si="3"/>
        <v>-269.03999999999996</v>
      </c>
      <c r="K229" s="4"/>
    </row>
    <row r="230" spans="1:11" x14ac:dyDescent="0.3">
      <c r="A230" s="5">
        <v>8657350152</v>
      </c>
      <c r="B230" s="5">
        <v>2200</v>
      </c>
      <c r="C230" s="5">
        <v>551.85400000000004</v>
      </c>
      <c r="D230" s="5">
        <v>71.98</v>
      </c>
      <c r="E230" s="5">
        <v>1370.1660000000002</v>
      </c>
      <c r="F230" s="5">
        <v>107.38</v>
      </c>
      <c r="G230" s="5">
        <v>1549.5260000000001</v>
      </c>
      <c r="H230" s="6">
        <f t="shared" si="3"/>
        <v>-179.3599999999999</v>
      </c>
      <c r="K230" s="4"/>
    </row>
    <row r="231" spans="1:11" x14ac:dyDescent="0.3">
      <c r="A231" s="5">
        <v>8680270452</v>
      </c>
      <c r="B231" s="5">
        <v>2200</v>
      </c>
      <c r="C231" s="5">
        <v>551.85299999999995</v>
      </c>
      <c r="D231" s="5">
        <v>53.1</v>
      </c>
      <c r="E231" s="5">
        <v>1389.047</v>
      </c>
      <c r="F231" s="5">
        <v>197.06</v>
      </c>
      <c r="G231" s="5">
        <v>1639.2070000000001</v>
      </c>
      <c r="H231" s="6">
        <f t="shared" si="3"/>
        <v>-250.16000000000008</v>
      </c>
      <c r="K231" s="4"/>
    </row>
    <row r="232" spans="1:11" x14ac:dyDescent="0.3">
      <c r="A232" s="5">
        <v>8610217098</v>
      </c>
      <c r="B232" s="5">
        <v>2100</v>
      </c>
      <c r="C232" s="5">
        <v>524.178</v>
      </c>
      <c r="D232" s="5">
        <v>53.1</v>
      </c>
      <c r="E232" s="5">
        <v>1316.722</v>
      </c>
      <c r="F232" s="5">
        <v>197.06</v>
      </c>
      <c r="G232" s="5">
        <v>1566.8820000000001</v>
      </c>
      <c r="H232" s="6">
        <f t="shared" si="3"/>
        <v>-250.16000000000008</v>
      </c>
      <c r="K232" s="4"/>
    </row>
    <row r="233" spans="1:11" x14ac:dyDescent="0.3">
      <c r="A233" s="5">
        <v>8673378655</v>
      </c>
      <c r="B233" s="5">
        <v>2100</v>
      </c>
      <c r="C233" s="5">
        <v>524.178</v>
      </c>
      <c r="D233" s="5">
        <v>53.1</v>
      </c>
      <c r="E233" s="5">
        <v>1316.722</v>
      </c>
      <c r="F233" s="5">
        <v>197.06</v>
      </c>
      <c r="G233" s="5">
        <v>1566.8820000000001</v>
      </c>
      <c r="H233" s="6">
        <f t="shared" si="3"/>
        <v>-250.16000000000008</v>
      </c>
      <c r="K233" s="4"/>
    </row>
    <row r="234" spans="1:11" x14ac:dyDescent="0.3">
      <c r="A234" s="5">
        <v>8622201619</v>
      </c>
      <c r="B234" s="5">
        <v>2025</v>
      </c>
      <c r="C234" s="5">
        <v>546.35</v>
      </c>
      <c r="D234" s="5">
        <v>53.1</v>
      </c>
      <c r="E234" s="5">
        <v>1219.55</v>
      </c>
      <c r="F234" s="5">
        <v>197.06</v>
      </c>
      <c r="G234" s="5">
        <v>1469.71</v>
      </c>
      <c r="H234" s="6">
        <f t="shared" si="3"/>
        <v>-250.16000000000008</v>
      </c>
      <c r="K234" s="4"/>
    </row>
    <row r="235" spans="1:11" x14ac:dyDescent="0.3">
      <c r="A235" s="5">
        <v>8612636944</v>
      </c>
      <c r="B235" s="5">
        <v>2000</v>
      </c>
      <c r="C235" s="5">
        <v>454.16199999999998</v>
      </c>
      <c r="D235" s="5">
        <v>53.1</v>
      </c>
      <c r="E235" s="5">
        <v>1286.7280000000001</v>
      </c>
      <c r="F235" s="5">
        <v>132.16</v>
      </c>
      <c r="G235" s="5">
        <v>1471.9880000000001</v>
      </c>
      <c r="H235" s="6">
        <f t="shared" si="3"/>
        <v>-185.26</v>
      </c>
      <c r="K235" s="4"/>
    </row>
    <row r="236" spans="1:11" x14ac:dyDescent="0.3">
      <c r="A236" s="5">
        <v>8624683467</v>
      </c>
      <c r="B236" s="5">
        <v>2000</v>
      </c>
      <c r="C236" s="5">
        <v>454.16399999999999</v>
      </c>
      <c r="D236" s="5">
        <v>53.1</v>
      </c>
      <c r="E236" s="5">
        <v>1286.7359999999999</v>
      </c>
      <c r="F236" s="5">
        <v>107.38</v>
      </c>
      <c r="G236" s="5">
        <v>1447.2159999999999</v>
      </c>
      <c r="H236" s="6">
        <f t="shared" si="3"/>
        <v>-160.48000000000002</v>
      </c>
      <c r="K236" s="4"/>
    </row>
    <row r="237" spans="1:11" x14ac:dyDescent="0.3">
      <c r="A237" s="5">
        <v>8652565766</v>
      </c>
      <c r="B237" s="5">
        <v>2000</v>
      </c>
      <c r="C237" s="5">
        <v>496.50299999999999</v>
      </c>
      <c r="D237" s="5">
        <v>53.1</v>
      </c>
      <c r="E237" s="5">
        <v>1244.3969999999999</v>
      </c>
      <c r="F237" s="5">
        <v>107.38</v>
      </c>
      <c r="G237" s="5">
        <v>1404.877</v>
      </c>
      <c r="H237" s="6">
        <f t="shared" si="3"/>
        <v>-160.48000000000002</v>
      </c>
      <c r="K237" s="4"/>
    </row>
    <row r="238" spans="1:11" x14ac:dyDescent="0.3">
      <c r="A238" s="5">
        <v>8657127242</v>
      </c>
      <c r="B238" s="5">
        <v>2000</v>
      </c>
      <c r="C238" s="5">
        <v>475.334</v>
      </c>
      <c r="D238" s="5">
        <v>53.1</v>
      </c>
      <c r="E238" s="5">
        <v>1265.566</v>
      </c>
      <c r="F238" s="5">
        <v>132.16</v>
      </c>
      <c r="G238" s="5">
        <v>1450.826</v>
      </c>
      <c r="H238" s="6">
        <f t="shared" si="3"/>
        <v>-185.26</v>
      </c>
      <c r="K238" s="4"/>
    </row>
    <row r="239" spans="1:11" x14ac:dyDescent="0.3">
      <c r="A239" s="5">
        <v>8637560672</v>
      </c>
      <c r="B239" s="5">
        <v>2000</v>
      </c>
      <c r="C239" s="5">
        <v>454.16399999999999</v>
      </c>
      <c r="D239" s="5">
        <v>53.1</v>
      </c>
      <c r="E239" s="5">
        <v>1286.7360000000001</v>
      </c>
      <c r="F239" s="5">
        <v>132.16</v>
      </c>
      <c r="G239" s="5">
        <v>1471.9960000000001</v>
      </c>
      <c r="H239" s="6">
        <f t="shared" si="3"/>
        <v>-185.26</v>
      </c>
      <c r="K239" s="4"/>
    </row>
    <row r="240" spans="1:11" x14ac:dyDescent="0.3">
      <c r="A240" s="5">
        <v>8660538231</v>
      </c>
      <c r="B240" s="5">
        <v>2000</v>
      </c>
      <c r="C240" s="5">
        <v>496.50299999999999</v>
      </c>
      <c r="D240" s="5">
        <v>53.1</v>
      </c>
      <c r="E240" s="5">
        <v>1244.3969999999999</v>
      </c>
      <c r="F240" s="5">
        <v>107.38</v>
      </c>
      <c r="G240" s="5">
        <v>1404.877</v>
      </c>
      <c r="H240" s="6">
        <f t="shared" si="3"/>
        <v>-160.48000000000002</v>
      </c>
      <c r="K240" s="4"/>
    </row>
    <row r="241" spans="1:11" x14ac:dyDescent="0.3">
      <c r="A241" s="5">
        <v>8641487358</v>
      </c>
      <c r="B241" s="5">
        <v>1875</v>
      </c>
      <c r="C241" s="5">
        <v>451.48899999999998</v>
      </c>
      <c r="D241" s="5">
        <v>53.1</v>
      </c>
      <c r="E241" s="5">
        <v>1199.4209999999998</v>
      </c>
      <c r="F241" s="5">
        <v>197.06</v>
      </c>
      <c r="G241" s="5">
        <v>1449.5809999999999</v>
      </c>
      <c r="H241" s="6">
        <f t="shared" si="3"/>
        <v>-250.16000000000008</v>
      </c>
      <c r="K241" s="4"/>
    </row>
    <row r="242" spans="1:11" x14ac:dyDescent="0.3">
      <c r="A242" s="5">
        <v>8625548146</v>
      </c>
      <c r="B242" s="5">
        <v>1875</v>
      </c>
      <c r="C242" s="5">
        <v>391.16500000000002</v>
      </c>
      <c r="D242" s="5">
        <v>53.1</v>
      </c>
      <c r="E242" s="5">
        <v>1259.7349999999999</v>
      </c>
      <c r="F242" s="5">
        <v>132.16</v>
      </c>
      <c r="G242" s="5">
        <v>1444.9949999999999</v>
      </c>
      <c r="H242" s="6">
        <f t="shared" si="3"/>
        <v>-185.26</v>
      </c>
      <c r="K242" s="4"/>
    </row>
    <row r="243" spans="1:11" x14ac:dyDescent="0.3">
      <c r="A243" s="5">
        <v>8620149668</v>
      </c>
      <c r="B243" s="5">
        <v>1875</v>
      </c>
      <c r="C243" s="5">
        <v>391.16500000000002</v>
      </c>
      <c r="D243" s="5">
        <v>53.1</v>
      </c>
      <c r="E243" s="5">
        <v>1259.7349999999999</v>
      </c>
      <c r="F243" s="5">
        <v>107.38</v>
      </c>
      <c r="G243" s="5">
        <v>1420.2149999999999</v>
      </c>
      <c r="H243" s="6">
        <f t="shared" si="3"/>
        <v>-160.48000000000002</v>
      </c>
      <c r="K243" s="4"/>
    </row>
    <row r="244" spans="1:11" x14ac:dyDescent="0.3">
      <c r="A244" s="5">
        <v>8643430475</v>
      </c>
      <c r="B244" s="5">
        <v>1800</v>
      </c>
      <c r="C244" s="5">
        <v>431.61399999999998</v>
      </c>
      <c r="D244" s="5">
        <v>53.1</v>
      </c>
      <c r="E244" s="5">
        <v>1144.2860000000001</v>
      </c>
      <c r="F244" s="5">
        <v>107.38</v>
      </c>
      <c r="G244" s="5">
        <v>1304.7660000000001</v>
      </c>
      <c r="H244" s="6">
        <f t="shared" si="3"/>
        <v>-160.48000000000002</v>
      </c>
      <c r="K244" s="4"/>
    </row>
    <row r="245" spans="1:11" x14ac:dyDescent="0.3">
      <c r="A245" s="5">
        <v>8643430474</v>
      </c>
      <c r="B245" s="5">
        <v>1800</v>
      </c>
      <c r="C245" s="5">
        <v>431.61399999999998</v>
      </c>
      <c r="D245" s="5">
        <v>53.1</v>
      </c>
      <c r="E245" s="5">
        <v>1144.2860000000001</v>
      </c>
      <c r="F245" s="5">
        <v>107.38</v>
      </c>
      <c r="G245" s="5">
        <v>1304.7660000000001</v>
      </c>
      <c r="H245" s="6">
        <f t="shared" si="3"/>
        <v>-160.48000000000002</v>
      </c>
      <c r="K245" s="4"/>
    </row>
    <row r="246" spans="1:11" x14ac:dyDescent="0.3">
      <c r="A246" s="5">
        <v>8641770468</v>
      </c>
      <c r="B246" s="5">
        <v>1800</v>
      </c>
      <c r="C246" s="5">
        <v>478.76900000000001</v>
      </c>
      <c r="D246" s="5">
        <v>53.1</v>
      </c>
      <c r="E246" s="5">
        <v>1062.1309999999999</v>
      </c>
      <c r="F246" s="5">
        <v>197.06</v>
      </c>
      <c r="G246" s="5">
        <v>1312.2909999999999</v>
      </c>
      <c r="H246" s="6">
        <f t="shared" si="3"/>
        <v>-250.16000000000008</v>
      </c>
      <c r="K246" s="4"/>
    </row>
    <row r="247" spans="1:11" x14ac:dyDescent="0.3">
      <c r="A247" s="5">
        <v>8675330506</v>
      </c>
      <c r="B247" s="5">
        <v>1750</v>
      </c>
      <c r="C247" s="5">
        <v>437</v>
      </c>
      <c r="D247" s="5">
        <v>53.1</v>
      </c>
      <c r="E247" s="5">
        <v>1088.8999999999999</v>
      </c>
      <c r="F247" s="5">
        <v>197.06</v>
      </c>
      <c r="G247" s="5">
        <v>1339.06</v>
      </c>
      <c r="H247" s="6">
        <f t="shared" si="3"/>
        <v>-250.16000000000008</v>
      </c>
      <c r="K247" s="4"/>
    </row>
    <row r="248" spans="1:11" x14ac:dyDescent="0.3">
      <c r="A248" s="5">
        <v>8649047784</v>
      </c>
      <c r="B248" s="5">
        <v>1625</v>
      </c>
      <c r="C248" s="5">
        <v>333.78000000000003</v>
      </c>
      <c r="D248" s="5">
        <v>53.1</v>
      </c>
      <c r="E248" s="5">
        <v>1067.1399999999999</v>
      </c>
      <c r="F248" s="5">
        <v>197.06</v>
      </c>
      <c r="G248" s="5">
        <v>1317.3</v>
      </c>
      <c r="H248" s="6">
        <f t="shared" si="3"/>
        <v>-250.16000000000008</v>
      </c>
      <c r="K248" s="4"/>
    </row>
    <row r="249" spans="1:11" x14ac:dyDescent="0.3">
      <c r="A249" s="5">
        <v>8614328413</v>
      </c>
      <c r="B249" s="5">
        <v>1625</v>
      </c>
      <c r="C249" s="5">
        <v>333.77600000000001</v>
      </c>
      <c r="D249" s="5">
        <v>53.1</v>
      </c>
      <c r="E249" s="5">
        <v>1067.124</v>
      </c>
      <c r="F249" s="5">
        <v>132.16</v>
      </c>
      <c r="G249" s="5">
        <v>1252.384</v>
      </c>
      <c r="H249" s="6">
        <f t="shared" si="3"/>
        <v>-185.26</v>
      </c>
      <c r="K249" s="4"/>
    </row>
    <row r="250" spans="1:11" x14ac:dyDescent="0.3">
      <c r="A250" s="5">
        <v>8663926203</v>
      </c>
      <c r="B250" s="5">
        <v>1625</v>
      </c>
      <c r="C250" s="5">
        <v>333.77600000000001</v>
      </c>
      <c r="D250" s="5">
        <v>53.1</v>
      </c>
      <c r="E250" s="5">
        <v>1067.124</v>
      </c>
      <c r="F250" s="5">
        <v>197.06</v>
      </c>
      <c r="G250" s="5">
        <v>1317.2840000000001</v>
      </c>
      <c r="H250" s="6">
        <f t="shared" si="3"/>
        <v>-250.16000000000008</v>
      </c>
      <c r="K250" s="4"/>
    </row>
    <row r="251" spans="1:11" x14ac:dyDescent="0.3">
      <c r="A251" s="5">
        <v>8629194974</v>
      </c>
      <c r="B251" s="5">
        <v>1600</v>
      </c>
      <c r="C251" s="5">
        <v>429.21</v>
      </c>
      <c r="D251" s="5">
        <v>53.1</v>
      </c>
      <c r="E251" s="5">
        <v>946.68999999999994</v>
      </c>
      <c r="F251" s="5">
        <v>197.06</v>
      </c>
      <c r="G251" s="5">
        <v>1196.8499999999999</v>
      </c>
      <c r="H251" s="6">
        <f t="shared" si="3"/>
        <v>-250.15999999999997</v>
      </c>
      <c r="K251" s="4"/>
    </row>
    <row r="252" spans="1:11" x14ac:dyDescent="0.3">
      <c r="A252" s="5">
        <v>8615626226</v>
      </c>
      <c r="B252" s="5">
        <v>1545</v>
      </c>
      <c r="C252" s="5">
        <v>461.33100000000002</v>
      </c>
      <c r="D252" s="5">
        <v>53.1</v>
      </c>
      <c r="E252" s="5">
        <v>859.56899999999996</v>
      </c>
      <c r="F252" s="5">
        <v>107.38000000000001</v>
      </c>
      <c r="G252" s="5">
        <v>1020.049</v>
      </c>
      <c r="H252" s="6">
        <f t="shared" si="3"/>
        <v>-160.48000000000002</v>
      </c>
      <c r="K252" s="4"/>
    </row>
    <row r="253" spans="1:11" x14ac:dyDescent="0.3">
      <c r="A253" s="5">
        <v>8635735486</v>
      </c>
      <c r="B253" s="5">
        <v>1500</v>
      </c>
      <c r="C253" s="5">
        <v>352.12799999999999</v>
      </c>
      <c r="D253" s="5">
        <v>53.1</v>
      </c>
      <c r="E253" s="5">
        <v>923.77200000000005</v>
      </c>
      <c r="F253" s="5">
        <v>197.06</v>
      </c>
      <c r="G253" s="5">
        <v>1173.932</v>
      </c>
      <c r="H253" s="6">
        <f t="shared" si="3"/>
        <v>-250.15999999999997</v>
      </c>
      <c r="K253" s="4"/>
    </row>
    <row r="254" spans="1:11" x14ac:dyDescent="0.3">
      <c r="A254" s="5">
        <v>8670004888</v>
      </c>
      <c r="B254" s="5">
        <v>1430</v>
      </c>
      <c r="C254" s="5">
        <v>422.71899999999999</v>
      </c>
      <c r="D254" s="5">
        <v>53.1</v>
      </c>
      <c r="E254" s="5">
        <v>783.18100000000004</v>
      </c>
      <c r="F254" s="5">
        <v>132.16</v>
      </c>
      <c r="G254" s="5">
        <v>968.44100000000003</v>
      </c>
      <c r="H254" s="6">
        <f t="shared" si="3"/>
        <v>-185.26</v>
      </c>
      <c r="K254" s="4"/>
    </row>
    <row r="255" spans="1:11" x14ac:dyDescent="0.3">
      <c r="A255" s="5">
        <v>8624339982</v>
      </c>
      <c r="B255" s="5">
        <v>1375</v>
      </c>
      <c r="C255" s="5">
        <v>304.80099999999999</v>
      </c>
      <c r="D255" s="5">
        <v>53.1</v>
      </c>
      <c r="E255" s="5">
        <v>846.09899999999993</v>
      </c>
      <c r="F255" s="5">
        <v>132.16</v>
      </c>
      <c r="G255" s="5">
        <v>1031.3589999999999</v>
      </c>
      <c r="H255" s="6">
        <f t="shared" si="3"/>
        <v>-185.26</v>
      </c>
      <c r="K255" s="4"/>
    </row>
    <row r="256" spans="1:11" x14ac:dyDescent="0.3">
      <c r="A256" s="5">
        <v>8639335995</v>
      </c>
      <c r="B256" s="5">
        <v>1375</v>
      </c>
      <c r="C256" s="5">
        <v>319.00800000000004</v>
      </c>
      <c r="D256" s="5">
        <v>53.099999999999994</v>
      </c>
      <c r="E256" s="5">
        <v>831.89199999999994</v>
      </c>
      <c r="F256" s="5">
        <v>197.06</v>
      </c>
      <c r="G256" s="5">
        <v>1082.0519999999999</v>
      </c>
      <c r="H256" s="6">
        <f t="shared" si="3"/>
        <v>-250.15999999999997</v>
      </c>
      <c r="K256" s="4"/>
    </row>
    <row r="257" spans="1:11" x14ac:dyDescent="0.3">
      <c r="A257" s="5">
        <v>8603426729</v>
      </c>
      <c r="B257" s="5">
        <v>1375</v>
      </c>
      <c r="C257" s="5">
        <v>319.00799999999998</v>
      </c>
      <c r="D257" s="5">
        <v>53.1</v>
      </c>
      <c r="E257" s="5">
        <v>831.89199999999994</v>
      </c>
      <c r="F257" s="5">
        <v>197.06</v>
      </c>
      <c r="G257" s="5">
        <v>1082.0519999999999</v>
      </c>
      <c r="H257" s="6">
        <f t="shared" si="3"/>
        <v>-250.15999999999997</v>
      </c>
      <c r="K257" s="4"/>
    </row>
    <row r="258" spans="1:11" x14ac:dyDescent="0.3">
      <c r="A258" s="5">
        <v>8673166572</v>
      </c>
      <c r="B258" s="5">
        <v>1375</v>
      </c>
      <c r="C258" s="5">
        <v>333.21600000000001</v>
      </c>
      <c r="D258" s="5">
        <v>53.1</v>
      </c>
      <c r="E258" s="5">
        <v>817.68400000000008</v>
      </c>
      <c r="F258" s="5">
        <v>197.06</v>
      </c>
      <c r="G258" s="5">
        <v>1067.8440000000001</v>
      </c>
      <c r="H258" s="6">
        <f t="shared" ref="H258:H321" si="4">E258-G258</f>
        <v>-250.15999999999997</v>
      </c>
      <c r="K258" s="4"/>
    </row>
    <row r="259" spans="1:11" x14ac:dyDescent="0.3">
      <c r="A259" s="5">
        <v>8666896038</v>
      </c>
      <c r="B259" s="5">
        <v>1375</v>
      </c>
      <c r="C259" s="5">
        <v>319.00799999999998</v>
      </c>
      <c r="D259" s="5">
        <v>53.1</v>
      </c>
      <c r="E259" s="5">
        <v>831.89199999999994</v>
      </c>
      <c r="F259" s="5">
        <v>197.06</v>
      </c>
      <c r="G259" s="5">
        <v>1082.0519999999999</v>
      </c>
      <c r="H259" s="6">
        <f t="shared" si="4"/>
        <v>-250.15999999999997</v>
      </c>
      <c r="K259" s="4"/>
    </row>
    <row r="260" spans="1:11" x14ac:dyDescent="0.3">
      <c r="A260" s="5">
        <v>8661379163</v>
      </c>
      <c r="B260" s="5">
        <v>1375</v>
      </c>
      <c r="C260" s="5">
        <v>319.00799999999998</v>
      </c>
      <c r="D260" s="5">
        <v>53.099999999999994</v>
      </c>
      <c r="E260" s="5">
        <v>831.89199999999994</v>
      </c>
      <c r="F260" s="5">
        <v>197.06</v>
      </c>
      <c r="G260" s="5">
        <v>1082.0519999999999</v>
      </c>
      <c r="H260" s="6">
        <f t="shared" si="4"/>
        <v>-250.15999999999997</v>
      </c>
      <c r="K260" s="4"/>
    </row>
    <row r="261" spans="1:11" x14ac:dyDescent="0.3">
      <c r="A261" s="5">
        <v>8626971555</v>
      </c>
      <c r="B261" s="5">
        <v>1250</v>
      </c>
      <c r="C261" s="5">
        <v>273.15600000000001</v>
      </c>
      <c r="D261" s="5">
        <v>53.1</v>
      </c>
      <c r="E261" s="5">
        <v>752.74400000000003</v>
      </c>
      <c r="F261" s="5">
        <v>197.06</v>
      </c>
      <c r="G261" s="5">
        <v>1002.904</v>
      </c>
      <c r="H261" s="6">
        <f t="shared" si="4"/>
        <v>-250.15999999999997</v>
      </c>
      <c r="K261" s="4"/>
    </row>
    <row r="262" spans="1:11" x14ac:dyDescent="0.3">
      <c r="A262" s="5">
        <v>8612636946</v>
      </c>
      <c r="B262" s="5">
        <v>1250</v>
      </c>
      <c r="C262" s="5">
        <v>273.15600000000001</v>
      </c>
      <c r="D262" s="5">
        <v>53.1</v>
      </c>
      <c r="E262" s="5">
        <v>752.74400000000003</v>
      </c>
      <c r="F262" s="5">
        <v>132.16</v>
      </c>
      <c r="G262" s="5">
        <v>938.00400000000002</v>
      </c>
      <c r="H262" s="6">
        <f t="shared" si="4"/>
        <v>-185.26</v>
      </c>
      <c r="K262" s="4"/>
    </row>
    <row r="263" spans="1:11" x14ac:dyDescent="0.3">
      <c r="A263" s="5">
        <v>8615334103</v>
      </c>
      <c r="B263" s="5">
        <v>1250</v>
      </c>
      <c r="C263" s="5">
        <v>273.15600000000001</v>
      </c>
      <c r="D263" s="5">
        <v>53.1</v>
      </c>
      <c r="E263" s="5">
        <v>752.74400000000003</v>
      </c>
      <c r="F263" s="5">
        <v>197.06</v>
      </c>
      <c r="G263" s="5">
        <v>1002.904</v>
      </c>
      <c r="H263" s="6">
        <f t="shared" si="4"/>
        <v>-250.15999999999997</v>
      </c>
      <c r="K263" s="4"/>
    </row>
    <row r="264" spans="1:11" x14ac:dyDescent="0.3">
      <c r="A264" s="5">
        <v>8642584741</v>
      </c>
      <c r="B264" s="5">
        <v>1250</v>
      </c>
      <c r="C264" s="5">
        <v>273.15600000000001</v>
      </c>
      <c r="D264" s="5">
        <v>53.1</v>
      </c>
      <c r="E264" s="5">
        <v>752.74400000000003</v>
      </c>
      <c r="F264" s="5">
        <v>132.16</v>
      </c>
      <c r="G264" s="5">
        <v>938.00400000000002</v>
      </c>
      <c r="H264" s="6">
        <f t="shared" si="4"/>
        <v>-185.26</v>
      </c>
      <c r="K264" s="4"/>
    </row>
    <row r="265" spans="1:11" x14ac:dyDescent="0.3">
      <c r="A265" s="5">
        <v>8610108292</v>
      </c>
      <c r="B265" s="5">
        <v>1250</v>
      </c>
      <c r="C265" s="5">
        <v>273.15300000000002</v>
      </c>
      <c r="D265" s="5">
        <v>53.1</v>
      </c>
      <c r="E265" s="5">
        <v>752.73700000000008</v>
      </c>
      <c r="F265" s="5">
        <v>197.06</v>
      </c>
      <c r="G265" s="5">
        <v>1002.897</v>
      </c>
      <c r="H265" s="6">
        <f t="shared" si="4"/>
        <v>-250.15999999999997</v>
      </c>
      <c r="K265" s="4"/>
    </row>
    <row r="266" spans="1:11" x14ac:dyDescent="0.3">
      <c r="A266" s="5">
        <v>8659204086</v>
      </c>
      <c r="B266" s="5">
        <v>1250</v>
      </c>
      <c r="C266" s="5">
        <v>285.88799999999998</v>
      </c>
      <c r="D266" s="5">
        <v>53.1</v>
      </c>
      <c r="E266" s="5">
        <v>740.01200000000006</v>
      </c>
      <c r="F266" s="5">
        <v>197.06</v>
      </c>
      <c r="G266" s="5">
        <v>990.17200000000003</v>
      </c>
      <c r="H266" s="6">
        <f t="shared" si="4"/>
        <v>-250.15999999999997</v>
      </c>
      <c r="K266" s="4"/>
    </row>
    <row r="267" spans="1:11" x14ac:dyDescent="0.3">
      <c r="A267" s="5">
        <v>8615996506</v>
      </c>
      <c r="B267" s="5">
        <v>1250</v>
      </c>
      <c r="C267" s="5">
        <v>273.15600000000001</v>
      </c>
      <c r="D267" s="5">
        <v>53.1</v>
      </c>
      <c r="E267" s="5">
        <v>752.74400000000003</v>
      </c>
      <c r="F267" s="5">
        <v>197.06</v>
      </c>
      <c r="G267" s="5">
        <v>1002.904</v>
      </c>
      <c r="H267" s="6">
        <f t="shared" si="4"/>
        <v>-250.15999999999997</v>
      </c>
      <c r="K267" s="4"/>
    </row>
    <row r="268" spans="1:11" x14ac:dyDescent="0.3">
      <c r="A268" s="5">
        <v>8661193481</v>
      </c>
      <c r="B268" s="5">
        <v>1250</v>
      </c>
      <c r="C268" s="5">
        <v>273.15600000000001</v>
      </c>
      <c r="D268" s="5">
        <v>53.1</v>
      </c>
      <c r="E268" s="5">
        <v>752.74400000000003</v>
      </c>
      <c r="F268" s="5">
        <v>107.38</v>
      </c>
      <c r="G268" s="5">
        <v>913.22400000000005</v>
      </c>
      <c r="H268" s="6">
        <f t="shared" si="4"/>
        <v>-160.48000000000002</v>
      </c>
      <c r="K268" s="4"/>
    </row>
    <row r="269" spans="1:11" x14ac:dyDescent="0.3">
      <c r="A269" s="5">
        <v>8675526093</v>
      </c>
      <c r="B269" s="5">
        <v>1250</v>
      </c>
      <c r="C269" s="5">
        <v>273.15600000000001</v>
      </c>
      <c r="D269" s="5">
        <v>53.1</v>
      </c>
      <c r="E269" s="5">
        <v>752.74400000000003</v>
      </c>
      <c r="F269" s="5">
        <v>132.16</v>
      </c>
      <c r="G269" s="5">
        <v>938.00400000000002</v>
      </c>
      <c r="H269" s="6">
        <f t="shared" si="4"/>
        <v>-185.26</v>
      </c>
      <c r="K269" s="4"/>
    </row>
    <row r="270" spans="1:11" x14ac:dyDescent="0.3">
      <c r="A270" s="5">
        <v>8704611977</v>
      </c>
      <c r="B270" s="5">
        <v>1183</v>
      </c>
      <c r="C270" s="5">
        <v>256.55600000000004</v>
      </c>
      <c r="D270" s="5">
        <v>53.1</v>
      </c>
      <c r="E270" s="5">
        <v>702.34400000000005</v>
      </c>
      <c r="F270" s="5">
        <v>132.16</v>
      </c>
      <c r="G270" s="5">
        <v>887.60400000000004</v>
      </c>
      <c r="H270" s="6">
        <f t="shared" si="4"/>
        <v>-185.26</v>
      </c>
      <c r="K270" s="4"/>
    </row>
    <row r="271" spans="1:11" x14ac:dyDescent="0.3">
      <c r="A271" s="5">
        <v>8701295928</v>
      </c>
      <c r="B271" s="5">
        <v>1183</v>
      </c>
      <c r="C271" s="5">
        <v>256.55700000000002</v>
      </c>
      <c r="D271" s="5">
        <v>53.1</v>
      </c>
      <c r="E271" s="5">
        <v>702.34300000000007</v>
      </c>
      <c r="F271" s="5">
        <v>197.06</v>
      </c>
      <c r="G271" s="5">
        <v>952.50300000000004</v>
      </c>
      <c r="H271" s="6">
        <f t="shared" si="4"/>
        <v>-250.15999999999997</v>
      </c>
    </row>
    <row r="272" spans="1:11" x14ac:dyDescent="0.3">
      <c r="A272" s="5">
        <v>8670004890</v>
      </c>
      <c r="B272" s="5">
        <v>1140</v>
      </c>
      <c r="C272" s="5">
        <v>325.69499999999999</v>
      </c>
      <c r="D272" s="5">
        <v>31.86</v>
      </c>
      <c r="E272" s="5">
        <v>611.44500000000005</v>
      </c>
      <c r="F272" s="5">
        <v>132.16</v>
      </c>
      <c r="G272" s="5">
        <v>775.46500000000003</v>
      </c>
      <c r="H272" s="6">
        <f t="shared" si="4"/>
        <v>-164.01999999999998</v>
      </c>
    </row>
    <row r="273" spans="1:8" x14ac:dyDescent="0.3">
      <c r="A273" s="5">
        <v>8634176784</v>
      </c>
      <c r="B273" s="5">
        <v>1137</v>
      </c>
      <c r="C273" s="5">
        <v>233.49600000000001</v>
      </c>
      <c r="D273" s="5">
        <v>31.86</v>
      </c>
      <c r="E273" s="5">
        <v>700.64400000000001</v>
      </c>
      <c r="F273" s="5">
        <v>132.16</v>
      </c>
      <c r="G273" s="5">
        <v>864.66399999999999</v>
      </c>
      <c r="H273" s="6">
        <f t="shared" si="4"/>
        <v>-164.01999999999998</v>
      </c>
    </row>
    <row r="274" spans="1:8" x14ac:dyDescent="0.3">
      <c r="A274" s="5">
        <v>8615334101</v>
      </c>
      <c r="B274" s="5">
        <v>1125</v>
      </c>
      <c r="C274" s="5">
        <v>264.36799999999999</v>
      </c>
      <c r="D274" s="5">
        <v>31.86</v>
      </c>
      <c r="E274" s="5">
        <v>657.77199999999993</v>
      </c>
      <c r="F274" s="5">
        <v>197.06</v>
      </c>
      <c r="G274" s="5">
        <v>886.69200000000001</v>
      </c>
      <c r="H274" s="6">
        <f t="shared" si="4"/>
        <v>-228.92000000000007</v>
      </c>
    </row>
    <row r="275" spans="1:8" x14ac:dyDescent="0.3">
      <c r="A275" s="5">
        <v>8663883621</v>
      </c>
      <c r="B275" s="5">
        <v>975</v>
      </c>
      <c r="C275" s="5">
        <v>296.11599999999999</v>
      </c>
      <c r="D275" s="5">
        <v>31.86</v>
      </c>
      <c r="E275" s="5">
        <v>553.02399999999989</v>
      </c>
      <c r="F275" s="5">
        <v>197.06</v>
      </c>
      <c r="G275" s="5">
        <v>781.94399999999996</v>
      </c>
      <c r="H275" s="6">
        <f t="shared" si="4"/>
        <v>-228.92000000000007</v>
      </c>
    </row>
    <row r="276" spans="1:8" x14ac:dyDescent="0.3">
      <c r="A276" s="5">
        <v>8644756300</v>
      </c>
      <c r="B276" s="5">
        <v>860</v>
      </c>
      <c r="C276" s="5">
        <v>257.464</v>
      </c>
      <c r="D276" s="5">
        <v>31.86</v>
      </c>
      <c r="E276" s="5">
        <v>476.67600000000004</v>
      </c>
      <c r="F276" s="5">
        <v>132.16</v>
      </c>
      <c r="G276" s="5">
        <v>640.69600000000003</v>
      </c>
      <c r="H276" s="6">
        <f t="shared" si="4"/>
        <v>-164.01999999999998</v>
      </c>
    </row>
    <row r="277" spans="1:8" x14ac:dyDescent="0.3">
      <c r="A277" s="5">
        <v>8623616712</v>
      </c>
      <c r="B277" s="5">
        <v>750</v>
      </c>
      <c r="C277" s="5">
        <v>181.78700000000001</v>
      </c>
      <c r="D277" s="5">
        <v>31.86</v>
      </c>
      <c r="E277" s="5">
        <v>442.35299999999995</v>
      </c>
      <c r="F277" s="5">
        <v>107.38</v>
      </c>
      <c r="G277" s="5">
        <v>581.59299999999996</v>
      </c>
      <c r="H277" s="6">
        <f t="shared" si="4"/>
        <v>-139.24</v>
      </c>
    </row>
    <row r="278" spans="1:8" x14ac:dyDescent="0.3">
      <c r="A278" s="5">
        <v>8633441706</v>
      </c>
      <c r="B278" s="5">
        <v>597</v>
      </c>
      <c r="C278" s="5">
        <v>139.38800000000001</v>
      </c>
      <c r="D278" s="5">
        <v>31.86</v>
      </c>
      <c r="E278" s="5">
        <v>331.75200000000001</v>
      </c>
      <c r="F278" s="5">
        <v>197.06</v>
      </c>
      <c r="G278" s="5">
        <v>560.67200000000003</v>
      </c>
      <c r="H278" s="6">
        <f t="shared" si="4"/>
        <v>-228.92000000000002</v>
      </c>
    </row>
    <row r="279" spans="1:8" x14ac:dyDescent="0.3">
      <c r="A279" s="5">
        <v>8622049270</v>
      </c>
      <c r="B279" s="5">
        <v>540</v>
      </c>
      <c r="C279" s="5">
        <v>44.651000000000003</v>
      </c>
      <c r="D279" s="5">
        <v>31.86</v>
      </c>
      <c r="E279" s="5">
        <v>369.48900000000003</v>
      </c>
      <c r="F279" s="5">
        <v>132.16</v>
      </c>
      <c r="G279" s="5">
        <v>533.50900000000001</v>
      </c>
      <c r="H279" s="6">
        <f t="shared" si="4"/>
        <v>-164.01999999999998</v>
      </c>
    </row>
    <row r="280" spans="1:8" x14ac:dyDescent="0.3">
      <c r="A280" s="5">
        <v>8648874948</v>
      </c>
      <c r="B280" s="5">
        <v>423</v>
      </c>
      <c r="C280" s="5">
        <v>36.442</v>
      </c>
      <c r="D280" s="5">
        <v>31.86</v>
      </c>
      <c r="E280" s="5">
        <v>295.69800000000004</v>
      </c>
      <c r="F280" s="5">
        <v>197.06</v>
      </c>
      <c r="G280" s="5">
        <v>524.61800000000005</v>
      </c>
      <c r="H280" s="6">
        <f t="shared" si="4"/>
        <v>-228.92000000000002</v>
      </c>
    </row>
    <row r="281" spans="1:8" x14ac:dyDescent="0.3">
      <c r="A281" s="5">
        <v>8628691316</v>
      </c>
      <c r="B281" s="5">
        <v>209</v>
      </c>
      <c r="C281" s="5">
        <v>18.556999999999999</v>
      </c>
      <c r="D281" s="5">
        <v>31.86</v>
      </c>
      <c r="E281" s="5">
        <v>99.583000000000027</v>
      </c>
      <c r="F281" s="5">
        <v>132.16</v>
      </c>
      <c r="G281" s="5">
        <v>263.60300000000001</v>
      </c>
      <c r="H281" s="6">
        <f t="shared" si="4"/>
        <v>-164.01999999999998</v>
      </c>
    </row>
    <row r="282" spans="1:8" x14ac:dyDescent="0.3">
      <c r="H282" s="6">
        <f>SUM(H2:H281)</f>
        <v>-66759.680000000226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PGReconsile</vt:lpstr>
      <vt:lpstr>Insights</vt:lpstr>
      <vt:lpstr>Outcome &amp; Recommendations</vt:lpstr>
      <vt:lpstr>Completed</vt:lpstr>
      <vt:lpstr>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Sufiyan Mujawar</dc:creator>
  <cp:lastModifiedBy>Mohd Sufiyan Mujawar</cp:lastModifiedBy>
  <dcterms:created xsi:type="dcterms:W3CDTF">2025-10-09T08:55:13Z</dcterms:created>
  <dcterms:modified xsi:type="dcterms:W3CDTF">2025-10-15T23:11:37Z</dcterms:modified>
</cp:coreProperties>
</file>