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-commerce\"/>
    </mc:Choice>
  </mc:AlternateContent>
  <xr:revisionPtr revIDLastSave="0" documentId="13_ncr:1_{23D35415-8F03-49F5-B6CC-48C2734E6E7A}" xr6:coauthVersionLast="47" xr6:coauthVersionMax="47" xr10:uidLastSave="{00000000-0000-0000-0000-000000000000}"/>
  <bookViews>
    <workbookView xWindow="-108" yWindow="-108" windowWidth="23256" windowHeight="12456" firstSheet="1" activeTab="1" xr2:uid="{CE73388B-ED1B-4D95-B4B2-F21081ED5B2C}"/>
  </bookViews>
  <sheets>
    <sheet name="Sales_Oct_25" sheetId="2" state="hidden" r:id="rId1"/>
    <sheet name="Oct Insights" sheetId="3" r:id="rId2"/>
    <sheet name="Oct_25_All" sheetId="8" r:id="rId3"/>
    <sheet name="Oct_25_Completed" sheetId="4" r:id="rId4"/>
    <sheet name="Oct_25_Return" sheetId="5" r:id="rId5"/>
    <sheet name="Oct_25_RTO" sheetId="6" r:id="rId6"/>
    <sheet name="Oct_25_Cancelled" sheetId="7" r:id="rId7"/>
  </sheets>
  <externalReferences>
    <externalReference r:id="rId8"/>
  </externalReferences>
  <definedNames>
    <definedName name="_xlnm._FilterDatabase" localSheetId="2" hidden="1">Oct_25_All!$A$1:$F$292</definedName>
    <definedName name="_xlnm._FilterDatabase" localSheetId="4" hidden="1">Oct_25_Return!$A$1:$F$75</definedName>
    <definedName name="ExternalData_1" localSheetId="0" hidden="1">Sales_Oct_25!$A$1:$BC$292</definedName>
    <definedName name="SeptSales">[1]!MarketPlace_Order_Report[#Data]</definedName>
  </definedNames>
  <calcPr calcId="191029"/>
  <pivotCaches>
    <pivotCache cacheId="15" r:id="rId9"/>
    <pivotCache cacheId="2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7" l="1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2" i="7"/>
  <c r="F292" i="8"/>
  <c r="E292" i="8"/>
  <c r="D292" i="8"/>
  <c r="F291" i="8"/>
  <c r="E291" i="8"/>
  <c r="D291" i="8"/>
  <c r="F290" i="8"/>
  <c r="E290" i="8"/>
  <c r="D290" i="8"/>
  <c r="F289" i="8"/>
  <c r="E289" i="8"/>
  <c r="D289" i="8"/>
  <c r="F288" i="8"/>
  <c r="E288" i="8"/>
  <c r="D288" i="8"/>
  <c r="F287" i="8"/>
  <c r="E287" i="8"/>
  <c r="D287" i="8"/>
  <c r="F286" i="8"/>
  <c r="E286" i="8"/>
  <c r="D286" i="8"/>
  <c r="F285" i="8"/>
  <c r="E285" i="8"/>
  <c r="D285" i="8"/>
  <c r="F284" i="8"/>
  <c r="E284" i="8"/>
  <c r="D284" i="8"/>
  <c r="F283" i="8"/>
  <c r="E283" i="8"/>
  <c r="D283" i="8"/>
  <c r="F282" i="8"/>
  <c r="E282" i="8"/>
  <c r="D282" i="8"/>
  <c r="F281" i="8"/>
  <c r="E281" i="8"/>
  <c r="D281" i="8"/>
  <c r="F280" i="8"/>
  <c r="E280" i="8"/>
  <c r="D280" i="8"/>
  <c r="F279" i="8"/>
  <c r="E279" i="8"/>
  <c r="D279" i="8"/>
  <c r="F278" i="8"/>
  <c r="E278" i="8"/>
  <c r="D278" i="8"/>
  <c r="F277" i="8"/>
  <c r="E277" i="8"/>
  <c r="D277" i="8"/>
  <c r="F276" i="8"/>
  <c r="E276" i="8"/>
  <c r="D276" i="8"/>
  <c r="F275" i="8"/>
  <c r="E275" i="8"/>
  <c r="D275" i="8"/>
  <c r="F274" i="8"/>
  <c r="E274" i="8"/>
  <c r="D274" i="8"/>
  <c r="F273" i="8"/>
  <c r="E273" i="8"/>
  <c r="D273" i="8"/>
  <c r="F272" i="8"/>
  <c r="E272" i="8"/>
  <c r="D272" i="8"/>
  <c r="F271" i="8"/>
  <c r="E271" i="8"/>
  <c r="D271" i="8"/>
  <c r="F270" i="8"/>
  <c r="E270" i="8"/>
  <c r="D270" i="8"/>
  <c r="F269" i="8"/>
  <c r="E269" i="8"/>
  <c r="D269" i="8"/>
  <c r="F268" i="8"/>
  <c r="E268" i="8"/>
  <c r="D268" i="8"/>
  <c r="F267" i="8"/>
  <c r="E267" i="8"/>
  <c r="D267" i="8"/>
  <c r="F266" i="8"/>
  <c r="E266" i="8"/>
  <c r="D266" i="8"/>
  <c r="F265" i="8"/>
  <c r="E265" i="8"/>
  <c r="D265" i="8"/>
  <c r="F264" i="8"/>
  <c r="E264" i="8"/>
  <c r="D264" i="8"/>
  <c r="F263" i="8"/>
  <c r="E263" i="8"/>
  <c r="D263" i="8"/>
  <c r="F262" i="8"/>
  <c r="E262" i="8"/>
  <c r="D262" i="8"/>
  <c r="F261" i="8"/>
  <c r="E261" i="8"/>
  <c r="D261" i="8"/>
  <c r="F260" i="8"/>
  <c r="E260" i="8"/>
  <c r="D260" i="8"/>
  <c r="F259" i="8"/>
  <c r="E259" i="8"/>
  <c r="D259" i="8"/>
  <c r="F258" i="8"/>
  <c r="E258" i="8"/>
  <c r="D258" i="8"/>
  <c r="F257" i="8"/>
  <c r="E257" i="8"/>
  <c r="D257" i="8"/>
  <c r="F256" i="8"/>
  <c r="E256" i="8"/>
  <c r="D256" i="8"/>
  <c r="F255" i="8"/>
  <c r="E255" i="8"/>
  <c r="D255" i="8"/>
  <c r="F254" i="8"/>
  <c r="E254" i="8"/>
  <c r="D254" i="8"/>
  <c r="F253" i="8"/>
  <c r="E253" i="8"/>
  <c r="D253" i="8"/>
  <c r="F252" i="8"/>
  <c r="E252" i="8"/>
  <c r="D252" i="8"/>
  <c r="F251" i="8"/>
  <c r="E251" i="8"/>
  <c r="D251" i="8"/>
  <c r="F250" i="8"/>
  <c r="E250" i="8"/>
  <c r="D250" i="8"/>
  <c r="F249" i="8"/>
  <c r="E249" i="8"/>
  <c r="D249" i="8"/>
  <c r="F248" i="8"/>
  <c r="E248" i="8"/>
  <c r="D248" i="8"/>
  <c r="F247" i="8"/>
  <c r="E247" i="8"/>
  <c r="D247" i="8"/>
  <c r="F246" i="8"/>
  <c r="E246" i="8"/>
  <c r="D246" i="8"/>
  <c r="F245" i="8"/>
  <c r="E245" i="8"/>
  <c r="D245" i="8"/>
  <c r="F244" i="8"/>
  <c r="E244" i="8"/>
  <c r="D244" i="8"/>
  <c r="F243" i="8"/>
  <c r="E243" i="8"/>
  <c r="D243" i="8"/>
  <c r="F242" i="8"/>
  <c r="E242" i="8"/>
  <c r="D242" i="8"/>
  <c r="F241" i="8"/>
  <c r="E241" i="8"/>
  <c r="D241" i="8"/>
  <c r="F240" i="8"/>
  <c r="E240" i="8"/>
  <c r="D240" i="8"/>
  <c r="F239" i="8"/>
  <c r="E239" i="8"/>
  <c r="D239" i="8"/>
  <c r="F238" i="8"/>
  <c r="E238" i="8"/>
  <c r="D238" i="8"/>
  <c r="F237" i="8"/>
  <c r="E237" i="8"/>
  <c r="D237" i="8"/>
  <c r="F236" i="8"/>
  <c r="E236" i="8"/>
  <c r="D236" i="8"/>
  <c r="F235" i="8"/>
  <c r="E235" i="8"/>
  <c r="D235" i="8"/>
  <c r="F234" i="8"/>
  <c r="E234" i="8"/>
  <c r="D234" i="8"/>
  <c r="F233" i="8"/>
  <c r="E233" i="8"/>
  <c r="D233" i="8"/>
  <c r="F232" i="8"/>
  <c r="E232" i="8"/>
  <c r="D232" i="8"/>
  <c r="F231" i="8"/>
  <c r="E231" i="8"/>
  <c r="D231" i="8"/>
  <c r="F230" i="8"/>
  <c r="E230" i="8"/>
  <c r="D230" i="8"/>
  <c r="F229" i="8"/>
  <c r="E229" i="8"/>
  <c r="D229" i="8"/>
  <c r="F228" i="8"/>
  <c r="E228" i="8"/>
  <c r="D228" i="8"/>
  <c r="F227" i="8"/>
  <c r="E227" i="8"/>
  <c r="D227" i="8"/>
  <c r="F226" i="8"/>
  <c r="E226" i="8"/>
  <c r="D226" i="8"/>
  <c r="F225" i="8"/>
  <c r="E225" i="8"/>
  <c r="D225" i="8"/>
  <c r="F224" i="8"/>
  <c r="E224" i="8"/>
  <c r="D224" i="8"/>
  <c r="F223" i="8"/>
  <c r="E223" i="8"/>
  <c r="D223" i="8"/>
  <c r="F222" i="8"/>
  <c r="E222" i="8"/>
  <c r="D222" i="8"/>
  <c r="F221" i="8"/>
  <c r="E221" i="8"/>
  <c r="D221" i="8"/>
  <c r="F220" i="8"/>
  <c r="E220" i="8"/>
  <c r="D220" i="8"/>
  <c r="F219" i="8"/>
  <c r="E219" i="8"/>
  <c r="D219" i="8"/>
  <c r="F218" i="8"/>
  <c r="E218" i="8"/>
  <c r="D218" i="8"/>
  <c r="F217" i="8"/>
  <c r="E217" i="8"/>
  <c r="D217" i="8"/>
  <c r="F216" i="8"/>
  <c r="E216" i="8"/>
  <c r="D216" i="8"/>
  <c r="F215" i="8"/>
  <c r="E215" i="8"/>
  <c r="D215" i="8"/>
  <c r="F214" i="8"/>
  <c r="E214" i="8"/>
  <c r="D214" i="8"/>
  <c r="F213" i="8"/>
  <c r="E213" i="8"/>
  <c r="D213" i="8"/>
  <c r="F212" i="8"/>
  <c r="E212" i="8"/>
  <c r="D212" i="8"/>
  <c r="F211" i="8"/>
  <c r="E211" i="8"/>
  <c r="D211" i="8"/>
  <c r="F210" i="8"/>
  <c r="E210" i="8"/>
  <c r="D210" i="8"/>
  <c r="F209" i="8"/>
  <c r="E209" i="8"/>
  <c r="D209" i="8"/>
  <c r="F208" i="8"/>
  <c r="E208" i="8"/>
  <c r="D208" i="8"/>
  <c r="F207" i="8"/>
  <c r="E207" i="8"/>
  <c r="D207" i="8"/>
  <c r="F206" i="8"/>
  <c r="E206" i="8"/>
  <c r="D206" i="8"/>
  <c r="F205" i="8"/>
  <c r="E205" i="8"/>
  <c r="D205" i="8"/>
  <c r="F204" i="8"/>
  <c r="E204" i="8"/>
  <c r="D204" i="8"/>
  <c r="F203" i="8"/>
  <c r="E203" i="8"/>
  <c r="D203" i="8"/>
  <c r="F202" i="8"/>
  <c r="E202" i="8"/>
  <c r="D202" i="8"/>
  <c r="F201" i="8"/>
  <c r="E201" i="8"/>
  <c r="D201" i="8"/>
  <c r="F200" i="8"/>
  <c r="E200" i="8"/>
  <c r="D200" i="8"/>
  <c r="F199" i="8"/>
  <c r="E199" i="8"/>
  <c r="D199" i="8"/>
  <c r="F198" i="8"/>
  <c r="E198" i="8"/>
  <c r="D198" i="8"/>
  <c r="F197" i="8"/>
  <c r="E197" i="8"/>
  <c r="D197" i="8"/>
  <c r="F196" i="8"/>
  <c r="E196" i="8"/>
  <c r="D196" i="8"/>
  <c r="F195" i="8"/>
  <c r="E195" i="8"/>
  <c r="D195" i="8"/>
  <c r="F194" i="8"/>
  <c r="E194" i="8"/>
  <c r="D194" i="8"/>
  <c r="F193" i="8"/>
  <c r="E193" i="8"/>
  <c r="D193" i="8"/>
  <c r="F192" i="8"/>
  <c r="E192" i="8"/>
  <c r="D192" i="8"/>
  <c r="F191" i="8"/>
  <c r="E191" i="8"/>
  <c r="D191" i="8"/>
  <c r="F190" i="8"/>
  <c r="E190" i="8"/>
  <c r="D190" i="8"/>
  <c r="F189" i="8"/>
  <c r="E189" i="8"/>
  <c r="D189" i="8"/>
  <c r="F188" i="8"/>
  <c r="E188" i="8"/>
  <c r="D188" i="8"/>
  <c r="F187" i="8"/>
  <c r="E187" i="8"/>
  <c r="D187" i="8"/>
  <c r="F186" i="8"/>
  <c r="E186" i="8"/>
  <c r="D186" i="8"/>
  <c r="F185" i="8"/>
  <c r="E185" i="8"/>
  <c r="D185" i="8"/>
  <c r="F184" i="8"/>
  <c r="E184" i="8"/>
  <c r="D184" i="8"/>
  <c r="F183" i="8"/>
  <c r="E183" i="8"/>
  <c r="D183" i="8"/>
  <c r="F182" i="8"/>
  <c r="E182" i="8"/>
  <c r="D182" i="8"/>
  <c r="F181" i="8"/>
  <c r="E181" i="8"/>
  <c r="D181" i="8"/>
  <c r="F180" i="8"/>
  <c r="E180" i="8"/>
  <c r="D180" i="8"/>
  <c r="F179" i="8"/>
  <c r="E179" i="8"/>
  <c r="D179" i="8"/>
  <c r="F178" i="8"/>
  <c r="E178" i="8"/>
  <c r="D178" i="8"/>
  <c r="F177" i="8"/>
  <c r="E177" i="8"/>
  <c r="D177" i="8"/>
  <c r="F176" i="8"/>
  <c r="E176" i="8"/>
  <c r="D176" i="8"/>
  <c r="F175" i="8"/>
  <c r="E175" i="8"/>
  <c r="D175" i="8"/>
  <c r="F174" i="8"/>
  <c r="E174" i="8"/>
  <c r="D174" i="8"/>
  <c r="F173" i="8"/>
  <c r="E173" i="8"/>
  <c r="D173" i="8"/>
  <c r="F172" i="8"/>
  <c r="E172" i="8"/>
  <c r="D172" i="8"/>
  <c r="F171" i="8"/>
  <c r="E171" i="8"/>
  <c r="D171" i="8"/>
  <c r="F170" i="8"/>
  <c r="E170" i="8"/>
  <c r="D170" i="8"/>
  <c r="F169" i="8"/>
  <c r="E169" i="8"/>
  <c r="D169" i="8"/>
  <c r="F168" i="8"/>
  <c r="E168" i="8"/>
  <c r="D168" i="8"/>
  <c r="F167" i="8"/>
  <c r="E167" i="8"/>
  <c r="D167" i="8"/>
  <c r="F166" i="8"/>
  <c r="E166" i="8"/>
  <c r="D166" i="8"/>
  <c r="F165" i="8"/>
  <c r="E165" i="8"/>
  <c r="D165" i="8"/>
  <c r="F164" i="8"/>
  <c r="E164" i="8"/>
  <c r="D164" i="8"/>
  <c r="F163" i="8"/>
  <c r="E163" i="8"/>
  <c r="D163" i="8"/>
  <c r="F162" i="8"/>
  <c r="E162" i="8"/>
  <c r="D162" i="8"/>
  <c r="F161" i="8"/>
  <c r="E161" i="8"/>
  <c r="D161" i="8"/>
  <c r="F160" i="8"/>
  <c r="E160" i="8"/>
  <c r="D160" i="8"/>
  <c r="F159" i="8"/>
  <c r="E159" i="8"/>
  <c r="D159" i="8"/>
  <c r="F158" i="8"/>
  <c r="E158" i="8"/>
  <c r="D158" i="8"/>
  <c r="F157" i="8"/>
  <c r="E157" i="8"/>
  <c r="D157" i="8"/>
  <c r="F156" i="8"/>
  <c r="E156" i="8"/>
  <c r="D156" i="8"/>
  <c r="F155" i="8"/>
  <c r="E155" i="8"/>
  <c r="D155" i="8"/>
  <c r="F154" i="8"/>
  <c r="E154" i="8"/>
  <c r="D154" i="8"/>
  <c r="F153" i="8"/>
  <c r="E153" i="8"/>
  <c r="D153" i="8"/>
  <c r="F152" i="8"/>
  <c r="E152" i="8"/>
  <c r="D152" i="8"/>
  <c r="F151" i="8"/>
  <c r="E151" i="8"/>
  <c r="D151" i="8"/>
  <c r="F150" i="8"/>
  <c r="E150" i="8"/>
  <c r="D150" i="8"/>
  <c r="F149" i="8"/>
  <c r="E149" i="8"/>
  <c r="D149" i="8"/>
  <c r="F148" i="8"/>
  <c r="E148" i="8"/>
  <c r="D148" i="8"/>
  <c r="F147" i="8"/>
  <c r="E147" i="8"/>
  <c r="D147" i="8"/>
  <c r="F146" i="8"/>
  <c r="E146" i="8"/>
  <c r="D146" i="8"/>
  <c r="F145" i="8"/>
  <c r="E145" i="8"/>
  <c r="D145" i="8"/>
  <c r="F144" i="8"/>
  <c r="E144" i="8"/>
  <c r="D144" i="8"/>
  <c r="F143" i="8"/>
  <c r="E143" i="8"/>
  <c r="D143" i="8"/>
  <c r="F142" i="8"/>
  <c r="E142" i="8"/>
  <c r="D142" i="8"/>
  <c r="F141" i="8"/>
  <c r="E141" i="8"/>
  <c r="D141" i="8"/>
  <c r="F140" i="8"/>
  <c r="E140" i="8"/>
  <c r="D140" i="8"/>
  <c r="F139" i="8"/>
  <c r="E139" i="8"/>
  <c r="D139" i="8"/>
  <c r="F138" i="8"/>
  <c r="E138" i="8"/>
  <c r="D138" i="8"/>
  <c r="F137" i="8"/>
  <c r="E137" i="8"/>
  <c r="D137" i="8"/>
  <c r="F136" i="8"/>
  <c r="E136" i="8"/>
  <c r="D136" i="8"/>
  <c r="F135" i="8"/>
  <c r="E135" i="8"/>
  <c r="D135" i="8"/>
  <c r="F134" i="8"/>
  <c r="E134" i="8"/>
  <c r="D134" i="8"/>
  <c r="F133" i="8"/>
  <c r="E133" i="8"/>
  <c r="D133" i="8"/>
  <c r="F132" i="8"/>
  <c r="E132" i="8"/>
  <c r="D132" i="8"/>
  <c r="F131" i="8"/>
  <c r="E131" i="8"/>
  <c r="D131" i="8"/>
  <c r="F130" i="8"/>
  <c r="E130" i="8"/>
  <c r="D130" i="8"/>
  <c r="F129" i="8"/>
  <c r="E129" i="8"/>
  <c r="D129" i="8"/>
  <c r="F128" i="8"/>
  <c r="E128" i="8"/>
  <c r="D128" i="8"/>
  <c r="F127" i="8"/>
  <c r="E127" i="8"/>
  <c r="D127" i="8"/>
  <c r="F126" i="8"/>
  <c r="E126" i="8"/>
  <c r="D126" i="8"/>
  <c r="F125" i="8"/>
  <c r="E125" i="8"/>
  <c r="D125" i="8"/>
  <c r="F124" i="8"/>
  <c r="E124" i="8"/>
  <c r="D124" i="8"/>
  <c r="F123" i="8"/>
  <c r="E123" i="8"/>
  <c r="D123" i="8"/>
  <c r="F122" i="8"/>
  <c r="E122" i="8"/>
  <c r="D122" i="8"/>
  <c r="F121" i="8"/>
  <c r="E121" i="8"/>
  <c r="D121" i="8"/>
  <c r="F120" i="8"/>
  <c r="E120" i="8"/>
  <c r="D120" i="8"/>
  <c r="F119" i="8"/>
  <c r="E119" i="8"/>
  <c r="D119" i="8"/>
  <c r="F118" i="8"/>
  <c r="E118" i="8"/>
  <c r="D118" i="8"/>
  <c r="F117" i="8"/>
  <c r="E117" i="8"/>
  <c r="D117" i="8"/>
  <c r="F116" i="8"/>
  <c r="E116" i="8"/>
  <c r="D116" i="8"/>
  <c r="F115" i="8"/>
  <c r="E115" i="8"/>
  <c r="D115" i="8"/>
  <c r="F114" i="8"/>
  <c r="E114" i="8"/>
  <c r="D114" i="8"/>
  <c r="F113" i="8"/>
  <c r="E113" i="8"/>
  <c r="D113" i="8"/>
  <c r="F112" i="8"/>
  <c r="E112" i="8"/>
  <c r="D112" i="8"/>
  <c r="F111" i="8"/>
  <c r="E111" i="8"/>
  <c r="D111" i="8"/>
  <c r="F110" i="8"/>
  <c r="E110" i="8"/>
  <c r="D110" i="8"/>
  <c r="F109" i="8"/>
  <c r="E109" i="8"/>
  <c r="D109" i="8"/>
  <c r="F108" i="8"/>
  <c r="E108" i="8"/>
  <c r="D108" i="8"/>
  <c r="F107" i="8"/>
  <c r="E107" i="8"/>
  <c r="D107" i="8"/>
  <c r="F106" i="8"/>
  <c r="E106" i="8"/>
  <c r="D106" i="8"/>
  <c r="F105" i="8"/>
  <c r="E105" i="8"/>
  <c r="D105" i="8"/>
  <c r="F104" i="8"/>
  <c r="E104" i="8"/>
  <c r="D104" i="8"/>
  <c r="F103" i="8"/>
  <c r="E103" i="8"/>
  <c r="D103" i="8"/>
  <c r="F102" i="8"/>
  <c r="E102" i="8"/>
  <c r="D102" i="8"/>
  <c r="F101" i="8"/>
  <c r="E101" i="8"/>
  <c r="D101" i="8"/>
  <c r="F100" i="8"/>
  <c r="E100" i="8"/>
  <c r="D100" i="8"/>
  <c r="F99" i="8"/>
  <c r="E99" i="8"/>
  <c r="D99" i="8"/>
  <c r="F98" i="8"/>
  <c r="E98" i="8"/>
  <c r="D98" i="8"/>
  <c r="F97" i="8"/>
  <c r="E97" i="8"/>
  <c r="D97" i="8"/>
  <c r="F96" i="8"/>
  <c r="E96" i="8"/>
  <c r="D96" i="8"/>
  <c r="F95" i="8"/>
  <c r="E95" i="8"/>
  <c r="D95" i="8"/>
  <c r="F94" i="8"/>
  <c r="E94" i="8"/>
  <c r="D94" i="8"/>
  <c r="F93" i="8"/>
  <c r="E93" i="8"/>
  <c r="D93" i="8"/>
  <c r="F92" i="8"/>
  <c r="E92" i="8"/>
  <c r="D92" i="8"/>
  <c r="F91" i="8"/>
  <c r="E91" i="8"/>
  <c r="D91" i="8"/>
  <c r="F90" i="8"/>
  <c r="E90" i="8"/>
  <c r="D90" i="8"/>
  <c r="F89" i="8"/>
  <c r="E89" i="8"/>
  <c r="D89" i="8"/>
  <c r="F88" i="8"/>
  <c r="E88" i="8"/>
  <c r="D88" i="8"/>
  <c r="F87" i="8"/>
  <c r="E87" i="8"/>
  <c r="D87" i="8"/>
  <c r="F86" i="8"/>
  <c r="E86" i="8"/>
  <c r="D86" i="8"/>
  <c r="F85" i="8"/>
  <c r="E85" i="8"/>
  <c r="D85" i="8"/>
  <c r="F84" i="8"/>
  <c r="E84" i="8"/>
  <c r="D84" i="8"/>
  <c r="F83" i="8"/>
  <c r="E83" i="8"/>
  <c r="D83" i="8"/>
  <c r="F82" i="8"/>
  <c r="E82" i="8"/>
  <c r="D82" i="8"/>
  <c r="F81" i="8"/>
  <c r="E81" i="8"/>
  <c r="D81" i="8"/>
  <c r="F80" i="8"/>
  <c r="E80" i="8"/>
  <c r="D80" i="8"/>
  <c r="F79" i="8"/>
  <c r="E79" i="8"/>
  <c r="D79" i="8"/>
  <c r="F78" i="8"/>
  <c r="E78" i="8"/>
  <c r="D78" i="8"/>
  <c r="F77" i="8"/>
  <c r="E77" i="8"/>
  <c r="D77" i="8"/>
  <c r="F76" i="8"/>
  <c r="E76" i="8"/>
  <c r="D76" i="8"/>
  <c r="F75" i="8"/>
  <c r="E75" i="8"/>
  <c r="D75" i="8"/>
  <c r="F74" i="8"/>
  <c r="E74" i="8"/>
  <c r="D74" i="8"/>
  <c r="F73" i="8"/>
  <c r="E73" i="8"/>
  <c r="D73" i="8"/>
  <c r="F72" i="8"/>
  <c r="E72" i="8"/>
  <c r="D72" i="8"/>
  <c r="F71" i="8"/>
  <c r="E71" i="8"/>
  <c r="D71" i="8"/>
  <c r="F70" i="8"/>
  <c r="E70" i="8"/>
  <c r="D70" i="8"/>
  <c r="F69" i="8"/>
  <c r="E69" i="8"/>
  <c r="D69" i="8"/>
  <c r="F68" i="8"/>
  <c r="E68" i="8"/>
  <c r="D68" i="8"/>
  <c r="F67" i="8"/>
  <c r="E67" i="8"/>
  <c r="D67" i="8"/>
  <c r="F66" i="8"/>
  <c r="E66" i="8"/>
  <c r="D66" i="8"/>
  <c r="F65" i="8"/>
  <c r="E65" i="8"/>
  <c r="D65" i="8"/>
  <c r="F64" i="8"/>
  <c r="E64" i="8"/>
  <c r="D64" i="8"/>
  <c r="F63" i="8"/>
  <c r="E63" i="8"/>
  <c r="D63" i="8"/>
  <c r="F62" i="8"/>
  <c r="E62" i="8"/>
  <c r="D62" i="8"/>
  <c r="F61" i="8"/>
  <c r="E61" i="8"/>
  <c r="D61" i="8"/>
  <c r="F60" i="8"/>
  <c r="E60" i="8"/>
  <c r="D60" i="8"/>
  <c r="F59" i="8"/>
  <c r="E59" i="8"/>
  <c r="D59" i="8"/>
  <c r="F58" i="8"/>
  <c r="E58" i="8"/>
  <c r="D58" i="8"/>
  <c r="F57" i="8"/>
  <c r="E57" i="8"/>
  <c r="D57" i="8"/>
  <c r="F56" i="8"/>
  <c r="E56" i="8"/>
  <c r="D56" i="8"/>
  <c r="F55" i="8"/>
  <c r="E55" i="8"/>
  <c r="D55" i="8"/>
  <c r="F54" i="8"/>
  <c r="E54" i="8"/>
  <c r="D54" i="8"/>
  <c r="F53" i="8"/>
  <c r="E53" i="8"/>
  <c r="D53" i="8"/>
  <c r="F52" i="8"/>
  <c r="E52" i="8"/>
  <c r="D52" i="8"/>
  <c r="F51" i="8"/>
  <c r="E51" i="8"/>
  <c r="D51" i="8"/>
  <c r="F50" i="8"/>
  <c r="E50" i="8"/>
  <c r="D50" i="8"/>
  <c r="F49" i="8"/>
  <c r="E49" i="8"/>
  <c r="D49" i="8"/>
  <c r="F48" i="8"/>
  <c r="E48" i="8"/>
  <c r="D48" i="8"/>
  <c r="F47" i="8"/>
  <c r="E47" i="8"/>
  <c r="D47" i="8"/>
  <c r="F46" i="8"/>
  <c r="E46" i="8"/>
  <c r="D46" i="8"/>
  <c r="F45" i="8"/>
  <c r="E45" i="8"/>
  <c r="D45" i="8"/>
  <c r="F44" i="8"/>
  <c r="E44" i="8"/>
  <c r="D44" i="8"/>
  <c r="F43" i="8"/>
  <c r="E43" i="8"/>
  <c r="D43" i="8"/>
  <c r="F42" i="8"/>
  <c r="E42" i="8"/>
  <c r="D42" i="8"/>
  <c r="F41" i="8"/>
  <c r="E41" i="8"/>
  <c r="D41" i="8"/>
  <c r="F40" i="8"/>
  <c r="E40" i="8"/>
  <c r="D40" i="8"/>
  <c r="F39" i="8"/>
  <c r="E39" i="8"/>
  <c r="D39" i="8"/>
  <c r="F38" i="8"/>
  <c r="E38" i="8"/>
  <c r="D38" i="8"/>
  <c r="F37" i="8"/>
  <c r="E37" i="8"/>
  <c r="D37" i="8"/>
  <c r="F36" i="8"/>
  <c r="E36" i="8"/>
  <c r="D36" i="8"/>
  <c r="F35" i="8"/>
  <c r="E35" i="8"/>
  <c r="D35" i="8"/>
  <c r="F34" i="8"/>
  <c r="E34" i="8"/>
  <c r="D34" i="8"/>
  <c r="F33" i="8"/>
  <c r="E33" i="8"/>
  <c r="D33" i="8"/>
  <c r="F32" i="8"/>
  <c r="E32" i="8"/>
  <c r="D32" i="8"/>
  <c r="F31" i="8"/>
  <c r="E31" i="8"/>
  <c r="D31" i="8"/>
  <c r="F30" i="8"/>
  <c r="E30" i="8"/>
  <c r="D30" i="8"/>
  <c r="F29" i="8"/>
  <c r="E29" i="8"/>
  <c r="D29" i="8"/>
  <c r="F28" i="8"/>
  <c r="E28" i="8"/>
  <c r="D28" i="8"/>
  <c r="F27" i="8"/>
  <c r="E27" i="8"/>
  <c r="D27" i="8"/>
  <c r="F26" i="8"/>
  <c r="E26" i="8"/>
  <c r="D26" i="8"/>
  <c r="F25" i="8"/>
  <c r="E25" i="8"/>
  <c r="D25" i="8"/>
  <c r="F24" i="8"/>
  <c r="E24" i="8"/>
  <c r="D24" i="8"/>
  <c r="F23" i="8"/>
  <c r="E23" i="8"/>
  <c r="D23" i="8"/>
  <c r="F22" i="8"/>
  <c r="E22" i="8"/>
  <c r="D22" i="8"/>
  <c r="F21" i="8"/>
  <c r="E21" i="8"/>
  <c r="D21" i="8"/>
  <c r="F20" i="8"/>
  <c r="E20" i="8"/>
  <c r="D20" i="8"/>
  <c r="F19" i="8"/>
  <c r="E19" i="8"/>
  <c r="D19" i="8"/>
  <c r="F18" i="8"/>
  <c r="E18" i="8"/>
  <c r="D18" i="8"/>
  <c r="F17" i="8"/>
  <c r="E17" i="8"/>
  <c r="D17" i="8"/>
  <c r="F16" i="8"/>
  <c r="E16" i="8"/>
  <c r="D16" i="8"/>
  <c r="F15" i="8"/>
  <c r="E15" i="8"/>
  <c r="D15" i="8"/>
  <c r="F14" i="8"/>
  <c r="E14" i="8"/>
  <c r="D14" i="8"/>
  <c r="F13" i="8"/>
  <c r="E13" i="8"/>
  <c r="D13" i="8"/>
  <c r="F12" i="8"/>
  <c r="E12" i="8"/>
  <c r="D12" i="8"/>
  <c r="F11" i="8"/>
  <c r="E11" i="8"/>
  <c r="D11" i="8"/>
  <c r="F10" i="8"/>
  <c r="E10" i="8"/>
  <c r="D10" i="8"/>
  <c r="F9" i="8"/>
  <c r="E9" i="8"/>
  <c r="D9" i="8"/>
  <c r="F8" i="8"/>
  <c r="E8" i="8"/>
  <c r="D8" i="8"/>
  <c r="F7" i="8"/>
  <c r="E7" i="8"/>
  <c r="D7" i="8"/>
  <c r="F6" i="8"/>
  <c r="E6" i="8"/>
  <c r="D6" i="8"/>
  <c r="F5" i="8"/>
  <c r="E5" i="8"/>
  <c r="D5" i="8"/>
  <c r="F4" i="8"/>
  <c r="E4" i="8"/>
  <c r="D4" i="8"/>
  <c r="F3" i="8"/>
  <c r="E3" i="8"/>
  <c r="D3" i="8"/>
  <c r="F2" i="8"/>
  <c r="E2" i="8"/>
  <c r="D2" i="8"/>
  <c r="C9" i="3"/>
  <c r="C7" i="3"/>
  <c r="C6" i="3"/>
  <c r="C5" i="3"/>
  <c r="C4" i="3"/>
  <c r="C3" i="3"/>
  <c r="BE292" i="2"/>
  <c r="BD292" i="2"/>
  <c r="BE291" i="2"/>
  <c r="BD291" i="2"/>
  <c r="BE290" i="2"/>
  <c r="BD290" i="2"/>
  <c r="BE289" i="2"/>
  <c r="BD289" i="2"/>
  <c r="BE288" i="2"/>
  <c r="BD288" i="2"/>
  <c r="BF288" i="2" s="1"/>
  <c r="BE287" i="2"/>
  <c r="BD287" i="2"/>
  <c r="BE286" i="2"/>
  <c r="BD286" i="2"/>
  <c r="BE285" i="2"/>
  <c r="BD285" i="2"/>
  <c r="BE284" i="2"/>
  <c r="BD284" i="2"/>
  <c r="BE283" i="2"/>
  <c r="BD283" i="2"/>
  <c r="BE282" i="2"/>
  <c r="BD282" i="2"/>
  <c r="BE281" i="2"/>
  <c r="BD281" i="2"/>
  <c r="BE280" i="2"/>
  <c r="BD280" i="2"/>
  <c r="BE279" i="2"/>
  <c r="BD279" i="2"/>
  <c r="BE278" i="2"/>
  <c r="BD278" i="2"/>
  <c r="BE277" i="2"/>
  <c r="BD277" i="2"/>
  <c r="BE276" i="2"/>
  <c r="BD276" i="2"/>
  <c r="BE275" i="2"/>
  <c r="BD275" i="2"/>
  <c r="BE274" i="2"/>
  <c r="BD274" i="2"/>
  <c r="BF274" i="2" s="1"/>
  <c r="BE273" i="2"/>
  <c r="BD273" i="2"/>
  <c r="BE272" i="2"/>
  <c r="BD272" i="2"/>
  <c r="BF272" i="2" s="1"/>
  <c r="BE271" i="2"/>
  <c r="BD271" i="2"/>
  <c r="BE270" i="2"/>
  <c r="BD270" i="2"/>
  <c r="BE269" i="2"/>
  <c r="BD269" i="2"/>
  <c r="BE268" i="2"/>
  <c r="BD268" i="2"/>
  <c r="BE267" i="2"/>
  <c r="BD267" i="2"/>
  <c r="BE266" i="2"/>
  <c r="BD266" i="2"/>
  <c r="BE265" i="2"/>
  <c r="BD265" i="2"/>
  <c r="BE264" i="2"/>
  <c r="BD264" i="2"/>
  <c r="BF264" i="2" s="1"/>
  <c r="BE263" i="2"/>
  <c r="BD263" i="2"/>
  <c r="BE262" i="2"/>
  <c r="BD262" i="2"/>
  <c r="BE261" i="2"/>
  <c r="BD261" i="2"/>
  <c r="BE260" i="2"/>
  <c r="BD260" i="2"/>
  <c r="BE259" i="2"/>
  <c r="BD259" i="2"/>
  <c r="BE258" i="2"/>
  <c r="BD258" i="2"/>
  <c r="BF258" i="2" s="1"/>
  <c r="BE257" i="2"/>
  <c r="BD257" i="2"/>
  <c r="BE256" i="2"/>
  <c r="BD256" i="2"/>
  <c r="BF256" i="2" s="1"/>
  <c r="BE255" i="2"/>
  <c r="BD255" i="2"/>
  <c r="BE254" i="2"/>
  <c r="BD254" i="2"/>
  <c r="BE253" i="2"/>
  <c r="BD253" i="2"/>
  <c r="BE252" i="2"/>
  <c r="BD252" i="2"/>
  <c r="BE251" i="2"/>
  <c r="BD251" i="2"/>
  <c r="BE250" i="2"/>
  <c r="BD250" i="2"/>
  <c r="BE249" i="2"/>
  <c r="BD249" i="2"/>
  <c r="BE248" i="2"/>
  <c r="BD248" i="2"/>
  <c r="BE247" i="2"/>
  <c r="BD247" i="2"/>
  <c r="BE246" i="2"/>
  <c r="BD246" i="2"/>
  <c r="BE245" i="2"/>
  <c r="BD245" i="2"/>
  <c r="BE244" i="2"/>
  <c r="BD244" i="2"/>
  <c r="BE243" i="2"/>
  <c r="BD243" i="2"/>
  <c r="BE242" i="2"/>
  <c r="BD242" i="2"/>
  <c r="BF242" i="2" s="1"/>
  <c r="BE241" i="2"/>
  <c r="BD241" i="2"/>
  <c r="BE240" i="2"/>
  <c r="BD240" i="2"/>
  <c r="BE239" i="2"/>
  <c r="BD239" i="2"/>
  <c r="BE238" i="2"/>
  <c r="BD238" i="2"/>
  <c r="BE237" i="2"/>
  <c r="BD237" i="2"/>
  <c r="BE236" i="2"/>
  <c r="BD236" i="2"/>
  <c r="BE235" i="2"/>
  <c r="BD235" i="2"/>
  <c r="BE234" i="2"/>
  <c r="BD234" i="2"/>
  <c r="BE233" i="2"/>
  <c r="BD233" i="2"/>
  <c r="BE232" i="2"/>
  <c r="BD232" i="2"/>
  <c r="BE231" i="2"/>
  <c r="BD231" i="2"/>
  <c r="BE230" i="2"/>
  <c r="BD230" i="2"/>
  <c r="BE229" i="2"/>
  <c r="BD229" i="2"/>
  <c r="BE228" i="2"/>
  <c r="BD228" i="2"/>
  <c r="BE227" i="2"/>
  <c r="BD227" i="2"/>
  <c r="BE226" i="2"/>
  <c r="BD226" i="2"/>
  <c r="BE225" i="2"/>
  <c r="BD225" i="2"/>
  <c r="BE224" i="2"/>
  <c r="BD224" i="2"/>
  <c r="BE223" i="2"/>
  <c r="BD223" i="2"/>
  <c r="BE222" i="2"/>
  <c r="BD222" i="2"/>
  <c r="BE221" i="2"/>
  <c r="BD221" i="2"/>
  <c r="BE220" i="2"/>
  <c r="BD220" i="2"/>
  <c r="BE219" i="2"/>
  <c r="BD219" i="2"/>
  <c r="BE218" i="2"/>
  <c r="BD218" i="2"/>
  <c r="BE217" i="2"/>
  <c r="BD217" i="2"/>
  <c r="BE216" i="2"/>
  <c r="BD216" i="2"/>
  <c r="BE215" i="2"/>
  <c r="BD215" i="2"/>
  <c r="BE214" i="2"/>
  <c r="BD214" i="2"/>
  <c r="BE213" i="2"/>
  <c r="BD213" i="2"/>
  <c r="BE212" i="2"/>
  <c r="BD212" i="2"/>
  <c r="BE211" i="2"/>
  <c r="BD211" i="2"/>
  <c r="BE210" i="2"/>
  <c r="BD210" i="2"/>
  <c r="BF210" i="2" s="1"/>
  <c r="BE209" i="2"/>
  <c r="BD209" i="2"/>
  <c r="BE208" i="2"/>
  <c r="BD208" i="2"/>
  <c r="BE207" i="2"/>
  <c r="BD207" i="2"/>
  <c r="BE206" i="2"/>
  <c r="BD206" i="2"/>
  <c r="BF206" i="2" s="1"/>
  <c r="BE205" i="2"/>
  <c r="BD205" i="2"/>
  <c r="BE204" i="2"/>
  <c r="BD204" i="2"/>
  <c r="BE203" i="2"/>
  <c r="BD203" i="2"/>
  <c r="BE202" i="2"/>
  <c r="BD202" i="2"/>
  <c r="BE201" i="2"/>
  <c r="BD201" i="2"/>
  <c r="BE200" i="2"/>
  <c r="BD200" i="2"/>
  <c r="BE199" i="2"/>
  <c r="BD199" i="2"/>
  <c r="BE198" i="2"/>
  <c r="BD198" i="2"/>
  <c r="BE197" i="2"/>
  <c r="BD197" i="2"/>
  <c r="BE196" i="2"/>
  <c r="BD196" i="2"/>
  <c r="BE195" i="2"/>
  <c r="BD195" i="2"/>
  <c r="BE194" i="2"/>
  <c r="BD194" i="2"/>
  <c r="BF194" i="2" s="1"/>
  <c r="BE193" i="2"/>
  <c r="BD193" i="2"/>
  <c r="BE192" i="2"/>
  <c r="BD192" i="2"/>
  <c r="BE191" i="2"/>
  <c r="BD191" i="2"/>
  <c r="BE190" i="2"/>
  <c r="BD190" i="2"/>
  <c r="BF190" i="2" s="1"/>
  <c r="BE189" i="2"/>
  <c r="BD189" i="2"/>
  <c r="BE188" i="2"/>
  <c r="BD188" i="2"/>
  <c r="BE187" i="2"/>
  <c r="BD187" i="2"/>
  <c r="BE186" i="2"/>
  <c r="BD186" i="2"/>
  <c r="BE185" i="2"/>
  <c r="BD185" i="2"/>
  <c r="BE184" i="2"/>
  <c r="BD184" i="2"/>
  <c r="BE183" i="2"/>
  <c r="BD183" i="2"/>
  <c r="BE182" i="2"/>
  <c r="BD182" i="2"/>
  <c r="BE181" i="2"/>
  <c r="BD181" i="2"/>
  <c r="BE180" i="2"/>
  <c r="BD180" i="2"/>
  <c r="BE179" i="2"/>
  <c r="BD179" i="2"/>
  <c r="BE178" i="2"/>
  <c r="BD178" i="2"/>
  <c r="BE177" i="2"/>
  <c r="BD177" i="2"/>
  <c r="BE176" i="2"/>
  <c r="BD176" i="2"/>
  <c r="BE175" i="2"/>
  <c r="BD175" i="2"/>
  <c r="BE174" i="2"/>
  <c r="BD174" i="2"/>
  <c r="BE173" i="2"/>
  <c r="BD173" i="2"/>
  <c r="BE172" i="2"/>
  <c r="BD172" i="2"/>
  <c r="BE171" i="2"/>
  <c r="BD171" i="2"/>
  <c r="BE170" i="2"/>
  <c r="BD170" i="2"/>
  <c r="BE169" i="2"/>
  <c r="BD169" i="2"/>
  <c r="BE168" i="2"/>
  <c r="BD168" i="2"/>
  <c r="BE167" i="2"/>
  <c r="BD167" i="2"/>
  <c r="BE166" i="2"/>
  <c r="BD166" i="2"/>
  <c r="BE165" i="2"/>
  <c r="BD165" i="2"/>
  <c r="BE164" i="2"/>
  <c r="BD164" i="2"/>
  <c r="BE163" i="2"/>
  <c r="BD163" i="2"/>
  <c r="BE162" i="2"/>
  <c r="BD162" i="2"/>
  <c r="BE161" i="2"/>
  <c r="BD161" i="2"/>
  <c r="BE160" i="2"/>
  <c r="BD160" i="2"/>
  <c r="BE159" i="2"/>
  <c r="BD159" i="2"/>
  <c r="BE158" i="2"/>
  <c r="BD158" i="2"/>
  <c r="BE157" i="2"/>
  <c r="BD157" i="2"/>
  <c r="BE156" i="2"/>
  <c r="BD156" i="2"/>
  <c r="BE155" i="2"/>
  <c r="BD155" i="2"/>
  <c r="BE154" i="2"/>
  <c r="BD154" i="2"/>
  <c r="BE153" i="2"/>
  <c r="BD153" i="2"/>
  <c r="BE152" i="2"/>
  <c r="BD152" i="2"/>
  <c r="BE151" i="2"/>
  <c r="BD151" i="2"/>
  <c r="BE150" i="2"/>
  <c r="BD150" i="2"/>
  <c r="BE149" i="2"/>
  <c r="BD149" i="2"/>
  <c r="BE148" i="2"/>
  <c r="BD148" i="2"/>
  <c r="BE147" i="2"/>
  <c r="BD147" i="2"/>
  <c r="BE146" i="2"/>
  <c r="BD146" i="2"/>
  <c r="BE145" i="2"/>
  <c r="BD145" i="2"/>
  <c r="BE144" i="2"/>
  <c r="BD144" i="2"/>
  <c r="BE143" i="2"/>
  <c r="BD143" i="2"/>
  <c r="BE142" i="2"/>
  <c r="BD142" i="2"/>
  <c r="BF142" i="2" s="1"/>
  <c r="BE141" i="2"/>
  <c r="BD141" i="2"/>
  <c r="BE140" i="2"/>
  <c r="BD140" i="2"/>
  <c r="BE139" i="2"/>
  <c r="BD139" i="2"/>
  <c r="BE138" i="2"/>
  <c r="BD138" i="2"/>
  <c r="BE137" i="2"/>
  <c r="BD137" i="2"/>
  <c r="BE136" i="2"/>
  <c r="BD136" i="2"/>
  <c r="BE135" i="2"/>
  <c r="BD135" i="2"/>
  <c r="BE134" i="2"/>
  <c r="BD134" i="2"/>
  <c r="BE133" i="2"/>
  <c r="BD133" i="2"/>
  <c r="BE132" i="2"/>
  <c r="BD132" i="2"/>
  <c r="BE131" i="2"/>
  <c r="BD131" i="2"/>
  <c r="BE130" i="2"/>
  <c r="BD130" i="2"/>
  <c r="BE129" i="2"/>
  <c r="BD129" i="2"/>
  <c r="BE128" i="2"/>
  <c r="BD128" i="2"/>
  <c r="BE127" i="2"/>
  <c r="BD127" i="2"/>
  <c r="BE126" i="2"/>
  <c r="BD126" i="2"/>
  <c r="BF126" i="2" s="1"/>
  <c r="BE125" i="2"/>
  <c r="BD125" i="2"/>
  <c r="BE124" i="2"/>
  <c r="BD124" i="2"/>
  <c r="BE123" i="2"/>
  <c r="BD123" i="2"/>
  <c r="BE122" i="2"/>
  <c r="BD122" i="2"/>
  <c r="BE121" i="2"/>
  <c r="BD121" i="2"/>
  <c r="BE120" i="2"/>
  <c r="BD120" i="2"/>
  <c r="BE119" i="2"/>
  <c r="BD119" i="2"/>
  <c r="BE118" i="2"/>
  <c r="BD118" i="2"/>
  <c r="BE117" i="2"/>
  <c r="BD117" i="2"/>
  <c r="BE116" i="2"/>
  <c r="BD116" i="2"/>
  <c r="BE115" i="2"/>
  <c r="BD115" i="2"/>
  <c r="BE114" i="2"/>
  <c r="BD114" i="2"/>
  <c r="BF114" i="2" s="1"/>
  <c r="BE113" i="2"/>
  <c r="BD113" i="2"/>
  <c r="BE112" i="2"/>
  <c r="BD112" i="2"/>
  <c r="BE111" i="2"/>
  <c r="BD111" i="2"/>
  <c r="BF111" i="2" s="1"/>
  <c r="BE110" i="2"/>
  <c r="BD110" i="2"/>
  <c r="BE109" i="2"/>
  <c r="BD109" i="2"/>
  <c r="BE108" i="2"/>
  <c r="BD108" i="2"/>
  <c r="BE107" i="2"/>
  <c r="BD107" i="2"/>
  <c r="BE106" i="2"/>
  <c r="BD106" i="2"/>
  <c r="BE105" i="2"/>
  <c r="BD105" i="2"/>
  <c r="BE104" i="2"/>
  <c r="BD104" i="2"/>
  <c r="BE103" i="2"/>
  <c r="BD103" i="2"/>
  <c r="BE102" i="2"/>
  <c r="BD102" i="2"/>
  <c r="BE101" i="2"/>
  <c r="BD101" i="2"/>
  <c r="BE100" i="2"/>
  <c r="BD100" i="2"/>
  <c r="BE99" i="2"/>
  <c r="BD99" i="2"/>
  <c r="BE98" i="2"/>
  <c r="BD98" i="2"/>
  <c r="BE97" i="2"/>
  <c r="BD97" i="2"/>
  <c r="BE96" i="2"/>
  <c r="BD96" i="2"/>
  <c r="BE95" i="2"/>
  <c r="BD95" i="2"/>
  <c r="BE94" i="2"/>
  <c r="BD94" i="2"/>
  <c r="BE93" i="2"/>
  <c r="BD93" i="2"/>
  <c r="BE92" i="2"/>
  <c r="BD92" i="2"/>
  <c r="BE91" i="2"/>
  <c r="BD91" i="2"/>
  <c r="BE90" i="2"/>
  <c r="BD90" i="2"/>
  <c r="BE89" i="2"/>
  <c r="BD89" i="2"/>
  <c r="BE88" i="2"/>
  <c r="BD88" i="2"/>
  <c r="BE87" i="2"/>
  <c r="BD87" i="2"/>
  <c r="BE86" i="2"/>
  <c r="BD86" i="2"/>
  <c r="BE85" i="2"/>
  <c r="BD85" i="2"/>
  <c r="BE84" i="2"/>
  <c r="BD84" i="2"/>
  <c r="BE83" i="2"/>
  <c r="BD83" i="2"/>
  <c r="BE82" i="2"/>
  <c r="BD82" i="2"/>
  <c r="BF82" i="2" s="1"/>
  <c r="BE81" i="2"/>
  <c r="BD81" i="2"/>
  <c r="BE80" i="2"/>
  <c r="BD80" i="2"/>
  <c r="BE79" i="2"/>
  <c r="BD79" i="2"/>
  <c r="BE78" i="2"/>
  <c r="BD78" i="2"/>
  <c r="BF78" i="2" s="1"/>
  <c r="BE77" i="2"/>
  <c r="BD77" i="2"/>
  <c r="BE76" i="2"/>
  <c r="BD76" i="2"/>
  <c r="BE75" i="2"/>
  <c r="BD75" i="2"/>
  <c r="BE74" i="2"/>
  <c r="BD74" i="2"/>
  <c r="BE73" i="2"/>
  <c r="BD73" i="2"/>
  <c r="BE72" i="2"/>
  <c r="BD72" i="2"/>
  <c r="BE71" i="2"/>
  <c r="BD71" i="2"/>
  <c r="BE70" i="2"/>
  <c r="BD70" i="2"/>
  <c r="BE69" i="2"/>
  <c r="BD69" i="2"/>
  <c r="BE68" i="2"/>
  <c r="BD68" i="2"/>
  <c r="BE67" i="2"/>
  <c r="BD67" i="2"/>
  <c r="BE66" i="2"/>
  <c r="BD66" i="2"/>
  <c r="BF66" i="2" s="1"/>
  <c r="BE65" i="2"/>
  <c r="BD65" i="2"/>
  <c r="BE64" i="2"/>
  <c r="BD64" i="2"/>
  <c r="BE63" i="2"/>
  <c r="BD63" i="2"/>
  <c r="BE62" i="2"/>
  <c r="BD62" i="2"/>
  <c r="BF62" i="2" s="1"/>
  <c r="BE61" i="2"/>
  <c r="BD61" i="2"/>
  <c r="BE60" i="2"/>
  <c r="BD60" i="2"/>
  <c r="BE59" i="2"/>
  <c r="BD59" i="2"/>
  <c r="BE58" i="2"/>
  <c r="BD58" i="2"/>
  <c r="BE57" i="2"/>
  <c r="BD57" i="2"/>
  <c r="BE56" i="2"/>
  <c r="BD56" i="2"/>
  <c r="BE55" i="2"/>
  <c r="BD55" i="2"/>
  <c r="BE54" i="2"/>
  <c r="BD54" i="2"/>
  <c r="BE53" i="2"/>
  <c r="BD53" i="2"/>
  <c r="BE52" i="2"/>
  <c r="BD52" i="2"/>
  <c r="BE51" i="2"/>
  <c r="BD51" i="2"/>
  <c r="BE50" i="2"/>
  <c r="BD50" i="2"/>
  <c r="BF50" i="2" s="1"/>
  <c r="BE49" i="2"/>
  <c r="BD49" i="2"/>
  <c r="BE48" i="2"/>
  <c r="BD48" i="2"/>
  <c r="BE47" i="2"/>
  <c r="BD47" i="2"/>
  <c r="BF47" i="2" s="1"/>
  <c r="BE46" i="2"/>
  <c r="BD46" i="2"/>
  <c r="BE45" i="2"/>
  <c r="BD45" i="2"/>
  <c r="BE44" i="2"/>
  <c r="BD44" i="2"/>
  <c r="BE43" i="2"/>
  <c r="BD43" i="2"/>
  <c r="BE42" i="2"/>
  <c r="BD42" i="2"/>
  <c r="BE41" i="2"/>
  <c r="BD41" i="2"/>
  <c r="BE40" i="2"/>
  <c r="BD40" i="2"/>
  <c r="BE39" i="2"/>
  <c r="BD39" i="2"/>
  <c r="BE38" i="2"/>
  <c r="BD38" i="2"/>
  <c r="BE37" i="2"/>
  <c r="BD37" i="2"/>
  <c r="BE36" i="2"/>
  <c r="BD36" i="2"/>
  <c r="BE35" i="2"/>
  <c r="BD35" i="2"/>
  <c r="BE34" i="2"/>
  <c r="BD34" i="2"/>
  <c r="BE33" i="2"/>
  <c r="BD33" i="2"/>
  <c r="BE32" i="2"/>
  <c r="BD32" i="2"/>
  <c r="BE31" i="2"/>
  <c r="BD31" i="2"/>
  <c r="BE30" i="2"/>
  <c r="BD30" i="2"/>
  <c r="BE29" i="2"/>
  <c r="BD29" i="2"/>
  <c r="BE28" i="2"/>
  <c r="BD28" i="2"/>
  <c r="BE27" i="2"/>
  <c r="BD27" i="2"/>
  <c r="BE26" i="2"/>
  <c r="BD26" i="2"/>
  <c r="BE25" i="2"/>
  <c r="BD25" i="2"/>
  <c r="BE24" i="2"/>
  <c r="BD24" i="2"/>
  <c r="BE23" i="2"/>
  <c r="BD23" i="2"/>
  <c r="BE22" i="2"/>
  <c r="BD22" i="2"/>
  <c r="BE21" i="2"/>
  <c r="BD21" i="2"/>
  <c r="BE20" i="2"/>
  <c r="BD20" i="2"/>
  <c r="BE19" i="2"/>
  <c r="BD19" i="2"/>
  <c r="BE18" i="2"/>
  <c r="BD18" i="2"/>
  <c r="BE17" i="2"/>
  <c r="BD17" i="2"/>
  <c r="BE16" i="2"/>
  <c r="BD16" i="2"/>
  <c r="BE15" i="2"/>
  <c r="BD15" i="2"/>
  <c r="BE14" i="2"/>
  <c r="BD14" i="2"/>
  <c r="BF14" i="2" s="1"/>
  <c r="BE13" i="2"/>
  <c r="BD13" i="2"/>
  <c r="BE12" i="2"/>
  <c r="BD12" i="2"/>
  <c r="BE11" i="2"/>
  <c r="BD11" i="2"/>
  <c r="BE10" i="2"/>
  <c r="BD10" i="2"/>
  <c r="BE9" i="2"/>
  <c r="BD9" i="2"/>
  <c r="BE8" i="2"/>
  <c r="BD8" i="2"/>
  <c r="BF8" i="2" s="1"/>
  <c r="BE7" i="2"/>
  <c r="BD7" i="2"/>
  <c r="BE6" i="2"/>
  <c r="BD6" i="2"/>
  <c r="BE5" i="2"/>
  <c r="BD5" i="2"/>
  <c r="BE4" i="2"/>
  <c r="BD4" i="2"/>
  <c r="BE3" i="2"/>
  <c r="BD3" i="2"/>
  <c r="BE2" i="2"/>
  <c r="BD2" i="2"/>
  <c r="BF19" i="2" l="1"/>
  <c r="BF35" i="2"/>
  <c r="BF83" i="2"/>
  <c r="BF99" i="2"/>
  <c r="BF211" i="2"/>
  <c r="BF227" i="2"/>
  <c r="BF275" i="2"/>
  <c r="BF291" i="2"/>
  <c r="C8" i="3"/>
  <c r="BF4" i="2"/>
  <c r="BF12" i="2"/>
  <c r="BF28" i="2"/>
  <c r="BF36" i="2"/>
  <c r="BF44" i="2"/>
  <c r="BF52" i="2"/>
  <c r="BF60" i="2"/>
  <c r="BF108" i="2"/>
  <c r="BF132" i="2"/>
  <c r="BF140" i="2"/>
  <c r="BF156" i="2"/>
  <c r="BF164" i="2"/>
  <c r="BF172" i="2"/>
  <c r="BF180" i="2"/>
  <c r="BF188" i="2"/>
  <c r="BF196" i="2"/>
  <c r="BF204" i="2"/>
  <c r="BF220" i="2"/>
  <c r="BF228" i="2"/>
  <c r="BF244" i="2"/>
  <c r="BF252" i="2"/>
  <c r="BF260" i="2"/>
  <c r="BF268" i="2"/>
  <c r="BF284" i="2"/>
  <c r="C11" i="3"/>
  <c r="BF22" i="2"/>
  <c r="BF70" i="2"/>
  <c r="BF150" i="2"/>
  <c r="BF5" i="2"/>
  <c r="BF21" i="2"/>
  <c r="BF29" i="2"/>
  <c r="BF101" i="2"/>
  <c r="BF109" i="2"/>
  <c r="BF125" i="2"/>
  <c r="BF133" i="2"/>
  <c r="BF149" i="2"/>
  <c r="BF157" i="2"/>
  <c r="BF165" i="2"/>
  <c r="BF173" i="2"/>
  <c r="BF189" i="2"/>
  <c r="BF197" i="2"/>
  <c r="BF213" i="2"/>
  <c r="BF221" i="2"/>
  <c r="BF229" i="2"/>
  <c r="BF237" i="2"/>
  <c r="BF253" i="2"/>
  <c r="BF261" i="2"/>
  <c r="BF277" i="2"/>
  <c r="BF285" i="2"/>
  <c r="BF6" i="2"/>
  <c r="BF86" i="2"/>
  <c r="BF118" i="2"/>
  <c r="BF134" i="2"/>
  <c r="BF182" i="2"/>
  <c r="BF198" i="2"/>
  <c r="BF214" i="2"/>
  <c r="BF143" i="2"/>
  <c r="BF159" i="2"/>
  <c r="BF175" i="2"/>
  <c r="BF207" i="2"/>
  <c r="BF223" i="2"/>
  <c r="C10" i="3"/>
  <c r="BF16" i="2"/>
  <c r="BF32" i="2"/>
  <c r="BF40" i="2"/>
  <c r="BF48" i="2"/>
  <c r="BF56" i="2"/>
  <c r="BF279" i="2"/>
  <c r="BF240" i="2"/>
  <c r="BF255" i="2"/>
  <c r="BF89" i="2"/>
  <c r="BF97" i="2"/>
  <c r="BF105" i="2"/>
  <c r="BF113" i="2"/>
  <c r="BF121" i="2"/>
  <c r="BF153" i="2"/>
  <c r="BF161" i="2"/>
  <c r="BF169" i="2"/>
  <c r="BF177" i="2"/>
  <c r="BF185" i="2"/>
  <c r="BF241" i="2"/>
  <c r="BF249" i="2"/>
  <c r="BF281" i="2"/>
  <c r="BF289" i="2"/>
  <c r="BF23" i="2"/>
  <c r="BF79" i="2"/>
  <c r="BF95" i="2"/>
  <c r="BF246" i="2"/>
  <c r="BF124" i="2"/>
  <c r="BF236" i="2"/>
  <c r="BF181" i="2"/>
  <c r="BF64" i="2"/>
  <c r="BF72" i="2"/>
  <c r="BF80" i="2"/>
  <c r="BF96" i="2"/>
  <c r="BF10" i="2"/>
  <c r="BF138" i="2"/>
  <c r="BF251" i="2"/>
  <c r="BF9" i="2"/>
  <c r="BF25" i="2"/>
  <c r="BF33" i="2"/>
  <c r="BF41" i="2"/>
  <c r="BF112" i="2"/>
  <c r="BF120" i="2"/>
  <c r="BF128" i="2"/>
  <c r="BF136" i="2"/>
  <c r="BF144" i="2"/>
  <c r="BF160" i="2"/>
  <c r="BF168" i="2"/>
  <c r="BF176" i="2"/>
  <c r="BF184" i="2"/>
  <c r="BF232" i="2"/>
  <c r="BF53" i="2"/>
  <c r="BF61" i="2"/>
  <c r="BF69" i="2"/>
  <c r="BF85" i="2"/>
  <c r="BF93" i="2"/>
  <c r="BF123" i="2"/>
  <c r="BF147" i="2"/>
  <c r="BF163" i="2"/>
  <c r="BF217" i="2"/>
  <c r="BF225" i="2"/>
  <c r="BF271" i="2"/>
  <c r="BF287" i="2"/>
  <c r="BF15" i="2"/>
  <c r="BF31" i="2"/>
  <c r="BF54" i="2"/>
  <c r="BF116" i="2"/>
  <c r="BF178" i="2"/>
  <c r="BF233" i="2"/>
  <c r="BF248" i="2"/>
  <c r="BF63" i="2"/>
  <c r="BF2" i="2"/>
  <c r="BF18" i="2"/>
  <c r="BF49" i="2"/>
  <c r="BF57" i="2"/>
  <c r="BF104" i="2"/>
  <c r="BF266" i="2"/>
  <c r="BF187" i="2"/>
  <c r="BF202" i="2"/>
  <c r="BF87" i="2"/>
  <c r="BF151" i="2"/>
  <c r="BF59" i="2"/>
  <c r="BF245" i="2"/>
  <c r="BF191" i="2"/>
  <c r="BF215" i="2"/>
  <c r="BF117" i="2"/>
  <c r="BF127" i="2"/>
  <c r="BF74" i="2"/>
  <c r="BF37" i="2"/>
  <c r="BF45" i="2"/>
  <c r="BF68" i="2"/>
  <c r="BF76" i="2"/>
  <c r="BF92" i="2"/>
  <c r="BF100" i="2"/>
  <c r="BF130" i="2"/>
  <c r="BF146" i="2"/>
  <c r="BF192" i="2"/>
  <c r="BF200" i="2"/>
  <c r="BF208" i="2"/>
  <c r="BF224" i="2"/>
  <c r="BF239" i="2"/>
  <c r="BF254" i="2"/>
  <c r="BF262" i="2"/>
  <c r="BF270" i="2"/>
  <c r="BF278" i="2"/>
  <c r="BF170" i="2"/>
  <c r="BF24" i="2"/>
  <c r="BF38" i="2"/>
  <c r="BF88" i="2"/>
  <c r="BF102" i="2"/>
  <c r="BF152" i="2"/>
  <c r="BF166" i="2"/>
  <c r="BF216" i="2"/>
  <c r="BF230" i="2"/>
  <c r="BF280" i="2"/>
  <c r="BF235" i="2"/>
  <c r="BF3" i="2"/>
  <c r="BF17" i="2"/>
  <c r="BF46" i="2"/>
  <c r="BF67" i="2"/>
  <c r="BF81" i="2"/>
  <c r="BF110" i="2"/>
  <c r="BF131" i="2"/>
  <c r="BF145" i="2"/>
  <c r="BF174" i="2"/>
  <c r="BF195" i="2"/>
  <c r="BF209" i="2"/>
  <c r="BF238" i="2"/>
  <c r="BF259" i="2"/>
  <c r="BF273" i="2"/>
  <c r="BF39" i="2"/>
  <c r="BF75" i="2"/>
  <c r="BF103" i="2"/>
  <c r="BF139" i="2"/>
  <c r="BF167" i="2"/>
  <c r="BF203" i="2"/>
  <c r="BF231" i="2"/>
  <c r="BF26" i="2"/>
  <c r="BF90" i="2"/>
  <c r="BF154" i="2"/>
  <c r="BF218" i="2"/>
  <c r="BF282" i="2"/>
  <c r="BF13" i="2"/>
  <c r="BF20" i="2"/>
  <c r="BF27" i="2"/>
  <c r="BF34" i="2"/>
  <c r="BF55" i="2"/>
  <c r="BF77" i="2"/>
  <c r="BF84" i="2"/>
  <c r="BF91" i="2"/>
  <c r="BF98" i="2"/>
  <c r="BF119" i="2"/>
  <c r="BF141" i="2"/>
  <c r="BF148" i="2"/>
  <c r="BF155" i="2"/>
  <c r="BF162" i="2"/>
  <c r="BF183" i="2"/>
  <c r="BF205" i="2"/>
  <c r="BF212" i="2"/>
  <c r="BF219" i="2"/>
  <c r="BF226" i="2"/>
  <c r="BF247" i="2"/>
  <c r="BF269" i="2"/>
  <c r="BF276" i="2"/>
  <c r="BF283" i="2"/>
  <c r="BF290" i="2"/>
  <c r="BF11" i="2"/>
  <c r="BF42" i="2"/>
  <c r="BF7" i="2"/>
  <c r="BF43" i="2"/>
  <c r="BF71" i="2"/>
  <c r="BF107" i="2"/>
  <c r="BF135" i="2"/>
  <c r="BF171" i="2"/>
  <c r="BF199" i="2"/>
  <c r="BF263" i="2"/>
  <c r="BF292" i="2"/>
  <c r="BF30" i="2"/>
  <c r="BF51" i="2"/>
  <c r="BF58" i="2"/>
  <c r="BF65" i="2"/>
  <c r="BF94" i="2"/>
  <c r="BF115" i="2"/>
  <c r="BF122" i="2"/>
  <c r="BF129" i="2"/>
  <c r="BF158" i="2"/>
  <c r="BF179" i="2"/>
  <c r="BF186" i="2"/>
  <c r="BF193" i="2"/>
  <c r="BF222" i="2"/>
  <c r="BF243" i="2"/>
  <c r="BF250" i="2"/>
  <c r="BF257" i="2"/>
  <c r="BF286" i="2"/>
  <c r="BF267" i="2"/>
  <c r="BF106" i="2"/>
  <c r="BF234" i="2"/>
  <c r="BF73" i="2"/>
  <c r="BF137" i="2"/>
  <c r="BF201" i="2"/>
  <c r="BF265" i="2"/>
  <c r="C1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1D32AC-E6AD-4444-9CB6-24AEBC4D1AA9}" keepAlive="1" name="Query - MarketPlace Order Report (2)" description="Connection to the 'MarketPlace Order Report (2)' query in the workbook." type="5" refreshedVersion="8" background="1" saveData="1">
    <dbPr connection="Provider=Microsoft.Mashup.OleDb.1;Data Source=$Workbook$;Location=&quot;MarketPlace Order Report (2)&quot;;Extended Properties=&quot;&quot;" command="SELECT * FROM [MarketPlace Order Report (2)]"/>
  </connection>
</connections>
</file>

<file path=xl/sharedStrings.xml><?xml version="1.0" encoding="utf-8"?>
<sst xmlns="http://schemas.openxmlformats.org/spreadsheetml/2006/main" count="9658" uniqueCount="1824">
  <si>
    <t>MagentoOrderNo</t>
  </si>
  <si>
    <t>orderno</t>
  </si>
  <si>
    <t>SKUCode</t>
  </si>
  <si>
    <t>Design no.</t>
  </si>
  <si>
    <t>EXTLINENO</t>
  </si>
  <si>
    <t>Status</t>
  </si>
  <si>
    <t>OrderQty</t>
  </si>
  <si>
    <t>ShippedQty</t>
  </si>
  <si>
    <t>Mrp</t>
  </si>
  <si>
    <t>UnitPrice</t>
  </si>
  <si>
    <t>DiscountAmount</t>
  </si>
  <si>
    <t>LineItemTotal</t>
  </si>
  <si>
    <t>ShippingCharge</t>
  </si>
  <si>
    <t>Mode</t>
  </si>
  <si>
    <t>OrderDate</t>
  </si>
  <si>
    <t>ShippedDate</t>
  </si>
  <si>
    <t>DeliveredDate</t>
  </si>
  <si>
    <t>AWBNo</t>
  </si>
  <si>
    <t>TransName</t>
  </si>
  <si>
    <t>Invoicedate</t>
  </si>
  <si>
    <t>ReasonForCancellation</t>
  </si>
  <si>
    <t>Brand</t>
  </si>
  <si>
    <t>CancelRemark</t>
  </si>
  <si>
    <t>CommentHistory</t>
  </si>
  <si>
    <t>Return Code</t>
  </si>
  <si>
    <t>Return Type</t>
  </si>
  <si>
    <t>Return Status</t>
  </si>
  <si>
    <t>Return Create Reason</t>
  </si>
  <si>
    <t>OrderSource</t>
  </si>
  <si>
    <t>upddate</t>
  </si>
  <si>
    <t>Is Replacement</t>
  </si>
  <si>
    <t>Original OrderNo</t>
  </si>
  <si>
    <t xml:space="preserve">city
</t>
  </si>
  <si>
    <t>State</t>
  </si>
  <si>
    <t>Pincode</t>
  </si>
  <si>
    <t>Country</t>
  </si>
  <si>
    <t>Currency</t>
  </si>
  <si>
    <t>HSNCode</t>
  </si>
  <si>
    <t>CancelledDate</t>
  </si>
  <si>
    <t>SellingPrice</t>
  </si>
  <si>
    <t>InvoiceNo</t>
  </si>
  <si>
    <t>Discount code</t>
  </si>
  <si>
    <t>Order Tag</t>
  </si>
  <si>
    <t>OnHold</t>
  </si>
  <si>
    <t>TaxPercent</t>
  </si>
  <si>
    <t>CGSTTaxPercent</t>
  </si>
  <si>
    <t>SGSTTaxPercent</t>
  </si>
  <si>
    <t>IGSTTaxPercent</t>
  </si>
  <si>
    <t>TaxAmount</t>
  </si>
  <si>
    <t>CGSTAmount</t>
  </si>
  <si>
    <t>SGSTAmount</t>
  </si>
  <si>
    <t>IGSTAmount</t>
  </si>
  <si>
    <t>Unhold Date</t>
  </si>
  <si>
    <t>Weight</t>
  </si>
  <si>
    <t>ShipByDate</t>
  </si>
  <si>
    <t>Gross Amount (Before Tax)</t>
  </si>
  <si>
    <t>Total GST Amount</t>
  </si>
  <si>
    <t>Net Sale (After Tax)</t>
  </si>
  <si>
    <t>NYK-32366739-2647158-1-1</t>
  </si>
  <si>
    <t>NYKF35791502</t>
  </si>
  <si>
    <t>CUTAB00000465</t>
  </si>
  <si>
    <t>1180-Blue-18</t>
  </si>
  <si>
    <t>Returned</t>
  </si>
  <si>
    <t>Prepaid</t>
  </si>
  <si>
    <t>28449520862321</t>
  </si>
  <si>
    <t>DelhiverySurface</t>
  </si>
  <si>
    <t/>
  </si>
  <si>
    <t>Tiny Kingdom</t>
  </si>
  <si>
    <t>TINYK12106506</t>
  </si>
  <si>
    <t>Raise Return</t>
  </si>
  <si>
    <t>Reverse PickUP Done</t>
  </si>
  <si>
    <t>No</t>
  </si>
  <si>
    <t>Udaipur</t>
  </si>
  <si>
    <t>Rajasthan</t>
  </si>
  <si>
    <t>India</t>
  </si>
  <si>
    <t>Indian Rupee</t>
  </si>
  <si>
    <t>TINYK2627100336</t>
  </si>
  <si>
    <t>NFDIWALI20</t>
  </si>
  <si>
    <t>NYK-32364434-8518550-1-1</t>
  </si>
  <si>
    <t>NYKF35788913</t>
  </si>
  <si>
    <t>CUTAB00000466</t>
  </si>
  <si>
    <t>1180-Blue-20</t>
  </si>
  <si>
    <t>28449520858563</t>
  </si>
  <si>
    <t>TINYK2627100333</t>
  </si>
  <si>
    <t>NYK-32090378-4276500-1-1</t>
  </si>
  <si>
    <t>NYKF35480453</t>
  </si>
  <si>
    <t>CUTAB00000407</t>
  </si>
  <si>
    <t>1209-Orange-22</t>
  </si>
  <si>
    <t>SF2167300523NYK</t>
  </si>
  <si>
    <t>Shadowfax</t>
  </si>
  <si>
    <t>Bangalore</t>
  </si>
  <si>
    <t>Karnataka</t>
  </si>
  <si>
    <t>TINYK2627100240</t>
  </si>
  <si>
    <t>NFBACK20</t>
  </si>
  <si>
    <t>NYK-32816018-2428554-1-1</t>
  </si>
  <si>
    <t>NYKF36266397</t>
  </si>
  <si>
    <t>CUTAB00000419</t>
  </si>
  <si>
    <t>1212-Multi-24</t>
  </si>
  <si>
    <t>Ready for Ship</t>
  </si>
  <si>
    <t>COD</t>
  </si>
  <si>
    <t>28449526126634</t>
  </si>
  <si>
    <t>Chomu</t>
  </si>
  <si>
    <t>TINYK2627100441</t>
  </si>
  <si>
    <t>NYK-32802929-1898698-1-1</t>
  </si>
  <si>
    <t>NYKF36252249</t>
  </si>
  <si>
    <t>CUTAB00000423</t>
  </si>
  <si>
    <t>1212-Multi-32</t>
  </si>
  <si>
    <t>Shipped</t>
  </si>
  <si>
    <t>SF2167391473NYK</t>
  </si>
  <si>
    <t>TINYK2627100438</t>
  </si>
  <si>
    <t>NFNEXT10</t>
  </si>
  <si>
    <t>NYK-32471793-1031123-3-1</t>
  </si>
  <si>
    <t>NYKF35907116</t>
  </si>
  <si>
    <t>28449521339146</t>
  </si>
  <si>
    <t>New Delhi</t>
  </si>
  <si>
    <t>Delhi</t>
  </si>
  <si>
    <t>TINYK2627100375</t>
  </si>
  <si>
    <t>NYK-32602175-8183755-1-1</t>
  </si>
  <si>
    <t>NYKF36040593</t>
  </si>
  <si>
    <t>CUTAB00000509</t>
  </si>
  <si>
    <t>1221-Rani-26</t>
  </si>
  <si>
    <t>SF2167346979NYK</t>
  </si>
  <si>
    <t>Greater Thane</t>
  </si>
  <si>
    <t>Maharashtra</t>
  </si>
  <si>
    <t>TINYK2627100392</t>
  </si>
  <si>
    <t>NFDR15</t>
  </si>
  <si>
    <t>NYK-32403335-4829423-1-1</t>
  </si>
  <si>
    <t>NYKF35832606</t>
  </si>
  <si>
    <t>28449522526081</t>
  </si>
  <si>
    <t>TINYK12146909</t>
  </si>
  <si>
    <t>Confirmed</t>
  </si>
  <si>
    <t>TINYK2627100362</t>
  </si>
  <si>
    <t>NFSDS15</t>
  </si>
  <si>
    <t>NYK-32657318-1140390-2-1</t>
  </si>
  <si>
    <t>NYKF36098147</t>
  </si>
  <si>
    <t>CUTAB00000511</t>
  </si>
  <si>
    <t>1221-Rani-30</t>
  </si>
  <si>
    <t>28449527104976</t>
  </si>
  <si>
    <t>Allahabad</t>
  </si>
  <si>
    <t>Uttar Pradesh</t>
  </si>
  <si>
    <t>TINYK2627100400</t>
  </si>
  <si>
    <t>NYK-32610977-3136875-1-1</t>
  </si>
  <si>
    <t>NYKF36050064</t>
  </si>
  <si>
    <t>CUTAB00000512</t>
  </si>
  <si>
    <t>1221-Rani-32</t>
  </si>
  <si>
    <t>Cancelled</t>
  </si>
  <si>
    <t>BLUEDART</t>
  </si>
  <si>
    <t>Delivery date is too late</t>
  </si>
  <si>
    <t>Hyderabad</t>
  </si>
  <si>
    <t>Telangana</t>
  </si>
  <si>
    <t>NYK-32760144-5308628-1-1</t>
  </si>
  <si>
    <t>NYKF36207492</t>
  </si>
  <si>
    <t>CUTAB00000513</t>
  </si>
  <si>
    <t>1221-Rani-34</t>
  </si>
  <si>
    <t>NKFP0000002107</t>
  </si>
  <si>
    <t>Ekart Surface</t>
  </si>
  <si>
    <t>Vasai</t>
  </si>
  <si>
    <t>TINYK2627100425</t>
  </si>
  <si>
    <t>NFNEW15</t>
  </si>
  <si>
    <t>NYK-32494958-9918109-1-1</t>
  </si>
  <si>
    <t>NYKF35931524</t>
  </si>
  <si>
    <t>Nykaa Fashion surface</t>
  </si>
  <si>
    <t>Chandrapur</t>
  </si>
  <si>
    <t>NYK-32151266-0552868-1-1</t>
  </si>
  <si>
    <t>NYKF35549473</t>
  </si>
  <si>
    <t>CUTAB00000514</t>
  </si>
  <si>
    <t>1221-Rani-36</t>
  </si>
  <si>
    <t>28449520196643</t>
  </si>
  <si>
    <t>Bihta</t>
  </si>
  <si>
    <t>Bihar</t>
  </si>
  <si>
    <t>TINYK2627100272</t>
  </si>
  <si>
    <t>NYK-32146272-9178363-4-1</t>
  </si>
  <si>
    <t>NYKF35544010</t>
  </si>
  <si>
    <t>237943173096010</t>
  </si>
  <si>
    <t>TINYK11990210</t>
  </si>
  <si>
    <t>Reverse PickUP Delivered</t>
  </si>
  <si>
    <t>Bilaspur</t>
  </si>
  <si>
    <t>Chhattisgarh</t>
  </si>
  <si>
    <t>TINYK2627100266</t>
  </si>
  <si>
    <t>NTBBI10</t>
  </si>
  <si>
    <t>NYK-32261033-2939840-2-1</t>
  </si>
  <si>
    <t>NYKF35671410</t>
  </si>
  <si>
    <t>CUTAB00000710</t>
  </si>
  <si>
    <t>1230-Yellow-20</t>
  </si>
  <si>
    <t>28449520509252</t>
  </si>
  <si>
    <t>Noida</t>
  </si>
  <si>
    <t>TINYK2627100299</t>
  </si>
  <si>
    <t>NF1010</t>
  </si>
  <si>
    <t>NYK-32395425-8594656-1-1</t>
  </si>
  <si>
    <t>NYKF35824052</t>
  </si>
  <si>
    <t>CUTAB00000713</t>
  </si>
  <si>
    <t>1230-Yellow-26</t>
  </si>
  <si>
    <t>237943173358554</t>
  </si>
  <si>
    <t>Vadodara</t>
  </si>
  <si>
    <t>Gujarat</t>
  </si>
  <si>
    <t>TINYK2627100361</t>
  </si>
  <si>
    <t>NYK-32503677-2066628-2-1</t>
  </si>
  <si>
    <t>NYKF35940896</t>
  </si>
  <si>
    <t>CUTAB00000715</t>
  </si>
  <si>
    <t>1230-Yellow-30</t>
  </si>
  <si>
    <t>NKFP0000000559</t>
  </si>
  <si>
    <t>Navi Mumbai</t>
  </si>
  <si>
    <t>TINYK2627100381</t>
  </si>
  <si>
    <t>NYK-32326589-0202527-4-1</t>
  </si>
  <si>
    <t>NYKF35745378</t>
  </si>
  <si>
    <t>59497050546</t>
  </si>
  <si>
    <t>TINYK2627100324</t>
  </si>
  <si>
    <t>NYK-32315581-3461533-4-1</t>
  </si>
  <si>
    <t>NYKF35733185</t>
  </si>
  <si>
    <t>Change size</t>
  </si>
  <si>
    <t>NYK-32162149-2794653-2-1</t>
  </si>
  <si>
    <t>NYKF35561135</t>
  </si>
  <si>
    <t>CUTAB00000716</t>
  </si>
  <si>
    <t>1230-Yellow-32</t>
  </si>
  <si>
    <t>237943173101735</t>
  </si>
  <si>
    <t>Thane</t>
  </si>
  <si>
    <t>TINYK2627100270</t>
  </si>
  <si>
    <t>NYK-31973998-0698299-1-1</t>
  </si>
  <si>
    <t>NYKF35352112</t>
  </si>
  <si>
    <t>CUTAB00000690</t>
  </si>
  <si>
    <t>1231-Tomato-34</t>
  </si>
  <si>
    <t>28449519371936</t>
  </si>
  <si>
    <t>Jaipur</t>
  </si>
  <si>
    <t>TINYK2627100206</t>
  </si>
  <si>
    <t>NYK-32436420-2359330-2-1</t>
  </si>
  <si>
    <t>NYKF35869195</t>
  </si>
  <si>
    <t>CUTAB00000717</t>
  </si>
  <si>
    <t>1233-Grey-18</t>
  </si>
  <si>
    <t>RTO Delivered</t>
  </si>
  <si>
    <t>28449525004372</t>
  </si>
  <si>
    <t>TINYK12111404</t>
  </si>
  <si>
    <t>RTO</t>
  </si>
  <si>
    <t>Gorakhpur</t>
  </si>
  <si>
    <t>TINYK2627100371</t>
  </si>
  <si>
    <t>NYK-32364699-8980413-1-1</t>
  </si>
  <si>
    <t>NYKF35789199</t>
  </si>
  <si>
    <t>28449520863216</t>
  </si>
  <si>
    <t>TINYK2627100330</t>
  </si>
  <si>
    <t>NYK-32342201-2761782-4-1</t>
  </si>
  <si>
    <t>NYKF35763602</t>
  </si>
  <si>
    <t>237943173311256</t>
  </si>
  <si>
    <t>Kolhapur</t>
  </si>
  <si>
    <t>TINYK2627100340</t>
  </si>
  <si>
    <t>NFJOY15</t>
  </si>
  <si>
    <t>NYK-31976662-8133615-4-1</t>
  </si>
  <si>
    <t>NYKF35355032</t>
  </si>
  <si>
    <t>CUTAB00000756</t>
  </si>
  <si>
    <t>1235-Blue-38</t>
  </si>
  <si>
    <t>88281854824</t>
  </si>
  <si>
    <t>TINYK11947090</t>
  </si>
  <si>
    <t>Coimbatore</t>
  </si>
  <si>
    <t>Tamil Nadu</t>
  </si>
  <si>
    <t>TINYK2627100208</t>
  </si>
  <si>
    <t>NYK-32017379-7625520-1-1</t>
  </si>
  <si>
    <t>NYKF35399370</t>
  </si>
  <si>
    <t>CUTAB00000086</t>
  </si>
  <si>
    <t>1241-Red-38</t>
  </si>
  <si>
    <t>Lost In Transit</t>
  </si>
  <si>
    <t>SF1835855777NYK</t>
  </si>
  <si>
    <t>Mumbai</t>
  </si>
  <si>
    <t>TINYK2627100223</t>
  </si>
  <si>
    <t>NYK-32066839-9427040-1-1</t>
  </si>
  <si>
    <t>NYKF35454335</t>
  </si>
  <si>
    <t>CUTAB00000001</t>
  </si>
  <si>
    <t>1245-Pink-20</t>
  </si>
  <si>
    <t>SF2167352648NYK</t>
  </si>
  <si>
    <t>TINYK11983303</t>
  </si>
  <si>
    <t>Akola</t>
  </si>
  <si>
    <t>TINYK2627100246</t>
  </si>
  <si>
    <t>NYK-32719508-7418532-1-1</t>
  </si>
  <si>
    <t>NYKF36163710</t>
  </si>
  <si>
    <t>CUTAB00000008</t>
  </si>
  <si>
    <t>1245-Pink-34</t>
  </si>
  <si>
    <t>NYK-32652039-9543776-1-1</t>
  </si>
  <si>
    <t>NYKF36092618</t>
  </si>
  <si>
    <t>CUTAB00000010</t>
  </si>
  <si>
    <t>1246-Green-20</t>
  </si>
  <si>
    <t>28449527097792</t>
  </si>
  <si>
    <t>Bathinda</t>
  </si>
  <si>
    <t>Punjab</t>
  </si>
  <si>
    <t>TINYK2627100409</t>
  </si>
  <si>
    <t>NYK-32033651-8685411-1-1</t>
  </si>
  <si>
    <t>NYKF35417399</t>
  </si>
  <si>
    <t>CUTAB00000068</t>
  </si>
  <si>
    <t>1250-Blue-34</t>
  </si>
  <si>
    <t>237943174848600</t>
  </si>
  <si>
    <t>Baroda</t>
  </si>
  <si>
    <t>TINYK2627100210</t>
  </si>
  <si>
    <t>NFDR10</t>
  </si>
  <si>
    <t>NYK-32007874-0266599-1-1</t>
  </si>
  <si>
    <t>NYKF35388698</t>
  </si>
  <si>
    <t>CUTAB00000134</t>
  </si>
  <si>
    <t>1253-P.Blue-38</t>
  </si>
  <si>
    <t>SF1835855588NYK</t>
  </si>
  <si>
    <t>TINYK2627100216</t>
  </si>
  <si>
    <t>NYK-32802928-1894823-1-1</t>
  </si>
  <si>
    <t>NYKF36252248</t>
  </si>
  <si>
    <t>CUTAB00000773</t>
  </si>
  <si>
    <t>1258-Multi-24</t>
  </si>
  <si>
    <t>SF2167391487NYK</t>
  </si>
  <si>
    <t>Pune</t>
  </si>
  <si>
    <t>TINYK2627100436</t>
  </si>
  <si>
    <t>NYK-32767553-5282462-1-1</t>
  </si>
  <si>
    <t>NYKF36215461</t>
  </si>
  <si>
    <t>CUTAB00000776</t>
  </si>
  <si>
    <t>1258-Multi-30</t>
  </si>
  <si>
    <t>28449527462120</t>
  </si>
  <si>
    <t>TINYK2627100430</t>
  </si>
  <si>
    <t>NYK-32314688-1542630-1-1</t>
  </si>
  <si>
    <t>NYKF35732207</t>
  </si>
  <si>
    <t>237943173263520</t>
  </si>
  <si>
    <t>Ambikapur</t>
  </si>
  <si>
    <t>TINYK2627100314</t>
  </si>
  <si>
    <t>NYK-32153170-4319140-1-1</t>
  </si>
  <si>
    <t>NYKF35551320</t>
  </si>
  <si>
    <t>CUTAB00000777</t>
  </si>
  <si>
    <t>1258-Multi-32</t>
  </si>
  <si>
    <t>28449521953761</t>
  </si>
  <si>
    <t>TINYK12100500</t>
  </si>
  <si>
    <t>Shahjahanpur</t>
  </si>
  <si>
    <t>TINYK2627100280</t>
  </si>
  <si>
    <t>NYK-32093970-0835450-1-1</t>
  </si>
  <si>
    <t>NYKF35484548</t>
  </si>
  <si>
    <t>bulk cancellation by verification team</t>
  </si>
  <si>
    <t>Bulk Cancellation - Blacklisted COD</t>
  </si>
  <si>
    <t>Blacklisted Customer</t>
  </si>
  <si>
    <t>Yes</t>
  </si>
  <si>
    <t>NYK-32764035-6249327-2-1</t>
  </si>
  <si>
    <t>NYKF36211743</t>
  </si>
  <si>
    <t>CUTAB00000344</t>
  </si>
  <si>
    <t>1262-Green-26</t>
  </si>
  <si>
    <t>28449527459180</t>
  </si>
  <si>
    <t>TINYK2627100426</t>
  </si>
  <si>
    <t>NYK-32356595-2556873-1-1</t>
  </si>
  <si>
    <t>NYKF35780231</t>
  </si>
  <si>
    <t>CUTAB00000196</t>
  </si>
  <si>
    <t>1263-Lilac-38</t>
  </si>
  <si>
    <t>28449520863986</t>
  </si>
  <si>
    <t>TINYK12150999</t>
  </si>
  <si>
    <t>Hanumangarh</t>
  </si>
  <si>
    <t>TINYK2627100328</t>
  </si>
  <si>
    <t>NYK-32076897-8309454-1-1</t>
  </si>
  <si>
    <t>NYKF35465806</t>
  </si>
  <si>
    <t>CUTAB00000057</t>
  </si>
  <si>
    <t>1266-Rani-28</t>
  </si>
  <si>
    <t>Found a better price somewhere else</t>
  </si>
  <si>
    <t>Jhansi</t>
  </si>
  <si>
    <t>NYK-32323231-5132074-1-1</t>
  </si>
  <si>
    <t>NYKF35741805</t>
  </si>
  <si>
    <t>CUTAB00000061</t>
  </si>
  <si>
    <t>1266-Rani-36</t>
  </si>
  <si>
    <t>237943173264710</t>
  </si>
  <si>
    <t>TINYK2627100318</t>
  </si>
  <si>
    <t>NFSD5OO</t>
  </si>
  <si>
    <t>NYK-32228673-1492245-1-1</t>
  </si>
  <si>
    <t>NYKF35634848</t>
  </si>
  <si>
    <t>CUTAB00000062</t>
  </si>
  <si>
    <t>1266-Rani-38</t>
  </si>
  <si>
    <t>28449522045273</t>
  </si>
  <si>
    <t>Kolkata</t>
  </si>
  <si>
    <t>West Bengal</t>
  </si>
  <si>
    <t>TINYK2627100295</t>
  </si>
  <si>
    <t>NYK-32633940-9183304-1-1</t>
  </si>
  <si>
    <t>NYKF36074077</t>
  </si>
  <si>
    <t>CUTAB00000220</t>
  </si>
  <si>
    <t>1267-Rani-38</t>
  </si>
  <si>
    <t>28449527103661</t>
  </si>
  <si>
    <t>TINYK2627100403</t>
  </si>
  <si>
    <t>NYK-32103741-8046267-10-1</t>
  </si>
  <si>
    <t>NYKF35495972</t>
  </si>
  <si>
    <t>CUTAB00000243</t>
  </si>
  <si>
    <t>1271-Blue-36</t>
  </si>
  <si>
    <t>28449520084735</t>
  </si>
  <si>
    <t>TINYK11992172</t>
  </si>
  <si>
    <t>Mangalore</t>
  </si>
  <si>
    <t>TINYK2627100256</t>
  </si>
  <si>
    <t>NYK-32065093-5820157-2-1</t>
  </si>
  <si>
    <t>NYKF35452310</t>
  </si>
  <si>
    <t>CUTAB00000285</t>
  </si>
  <si>
    <t>1276-L.Blue-24</t>
  </si>
  <si>
    <t>237943172999071</t>
  </si>
  <si>
    <t>TINYK12003543</t>
  </si>
  <si>
    <t>Bhopal</t>
  </si>
  <si>
    <t>Madhya Pradesh</t>
  </si>
  <si>
    <t>TINYK2627100228</t>
  </si>
  <si>
    <t>NYK-32752308-6029961-2-1</t>
  </si>
  <si>
    <t>NYKF36198893</t>
  </si>
  <si>
    <t>CUTAB00000279</t>
  </si>
  <si>
    <t>1276-N.Blue-28</t>
  </si>
  <si>
    <t>NYK-32044543-1362242-3-1</t>
  </si>
  <si>
    <t>NYKF35429762</t>
  </si>
  <si>
    <t>CUTAB00000280</t>
  </si>
  <si>
    <t>1276-N.Blue-30</t>
  </si>
  <si>
    <t>28449521600040</t>
  </si>
  <si>
    <t>TINYK11943914</t>
  </si>
  <si>
    <t>Chennai</t>
  </si>
  <si>
    <t>TINYK2627100232</t>
  </si>
  <si>
    <t>NYK-32040988-2970821-5-1</t>
  </si>
  <si>
    <t>NYKF35425691</t>
  </si>
  <si>
    <t>CUTAB00000326</t>
  </si>
  <si>
    <t>1278-Multicolor-22</t>
  </si>
  <si>
    <t>237943173003024</t>
  </si>
  <si>
    <t>TINYK11946498</t>
  </si>
  <si>
    <t>TINYK2627100237</t>
  </si>
  <si>
    <t>CUTAB00000330</t>
  </si>
  <si>
    <t>1278-Multicolor-30</t>
  </si>
  <si>
    <t>CUTAB00000332</t>
  </si>
  <si>
    <t>1278-Multicolor-34</t>
  </si>
  <si>
    <t>TINYK12115179</t>
  </si>
  <si>
    <t>NYK-32093710-0419079-1-1</t>
  </si>
  <si>
    <t>NYKF35484262</t>
  </si>
  <si>
    <t>NYK-31991908-6213118-1-1</t>
  </si>
  <si>
    <t>NYKF35371258</t>
  </si>
  <si>
    <t>CUTAB00000490</t>
  </si>
  <si>
    <t>1280-Green-24</t>
  </si>
  <si>
    <t>28449519747976</t>
  </si>
  <si>
    <t>TINYK2627100209</t>
  </si>
  <si>
    <t>NYK-32315949-3753080-1-1</t>
  </si>
  <si>
    <t>NYKF35733352</t>
  </si>
  <si>
    <t>CUTAB00000798</t>
  </si>
  <si>
    <t>1280-Pink-24</t>
  </si>
  <si>
    <t>28449522282120</t>
  </si>
  <si>
    <t>TINYK12139332</t>
  </si>
  <si>
    <t>Kanpur</t>
  </si>
  <si>
    <t>TINYK2627100320</t>
  </si>
  <si>
    <t>NYK-31996311-5116477-3-1</t>
  </si>
  <si>
    <t>NYKF35375861</t>
  </si>
  <si>
    <t>CUTAB00000907</t>
  </si>
  <si>
    <t>1283-Blue-16</t>
  </si>
  <si>
    <t>237943172972176</t>
  </si>
  <si>
    <t>TINYK11964654</t>
  </si>
  <si>
    <t>TINYK2627100218</t>
  </si>
  <si>
    <t>NFSDS10</t>
  </si>
  <si>
    <t>NYK-32160803-9807227-3-1</t>
  </si>
  <si>
    <t>NYKF35559589</t>
  </si>
  <si>
    <t>CUTAB00000616</t>
  </si>
  <si>
    <t>1284-Blue-30</t>
  </si>
  <si>
    <t>28449520195733</t>
  </si>
  <si>
    <t>TINYK11983201</t>
  </si>
  <si>
    <t>Gurugram</t>
  </si>
  <si>
    <t>Haryana</t>
  </si>
  <si>
    <t>TINYK2627100264</t>
  </si>
  <si>
    <t>NFLIW10</t>
  </si>
  <si>
    <t>NYK-32151452-1011051-1-1</t>
  </si>
  <si>
    <t>NYKF35549676</t>
  </si>
  <si>
    <t>CUTAB00000619</t>
  </si>
  <si>
    <t>1284-Blue-36</t>
  </si>
  <si>
    <t>28449521860016</t>
  </si>
  <si>
    <t>TINYK2627100267</t>
  </si>
  <si>
    <t>NYK-32100795-3101191-1-1</t>
  </si>
  <si>
    <t>NYKF35492409</t>
  </si>
  <si>
    <t>NFDIWALI10</t>
  </si>
  <si>
    <t>NYK-32185493-9565900-1-1</t>
  </si>
  <si>
    <t>NYKF35586815</t>
  </si>
  <si>
    <t>CUTAB00000643</t>
  </si>
  <si>
    <t>1285-Wine-36</t>
  </si>
  <si>
    <t>28449521942782</t>
  </si>
  <si>
    <t>Ghaziabad</t>
  </si>
  <si>
    <t>TINYK2627100284</t>
  </si>
  <si>
    <t>NYK-32002898-9869984-3-1</t>
  </si>
  <si>
    <t>NYKF35383191</t>
  </si>
  <si>
    <t>CUTAB00000566</t>
  </si>
  <si>
    <t>1287-Rani-26</t>
  </si>
  <si>
    <t>SF1835855802NYK</t>
  </si>
  <si>
    <t>TINYK2627100225</t>
  </si>
  <si>
    <t>NFESTIVE15</t>
  </si>
  <si>
    <t>NYK-32316605-4944698-1-1</t>
  </si>
  <si>
    <t>NYKF35734102</t>
  </si>
  <si>
    <t>CUTAB00000576</t>
  </si>
  <si>
    <t>1288-Rani-30</t>
  </si>
  <si>
    <t>28449522286272</t>
  </si>
  <si>
    <t>TINYK12137580</t>
  </si>
  <si>
    <t>Aligarh</t>
  </si>
  <si>
    <t>TINYK2627100312</t>
  </si>
  <si>
    <t>NYK-32071160-7302384-1-1</t>
  </si>
  <si>
    <t>NYKF35459197</t>
  </si>
  <si>
    <t>SF2167352793NYK</t>
  </si>
  <si>
    <t>TINYK11999349</t>
  </si>
  <si>
    <t>Indore</t>
  </si>
  <si>
    <t>TINYK2627100239</t>
  </si>
  <si>
    <t>NYK-32363379-6649727-1-1</t>
  </si>
  <si>
    <t>NYKF35787723</t>
  </si>
  <si>
    <t>CUTAB00000579</t>
  </si>
  <si>
    <t>1288-Rani-36</t>
  </si>
  <si>
    <t>28449522423435</t>
  </si>
  <si>
    <t>TINYK2627100351</t>
  </si>
  <si>
    <t>NYK-32362664-5459583-1-1</t>
  </si>
  <si>
    <t>NYKF35786944</t>
  </si>
  <si>
    <t>28449520854680</t>
  </si>
  <si>
    <t>Alandurai</t>
  </si>
  <si>
    <t>TINYK2627100339</t>
  </si>
  <si>
    <t>NYK-32487937-6183751-2-1</t>
  </si>
  <si>
    <t>NYKF35923856</t>
  </si>
  <si>
    <t>CUTAB00000580</t>
  </si>
  <si>
    <t>1288-Rani-38</t>
  </si>
  <si>
    <t>28449521341191</t>
  </si>
  <si>
    <t>TINYK12152675</t>
  </si>
  <si>
    <t>TINYK2627100377</t>
  </si>
  <si>
    <t>NYK-32343383-4220110-1-1</t>
  </si>
  <si>
    <t>NYKF35764830</t>
  </si>
  <si>
    <t>CUTAB00000629</t>
  </si>
  <si>
    <t>1290-Purple-24</t>
  </si>
  <si>
    <t>28449522412600</t>
  </si>
  <si>
    <t>Mathura</t>
  </si>
  <si>
    <t>TINYK2627100349</t>
  </si>
  <si>
    <t>NYK-32362041-4303100-1-1</t>
  </si>
  <si>
    <t>NYKF35786230</t>
  </si>
  <si>
    <t>CUTAB00000633</t>
  </si>
  <si>
    <t>1290-Purple-32</t>
  </si>
  <si>
    <t>237943175110643</t>
  </si>
  <si>
    <t>TINYK2627100334</t>
  </si>
  <si>
    <t>NYK-32791214-4068814-1-1</t>
  </si>
  <si>
    <t>NYKF36240102</t>
  </si>
  <si>
    <t>CUTAB00000634</t>
  </si>
  <si>
    <t>1290-Purple-34</t>
  </si>
  <si>
    <t>NKFP0000002870</t>
  </si>
  <si>
    <t>TINYK2627100432</t>
  </si>
  <si>
    <t>NFNEXT1O</t>
  </si>
  <si>
    <t>NYK-32642110-3420788-3-1</t>
  </si>
  <si>
    <t>NYKF36082214</t>
  </si>
  <si>
    <t>CUTAB00000635</t>
  </si>
  <si>
    <t>1290-Purple-36</t>
  </si>
  <si>
    <t>NKFP0000001616</t>
  </si>
  <si>
    <t>TINYK2627100398</t>
  </si>
  <si>
    <t>NYK-32373098-4244321-1-1</t>
  </si>
  <si>
    <t>NYKF35798843</t>
  </si>
  <si>
    <t>88282040674</t>
  </si>
  <si>
    <t>TINYK2627100335</t>
  </si>
  <si>
    <t>NYK-32348645-2049554-2-1</t>
  </si>
  <si>
    <t>NYKF35770657</t>
  </si>
  <si>
    <t>237943173318750</t>
  </si>
  <si>
    <t>TINYK12037751</t>
  </si>
  <si>
    <t>TINYK2627100353</t>
  </si>
  <si>
    <t>CUTAB00000636</t>
  </si>
  <si>
    <t>1290-Purple-38</t>
  </si>
  <si>
    <t>TINYK12165576</t>
  </si>
  <si>
    <t>NYK-32763986-5881580-2-1</t>
  </si>
  <si>
    <t>NYKF36211671</t>
  </si>
  <si>
    <t>CUTAB00000621</t>
  </si>
  <si>
    <t>1290-Red-24</t>
  </si>
  <si>
    <t>28449527460101</t>
  </si>
  <si>
    <t>TINYK2627100429</t>
  </si>
  <si>
    <t>NTBB10</t>
  </si>
  <si>
    <t>NYK-32020015-6430505-5-1</t>
  </si>
  <si>
    <t>NYKF35402109</t>
  </si>
  <si>
    <t>CUTAB00000624</t>
  </si>
  <si>
    <t>1290-Red-30</t>
  </si>
  <si>
    <t>SF1835855633NYK</t>
  </si>
  <si>
    <t>TINYK2627100221</t>
  </si>
  <si>
    <t>NYK-32822790-1107015-1-1</t>
  </si>
  <si>
    <t>NYKF36273184</t>
  </si>
  <si>
    <t>CUTAB00000627</t>
  </si>
  <si>
    <t>1290-Red-36</t>
  </si>
  <si>
    <t>28449527691473</t>
  </si>
  <si>
    <t>TINYK2627100442</t>
  </si>
  <si>
    <t>NYK-32145530-7259390-2-1</t>
  </si>
  <si>
    <t>NYKF35543172</t>
  </si>
  <si>
    <t>CUTAB00000628</t>
  </si>
  <si>
    <t>1290-Red-38</t>
  </si>
  <si>
    <t>237943173099252</t>
  </si>
  <si>
    <t>Raipur</t>
  </si>
  <si>
    <t>TINYK2627100269</t>
  </si>
  <si>
    <t>NFRUSH10</t>
  </si>
  <si>
    <t>NYK-32161818-2076057-1-1</t>
  </si>
  <si>
    <t>NYKF35560845</t>
  </si>
  <si>
    <t>CUTAB00000596</t>
  </si>
  <si>
    <t>1291-Yellow-38</t>
  </si>
  <si>
    <t>28449520197041</t>
  </si>
  <si>
    <t>Dhenkanal</t>
  </si>
  <si>
    <t>orissa</t>
  </si>
  <si>
    <t>TINYK2627100268</t>
  </si>
  <si>
    <t>NYK-32332070-8458643-1-1</t>
  </si>
  <si>
    <t>NYKF35751918</t>
  </si>
  <si>
    <t>CUTAB00000611</t>
  </si>
  <si>
    <t>1293-Orange-36</t>
  </si>
  <si>
    <t>28449520860350</t>
  </si>
  <si>
    <t>TINYK12060111</t>
  </si>
  <si>
    <t>Ballinga</t>
  </si>
  <si>
    <t>TINYK2627100354</t>
  </si>
  <si>
    <t>NYK-32369286-6960867-1-1</t>
  </si>
  <si>
    <t>NYKF35794294</t>
  </si>
  <si>
    <t>CUTAB00000612</t>
  </si>
  <si>
    <t>1293-Orange-38</t>
  </si>
  <si>
    <t>28449520863850</t>
  </si>
  <si>
    <t>TINYK2627100346</t>
  </si>
  <si>
    <t>NYK-32135510-0586705-2-1</t>
  </si>
  <si>
    <t>NYKF35531762</t>
  </si>
  <si>
    <t>28449520199266</t>
  </si>
  <si>
    <t>Gurgaon</t>
  </si>
  <si>
    <t>TINYK2627100276</t>
  </si>
  <si>
    <t>NYK-32083918-3180940-1-1</t>
  </si>
  <si>
    <t>NYKF35473447</t>
  </si>
  <si>
    <t>NYK-32219769-0649414-1-1</t>
  </si>
  <si>
    <t>NYKF35624488</t>
  </si>
  <si>
    <t>CUTAB00000545</t>
  </si>
  <si>
    <t>1294-Black-28</t>
  </si>
  <si>
    <t>Mysore</t>
  </si>
  <si>
    <t>NYK-32793521-8022650-1-1</t>
  </si>
  <si>
    <t>NYKF36242736</t>
  </si>
  <si>
    <t>CUTAB00000814</t>
  </si>
  <si>
    <t>1295-Blue-20</t>
  </si>
  <si>
    <t>28449527523624</t>
  </si>
  <si>
    <t>Guwahati</t>
  </si>
  <si>
    <t>Assam</t>
  </si>
  <si>
    <t>TINYK2627100434</t>
  </si>
  <si>
    <t>NYK-32469518-5262792-1-1</t>
  </si>
  <si>
    <t>NYKF35904626</t>
  </si>
  <si>
    <t>CUTAB00000816</t>
  </si>
  <si>
    <t>1295-Blue-24</t>
  </si>
  <si>
    <t>28449525194595</t>
  </si>
  <si>
    <t>TINYK12155123</t>
  </si>
  <si>
    <t>TINYK2627100374</t>
  </si>
  <si>
    <t>NYK-32519877-2724512-1-1</t>
  </si>
  <si>
    <t>NYKF35957261</t>
  </si>
  <si>
    <t>CUTAB00000817</t>
  </si>
  <si>
    <t>1295-Blue-26</t>
  </si>
  <si>
    <t>28449521423124</t>
  </si>
  <si>
    <t>Zirakpur</t>
  </si>
  <si>
    <t>TINYK2627100383</t>
  </si>
  <si>
    <t>NYK-32619910-1415097-1-1</t>
  </si>
  <si>
    <t>NYKF36059112</t>
  </si>
  <si>
    <t>CUTAB00000549</t>
  </si>
  <si>
    <t>1295-Maroon-20</t>
  </si>
  <si>
    <t>28449525579820</t>
  </si>
  <si>
    <t>Gaya</t>
  </si>
  <si>
    <t>TINYK2627100397</t>
  </si>
  <si>
    <t>CUTAB00000550</t>
  </si>
  <si>
    <t>1295-Maroon-22</t>
  </si>
  <si>
    <t>NYK-32344119-5144661-1-1</t>
  </si>
  <si>
    <t>NYKF35765619</t>
  </si>
  <si>
    <t>28449522419611</t>
  </si>
  <si>
    <t>TINYK12123006</t>
  </si>
  <si>
    <t>TINYK2627100348</t>
  </si>
  <si>
    <t>NYK-32563125-6478654-1-1</t>
  </si>
  <si>
    <t>NYKF36000337</t>
  </si>
  <si>
    <t>CUTAB00000551</t>
  </si>
  <si>
    <t>1295-Maroon-24</t>
  </si>
  <si>
    <t>NYK-32109356-5845996-1-1</t>
  </si>
  <si>
    <t>NYKF35502487</t>
  </si>
  <si>
    <t>CUTAB00000553</t>
  </si>
  <si>
    <t>1295-Maroon-28</t>
  </si>
  <si>
    <t>28449521771691</t>
  </si>
  <si>
    <t>TINYK11947513</t>
  </si>
  <si>
    <t>TINYK2627100258</t>
  </si>
  <si>
    <t>NYK-32047154-5971578-2-1</t>
  </si>
  <si>
    <t>NYKF35432590</t>
  </si>
  <si>
    <t>CUTAB00000554</t>
  </si>
  <si>
    <t>1295-Maroon-30</t>
  </si>
  <si>
    <t>28449521584194</t>
  </si>
  <si>
    <t>TINYK11946517</t>
  </si>
  <si>
    <t>TINYK2627100230</t>
  </si>
  <si>
    <t>NYK-32718648-5450766-1-1</t>
  </si>
  <si>
    <t>NYKF36162833</t>
  </si>
  <si>
    <t>CUTAB00000555</t>
  </si>
  <si>
    <t>1295-Maroon-32</t>
  </si>
  <si>
    <t>28449527396353</t>
  </si>
  <si>
    <t>TINYK2627100416</t>
  </si>
  <si>
    <t>NYK-32160012-8271138-3-1</t>
  </si>
  <si>
    <t>NYKF35558716</t>
  </si>
  <si>
    <t>CUTAB00000556</t>
  </si>
  <si>
    <t>1295-Maroon-34</t>
  </si>
  <si>
    <t>28449520198706</t>
  </si>
  <si>
    <t>TINYK11991683</t>
  </si>
  <si>
    <t>TINYK2627100265</t>
  </si>
  <si>
    <t>NYK-32199223-8670853-1-1</t>
  </si>
  <si>
    <t>NYKF35601816</t>
  </si>
  <si>
    <t>CUTAB00000655</t>
  </si>
  <si>
    <t>1298-Magenta-28</t>
  </si>
  <si>
    <t>237943173170361</t>
  </si>
  <si>
    <t>TINYK12147023</t>
  </si>
  <si>
    <t>Kotma</t>
  </si>
  <si>
    <t>TINYK2627100294</t>
  </si>
  <si>
    <t>NYK-32434290-6902989-1-1</t>
  </si>
  <si>
    <t>NYKF35866886</t>
  </si>
  <si>
    <t>CUTAB00001025</t>
  </si>
  <si>
    <t>1300-Black-24</t>
  </si>
  <si>
    <t>28449525009073</t>
  </si>
  <si>
    <t>TINYK2627100372</t>
  </si>
  <si>
    <t>NYK-32101638-4592239-1-1</t>
  </si>
  <si>
    <t>NYKF35493433</t>
  </si>
  <si>
    <t>CUTAB00001032</t>
  </si>
  <si>
    <t>1300-Black-38</t>
  </si>
  <si>
    <t>SF2167355725NYK</t>
  </si>
  <si>
    <t>TINYK2627100253</t>
  </si>
  <si>
    <t>NYK-32569750-7129572-1-1</t>
  </si>
  <si>
    <t>NYKF36007480</t>
  </si>
  <si>
    <t>CUTAB00001249</t>
  </si>
  <si>
    <t>1305-Grey-34</t>
  </si>
  <si>
    <t>28449525579245</t>
  </si>
  <si>
    <t>TINYK2627100402</t>
  </si>
  <si>
    <t>CUTAB00000805</t>
  </si>
  <si>
    <t>1305-Sky Blue-20</t>
  </si>
  <si>
    <t>NYK-32578098-3297097-1-1</t>
  </si>
  <si>
    <t>NYKF36015702</t>
  </si>
  <si>
    <t>28449525582130</t>
  </si>
  <si>
    <t>Kauriram</t>
  </si>
  <si>
    <t>TINYK2627100407</t>
  </si>
  <si>
    <t>NYK-32093478-9951546-1-1</t>
  </si>
  <si>
    <t>NYKF35483988</t>
  </si>
  <si>
    <t>CUTAB00000806</t>
  </si>
  <si>
    <t>1305-Sky Blue-22</t>
  </si>
  <si>
    <t>28449521665066</t>
  </si>
  <si>
    <t>TINYK2627100245</t>
  </si>
  <si>
    <t>NYK-32130889-0273399-1-1</t>
  </si>
  <si>
    <t>NYKF35526424</t>
  </si>
  <si>
    <t>CUTAB00000807</t>
  </si>
  <si>
    <t>1305-Sky Blue-24</t>
  </si>
  <si>
    <t>28449521770383</t>
  </si>
  <si>
    <t>Aurangabad-Br</t>
  </si>
  <si>
    <t>TINYK2627100260</t>
  </si>
  <si>
    <t>NYK-32630382-8138549-1-1</t>
  </si>
  <si>
    <t>NYKF36070346</t>
  </si>
  <si>
    <t>CUTAB00000808</t>
  </si>
  <si>
    <t>1305-Sky Blue-26</t>
  </si>
  <si>
    <t>28449527102493</t>
  </si>
  <si>
    <t>TINYK2627100391</t>
  </si>
  <si>
    <t>NYK-32491152-2699460-1-1</t>
  </si>
  <si>
    <t>NYKF35927249</t>
  </si>
  <si>
    <t>28449525197760</t>
  </si>
  <si>
    <t>TINYK12158383</t>
  </si>
  <si>
    <t>Bongaigaon</t>
  </si>
  <si>
    <t>TINYK2627100378</t>
  </si>
  <si>
    <t>NYK-32182276-0991355-1-1</t>
  </si>
  <si>
    <t>NYKF35583518</t>
  </si>
  <si>
    <t>28449520302450</t>
  </si>
  <si>
    <t>TINYK2627100281</t>
  </si>
  <si>
    <t>NYK-32288582-6003557-1-1</t>
  </si>
  <si>
    <t>NYKF35702194</t>
  </si>
  <si>
    <t>CUTAB00000809</t>
  </si>
  <si>
    <t>1305-Sky Blue-28</t>
  </si>
  <si>
    <t>28449522217720</t>
  </si>
  <si>
    <t>TINYK12079454</t>
  </si>
  <si>
    <t>Simri Bakthiyarpur</t>
  </si>
  <si>
    <t>TINYK2627100308</t>
  </si>
  <si>
    <t>NYK-32157259-2807901-1-1</t>
  </si>
  <si>
    <t>NYKF35555816</t>
  </si>
  <si>
    <t>28449521862326</t>
  </si>
  <si>
    <t>TINYK11970555</t>
  </si>
  <si>
    <t>TINYK2627100274</t>
  </si>
  <si>
    <t>NYK-32629076-4918810-4-1</t>
  </si>
  <si>
    <t>NYKF36068940</t>
  </si>
  <si>
    <t>CUTAB00000810</t>
  </si>
  <si>
    <t>1305-Sky Blue-30</t>
  </si>
  <si>
    <t>28449527096716</t>
  </si>
  <si>
    <t>TINYK12177754</t>
  </si>
  <si>
    <t>TINYK2627100393</t>
  </si>
  <si>
    <t>NYK-32129664-7490745-1-1</t>
  </si>
  <si>
    <t>NYKF35525088</t>
  </si>
  <si>
    <t>28449520086835</t>
  </si>
  <si>
    <t>TINYK11989337</t>
  </si>
  <si>
    <t>TINYK2627100257</t>
  </si>
  <si>
    <t>NYK-32394707-5650782-1-1</t>
  </si>
  <si>
    <t>NYKF35823306</t>
  </si>
  <si>
    <t>CUTAB00000811</t>
  </si>
  <si>
    <t>1305-Sky Blue-32</t>
  </si>
  <si>
    <t>Alwar</t>
  </si>
  <si>
    <t>NYK-32345179-6486467-2-1</t>
  </si>
  <si>
    <t>NYKF35766849</t>
  </si>
  <si>
    <t>237943175110470</t>
  </si>
  <si>
    <t>Durg</t>
  </si>
  <si>
    <t>TINYK2627100337</t>
  </si>
  <si>
    <t>NYK-32313368-8164526-1-1</t>
  </si>
  <si>
    <t>NYKF35730681</t>
  </si>
  <si>
    <t>28449520692921</t>
  </si>
  <si>
    <t>TINYK12081371</t>
  </si>
  <si>
    <t>Asansol</t>
  </si>
  <si>
    <t>TINYK2627100323</t>
  </si>
  <si>
    <t>NYK-32103884-8258750-2-1</t>
  </si>
  <si>
    <t>NYKF35496099</t>
  </si>
  <si>
    <t>28449521767373</t>
  </si>
  <si>
    <t>TINYK12014011</t>
  </si>
  <si>
    <t>Sirohi</t>
  </si>
  <si>
    <t>TINYK2627100251</t>
  </si>
  <si>
    <t>NYK-32101334-4082801-1-1</t>
  </si>
  <si>
    <t>NYKF35493072</t>
  </si>
  <si>
    <t>SF2167305866NYK</t>
  </si>
  <si>
    <t>TINYK12001863</t>
  </si>
  <si>
    <t>TINYK2627100249</t>
  </si>
  <si>
    <t>NYK-32586485-7978568-2-1</t>
  </si>
  <si>
    <t>NYKF36024593</t>
  </si>
  <si>
    <t>CUTAB00000812</t>
  </si>
  <si>
    <t>1305-Sky Blue-34</t>
  </si>
  <si>
    <t>28449527101093</t>
  </si>
  <si>
    <t>Rajpura</t>
  </si>
  <si>
    <t>TINYK2627100395</t>
  </si>
  <si>
    <t>NYK-32308486-9900482-1-1</t>
  </si>
  <si>
    <t>NYKF35725025</t>
  </si>
  <si>
    <t>Forgot to apply coupon/offers</t>
  </si>
  <si>
    <t>NYK-32247696-2640768-1-1</t>
  </si>
  <si>
    <t>NYKF35656381</t>
  </si>
  <si>
    <t>CUTAB00000813</t>
  </si>
  <si>
    <t>1305-Sky Blue-36</t>
  </si>
  <si>
    <t>28449520508795</t>
  </si>
  <si>
    <t>Kakinada</t>
  </si>
  <si>
    <t>Andhra Pradesh</t>
  </si>
  <si>
    <t>TINYK2627100300</t>
  </si>
  <si>
    <t>NYK-32803920-4508592-1-1</t>
  </si>
  <si>
    <t>NYKF36253370</t>
  </si>
  <si>
    <t>CUTAB00000828</t>
  </si>
  <si>
    <t>1307-Firozi-36</t>
  </si>
  <si>
    <t>SF2188138696NYK</t>
  </si>
  <si>
    <t>TINYK2627100439</t>
  </si>
  <si>
    <t>NYK-32201789-4160140-2-1</t>
  </si>
  <si>
    <t>NYKF35604657</t>
  </si>
  <si>
    <t>237943173167863</t>
  </si>
  <si>
    <t>TINYK2627100289</t>
  </si>
  <si>
    <t>NFSD50O</t>
  </si>
  <si>
    <t>NYK-32274440-7678852-1-1</t>
  </si>
  <si>
    <t>NYKF35686672</t>
  </si>
  <si>
    <t>CUTAB00000832</t>
  </si>
  <si>
    <t>1308-Cream-28</t>
  </si>
  <si>
    <t>28449520589402</t>
  </si>
  <si>
    <t>TINYK2627100302</t>
  </si>
  <si>
    <t>NYK-32289130-7004935-3-1</t>
  </si>
  <si>
    <t>NYKF35702787</t>
  </si>
  <si>
    <t>CUTAB00000834</t>
  </si>
  <si>
    <t>1308-Cream-32</t>
  </si>
  <si>
    <t>28449522218431</t>
  </si>
  <si>
    <t>TINYK12054265</t>
  </si>
  <si>
    <t>TINYK2627100307</t>
  </si>
  <si>
    <t>NYK-32562765-5576489-1-1</t>
  </si>
  <si>
    <t>NYKF36273260</t>
  </si>
  <si>
    <t>CUTAB00000835</t>
  </si>
  <si>
    <t>1308-Cream-34</t>
  </si>
  <si>
    <t>SF2188142027NYK</t>
  </si>
  <si>
    <t>Satara</t>
  </si>
  <si>
    <t>TINYK2627100440</t>
  </si>
  <si>
    <t>replacement_order</t>
  </si>
  <si>
    <t>NYK-32383960-3307873-1-1</t>
  </si>
  <si>
    <t>NYKF35810927</t>
  </si>
  <si>
    <t>28449522522360</t>
  </si>
  <si>
    <t>TINYK12132795</t>
  </si>
  <si>
    <t>TINYK2627100357</t>
  </si>
  <si>
    <t>NYK-32100329-2337696-1-1</t>
  </si>
  <si>
    <t>NYKF35491846</t>
  </si>
  <si>
    <t>SF2167305892NYK</t>
  </si>
  <si>
    <t>TINYK12100838</t>
  </si>
  <si>
    <t>TINYK2627100250</t>
  </si>
  <si>
    <t>NYK-31993957-0377773-1-1</t>
  </si>
  <si>
    <t>NYKF35373403</t>
  </si>
  <si>
    <t>Rourkela</t>
  </si>
  <si>
    <t>NYK-32407548-2665267-1-1</t>
  </si>
  <si>
    <t>NYKF35837141</t>
  </si>
  <si>
    <t>CUTAB00000836</t>
  </si>
  <si>
    <t>1308-Cream-36</t>
  </si>
  <si>
    <t>237943173346481</t>
  </si>
  <si>
    <t>TINYK12196889</t>
  </si>
  <si>
    <t>TINYK2627100366</t>
  </si>
  <si>
    <t>NYK-32301251-8851100-1-1</t>
  </si>
  <si>
    <t>NYKF35716801</t>
  </si>
  <si>
    <t>28449520693562</t>
  </si>
  <si>
    <t>TINYK2627100325</t>
  </si>
  <si>
    <t>NYK-32266476-4884047-1-1</t>
  </si>
  <si>
    <t>NYKF35677545</t>
  </si>
  <si>
    <t>Change payment method</t>
  </si>
  <si>
    <t>NYK-32264915-1747727-1-1</t>
  </si>
  <si>
    <t>NYKF35675894</t>
  </si>
  <si>
    <t>28449520593381</t>
  </si>
  <si>
    <t>TINYK2627100305</t>
  </si>
  <si>
    <t>NYK-32185097-8714148-1-1</t>
  </si>
  <si>
    <t>NYKF35586421</t>
  </si>
  <si>
    <t>237943173135630</t>
  </si>
  <si>
    <t>TINYK2627100278</t>
  </si>
  <si>
    <t>NYK-32364231-8149782-1-1</t>
  </si>
  <si>
    <t>NYKF35788691</t>
  </si>
  <si>
    <t>CUTAB00000837</t>
  </si>
  <si>
    <t>1308-Cream-38</t>
  </si>
  <si>
    <t>28449520862822</t>
  </si>
  <si>
    <t>TINYK12062739</t>
  </si>
  <si>
    <t>TINYK2627100344</t>
  </si>
  <si>
    <t>NYK-32097877-7850955-1-1</t>
  </si>
  <si>
    <t>NYKF35489021</t>
  </si>
  <si>
    <t>CUTAB00000840</t>
  </si>
  <si>
    <t>1310-Purple-28</t>
  </si>
  <si>
    <t>237943173064882</t>
  </si>
  <si>
    <t>TINYK2627100252</t>
  </si>
  <si>
    <t>NYK-32413768-4547603-1-1</t>
  </si>
  <si>
    <t>NYKF35844000</t>
  </si>
  <si>
    <t>CUTAB00000844</t>
  </si>
  <si>
    <t>1310-Purple-36</t>
  </si>
  <si>
    <t>28449522526560</t>
  </si>
  <si>
    <t>TINYK2627100360</t>
  </si>
  <si>
    <t>NFSD500</t>
  </si>
  <si>
    <t>NYK-32262475-6219677-1-1</t>
  </si>
  <si>
    <t>NYKF35673027</t>
  </si>
  <si>
    <t>CUTAB00000854</t>
  </si>
  <si>
    <t>1311-Pink-24</t>
  </si>
  <si>
    <t>237943173230082</t>
  </si>
  <si>
    <t>TINYK12119176</t>
  </si>
  <si>
    <t>TINYK2627100303</t>
  </si>
  <si>
    <t>NYK-32220090-1314062-1-1</t>
  </si>
  <si>
    <t>NYKF35624874</t>
  </si>
  <si>
    <t>237943175000360</t>
  </si>
  <si>
    <t>TINYK12044179</t>
  </si>
  <si>
    <t>Gwalior</t>
  </si>
  <si>
    <t>TINYK2627100290</t>
  </si>
  <si>
    <t>NYK-32203238-7053158-1-1</t>
  </si>
  <si>
    <t>NYKF35606279</t>
  </si>
  <si>
    <t>28449520406046</t>
  </si>
  <si>
    <t>TINYK12074744</t>
  </si>
  <si>
    <t>Hathras</t>
  </si>
  <si>
    <t>TINYK2627100291</t>
  </si>
  <si>
    <t>NYK-32128409-4675756-1-1</t>
  </si>
  <si>
    <t>NYKF35523625</t>
  </si>
  <si>
    <t>28449520088353</t>
  </si>
  <si>
    <t>Jamshedpur</t>
  </si>
  <si>
    <t>Jharkhand</t>
  </si>
  <si>
    <t>TINYK2627100255</t>
  </si>
  <si>
    <t>NYK-32053030-0849122-1-1</t>
  </si>
  <si>
    <t>NYKF35438895</t>
  </si>
  <si>
    <t>CUTAB00000855</t>
  </si>
  <si>
    <t>1311-Pink-26</t>
  </si>
  <si>
    <t>SF2167350780NYK</t>
  </si>
  <si>
    <t>Patna</t>
  </si>
  <si>
    <t>TINYK2627100229</t>
  </si>
  <si>
    <t>NFSAVE</t>
  </si>
  <si>
    <t>NYK-32026145-0043220-3-1</t>
  </si>
  <si>
    <t>NYKF35409123</t>
  </si>
  <si>
    <t>SF1835856014NYK</t>
  </si>
  <si>
    <t>Nagpur</t>
  </si>
  <si>
    <t>TINYK2627100214</t>
  </si>
  <si>
    <t>NYK-32117512-0789296-1-1</t>
  </si>
  <si>
    <t>NYKF35511877</t>
  </si>
  <si>
    <t>CUTAB00000856</t>
  </si>
  <si>
    <t>1311-Pink-28</t>
  </si>
  <si>
    <t>28449521772111</t>
  </si>
  <si>
    <t>Bokaro</t>
  </si>
  <si>
    <t>TINYK2627100254</t>
  </si>
  <si>
    <t>NYK-32071361-7607520-1-1</t>
  </si>
  <si>
    <t>NYKF35459465</t>
  </si>
  <si>
    <t>28449521664311</t>
  </si>
  <si>
    <t>Ranchi</t>
  </si>
  <si>
    <t>TINYK2627100247</t>
  </si>
  <si>
    <t>NYK-32541732-5862604-1-1</t>
  </si>
  <si>
    <t>NYKF35978933</t>
  </si>
  <si>
    <t>CUTAB00000857</t>
  </si>
  <si>
    <t>1311-Pink-30</t>
  </si>
  <si>
    <t>28449525300612</t>
  </si>
  <si>
    <t>TINYK12207740</t>
  </si>
  <si>
    <t>Dhampur</t>
  </si>
  <si>
    <t>TINYK2627100388</t>
  </si>
  <si>
    <t>NYK-32200886-2181503-2-1</t>
  </si>
  <si>
    <t>NYKF35603566</t>
  </si>
  <si>
    <t>28449522046570</t>
  </si>
  <si>
    <t>TINYK2627100285</t>
  </si>
  <si>
    <t>NYK-32058987-2730324-1-1</t>
  </si>
  <si>
    <t>NYKF35445263</t>
  </si>
  <si>
    <t>CUTAB00000858</t>
  </si>
  <si>
    <t>1311-Pink-32</t>
  </si>
  <si>
    <t>SF2167350459NYK</t>
  </si>
  <si>
    <t>Rajura</t>
  </si>
  <si>
    <t>TINYK2627100235</t>
  </si>
  <si>
    <t>NYK-32033906-9239748-8-1</t>
  </si>
  <si>
    <t>NYKF35417701</t>
  </si>
  <si>
    <t>SF1835855950NYK</t>
  </si>
  <si>
    <t>TINYK2627100227</t>
  </si>
  <si>
    <t>NYK-32013425-0494829-1-1</t>
  </si>
  <si>
    <t>NYKF35394965</t>
  </si>
  <si>
    <t>28449519516070</t>
  </si>
  <si>
    <t>TINYK11988483</t>
  </si>
  <si>
    <t>Srinagar</t>
  </si>
  <si>
    <t>jammu and kashmir</t>
  </si>
  <si>
    <t>TINYK2627100220</t>
  </si>
  <si>
    <t>NFESTIVE10</t>
  </si>
  <si>
    <t>City level RTO reduction</t>
  </si>
  <si>
    <t>NYK-32049810-3825208-1-1</t>
  </si>
  <si>
    <t>NYKF35435342</t>
  </si>
  <si>
    <t>CUTAB00000860</t>
  </si>
  <si>
    <t>1311-Pink-36</t>
  </si>
  <si>
    <t>28449521599384</t>
  </si>
  <si>
    <t>TINYK12034208</t>
  </si>
  <si>
    <t>Dibrugarh</t>
  </si>
  <si>
    <t>TINYK2627100234</t>
  </si>
  <si>
    <t>NYK-32030741-9835552-1-1</t>
  </si>
  <si>
    <t>NYKF35414101</t>
  </si>
  <si>
    <t>28449519514084</t>
  </si>
  <si>
    <t>Karnal</t>
  </si>
  <si>
    <t>TINYK2627100211</t>
  </si>
  <si>
    <t>NYK-32012391-8472897-1-1</t>
  </si>
  <si>
    <t>NYKF35393801</t>
  </si>
  <si>
    <t>SF1835855963NYK</t>
  </si>
  <si>
    <t>Ambernath</t>
  </si>
  <si>
    <t>TINYK2627100212</t>
  </si>
  <si>
    <t>NYK-32010985-5999021-1-1</t>
  </si>
  <si>
    <t>NYKF35392223</t>
  </si>
  <si>
    <t>Gopalganj</t>
  </si>
  <si>
    <t>NFESTIVE1O</t>
  </si>
  <si>
    <t>NYK-32116585-7238100-1-1</t>
  </si>
  <si>
    <t>NYKF35510875</t>
  </si>
  <si>
    <t>CUTAB00000861</t>
  </si>
  <si>
    <t>1311-Pink-38</t>
  </si>
  <si>
    <t>NYK-32071871-8350454-2-1</t>
  </si>
  <si>
    <t>NYKF35460061</t>
  </si>
  <si>
    <t>28449521664576</t>
  </si>
  <si>
    <t>Basti</t>
  </si>
  <si>
    <t>TINYK2627100241</t>
  </si>
  <si>
    <t>NYK-32023446-4400900-1-1</t>
  </si>
  <si>
    <t>NYKF35406105</t>
  </si>
  <si>
    <t>SF1835856350NYK</t>
  </si>
  <si>
    <t>TINYK2627100226</t>
  </si>
  <si>
    <t>NYK-31981984-0737396-1-1</t>
  </si>
  <si>
    <t>NYKF35360875</t>
  </si>
  <si>
    <t>28449519748212</t>
  </si>
  <si>
    <t>TINYK11983719</t>
  </si>
  <si>
    <t>Lucknow</t>
  </si>
  <si>
    <t>TINYK2627100207</t>
  </si>
  <si>
    <t>NYK-32103277-7298210-1-1</t>
  </si>
  <si>
    <t>NYKF35495329</t>
  </si>
  <si>
    <t>CUTAB00000872</t>
  </si>
  <si>
    <t>1313-Yellow-28</t>
  </si>
  <si>
    <t>28449521766216</t>
  </si>
  <si>
    <t>TINYK2627100248</t>
  </si>
  <si>
    <t>NYK-32042946-6725129-3-1</t>
  </si>
  <si>
    <t>NYKF35427934</t>
  </si>
  <si>
    <t>CUTAB00000916</t>
  </si>
  <si>
    <t>1316-Pink-22</t>
  </si>
  <si>
    <t>237943174868966</t>
  </si>
  <si>
    <t>TINYK12023700</t>
  </si>
  <si>
    <t>TINYK2627100238</t>
  </si>
  <si>
    <t>NYK-32084133-3585100-3-1</t>
  </si>
  <si>
    <t>NYKF35473695</t>
  </si>
  <si>
    <t>CUTAB00000920</t>
  </si>
  <si>
    <t>1317-White-18</t>
  </si>
  <si>
    <t>88281886162</t>
  </si>
  <si>
    <t>TINYK11932768</t>
  </si>
  <si>
    <t>TINYK2627100242</t>
  </si>
  <si>
    <t>NYK-32499929-1340661-1-1</t>
  </si>
  <si>
    <t>NYKF35936811</t>
  </si>
  <si>
    <t>CUTAB00001072</t>
  </si>
  <si>
    <t>1318-Yellow-38</t>
  </si>
  <si>
    <t>28449521349834</t>
  </si>
  <si>
    <t>TINYK2627100380</t>
  </si>
  <si>
    <t>NFFLAT10</t>
  </si>
  <si>
    <t>NYK-32740079-7994424-1-1</t>
  </si>
  <si>
    <t>NYKF36186067</t>
  </si>
  <si>
    <t>CUTAB00000886</t>
  </si>
  <si>
    <t>1321-Wine-24</t>
  </si>
  <si>
    <t>28449527398044</t>
  </si>
  <si>
    <t>TINYK2627100419</t>
  </si>
  <si>
    <t>NYK-32742922-1236946-1-1</t>
  </si>
  <si>
    <t>NYKF36188945</t>
  </si>
  <si>
    <t>CUTAB00000888</t>
  </si>
  <si>
    <t>1321-Wine-28</t>
  </si>
  <si>
    <t>28449527398291</t>
  </si>
  <si>
    <t>TINYK2627100422</t>
  </si>
  <si>
    <t>NYK-32763348-2759836-2-1</t>
  </si>
  <si>
    <t>NYKF36210987</t>
  </si>
  <si>
    <t>CUTAB00000892</t>
  </si>
  <si>
    <t>1321-Wine-36</t>
  </si>
  <si>
    <t>28449527462175</t>
  </si>
  <si>
    <t>Kapurthala</t>
  </si>
  <si>
    <t>TINYK2627100427</t>
  </si>
  <si>
    <t>NYK-32656103-2579191-1-1</t>
  </si>
  <si>
    <t>NYKF36097037</t>
  </si>
  <si>
    <t>CUTAB00000974</t>
  </si>
  <si>
    <t>1323-Cream-30</t>
  </si>
  <si>
    <t>28449525579864</t>
  </si>
  <si>
    <t>Nizamabad</t>
  </si>
  <si>
    <t>TINYK2627100405</t>
  </si>
  <si>
    <t>NFDN15</t>
  </si>
  <si>
    <t>NYK-32257503-4030247-1-1</t>
  </si>
  <si>
    <t>NYKF35667284</t>
  </si>
  <si>
    <t>CUTAB00000976</t>
  </si>
  <si>
    <t>1323-Cream-34</t>
  </si>
  <si>
    <t>237943173195200</t>
  </si>
  <si>
    <t>TINYK2627100301</t>
  </si>
  <si>
    <t>CUTAB00000977</t>
  </si>
  <si>
    <t>1323-Cream-36</t>
  </si>
  <si>
    <t>NYK-32334974-2835686-1-1</t>
  </si>
  <si>
    <t>NYKF35755206</t>
  </si>
  <si>
    <t>237943175109582</t>
  </si>
  <si>
    <t>Ratlam</t>
  </si>
  <si>
    <t>TINYK2627100332</t>
  </si>
  <si>
    <t>NYK-32332425-8763194-1-1</t>
  </si>
  <si>
    <t>NYKF35752199</t>
  </si>
  <si>
    <t>CUTAB00000978</t>
  </si>
  <si>
    <t>1323-Cream-38</t>
  </si>
  <si>
    <t>237943173317475</t>
  </si>
  <si>
    <t>TINYK12090323</t>
  </si>
  <si>
    <t>TINYK2627100350</t>
  </si>
  <si>
    <t>NYK-32305000-4269490-4-1</t>
  </si>
  <si>
    <t>NYKF35721112</t>
  </si>
  <si>
    <t>88282000461</t>
  </si>
  <si>
    <t>TINYK2627100319</t>
  </si>
  <si>
    <t>NYK-32341942-2437776-1-1</t>
  </si>
  <si>
    <t>NYKF35763247</t>
  </si>
  <si>
    <t>CUTAB00001073</t>
  </si>
  <si>
    <t>1326-Pink-24</t>
  </si>
  <si>
    <t>NYK-32320642-1335453-1-1</t>
  </si>
  <si>
    <t>NYKF35738808</t>
  </si>
  <si>
    <t>CUTAB00001078</t>
  </si>
  <si>
    <t>1326-Pink-34</t>
  </si>
  <si>
    <t>28449520694520</t>
  </si>
  <si>
    <t>TINYK12142744</t>
  </si>
  <si>
    <t>Haridwar</t>
  </si>
  <si>
    <t>Uttarakhand</t>
  </si>
  <si>
    <t>TINYK2627100322</t>
  </si>
  <si>
    <t>NYK-32384772-4272833-1-1</t>
  </si>
  <si>
    <t>NYKF35811861</t>
  </si>
  <si>
    <t>CUTAB00001080</t>
  </si>
  <si>
    <t>1326-Pink-38</t>
  </si>
  <si>
    <t>28449520981240</t>
  </si>
  <si>
    <t>TINYK12092857</t>
  </si>
  <si>
    <t>TINYK2627100355</t>
  </si>
  <si>
    <t>NFDNXT10</t>
  </si>
  <si>
    <t>NYK-32289409-7532618-1-1</t>
  </si>
  <si>
    <t>NYKF35703099</t>
  </si>
  <si>
    <t>CUTAB00001087</t>
  </si>
  <si>
    <t>1327-Pista Green-36</t>
  </si>
  <si>
    <t>28449522218206</t>
  </si>
  <si>
    <t>TINYK2627100309</t>
  </si>
  <si>
    <t>CUTAB00001088</t>
  </si>
  <si>
    <t>1327-Pista Green-38</t>
  </si>
  <si>
    <t>NYK-32350553-4222086-1-1</t>
  </si>
  <si>
    <t>NYKF35772981</t>
  </si>
  <si>
    <t>CUTAB00001176</t>
  </si>
  <si>
    <t>1333-Pink-24</t>
  </si>
  <si>
    <t>237943175108764</t>
  </si>
  <si>
    <t>TINYK2627100343</t>
  </si>
  <si>
    <t>NYK-32118387-3441148-2-1</t>
  </si>
  <si>
    <t>NYKF35512843</t>
  </si>
  <si>
    <t>CUTAB00001187</t>
  </si>
  <si>
    <t>1334-Yellow-30</t>
  </si>
  <si>
    <t>28449520090873</t>
  </si>
  <si>
    <t>TINYK2627100259</t>
  </si>
  <si>
    <t>NYK-32652682-0894288-1-1</t>
  </si>
  <si>
    <t>NYKF36093334</t>
  </si>
  <si>
    <t>CUTAB00001188</t>
  </si>
  <si>
    <t>1334-Yellow-32</t>
  </si>
  <si>
    <t>88282169054</t>
  </si>
  <si>
    <t>TINYK2627100406</t>
  </si>
  <si>
    <t>NFPRIVE300</t>
  </si>
  <si>
    <t>NYK-32657322-1151108-5-1</t>
  </si>
  <si>
    <t>NYKF36098149</t>
  </si>
  <si>
    <t>CUTAB00001189</t>
  </si>
  <si>
    <t>1334-Yellow-34</t>
  </si>
  <si>
    <t>28449527102740</t>
  </si>
  <si>
    <t>TINYK12184153</t>
  </si>
  <si>
    <t>TINYK2627100408</t>
  </si>
  <si>
    <t>PKIDS300</t>
  </si>
  <si>
    <t>NYK-32159289-6761809-1-1</t>
  </si>
  <si>
    <t>NYKF35557928</t>
  </si>
  <si>
    <t>CUTAB00001196</t>
  </si>
  <si>
    <t>1335-Blue-32</t>
  </si>
  <si>
    <t>237943173099366</t>
  </si>
  <si>
    <t>TINYK2627100271</t>
  </si>
  <si>
    <t>NYK-32311571-6211906-2-1</t>
  </si>
  <si>
    <t>NYKF35728653</t>
  </si>
  <si>
    <t>CUTAB00001202</t>
  </si>
  <si>
    <t>1335-Pink-28</t>
  </si>
  <si>
    <t>28449522286762</t>
  </si>
  <si>
    <t>TINYK12068109</t>
  </si>
  <si>
    <t>TINYK2627100311</t>
  </si>
  <si>
    <t>NYK-32314225-0489465-1-1</t>
  </si>
  <si>
    <t>NYKF35731664</t>
  </si>
  <si>
    <t>CUTAB00001205</t>
  </si>
  <si>
    <t>1335-Pink-34</t>
  </si>
  <si>
    <t>237943175066005</t>
  </si>
  <si>
    <t>TINYK2627100326</t>
  </si>
  <si>
    <t>CUTAB00001207</t>
  </si>
  <si>
    <t>1335-Pink-38</t>
  </si>
  <si>
    <t>NYK-32769889-0520664-1-1</t>
  </si>
  <si>
    <t>NYKF36217547</t>
  </si>
  <si>
    <t>CUTAB00001210</t>
  </si>
  <si>
    <t>1336-Rani-28</t>
  </si>
  <si>
    <t>28449527456273</t>
  </si>
  <si>
    <t>TINYK2627100428</t>
  </si>
  <si>
    <t>NYK-32527107-3642468-1-1</t>
  </si>
  <si>
    <t>NYKF35964262</t>
  </si>
  <si>
    <t>CUTAB00001212</t>
  </si>
  <si>
    <t>1336-Rani-32</t>
  </si>
  <si>
    <t>28449521421750</t>
  </si>
  <si>
    <t>Karauli</t>
  </si>
  <si>
    <t>TINYK2627100385</t>
  </si>
  <si>
    <t>NYK-32413668-4351550-1-1</t>
  </si>
  <si>
    <t>NYKF35843959</t>
  </si>
  <si>
    <t>CUTAB00001213</t>
  </si>
  <si>
    <t>1336-Rani-34</t>
  </si>
  <si>
    <t>237943173358904</t>
  </si>
  <si>
    <t>TINYK2627100364</t>
  </si>
  <si>
    <t>NYK-32397240-3700736-1-1</t>
  </si>
  <si>
    <t>NYKF35826127</t>
  </si>
  <si>
    <t>237943173355496</t>
  </si>
  <si>
    <t>TINYK2627100365</t>
  </si>
  <si>
    <t>NYK-32285125-0110600-2-1</t>
  </si>
  <si>
    <t>NYKF35698434</t>
  </si>
  <si>
    <t>28449520588444</t>
  </si>
  <si>
    <t>TINYK12035667</t>
  </si>
  <si>
    <t>TINYK2627100306</t>
  </si>
  <si>
    <t>NYK-32346845-9590228-1-1</t>
  </si>
  <si>
    <t>NYKF35768786</t>
  </si>
  <si>
    <t>CUTAB00001215</t>
  </si>
  <si>
    <t>1336-Rani-38</t>
  </si>
  <si>
    <t>88282038751</t>
  </si>
  <si>
    <t>TINYK2627100331</t>
  </si>
  <si>
    <t>NYK-32392126-4703941-1-1</t>
  </si>
  <si>
    <t>NYKF35820288</t>
  </si>
  <si>
    <t>CUTAB00001219</t>
  </si>
  <si>
    <t>1337-Cream-30</t>
  </si>
  <si>
    <t>28449520983211</t>
  </si>
  <si>
    <t>TINYK12093963</t>
  </si>
  <si>
    <t>TINYK2627100363</t>
  </si>
  <si>
    <t>NYK-32393348-9873814-1-1</t>
  </si>
  <si>
    <t>NYKF35821724</t>
  </si>
  <si>
    <t>CUTAB00001220</t>
  </si>
  <si>
    <t>1337-Cream-32</t>
  </si>
  <si>
    <t>Verification Cancelled</t>
  </si>
  <si>
    <t xml:space="preserve">Address check - Incomplete address updated
</t>
  </si>
  <si>
    <t>Porbandar</t>
  </si>
  <si>
    <t>Verification-Adress Check,Add check</t>
  </si>
  <si>
    <t>NYK-32224583-1086419-1-1</t>
  </si>
  <si>
    <t>NYKF35629962</t>
  </si>
  <si>
    <t>237943173169963</t>
  </si>
  <si>
    <t>TINYK2627100288</t>
  </si>
  <si>
    <t>NYK-32409883-7186888-1-1</t>
  </si>
  <si>
    <t>NYKF35839732</t>
  </si>
  <si>
    <t>CUTAB00001221</t>
  </si>
  <si>
    <t>1337-Cream-34</t>
  </si>
  <si>
    <t>237943175135364</t>
  </si>
  <si>
    <t>TINYK12097715</t>
  </si>
  <si>
    <t>TINYK2627100356</t>
  </si>
  <si>
    <t>NYK-32520549-4218404-1-1</t>
  </si>
  <si>
    <t>NYKF35957938</t>
  </si>
  <si>
    <t>CUTAB00001223</t>
  </si>
  <si>
    <t>1337-Cream-38</t>
  </si>
  <si>
    <t>28449525265321</t>
  </si>
  <si>
    <t>Mau</t>
  </si>
  <si>
    <t>TINYK2627100382</t>
  </si>
  <si>
    <t>TINYK12044790</t>
  </si>
  <si>
    <t>NYK-32291129-0651827-2-1</t>
  </si>
  <si>
    <t>NYKF35705175</t>
  </si>
  <si>
    <t>28449520606261</t>
  </si>
  <si>
    <t>TINYK2627100310</t>
  </si>
  <si>
    <t>NYK-32140158-8877227-3-1</t>
  </si>
  <si>
    <t>NYKF35537037</t>
  </si>
  <si>
    <t>28449520198581</t>
  </si>
  <si>
    <t>TINYK2627100263</t>
  </si>
  <si>
    <t>NYK-32735375-0543963-3-1</t>
  </si>
  <si>
    <t>NYKF36180923</t>
  </si>
  <si>
    <t>TINAD00000008</t>
  </si>
  <si>
    <t>2366-M.Blue-34</t>
  </si>
  <si>
    <t>28449525843720</t>
  </si>
  <si>
    <t>TINY BABY</t>
  </si>
  <si>
    <t>TINYK2627100424</t>
  </si>
  <si>
    <t>NYK-32164401-7676333-1-1</t>
  </si>
  <si>
    <t>NYKF35563658</t>
  </si>
  <si>
    <t>TINAD00000080</t>
  </si>
  <si>
    <t>2366-Peach-24</t>
  </si>
  <si>
    <t>28449521932190</t>
  </si>
  <si>
    <t>TINYK2627100277</t>
  </si>
  <si>
    <t>NYK-32255483-9312759-2-1</t>
  </si>
  <si>
    <t>NYKF35664912</t>
  </si>
  <si>
    <t>TINAD00000085</t>
  </si>
  <si>
    <t>2366-Peach-34</t>
  </si>
  <si>
    <t>28449520501946</t>
  </si>
  <si>
    <t>TINYK12033035</t>
  </si>
  <si>
    <t>Ghatal</t>
  </si>
  <si>
    <t>TINYK2627100297</t>
  </si>
  <si>
    <t>NYK-32726961-4518314-2-1</t>
  </si>
  <si>
    <t>NYKF36171760</t>
  </si>
  <si>
    <t>TINAD00000086</t>
  </si>
  <si>
    <t>2366-Peach-36</t>
  </si>
  <si>
    <t>28449527397775</t>
  </si>
  <si>
    <t>TINYK2627100420</t>
  </si>
  <si>
    <t>NFOFF15</t>
  </si>
  <si>
    <t>NYK-32426933-4933097-3-1</t>
  </si>
  <si>
    <t>NYKF35858702</t>
  </si>
  <si>
    <t>TINAD00000170</t>
  </si>
  <si>
    <t>2367-Blue-30</t>
  </si>
  <si>
    <t>28449521154615</t>
  </si>
  <si>
    <t>TINYK2627100368</t>
  </si>
  <si>
    <t>NYK-32048316-0083109-1-1</t>
  </si>
  <si>
    <t>NYKF35433862</t>
  </si>
  <si>
    <t>TINAD00000203</t>
  </si>
  <si>
    <t>2377-Lavender-36</t>
  </si>
  <si>
    <t>28449519874610</t>
  </si>
  <si>
    <t>TINYK11977995</t>
  </si>
  <si>
    <t>TINYK2627100233</t>
  </si>
  <si>
    <t>NYK-32706961-5186780-1-1</t>
  </si>
  <si>
    <t>NYKF36150547</t>
  </si>
  <si>
    <t>TINAD00000211</t>
  </si>
  <si>
    <t>2377-NeonYellow-32</t>
  </si>
  <si>
    <t>NFNIGHT20</t>
  </si>
  <si>
    <t>NYK-32459689-7416566-1-1</t>
  </si>
  <si>
    <t>NYKF35893896</t>
  </si>
  <si>
    <t>TINAD00000213</t>
  </si>
  <si>
    <t>2377-NeonYellow-36</t>
  </si>
  <si>
    <t>28449525193685</t>
  </si>
  <si>
    <t>Sikandarpur</t>
  </si>
  <si>
    <t>TINYK2627100373</t>
  </si>
  <si>
    <t>NYK-32683979-8822403-1-1</t>
  </si>
  <si>
    <t>NYKF36125959</t>
  </si>
  <si>
    <t>TINAD00000231</t>
  </si>
  <si>
    <t>2391-Purple-32</t>
  </si>
  <si>
    <t>88282187232</t>
  </si>
  <si>
    <t>TINYK2627100414</t>
  </si>
  <si>
    <t>NFSTYLE</t>
  </si>
  <si>
    <t>TINAD00000302</t>
  </si>
  <si>
    <t>2404-Black-34</t>
  </si>
  <si>
    <t>NYK-32660860-4093560-1-1</t>
  </si>
  <si>
    <t>NYKF36101591</t>
  </si>
  <si>
    <t>TINAD00000511</t>
  </si>
  <si>
    <t>2407-SkyBlue-26</t>
  </si>
  <si>
    <t>28449527105514</t>
  </si>
  <si>
    <t>TINYK12202496</t>
  </si>
  <si>
    <t>Faridabad</t>
  </si>
  <si>
    <t>TINYK2627100399</t>
  </si>
  <si>
    <t>NYK-32018098-0668323-1-1</t>
  </si>
  <si>
    <t>NYKF35400164</t>
  </si>
  <si>
    <t>TINAD00000115</t>
  </si>
  <si>
    <t>2408-Pink-34</t>
  </si>
  <si>
    <t>28449519514994</t>
  </si>
  <si>
    <t>Amritsar</t>
  </si>
  <si>
    <t>TINYK2627100217</t>
  </si>
  <si>
    <t>NYK-32733197-6690468-1-1</t>
  </si>
  <si>
    <t>NYKF36178533</t>
  </si>
  <si>
    <t>TINAD00000116</t>
  </si>
  <si>
    <t>2408-Pink-36</t>
  </si>
  <si>
    <t>28449525843926</t>
  </si>
  <si>
    <t>Bijainagar</t>
  </si>
  <si>
    <t>TINYK2627100421</t>
  </si>
  <si>
    <t>NYK-32047794-8474444-1-1</t>
  </si>
  <si>
    <t>NYKF35433281</t>
  </si>
  <si>
    <t>TINAD00000256</t>
  </si>
  <si>
    <t>2410-Fuchsia-24</t>
  </si>
  <si>
    <t>28449519870771</t>
  </si>
  <si>
    <t>TINYK12043131</t>
  </si>
  <si>
    <t>Bargarh</t>
  </si>
  <si>
    <t>TINYK2627100231</t>
  </si>
  <si>
    <t>NYK-32706661-4579006-1-1</t>
  </si>
  <si>
    <t>NYKF36150204</t>
  </si>
  <si>
    <t>TINAD00000259</t>
  </si>
  <si>
    <t>2410-Fuchsia-30</t>
  </si>
  <si>
    <t>Change style/color</t>
  </si>
  <si>
    <t>NYK-32618471-6738610-1-1</t>
  </si>
  <si>
    <t>NYKF36057578</t>
  </si>
  <si>
    <t>28449525582314</t>
  </si>
  <si>
    <t>TINYK12203197</t>
  </si>
  <si>
    <t>Bareilly</t>
  </si>
  <si>
    <t>TINYK2627100411</t>
  </si>
  <si>
    <t>NYK-32553369-8910454-1-1</t>
  </si>
  <si>
    <t>NYKF35990394</t>
  </si>
  <si>
    <t>TINAD00000260</t>
  </si>
  <si>
    <t>2410-Fuchsia-32</t>
  </si>
  <si>
    <t>59497120745</t>
  </si>
  <si>
    <t>TINYK12177961</t>
  </si>
  <si>
    <t>TINYK2627100387</t>
  </si>
  <si>
    <t>NYK-32768021-6005536-1-1</t>
  </si>
  <si>
    <t>NYKF36229657</t>
  </si>
  <si>
    <t>TINAD00000261</t>
  </si>
  <si>
    <t>2410-Fuchsia-34</t>
  </si>
  <si>
    <t>SF2188137319NYK</t>
  </si>
  <si>
    <t>TINYK2627100433</t>
  </si>
  <si>
    <t>NYK-32733953-8101789-4-1</t>
  </si>
  <si>
    <t>NYKF36179425</t>
  </si>
  <si>
    <t>88282202691</t>
  </si>
  <si>
    <t>TINYK2627100415</t>
  </si>
  <si>
    <t>NTBKF10</t>
  </si>
  <si>
    <t>NYK-32701183-3361730-1-1</t>
  </si>
  <si>
    <t>NYKF36144363</t>
  </si>
  <si>
    <t>28449527396191</t>
  </si>
  <si>
    <t>TINYK2627100417</t>
  </si>
  <si>
    <t>NYK-32630126-7399169-1-1</t>
  </si>
  <si>
    <t>NYKF36070076</t>
  </si>
  <si>
    <t>28449527104232</t>
  </si>
  <si>
    <t>TINYK2627100412</t>
  </si>
  <si>
    <t>NYK-32030101-8465440-1-1</t>
  </si>
  <si>
    <t>NYKF35413340</t>
  </si>
  <si>
    <t>SF1835856296NYK</t>
  </si>
  <si>
    <t>TINYK12038957</t>
  </si>
  <si>
    <t>TINYK2627100213</t>
  </si>
  <si>
    <t>NYK-32614490-4896846-4-1</t>
  </si>
  <si>
    <t>NYKF36053486</t>
  </si>
  <si>
    <t>TINAD00000262</t>
  </si>
  <si>
    <t>2410-Fuchsia-36</t>
  </si>
  <si>
    <t>28449527103963</t>
  </si>
  <si>
    <t>TINYK12187186</t>
  </si>
  <si>
    <t>TINYK2627100410</t>
  </si>
  <si>
    <t>NYK-32499144-8063121-1-1</t>
  </si>
  <si>
    <t>NYKF35935950</t>
  </si>
  <si>
    <t>28449521353706</t>
  </si>
  <si>
    <t>TINYK12103919</t>
  </si>
  <si>
    <t>TINYK2627100379</t>
  </si>
  <si>
    <t>NYK-32359824-0156457-2-1</t>
  </si>
  <si>
    <t>NYKF35783681</t>
  </si>
  <si>
    <t>28449520861271</t>
  </si>
  <si>
    <t>Mirzapur</t>
  </si>
  <si>
    <t>TINYK2627100347</t>
  </si>
  <si>
    <t>NYK-32320008-0448539-2-1</t>
  </si>
  <si>
    <t>NYKF35738082</t>
  </si>
  <si>
    <t>TINAD00000263</t>
  </si>
  <si>
    <t>2410-Fuchsia-38</t>
  </si>
  <si>
    <t>28449522285023</t>
  </si>
  <si>
    <t>TINYK12041143</t>
  </si>
  <si>
    <t>Yamuna Nagar</t>
  </si>
  <si>
    <t>TINYK2627100313</t>
  </si>
  <si>
    <t>NYK-32258554-6428980-1-1</t>
  </si>
  <si>
    <t>NYKF35668512</t>
  </si>
  <si>
    <t>28449522126274</t>
  </si>
  <si>
    <t>Bahraich</t>
  </si>
  <si>
    <t>TINYK2627100298</t>
  </si>
  <si>
    <t>NYK-32247778-2847338-4-1</t>
  </si>
  <si>
    <t>NYKF35656463</t>
  </si>
  <si>
    <t>28449520507222</t>
  </si>
  <si>
    <t>TINYK12023783</t>
  </si>
  <si>
    <t>TINYK2627100296</t>
  </si>
  <si>
    <t>NYK-32735847-1337213-1-1</t>
  </si>
  <si>
    <t>NYKF36181438</t>
  </si>
  <si>
    <t>TINAD00000680</t>
  </si>
  <si>
    <t>2410-Pista Green-28</t>
  </si>
  <si>
    <t>28449525840570</t>
  </si>
  <si>
    <t>TINYK2627100418</t>
  </si>
  <si>
    <t>NYK-32707024-5341863-1-1</t>
  </si>
  <si>
    <t>NYKF36150628</t>
  </si>
  <si>
    <t>TINAD00000681</t>
  </si>
  <si>
    <t>2410-Pista Green-30</t>
  </si>
  <si>
    <t>NYK-32055251-5141451-3-1</t>
  </si>
  <si>
    <t>NYKF35441293</t>
  </si>
  <si>
    <t>TINAD00000267</t>
  </si>
  <si>
    <t>2433-Cream-26</t>
  </si>
  <si>
    <t>SF1835859838NYK</t>
  </si>
  <si>
    <t>TINYK12007813</t>
  </si>
  <si>
    <t>TINYK2627100236</t>
  </si>
  <si>
    <t>NYK-32547708-7582242-5-1</t>
  </si>
  <si>
    <t>NYKF35984994</t>
  </si>
  <si>
    <t>TINAD00000269</t>
  </si>
  <si>
    <t>2433-Cream-30</t>
  </si>
  <si>
    <t>28449521464940</t>
  </si>
  <si>
    <t>TINYK12201262</t>
  </si>
  <si>
    <t>TINYK2627100389</t>
  </si>
  <si>
    <t>NYK-32315357-3060538-1-1</t>
  </si>
  <si>
    <t>NYKF35733038</t>
  </si>
  <si>
    <t>TINAD00000270</t>
  </si>
  <si>
    <t>2433-Cream-32</t>
  </si>
  <si>
    <t>237943173256203</t>
  </si>
  <si>
    <t>Yavatmal</t>
  </si>
  <si>
    <t>TINYK2627100316</t>
  </si>
  <si>
    <t>NYK-32018969-3729000-1-1</t>
  </si>
  <si>
    <t>NYKF35401120</t>
  </si>
  <si>
    <t>TINAD00000272</t>
  </si>
  <si>
    <t>2433-Cream-36</t>
  </si>
  <si>
    <t>SF1835871963NYK</t>
  </si>
  <si>
    <t>TINYK2627100219</t>
  </si>
  <si>
    <t>NYK-32315064-2439405-1-1</t>
  </si>
  <si>
    <t>NYKF35732633</t>
  </si>
  <si>
    <t>TINAD00000102</t>
  </si>
  <si>
    <t>2445-Pink-28</t>
  </si>
  <si>
    <t>28449520681581</t>
  </si>
  <si>
    <t>Kota</t>
  </si>
  <si>
    <t>TINYK2627100315</t>
  </si>
  <si>
    <t>NYK-32649288-3346117-1-1</t>
  </si>
  <si>
    <t>NYKF36089795</t>
  </si>
  <si>
    <t>TINAD00000290</t>
  </si>
  <si>
    <t>2451-Yellow-32</t>
  </si>
  <si>
    <t>28449525581802</t>
  </si>
  <si>
    <t>Vizag</t>
  </si>
  <si>
    <t>TINYK2627100390</t>
  </si>
  <si>
    <t>NYK-32660196-2260320-1-1</t>
  </si>
  <si>
    <t>NYKF36100895</t>
  </si>
  <si>
    <t>TINAD00000602</t>
  </si>
  <si>
    <t>2458-Fawn-28</t>
  </si>
  <si>
    <t>NKFP0000001648</t>
  </si>
  <si>
    <t>TINYK2627100401</t>
  </si>
  <si>
    <t>NYK-32149690-5827160-1-1</t>
  </si>
  <si>
    <t>NYKF35547656</t>
  </si>
  <si>
    <t>28449521848750</t>
  </si>
  <si>
    <t>TINYK12040248</t>
  </si>
  <si>
    <t>Angul</t>
  </si>
  <si>
    <t>TINYK2627100275</t>
  </si>
  <si>
    <t>NYK-32144171-4739451-1-1</t>
  </si>
  <si>
    <t>NYKF35541582</t>
  </si>
  <si>
    <t>TINAD00000696</t>
  </si>
  <si>
    <t>2461-Blue-28</t>
  </si>
  <si>
    <t>28449521862363</t>
  </si>
  <si>
    <t>TINYK12065509</t>
  </si>
  <si>
    <t>Jalalabadup</t>
  </si>
  <si>
    <t>TINYK2627100273</t>
  </si>
  <si>
    <t>TINAD00000697</t>
  </si>
  <si>
    <t>2461-Blue-30</t>
  </si>
  <si>
    <t>TINAD00000279</t>
  </si>
  <si>
    <t>2467-Cream-30</t>
  </si>
  <si>
    <t>TINYK12201529</t>
  </si>
  <si>
    <t>NYK-32082377-9828971-1-1</t>
  </si>
  <si>
    <t>NYKF35471654</t>
  </si>
  <si>
    <t>TINAD00000280</t>
  </si>
  <si>
    <t>2467-Cream-32</t>
  </si>
  <si>
    <t>28449521660310</t>
  </si>
  <si>
    <t>Munger</t>
  </si>
  <si>
    <t>TINYK2627100244</t>
  </si>
  <si>
    <t>NYK-32603161-1020831-1-1</t>
  </si>
  <si>
    <t>NYKF36041673</t>
  </si>
  <si>
    <t>TINAD00000281</t>
  </si>
  <si>
    <t>2467-Cream-34</t>
  </si>
  <si>
    <t>28449527096845</t>
  </si>
  <si>
    <t>BANGALORE</t>
  </si>
  <si>
    <t>TINYK2627100394</t>
  </si>
  <si>
    <t>TINAD00000740</t>
  </si>
  <si>
    <t>2468-Maroon-30</t>
  </si>
  <si>
    <t>NYK-32168665-7276554-1-1</t>
  </si>
  <si>
    <t>NYKF35568369</t>
  </si>
  <si>
    <t>BETAE00000328</t>
  </si>
  <si>
    <t>4066-Blue-40</t>
  </si>
  <si>
    <t>BETTY</t>
  </si>
  <si>
    <t>Chitrakoot</t>
  </si>
  <si>
    <t>NYK-32668405-3326976-1-1</t>
  </si>
  <si>
    <t>NYKF36109503</t>
  </si>
  <si>
    <t>BETAE00000402</t>
  </si>
  <si>
    <t>4409-Grey-38</t>
  </si>
  <si>
    <t>88282185025</t>
  </si>
  <si>
    <t>TINYK2627100413</t>
  </si>
  <si>
    <t>NYK-32350388-3972620-1-1</t>
  </si>
  <si>
    <t>NYKF35772767</t>
  </si>
  <si>
    <t>BETAE00000238</t>
  </si>
  <si>
    <t>4455-Rasberry-20</t>
  </si>
  <si>
    <t>237943175108484</t>
  </si>
  <si>
    <t>TINYK2627100342</t>
  </si>
  <si>
    <t>NYK-32153685-5409393-1-1</t>
  </si>
  <si>
    <t>NYKF35551888</t>
  </si>
  <si>
    <t>BETAE00000247</t>
  </si>
  <si>
    <t>4455-Rasberry-38</t>
  </si>
  <si>
    <t>237943174947053</t>
  </si>
  <si>
    <t>TINYK12142242</t>
  </si>
  <si>
    <t>Satna</t>
  </si>
  <si>
    <t>TINYK2627100262</t>
  </si>
  <si>
    <t>NYK-32627701-1785642-3-1</t>
  </si>
  <si>
    <t>NYKF36067489</t>
  </si>
  <si>
    <t>BETAE00000212</t>
  </si>
  <si>
    <t>4507-Mustard-38</t>
  </si>
  <si>
    <t>NYK-32168444-6797570-2-1</t>
  </si>
  <si>
    <t>NYKF35568088</t>
  </si>
  <si>
    <t>BETAE00000278</t>
  </si>
  <si>
    <t>4585-Orchid-30</t>
  </si>
  <si>
    <t>28449520403401</t>
  </si>
  <si>
    <t>TINYK12050782</t>
  </si>
  <si>
    <t>Chikkamagalur</t>
  </si>
  <si>
    <t>TINYK2627100287</t>
  </si>
  <si>
    <t>NYK-32479200-5788339-1-1</t>
  </si>
  <si>
    <t>NYKF35914506</t>
  </si>
  <si>
    <t>BETAE00000047</t>
  </si>
  <si>
    <t>4594-R.Green-24</t>
  </si>
  <si>
    <t>28449521349554</t>
  </si>
  <si>
    <t>Betty Ethnic</t>
  </si>
  <si>
    <t>TINYK12154520</t>
  </si>
  <si>
    <t>Kashipur</t>
  </si>
  <si>
    <t>TINYK2627100376</t>
  </si>
  <si>
    <t>NYK-32445058-9420637-1-1</t>
  </si>
  <si>
    <t>NYKF35878324</t>
  </si>
  <si>
    <t>BETAE00000033</t>
  </si>
  <si>
    <t>4676-Rust-40</t>
  </si>
  <si>
    <t>BETAE00000186</t>
  </si>
  <si>
    <t>4733-Carrot-40</t>
  </si>
  <si>
    <t>NYK-32309239-1472492-1-1</t>
  </si>
  <si>
    <t>NYKF35725923</t>
  </si>
  <si>
    <t>28449522278653</t>
  </si>
  <si>
    <t>TINYK2627100317</t>
  </si>
  <si>
    <t>NYK-32227801-9343664-1-1</t>
  </si>
  <si>
    <t>NYKF35633900</t>
  </si>
  <si>
    <t>BETAE00000010</t>
  </si>
  <si>
    <t>7863-Black-38</t>
  </si>
  <si>
    <t>59497021776</t>
  </si>
  <si>
    <t>Phulwarisharif</t>
  </si>
  <si>
    <t>TINYK2627100293</t>
  </si>
  <si>
    <t>NYK-32006071-6637145-2-1</t>
  </si>
  <si>
    <t>NYKF35386752</t>
  </si>
  <si>
    <t>BETAE00000105</t>
  </si>
  <si>
    <t>7908-Neon Lemon-40</t>
  </si>
  <si>
    <t>SF1835855465NYK</t>
  </si>
  <si>
    <t>TINYK2627100222</t>
  </si>
  <si>
    <t>NYK-32174799-7615725-2-1</t>
  </si>
  <si>
    <t>NYKF35575248</t>
  </si>
  <si>
    <t>BETAE00000197</t>
  </si>
  <si>
    <t>7928-Rani-30</t>
  </si>
  <si>
    <t>237943173133272</t>
  </si>
  <si>
    <t>TINYK2627100279</t>
  </si>
  <si>
    <t>NFPRIVEDEAL</t>
  </si>
  <si>
    <t>NYK-32226811-6848074-1-1</t>
  </si>
  <si>
    <t>NYKF35632751</t>
  </si>
  <si>
    <t>BETAE00000116</t>
  </si>
  <si>
    <t>9005-Fawn-40</t>
  </si>
  <si>
    <t>28449520407575</t>
  </si>
  <si>
    <t>TINYK12036834</t>
  </si>
  <si>
    <t>Siliguri</t>
  </si>
  <si>
    <t>TINYK2627100286</t>
  </si>
  <si>
    <t>NYK-32191598-2178095-1-1</t>
  </si>
  <si>
    <t>NYKF35593504</t>
  </si>
  <si>
    <t>BETAE00000120</t>
  </si>
  <si>
    <t>9021-D.Rose-26</t>
  </si>
  <si>
    <t>28449520304395</t>
  </si>
  <si>
    <t>TINYK2627100282</t>
  </si>
  <si>
    <t>NYK-32364328-8302608-1-1</t>
  </si>
  <si>
    <t>NYKF35788782</t>
  </si>
  <si>
    <t>CUTAB00000765</t>
  </si>
  <si>
    <t>Tk-1001-Purple-22</t>
  </si>
  <si>
    <t>237943175108716</t>
  </si>
  <si>
    <t>Dhule</t>
  </si>
  <si>
    <t>TINYK2627100327</t>
  </si>
  <si>
    <t>NYK-31969926-0178192-5-1</t>
  </si>
  <si>
    <t>NYKF35347775</t>
  </si>
  <si>
    <t>CUTAB00000733</t>
  </si>
  <si>
    <t>TK-1002-Purple-24</t>
  </si>
  <si>
    <t>SF1835839658NYK</t>
  </si>
  <si>
    <t>TINYK11905377</t>
  </si>
  <si>
    <t>TINYK2627100205</t>
  </si>
  <si>
    <t>NYK-32076920-8406556-1-1</t>
  </si>
  <si>
    <t>NYKF35466028</t>
  </si>
  <si>
    <t>CUTAB00000734</t>
  </si>
  <si>
    <t>TK-1002-Purple-26</t>
  </si>
  <si>
    <t>NYK-31959067-0449307-1-1</t>
  </si>
  <si>
    <t>NYKF35336562</t>
  </si>
  <si>
    <t>CUTAB00000736</t>
  </si>
  <si>
    <t>TK-1002-Purple-30</t>
  </si>
  <si>
    <t>SF1835838610NYK</t>
  </si>
  <si>
    <t>TINYK11924265</t>
  </si>
  <si>
    <t>TINYK2627100203</t>
  </si>
  <si>
    <t>NYK-32432358-5054631-2-1</t>
  </si>
  <si>
    <t>NYKF35864803</t>
  </si>
  <si>
    <t>CUTAB00000744</t>
  </si>
  <si>
    <t>TK-1003-Purple-30</t>
  </si>
  <si>
    <t>28449525008255</t>
  </si>
  <si>
    <t>TINYK12200658</t>
  </si>
  <si>
    <t>Rajkot</t>
  </si>
  <si>
    <t>TINYK2627100369</t>
  </si>
  <si>
    <t>NYK-32388099-8099749-1-1</t>
  </si>
  <si>
    <t>NYKF35815623</t>
  </si>
  <si>
    <t>28449520985064</t>
  </si>
  <si>
    <t>TINYK2627100359</t>
  </si>
  <si>
    <t>CUTAB00000745</t>
  </si>
  <si>
    <t>TK-1003-Purple-32</t>
  </si>
  <si>
    <t>NYK-32733783-7784748-1-1</t>
  </si>
  <si>
    <t>NYKF36179205</t>
  </si>
  <si>
    <t>CUTAB00000748</t>
  </si>
  <si>
    <t>TK-1003-Purple-38</t>
  </si>
  <si>
    <t>28449527398280</t>
  </si>
  <si>
    <t>TINYK2627100423</t>
  </si>
  <si>
    <t>NYK-32146701-0587693-3-1</t>
  </si>
  <si>
    <t>NYKF35544479</t>
  </si>
  <si>
    <t>CUTAB00001003</t>
  </si>
  <si>
    <t>TK-1004-Blue-22</t>
  </si>
  <si>
    <t>237943173100221</t>
  </si>
  <si>
    <t>TINYK11977585</t>
  </si>
  <si>
    <t>TINYK2627100261</t>
  </si>
  <si>
    <t>CUTAB00000995</t>
  </si>
  <si>
    <t>TK-1004-Red-20</t>
  </si>
  <si>
    <t>NYK-32356081-0529117-2-1</t>
  </si>
  <si>
    <t>NYKF35779611</t>
  </si>
  <si>
    <t>CUTAB00001000</t>
  </si>
  <si>
    <t>TK-1004-Red-30</t>
  </si>
  <si>
    <t>28449520863651</t>
  </si>
  <si>
    <t>TINYK12107621</t>
  </si>
  <si>
    <t>Neemrana</t>
  </si>
  <si>
    <t>TINYK2627100352</t>
  </si>
  <si>
    <t>NYK-31994672-1879540-2-1</t>
  </si>
  <si>
    <t>NYKF35374159</t>
  </si>
  <si>
    <t>CUTAB00001132</t>
  </si>
  <si>
    <t>TK-1005-Green-30</t>
  </si>
  <si>
    <t>28449519778474</t>
  </si>
  <si>
    <t>Karaikal</t>
  </si>
  <si>
    <t>pondicherry</t>
  </si>
  <si>
    <t>TINYK2627100224</t>
  </si>
  <si>
    <t>NYK-32806875-2141744-1-1</t>
  </si>
  <si>
    <t>NYKF36256597</t>
  </si>
  <si>
    <t>CUTAB00001136</t>
  </si>
  <si>
    <t>TK-1005-Green-38</t>
  </si>
  <si>
    <t>28449526000203</t>
  </si>
  <si>
    <t>Roorkee</t>
  </si>
  <si>
    <t>TINYK2627100437</t>
  </si>
  <si>
    <t>NFCARTO10</t>
  </si>
  <si>
    <t>NYK-32599366-0349062-1-1</t>
  </si>
  <si>
    <t>NYKF36037564</t>
  </si>
  <si>
    <t>28449525580111</t>
  </si>
  <si>
    <t>TINYK2627100404</t>
  </si>
  <si>
    <t>NYK-32515905-3498940-1-1</t>
  </si>
  <si>
    <t>NYKF35953164</t>
  </si>
  <si>
    <t>CUTAB00001124</t>
  </si>
  <si>
    <t>TK-1005-Orange-30</t>
  </si>
  <si>
    <t>28449521425865</t>
  </si>
  <si>
    <t>TINYK2627100386</t>
  </si>
  <si>
    <t>NFDIWALI1O</t>
  </si>
  <si>
    <t>NYK-32368002-4692261-1-1</t>
  </si>
  <si>
    <t>NYKF35792846</t>
  </si>
  <si>
    <t>28449520865143</t>
  </si>
  <si>
    <t>TINYK12120472</t>
  </si>
  <si>
    <t>Virudhunagar</t>
  </si>
  <si>
    <t>TINYK2627100345</t>
  </si>
  <si>
    <t>NYK-32184393-7488202-2-1</t>
  </si>
  <si>
    <t>NYKF35585840</t>
  </si>
  <si>
    <t>CUTAB00001126</t>
  </si>
  <si>
    <t>TK-1005-Orange-34</t>
  </si>
  <si>
    <t>28449520303334</t>
  </si>
  <si>
    <t>Moradabad</t>
  </si>
  <si>
    <t>TINYK2627100283</t>
  </si>
  <si>
    <t>NYK-32069514-4571698-1-1</t>
  </si>
  <si>
    <t>NYKF35457493</t>
  </si>
  <si>
    <t>SF2167301184NYK</t>
  </si>
  <si>
    <t>TINYK2627100243</t>
  </si>
  <si>
    <t>NYK-32434532-7727847-9-1</t>
  </si>
  <si>
    <t>NYKF35867194</t>
  </si>
  <si>
    <t>CUTAB00001128</t>
  </si>
  <si>
    <t>TK-1005-Orange-38</t>
  </si>
  <si>
    <t>28449521151292</t>
  </si>
  <si>
    <t>Bilimora</t>
  </si>
  <si>
    <t>TINYK2627100367</t>
  </si>
  <si>
    <t>NYK-32440765-0552166-1-1</t>
  </si>
  <si>
    <t>NYKF35873696</t>
  </si>
  <si>
    <t>CUTAB00000988</t>
  </si>
  <si>
    <t>TK-1006-Cream-26</t>
  </si>
  <si>
    <t>28449521149844</t>
  </si>
  <si>
    <t>TINYK12150222</t>
  </si>
  <si>
    <t>Tohana</t>
  </si>
  <si>
    <t>TINYK2627100370</t>
  </si>
  <si>
    <t>NYK-32270140-1371945-1-1</t>
  </si>
  <si>
    <t>NYKF35681761</t>
  </si>
  <si>
    <t>28449520588234</t>
  </si>
  <si>
    <t>TINYK12049138</t>
  </si>
  <si>
    <t>Mandi</t>
  </si>
  <si>
    <t>Himachal Pradesh</t>
  </si>
  <si>
    <t>TINYK2627100304</t>
  </si>
  <si>
    <t>NYK-32551097-2496512-2-1</t>
  </si>
  <si>
    <t>NYKF35988154</t>
  </si>
  <si>
    <t>CUTAB00000991</t>
  </si>
  <si>
    <t>TK-1006-Cream-32</t>
  </si>
  <si>
    <t>28449525580203</t>
  </si>
  <si>
    <t>Tirupati</t>
  </si>
  <si>
    <t>TINYK2627100396</t>
  </si>
  <si>
    <t>mob_with_gt10000_spend</t>
  </si>
  <si>
    <t>NYK-32537429-3884150-1-1</t>
  </si>
  <si>
    <t>NYKF35974533</t>
  </si>
  <si>
    <t>NYK-32803668-3872608-3-1</t>
  </si>
  <si>
    <t>NYKF36253089</t>
  </si>
  <si>
    <t>CUTAB00000992</t>
  </si>
  <si>
    <t>TK-1006-Cream-34</t>
  </si>
  <si>
    <t>28449527560050</t>
  </si>
  <si>
    <t>TINYK2627100435</t>
  </si>
  <si>
    <t>NYK-32530489-2641343-1-1</t>
  </si>
  <si>
    <t>NYKF35967396</t>
  </si>
  <si>
    <t>CUTAB00000993</t>
  </si>
  <si>
    <t>TK-1006-Cream-36</t>
  </si>
  <si>
    <t>28449521425703</t>
  </si>
  <si>
    <t>Shimoga</t>
  </si>
  <si>
    <t>TINYK2627100384</t>
  </si>
  <si>
    <t>NYK-32325570-8592173-1-1</t>
  </si>
  <si>
    <t>NYKF35744228</t>
  </si>
  <si>
    <t>28449520690994</t>
  </si>
  <si>
    <t>TINYK2627100321</t>
  </si>
  <si>
    <t>NYK-32757489-9490689-2-1</t>
  </si>
  <si>
    <t>NYKF36204611</t>
  </si>
  <si>
    <t>CUTAB00000994</t>
  </si>
  <si>
    <t>TK-1006-Cream-38</t>
  </si>
  <si>
    <t>237943173662726</t>
  </si>
  <si>
    <t>TINYK2627100431</t>
  </si>
  <si>
    <t>NYK-32205637-1481602-2-1</t>
  </si>
  <si>
    <t>NYKF35608958</t>
  </si>
  <si>
    <t>28449522045586</t>
  </si>
  <si>
    <t>Madurai</t>
  </si>
  <si>
    <t>TINYK2627100292</t>
  </si>
  <si>
    <t>NYK-32390930-2154052-1-1</t>
  </si>
  <si>
    <t>NYKF35818921</t>
  </si>
  <si>
    <t>CUTAB00001158</t>
  </si>
  <si>
    <t>TK-1007-Green-36</t>
  </si>
  <si>
    <t>28449522528041</t>
  </si>
  <si>
    <t>Bhubaneshwar</t>
  </si>
  <si>
    <t>TINYK2627100358</t>
  </si>
  <si>
    <t>NYK-32358464-7475621-1-1</t>
  </si>
  <si>
    <t>NYKF35782386</t>
  </si>
  <si>
    <t>CUTAB00001159</t>
  </si>
  <si>
    <t>TK-1007-Green-38</t>
  </si>
  <si>
    <t>28449522418664</t>
  </si>
  <si>
    <t>TINYK12131525</t>
  </si>
  <si>
    <t>Chhabra</t>
  </si>
  <si>
    <t>TINYK2627100341</t>
  </si>
  <si>
    <t>NYK-32611697-6511652-1-1</t>
  </si>
  <si>
    <t>NYKF36050837</t>
  </si>
  <si>
    <t>CUTAB00001160</t>
  </si>
  <si>
    <t>TK-1007-Purple-24</t>
  </si>
  <si>
    <t xml:space="preserve">Bad Return history
</t>
  </si>
  <si>
    <t>NYK-31996528-5584003-1-1</t>
  </si>
  <si>
    <t>NYKF35376117</t>
  </si>
  <si>
    <t>CUTAB00001167</t>
  </si>
  <si>
    <t>TK-1007-Purple-38</t>
  </si>
  <si>
    <t>28449519779664</t>
  </si>
  <si>
    <t>TINYK2627100215</t>
  </si>
  <si>
    <t>NYK-32353741-0279376-5-1</t>
  </si>
  <si>
    <t>NYKF35776826</t>
  </si>
  <si>
    <t>CUTAB00001169</t>
  </si>
  <si>
    <t>TK-1008-Purple-26</t>
  </si>
  <si>
    <t>28449520862682</t>
  </si>
  <si>
    <t>TINYK2627100329</t>
  </si>
  <si>
    <t>CUTAB00001172</t>
  </si>
  <si>
    <t>TK-1008-Purple-32</t>
  </si>
  <si>
    <t>NYK-32362722-5554338-2-1</t>
  </si>
  <si>
    <t>NYKF35787026</t>
  </si>
  <si>
    <t>CUTAB00001173</t>
  </si>
  <si>
    <t>TK-1008-Purple-34</t>
  </si>
  <si>
    <t>28449520864583</t>
  </si>
  <si>
    <t>TINYK2627100338</t>
  </si>
  <si>
    <t>KPI</t>
  </si>
  <si>
    <t>Value</t>
  </si>
  <si>
    <t>Total Orders</t>
  </si>
  <si>
    <t>Total Returned Orders</t>
  </si>
  <si>
    <t>Total RTO Delivered Orders</t>
  </si>
  <si>
    <t>Total Cancelled Orders</t>
  </si>
  <si>
    <t>Return %</t>
  </si>
  <si>
    <t>Total Quantity</t>
  </si>
  <si>
    <t>Total Gross Sales</t>
  </si>
  <si>
    <t>Total GST</t>
  </si>
  <si>
    <t>Total Net Sales</t>
  </si>
  <si>
    <t>Completed</t>
  </si>
  <si>
    <t>Total Completed Orders</t>
  </si>
  <si>
    <t>Row Labels</t>
  </si>
  <si>
    <t>Grand Total</t>
  </si>
  <si>
    <t>Count of Status</t>
  </si>
  <si>
    <t>Sum of Net Sale (After Tax)</t>
  </si>
  <si>
    <t>Return Reason</t>
  </si>
  <si>
    <t>Not Mentioned</t>
  </si>
  <si>
    <t>Product didn't fit</t>
  </si>
  <si>
    <t>Didn’t like the quality of product</t>
  </si>
  <si>
    <t>Received Wrong Product</t>
  </si>
  <si>
    <t>Didn't like the quality of product</t>
  </si>
  <si>
    <t>Don't need it anymore</t>
  </si>
  <si>
    <t>Received wrong size</t>
  </si>
  <si>
    <t>Reason</t>
  </si>
  <si>
    <t>Count of Return Reason</t>
  </si>
  <si>
    <t>Dislike Product Quality</t>
  </si>
  <si>
    <t>Size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</si>
</sst>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00000"/>
        <bgColor theme="9"/>
      </patternFill>
    </fill>
    <fill>
      <patternFill patternType="solid">
        <fgColor theme="5" tint="-0.249977111117893"/>
        <bgColor theme="9"/>
      </patternFill>
    </fill>
    <fill>
      <patternFill patternType="solid">
        <fgColor theme="7" tint="-0.499984740745262"/>
        <bgColor theme="9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/>
    <xf numFmtId="0" fontId="2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2" fillId="2" borderId="3" xfId="0" applyFont="1" applyFill="1" applyBorder="1"/>
    <xf numFmtId="0" fontId="0" fillId="3" borderId="3" xfId="0" applyFont="1" applyFill="1" applyBorder="1"/>
    <xf numFmtId="0" fontId="0" fillId="0" borderId="3" xfId="0" applyFont="1" applyBorder="1"/>
    <xf numFmtId="0" fontId="3" fillId="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9" fontId="5" fillId="0" borderId="4" xfId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2" fillId="5" borderId="4" xfId="0" applyFont="1" applyFill="1" applyBorder="1"/>
    <xf numFmtId="0" fontId="2" fillId="5" borderId="4" xfId="0" applyFont="1" applyFill="1" applyBorder="1" applyAlignment="1">
      <alignment horizontal="center"/>
    </xf>
    <xf numFmtId="0" fontId="0" fillId="0" borderId="4" xfId="0" applyFont="1" applyFill="1" applyBorder="1"/>
    <xf numFmtId="0" fontId="0" fillId="0" borderId="4" xfId="0" applyFont="1" applyFill="1" applyBorder="1" applyAlignment="1">
      <alignment horizontal="center"/>
    </xf>
    <xf numFmtId="0" fontId="0" fillId="0" borderId="4" xfId="0" applyFill="1" applyBorder="1"/>
    <xf numFmtId="0" fontId="2" fillId="7" borderId="4" xfId="0" applyFont="1" applyFill="1" applyBorder="1"/>
    <xf numFmtId="0" fontId="2" fillId="7" borderId="4" xfId="0" applyFont="1" applyFill="1" applyBorder="1" applyAlignment="1">
      <alignment horizontal="center"/>
    </xf>
    <xf numFmtId="0" fontId="2" fillId="6" borderId="4" xfId="0" applyFont="1" applyFill="1" applyBorder="1"/>
    <xf numFmtId="0" fontId="2" fillId="6" borderId="4" xfId="0" applyFont="1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left"/>
    </xf>
  </cellXfs>
  <cellStyles count="2">
    <cellStyle name="Normal" xfId="0" builtinId="0"/>
    <cellStyle name="Percent" xfId="1" builtinId="5"/>
  </cellStyles>
  <dxfs count="39">
    <dxf>
      <numFmt numFmtId="164" formatCode="_ [$₹-4009]\ * #,##0.00_ ;_ [$₹-4009]\ * \-#,##0.00_ ;_ [$₹-4009]\ * &quot;-&quot;??_ ;_ @_ 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[Nyka_sheet_2.xlsx]Sales_Oct_25!PivotTable6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status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Sales_Oct_25!$C$1048328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863-4654-914F-9BDAB0E0B0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863-4654-914F-9BDAB0E0B0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863-4654-914F-9BDAB0E0B0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863-4654-914F-9BDAB0E0B0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863-4654-914F-9BDAB0E0B06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863-4654-914F-9BDAB0E0B06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863-4654-914F-9BDAB0E0B0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Sales_Oct_25!$B$1048329:$B$1048336</c:f>
              <c:strCache>
                <c:ptCount val="7"/>
                <c:pt idx="0">
                  <c:v>Completed</c:v>
                </c:pt>
                <c:pt idx="1">
                  <c:v>Returned</c:v>
                </c:pt>
                <c:pt idx="2">
                  <c:v>Cancelled</c:v>
                </c:pt>
                <c:pt idx="3">
                  <c:v>Shipped</c:v>
                </c:pt>
                <c:pt idx="4">
                  <c:v>Lost In Transit</c:v>
                </c:pt>
                <c:pt idx="5">
                  <c:v>RTO Delivered</c:v>
                </c:pt>
                <c:pt idx="6">
                  <c:v>Ready for Ship</c:v>
                </c:pt>
              </c:strCache>
            </c:strRef>
          </c:cat>
          <c:val>
            <c:numRef>
              <c:f>Sales_Oct_25!$C$1048329:$C$1048336</c:f>
              <c:numCache>
                <c:formatCode>General</c:formatCode>
                <c:ptCount val="7"/>
                <c:pt idx="0">
                  <c:v>141</c:v>
                </c:pt>
                <c:pt idx="1">
                  <c:v>74</c:v>
                </c:pt>
                <c:pt idx="2">
                  <c:v>29</c:v>
                </c:pt>
                <c:pt idx="3">
                  <c:v>20</c:v>
                </c:pt>
                <c:pt idx="4">
                  <c:v>12</c:v>
                </c:pt>
                <c:pt idx="5">
                  <c:v>11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863-4654-914F-9BDAB0E0B06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[Nyka_sheet_2.xlsx]Sales_Oct_25!PivotTable8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Sales_Oct_25!$I$1048328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Sales_Oct_25!$H$1048329:$H$1048339</c:f>
              <c:strCache>
                <c:ptCount val="10"/>
                <c:pt idx="0">
                  <c:v>1308-Cream-36</c:v>
                </c:pt>
                <c:pt idx="1">
                  <c:v>1305-Sky Blue-32</c:v>
                </c:pt>
                <c:pt idx="2">
                  <c:v>1337-Cream-38</c:v>
                </c:pt>
                <c:pt idx="3">
                  <c:v>1308-Cream-34</c:v>
                </c:pt>
                <c:pt idx="4">
                  <c:v>1293-Orange-38</c:v>
                </c:pt>
                <c:pt idx="5">
                  <c:v>1311-Pink-38</c:v>
                </c:pt>
                <c:pt idx="6">
                  <c:v>1311-Pink-36</c:v>
                </c:pt>
                <c:pt idx="7">
                  <c:v>1311-Pink-24</c:v>
                </c:pt>
                <c:pt idx="8">
                  <c:v>4733-Carrot-40</c:v>
                </c:pt>
                <c:pt idx="9">
                  <c:v>1336-Rani-34</c:v>
                </c:pt>
              </c:strCache>
            </c:strRef>
          </c:cat>
          <c:val>
            <c:numRef>
              <c:f>Sales_Oct_25!$I$1048329:$I$1048339</c:f>
              <c:numCache>
                <c:formatCode>_ [$₹-4009]\ * #,##0.00_ ;_ [$₹-4009]\ * \-#,##0.00_ ;_ [$₹-4009]\ * "-"??_ ;_ @_ </c:formatCode>
                <c:ptCount val="10"/>
                <c:pt idx="0">
                  <c:v>20745.768000000004</c:v>
                </c:pt>
                <c:pt idx="1">
                  <c:v>20532.54</c:v>
                </c:pt>
                <c:pt idx="2">
                  <c:v>16699.184999999998</c:v>
                </c:pt>
                <c:pt idx="3">
                  <c:v>16596.613000000001</c:v>
                </c:pt>
                <c:pt idx="4">
                  <c:v>16596.612000000001</c:v>
                </c:pt>
                <c:pt idx="5">
                  <c:v>14522.031999999999</c:v>
                </c:pt>
                <c:pt idx="6">
                  <c:v>14522.031999999999</c:v>
                </c:pt>
                <c:pt idx="7">
                  <c:v>14522.031999999999</c:v>
                </c:pt>
                <c:pt idx="8">
                  <c:v>13138.984</c:v>
                </c:pt>
                <c:pt idx="9">
                  <c:v>12591.527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6-4DC8-A2F8-E33A8DF334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87667199"/>
        <c:axId val="1293065647"/>
      </c:barChart>
      <c:catAx>
        <c:axId val="148766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065647"/>
        <c:crosses val="autoZero"/>
        <c:auto val="1"/>
        <c:lblAlgn val="ctr"/>
        <c:lblOffset val="100"/>
        <c:noMultiLvlLbl val="0"/>
      </c:catAx>
      <c:valAx>
        <c:axId val="129306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6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Top Return Reason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966524784312942E-2"/>
          <c:y val="0.14277224275536987"/>
          <c:w val="0.94630405052723499"/>
          <c:h val="0.68863383148535007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0E4-42F2-A4FC-A0700E1A0195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0E4-42F2-A4FC-A0700E1A0195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0E4-42F2-A4FC-A0700E1A0195}"/>
              </c:ext>
            </c:extLst>
          </c:dPt>
          <c:dLbls>
            <c:dLbl>
              <c:idx val="0"/>
              <c:layout>
                <c:manualLayout>
                  <c:x val="-4.8814499520695651E-3"/>
                  <c:y val="-2.703947720820673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E4-42F2-A4FC-A0700E1A0195}"/>
                </c:ext>
              </c:extLst>
            </c:dLbl>
            <c:dLbl>
              <c:idx val="1"/>
              <c:layout>
                <c:manualLayout>
                  <c:x val="2.4407249760347713E-3"/>
                  <c:y val="6.9741282339707536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E4-42F2-A4FC-A0700E1A0195}"/>
                </c:ext>
              </c:extLst>
            </c:dLbl>
            <c:dLbl>
              <c:idx val="2"/>
              <c:layout>
                <c:manualLayout>
                  <c:x val="-1.7898443059913428E-16"/>
                  <c:y val="-2.703947720820611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E4-42F2-A4FC-A0700E1A01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2">
                        <a:lumMod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Sales_Oct_25!$N$1048329:$N$1048331</c:f>
              <c:strCache>
                <c:ptCount val="3"/>
                <c:pt idx="0">
                  <c:v>Dislike Product Quality</c:v>
                </c:pt>
                <c:pt idx="1">
                  <c:v>Size Issue</c:v>
                </c:pt>
                <c:pt idx="2">
                  <c:v>Don't need it anymore</c:v>
                </c:pt>
              </c:strCache>
            </c:strRef>
          </c:cat>
          <c:val>
            <c:numRef>
              <c:f>Sales_Oct_25!$O$1048329:$O$1048331</c:f>
              <c:numCache>
                <c:formatCode>General</c:formatCode>
                <c:ptCount val="3"/>
                <c:pt idx="0">
                  <c:v>16</c:v>
                </c:pt>
                <c:pt idx="1">
                  <c:v>41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4-42F2-A4FC-A0700E1A019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393620383"/>
        <c:axId val="1393620863"/>
      </c:barChart>
      <c:catAx>
        <c:axId val="139362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620863"/>
        <c:crosses val="autoZero"/>
        <c:auto val="1"/>
        <c:lblAlgn val="ctr"/>
        <c:lblOffset val="100"/>
        <c:noMultiLvlLbl val="0"/>
      </c:catAx>
      <c:valAx>
        <c:axId val="1393620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9362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174171</xdr:colOff>
      <xdr:row>0</xdr:row>
      <xdr:rowOff>152399</xdr:rowOff>
    </xdr:from>
    <xdr:to>
      <xdr:col>13</xdr:col>
      <xdr:colOff>250372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C95171-0866-4903-94CE-677D98D43B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10884</xdr:colOff>
      <xdr:row>20</xdr:row>
      <xdr:rowOff>130626</xdr:rowOff>
    </xdr:from>
    <xdr:to>
      <xdr:col>19</xdr:col>
      <xdr:colOff>315686</xdr:colOff>
      <xdr:row>48</xdr:row>
      <xdr:rowOff>-1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C359D1-2A8A-45D3-93F9-152AE8502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478971</xdr:colOff>
      <xdr:row>0</xdr:row>
      <xdr:rowOff>141514</xdr:rowOff>
    </xdr:from>
    <xdr:to>
      <xdr:col>22</xdr:col>
      <xdr:colOff>195943</xdr:colOff>
      <xdr:row>20</xdr:row>
      <xdr:rowOff>54428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03AD80-631C-42A9-8EA6-F0C35035D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-commerce\Nyka_sheet.xlsx" TargetMode="External"/><Relationship Id="rId1" Type="http://schemas.openxmlformats.org/officeDocument/2006/relationships/externalLinkPath" Target="Nyka_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_Sept_25"/>
      <sheetName val="Sept Insights"/>
      <sheetName val="Sept_25_All"/>
      <sheetName val="Sept_25_Completed"/>
      <sheetName val="Sept_25_Return"/>
      <sheetName val="Sept_25_RTO"/>
      <sheetName val="Sept_25_Cancelled"/>
      <sheetName val="Sales_Oct_2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Sufiyan Mujawar" refreshedDate="45980.771985648149" createdVersion="8" refreshedVersion="8" minRefreshableVersion="3" recordCount="291" xr:uid="{C619C852-5B15-4C8B-A51C-F619C71CEC51}">
  <cacheSource type="worksheet">
    <worksheetSource name="MarketPlace_Order_Report__2"/>
  </cacheSource>
  <cacheFields count="58">
    <cacheField name="MagentoOrderNo" numFmtId="0">
      <sharedItems/>
    </cacheField>
    <cacheField name="orderno" numFmtId="0">
      <sharedItems/>
    </cacheField>
    <cacheField name="SKUCode" numFmtId="0">
      <sharedItems/>
    </cacheField>
    <cacheField name="Design no." numFmtId="0">
      <sharedItems count="207">
        <s v="1180-Blue-18"/>
        <s v="1180-Blue-20"/>
        <s v="1209-Orange-22"/>
        <s v="1212-Multi-24"/>
        <s v="1212-Multi-32"/>
        <s v="1221-Rani-26"/>
        <s v="1221-Rani-30"/>
        <s v="1221-Rani-32"/>
        <s v="1221-Rani-34"/>
        <s v="1221-Rani-36"/>
        <s v="1230-Yellow-20"/>
        <s v="1230-Yellow-26"/>
        <s v="1230-Yellow-30"/>
        <s v="1230-Yellow-32"/>
        <s v="1231-Tomato-34"/>
        <s v="1233-Grey-18"/>
        <s v="1235-Blue-38"/>
        <s v="1241-Red-38"/>
        <s v="1245-Pink-20"/>
        <s v="1245-Pink-34"/>
        <s v="1246-Green-20"/>
        <s v="1250-Blue-34"/>
        <s v="1253-P.Blue-38"/>
        <s v="1258-Multi-24"/>
        <s v="1258-Multi-30"/>
        <s v="1258-Multi-32"/>
        <s v="1262-Green-26"/>
        <s v="1263-Lilac-38"/>
        <s v="1266-Rani-28"/>
        <s v="1266-Rani-36"/>
        <s v="1266-Rani-38"/>
        <s v="1267-Rani-38"/>
        <s v="1271-Blue-36"/>
        <s v="1276-L.Blue-24"/>
        <s v="1276-N.Blue-28"/>
        <s v="1276-N.Blue-30"/>
        <s v="1278-Multicolor-22"/>
        <s v="1278-Multicolor-30"/>
        <s v="1278-Multicolor-34"/>
        <s v="1280-Green-24"/>
        <s v="1280-Pink-24"/>
        <s v="1283-Blue-16"/>
        <s v="1284-Blue-30"/>
        <s v="1284-Blue-36"/>
        <s v="1285-Wine-36"/>
        <s v="1287-Rani-26"/>
        <s v="1288-Rani-30"/>
        <s v="1288-Rani-36"/>
        <s v="1288-Rani-38"/>
        <s v="1290-Purple-24"/>
        <s v="1290-Purple-32"/>
        <s v="1290-Purple-34"/>
        <s v="1290-Purple-36"/>
        <s v="1290-Purple-38"/>
        <s v="1290-Red-24"/>
        <s v="1290-Red-30"/>
        <s v="1290-Red-36"/>
        <s v="1290-Red-38"/>
        <s v="1291-Yellow-38"/>
        <s v="1293-Orange-36"/>
        <s v="1293-Orange-38"/>
        <s v="1294-Black-28"/>
        <s v="1295-Blue-20"/>
        <s v="1295-Blue-24"/>
        <s v="1295-Blue-26"/>
        <s v="1295-Maroon-20"/>
        <s v="1295-Maroon-22"/>
        <s v="1295-Maroon-24"/>
        <s v="1295-Maroon-28"/>
        <s v="1295-Maroon-30"/>
        <s v="1295-Maroon-32"/>
        <s v="1295-Maroon-34"/>
        <s v="1298-Magenta-28"/>
        <s v="1300-Black-24"/>
        <s v="1300-Black-38"/>
        <s v="1305-Grey-34"/>
        <s v="1305-Sky Blue-20"/>
        <s v="1305-Sky Blue-22"/>
        <s v="1305-Sky Blue-24"/>
        <s v="1305-Sky Blue-26"/>
        <s v="1305-Sky Blue-28"/>
        <s v="1305-Sky Blue-30"/>
        <s v="1305-Sky Blue-32"/>
        <s v="1305-Sky Blue-34"/>
        <s v="1305-Sky Blue-36"/>
        <s v="1307-Firozi-36"/>
        <s v="1308-Cream-28"/>
        <s v="1308-Cream-32"/>
        <s v="1308-Cream-34"/>
        <s v="1308-Cream-36"/>
        <s v="1308-Cream-38"/>
        <s v="1310-Purple-28"/>
        <s v="1310-Purple-36"/>
        <s v="1311-Pink-24"/>
        <s v="1311-Pink-26"/>
        <s v="1311-Pink-28"/>
        <s v="1311-Pink-30"/>
        <s v="1311-Pink-32"/>
        <s v="1311-Pink-36"/>
        <s v="1311-Pink-38"/>
        <s v="1313-Yellow-28"/>
        <s v="1316-Pink-22"/>
        <s v="1317-White-18"/>
        <s v="1318-Yellow-38"/>
        <s v="1321-Wine-24"/>
        <s v="1321-Wine-28"/>
        <s v="1321-Wine-36"/>
        <s v="1323-Cream-30"/>
        <s v="1323-Cream-34"/>
        <s v="1323-Cream-36"/>
        <s v="1323-Cream-38"/>
        <s v="1326-Pink-24"/>
        <s v="1326-Pink-34"/>
        <s v="1326-Pink-38"/>
        <s v="1327-Pista Green-36"/>
        <s v="1327-Pista Green-38"/>
        <s v="1333-Pink-24"/>
        <s v="1334-Yellow-30"/>
        <s v="1334-Yellow-32"/>
        <s v="1334-Yellow-34"/>
        <s v="1335-Blue-32"/>
        <s v="1335-Pink-28"/>
        <s v="1335-Pink-34"/>
        <s v="1335-Pink-38"/>
        <s v="1336-Rani-28"/>
        <s v="1336-Rani-32"/>
        <s v="1336-Rani-34"/>
        <s v="1336-Rani-38"/>
        <s v="1337-Cream-30"/>
        <s v="1337-Cream-32"/>
        <s v="1337-Cream-34"/>
        <s v="1337-Cream-38"/>
        <s v="2366-M.Blue-34"/>
        <s v="2366-Peach-24"/>
        <s v="2366-Peach-34"/>
        <s v="2366-Peach-36"/>
        <s v="2367-Blue-30"/>
        <s v="2377-Lavender-36"/>
        <s v="2377-NeonYellow-32"/>
        <s v="2377-NeonYellow-36"/>
        <s v="2391-Purple-32"/>
        <s v="2404-Black-34"/>
        <s v="2407-SkyBlue-26"/>
        <s v="2408-Pink-34"/>
        <s v="2408-Pink-36"/>
        <s v="2410-Fuchsia-24"/>
        <s v="2410-Fuchsia-30"/>
        <s v="2410-Fuchsia-32"/>
        <s v="2410-Fuchsia-34"/>
        <s v="2410-Fuchsia-36"/>
        <s v="2410-Fuchsia-38"/>
        <s v="2410-Pista Green-28"/>
        <s v="2410-Pista Green-30"/>
        <s v="2433-Cream-26"/>
        <s v="2433-Cream-30"/>
        <s v="2433-Cream-32"/>
        <s v="2433-Cream-36"/>
        <s v="2445-Pink-28"/>
        <s v="2451-Yellow-32"/>
        <s v="2458-Fawn-28"/>
        <s v="2461-Blue-28"/>
        <s v="2461-Blue-30"/>
        <s v="2467-Cream-30"/>
        <s v="2467-Cream-32"/>
        <s v="2467-Cream-34"/>
        <s v="2468-Maroon-30"/>
        <s v="4066-Blue-40"/>
        <s v="4409-Grey-38"/>
        <s v="4455-Rasberry-20"/>
        <s v="4455-Rasberry-38"/>
        <s v="4507-Mustard-38"/>
        <s v="4585-Orchid-30"/>
        <s v="4594-R.Green-24"/>
        <s v="4676-Rust-40"/>
        <s v="4733-Carrot-40"/>
        <s v="7863-Black-38"/>
        <s v="7908-Neon Lemon-40"/>
        <s v="7928-Rani-30"/>
        <s v="9005-Fawn-40"/>
        <s v="9021-D.Rose-26"/>
        <s v="Tk-1001-Purple-22"/>
        <s v="TK-1002-Purple-24"/>
        <s v="TK-1002-Purple-26"/>
        <s v="TK-1002-Purple-30"/>
        <s v="TK-1003-Purple-30"/>
        <s v="TK-1003-Purple-32"/>
        <s v="TK-1003-Purple-38"/>
        <s v="TK-1004-Blue-22"/>
        <s v="TK-1004-Red-20"/>
        <s v="TK-1004-Red-30"/>
        <s v="TK-1005-Green-30"/>
        <s v="TK-1005-Green-38"/>
        <s v="TK-1005-Orange-30"/>
        <s v="TK-1005-Orange-34"/>
        <s v="TK-1005-Orange-38"/>
        <s v="TK-1006-Cream-26"/>
        <s v="TK-1006-Cream-32"/>
        <s v="TK-1006-Cream-34"/>
        <s v="TK-1006-Cream-36"/>
        <s v="TK-1006-Cream-38"/>
        <s v="TK-1007-Green-36"/>
        <s v="TK-1007-Green-38"/>
        <s v="TK-1007-Purple-24"/>
        <s v="TK-1007-Purple-38"/>
        <s v="TK-1008-Purple-26"/>
        <s v="TK-1008-Purple-32"/>
        <s v="TK-1008-Purple-34"/>
      </sharedItems>
    </cacheField>
    <cacheField name="EXTLINENO" numFmtId="0">
      <sharedItems containsSemiMixedTypes="0" containsString="0" containsNumber="1" containsInteger="1" minValue="1" maxValue="31"/>
    </cacheField>
    <cacheField name="Status" numFmtId="0">
      <sharedItems count="7">
        <s v="Returned"/>
        <s v="Completed"/>
        <s v="Ready for Ship"/>
        <s v="Shipped"/>
        <s v="Cancelled"/>
        <s v="RTO Delivered"/>
        <s v="Lost In Transit"/>
      </sharedItems>
    </cacheField>
    <cacheField name="OrderQty" numFmtId="0">
      <sharedItems containsSemiMixedTypes="0" containsString="0" containsNumber="1" containsInteger="1" minValue="1" maxValue="1"/>
    </cacheField>
    <cacheField name="ShippedQty" numFmtId="0">
      <sharedItems containsSemiMixedTypes="0" containsString="0" containsNumber="1" containsInteger="1" minValue="0" maxValue="1"/>
    </cacheField>
    <cacheField name="Mrp" numFmtId="0">
      <sharedItems containsSemiMixedTypes="0" containsString="0" containsNumber="1" containsInteger="1" minValue="1750" maxValue="6950"/>
    </cacheField>
    <cacheField name="UnitPrice" numFmtId="0">
      <sharedItems containsSemiMixedTypes="0" containsString="0" containsNumber="1" containsInteger="1" minValue="1000" maxValue="6255"/>
    </cacheField>
    <cacheField name="DiscountAmount" numFmtId="0">
      <sharedItems containsSemiMixedTypes="0" containsString="0" containsNumber="1" containsInteger="1" minValue="0" maxValue="0"/>
    </cacheField>
    <cacheField name="LineItemTotal" numFmtId="0">
      <sharedItems containsSemiMixedTypes="0" containsString="0" containsNumber="1" minValue="1000" maxValue="6274.2"/>
    </cacheField>
    <cacheField name="ShippingCharge" numFmtId="0">
      <sharedItems containsSemiMixedTypes="0" containsString="0" containsNumber="1" minValue="0" maxValue="119"/>
    </cacheField>
    <cacheField name="Mode" numFmtId="0">
      <sharedItems/>
    </cacheField>
    <cacheField name="OrderDate" numFmtId="22">
      <sharedItems containsSemiMixedTypes="0" containsNonDate="0" containsDate="1" containsString="0" minDate="2025-10-01T00:57:29" maxDate="2025-10-30T10:41:47"/>
    </cacheField>
    <cacheField name="ShippedDate" numFmtId="22">
      <sharedItems containsNonDate="0" containsDate="1" containsString="0" containsBlank="1" minDate="2025-10-01T15:19:00" maxDate="2025-10-30T17:29:51"/>
    </cacheField>
    <cacheField name="DeliveredDate" numFmtId="22">
      <sharedItems containsNonDate="0" containsDate="1" containsString="0" containsBlank="1" minDate="2025-10-05T15:23:34" maxDate="2025-10-31T12:38:11"/>
    </cacheField>
    <cacheField name="AWBNo" numFmtId="0">
      <sharedItems/>
    </cacheField>
    <cacheField name="TransName" numFmtId="0">
      <sharedItems/>
    </cacheField>
    <cacheField name="Invoicedate" numFmtId="22">
      <sharedItems containsNonDate="0" containsDate="1" containsString="0" containsBlank="1" minDate="2025-10-01T13:25:20" maxDate="2025-10-31T12:25:47"/>
    </cacheField>
    <cacheField name="ReasonForCancellation" numFmtId="0">
      <sharedItems/>
    </cacheField>
    <cacheField name="Brand" numFmtId="0">
      <sharedItems/>
    </cacheField>
    <cacheField name="CancelRemark" numFmtId="0">
      <sharedItems/>
    </cacheField>
    <cacheField name="CommentHistory" numFmtId="0">
      <sharedItems/>
    </cacheField>
    <cacheField name="Return Code" numFmtId="0">
      <sharedItems/>
    </cacheField>
    <cacheField name="Return Type" numFmtId="0">
      <sharedItems/>
    </cacheField>
    <cacheField name="Return Status" numFmtId="0">
      <sharedItems/>
    </cacheField>
    <cacheField name="Return Create Reason" numFmtId="0">
      <sharedItems/>
    </cacheField>
    <cacheField name="OrderSource" numFmtId="0">
      <sharedItems/>
    </cacheField>
    <cacheField name="upddate" numFmtId="22">
      <sharedItems containsSemiMixedTypes="0" containsNonDate="0" containsDate="1" containsString="0" minDate="2025-10-02T22:59:37" maxDate="2025-10-31T13:26:25"/>
    </cacheField>
    <cacheField name="Is Replacement" numFmtId="0">
      <sharedItems/>
    </cacheField>
    <cacheField name="Original OrderNo" numFmtId="0">
      <sharedItems/>
    </cacheField>
    <cacheField name="city_x000a_" numFmtId="0">
      <sharedItems/>
    </cacheField>
    <cacheField name="State" numFmtId="0">
      <sharedItems/>
    </cacheField>
    <cacheField name="Pincode" numFmtId="0">
      <sharedItems containsSemiMixedTypes="0" containsString="0" containsNumber="1" containsInteger="1" minValue="110016" maxValue="852129"/>
    </cacheField>
    <cacheField name="Country" numFmtId="0">
      <sharedItems/>
    </cacheField>
    <cacheField name="Currency" numFmtId="0">
      <sharedItems/>
    </cacheField>
    <cacheField name="HSNCode" numFmtId="0">
      <sharedItems containsSemiMixedTypes="0" containsString="0" containsNumber="1" containsInteger="1" minValue="62042300" maxValue="62044220"/>
    </cacheField>
    <cacheField name="CancelledDate" numFmtId="22">
      <sharedItems containsNonDate="0" containsDate="1" containsString="0" containsBlank="1" minDate="2025-10-02T22:59:37" maxDate="2025-10-27T17:36:22"/>
    </cacheField>
    <cacheField name="SellingPrice" numFmtId="0">
      <sharedItems containsSemiMixedTypes="0" containsString="0" containsNumber="1" containsInteger="1" minValue="1000" maxValue="6255"/>
    </cacheField>
    <cacheField name="InvoiceNo" numFmtId="0">
      <sharedItems/>
    </cacheField>
    <cacheField name="Discount code" numFmtId="0">
      <sharedItems/>
    </cacheField>
    <cacheField name="Order Tag" numFmtId="0">
      <sharedItems/>
    </cacheField>
    <cacheField name="OnHold" numFmtId="0">
      <sharedItems/>
    </cacheField>
    <cacheField name="TaxPercent" numFmtId="0">
      <sharedItems containsSemiMixedTypes="0" containsString="0" containsNumber="1" containsInteger="1" minValue="5" maxValue="18"/>
    </cacheField>
    <cacheField name="CGSTTaxPercent" numFmtId="0">
      <sharedItems containsSemiMixedTypes="0" containsString="0" containsNumber="1" minValue="0" maxValue="9"/>
    </cacheField>
    <cacheField name="SGSTTaxPercent" numFmtId="0">
      <sharedItems containsSemiMixedTypes="0" containsString="0" containsNumber="1" minValue="0" maxValue="9"/>
    </cacheField>
    <cacheField name="IGSTTaxPercent" numFmtId="0">
      <sharedItems containsSemiMixedTypes="0" containsString="0" containsNumber="1" containsInteger="1" minValue="0" maxValue="18"/>
    </cacheField>
    <cacheField name="TaxAmount" numFmtId="0">
      <sharedItems containsSemiMixedTypes="0" containsString="0" containsNumber="1" minValue="47.619" maxValue="954.15300000000002"/>
    </cacheField>
    <cacheField name="CGSTAmount" numFmtId="0">
      <sharedItems containsSemiMixedTypes="0" containsString="0" containsNumber="1" minValue="0" maxValue="343.221"/>
    </cacheField>
    <cacheField name="SGSTAmount" numFmtId="0">
      <sharedItems containsSemiMixedTypes="0" containsString="0" containsNumber="1" minValue="0" maxValue="343.221"/>
    </cacheField>
    <cacheField name="IGSTAmount" numFmtId="0">
      <sharedItems containsSemiMixedTypes="0" containsString="0" containsNumber="1" minValue="0" maxValue="954.15300000000002"/>
    </cacheField>
    <cacheField name="Unhold Date" numFmtId="22">
      <sharedItems containsNonDate="0" containsDate="1" containsString="0" containsBlank="1" minDate="2025-10-03T14:27:06" maxDate="2025-10-19T18:30:46"/>
    </cacheField>
    <cacheField name="Weight" numFmtId="0">
      <sharedItems containsString="0" containsBlank="1" containsNumber="1" minValue="0.501" maxValue="1.35"/>
    </cacheField>
    <cacheField name="ShipByDate" numFmtId="22">
      <sharedItems containsSemiMixedTypes="0" containsNonDate="0" containsDate="1" containsString="0" minDate="2025-10-03T12:00:00" maxDate="2025-11-01T12:00:00"/>
    </cacheField>
    <cacheField name="Gross Amount (Before Tax)" numFmtId="0">
      <sharedItems containsSemiMixedTypes="0" containsString="0" containsNumber="1" containsInteger="1" minValue="1000" maxValue="6255"/>
    </cacheField>
    <cacheField name="Total GST Amount" numFmtId="0">
      <sharedItems containsSemiMixedTypes="0" containsString="0" containsNumber="1" minValue="47.619" maxValue="954.15300000000002"/>
    </cacheField>
    <cacheField name="Net Sale (After Tax)" numFmtId="0">
      <sharedItems containsSemiMixedTypes="0" containsString="0" containsNumber="1" minValue="1047.6189999999999" maxValue="7209.153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Sufiyan Mujawar" refreshedDate="45980.796024884257" createdVersion="8" refreshedVersion="8" minRefreshableVersion="3" recordCount="74" xr:uid="{D868E457-8BA9-4D5C-AB18-44857A9E2411}">
  <cacheSource type="worksheet">
    <worksheetSource ref="A1:F75" sheet="Oct_25_Return"/>
  </cacheSource>
  <cacheFields count="6">
    <cacheField name="MagentoOrderNo" numFmtId="0">
      <sharedItems/>
    </cacheField>
    <cacheField name="Design no." numFmtId="0">
      <sharedItems/>
    </cacheField>
    <cacheField name="Gross Amount (Before Tax)" numFmtId="0">
      <sharedItems containsSemiMixedTypes="0" containsString="0" containsNumber="1" containsInteger="1" minValue="1125" maxValue="5400"/>
    </cacheField>
    <cacheField name="Total GST Amount" numFmtId="0">
      <sharedItems containsSemiMixedTypes="0" containsString="0" containsNumber="1" minValue="53.570999999999998" maxValue="823.72900000000004"/>
    </cacheField>
    <cacheField name="Net Sale (After Tax)" numFmtId="0">
      <sharedItems containsSemiMixedTypes="0" containsString="0" containsNumber="1" minValue="1178.5709999999999" maxValue="6223.7290000000003"/>
    </cacheField>
    <cacheField name="Return Reason" numFmtId="0">
      <sharedItems count="7">
        <s v="Product didn't fit"/>
        <s v="Didn’t like the quality of product"/>
        <s v="Received Wrong Product"/>
        <s v="Didn't like the quality of product"/>
        <s v="Not Mentioned"/>
        <s v="Don't need it anymore"/>
        <s v="Received wrong siz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1">
  <r>
    <s v="NYK-32366739-2647158-1-1"/>
    <s v="NYKF35791502"/>
    <s v="CUTAB00000465"/>
    <x v="0"/>
    <n v="1"/>
    <x v="0"/>
    <n v="1"/>
    <n v="1"/>
    <n v="2250"/>
    <n v="1125"/>
    <n v="0"/>
    <n v="1125"/>
    <n v="0"/>
    <s v="Prepaid"/>
    <d v="2025-10-13T13:34:07"/>
    <d v="2025-10-14T17:49:28"/>
    <d v="2025-10-19T15:19:23"/>
    <s v="28449520862321"/>
    <s v="DelhiverySurface"/>
    <d v="2025-10-13T19:31:45"/>
    <s v=""/>
    <s v="Tiny Kingdom"/>
    <s v=""/>
    <s v=""/>
    <s v="TINYK12106506"/>
    <s v="Raise Return"/>
    <s v="Reverse PickUP Done"/>
    <s v=""/>
    <s v=""/>
    <d v="2025-10-31T11:51:42"/>
    <s v="No"/>
    <s v=""/>
    <s v="Udaipur"/>
    <s v="Rajasthan"/>
    <n v="313001"/>
    <s v="India"/>
    <s v="Indian Rupee"/>
    <n v="62042300"/>
    <m/>
    <n v="1125"/>
    <s v="TINYK2627100336"/>
    <s v="NFDIWALI20"/>
    <s v=""/>
    <s v="No"/>
    <n v="5"/>
    <n v="0"/>
    <n v="0"/>
    <n v="5"/>
    <n v="53.570999999999998"/>
    <n v="0"/>
    <n v="0"/>
    <n v="53.570999999999998"/>
    <m/>
    <n v="0.75"/>
    <d v="2025-10-16T12:00:00"/>
    <n v="1125"/>
    <n v="53.570999999999998"/>
    <n v="1178.5709999999999"/>
  </r>
  <r>
    <s v="NYK-32364434-8518550-1-1"/>
    <s v="NYKF35788913"/>
    <s v="CUTAB00000466"/>
    <x v="1"/>
    <n v="1"/>
    <x v="1"/>
    <n v="1"/>
    <n v="1"/>
    <n v="2250"/>
    <n v="1125"/>
    <n v="0"/>
    <n v="1125"/>
    <n v="0"/>
    <s v="Prepaid"/>
    <d v="2025-10-13T12:25:19"/>
    <d v="2025-10-14T17:49:23"/>
    <d v="2025-10-19T15:19:23"/>
    <s v="28449520858563"/>
    <s v="DelhiverySurface"/>
    <d v="2025-10-13T19:31:45"/>
    <s v=""/>
    <s v="Tiny Kingdom"/>
    <s v=""/>
    <s v=""/>
    <s v=""/>
    <s v=""/>
    <s v=""/>
    <s v=""/>
    <s v=""/>
    <d v="2025-10-19T15:21:16"/>
    <s v="No"/>
    <s v=""/>
    <s v="Udaipur"/>
    <s v="Rajasthan"/>
    <n v="313001"/>
    <s v="India"/>
    <s v="Indian Rupee"/>
    <n v="62042300"/>
    <m/>
    <n v="1125"/>
    <s v="TINYK2627100333"/>
    <s v="NFDIWALI20"/>
    <s v=""/>
    <s v="No"/>
    <n v="5"/>
    <n v="0"/>
    <n v="0"/>
    <n v="5"/>
    <n v="53.570999999999998"/>
    <n v="0"/>
    <n v="0"/>
    <n v="53.570999999999998"/>
    <m/>
    <n v="0.75"/>
    <d v="2025-10-16T12:00:00"/>
    <n v="1125"/>
    <n v="53.570999999999998"/>
    <n v="1178.5709999999999"/>
  </r>
  <r>
    <s v="NYK-32090378-4276500-1-1"/>
    <s v="NYKF35480453"/>
    <s v="CUTAB00000407"/>
    <x v="2"/>
    <n v="1"/>
    <x v="1"/>
    <n v="1"/>
    <n v="1"/>
    <n v="2250"/>
    <n v="1125"/>
    <n v="0"/>
    <n v="1154"/>
    <n v="29"/>
    <s v="Prepaid"/>
    <d v="2025-10-05T14:21:16"/>
    <d v="2025-10-06T15:23:28"/>
    <d v="2025-10-12T22:05:30"/>
    <s v="SF2167300523NYK"/>
    <s v="Shadowfax"/>
    <d v="2025-10-05T17:49:47"/>
    <s v=""/>
    <s v="Tiny Kingdom"/>
    <s v=""/>
    <s v=""/>
    <s v=""/>
    <s v=""/>
    <s v=""/>
    <s v=""/>
    <s v=""/>
    <d v="2025-10-12T22:06:03"/>
    <s v="No"/>
    <s v=""/>
    <s v="Bangalore"/>
    <s v="Karnataka"/>
    <n v="560043"/>
    <s v="India"/>
    <s v="Indian Rupee"/>
    <n v="62042300"/>
    <m/>
    <n v="1125"/>
    <s v="TINYK2627100240"/>
    <s v="NFBACK20"/>
    <s v=""/>
    <s v="No"/>
    <n v="5"/>
    <n v="0"/>
    <n v="0"/>
    <n v="5"/>
    <n v="53.570999999999998"/>
    <n v="0"/>
    <n v="0"/>
    <n v="53.570999999999998"/>
    <m/>
    <n v="0.7"/>
    <d v="2025-10-08T12:00:00"/>
    <n v="1125"/>
    <n v="53.570999999999998"/>
    <n v="1178.5709999999999"/>
  </r>
  <r>
    <s v="NYK-32816018-2428554-1-1"/>
    <s v="NYKF36266397"/>
    <s v="CUTAB00000419"/>
    <x v="3"/>
    <n v="2"/>
    <x v="2"/>
    <n v="1"/>
    <n v="0"/>
    <n v="4000"/>
    <n v="3600"/>
    <n v="0"/>
    <n v="3624.627"/>
    <n v="24.626999999999999"/>
    <s v="COD"/>
    <d v="2025-10-29T23:57:09"/>
    <m/>
    <m/>
    <s v="28449526126634"/>
    <s v="DelhiverySurface"/>
    <d v="2025-10-31T12:25:47"/>
    <s v=""/>
    <s v="Tiny Kingdom"/>
    <s v=""/>
    <s v=""/>
    <s v=""/>
    <s v=""/>
    <s v=""/>
    <s v=""/>
    <s v=""/>
    <d v="2025-10-31T12:25:48"/>
    <s v="No"/>
    <s v=""/>
    <s v="Chomu"/>
    <s v="Rajasthan"/>
    <n v="303702"/>
    <s v="India"/>
    <s v="Indian Rupee"/>
    <n v="62042300"/>
    <m/>
    <n v="3600"/>
    <s v="TINYK2627100441"/>
    <s v=""/>
    <s v=""/>
    <s v="No"/>
    <n v="18"/>
    <n v="0"/>
    <n v="0"/>
    <n v="18"/>
    <n v="549.15300000000002"/>
    <n v="0"/>
    <n v="0"/>
    <n v="549.15300000000002"/>
    <m/>
    <n v="1"/>
    <d v="2025-11-01T12:00:00"/>
    <n v="3600"/>
    <n v="549.15300000000002"/>
    <n v="4149.1530000000002"/>
  </r>
  <r>
    <s v="NYK-32802929-1898698-1-1"/>
    <s v="NYKF36252249"/>
    <s v="CUTAB00000423"/>
    <x v="4"/>
    <n v="1"/>
    <x v="3"/>
    <n v="1"/>
    <n v="1"/>
    <n v="4000"/>
    <n v="3600"/>
    <n v="0"/>
    <n v="3649"/>
    <n v="49"/>
    <s v="COD"/>
    <d v="2025-10-29T15:28:19"/>
    <d v="2025-10-30T14:58:55"/>
    <m/>
    <s v="SF2167391473NYK"/>
    <s v="Shadowfax"/>
    <d v="2025-10-29T18:58:15"/>
    <s v=""/>
    <s v="Tiny Kingdom"/>
    <s v=""/>
    <s v=""/>
    <s v=""/>
    <s v=""/>
    <s v=""/>
    <s v=""/>
    <s v=""/>
    <d v="2025-10-31T05:56:16"/>
    <s v="No"/>
    <s v=""/>
    <s v="Bangalore"/>
    <s v="Karnataka"/>
    <n v="560076"/>
    <s v="India"/>
    <s v="Indian Rupee"/>
    <n v="62042300"/>
    <m/>
    <n v="3600"/>
    <s v="TINYK2627100438"/>
    <s v="NFNEXT10"/>
    <s v=""/>
    <s v="No"/>
    <n v="18"/>
    <n v="0"/>
    <n v="0"/>
    <n v="18"/>
    <n v="549.15300000000002"/>
    <n v="0"/>
    <n v="0"/>
    <n v="549.15300000000002"/>
    <m/>
    <n v="0.75"/>
    <d v="2025-11-01T12:00:00"/>
    <n v="3600"/>
    <n v="549.15300000000002"/>
    <n v="4149.1530000000002"/>
  </r>
  <r>
    <s v="NYK-32471793-1031123-3-1"/>
    <s v="NYKF35907116"/>
    <s v="CUTAB00000423"/>
    <x v="4"/>
    <n v="2"/>
    <x v="1"/>
    <n v="1"/>
    <n v="1"/>
    <n v="4000"/>
    <n v="3600"/>
    <n v="0"/>
    <n v="3619.33"/>
    <n v="19.329999999999998"/>
    <s v="Prepaid"/>
    <d v="2025-10-16T10:33:51"/>
    <d v="2025-10-18T17:28:46"/>
    <d v="2025-10-22T17:34:08"/>
    <s v="28449521339146"/>
    <s v="DelhiverySurface"/>
    <d v="2025-10-17T17:08:28"/>
    <s v=""/>
    <s v="Tiny Kingdom"/>
    <s v=""/>
    <s v=""/>
    <s v=""/>
    <s v=""/>
    <s v=""/>
    <s v=""/>
    <s v=""/>
    <d v="2025-10-22T17:36:16"/>
    <s v="No"/>
    <s v=""/>
    <s v="New Delhi"/>
    <s v="Delhi"/>
    <n v="110032"/>
    <s v="India"/>
    <s v="Indian Rupee"/>
    <n v="62042300"/>
    <m/>
    <n v="3600"/>
    <s v="TINYK2627100375"/>
    <s v=""/>
    <s v=""/>
    <s v="No"/>
    <n v="18"/>
    <n v="0"/>
    <n v="0"/>
    <n v="18"/>
    <n v="549.15300000000002"/>
    <n v="0"/>
    <n v="0"/>
    <n v="549.15300000000002"/>
    <m/>
    <n v="0.75"/>
    <d v="2025-10-18T12:00:00"/>
    <n v="3600"/>
    <n v="549.15300000000002"/>
    <n v="4149.1530000000002"/>
  </r>
  <r>
    <s v="NYK-32602175-8183755-1-1"/>
    <s v="NYKF36040593"/>
    <s v="CUTAB00000509"/>
    <x v="5"/>
    <n v="1"/>
    <x v="1"/>
    <n v="1"/>
    <n v="1"/>
    <n v="4000"/>
    <n v="3200"/>
    <n v="0"/>
    <n v="3229"/>
    <n v="29"/>
    <s v="Prepaid"/>
    <d v="2025-10-21T20:19:44"/>
    <d v="2025-10-24T15:05:55"/>
    <d v="2025-10-26T11:45:43"/>
    <s v="SF2167346979NYK"/>
    <s v="Shadowfax"/>
    <d v="2025-10-24T12:00:44"/>
    <s v=""/>
    <s v="Tiny Kingdom"/>
    <s v=""/>
    <s v=""/>
    <s v=""/>
    <s v=""/>
    <s v=""/>
    <s v=""/>
    <s v=""/>
    <d v="2025-10-26T11:46:07"/>
    <s v="No"/>
    <s v=""/>
    <s v="Greater Thane"/>
    <s v="Maharashtra"/>
    <n v="421204"/>
    <s v="India"/>
    <s v="Indian Rupee"/>
    <n v="62042300"/>
    <m/>
    <n v="3200"/>
    <s v="TINYK2627100392"/>
    <s v="NFDR15"/>
    <s v=""/>
    <s v="No"/>
    <n v="18"/>
    <n v="9"/>
    <n v="9"/>
    <n v="0"/>
    <n v="488.13600000000002"/>
    <n v="244.06800000000001"/>
    <n v="244.06800000000001"/>
    <n v="0"/>
    <m/>
    <n v="0.85"/>
    <d v="2025-10-24T12:00:00"/>
    <n v="3200"/>
    <n v="488.13600000000002"/>
    <n v="3688.136"/>
  </r>
  <r>
    <s v="NYK-32403335-4829423-1-1"/>
    <s v="NYKF35832606"/>
    <s v="CUTAB00000509"/>
    <x v="5"/>
    <n v="1"/>
    <x v="0"/>
    <n v="1"/>
    <n v="1"/>
    <n v="4000"/>
    <n v="3200"/>
    <n v="0"/>
    <n v="3319"/>
    <n v="119"/>
    <s v="COD"/>
    <d v="2025-10-14T12:23:49"/>
    <d v="2025-10-15T18:12:26"/>
    <d v="2025-10-18T14:53:18"/>
    <s v="28449522526081"/>
    <s v="DelhiverySurface"/>
    <d v="2025-10-14T19:23:37"/>
    <s v=""/>
    <s v="Tiny Kingdom"/>
    <s v=""/>
    <s v=""/>
    <s v="TINYK12146909"/>
    <s v="Raise Return"/>
    <s v="Confirmed"/>
    <s v=""/>
    <s v=""/>
    <d v="2025-10-25T20:36:55"/>
    <s v="No"/>
    <s v=""/>
    <s v="Bangalore"/>
    <s v="Karnataka"/>
    <n v="560077"/>
    <s v="India"/>
    <s v="Indian Rupee"/>
    <n v="62042300"/>
    <m/>
    <n v="3200"/>
    <s v="TINYK2627100362"/>
    <s v="NFSDS15"/>
    <s v=""/>
    <s v="No"/>
    <n v="18"/>
    <n v="0"/>
    <n v="0"/>
    <n v="18"/>
    <n v="488.13600000000002"/>
    <n v="0"/>
    <n v="0"/>
    <n v="488.13600000000002"/>
    <m/>
    <n v="0.85"/>
    <d v="2025-10-17T12:00:00"/>
    <n v="3200"/>
    <n v="488.13600000000002"/>
    <n v="3688.136"/>
  </r>
  <r>
    <s v="NYK-32657318-1140390-2-1"/>
    <s v="NYKF36098147"/>
    <s v="CUTAB00000511"/>
    <x v="6"/>
    <n v="1"/>
    <x v="1"/>
    <n v="1"/>
    <n v="1"/>
    <n v="4000"/>
    <n v="3200"/>
    <n v="0"/>
    <n v="3216.38"/>
    <n v="16.38"/>
    <s v="Prepaid"/>
    <d v="2025-10-24T07:29:00"/>
    <d v="2025-10-24T17:33:47"/>
    <d v="2025-10-28T14:32:45"/>
    <s v="28449527104976"/>
    <s v="DelhiverySurface"/>
    <d v="2025-10-24T12:00:44"/>
    <s v=""/>
    <s v="Tiny Kingdom"/>
    <s v=""/>
    <s v=""/>
    <s v=""/>
    <s v=""/>
    <s v=""/>
    <s v=""/>
    <s v=""/>
    <d v="2025-10-28T14:36:02"/>
    <s v="No"/>
    <s v=""/>
    <s v="Allahabad"/>
    <s v="Uttar Pradesh"/>
    <n v="211001"/>
    <s v="India"/>
    <s v="Indian Rupee"/>
    <n v="62042300"/>
    <m/>
    <n v="3200"/>
    <s v="TINYK2627100400"/>
    <s v=""/>
    <s v=""/>
    <s v="No"/>
    <n v="18"/>
    <n v="0"/>
    <n v="0"/>
    <n v="18"/>
    <n v="488.13600000000002"/>
    <n v="0"/>
    <n v="0"/>
    <n v="488.13600000000002"/>
    <m/>
    <n v="0.85"/>
    <d v="2025-10-26T12:00:00"/>
    <n v="3200"/>
    <n v="488.13600000000002"/>
    <n v="3688.136"/>
  </r>
  <r>
    <s v="NYK-32610977-3136875-1-1"/>
    <s v="NYKF36050064"/>
    <s v="CUTAB00000512"/>
    <x v="7"/>
    <n v="1"/>
    <x v="4"/>
    <n v="1"/>
    <n v="0"/>
    <n v="4000"/>
    <n v="3200"/>
    <n v="0"/>
    <n v="3249"/>
    <n v="49"/>
    <s v="COD"/>
    <d v="2025-10-22T08:48:57"/>
    <m/>
    <m/>
    <s v=""/>
    <s v="BLUEDART"/>
    <m/>
    <s v="Delivery date is too late"/>
    <s v="Tiny Kingdom"/>
    <s v=""/>
    <s v=""/>
    <s v=""/>
    <s v=""/>
    <s v=""/>
    <s v=""/>
    <s v=""/>
    <d v="2025-10-23T06:58:03"/>
    <s v="No"/>
    <s v=""/>
    <s v="Hyderabad"/>
    <s v="Telangana"/>
    <n v="500050"/>
    <s v="India"/>
    <s v="Indian Rupee"/>
    <n v="62042300"/>
    <d v="2025-10-23T06:58:03"/>
    <n v="3200"/>
    <s v=""/>
    <s v=""/>
    <s v=""/>
    <s v="No"/>
    <n v="18"/>
    <n v="0"/>
    <n v="0"/>
    <n v="18"/>
    <n v="488.13600000000002"/>
    <n v="0"/>
    <n v="0"/>
    <n v="488.13600000000002"/>
    <m/>
    <m/>
    <d v="2025-10-24T12:00:00"/>
    <n v="3200"/>
    <n v="488.13600000000002"/>
    <n v="3688.136"/>
  </r>
  <r>
    <s v="NYK-32760144-5308628-1-1"/>
    <s v="NYKF36207492"/>
    <s v="CUTAB00000513"/>
    <x v="8"/>
    <n v="1"/>
    <x v="3"/>
    <n v="1"/>
    <n v="1"/>
    <n v="4000"/>
    <n v="3200"/>
    <n v="0"/>
    <n v="3200"/>
    <n v="0"/>
    <s v="Prepaid"/>
    <d v="2025-10-27T22:45:09"/>
    <d v="2025-10-29T18:48:00"/>
    <m/>
    <s v="NKFP0000002107"/>
    <s v="Ekart Surface"/>
    <d v="2025-10-28T13:02:05"/>
    <s v=""/>
    <s v="Tiny Kingdom"/>
    <s v=""/>
    <s v=""/>
    <s v=""/>
    <s v=""/>
    <s v=""/>
    <s v=""/>
    <s v=""/>
    <d v="2025-10-31T10:41:18"/>
    <s v="No"/>
    <s v=""/>
    <s v="Vasai"/>
    <s v="Maharashtra"/>
    <n v="401303"/>
    <s v="India"/>
    <s v="Indian Rupee"/>
    <n v="62042300"/>
    <m/>
    <n v="3200"/>
    <s v="TINYK2627100425"/>
    <s v="NFNEW15"/>
    <s v=""/>
    <s v="No"/>
    <n v="18"/>
    <n v="9"/>
    <n v="9"/>
    <n v="0"/>
    <n v="488.13600000000002"/>
    <n v="244.06800000000001"/>
    <n v="244.06800000000001"/>
    <n v="0"/>
    <m/>
    <n v="0.85"/>
    <d v="2025-10-30T12:00:00"/>
    <n v="3200"/>
    <n v="488.13600000000002"/>
    <n v="3688.136"/>
  </r>
  <r>
    <s v="NYK-32494958-9918109-1-1"/>
    <s v="NYKF35931524"/>
    <s v="CUTAB00000513"/>
    <x v="8"/>
    <n v="1"/>
    <x v="4"/>
    <n v="1"/>
    <n v="0"/>
    <n v="4000"/>
    <n v="3200"/>
    <n v="0"/>
    <n v="3249"/>
    <n v="49"/>
    <s v="COD"/>
    <d v="2025-10-17T00:08:38"/>
    <m/>
    <m/>
    <s v=""/>
    <s v="Nykaa Fashion surface"/>
    <m/>
    <s v="Delivery date is too late"/>
    <s v="Tiny Kingdom"/>
    <s v=""/>
    <s v=""/>
    <s v=""/>
    <s v=""/>
    <s v=""/>
    <s v=""/>
    <s v=""/>
    <d v="2025-10-17T00:10:32"/>
    <s v="No"/>
    <s v=""/>
    <s v="Chandrapur"/>
    <s v="Maharashtra"/>
    <n v="442703"/>
    <s v="India"/>
    <s v="Indian Rupee"/>
    <n v="62042300"/>
    <d v="2025-10-17T00:10:32"/>
    <n v="3200"/>
    <s v=""/>
    <s v=""/>
    <s v=""/>
    <s v="No"/>
    <n v="18"/>
    <n v="9"/>
    <n v="9"/>
    <n v="0"/>
    <n v="488.13600000000002"/>
    <n v="244.06800000000001"/>
    <n v="244.06800000000001"/>
    <n v="0"/>
    <m/>
    <m/>
    <d v="2025-10-19T12:00:00"/>
    <n v="3200"/>
    <n v="488.13600000000002"/>
    <n v="3688.136"/>
  </r>
  <r>
    <s v="NYK-32151266-0552868-1-1"/>
    <s v="NYKF35549473"/>
    <s v="CUTAB00000514"/>
    <x v="9"/>
    <n v="1"/>
    <x v="1"/>
    <n v="1"/>
    <n v="1"/>
    <n v="4000"/>
    <n v="3200"/>
    <n v="0"/>
    <n v="3229"/>
    <n v="29"/>
    <s v="Prepaid"/>
    <d v="2025-10-07T09:45:53"/>
    <d v="2025-10-08T17:13:37"/>
    <d v="2025-10-15T12:02:35"/>
    <s v="28449520196643"/>
    <s v="DelhiverySurface"/>
    <d v="2025-10-07T17:13:27"/>
    <s v=""/>
    <s v="Tiny Kingdom"/>
    <s v=""/>
    <s v=""/>
    <s v=""/>
    <s v=""/>
    <s v=""/>
    <s v=""/>
    <s v=""/>
    <d v="2025-10-15T12:06:14"/>
    <s v="No"/>
    <s v=""/>
    <s v="Bihta"/>
    <s v="Bihar"/>
    <n v="801106"/>
    <s v="India"/>
    <s v="Indian Rupee"/>
    <n v="62042300"/>
    <m/>
    <n v="3200"/>
    <s v="TINYK2627100272"/>
    <s v="NFBACK20"/>
    <s v=""/>
    <s v="No"/>
    <n v="18"/>
    <n v="0"/>
    <n v="0"/>
    <n v="18"/>
    <n v="488.13600000000002"/>
    <n v="0"/>
    <n v="0"/>
    <n v="488.13600000000002"/>
    <m/>
    <n v="0.85"/>
    <d v="2025-10-09T12:00:00"/>
    <n v="3200"/>
    <n v="488.13600000000002"/>
    <n v="3688.136"/>
  </r>
  <r>
    <s v="NYK-32146272-9178363-4-1"/>
    <s v="NYKF35544010"/>
    <s v="CUTAB00000514"/>
    <x v="9"/>
    <n v="2"/>
    <x v="0"/>
    <n v="1"/>
    <n v="1"/>
    <n v="4000"/>
    <n v="3200"/>
    <n v="0"/>
    <n v="3222.26"/>
    <n v="22.26"/>
    <s v="Prepaid"/>
    <d v="2025-10-07T01:02:58"/>
    <d v="2025-10-08T17:12:59"/>
    <d v="2025-10-12T14:53:53"/>
    <s v="237943173096010"/>
    <s v="Nykaa Fashion surface"/>
    <d v="2025-10-07T17:11:18"/>
    <s v=""/>
    <s v="Tiny Kingdom"/>
    <s v=""/>
    <s v=""/>
    <s v="TINYK11990210"/>
    <s v="Raise Return"/>
    <s v="Reverse PickUP Delivered"/>
    <s v=""/>
    <s v=""/>
    <d v="2025-10-27T14:56:15"/>
    <s v="No"/>
    <s v=""/>
    <s v="Bilaspur"/>
    <s v="Chhattisgarh"/>
    <n v="495001"/>
    <s v="India"/>
    <s v="Indian Rupee"/>
    <n v="62042300"/>
    <m/>
    <n v="3200"/>
    <s v="TINYK2627100266"/>
    <s v="NTBBI10"/>
    <s v=""/>
    <s v="No"/>
    <n v="18"/>
    <n v="0"/>
    <n v="0"/>
    <n v="18"/>
    <n v="488.13600000000002"/>
    <n v="0"/>
    <n v="0"/>
    <n v="488.13600000000002"/>
    <m/>
    <n v="0.85"/>
    <d v="2025-10-09T12:00:00"/>
    <n v="3200"/>
    <n v="488.13600000000002"/>
    <n v="3688.136"/>
  </r>
  <r>
    <s v="NYK-32261033-2939840-2-1"/>
    <s v="NYKF35671410"/>
    <s v="CUTAB00000710"/>
    <x v="10"/>
    <n v="1"/>
    <x v="1"/>
    <n v="1"/>
    <n v="1"/>
    <n v="2000"/>
    <n v="1000"/>
    <n v="0"/>
    <n v="1009.3"/>
    <n v="9.3000000000000007"/>
    <s v="Prepaid"/>
    <d v="2025-10-10T18:59:00"/>
    <d v="2025-10-11T17:58:10"/>
    <d v="2025-10-14T20:28:06"/>
    <s v="28449520509252"/>
    <s v="DelhiverySurface"/>
    <d v="2025-10-10T19:35:20"/>
    <s v=""/>
    <s v="Tiny Kingdom"/>
    <s v=""/>
    <s v=""/>
    <s v=""/>
    <s v=""/>
    <s v=""/>
    <s v=""/>
    <s v=""/>
    <d v="2025-10-14T20:31:13"/>
    <s v="No"/>
    <s v=""/>
    <s v="Noida"/>
    <s v="Uttar Pradesh"/>
    <n v="201307"/>
    <s v="India"/>
    <s v="Indian Rupee"/>
    <n v="62044220"/>
    <m/>
    <n v="1000"/>
    <s v="TINYK2627100299"/>
    <s v="NF1010"/>
    <s v=""/>
    <s v="No"/>
    <n v="5"/>
    <n v="0"/>
    <n v="0"/>
    <n v="5"/>
    <n v="47.619"/>
    <n v="0"/>
    <n v="0"/>
    <n v="47.619"/>
    <m/>
    <n v="0.7"/>
    <d v="2025-10-13T12:00:00"/>
    <n v="1000"/>
    <n v="47.619"/>
    <n v="1047.6189999999999"/>
  </r>
  <r>
    <s v="NYK-32395425-8594656-1-1"/>
    <s v="NYKF35824052"/>
    <s v="CUTAB00000713"/>
    <x v="11"/>
    <n v="4"/>
    <x v="1"/>
    <n v="1"/>
    <n v="1"/>
    <n v="2000"/>
    <n v="1000"/>
    <n v="0"/>
    <n v="1007.34"/>
    <n v="7.34"/>
    <s v="Prepaid"/>
    <d v="2025-10-14T07:53:15"/>
    <d v="2025-10-15T18:13:12"/>
    <d v="2025-10-19T14:45:57"/>
    <s v="237943173358554"/>
    <s v="Nykaa Fashion surface"/>
    <d v="2025-10-14T19:23:37"/>
    <s v=""/>
    <s v="Tiny Kingdom"/>
    <s v=""/>
    <s v=""/>
    <s v=""/>
    <s v=""/>
    <s v=""/>
    <s v=""/>
    <s v=""/>
    <d v="2025-10-19T14:46:12"/>
    <s v="No"/>
    <s v=""/>
    <s v="Vadodara"/>
    <s v="Gujarat"/>
    <n v="390010"/>
    <s v="India"/>
    <s v="Indian Rupee"/>
    <n v="62044220"/>
    <m/>
    <n v="1000"/>
    <s v="TINYK2627100361"/>
    <s v="NFSDS15"/>
    <s v=""/>
    <s v="No"/>
    <n v="5"/>
    <n v="0"/>
    <n v="0"/>
    <n v="5"/>
    <n v="47.619"/>
    <n v="0"/>
    <n v="0"/>
    <n v="47.619"/>
    <m/>
    <n v="0.7"/>
    <d v="2025-10-16T12:00:00"/>
    <n v="1000"/>
    <n v="47.619"/>
    <n v="1047.6189999999999"/>
  </r>
  <r>
    <s v="NYK-32503677-2066628-2-1"/>
    <s v="NYKF35940896"/>
    <s v="CUTAB00000715"/>
    <x v="12"/>
    <n v="2"/>
    <x v="1"/>
    <n v="1"/>
    <n v="1"/>
    <n v="2000"/>
    <n v="1000"/>
    <n v="0"/>
    <n v="1000"/>
    <n v="0"/>
    <s v="Prepaid"/>
    <d v="2025-10-17T11:51:07"/>
    <d v="2025-10-18T19:15:00"/>
    <d v="2025-10-20T13:07:00"/>
    <s v="NKFP0000000559"/>
    <s v="Ekart Surface"/>
    <d v="2025-10-17T18:49:23"/>
    <s v=""/>
    <s v="Tiny Kingdom"/>
    <s v=""/>
    <s v=""/>
    <s v=""/>
    <s v=""/>
    <s v=""/>
    <s v=""/>
    <s v=""/>
    <d v="2025-10-20T16:31:00"/>
    <s v="No"/>
    <s v=""/>
    <s v="Navi Mumbai"/>
    <s v="Maharashtra"/>
    <n v="400703"/>
    <s v="India"/>
    <s v="Indian Rupee"/>
    <n v="62044220"/>
    <m/>
    <n v="1000"/>
    <s v="TINYK2627100381"/>
    <s v=""/>
    <s v=""/>
    <s v="No"/>
    <n v="5"/>
    <n v="2.5"/>
    <n v="2.5"/>
    <n v="0"/>
    <n v="47.619"/>
    <n v="23.81"/>
    <n v="23.81"/>
    <n v="0"/>
    <m/>
    <n v="0.7"/>
    <d v="2025-10-19T12:00:00"/>
    <n v="1000"/>
    <n v="47.62"/>
    <n v="1047.6199999999999"/>
  </r>
  <r>
    <s v="NYK-32326589-0202527-4-1"/>
    <s v="NYKF35745378"/>
    <s v="CUTAB00000715"/>
    <x v="12"/>
    <n v="5"/>
    <x v="1"/>
    <n v="1"/>
    <n v="1"/>
    <n v="2000"/>
    <n v="1000"/>
    <n v="0"/>
    <n v="1009.59"/>
    <n v="9.59"/>
    <s v="COD"/>
    <d v="2025-10-12T14:40:03"/>
    <d v="2025-10-13T18:42:00"/>
    <d v="2025-10-23T15:54:00"/>
    <s v="59497050546"/>
    <s v="BLUEDART"/>
    <d v="2025-10-12T15:52:26"/>
    <s v=""/>
    <s v="Tiny Kingdom"/>
    <s v=""/>
    <s v=""/>
    <s v=""/>
    <s v=""/>
    <s v=""/>
    <s v=""/>
    <s v=""/>
    <d v="2025-10-23T16:06:17"/>
    <s v="No"/>
    <s v=""/>
    <s v="Hyderabad"/>
    <s v="Telangana"/>
    <n v="500001"/>
    <s v="India"/>
    <s v="Indian Rupee"/>
    <n v="62044220"/>
    <m/>
    <n v="1000"/>
    <s v="TINYK2627100324"/>
    <s v=""/>
    <s v=""/>
    <s v="No"/>
    <n v="5"/>
    <n v="0"/>
    <n v="0"/>
    <n v="5"/>
    <n v="47.619"/>
    <n v="0"/>
    <n v="0"/>
    <n v="47.619"/>
    <m/>
    <n v="0.7"/>
    <d v="2025-10-15T12:00:00"/>
    <n v="1000"/>
    <n v="47.619"/>
    <n v="1047.6189999999999"/>
  </r>
  <r>
    <s v="NYK-32315581-3461533-4-1"/>
    <s v="NYKF35733185"/>
    <s v="CUTAB00000715"/>
    <x v="12"/>
    <n v="2"/>
    <x v="4"/>
    <n v="1"/>
    <n v="0"/>
    <n v="2000"/>
    <n v="1000"/>
    <n v="0"/>
    <n v="1003.92"/>
    <n v="3.92"/>
    <s v="COD"/>
    <d v="2025-10-12T10:01:02"/>
    <m/>
    <m/>
    <s v=""/>
    <s v="BLUEDART"/>
    <m/>
    <s v="Change size"/>
    <s v="Tiny Kingdom"/>
    <s v=""/>
    <s v=""/>
    <s v=""/>
    <s v=""/>
    <s v=""/>
    <s v=""/>
    <s v=""/>
    <d v="2025-10-12T12:50:43"/>
    <s v="No"/>
    <s v=""/>
    <s v="Hyderabad"/>
    <s v="Telangana"/>
    <n v="500001"/>
    <s v="India"/>
    <s v="Indian Rupee"/>
    <n v="62044220"/>
    <d v="2025-10-12T12:50:43"/>
    <n v="1000"/>
    <s v=""/>
    <s v=""/>
    <s v=""/>
    <s v="No"/>
    <n v="5"/>
    <n v="0"/>
    <n v="0"/>
    <n v="5"/>
    <n v="47.619"/>
    <n v="0"/>
    <n v="0"/>
    <n v="47.619"/>
    <m/>
    <m/>
    <d v="2025-10-14T12:00:00"/>
    <n v="1000"/>
    <n v="47.619"/>
    <n v="1047.6189999999999"/>
  </r>
  <r>
    <s v="NYK-32162149-2794653-2-1"/>
    <s v="NYKF35561135"/>
    <s v="CUTAB00000716"/>
    <x v="13"/>
    <n v="2"/>
    <x v="1"/>
    <n v="1"/>
    <n v="1"/>
    <n v="2000"/>
    <n v="1000"/>
    <n v="0"/>
    <n v="1000"/>
    <n v="0"/>
    <s v="Prepaid"/>
    <d v="2025-10-07T15:56:35"/>
    <d v="2025-10-08T17:14:38"/>
    <d v="2025-10-09T15:10:46"/>
    <s v="237943173101735"/>
    <s v="Nykaa Fashion surface"/>
    <d v="2025-10-07T17:13:27"/>
    <s v=""/>
    <s v="Tiny Kingdom"/>
    <s v=""/>
    <s v=""/>
    <s v=""/>
    <s v=""/>
    <s v=""/>
    <s v=""/>
    <s v=""/>
    <d v="2025-10-09T15:16:09"/>
    <s v="No"/>
    <s v=""/>
    <s v="Thane"/>
    <s v="Maharashtra"/>
    <n v="400607"/>
    <s v="India"/>
    <s v="Indian Rupee"/>
    <n v="62044220"/>
    <m/>
    <n v="1000"/>
    <s v="TINYK2627100270"/>
    <s v="NFDIWALI20"/>
    <s v=""/>
    <s v="No"/>
    <n v="5"/>
    <n v="2.5"/>
    <n v="2.5"/>
    <n v="0"/>
    <n v="47.619"/>
    <n v="23.81"/>
    <n v="23.81"/>
    <n v="0"/>
    <m/>
    <n v="0.7"/>
    <d v="2025-10-10T12:00:00"/>
    <n v="1000"/>
    <n v="47.62"/>
    <n v="1047.6199999999999"/>
  </r>
  <r>
    <s v="NYK-31973998-0698299-1-1"/>
    <s v="NYKF35352112"/>
    <s v="CUTAB00000690"/>
    <x v="14"/>
    <n v="1"/>
    <x v="1"/>
    <n v="1"/>
    <n v="1"/>
    <n v="5000"/>
    <n v="3500"/>
    <n v="0"/>
    <n v="3549"/>
    <n v="49"/>
    <s v="COD"/>
    <d v="2025-10-01T17:41:38"/>
    <d v="2025-10-03T17:28:32"/>
    <d v="2025-10-07T11:45:49"/>
    <s v="28449519371936"/>
    <s v="DelhiverySurface"/>
    <d v="2025-10-01T19:33:20"/>
    <s v=""/>
    <s v="Tiny Kingdom"/>
    <s v=""/>
    <s v=""/>
    <s v=""/>
    <s v=""/>
    <s v=""/>
    <s v=""/>
    <s v=""/>
    <d v="2025-10-07T12:01:10"/>
    <s v="No"/>
    <s v=""/>
    <s v="Jaipur"/>
    <s v="Rajasthan"/>
    <n v="302020"/>
    <s v="India"/>
    <s v="Indian Rupee"/>
    <n v="62042300"/>
    <m/>
    <n v="3500"/>
    <s v="TINYK2627100206"/>
    <s v=""/>
    <s v=""/>
    <s v="No"/>
    <n v="18"/>
    <n v="0"/>
    <n v="0"/>
    <n v="18"/>
    <n v="533.89800000000002"/>
    <n v="0"/>
    <n v="0"/>
    <n v="533.89800000000002"/>
    <m/>
    <n v="0.75"/>
    <d v="2025-10-04T12:00:00"/>
    <n v="3500"/>
    <n v="533.89800000000002"/>
    <n v="4033.8980000000001"/>
  </r>
  <r>
    <s v="NYK-32436420-2359330-2-1"/>
    <s v="NYKF35869195"/>
    <s v="CUTAB00000717"/>
    <x v="15"/>
    <n v="2"/>
    <x v="5"/>
    <n v="1"/>
    <n v="1"/>
    <n v="2000"/>
    <n v="1000"/>
    <n v="0"/>
    <n v="1059.5"/>
    <n v="59.5"/>
    <s v="COD"/>
    <d v="2025-10-15T09:55:59"/>
    <d v="2025-10-16T17:34:37"/>
    <m/>
    <s v="28449525004372"/>
    <s v="DelhiverySurface"/>
    <d v="2025-10-15T19:10:58"/>
    <s v=""/>
    <s v="Tiny Kingdom"/>
    <s v=""/>
    <s v=""/>
    <s v="TINYK12111404"/>
    <s v="RTO"/>
    <s v="Reverse PickUP Delivered"/>
    <s v=""/>
    <s v=""/>
    <d v="2025-10-30T20:31:06"/>
    <s v="No"/>
    <s v=""/>
    <s v="Gorakhpur"/>
    <s v="Uttar Pradesh"/>
    <n v="273016"/>
    <s v="India"/>
    <s v="Indian Rupee"/>
    <n v="62044220"/>
    <m/>
    <n v="1000"/>
    <s v="TINYK2627100371"/>
    <s v=""/>
    <s v=""/>
    <s v="No"/>
    <n v="5"/>
    <n v="0"/>
    <n v="0"/>
    <n v="5"/>
    <n v="47.619"/>
    <n v="0"/>
    <n v="0"/>
    <n v="47.619"/>
    <m/>
    <n v="0.501"/>
    <d v="2025-10-17T12:00:00"/>
    <n v="1000"/>
    <n v="47.619"/>
    <n v="1047.6189999999999"/>
  </r>
  <r>
    <s v="NYK-32364699-8980413-1-1"/>
    <s v="NYKF35789199"/>
    <s v="CUTAB00000717"/>
    <x v="15"/>
    <n v="1"/>
    <x v="1"/>
    <n v="1"/>
    <n v="1"/>
    <n v="2000"/>
    <n v="1000"/>
    <n v="0"/>
    <n v="1000"/>
    <n v="0"/>
    <s v="Prepaid"/>
    <d v="2025-10-13T12:33:00"/>
    <d v="2025-10-14T17:48:13"/>
    <d v="2025-10-19T15:19:23"/>
    <s v="28449520863216"/>
    <s v="DelhiverySurface"/>
    <d v="2025-10-13T19:30:41"/>
    <s v=""/>
    <s v="Tiny Kingdom"/>
    <s v=""/>
    <s v=""/>
    <s v=""/>
    <s v=""/>
    <s v=""/>
    <s v=""/>
    <s v=""/>
    <d v="2025-10-19T15:21:16"/>
    <s v="No"/>
    <s v=""/>
    <s v="Udaipur"/>
    <s v="Rajasthan"/>
    <n v="313001"/>
    <s v="India"/>
    <s v="Indian Rupee"/>
    <n v="62044220"/>
    <m/>
    <n v="1000"/>
    <s v="TINYK2627100330"/>
    <s v="NFDIWALI20"/>
    <s v=""/>
    <s v="No"/>
    <n v="5"/>
    <n v="0"/>
    <n v="0"/>
    <n v="5"/>
    <n v="47.619"/>
    <n v="0"/>
    <n v="0"/>
    <n v="47.619"/>
    <m/>
    <n v="0.501"/>
    <d v="2025-10-16T12:00:00"/>
    <n v="1000"/>
    <n v="47.619"/>
    <n v="1047.6189999999999"/>
  </r>
  <r>
    <s v="NYK-32342201-2761782-4-1"/>
    <s v="NYKF35763602"/>
    <s v="CUTAB00000717"/>
    <x v="15"/>
    <n v="3"/>
    <x v="1"/>
    <n v="1"/>
    <n v="1"/>
    <n v="2000"/>
    <n v="1000"/>
    <n v="0"/>
    <n v="1010.5"/>
    <n v="10.5"/>
    <s v="Prepaid"/>
    <d v="2025-10-12T20:56:02"/>
    <d v="2025-10-14T17:49:56"/>
    <d v="2025-10-17T12:56:02"/>
    <s v="237943173311256"/>
    <s v="Nykaa Fashion surface"/>
    <d v="2025-10-13T19:32:50"/>
    <s v=""/>
    <s v="Tiny Kingdom"/>
    <s v=""/>
    <s v=""/>
    <s v=""/>
    <s v=""/>
    <s v=""/>
    <s v=""/>
    <s v=""/>
    <d v="2025-10-17T12:56:27"/>
    <s v="No"/>
    <s v=""/>
    <s v="Kolhapur"/>
    <s v="Maharashtra"/>
    <n v="416003"/>
    <s v="India"/>
    <s v="Indian Rupee"/>
    <n v="62044220"/>
    <m/>
    <n v="1000"/>
    <s v="TINYK2627100340"/>
    <s v="NFJOY15"/>
    <s v=""/>
    <s v="No"/>
    <n v="5"/>
    <n v="2.5"/>
    <n v="2.5"/>
    <n v="0"/>
    <n v="47.619"/>
    <n v="23.81"/>
    <n v="23.81"/>
    <n v="0"/>
    <m/>
    <n v="0.501"/>
    <d v="2025-10-15T12:00:00"/>
    <n v="1000"/>
    <n v="47.62"/>
    <n v="1047.6199999999999"/>
  </r>
  <r>
    <s v="NYK-31976662-8133615-4-1"/>
    <s v="NYKF35355032"/>
    <s v="CUTAB00000756"/>
    <x v="16"/>
    <n v="2"/>
    <x v="0"/>
    <n v="1"/>
    <n v="1"/>
    <n v="4000"/>
    <n v="2400"/>
    <n v="0"/>
    <n v="2400"/>
    <n v="0"/>
    <s v="Prepaid"/>
    <d v="2025-10-01T19:45:34"/>
    <d v="2025-10-04T15:39:00"/>
    <d v="2025-10-06T18:48:00"/>
    <s v="88281854824"/>
    <s v="BLUEDART"/>
    <d v="2025-10-03T12:50:31"/>
    <s v=""/>
    <s v="Tiny Kingdom"/>
    <s v=""/>
    <s v=""/>
    <s v="TINYK11947090"/>
    <s v="Raise Return"/>
    <s v="Reverse PickUP Delivered"/>
    <s v=""/>
    <s v=""/>
    <d v="2025-10-25T11:06:20"/>
    <s v="No"/>
    <s v=""/>
    <s v="Coimbatore"/>
    <s v="Tamil Nadu"/>
    <n v="641048"/>
    <s v="India"/>
    <s v="Indian Rupee"/>
    <n v="62044220"/>
    <m/>
    <n v="2400"/>
    <s v="TINYK2627100208"/>
    <s v=""/>
    <s v=""/>
    <s v="No"/>
    <n v="5"/>
    <n v="0"/>
    <n v="0"/>
    <n v="5"/>
    <n v="114.286"/>
    <n v="0"/>
    <n v="0"/>
    <n v="114.286"/>
    <m/>
    <n v="0.85"/>
    <d v="2025-10-04T12:00:00"/>
    <n v="2400"/>
    <n v="114.286"/>
    <n v="2514.2860000000001"/>
  </r>
  <r>
    <s v="NYK-32017379-7625520-1-1"/>
    <s v="NYKF35399370"/>
    <s v="CUTAB00000086"/>
    <x v="17"/>
    <n v="1"/>
    <x v="6"/>
    <n v="1"/>
    <n v="1"/>
    <n v="4500"/>
    <n v="4050"/>
    <n v="0"/>
    <n v="4079"/>
    <n v="29"/>
    <s v="Prepaid"/>
    <d v="2025-10-03T07:43:46"/>
    <d v="2025-10-04T14:52:56"/>
    <m/>
    <s v="SF1835855777NYK"/>
    <s v="Shadowfax"/>
    <d v="2025-10-03T19:34:48"/>
    <s v=""/>
    <s v="Tiny Kingdom"/>
    <s v=""/>
    <s v=""/>
    <s v=""/>
    <s v=""/>
    <s v=""/>
    <s v=""/>
    <s v=""/>
    <d v="2025-10-07T18:31:23"/>
    <s v="No"/>
    <s v=""/>
    <s v="Mumbai"/>
    <s v="Maharashtra"/>
    <n v="400050"/>
    <s v="India"/>
    <s v="Indian Rupee"/>
    <n v="62042300"/>
    <m/>
    <n v="4050"/>
    <s v="TINYK2627100223"/>
    <s v=""/>
    <s v=""/>
    <s v="No"/>
    <n v="18"/>
    <n v="9"/>
    <n v="9"/>
    <n v="0"/>
    <n v="617.79700000000003"/>
    <n v="308.899"/>
    <n v="308.899"/>
    <n v="0"/>
    <m/>
    <n v="0.75"/>
    <d v="2025-10-05T12:00:00"/>
    <n v="4050"/>
    <n v="617.798"/>
    <n v="4667.7979999999998"/>
  </r>
  <r>
    <s v="NYK-32066839-9427040-1-1"/>
    <s v="NYKF35454335"/>
    <s v="CUTAB00000001"/>
    <x v="18"/>
    <n v="2"/>
    <x v="0"/>
    <n v="1"/>
    <n v="1"/>
    <n v="3500"/>
    <n v="2800"/>
    <n v="0"/>
    <n v="2827.86"/>
    <n v="27.86"/>
    <s v="COD"/>
    <d v="2025-10-04T20:20:27"/>
    <d v="2025-10-06T15:23:28"/>
    <d v="2025-10-12T20:49:53"/>
    <s v="SF2167352648NYK"/>
    <s v="Shadowfax"/>
    <d v="2025-10-05T17:49:47"/>
    <s v=""/>
    <s v="Tiny Kingdom"/>
    <s v=""/>
    <s v=""/>
    <s v="TINYK11983303"/>
    <s v="Raise Return"/>
    <s v="Reverse PickUP Delivered"/>
    <s v=""/>
    <s v=""/>
    <d v="2025-10-18T19:46:18"/>
    <s v="No"/>
    <s v=""/>
    <s v="Akola"/>
    <s v="Maharashtra"/>
    <n v="444105"/>
    <s v="India"/>
    <s v="Indian Rupee"/>
    <n v="62042300"/>
    <m/>
    <n v="2800"/>
    <s v="TINYK2627100246"/>
    <s v=""/>
    <s v=""/>
    <s v="No"/>
    <n v="18"/>
    <n v="9"/>
    <n v="9"/>
    <n v="0"/>
    <n v="427.11900000000003"/>
    <n v="213.56"/>
    <n v="213.56"/>
    <n v="0"/>
    <m/>
    <n v="0.75"/>
    <d v="2025-10-07T12:00:00"/>
    <n v="2800"/>
    <n v="427.12"/>
    <n v="3227.12"/>
  </r>
  <r>
    <s v="NYK-32719508-7418532-1-1"/>
    <s v="NYKF36163710"/>
    <s v="CUTAB00000008"/>
    <x v="19"/>
    <n v="1"/>
    <x v="4"/>
    <n v="1"/>
    <n v="0"/>
    <n v="3500"/>
    <n v="2800"/>
    <n v="0"/>
    <n v="2849"/>
    <n v="49"/>
    <s v="COD"/>
    <d v="2025-10-26T14:00:19"/>
    <m/>
    <m/>
    <s v=""/>
    <s v="DelhiverySurface"/>
    <m/>
    <s v="Delivery date is too late"/>
    <s v="Tiny Kingdom"/>
    <s v=""/>
    <s v=""/>
    <s v=""/>
    <s v=""/>
    <s v=""/>
    <s v=""/>
    <s v=""/>
    <d v="2025-10-26T14:04:33"/>
    <s v="No"/>
    <s v=""/>
    <s v="Bangalore"/>
    <s v="Karnataka"/>
    <n v="560076"/>
    <s v="India"/>
    <s v="Indian Rupee"/>
    <n v="62042300"/>
    <d v="2025-10-26T14:04:33"/>
    <n v="2800"/>
    <s v=""/>
    <s v=""/>
    <s v=""/>
    <s v="No"/>
    <n v="18"/>
    <n v="0"/>
    <n v="0"/>
    <n v="18"/>
    <n v="427.11900000000003"/>
    <n v="0"/>
    <n v="0"/>
    <n v="427.11900000000003"/>
    <m/>
    <m/>
    <d v="2025-10-29T12:00:00"/>
    <n v="2800"/>
    <n v="427.11900000000003"/>
    <n v="3227.1190000000001"/>
  </r>
  <r>
    <s v="NYK-32652039-9543776-1-1"/>
    <s v="NYKF36092618"/>
    <s v="CUTAB00000010"/>
    <x v="20"/>
    <n v="1"/>
    <x v="1"/>
    <n v="1"/>
    <n v="1"/>
    <n v="3500"/>
    <n v="2450"/>
    <n v="0"/>
    <n v="2479"/>
    <n v="29"/>
    <s v="Prepaid"/>
    <d v="2025-10-23T22:42:24"/>
    <d v="2025-10-24T17:32:30"/>
    <d v="2025-10-28T09:24:10"/>
    <s v="28449527097792"/>
    <s v="DelhiverySurface"/>
    <d v="2025-10-24T12:00:44"/>
    <s v=""/>
    <s v="Tiny Kingdom"/>
    <s v=""/>
    <s v=""/>
    <s v=""/>
    <s v=""/>
    <s v=""/>
    <s v=""/>
    <s v=""/>
    <d v="2025-10-28T09:26:14"/>
    <s v="No"/>
    <s v=""/>
    <s v="Bathinda"/>
    <s v="Punjab"/>
    <n v="151001"/>
    <s v="India"/>
    <s v="Indian Rupee"/>
    <n v="62042300"/>
    <m/>
    <n v="2450"/>
    <s v="TINYK2627100409"/>
    <s v="NFDR15"/>
    <s v=""/>
    <s v="No"/>
    <n v="5"/>
    <n v="0"/>
    <n v="0"/>
    <n v="5"/>
    <n v="116.667"/>
    <n v="0"/>
    <n v="0"/>
    <n v="116.667"/>
    <m/>
    <n v="0.75"/>
    <d v="2025-10-26T12:00:00"/>
    <n v="2450"/>
    <n v="116.667"/>
    <n v="2566.6669999999999"/>
  </r>
  <r>
    <s v="NYK-32033651-8685411-1-1"/>
    <s v="NYKF35417399"/>
    <s v="CUTAB00000068"/>
    <x v="21"/>
    <n v="1"/>
    <x v="1"/>
    <n v="1"/>
    <n v="1"/>
    <n v="4000"/>
    <n v="2800"/>
    <n v="0"/>
    <n v="2849"/>
    <n v="49"/>
    <s v="COD"/>
    <d v="2025-10-03T19:08:05"/>
    <d v="2025-10-04T17:17:44"/>
    <d v="2025-10-07T12:23:49"/>
    <s v="237943174848600"/>
    <s v="Nykaa Fashion surface"/>
    <d v="2025-10-03T19:34:47"/>
    <s v=""/>
    <s v="Tiny Kingdom"/>
    <s v=""/>
    <s v=""/>
    <s v=""/>
    <s v=""/>
    <s v=""/>
    <s v=""/>
    <s v=""/>
    <d v="2025-10-07T12:35:51"/>
    <s v="No"/>
    <s v=""/>
    <s v="Baroda"/>
    <s v="Gujarat"/>
    <n v="390002"/>
    <s v="India"/>
    <s v="Indian Rupee"/>
    <n v="62042300"/>
    <m/>
    <n v="2800"/>
    <s v="TINYK2627100210"/>
    <s v="NFDR10"/>
    <s v=""/>
    <s v="No"/>
    <n v="18"/>
    <n v="0"/>
    <n v="0"/>
    <n v="18"/>
    <n v="427.11900000000003"/>
    <n v="0"/>
    <n v="0"/>
    <n v="427.11900000000003"/>
    <m/>
    <n v="0.75"/>
    <d v="2025-10-06T12:00:00"/>
    <n v="2800"/>
    <n v="427.11900000000003"/>
    <n v="3227.1190000000001"/>
  </r>
  <r>
    <s v="NYK-32007874-0266599-1-1"/>
    <s v="NYKF35388698"/>
    <s v="CUTAB00000134"/>
    <x v="22"/>
    <n v="1"/>
    <x v="6"/>
    <n v="1"/>
    <n v="1"/>
    <n v="5000"/>
    <n v="4000"/>
    <n v="0"/>
    <n v="4029"/>
    <n v="29"/>
    <s v="Prepaid"/>
    <d v="2025-10-02T21:21:07"/>
    <d v="2025-10-04T14:52:56"/>
    <m/>
    <s v="SF1835855588NYK"/>
    <s v="Shadowfax"/>
    <d v="2025-10-03T19:34:48"/>
    <s v=""/>
    <s v="Tiny Kingdom"/>
    <s v=""/>
    <s v=""/>
    <s v=""/>
    <s v=""/>
    <s v=""/>
    <s v=""/>
    <s v=""/>
    <d v="2025-10-07T18:31:23"/>
    <s v="No"/>
    <s v=""/>
    <s v="Mumbai"/>
    <s v="Maharashtra"/>
    <n v="400050"/>
    <s v="India"/>
    <s v="Indian Rupee"/>
    <n v="62042300"/>
    <m/>
    <n v="4000"/>
    <s v="TINYK2627100216"/>
    <s v=""/>
    <s v=""/>
    <s v="No"/>
    <n v="18"/>
    <n v="9"/>
    <n v="9"/>
    <n v="0"/>
    <n v="610.16899999999998"/>
    <n v="305.08499999999998"/>
    <n v="305.08499999999998"/>
    <n v="0"/>
    <m/>
    <n v="0.75"/>
    <d v="2025-10-05T12:00:00"/>
    <n v="4000"/>
    <n v="610.16999999999996"/>
    <n v="4610.17"/>
  </r>
  <r>
    <s v="NYK-32802928-1894823-1-1"/>
    <s v="NYKF36252248"/>
    <s v="CUTAB00000773"/>
    <x v="23"/>
    <n v="1"/>
    <x v="3"/>
    <n v="1"/>
    <n v="1"/>
    <n v="3850"/>
    <n v="3465"/>
    <n v="0"/>
    <n v="3485"/>
    <n v="20"/>
    <s v="COD"/>
    <d v="2025-10-29T15:28:15"/>
    <d v="2025-10-30T14:58:58"/>
    <m/>
    <s v="SF2167391487NYK"/>
    <s v="Shadowfax"/>
    <d v="2025-10-29T18:58:15"/>
    <s v=""/>
    <s v="Tiny Kingdom"/>
    <s v=""/>
    <s v=""/>
    <s v=""/>
    <s v=""/>
    <s v=""/>
    <s v=""/>
    <s v=""/>
    <d v="2025-10-30T21:56:22"/>
    <s v="No"/>
    <s v=""/>
    <s v="Pune"/>
    <s v="Maharashtra"/>
    <n v="411015"/>
    <s v="India"/>
    <s v="Indian Rupee"/>
    <n v="62044220"/>
    <m/>
    <n v="3465"/>
    <s v="TINYK2627100436"/>
    <s v="NFNEW15"/>
    <s v=""/>
    <s v="No"/>
    <n v="18"/>
    <n v="9"/>
    <n v="9"/>
    <n v="0"/>
    <n v="528.55899999999997"/>
    <n v="264.27999999999997"/>
    <n v="264.27999999999997"/>
    <n v="0"/>
    <m/>
    <n v="0.75"/>
    <d v="2025-11-01T12:00:00"/>
    <n v="3465"/>
    <n v="528.55999999999995"/>
    <n v="3993.56"/>
  </r>
  <r>
    <s v="NYK-32767553-5282462-1-1"/>
    <s v="NYKF36215461"/>
    <s v="CUTAB00000776"/>
    <x v="24"/>
    <n v="2"/>
    <x v="1"/>
    <n v="1"/>
    <n v="1"/>
    <n v="3850"/>
    <n v="3465"/>
    <n v="0"/>
    <n v="3479.6909999999998"/>
    <n v="14.691000000000001"/>
    <s v="Prepaid"/>
    <d v="2025-10-28T09:51:22"/>
    <d v="2025-10-28T17:10:47"/>
    <d v="2025-10-31T10:57:46"/>
    <s v="28449527462120"/>
    <s v="DelhiverySurface"/>
    <d v="2025-10-28T13:02:06"/>
    <s v=""/>
    <s v="Tiny Kingdom"/>
    <s v=""/>
    <s v=""/>
    <s v=""/>
    <s v=""/>
    <s v=""/>
    <s v=""/>
    <s v=""/>
    <d v="2025-10-31T11:31:35"/>
    <s v="No"/>
    <s v=""/>
    <s v="Bangalore"/>
    <s v="Karnataka"/>
    <n v="560087"/>
    <s v="India"/>
    <s v="Indian Rupee"/>
    <n v="62044220"/>
    <m/>
    <n v="3465"/>
    <s v="TINYK2627100430"/>
    <s v=""/>
    <s v=""/>
    <s v="No"/>
    <n v="18"/>
    <n v="0"/>
    <n v="0"/>
    <n v="18"/>
    <n v="528.55899999999997"/>
    <n v="0"/>
    <n v="0"/>
    <n v="528.55899999999997"/>
    <m/>
    <n v="1.1000000000000001"/>
    <d v="2025-10-30T12:00:00"/>
    <n v="3465"/>
    <n v="528.55899999999997"/>
    <n v="3993.5590000000002"/>
  </r>
  <r>
    <s v="NYK-32314688-1542630-1-1"/>
    <s v="NYKF35732207"/>
    <s v="CUTAB00000776"/>
    <x v="24"/>
    <n v="1"/>
    <x v="1"/>
    <n v="1"/>
    <n v="1"/>
    <n v="3850"/>
    <n v="3465"/>
    <n v="0"/>
    <n v="3465"/>
    <n v="0"/>
    <s v="Prepaid"/>
    <d v="2025-10-12T09:29:03"/>
    <d v="2025-10-13T18:17:41"/>
    <d v="2025-10-20T12:47:20"/>
    <s v="237943173263520"/>
    <s v="Nykaa Fashion surface"/>
    <d v="2025-10-12T15:52:26"/>
    <s v=""/>
    <s v="Tiny Kingdom"/>
    <s v=""/>
    <s v=""/>
    <s v=""/>
    <s v=""/>
    <s v=""/>
    <s v=""/>
    <s v=""/>
    <d v="2025-10-20T14:06:25"/>
    <s v="No"/>
    <s v=""/>
    <s v="Ambikapur"/>
    <s v="Chhattisgarh"/>
    <n v="497001"/>
    <s v="India"/>
    <s v="Indian Rupee"/>
    <n v="62044220"/>
    <m/>
    <n v="3465"/>
    <s v="TINYK2627100314"/>
    <s v="NFJOY15"/>
    <s v=""/>
    <s v="No"/>
    <n v="18"/>
    <n v="0"/>
    <n v="0"/>
    <n v="18"/>
    <n v="528.55899999999997"/>
    <n v="0"/>
    <n v="0"/>
    <n v="528.55899999999997"/>
    <m/>
    <n v="0.75"/>
    <d v="2025-10-14T12:00:00"/>
    <n v="3465"/>
    <n v="528.55899999999997"/>
    <n v="3993.5590000000002"/>
  </r>
  <r>
    <s v="NYK-32153170-4319140-1-1"/>
    <s v="NYKF35551320"/>
    <s v="CUTAB00000777"/>
    <x v="25"/>
    <n v="1"/>
    <x v="0"/>
    <n v="1"/>
    <n v="1"/>
    <n v="3850"/>
    <n v="3465"/>
    <n v="0"/>
    <n v="3489.8220000000001"/>
    <n v="24.821999999999999"/>
    <s v="COD"/>
    <d v="2025-10-07T10:48:39"/>
    <d v="2025-10-09T17:37:54"/>
    <d v="2025-10-19T17:22:34"/>
    <s v="28449521953761"/>
    <s v="DelhiverySurface"/>
    <d v="2025-10-08T17:25:10"/>
    <s v=""/>
    <s v="Tiny Kingdom"/>
    <s v=""/>
    <s v=""/>
    <s v="TINYK12100500"/>
    <s v="Raise Return"/>
    <s v="Reverse PickUP Done"/>
    <s v=""/>
    <s v=""/>
    <d v="2025-10-31T11:51:42"/>
    <s v="No"/>
    <s v=""/>
    <s v="Shahjahanpur"/>
    <s v="Uttar Pradesh"/>
    <n v="242001"/>
    <s v="India"/>
    <s v="Indian Rupee"/>
    <n v="62044220"/>
    <m/>
    <n v="3465"/>
    <s v="TINYK2627100280"/>
    <s v=""/>
    <s v=""/>
    <s v="No"/>
    <n v="18"/>
    <n v="0"/>
    <n v="0"/>
    <n v="18"/>
    <n v="528.55899999999997"/>
    <n v="0"/>
    <n v="0"/>
    <n v="528.55899999999997"/>
    <m/>
    <n v="1.1000000000000001"/>
    <d v="2025-10-09T12:00:00"/>
    <n v="3465"/>
    <n v="528.55899999999997"/>
    <n v="3993.5590000000002"/>
  </r>
  <r>
    <s v="NYK-32093970-0835450-1-1"/>
    <s v="NYKF35484548"/>
    <s v="CUTAB00000777"/>
    <x v="25"/>
    <n v="1"/>
    <x v="4"/>
    <n v="1"/>
    <n v="0"/>
    <n v="3850"/>
    <n v="3465"/>
    <n v="0"/>
    <n v="3514"/>
    <n v="49"/>
    <s v="COD"/>
    <d v="2025-10-05T16:10:35"/>
    <m/>
    <m/>
    <s v=""/>
    <s v="DelhiverySurface"/>
    <m/>
    <s v="bulk cancellation by verification team"/>
    <s v="Tiny Kingdom"/>
    <s v="Bulk Cancellation - Blacklisted COD"/>
    <s v=""/>
    <s v=""/>
    <s v=""/>
    <s v=""/>
    <s v=""/>
    <s v=""/>
    <d v="2025-10-06T11:30:52"/>
    <s v="No"/>
    <s v=""/>
    <s v="Shahjahanpur"/>
    <s v="Uttar Pradesh"/>
    <n v="242001"/>
    <s v="India"/>
    <s v="Indian Rupee"/>
    <n v="62044220"/>
    <d v="2025-10-06T11:30:52"/>
    <n v="3465"/>
    <s v=""/>
    <s v=""/>
    <s v="Blacklisted Customer"/>
    <s v="Yes"/>
    <n v="18"/>
    <n v="0"/>
    <n v="0"/>
    <n v="18"/>
    <n v="528.55899999999997"/>
    <n v="0"/>
    <n v="0"/>
    <n v="528.55899999999997"/>
    <m/>
    <m/>
    <d v="2025-10-08T12:00:00"/>
    <n v="3465"/>
    <n v="528.55899999999997"/>
    <n v="3993.5590000000002"/>
  </r>
  <r>
    <s v="NYK-32764035-6249327-2-1"/>
    <s v="NYKF36211743"/>
    <s v="CUTAB00000344"/>
    <x v="26"/>
    <n v="4"/>
    <x v="1"/>
    <n v="1"/>
    <n v="1"/>
    <n v="3500"/>
    <n v="2800"/>
    <n v="0"/>
    <n v="2806.66"/>
    <n v="6.66"/>
    <s v="Prepaid"/>
    <d v="2025-10-28T01:47:29"/>
    <d v="2025-10-28T17:10:37"/>
    <d v="2025-10-30T17:35:27"/>
    <s v="28449527459180"/>
    <s v="DelhiverySurface"/>
    <d v="2025-10-28T13:02:05"/>
    <s v=""/>
    <s v="Tiny Kingdom"/>
    <s v=""/>
    <s v=""/>
    <s v=""/>
    <s v=""/>
    <s v=""/>
    <s v=""/>
    <s v=""/>
    <d v="2025-10-30T17:36:05"/>
    <s v="No"/>
    <s v=""/>
    <s v="Noida"/>
    <s v="Uttar Pradesh"/>
    <n v="201305"/>
    <s v="India"/>
    <s v="Indian Rupee"/>
    <n v="62042300"/>
    <m/>
    <n v="2800"/>
    <s v="TINYK2627100426"/>
    <s v="NFDR10"/>
    <s v=""/>
    <s v="No"/>
    <n v="18"/>
    <n v="0"/>
    <n v="0"/>
    <n v="18"/>
    <n v="427.11900000000003"/>
    <n v="0"/>
    <n v="0"/>
    <n v="427.11900000000003"/>
    <m/>
    <n v="0.85"/>
    <d v="2025-10-30T12:00:00"/>
    <n v="2800"/>
    <n v="427.11900000000003"/>
    <n v="3227.1190000000001"/>
  </r>
  <r>
    <s v="NYK-32356595-2556873-1-1"/>
    <s v="NYKF35780231"/>
    <s v="CUTAB00000196"/>
    <x v="27"/>
    <n v="1"/>
    <x v="0"/>
    <n v="1"/>
    <n v="1"/>
    <n v="4500"/>
    <n v="3600"/>
    <n v="0"/>
    <n v="3629"/>
    <n v="29"/>
    <s v="Prepaid"/>
    <d v="2025-10-13T07:59:17"/>
    <d v="2025-10-14T17:45:51"/>
    <d v="2025-10-19T13:53:24"/>
    <s v="28449520863986"/>
    <s v="DelhiverySurface"/>
    <d v="2025-10-13T19:30:40"/>
    <s v=""/>
    <s v="Tiny Kingdom"/>
    <s v=""/>
    <s v=""/>
    <s v="TINYK12150999"/>
    <s v="Raise Return"/>
    <s v="Reverse PickUP Done"/>
    <s v=""/>
    <s v=""/>
    <d v="2025-10-31T02:31:17"/>
    <s v="No"/>
    <s v=""/>
    <s v="Hanumangarh"/>
    <s v="Rajasthan"/>
    <n v="335512"/>
    <s v="India"/>
    <s v="Indian Rupee"/>
    <n v="62042300"/>
    <m/>
    <n v="3600"/>
    <s v="TINYK2627100328"/>
    <s v="NFSDS15"/>
    <s v=""/>
    <s v="No"/>
    <n v="18"/>
    <n v="0"/>
    <n v="0"/>
    <n v="18"/>
    <n v="549.15300000000002"/>
    <n v="0"/>
    <n v="0"/>
    <n v="549.15300000000002"/>
    <m/>
    <n v="0.75"/>
    <d v="2025-10-15T12:00:00"/>
    <n v="3600"/>
    <n v="549.15300000000002"/>
    <n v="4149.1530000000002"/>
  </r>
  <r>
    <s v="NYK-32076897-8309454-1-1"/>
    <s v="NYKF35465806"/>
    <s v="CUTAB00000057"/>
    <x v="28"/>
    <n v="1"/>
    <x v="4"/>
    <n v="1"/>
    <n v="0"/>
    <n v="4500"/>
    <n v="4050"/>
    <n v="0"/>
    <n v="4099"/>
    <n v="49"/>
    <s v="COD"/>
    <d v="2025-10-05T01:35:09"/>
    <m/>
    <m/>
    <s v=""/>
    <s v="DelhiverySurface"/>
    <m/>
    <s v="Found a better price somewhere else"/>
    <s v="Tiny Kingdom"/>
    <s v=""/>
    <s v=""/>
    <s v=""/>
    <s v=""/>
    <s v=""/>
    <s v=""/>
    <s v=""/>
    <d v="2025-10-05T09:19:59"/>
    <s v="No"/>
    <s v=""/>
    <s v="Jhansi"/>
    <s v="Uttar Pradesh"/>
    <n v="284001"/>
    <s v="India"/>
    <s v="Indian Rupee"/>
    <n v="62042300"/>
    <d v="2025-10-05T09:19:59"/>
    <n v="4050"/>
    <s v=""/>
    <s v=""/>
    <s v=""/>
    <s v="No"/>
    <n v="18"/>
    <n v="0"/>
    <n v="0"/>
    <n v="18"/>
    <n v="617.79700000000003"/>
    <n v="0"/>
    <n v="0"/>
    <n v="617.79700000000003"/>
    <m/>
    <m/>
    <d v="2025-10-07T12:00:00"/>
    <n v="4050"/>
    <n v="617.79700000000003"/>
    <n v="4667.7970000000005"/>
  </r>
  <r>
    <s v="NYK-32323231-5132074-1-1"/>
    <s v="NYKF35741805"/>
    <s v="CUTAB00000061"/>
    <x v="29"/>
    <n v="2"/>
    <x v="1"/>
    <n v="1"/>
    <n v="1"/>
    <n v="4500"/>
    <n v="4050"/>
    <n v="0"/>
    <n v="4065.9250000000002"/>
    <n v="15.925000000000001"/>
    <s v="Prepaid"/>
    <d v="2025-10-12T13:15:32"/>
    <d v="2025-10-13T18:16:43"/>
    <d v="2025-10-16T11:04:55"/>
    <s v="237943173264710"/>
    <s v="Nykaa Fashion surface"/>
    <d v="2025-10-12T15:52:26"/>
    <s v=""/>
    <s v="Tiny Kingdom"/>
    <s v=""/>
    <s v=""/>
    <s v=""/>
    <s v=""/>
    <s v=""/>
    <s v=""/>
    <s v=""/>
    <d v="2025-10-16T11:36:09"/>
    <s v="No"/>
    <s v=""/>
    <s v="Mumbai"/>
    <s v="Maharashtra"/>
    <n v="400059"/>
    <s v="India"/>
    <s v="Indian Rupee"/>
    <n v="62042300"/>
    <m/>
    <n v="4050"/>
    <s v="TINYK2627100318"/>
    <s v="NFSD5OO"/>
    <s v=""/>
    <s v="No"/>
    <n v="18"/>
    <n v="9"/>
    <n v="9"/>
    <n v="0"/>
    <n v="617.79700000000003"/>
    <n v="308.899"/>
    <n v="308.899"/>
    <n v="0"/>
    <m/>
    <n v="1.2"/>
    <d v="2025-10-15T12:00:00"/>
    <n v="4050"/>
    <n v="617.798"/>
    <n v="4667.7979999999998"/>
  </r>
  <r>
    <s v="NYK-32228673-1492245-1-1"/>
    <s v="NYKF35634848"/>
    <s v="CUTAB00000062"/>
    <x v="30"/>
    <n v="1"/>
    <x v="1"/>
    <n v="1"/>
    <n v="1"/>
    <n v="4500"/>
    <n v="4050"/>
    <n v="0"/>
    <n v="4099"/>
    <n v="49"/>
    <s v="COD"/>
    <d v="2025-10-09T17:34:52"/>
    <d v="2025-10-13T18:18:54"/>
    <d v="2025-10-16T10:54:43"/>
    <s v="28449522045273"/>
    <s v="DelhiverySurface"/>
    <d v="2025-10-09T18:53:06"/>
    <s v=""/>
    <s v="Tiny Kingdom"/>
    <s v=""/>
    <s v=""/>
    <s v=""/>
    <s v=""/>
    <s v=""/>
    <s v=""/>
    <s v=""/>
    <d v="2025-10-16T10:56:14"/>
    <s v="No"/>
    <s v=""/>
    <s v="Kolkata"/>
    <s v="West Bengal"/>
    <n v="700055"/>
    <s v="India"/>
    <s v="Indian Rupee"/>
    <n v="62042300"/>
    <m/>
    <n v="4050"/>
    <s v="TINYK2627100295"/>
    <s v=""/>
    <s v=""/>
    <s v="No"/>
    <n v="18"/>
    <n v="0"/>
    <n v="0"/>
    <n v="18"/>
    <n v="617.79700000000003"/>
    <n v="0"/>
    <n v="0"/>
    <n v="617.79700000000003"/>
    <m/>
    <n v="0.85"/>
    <d v="2025-10-12T12:00:00"/>
    <n v="4050"/>
    <n v="617.79700000000003"/>
    <n v="4667.7970000000005"/>
  </r>
  <r>
    <s v="NYK-32633940-9183304-1-1"/>
    <s v="NYKF36074077"/>
    <s v="CUTAB00000220"/>
    <x v="31"/>
    <n v="1"/>
    <x v="1"/>
    <n v="1"/>
    <n v="1"/>
    <n v="5000"/>
    <n v="4500"/>
    <n v="0"/>
    <n v="4520.76"/>
    <n v="20.76"/>
    <s v="Prepaid"/>
    <d v="2025-10-23T08:43:03"/>
    <d v="2025-10-24T17:32:14"/>
    <d v="2025-10-26T16:38:06"/>
    <s v="28449527103661"/>
    <s v="DelhiverySurface"/>
    <d v="2025-10-24T12:00:44"/>
    <s v=""/>
    <s v="Tiny Kingdom"/>
    <s v=""/>
    <s v=""/>
    <s v=""/>
    <s v=""/>
    <s v=""/>
    <s v=""/>
    <s v=""/>
    <d v="2025-10-26T16:41:33"/>
    <s v="No"/>
    <s v=""/>
    <s v="Bangalore"/>
    <s v="Karnataka"/>
    <n v="560102"/>
    <s v="India"/>
    <s v="Indian Rupee"/>
    <n v="62042300"/>
    <m/>
    <n v="4500"/>
    <s v="TINYK2627100403"/>
    <s v="NFBACK20"/>
    <s v=""/>
    <s v="No"/>
    <n v="18"/>
    <n v="0"/>
    <n v="0"/>
    <n v="18"/>
    <n v="686.44100000000003"/>
    <n v="0"/>
    <n v="0"/>
    <n v="686.44100000000003"/>
    <m/>
    <n v="0.85"/>
    <d v="2025-10-25T12:00:00"/>
    <n v="4500"/>
    <n v="686.44100000000003"/>
    <n v="5186.4409999999998"/>
  </r>
  <r>
    <s v="NYK-32103741-8046267-10-1"/>
    <s v="NYKF35495972"/>
    <s v="CUTAB00000243"/>
    <x v="32"/>
    <n v="30"/>
    <x v="0"/>
    <n v="1"/>
    <n v="1"/>
    <n v="4500"/>
    <n v="2700"/>
    <n v="0"/>
    <n v="2700"/>
    <n v="0"/>
    <s v="Prepaid"/>
    <d v="2025-10-05T20:57:26"/>
    <d v="2025-10-07T17:25:20"/>
    <d v="2025-10-10T17:44:37"/>
    <s v="28449520084735"/>
    <s v="DelhiverySurface"/>
    <d v="2025-10-06T19:31:11"/>
    <s v=""/>
    <s v="Tiny Kingdom"/>
    <s v=""/>
    <s v=""/>
    <s v="TINYK11992172"/>
    <s v="Raise Return"/>
    <s v="Reverse PickUP Delivered"/>
    <s v=""/>
    <s v=""/>
    <d v="2025-10-18T19:46:18"/>
    <s v="No"/>
    <s v=""/>
    <s v="Mangalore"/>
    <s v="Karnataka"/>
    <n v="575001"/>
    <s v="India"/>
    <s v="Indian Rupee"/>
    <n v="62042300"/>
    <m/>
    <n v="2700"/>
    <s v="TINYK2627100256"/>
    <s v=""/>
    <s v=""/>
    <s v="No"/>
    <n v="18"/>
    <n v="0"/>
    <n v="0"/>
    <n v="18"/>
    <n v="411.86399999999998"/>
    <n v="0"/>
    <n v="0"/>
    <n v="411.86399999999998"/>
    <m/>
    <n v="1.2"/>
    <d v="2025-10-08T12:00:00"/>
    <n v="2700"/>
    <n v="411.86399999999998"/>
    <n v="3111.864"/>
  </r>
  <r>
    <s v="NYK-32065093-5820157-2-1"/>
    <s v="NYKF35452310"/>
    <s v="CUTAB00000285"/>
    <x v="33"/>
    <n v="1"/>
    <x v="0"/>
    <n v="1"/>
    <n v="1"/>
    <n v="3500"/>
    <n v="3150"/>
    <n v="0"/>
    <n v="3164.52"/>
    <n v="14.52"/>
    <s v="Prepaid"/>
    <d v="2025-10-04T19:20:20"/>
    <d v="2025-10-06T17:09:10"/>
    <d v="2025-10-13T17:02:54"/>
    <s v="237943172999071"/>
    <s v="Nykaa Fashion surface"/>
    <d v="2025-10-04T20:08:17"/>
    <s v=""/>
    <s v="Tiny Kingdom"/>
    <s v=""/>
    <s v=""/>
    <s v="TINYK12003543"/>
    <s v="Raise Return"/>
    <s v="Reverse PickUP Delivered"/>
    <s v=""/>
    <s v=""/>
    <d v="2025-10-24T15:06:22"/>
    <s v="No"/>
    <s v=""/>
    <s v="Bhopal"/>
    <s v="Madhya Pradesh"/>
    <n v="462003"/>
    <s v="India"/>
    <s v="Indian Rupee"/>
    <n v="62042300"/>
    <m/>
    <n v="3150"/>
    <s v="TINYK2627100228"/>
    <s v=""/>
    <s v=""/>
    <s v="No"/>
    <n v="18"/>
    <n v="0"/>
    <n v="0"/>
    <n v="18"/>
    <n v="480.50799999999998"/>
    <n v="0"/>
    <n v="0"/>
    <n v="480.50799999999998"/>
    <m/>
    <n v="0.85"/>
    <d v="2025-10-07T12:00:00"/>
    <n v="3150"/>
    <n v="480.50799999999998"/>
    <n v="3630.5079999999998"/>
  </r>
  <r>
    <s v="NYK-32752308-6029961-2-1"/>
    <s v="NYKF36198893"/>
    <s v="CUTAB00000279"/>
    <x v="34"/>
    <n v="2"/>
    <x v="4"/>
    <n v="1"/>
    <n v="0"/>
    <n v="3500"/>
    <n v="3150"/>
    <n v="0"/>
    <n v="3157.84"/>
    <n v="7.84"/>
    <s v="Prepaid"/>
    <d v="2025-10-27T17:23:50"/>
    <m/>
    <m/>
    <s v=""/>
    <s v="DelhiverySurface"/>
    <m/>
    <s v="Delivery date is too late"/>
    <s v="Tiny Kingdom"/>
    <s v=""/>
    <s v=""/>
    <s v=""/>
    <s v=""/>
    <s v=""/>
    <s v=""/>
    <s v=""/>
    <d v="2025-10-27T17:36:22"/>
    <s v="No"/>
    <s v=""/>
    <s v="Bangalore"/>
    <s v="Karnataka"/>
    <n v="560086"/>
    <s v="India"/>
    <s v="Indian Rupee"/>
    <n v="62042300"/>
    <d v="2025-10-27T17:36:22"/>
    <n v="3150"/>
    <s v=""/>
    <s v=""/>
    <s v=""/>
    <s v="No"/>
    <n v="18"/>
    <n v="0"/>
    <n v="0"/>
    <n v="18"/>
    <n v="480.50799999999998"/>
    <n v="0"/>
    <n v="0"/>
    <n v="480.50799999999998"/>
    <m/>
    <m/>
    <d v="2025-10-30T12:00:00"/>
    <n v="3150"/>
    <n v="480.50799999999998"/>
    <n v="3630.5079999999998"/>
  </r>
  <r>
    <s v="NYK-32044543-1362242-3-1"/>
    <s v="NYKF35429762"/>
    <s v="CUTAB00000280"/>
    <x v="35"/>
    <n v="2"/>
    <x v="5"/>
    <n v="1"/>
    <n v="1"/>
    <n v="3500"/>
    <n v="3150"/>
    <n v="0"/>
    <n v="3156.83"/>
    <n v="6.83"/>
    <s v="COD"/>
    <d v="2025-10-04T01:26:02"/>
    <d v="2025-10-06T17:09:04"/>
    <m/>
    <s v="28449521600040"/>
    <s v="DelhiverySurface"/>
    <d v="2025-10-04T20:08:17"/>
    <s v=""/>
    <s v="Tiny Kingdom"/>
    <s v=""/>
    <s v=""/>
    <s v="TINYK11943914"/>
    <s v="RTO"/>
    <s v="Reverse PickUP Delivered"/>
    <s v=""/>
    <s v=""/>
    <d v="2025-10-16T21:25:54"/>
    <s v="No"/>
    <s v=""/>
    <s v="Chennai"/>
    <s v="Tamil Nadu"/>
    <n v="603202"/>
    <s v="India"/>
    <s v="Indian Rupee"/>
    <n v="62042300"/>
    <m/>
    <n v="3150"/>
    <s v="TINYK2627100232"/>
    <s v="NFDIWALI20"/>
    <s v=""/>
    <s v="No"/>
    <n v="18"/>
    <n v="0"/>
    <n v="0"/>
    <n v="18"/>
    <n v="480.50799999999998"/>
    <n v="0"/>
    <n v="0"/>
    <n v="480.50799999999998"/>
    <m/>
    <n v="0.85"/>
    <d v="2025-10-06T12:00:00"/>
    <n v="3150"/>
    <n v="480.50799999999998"/>
    <n v="3630.5079999999998"/>
  </r>
  <r>
    <s v="NYK-32040988-2970821-5-1"/>
    <s v="NYKF35425691"/>
    <s v="CUTAB00000326"/>
    <x v="36"/>
    <n v="4"/>
    <x v="0"/>
    <n v="1"/>
    <n v="1"/>
    <n v="3750"/>
    <n v="3375"/>
    <n v="0"/>
    <n v="3378.77"/>
    <n v="3.77"/>
    <s v="Prepaid"/>
    <d v="2025-10-03T23:06:11"/>
    <d v="2025-10-06T17:08:28"/>
    <d v="2025-10-08T12:57:24"/>
    <s v="237943173003024"/>
    <s v="Nykaa Fashion surface"/>
    <d v="2025-10-04T20:08:17"/>
    <s v=""/>
    <s v="Tiny Kingdom"/>
    <s v=""/>
    <s v=""/>
    <s v="TINYK11946498"/>
    <s v="Raise Return"/>
    <s v="Reverse PickUP Delivered"/>
    <s v=""/>
    <s v=""/>
    <d v="2025-10-14T20:41:16"/>
    <s v="No"/>
    <s v=""/>
    <s v="Mumbai"/>
    <s v="Maharashtra"/>
    <n v="400086"/>
    <s v="India"/>
    <s v="Indian Rupee"/>
    <n v="62042300"/>
    <m/>
    <n v="3375"/>
    <s v="TINYK2627100237"/>
    <s v="NFDR10"/>
    <s v=""/>
    <s v="No"/>
    <n v="18"/>
    <n v="9"/>
    <n v="9"/>
    <n v="0"/>
    <n v="514.83100000000002"/>
    <n v="257.416"/>
    <n v="257.416"/>
    <n v="0"/>
    <m/>
    <n v="0.85"/>
    <d v="2025-10-06T12:00:00"/>
    <n v="3375"/>
    <n v="514.83199999999999"/>
    <n v="3889.8319999999999"/>
  </r>
  <r>
    <s v="NYK-32767553-5282462-1-1"/>
    <s v="NYKF36215461"/>
    <s v="CUTAB00000330"/>
    <x v="37"/>
    <n v="1"/>
    <x v="1"/>
    <n v="1"/>
    <n v="1"/>
    <n v="3750"/>
    <n v="3375"/>
    <n v="0"/>
    <n v="3389.3090000000002"/>
    <n v="14.308999999999999"/>
    <s v="Prepaid"/>
    <d v="2025-10-28T09:51:22"/>
    <d v="2025-10-28T17:10:47"/>
    <d v="2025-10-31T10:57:46"/>
    <s v="28449527462120"/>
    <s v="DelhiverySurface"/>
    <d v="2025-10-28T13:02:06"/>
    <s v=""/>
    <s v="Tiny Kingdom"/>
    <s v=""/>
    <s v=""/>
    <s v=""/>
    <s v=""/>
    <s v=""/>
    <s v=""/>
    <s v=""/>
    <d v="2025-10-31T11:31:35"/>
    <s v="No"/>
    <s v=""/>
    <s v="Bangalore"/>
    <s v="Karnataka"/>
    <n v="560087"/>
    <s v="India"/>
    <s v="Indian Rupee"/>
    <n v="62042300"/>
    <m/>
    <n v="3375"/>
    <s v="TINYK2627100430"/>
    <s v=""/>
    <s v=""/>
    <s v="No"/>
    <n v="18"/>
    <n v="0"/>
    <n v="0"/>
    <n v="18"/>
    <n v="514.83100000000002"/>
    <n v="0"/>
    <n v="0"/>
    <n v="514.83100000000002"/>
    <m/>
    <n v="1.1000000000000001"/>
    <d v="2025-10-30T12:00:00"/>
    <n v="3375"/>
    <n v="514.83100000000002"/>
    <n v="3889.8310000000001"/>
  </r>
  <r>
    <s v="NYK-32153170-4319140-1-1"/>
    <s v="NYKF35551320"/>
    <s v="CUTAB00000332"/>
    <x v="38"/>
    <n v="2"/>
    <x v="0"/>
    <n v="1"/>
    <n v="1"/>
    <n v="3750"/>
    <n v="3375"/>
    <n v="0"/>
    <n v="3399.1779999999999"/>
    <n v="24.178000000000001"/>
    <s v="COD"/>
    <d v="2025-10-07T10:48:39"/>
    <d v="2025-10-09T17:37:54"/>
    <d v="2025-10-19T17:22:34"/>
    <s v="28449521953761"/>
    <s v="DelhiverySurface"/>
    <d v="2025-10-08T17:25:10"/>
    <s v=""/>
    <s v="Tiny Kingdom"/>
    <s v=""/>
    <s v=""/>
    <s v="TINYK12115179"/>
    <s v="Raise Return"/>
    <s v="Reverse PickUP Done"/>
    <s v=""/>
    <s v=""/>
    <d v="2025-10-27T05:01:17"/>
    <s v="No"/>
    <s v=""/>
    <s v="Shahjahanpur"/>
    <s v="Uttar Pradesh"/>
    <n v="242001"/>
    <s v="India"/>
    <s v="Indian Rupee"/>
    <n v="62042300"/>
    <m/>
    <n v="3375"/>
    <s v="TINYK2627100280"/>
    <s v=""/>
    <s v=""/>
    <s v="No"/>
    <n v="18"/>
    <n v="0"/>
    <n v="0"/>
    <n v="18"/>
    <n v="514.83100000000002"/>
    <n v="0"/>
    <n v="0"/>
    <n v="514.83100000000002"/>
    <m/>
    <n v="1.1000000000000001"/>
    <d v="2025-10-09T12:00:00"/>
    <n v="3375"/>
    <n v="514.83100000000002"/>
    <n v="3889.8310000000001"/>
  </r>
  <r>
    <s v="NYK-32093710-0419079-1-1"/>
    <s v="NYKF35484262"/>
    <s v="CUTAB00000332"/>
    <x v="38"/>
    <n v="1"/>
    <x v="4"/>
    <n v="1"/>
    <n v="0"/>
    <n v="3750"/>
    <n v="3375"/>
    <n v="0"/>
    <n v="3424"/>
    <n v="49"/>
    <s v="COD"/>
    <d v="2025-10-05T16:03:39"/>
    <m/>
    <m/>
    <s v=""/>
    <s v="DelhiverySurface"/>
    <m/>
    <s v="bulk cancellation by verification team"/>
    <s v="Tiny Kingdom"/>
    <s v="Bulk Cancellation - Blacklisted COD"/>
    <s v=""/>
    <s v=""/>
    <s v=""/>
    <s v=""/>
    <s v=""/>
    <s v=""/>
    <d v="2025-10-06T11:30:51"/>
    <s v="No"/>
    <s v=""/>
    <s v="Shahjahanpur"/>
    <s v="Uttar Pradesh"/>
    <n v="242001"/>
    <s v="India"/>
    <s v="Indian Rupee"/>
    <n v="62042300"/>
    <d v="2025-10-06T11:30:51"/>
    <n v="3375"/>
    <s v=""/>
    <s v=""/>
    <s v="Blacklisted Customer"/>
    <s v="Yes"/>
    <n v="18"/>
    <n v="0"/>
    <n v="0"/>
    <n v="18"/>
    <n v="514.83100000000002"/>
    <n v="0"/>
    <n v="0"/>
    <n v="514.83100000000002"/>
    <m/>
    <m/>
    <d v="2025-10-08T12:00:00"/>
    <n v="3375"/>
    <n v="514.83100000000002"/>
    <n v="3889.8310000000001"/>
  </r>
  <r>
    <s v="NYK-31991908-6213118-1-1"/>
    <s v="NYKF35371258"/>
    <s v="CUTAB00000490"/>
    <x v="39"/>
    <n v="1"/>
    <x v="1"/>
    <n v="1"/>
    <n v="1"/>
    <n v="3500"/>
    <n v="3150"/>
    <n v="0"/>
    <n v="3179"/>
    <n v="29"/>
    <s v="Prepaid"/>
    <d v="2025-10-02T11:53:33"/>
    <d v="2025-10-03T17:28:29"/>
    <d v="2025-10-05T15:23:34"/>
    <s v="28449519747976"/>
    <s v="DelhiverySurface"/>
    <d v="2025-10-03T12:50:31"/>
    <s v=""/>
    <s v="Tiny Kingdom"/>
    <s v=""/>
    <s v=""/>
    <s v=""/>
    <s v=""/>
    <s v=""/>
    <s v=""/>
    <s v=""/>
    <d v="2025-10-05T15:26:19"/>
    <s v="No"/>
    <s v=""/>
    <s v="Noida"/>
    <s v="Uttar Pradesh"/>
    <n v="201308"/>
    <s v="India"/>
    <s v="Indian Rupee"/>
    <n v="62042300"/>
    <m/>
    <n v="3150"/>
    <s v="TINYK2627100209"/>
    <s v=""/>
    <s v=""/>
    <s v="No"/>
    <n v="18"/>
    <n v="0"/>
    <n v="0"/>
    <n v="18"/>
    <n v="480.50799999999998"/>
    <n v="0"/>
    <n v="0"/>
    <n v="480.50799999999998"/>
    <m/>
    <n v="0.85"/>
    <d v="2025-10-04T12:00:00"/>
    <n v="3150"/>
    <n v="480.50799999999998"/>
    <n v="3630.5079999999998"/>
  </r>
  <r>
    <s v="NYK-32315949-3753080-1-1"/>
    <s v="NYKF35733352"/>
    <s v="CUTAB00000798"/>
    <x v="40"/>
    <n v="1"/>
    <x v="0"/>
    <n v="1"/>
    <n v="1"/>
    <n v="3500"/>
    <n v="3150"/>
    <n v="0"/>
    <n v="3170"/>
    <n v="20"/>
    <s v="COD"/>
    <d v="2025-10-12T10:05:53"/>
    <d v="2025-10-13T18:16:25"/>
    <d v="2025-10-17T12:59:32"/>
    <s v="28449522282120"/>
    <s v="DelhiverySurface"/>
    <d v="2025-10-12T15:52:26"/>
    <s v=""/>
    <s v="Tiny Kingdom"/>
    <s v=""/>
    <s v=""/>
    <s v="TINYK12139332"/>
    <s v="Raise Return"/>
    <s v="Reverse PickUP Done"/>
    <s v=""/>
    <s v=""/>
    <d v="2025-10-28T07:06:21"/>
    <s v="No"/>
    <s v=""/>
    <s v="Kanpur"/>
    <s v="Uttar Pradesh"/>
    <n v="208011"/>
    <s v="India"/>
    <s v="Indian Rupee"/>
    <n v="62044220"/>
    <m/>
    <n v="3150"/>
    <s v="TINYK2627100320"/>
    <s v=""/>
    <s v=""/>
    <s v="No"/>
    <n v="18"/>
    <n v="0"/>
    <n v="0"/>
    <n v="18"/>
    <n v="480.50799999999998"/>
    <n v="0"/>
    <n v="0"/>
    <n v="480.50799999999998"/>
    <m/>
    <n v="0.75"/>
    <d v="2025-10-14T12:00:00"/>
    <n v="3150"/>
    <n v="480.50799999999998"/>
    <n v="3630.5079999999998"/>
  </r>
  <r>
    <s v="NYK-31996311-5116477-3-1"/>
    <s v="NYKF35375861"/>
    <s v="CUTAB00000907"/>
    <x v="41"/>
    <n v="8"/>
    <x v="0"/>
    <n v="1"/>
    <n v="1"/>
    <n v="1750"/>
    <n v="1400"/>
    <n v="0"/>
    <n v="1415.26"/>
    <n v="15.26"/>
    <s v="Prepaid"/>
    <d v="2025-10-02T14:21:56"/>
    <d v="2025-10-04T17:18:26"/>
    <d v="2025-10-05T22:04:40"/>
    <s v="237943172972176"/>
    <s v="Nykaa Fashion surface"/>
    <d v="2025-10-03T19:34:48"/>
    <s v=""/>
    <s v="Tiny Kingdom"/>
    <s v=""/>
    <s v=""/>
    <s v="TINYK11964654"/>
    <s v="Raise Return"/>
    <s v="Reverse PickUP Delivered"/>
    <s v=""/>
    <s v=""/>
    <d v="2025-10-15T17:21:27"/>
    <s v="No"/>
    <s v=""/>
    <s v="Thane"/>
    <s v="Maharashtra"/>
    <n v="400608"/>
    <s v="India"/>
    <s v="Indian Rupee"/>
    <n v="62044220"/>
    <m/>
    <n v="1400"/>
    <s v="TINYK2627100218"/>
    <s v="NFSDS10"/>
    <s v=""/>
    <s v="No"/>
    <n v="5"/>
    <n v="2.5"/>
    <n v="2.5"/>
    <n v="0"/>
    <n v="66.667000000000002"/>
    <n v="33.334000000000003"/>
    <n v="33.334000000000003"/>
    <n v="0"/>
    <m/>
    <n v="0.75"/>
    <d v="2025-10-05T12:00:00"/>
    <n v="1400"/>
    <n v="66.668000000000006"/>
    <n v="1466.6680000000001"/>
  </r>
  <r>
    <s v="NYK-32160803-9807227-3-1"/>
    <s v="NYKF35559589"/>
    <s v="CUTAB00000616"/>
    <x v="42"/>
    <n v="4"/>
    <x v="0"/>
    <n v="1"/>
    <n v="1"/>
    <n v="4500"/>
    <n v="4050"/>
    <n v="0"/>
    <n v="4060.85"/>
    <n v="10.85"/>
    <s v="Prepaid"/>
    <d v="2025-10-07T15:06:47"/>
    <d v="2025-10-08T17:14:19"/>
    <d v="2025-10-11T11:50:56"/>
    <s v="28449520195733"/>
    <s v="DelhiverySurface"/>
    <d v="2025-10-07T17:11:18"/>
    <s v=""/>
    <s v="Tiny Kingdom"/>
    <s v=""/>
    <s v=""/>
    <s v="TINYK11983201"/>
    <s v="Raise Return"/>
    <s v="Reverse PickUP Delivered"/>
    <s v=""/>
    <s v=""/>
    <d v="2025-10-24T15:06:22"/>
    <s v="No"/>
    <s v=""/>
    <s v="Gurugram"/>
    <s v="Haryana"/>
    <n v="122004"/>
    <s v="India"/>
    <s v="Indian Rupee"/>
    <n v="62042300"/>
    <m/>
    <n v="4050"/>
    <s v="TINYK2627100264"/>
    <s v="NFLIW10"/>
    <s v=""/>
    <s v="No"/>
    <n v="18"/>
    <n v="0"/>
    <n v="0"/>
    <n v="18"/>
    <n v="617.79700000000003"/>
    <n v="0"/>
    <n v="0"/>
    <n v="617.79700000000003"/>
    <m/>
    <n v="0.85"/>
    <d v="2025-10-10T12:00:00"/>
    <n v="4050"/>
    <n v="617.79700000000003"/>
    <n v="4667.7970000000005"/>
  </r>
  <r>
    <s v="NYK-32151452-1011051-1-1"/>
    <s v="NYKF35549676"/>
    <s v="CUTAB00000619"/>
    <x v="43"/>
    <n v="1"/>
    <x v="1"/>
    <n v="1"/>
    <n v="1"/>
    <n v="4500"/>
    <n v="4050"/>
    <n v="0"/>
    <n v="4099"/>
    <n v="49"/>
    <s v="COD"/>
    <d v="2025-10-07T09:53:31"/>
    <d v="2025-10-08T17:14:47"/>
    <d v="2025-10-18T15:08:26"/>
    <s v="28449521860016"/>
    <s v="DelhiverySurface"/>
    <d v="2025-10-07T17:11:18"/>
    <s v=""/>
    <s v="Tiny Kingdom"/>
    <s v=""/>
    <s v=""/>
    <s v=""/>
    <s v=""/>
    <s v=""/>
    <s v=""/>
    <s v=""/>
    <d v="2025-10-18T15:16:20"/>
    <s v="No"/>
    <s v=""/>
    <s v="Shahjahanpur"/>
    <s v="Uttar Pradesh"/>
    <n v="242001"/>
    <s v="India"/>
    <s v="Indian Rupee"/>
    <n v="62042300"/>
    <m/>
    <n v="4050"/>
    <s v="TINYK2627100267"/>
    <s v=""/>
    <s v=""/>
    <s v="No"/>
    <n v="18"/>
    <n v="0"/>
    <n v="0"/>
    <n v="18"/>
    <n v="617.79700000000003"/>
    <n v="0"/>
    <n v="0"/>
    <n v="617.79700000000003"/>
    <m/>
    <n v="0.85"/>
    <d v="2025-10-09T12:00:00"/>
    <n v="4050"/>
    <n v="617.79700000000003"/>
    <n v="4667.7970000000005"/>
  </r>
  <r>
    <s v="NYK-32100795-3101191-1-1"/>
    <s v="NYKF35492409"/>
    <s v="CUTAB00000619"/>
    <x v="43"/>
    <n v="1"/>
    <x v="4"/>
    <n v="1"/>
    <n v="0"/>
    <n v="4500"/>
    <n v="4050"/>
    <n v="0"/>
    <n v="4099"/>
    <n v="49"/>
    <s v="COD"/>
    <d v="2025-10-05T19:35:01"/>
    <m/>
    <m/>
    <s v=""/>
    <s v="DelhiverySurface"/>
    <m/>
    <s v="bulk cancellation by verification team"/>
    <s v="Tiny Kingdom"/>
    <s v="Bulk Cancellation - Blacklisted COD"/>
    <s v=""/>
    <s v=""/>
    <s v=""/>
    <s v=""/>
    <s v=""/>
    <s v=""/>
    <d v="2025-10-06T11:30:53"/>
    <s v="No"/>
    <s v=""/>
    <s v="Shahjahanpur"/>
    <s v="Uttar Pradesh"/>
    <n v="242001"/>
    <s v="India"/>
    <s v="Indian Rupee"/>
    <n v="62042300"/>
    <d v="2025-10-06T11:30:53"/>
    <n v="4050"/>
    <s v=""/>
    <s v="NFDIWALI10"/>
    <s v="Blacklisted Customer"/>
    <s v="Yes"/>
    <n v="18"/>
    <n v="0"/>
    <n v="0"/>
    <n v="18"/>
    <n v="617.79700000000003"/>
    <n v="0"/>
    <n v="0"/>
    <n v="617.79700000000003"/>
    <m/>
    <m/>
    <d v="2025-10-08T12:00:00"/>
    <n v="4050"/>
    <n v="617.79700000000003"/>
    <n v="4667.7970000000005"/>
  </r>
  <r>
    <s v="NYK-32185493-9565900-1-1"/>
    <s v="NYKF35586815"/>
    <s v="CUTAB00000643"/>
    <x v="44"/>
    <n v="1"/>
    <x v="1"/>
    <n v="1"/>
    <n v="1"/>
    <n v="4500"/>
    <n v="4050"/>
    <n v="0"/>
    <n v="4099"/>
    <n v="49"/>
    <s v="COD"/>
    <d v="2025-10-08T10:29:26"/>
    <d v="2025-10-09T17:38:06"/>
    <d v="2025-10-13T12:36:32"/>
    <s v="28449521942782"/>
    <s v="DelhiverySurface"/>
    <d v="2025-10-08T17:25:11"/>
    <s v=""/>
    <s v="Tiny Kingdom"/>
    <s v=""/>
    <s v=""/>
    <s v=""/>
    <s v=""/>
    <s v=""/>
    <s v=""/>
    <s v=""/>
    <d v="2025-10-13T12:41:13"/>
    <s v="No"/>
    <s v=""/>
    <s v="Ghaziabad"/>
    <s v="Uttar Pradesh"/>
    <n v="201005"/>
    <s v="India"/>
    <s v="Indian Rupee"/>
    <n v="62042300"/>
    <m/>
    <n v="4050"/>
    <s v="TINYK2627100284"/>
    <s v=""/>
    <s v=""/>
    <s v="No"/>
    <n v="18"/>
    <n v="0"/>
    <n v="0"/>
    <n v="18"/>
    <n v="617.79700000000003"/>
    <n v="0"/>
    <n v="0"/>
    <n v="617.79700000000003"/>
    <m/>
    <n v="0.85"/>
    <d v="2025-10-10T12:00:00"/>
    <n v="4050"/>
    <n v="617.79700000000003"/>
    <n v="4667.7970000000005"/>
  </r>
  <r>
    <s v="NYK-32002898-9869984-3-1"/>
    <s v="NYKF35383191"/>
    <s v="CUTAB00000566"/>
    <x v="45"/>
    <n v="1"/>
    <x v="6"/>
    <n v="1"/>
    <n v="1"/>
    <n v="4000"/>
    <n v="3600"/>
    <n v="0"/>
    <n v="3600"/>
    <n v="0"/>
    <s v="Prepaid"/>
    <d v="2025-10-02T18:27:50"/>
    <d v="2025-10-04T14:52:56"/>
    <m/>
    <s v="SF1835855802NYK"/>
    <s v="Shadowfax"/>
    <d v="2025-10-03T19:34:48"/>
    <s v=""/>
    <s v="Tiny Kingdom"/>
    <s v=""/>
    <s v=""/>
    <s v=""/>
    <s v=""/>
    <s v=""/>
    <s v=""/>
    <s v=""/>
    <d v="2025-10-18T01:01:16"/>
    <s v="No"/>
    <s v=""/>
    <s v="Bangalore"/>
    <s v="Karnataka"/>
    <n v="560035"/>
    <s v="India"/>
    <s v="Indian Rupee"/>
    <n v="62042300"/>
    <m/>
    <n v="3600"/>
    <s v="TINYK2627100225"/>
    <s v="NFESTIVE15"/>
    <s v=""/>
    <s v="No"/>
    <n v="18"/>
    <n v="0"/>
    <n v="0"/>
    <n v="18"/>
    <n v="549.15300000000002"/>
    <n v="0"/>
    <n v="0"/>
    <n v="549.15300000000002"/>
    <m/>
    <n v="0.85"/>
    <d v="2025-10-05T12:00:00"/>
    <n v="3600"/>
    <n v="549.15300000000002"/>
    <n v="4149.1530000000002"/>
  </r>
  <r>
    <s v="NYK-32316605-4944698-1-1"/>
    <s v="NYKF35734102"/>
    <s v="CUTAB00000576"/>
    <x v="46"/>
    <n v="1"/>
    <x v="3"/>
    <n v="1"/>
    <n v="1"/>
    <n v="3750"/>
    <n v="3375"/>
    <n v="0"/>
    <n v="3424"/>
    <n v="49"/>
    <s v="COD"/>
    <d v="2025-10-12T10:25:45"/>
    <d v="2025-10-13T18:18:22"/>
    <m/>
    <s v="28449522286272"/>
    <s v="DelhiverySurface"/>
    <d v="2025-10-12T15:52:26"/>
    <s v=""/>
    <s v="Tiny Kingdom"/>
    <s v=""/>
    <s v=""/>
    <s v="TINYK12137580"/>
    <s v="RTO"/>
    <s v="Confirmed"/>
    <s v=""/>
    <s v=""/>
    <d v="2025-10-31T10:26:18"/>
    <s v="No"/>
    <s v=""/>
    <s v="Aligarh"/>
    <s v="Uttar Pradesh"/>
    <n v="202001"/>
    <s v="India"/>
    <s v="Indian Rupee"/>
    <n v="62042300"/>
    <m/>
    <n v="3375"/>
    <s v="TINYK2627100312"/>
    <s v="NFJOY15"/>
    <s v=""/>
    <s v="No"/>
    <n v="18"/>
    <n v="0"/>
    <n v="0"/>
    <n v="18"/>
    <n v="514.83100000000002"/>
    <n v="0"/>
    <n v="0"/>
    <n v="514.83100000000002"/>
    <m/>
    <n v="0.85"/>
    <d v="2025-10-14T12:00:00"/>
    <n v="3375"/>
    <n v="514.83100000000002"/>
    <n v="3889.8310000000001"/>
  </r>
  <r>
    <s v="NYK-32071160-7302384-1-1"/>
    <s v="NYKF35459197"/>
    <s v="CUTAB00000576"/>
    <x v="46"/>
    <n v="1"/>
    <x v="0"/>
    <n v="1"/>
    <n v="1"/>
    <n v="3750"/>
    <n v="3375"/>
    <n v="0"/>
    <n v="3424"/>
    <n v="49"/>
    <s v="COD"/>
    <d v="2025-10-04T22:31:42"/>
    <d v="2025-10-06T15:23:28"/>
    <d v="2025-10-13T19:57:39"/>
    <s v="SF2167352793NYK"/>
    <s v="Shadowfax"/>
    <d v="2025-10-05T17:49:47"/>
    <s v=""/>
    <s v="Tiny Kingdom"/>
    <s v=""/>
    <s v=""/>
    <s v="TINYK11999349"/>
    <s v="Raise Return"/>
    <s v="Reverse PickUP Delivered"/>
    <s v=""/>
    <s v=""/>
    <d v="2025-10-29T06:21:21"/>
    <s v="No"/>
    <s v=""/>
    <s v="Indore"/>
    <s v="Madhya Pradesh"/>
    <n v="452014"/>
    <s v="India"/>
    <s v="Indian Rupee"/>
    <n v="62042300"/>
    <m/>
    <n v="3375"/>
    <s v="TINYK2627100239"/>
    <s v=""/>
    <s v=""/>
    <s v="No"/>
    <n v="18"/>
    <n v="0"/>
    <n v="0"/>
    <n v="18"/>
    <n v="514.83100000000002"/>
    <n v="0"/>
    <n v="0"/>
    <n v="514.83100000000002"/>
    <m/>
    <n v="0.85"/>
    <d v="2025-10-07T12:00:00"/>
    <n v="3375"/>
    <n v="514.83100000000002"/>
    <n v="3889.8310000000001"/>
  </r>
  <r>
    <s v="NYK-32363379-6649727-1-1"/>
    <s v="NYKF35787723"/>
    <s v="CUTAB00000579"/>
    <x v="47"/>
    <n v="2"/>
    <x v="1"/>
    <n v="1"/>
    <n v="1"/>
    <n v="3750"/>
    <n v="3375"/>
    <n v="0"/>
    <n v="3404.34"/>
    <n v="29.34"/>
    <s v="COD"/>
    <d v="2025-10-13T11:54:10"/>
    <d v="2025-10-14T17:45:56"/>
    <d v="2025-10-18T17:42:50"/>
    <s v="28449522423435"/>
    <s v="DelhiverySurface"/>
    <d v="2025-10-13T19:32:50"/>
    <s v=""/>
    <s v="Tiny Kingdom"/>
    <s v=""/>
    <s v=""/>
    <s v=""/>
    <s v=""/>
    <s v=""/>
    <s v=""/>
    <s v=""/>
    <d v="2025-10-18T17:46:20"/>
    <s v="No"/>
    <s v=""/>
    <s v="Bangalore"/>
    <s v="Karnataka"/>
    <n v="560035"/>
    <s v="India"/>
    <s v="Indian Rupee"/>
    <n v="62042300"/>
    <m/>
    <n v="3375"/>
    <s v="TINYK2627100351"/>
    <s v=""/>
    <s v=""/>
    <s v="No"/>
    <n v="18"/>
    <n v="0"/>
    <n v="0"/>
    <n v="18"/>
    <n v="514.83100000000002"/>
    <n v="0"/>
    <n v="0"/>
    <n v="514.83100000000002"/>
    <m/>
    <n v="0.85"/>
    <d v="2025-10-15T12:00:00"/>
    <n v="3375"/>
    <n v="514.83100000000002"/>
    <n v="3889.8310000000001"/>
  </r>
  <r>
    <s v="NYK-32362664-5459583-1-1"/>
    <s v="NYKF35786944"/>
    <s v="CUTAB00000579"/>
    <x v="47"/>
    <n v="1"/>
    <x v="1"/>
    <n v="1"/>
    <n v="1"/>
    <n v="3750"/>
    <n v="3375"/>
    <n v="0"/>
    <n v="3394.25"/>
    <n v="19.25"/>
    <s v="Prepaid"/>
    <d v="2025-10-13T11:34:20"/>
    <d v="2025-10-14T17:44:09"/>
    <d v="2025-10-19T11:27:09"/>
    <s v="28449520854680"/>
    <s v="DelhiverySurface"/>
    <d v="2025-10-13T19:32:50"/>
    <s v=""/>
    <s v="Tiny Kingdom"/>
    <s v=""/>
    <s v=""/>
    <s v=""/>
    <s v=""/>
    <s v=""/>
    <s v=""/>
    <s v=""/>
    <d v="2025-10-19T11:31:29"/>
    <s v="No"/>
    <s v=""/>
    <s v="Alandurai"/>
    <s v="Tamil Nadu"/>
    <n v="641035"/>
    <s v="India"/>
    <s v="Indian Rupee"/>
    <n v="62042300"/>
    <m/>
    <n v="3375"/>
    <s v="TINYK2627100339"/>
    <s v=""/>
    <s v=""/>
    <s v="No"/>
    <n v="18"/>
    <n v="0"/>
    <n v="0"/>
    <n v="18"/>
    <n v="514.83100000000002"/>
    <n v="0"/>
    <n v="0"/>
    <n v="514.83100000000002"/>
    <m/>
    <n v="0.85"/>
    <d v="2025-10-15T12:00:00"/>
    <n v="3375"/>
    <n v="514.83100000000002"/>
    <n v="3889.8310000000001"/>
  </r>
  <r>
    <s v="NYK-32487937-6183751-2-1"/>
    <s v="NYKF35923856"/>
    <s v="CUTAB00000580"/>
    <x v="48"/>
    <n v="3"/>
    <x v="0"/>
    <n v="1"/>
    <n v="1"/>
    <n v="3750"/>
    <n v="3375"/>
    <n v="0"/>
    <n v="3391.55"/>
    <n v="16.55"/>
    <s v="Prepaid"/>
    <d v="2025-10-16T20:19:44"/>
    <d v="2025-10-18T17:28:42"/>
    <d v="2025-10-25T17:36:27"/>
    <s v="28449521341191"/>
    <s v="DelhiverySurface"/>
    <d v="2025-10-17T18:44:51"/>
    <s v=""/>
    <s v="Tiny Kingdom"/>
    <s v=""/>
    <s v=""/>
    <s v="TINYK12152675"/>
    <s v="Raise Return"/>
    <s v="Reverse PickUP Done"/>
    <s v=""/>
    <s v=""/>
    <d v="2025-10-27T16:56:16"/>
    <s v="No"/>
    <s v=""/>
    <s v="Jaipur"/>
    <s v="Rajasthan"/>
    <n v="302021"/>
    <s v="India"/>
    <s v="Indian Rupee"/>
    <n v="62042300"/>
    <m/>
    <n v="3375"/>
    <s v="TINYK2627100377"/>
    <s v="NFSDS15"/>
    <s v=""/>
    <s v="No"/>
    <n v="18"/>
    <n v="0"/>
    <n v="0"/>
    <n v="18"/>
    <n v="514.83100000000002"/>
    <n v="0"/>
    <n v="0"/>
    <n v="514.83100000000002"/>
    <m/>
    <n v="0.85"/>
    <d v="2025-10-19T12:00:00"/>
    <n v="3375"/>
    <n v="514.83100000000002"/>
    <n v="3889.8310000000001"/>
  </r>
  <r>
    <s v="NYK-32343383-4220110-1-1"/>
    <s v="NYKF35764830"/>
    <s v="CUTAB00000629"/>
    <x v="49"/>
    <n v="1"/>
    <x v="1"/>
    <n v="1"/>
    <n v="1"/>
    <n v="4000"/>
    <n v="3600"/>
    <n v="0"/>
    <n v="3649"/>
    <n v="49"/>
    <s v="COD"/>
    <d v="2025-10-12T21:20:20"/>
    <d v="2025-10-14T17:50:01"/>
    <d v="2025-10-19T16:43:23"/>
    <s v="28449522412600"/>
    <s v="DelhiverySurface"/>
    <d v="2025-10-13T19:32:50"/>
    <s v=""/>
    <s v="Tiny Kingdom"/>
    <s v=""/>
    <s v=""/>
    <s v=""/>
    <s v=""/>
    <s v=""/>
    <s v=""/>
    <s v=""/>
    <d v="2025-10-19T16:46:15"/>
    <s v="No"/>
    <s v=""/>
    <s v="Mathura"/>
    <s v="Uttar Pradesh"/>
    <n v="281001"/>
    <s v="India"/>
    <s v="Indian Rupee"/>
    <n v="62042300"/>
    <m/>
    <n v="3600"/>
    <s v="TINYK2627100349"/>
    <s v="NFJOY15"/>
    <s v=""/>
    <s v="No"/>
    <n v="18"/>
    <n v="0"/>
    <n v="0"/>
    <n v="18"/>
    <n v="549.15300000000002"/>
    <n v="0"/>
    <n v="0"/>
    <n v="549.15300000000002"/>
    <m/>
    <n v="0.85"/>
    <d v="2025-10-15T12:00:00"/>
    <n v="3600"/>
    <n v="549.15300000000002"/>
    <n v="4149.1530000000002"/>
  </r>
  <r>
    <s v="NYK-32362041-4303100-1-1"/>
    <s v="NYKF35786230"/>
    <s v="CUTAB00000633"/>
    <x v="50"/>
    <n v="1"/>
    <x v="1"/>
    <n v="1"/>
    <n v="1"/>
    <n v="4000"/>
    <n v="3600"/>
    <n v="0"/>
    <n v="3649"/>
    <n v="49"/>
    <s v="COD"/>
    <d v="2025-10-13T11:15:03"/>
    <d v="2025-10-14T17:46:53"/>
    <d v="2025-10-16T16:47:59"/>
    <s v="237943175110643"/>
    <s v="Nykaa Fashion surface"/>
    <d v="2025-10-13T19:31:45"/>
    <s v=""/>
    <s v="Tiny Kingdom"/>
    <s v=""/>
    <s v=""/>
    <s v=""/>
    <s v=""/>
    <s v=""/>
    <s v=""/>
    <s v=""/>
    <d v="2025-10-16T16:56:30"/>
    <s v="No"/>
    <s v=""/>
    <s v="Pune"/>
    <s v="Maharashtra"/>
    <n v="411014"/>
    <s v="India"/>
    <s v="Indian Rupee"/>
    <n v="62042300"/>
    <m/>
    <n v="3600"/>
    <s v="TINYK2627100334"/>
    <s v=""/>
    <s v=""/>
    <s v="No"/>
    <n v="18"/>
    <n v="9"/>
    <n v="9"/>
    <n v="0"/>
    <n v="549.15300000000002"/>
    <n v="274.577"/>
    <n v="274.577"/>
    <n v="0"/>
    <m/>
    <n v="0.85"/>
    <d v="2025-10-15T12:00:00"/>
    <n v="3600"/>
    <n v="549.154"/>
    <n v="4149.1540000000005"/>
  </r>
  <r>
    <s v="NYK-32791214-4068814-1-1"/>
    <s v="NYKF36240102"/>
    <s v="CUTAB00000634"/>
    <x v="51"/>
    <n v="1"/>
    <x v="3"/>
    <n v="1"/>
    <n v="1"/>
    <n v="4000"/>
    <n v="3600"/>
    <n v="0"/>
    <n v="3629"/>
    <n v="29"/>
    <s v="Prepaid"/>
    <d v="2025-10-29T02:11:09"/>
    <d v="2025-10-29T18:48:00"/>
    <m/>
    <s v="NKFP0000002870"/>
    <s v="Ekart Surface"/>
    <d v="2025-10-29T11:01:11"/>
    <s v=""/>
    <s v="Tiny Kingdom"/>
    <s v=""/>
    <s v=""/>
    <s v=""/>
    <s v=""/>
    <s v=""/>
    <s v=""/>
    <s v=""/>
    <d v="2025-10-31T11:36:35"/>
    <s v="No"/>
    <s v=""/>
    <s v="Mumbai"/>
    <s v="Maharashtra"/>
    <n v="400076"/>
    <s v="India"/>
    <s v="Indian Rupee"/>
    <n v="62042300"/>
    <m/>
    <n v="3600"/>
    <s v="TINYK2627100432"/>
    <s v="NFNEXT1O"/>
    <s v=""/>
    <s v="No"/>
    <n v="18"/>
    <n v="9"/>
    <n v="9"/>
    <n v="0"/>
    <n v="549.15300000000002"/>
    <n v="274.577"/>
    <n v="274.577"/>
    <n v="0"/>
    <m/>
    <n v="0.85"/>
    <d v="2025-10-31T12:00:00"/>
    <n v="3600"/>
    <n v="549.154"/>
    <n v="4149.1540000000005"/>
  </r>
  <r>
    <s v="NYK-32642110-3420788-3-1"/>
    <s v="NYKF36082214"/>
    <s v="CUTAB00000635"/>
    <x v="52"/>
    <n v="1"/>
    <x v="1"/>
    <n v="1"/>
    <n v="1"/>
    <n v="4000"/>
    <n v="3600"/>
    <n v="0"/>
    <n v="3600"/>
    <n v="0"/>
    <s v="Prepaid"/>
    <d v="2025-10-23T15:27:01"/>
    <d v="2025-10-24T18:18:00"/>
    <d v="2025-10-26T09:38:00"/>
    <s v="NKFP0000001616"/>
    <s v="Ekart Surface"/>
    <d v="2025-10-24T12:00:44"/>
    <s v=""/>
    <s v="Tiny Kingdom"/>
    <s v=""/>
    <s v=""/>
    <s v=""/>
    <s v=""/>
    <s v=""/>
    <s v=""/>
    <s v=""/>
    <d v="2025-10-26T15:36:33"/>
    <s v="No"/>
    <s v=""/>
    <s v="Pune"/>
    <s v="Maharashtra"/>
    <n v="411014"/>
    <s v="India"/>
    <s v="Indian Rupee"/>
    <n v="62042300"/>
    <m/>
    <n v="3600"/>
    <s v="TINYK2627100398"/>
    <s v="NFNEW15"/>
    <s v=""/>
    <s v="No"/>
    <n v="18"/>
    <n v="9"/>
    <n v="9"/>
    <n v="0"/>
    <n v="549.15300000000002"/>
    <n v="274.577"/>
    <n v="274.577"/>
    <n v="0"/>
    <m/>
    <n v="1.2"/>
    <d v="2025-10-26T12:00:00"/>
    <n v="3600"/>
    <n v="549.154"/>
    <n v="4149.1540000000005"/>
  </r>
  <r>
    <s v="NYK-32373098-4244321-1-1"/>
    <s v="NYKF35798843"/>
    <s v="CUTAB00000635"/>
    <x v="52"/>
    <n v="1"/>
    <x v="1"/>
    <n v="1"/>
    <n v="1"/>
    <n v="4000"/>
    <n v="3600"/>
    <n v="0"/>
    <n v="3629"/>
    <n v="29"/>
    <s v="Prepaid"/>
    <d v="2025-10-13T16:47:24"/>
    <d v="2025-10-14T16:04:00"/>
    <d v="2025-10-17T16:53:00"/>
    <s v="88282040674"/>
    <s v="BLUEDART"/>
    <d v="2025-10-13T19:31:45"/>
    <s v=""/>
    <s v="Tiny Kingdom"/>
    <s v=""/>
    <s v=""/>
    <s v=""/>
    <s v=""/>
    <s v=""/>
    <s v=""/>
    <s v=""/>
    <d v="2025-10-17T17:01:23"/>
    <s v="No"/>
    <s v=""/>
    <s v="Chennai"/>
    <s v="Tamil Nadu"/>
    <n v="600080"/>
    <s v="India"/>
    <s v="Indian Rupee"/>
    <n v="62042300"/>
    <m/>
    <n v="3600"/>
    <s v="TINYK2627100335"/>
    <s v="NFSDS15"/>
    <s v=""/>
    <s v="No"/>
    <n v="18"/>
    <n v="0"/>
    <n v="0"/>
    <n v="18"/>
    <n v="549.15300000000002"/>
    <n v="0"/>
    <n v="0"/>
    <n v="549.15300000000002"/>
    <m/>
    <n v="0.85"/>
    <d v="2025-10-16T12:00:00"/>
    <n v="3600"/>
    <n v="549.15300000000002"/>
    <n v="4149.1530000000002"/>
  </r>
  <r>
    <s v="NYK-32348645-2049554-2-1"/>
    <s v="NYKF35770657"/>
    <s v="CUTAB00000635"/>
    <x v="52"/>
    <n v="1"/>
    <x v="0"/>
    <n v="1"/>
    <n v="1"/>
    <n v="4000"/>
    <n v="3600"/>
    <n v="0"/>
    <n v="3622.22"/>
    <n v="22.22"/>
    <s v="Prepaid"/>
    <d v="2025-10-12T23:30:50"/>
    <d v="2025-10-14T17:39:42"/>
    <d v="2025-10-16T18:05:32"/>
    <s v="237943173318750"/>
    <s v="Nykaa Fashion surface"/>
    <d v="2025-10-13T19:32:50"/>
    <s v=""/>
    <s v="Tiny Kingdom"/>
    <s v=""/>
    <s v=""/>
    <s v="TINYK12037751"/>
    <s v="Raise Return"/>
    <s v="Reverse PickUP Delivered"/>
    <s v=""/>
    <s v=""/>
    <d v="2025-10-24T15:06:22"/>
    <s v="No"/>
    <s v=""/>
    <s v="Mumbai"/>
    <s v="Maharashtra"/>
    <n v="400076"/>
    <s v="India"/>
    <s v="Indian Rupee"/>
    <n v="62042300"/>
    <m/>
    <n v="3600"/>
    <s v="TINYK2627100353"/>
    <s v="NFJOY15"/>
    <s v=""/>
    <s v="No"/>
    <n v="18"/>
    <n v="9"/>
    <n v="9"/>
    <n v="0"/>
    <n v="549.15300000000002"/>
    <n v="274.577"/>
    <n v="274.577"/>
    <n v="0"/>
    <m/>
    <n v="0.85"/>
    <d v="2025-10-15T12:00:00"/>
    <n v="3600"/>
    <n v="549.154"/>
    <n v="4149.1540000000005"/>
  </r>
  <r>
    <s v="NYK-32642110-3420788-3-1"/>
    <s v="NYKF36082214"/>
    <s v="CUTAB00000636"/>
    <x v="53"/>
    <n v="4"/>
    <x v="0"/>
    <n v="1"/>
    <n v="1"/>
    <n v="4000"/>
    <n v="3600"/>
    <n v="0"/>
    <n v="3600"/>
    <n v="0"/>
    <s v="Prepaid"/>
    <d v="2025-10-23T15:27:01"/>
    <d v="2025-10-24T18:18:00"/>
    <d v="2025-10-26T09:38:00"/>
    <s v="NKFP0000001616"/>
    <s v="Ekart Surface"/>
    <d v="2025-10-24T12:00:44"/>
    <s v=""/>
    <s v="Tiny Kingdom"/>
    <s v=""/>
    <s v=""/>
    <s v="TINYK12165576"/>
    <s v="Raise Return"/>
    <s v="Confirmed"/>
    <s v=""/>
    <s v=""/>
    <d v="2025-10-27T19:06:31"/>
    <s v="No"/>
    <s v=""/>
    <s v="Pune"/>
    <s v="Maharashtra"/>
    <n v="411014"/>
    <s v="India"/>
    <s v="Indian Rupee"/>
    <n v="62042300"/>
    <m/>
    <n v="3600"/>
    <s v="TINYK2627100398"/>
    <s v="NFNEW15"/>
    <s v=""/>
    <s v="No"/>
    <n v="18"/>
    <n v="9"/>
    <n v="9"/>
    <n v="0"/>
    <n v="549.15300000000002"/>
    <n v="274.577"/>
    <n v="274.577"/>
    <n v="0"/>
    <m/>
    <n v="1.2"/>
    <d v="2025-10-26T12:00:00"/>
    <n v="3600"/>
    <n v="549.154"/>
    <n v="4149.1540000000005"/>
  </r>
  <r>
    <s v="NYK-32763986-5881580-2-1"/>
    <s v="NYKF36211671"/>
    <s v="CUTAB00000621"/>
    <x v="54"/>
    <n v="2"/>
    <x v="1"/>
    <n v="1"/>
    <n v="1"/>
    <n v="4000"/>
    <n v="3600"/>
    <n v="0"/>
    <n v="3609.759"/>
    <n v="9.7590000000000003"/>
    <s v="Prepaid"/>
    <d v="2025-10-28T01:41:22"/>
    <d v="2025-10-28T17:10:21"/>
    <d v="2025-10-30T12:21:07"/>
    <s v="28449527460101"/>
    <s v="DelhiverySurface"/>
    <d v="2025-10-28T13:02:05"/>
    <s v=""/>
    <s v="Tiny Kingdom"/>
    <s v=""/>
    <s v=""/>
    <s v=""/>
    <s v=""/>
    <s v=""/>
    <s v=""/>
    <s v=""/>
    <d v="2025-10-30T12:26:42"/>
    <s v="No"/>
    <s v=""/>
    <s v="New Delhi"/>
    <s v="Delhi"/>
    <n v="110031"/>
    <s v="India"/>
    <s v="Indian Rupee"/>
    <n v="62042300"/>
    <m/>
    <n v="3600"/>
    <s v="TINYK2627100429"/>
    <s v="NTBB10"/>
    <s v=""/>
    <s v="No"/>
    <n v="18"/>
    <n v="0"/>
    <n v="0"/>
    <n v="18"/>
    <n v="549.15300000000002"/>
    <n v="0"/>
    <n v="0"/>
    <n v="549.15300000000002"/>
    <m/>
    <n v="1.2"/>
    <d v="2025-10-30T12:00:00"/>
    <n v="3600"/>
    <n v="549.15300000000002"/>
    <n v="4149.1530000000002"/>
  </r>
  <r>
    <s v="NYK-32020015-6430505-5-1"/>
    <s v="NYKF35402109"/>
    <s v="CUTAB00000624"/>
    <x v="55"/>
    <n v="5"/>
    <x v="6"/>
    <n v="1"/>
    <n v="1"/>
    <n v="4000"/>
    <n v="3600"/>
    <n v="0"/>
    <n v="3603.62"/>
    <n v="3.62"/>
    <s v="Prepaid"/>
    <d v="2025-10-03T10:10:30"/>
    <d v="2025-10-04T14:52:56"/>
    <m/>
    <s v="SF1835855633NYK"/>
    <s v="Shadowfax"/>
    <d v="2025-10-03T19:34:48"/>
    <s v=""/>
    <s v="Tiny Kingdom"/>
    <s v=""/>
    <s v=""/>
    <s v=""/>
    <s v=""/>
    <s v=""/>
    <s v=""/>
    <s v=""/>
    <d v="2025-10-18T01:06:16"/>
    <s v="No"/>
    <s v=""/>
    <s v="Ghaziabad"/>
    <s v="Uttar Pradesh"/>
    <n v="201009"/>
    <s v="India"/>
    <s v="Indian Rupee"/>
    <n v="62042300"/>
    <m/>
    <n v="3600"/>
    <s v="TINYK2627100221"/>
    <s v=""/>
    <s v=""/>
    <s v="No"/>
    <n v="18"/>
    <n v="0"/>
    <n v="0"/>
    <n v="18"/>
    <n v="549.15300000000002"/>
    <n v="0"/>
    <n v="0"/>
    <n v="549.15300000000002"/>
    <m/>
    <n v="0.85"/>
    <d v="2025-10-05T12:00:00"/>
    <n v="3600"/>
    <n v="549.15300000000002"/>
    <n v="4149.1530000000002"/>
  </r>
  <r>
    <s v="NYK-32822790-1107015-1-1"/>
    <s v="NYKF36273184"/>
    <s v="CUTAB00000627"/>
    <x v="56"/>
    <n v="1"/>
    <x v="2"/>
    <n v="1"/>
    <n v="0"/>
    <n v="4000"/>
    <n v="3600"/>
    <n v="0"/>
    <n v="3629"/>
    <n v="29"/>
    <s v="Prepaid"/>
    <d v="2025-10-30T10:41:47"/>
    <m/>
    <m/>
    <s v="28449527691473"/>
    <s v="DelhiverySurface"/>
    <d v="2025-10-31T12:25:47"/>
    <s v=""/>
    <s v="Tiny Kingdom"/>
    <s v=""/>
    <s v=""/>
    <s v=""/>
    <s v=""/>
    <s v=""/>
    <s v=""/>
    <s v=""/>
    <d v="2025-10-31T12:25:47"/>
    <s v="No"/>
    <s v=""/>
    <s v="Gurugram"/>
    <s v="Haryana"/>
    <n v="122004"/>
    <s v="India"/>
    <s v="Indian Rupee"/>
    <n v="62042300"/>
    <m/>
    <n v="3600"/>
    <s v="TINYK2627100442"/>
    <s v="NFNEXT10"/>
    <s v=""/>
    <s v="No"/>
    <n v="18"/>
    <n v="0"/>
    <n v="0"/>
    <n v="18"/>
    <n v="549.15300000000002"/>
    <n v="0"/>
    <n v="0"/>
    <n v="549.15300000000002"/>
    <m/>
    <n v="0.85"/>
    <d v="2025-11-01T12:00:00"/>
    <n v="3600"/>
    <n v="549.15300000000002"/>
    <n v="4149.1530000000002"/>
  </r>
  <r>
    <s v="NYK-32145530-7259390-2-1"/>
    <s v="NYKF35543172"/>
    <s v="CUTAB00000628"/>
    <x v="57"/>
    <n v="4"/>
    <x v="1"/>
    <n v="1"/>
    <n v="1"/>
    <n v="4000"/>
    <n v="3600"/>
    <n v="0"/>
    <n v="3608.18"/>
    <n v="8.18"/>
    <s v="Prepaid"/>
    <d v="2025-10-07T00:30:59"/>
    <d v="2025-10-08T17:14:11"/>
    <d v="2025-10-12T14:50:41"/>
    <s v="237943173099252"/>
    <s v="Nykaa Fashion surface"/>
    <d v="2025-10-07T17:13:27"/>
    <s v=""/>
    <s v="Tiny Kingdom"/>
    <s v=""/>
    <s v=""/>
    <s v=""/>
    <s v=""/>
    <s v=""/>
    <s v=""/>
    <s v=""/>
    <d v="2025-10-12T14:51:18"/>
    <s v="No"/>
    <s v=""/>
    <s v="Raipur"/>
    <s v="Chhattisgarh"/>
    <n v="492099"/>
    <s v="India"/>
    <s v="Indian Rupee"/>
    <n v="62042300"/>
    <m/>
    <n v="3600"/>
    <s v="TINYK2627100269"/>
    <s v="NFRUSH10"/>
    <s v=""/>
    <s v="No"/>
    <n v="18"/>
    <n v="0"/>
    <n v="0"/>
    <n v="18"/>
    <n v="549.15300000000002"/>
    <n v="0"/>
    <n v="0"/>
    <n v="549.15300000000002"/>
    <m/>
    <n v="0.85"/>
    <d v="2025-10-09T12:00:00"/>
    <n v="3600"/>
    <n v="549.15300000000002"/>
    <n v="4149.1530000000002"/>
  </r>
  <r>
    <s v="NYK-32161818-2076057-1-1"/>
    <s v="NYKF35560845"/>
    <s v="CUTAB00000596"/>
    <x v="58"/>
    <n v="1"/>
    <x v="1"/>
    <n v="1"/>
    <n v="1"/>
    <n v="4000"/>
    <n v="3600"/>
    <n v="0"/>
    <n v="3600"/>
    <n v="0"/>
    <s v="Prepaid"/>
    <d v="2025-10-07T15:44:36"/>
    <d v="2025-10-08T17:13:07"/>
    <d v="2025-10-12T13:24:09"/>
    <s v="28449520197041"/>
    <s v="DelhiverySurface"/>
    <d v="2025-10-07T17:13:27"/>
    <s v=""/>
    <s v="Tiny Kingdom"/>
    <s v=""/>
    <s v=""/>
    <s v=""/>
    <s v=""/>
    <s v=""/>
    <s v=""/>
    <s v=""/>
    <d v="2025-10-12T13:26:18"/>
    <s v="No"/>
    <s v=""/>
    <s v="Dhenkanal"/>
    <s v="orissa"/>
    <n v="759147"/>
    <s v="India"/>
    <s v="Indian Rupee"/>
    <n v="62042300"/>
    <m/>
    <n v="3600"/>
    <s v="TINYK2627100268"/>
    <s v=""/>
    <s v=""/>
    <s v="No"/>
    <n v="18"/>
    <n v="0"/>
    <n v="0"/>
    <n v="18"/>
    <n v="549.15300000000002"/>
    <n v="0"/>
    <n v="0"/>
    <n v="549.15300000000002"/>
    <m/>
    <n v="0.85"/>
    <d v="2025-10-10T12:00:00"/>
    <n v="3600"/>
    <n v="549.15300000000002"/>
    <n v="4149.1530000000002"/>
  </r>
  <r>
    <s v="NYK-32332070-8458643-1-1"/>
    <s v="NYKF35751918"/>
    <s v="CUTAB00000611"/>
    <x v="59"/>
    <n v="2"/>
    <x v="0"/>
    <n v="1"/>
    <n v="1"/>
    <n v="4000"/>
    <n v="3600"/>
    <n v="0"/>
    <n v="3614.5749999999998"/>
    <n v="14.574999999999999"/>
    <s v="Prepaid"/>
    <d v="2025-10-12T16:57:39"/>
    <d v="2025-10-14T17:48:04"/>
    <d v="2025-10-18T12:10:56"/>
    <s v="28449520860350"/>
    <s v="DelhiverySurface"/>
    <d v="2025-10-13T19:32:51"/>
    <s v=""/>
    <s v="Tiny Kingdom"/>
    <s v=""/>
    <s v=""/>
    <s v="TINYK12060111"/>
    <s v="Raise Return"/>
    <s v="Reverse PickUP Delivered"/>
    <s v=""/>
    <s v=""/>
    <d v="2025-10-29T21:46:05"/>
    <s v="No"/>
    <s v=""/>
    <s v="Ballinga"/>
    <s v="orissa"/>
    <n v="770076"/>
    <s v="India"/>
    <s v="Indian Rupee"/>
    <n v="62042300"/>
    <m/>
    <n v="3600"/>
    <s v="TINYK2627100354"/>
    <s v=""/>
    <s v=""/>
    <s v="No"/>
    <n v="18"/>
    <n v="0"/>
    <n v="0"/>
    <n v="18"/>
    <n v="549.15300000000002"/>
    <n v="0"/>
    <n v="0"/>
    <n v="549.15300000000002"/>
    <m/>
    <n v="1.2"/>
    <d v="2025-10-15T12:00:00"/>
    <n v="3600"/>
    <n v="549.15300000000002"/>
    <n v="4149.1530000000002"/>
  </r>
  <r>
    <s v="NYK-32369286-6960867-1-1"/>
    <s v="NYKF35794294"/>
    <s v="CUTAB00000612"/>
    <x v="60"/>
    <n v="1"/>
    <x v="1"/>
    <n v="1"/>
    <n v="1"/>
    <n v="4000"/>
    <n v="3600"/>
    <n v="0"/>
    <n v="3629"/>
    <n v="29"/>
    <s v="Prepaid"/>
    <d v="2025-10-13T14:46:01"/>
    <d v="2025-10-14T17:44:03"/>
    <d v="2025-10-17T12:15:31"/>
    <s v="28449520863850"/>
    <s v="DelhiverySurface"/>
    <d v="2025-10-13T19:32:50"/>
    <s v=""/>
    <s v="Tiny Kingdom"/>
    <s v=""/>
    <s v=""/>
    <s v=""/>
    <s v=""/>
    <s v=""/>
    <s v=""/>
    <s v=""/>
    <d v="2025-10-17T12:21:30"/>
    <s v="No"/>
    <s v=""/>
    <s v="Gorakhpur"/>
    <s v="Uttar Pradesh"/>
    <n v="273001"/>
    <s v="India"/>
    <s v="Indian Rupee"/>
    <n v="62042300"/>
    <m/>
    <n v="3600"/>
    <s v="TINYK2627100346"/>
    <s v="NFSDS15"/>
    <s v=""/>
    <s v="No"/>
    <n v="18"/>
    <n v="0"/>
    <n v="0"/>
    <n v="18"/>
    <n v="549.15300000000002"/>
    <n v="0"/>
    <n v="0"/>
    <n v="549.15300000000002"/>
    <m/>
    <n v="0.85"/>
    <d v="2025-10-16T12:00:00"/>
    <n v="3600"/>
    <n v="549.15300000000002"/>
    <n v="4149.1530000000002"/>
  </r>
  <r>
    <s v="NYK-32135510-0586705-2-1"/>
    <s v="NYKF35531762"/>
    <s v="CUTAB00000612"/>
    <x v="60"/>
    <n v="4"/>
    <x v="1"/>
    <n v="1"/>
    <n v="1"/>
    <n v="4000"/>
    <n v="3600"/>
    <n v="0"/>
    <n v="3616.06"/>
    <n v="16.059999999999999"/>
    <s v="Prepaid"/>
    <d v="2025-10-06T19:53:07"/>
    <d v="2025-10-08T17:13:30"/>
    <d v="2025-10-11T18:27:52"/>
    <s v="28449520199266"/>
    <s v="DelhiverySurface"/>
    <d v="2025-10-07T17:13:27"/>
    <s v=""/>
    <s v="Tiny Kingdom"/>
    <s v=""/>
    <s v=""/>
    <s v=""/>
    <s v=""/>
    <s v=""/>
    <s v=""/>
    <s v=""/>
    <d v="2025-10-11T18:31:23"/>
    <s v="No"/>
    <s v=""/>
    <s v="Gurgaon"/>
    <s v="Haryana"/>
    <n v="122102"/>
    <s v="India"/>
    <s v="Indian Rupee"/>
    <n v="62042300"/>
    <m/>
    <n v="3600"/>
    <s v="TINYK2627100276"/>
    <s v=""/>
    <s v="Blacklisted Customer"/>
    <s v="No"/>
    <n v="18"/>
    <n v="0"/>
    <n v="0"/>
    <n v="18"/>
    <n v="549.15300000000002"/>
    <n v="0"/>
    <n v="0"/>
    <n v="549.15300000000002"/>
    <d v="2025-10-07T14:55:37"/>
    <n v="0.85"/>
    <d v="2025-10-10T12:00:00"/>
    <n v="3600"/>
    <n v="549.15300000000002"/>
    <n v="4149.1530000000002"/>
  </r>
  <r>
    <s v="NYK-32103741-8046267-10-1"/>
    <s v="NYKF35495972"/>
    <s v="CUTAB00000612"/>
    <x v="60"/>
    <n v="31"/>
    <x v="1"/>
    <n v="1"/>
    <n v="1"/>
    <n v="4000"/>
    <n v="3600"/>
    <n v="0"/>
    <n v="3600"/>
    <n v="0"/>
    <s v="Prepaid"/>
    <d v="2025-10-05T20:57:26"/>
    <d v="2025-10-07T17:25:20"/>
    <d v="2025-10-10T17:44:37"/>
    <s v="28449520084735"/>
    <s v="DelhiverySurface"/>
    <d v="2025-10-06T19:31:11"/>
    <s v=""/>
    <s v="Tiny Kingdom"/>
    <s v=""/>
    <s v=""/>
    <s v=""/>
    <s v=""/>
    <s v=""/>
    <s v=""/>
    <s v=""/>
    <d v="2025-10-10T17:46:02"/>
    <s v="No"/>
    <s v=""/>
    <s v="Mangalore"/>
    <s v="Karnataka"/>
    <n v="575001"/>
    <s v="India"/>
    <s v="Indian Rupee"/>
    <n v="62042300"/>
    <m/>
    <n v="3600"/>
    <s v="TINYK2627100256"/>
    <s v=""/>
    <s v=""/>
    <s v="No"/>
    <n v="18"/>
    <n v="0"/>
    <n v="0"/>
    <n v="18"/>
    <n v="549.15300000000002"/>
    <n v="0"/>
    <n v="0"/>
    <n v="549.15300000000002"/>
    <m/>
    <n v="1.2"/>
    <d v="2025-10-08T12:00:00"/>
    <n v="3600"/>
    <n v="549.15300000000002"/>
    <n v="4149.1530000000002"/>
  </r>
  <r>
    <s v="NYK-32083918-3180940-1-1"/>
    <s v="NYKF35473447"/>
    <s v="CUTAB00000612"/>
    <x v="60"/>
    <n v="1"/>
    <x v="4"/>
    <n v="1"/>
    <n v="0"/>
    <n v="4000"/>
    <n v="3600"/>
    <n v="0"/>
    <n v="3649"/>
    <n v="49"/>
    <s v="COD"/>
    <d v="2025-10-05T11:16:21"/>
    <m/>
    <m/>
    <s v=""/>
    <s v="Shadowfax"/>
    <m/>
    <s v="bulk cancellation by verification team"/>
    <s v="Tiny Kingdom"/>
    <s v="Bulk Cancellation - Blacklisted COD"/>
    <s v=""/>
    <s v=""/>
    <s v=""/>
    <s v=""/>
    <s v=""/>
    <s v=""/>
    <d v="2025-10-05T16:29:45"/>
    <s v="No"/>
    <s v=""/>
    <s v="Gurgaon"/>
    <s v="Haryana"/>
    <n v="122102"/>
    <s v="India"/>
    <s v="Indian Rupee"/>
    <n v="62042300"/>
    <d v="2025-10-05T16:29:45"/>
    <n v="3600"/>
    <s v=""/>
    <s v="NFSDS15"/>
    <s v="Blacklisted Customer"/>
    <s v="Yes"/>
    <n v="18"/>
    <n v="0"/>
    <n v="0"/>
    <n v="18"/>
    <n v="549.15300000000002"/>
    <n v="0"/>
    <n v="0"/>
    <n v="549.15300000000002"/>
    <m/>
    <m/>
    <d v="2025-10-07T12:00:00"/>
    <n v="3600"/>
    <n v="549.15300000000002"/>
    <n v="4149.1530000000002"/>
  </r>
  <r>
    <s v="NYK-32219769-0649414-1-1"/>
    <s v="NYKF35624488"/>
    <s v="CUTAB00000545"/>
    <x v="61"/>
    <n v="1"/>
    <x v="4"/>
    <n v="1"/>
    <n v="0"/>
    <n v="3000"/>
    <n v="2700"/>
    <n v="0"/>
    <n v="2720"/>
    <n v="20"/>
    <s v="COD"/>
    <d v="2025-10-09T11:47:29"/>
    <m/>
    <m/>
    <s v=""/>
    <s v="DelhiverySurface"/>
    <m/>
    <s v="Found a better price somewhere else"/>
    <s v="Tiny Kingdom"/>
    <s v=""/>
    <s v=""/>
    <s v=""/>
    <s v=""/>
    <s v=""/>
    <s v=""/>
    <s v=""/>
    <d v="2025-10-09T13:34:17"/>
    <s v="No"/>
    <s v=""/>
    <s v="Mysore"/>
    <s v="Karnataka"/>
    <n v="570019"/>
    <s v="India"/>
    <s v="Indian Rupee"/>
    <n v="62042300"/>
    <d v="2025-10-09T13:34:17"/>
    <n v="2700"/>
    <s v=""/>
    <s v=""/>
    <s v=""/>
    <s v="No"/>
    <n v="18"/>
    <n v="0"/>
    <n v="0"/>
    <n v="18"/>
    <n v="411.86399999999998"/>
    <n v="0"/>
    <n v="0"/>
    <n v="411.86399999999998"/>
    <m/>
    <m/>
    <d v="2025-10-11T12:00:00"/>
    <n v="2700"/>
    <n v="411.86399999999998"/>
    <n v="3111.864"/>
  </r>
  <r>
    <s v="NYK-32793521-8022650-1-1"/>
    <s v="NYKF36242736"/>
    <s v="CUTAB00000814"/>
    <x v="62"/>
    <n v="4"/>
    <x v="1"/>
    <n v="1"/>
    <n v="1"/>
    <n v="4000"/>
    <n v="3800"/>
    <n v="0"/>
    <n v="3808.03"/>
    <n v="8.0299999999999994"/>
    <s v="Prepaid"/>
    <d v="2025-10-29T08:50:23"/>
    <d v="2025-10-29T16:54:44"/>
    <d v="2025-10-31T12:38:11"/>
    <s v="28449527523624"/>
    <s v="DelhiverySurface"/>
    <d v="2025-10-29T11:01:11"/>
    <s v=""/>
    <s v="Tiny Kingdom"/>
    <s v=""/>
    <s v=""/>
    <s v=""/>
    <s v=""/>
    <s v=""/>
    <s v=""/>
    <s v=""/>
    <d v="2025-10-31T12:41:21"/>
    <s v="No"/>
    <s v=""/>
    <s v="Guwahati"/>
    <s v="Assam"/>
    <n v="781038"/>
    <s v="India"/>
    <s v="Indian Rupee"/>
    <n v="62044220"/>
    <m/>
    <n v="3800"/>
    <s v="TINYK2627100434"/>
    <s v=""/>
    <s v=""/>
    <s v="No"/>
    <n v="18"/>
    <n v="0"/>
    <n v="0"/>
    <n v="18"/>
    <n v="579.66099999999994"/>
    <n v="0"/>
    <n v="0"/>
    <n v="579.66099999999994"/>
    <m/>
    <n v="1.1000000000000001"/>
    <d v="2025-10-31T12:00:00"/>
    <n v="3800"/>
    <n v="579.66099999999994"/>
    <n v="4379.6610000000001"/>
  </r>
  <r>
    <s v="NYK-32469518-5262792-1-1"/>
    <s v="NYKF35904626"/>
    <s v="CUTAB00000816"/>
    <x v="63"/>
    <n v="1"/>
    <x v="0"/>
    <n v="1"/>
    <n v="1"/>
    <n v="4000"/>
    <n v="3800"/>
    <n v="0"/>
    <n v="3849"/>
    <n v="49"/>
    <s v="COD"/>
    <d v="2025-10-16T08:57:43"/>
    <d v="2025-10-18T17:28:58"/>
    <d v="2025-10-22T14:35:50"/>
    <s v="28449525194595"/>
    <s v="DelhiverySurface"/>
    <d v="2025-10-17T17:08:00"/>
    <s v=""/>
    <s v="Tiny Kingdom"/>
    <s v=""/>
    <s v=""/>
    <s v="TINYK12155123"/>
    <s v="Raise Return"/>
    <s v="Confirmed"/>
    <s v=""/>
    <s v=""/>
    <d v="2025-10-26T18:27:06"/>
    <s v="No"/>
    <s v=""/>
    <s v="New Delhi"/>
    <s v="Delhi"/>
    <n v="110092"/>
    <s v="India"/>
    <s v="Indian Rupee"/>
    <n v="62044220"/>
    <m/>
    <n v="3800"/>
    <s v="TINYK2627100374"/>
    <s v="NFSDS15"/>
    <s v=""/>
    <s v="No"/>
    <n v="18"/>
    <n v="0"/>
    <n v="0"/>
    <n v="18"/>
    <n v="579.66099999999994"/>
    <n v="0"/>
    <n v="0"/>
    <n v="579.66099999999994"/>
    <m/>
    <n v="0.75"/>
    <d v="2025-10-18T12:00:00"/>
    <n v="3800"/>
    <n v="579.66099999999994"/>
    <n v="4379.6610000000001"/>
  </r>
  <r>
    <s v="NYK-32519877-2724512-1-1"/>
    <s v="NYKF35957261"/>
    <s v="CUTAB00000817"/>
    <x v="64"/>
    <n v="1"/>
    <x v="1"/>
    <n v="1"/>
    <n v="1"/>
    <n v="4000"/>
    <n v="3800"/>
    <n v="0"/>
    <n v="3829"/>
    <n v="29"/>
    <s v="Prepaid"/>
    <d v="2025-10-17T23:08:44"/>
    <d v="2025-10-24T17:34:27"/>
    <d v="2025-10-29T14:24:01"/>
    <s v="28449521423124"/>
    <s v="DelhiverySurface"/>
    <d v="2025-10-18T19:14:59"/>
    <s v=""/>
    <s v="Tiny Kingdom"/>
    <s v=""/>
    <s v=""/>
    <s v=""/>
    <s v=""/>
    <s v=""/>
    <s v=""/>
    <s v=""/>
    <d v="2025-10-29T14:36:32"/>
    <s v="No"/>
    <s v=""/>
    <s v="Zirakpur"/>
    <s v="Punjab"/>
    <n v="140603"/>
    <s v="India"/>
    <s v="Indian Rupee"/>
    <n v="62044220"/>
    <m/>
    <n v="3800"/>
    <s v="TINYK2627100383"/>
    <s v="NFDR10"/>
    <s v=""/>
    <s v="No"/>
    <n v="18"/>
    <n v="0"/>
    <n v="0"/>
    <n v="18"/>
    <n v="579.66099999999994"/>
    <n v="0"/>
    <n v="0"/>
    <n v="579.66099999999994"/>
    <m/>
    <n v="0.75"/>
    <d v="2025-10-20T12:00:00"/>
    <n v="3800"/>
    <n v="579.66099999999994"/>
    <n v="4379.6610000000001"/>
  </r>
  <r>
    <s v="NYK-32619910-1415097-1-1"/>
    <s v="NYKF36059112"/>
    <s v="CUTAB00000549"/>
    <x v="65"/>
    <n v="1"/>
    <x v="3"/>
    <n v="1"/>
    <n v="1"/>
    <n v="4000"/>
    <n v="3800"/>
    <n v="0"/>
    <n v="3849"/>
    <n v="49"/>
    <s v="COD"/>
    <d v="2025-10-22T16:40:15"/>
    <d v="2025-10-24T17:32:02"/>
    <m/>
    <s v="28449525579820"/>
    <s v="DelhiverySurface"/>
    <d v="2025-10-24T12:00:44"/>
    <s v=""/>
    <s v="Tiny Kingdom"/>
    <s v=""/>
    <s v=""/>
    <s v=""/>
    <s v=""/>
    <s v=""/>
    <s v=""/>
    <s v=""/>
    <d v="2025-10-31T11:31:35"/>
    <s v="No"/>
    <s v=""/>
    <s v="Gaya"/>
    <s v="Bihar"/>
    <n v="823000"/>
    <s v="India"/>
    <s v="Indian Rupee"/>
    <n v="62042300"/>
    <m/>
    <n v="3800"/>
    <s v="TINYK2627100397"/>
    <s v=""/>
    <s v=""/>
    <s v="No"/>
    <n v="18"/>
    <n v="0"/>
    <n v="0"/>
    <n v="18"/>
    <n v="579.66099999999994"/>
    <n v="0"/>
    <n v="0"/>
    <n v="579.66099999999994"/>
    <m/>
    <n v="0.85"/>
    <d v="2025-10-25T12:00:00"/>
    <n v="3800"/>
    <n v="579.66099999999994"/>
    <n v="4379.6610000000001"/>
  </r>
  <r>
    <s v="NYK-32793521-8022650-1-1"/>
    <s v="NYKF36242736"/>
    <s v="CUTAB00000550"/>
    <x v="66"/>
    <n v="3"/>
    <x v="1"/>
    <n v="1"/>
    <n v="1"/>
    <n v="4000"/>
    <n v="3800"/>
    <n v="0"/>
    <n v="3808.03"/>
    <n v="8.0299999999999994"/>
    <s v="Prepaid"/>
    <d v="2025-10-29T08:50:23"/>
    <d v="2025-10-29T16:54:44"/>
    <d v="2025-10-31T12:38:11"/>
    <s v="28449527523624"/>
    <s v="DelhiverySurface"/>
    <d v="2025-10-29T11:01:11"/>
    <s v=""/>
    <s v="Tiny Kingdom"/>
    <s v=""/>
    <s v=""/>
    <s v=""/>
    <s v=""/>
    <s v=""/>
    <s v=""/>
    <s v=""/>
    <d v="2025-10-31T12:41:21"/>
    <s v="No"/>
    <s v=""/>
    <s v="Guwahati"/>
    <s v="Assam"/>
    <n v="781038"/>
    <s v="India"/>
    <s v="Indian Rupee"/>
    <n v="62042300"/>
    <m/>
    <n v="3800"/>
    <s v="TINYK2627100434"/>
    <s v=""/>
    <s v=""/>
    <s v="No"/>
    <n v="18"/>
    <n v="0"/>
    <n v="0"/>
    <n v="18"/>
    <n v="579.66099999999994"/>
    <n v="0"/>
    <n v="0"/>
    <n v="579.66099999999994"/>
    <m/>
    <n v="1.1000000000000001"/>
    <d v="2025-10-31T12:00:00"/>
    <n v="3800"/>
    <n v="579.66099999999994"/>
    <n v="4379.6610000000001"/>
  </r>
  <r>
    <s v="NYK-32344119-5144661-1-1"/>
    <s v="NYKF35765619"/>
    <s v="CUTAB00000550"/>
    <x v="66"/>
    <n v="1"/>
    <x v="5"/>
    <n v="1"/>
    <n v="1"/>
    <n v="3750"/>
    <n v="3563"/>
    <n v="0"/>
    <n v="3583"/>
    <n v="20"/>
    <s v="COD"/>
    <d v="2025-10-12T21:35:45"/>
    <d v="2025-10-14T17:43:11"/>
    <m/>
    <s v="28449522419611"/>
    <s v="DelhiverySurface"/>
    <d v="2025-10-13T19:32:50"/>
    <s v=""/>
    <s v="Tiny Kingdom"/>
    <s v=""/>
    <s v=""/>
    <s v="TINYK12123006"/>
    <s v="RTO"/>
    <s v="Reverse PickUP Delivered"/>
    <s v=""/>
    <s v=""/>
    <d v="2025-10-29T17:00:59"/>
    <s v="No"/>
    <s v=""/>
    <s v="Gaya"/>
    <s v="Bihar"/>
    <n v="823000"/>
    <s v="India"/>
    <s v="Indian Rupee"/>
    <n v="62042300"/>
    <m/>
    <n v="3563"/>
    <s v="TINYK2627100348"/>
    <s v=""/>
    <s v=""/>
    <s v="No"/>
    <n v="18"/>
    <n v="0"/>
    <n v="0"/>
    <n v="18"/>
    <n v="543.50800000000004"/>
    <n v="0"/>
    <n v="0"/>
    <n v="543.50800000000004"/>
    <m/>
    <n v="0.85"/>
    <d v="2025-10-15T12:00:00"/>
    <n v="3563"/>
    <n v="543.50800000000004"/>
    <n v="4106.5079999999998"/>
  </r>
  <r>
    <s v="NYK-32563125-6478654-1-1"/>
    <s v="NYKF36000337"/>
    <s v="CUTAB00000551"/>
    <x v="67"/>
    <n v="1"/>
    <x v="4"/>
    <n v="1"/>
    <n v="0"/>
    <n v="4000"/>
    <n v="3800"/>
    <n v="0"/>
    <n v="3820"/>
    <n v="20"/>
    <s v="COD"/>
    <d v="2025-10-19T20:37:59"/>
    <m/>
    <m/>
    <s v=""/>
    <s v="Ekart Surface"/>
    <m/>
    <s v="Delivery date is too late"/>
    <s v="Tiny Kingdom"/>
    <s v=""/>
    <s v=""/>
    <s v=""/>
    <s v=""/>
    <s v=""/>
    <s v=""/>
    <s v=""/>
    <d v="2025-10-22T21:10:09"/>
    <s v="No"/>
    <s v=""/>
    <s v="Pune"/>
    <s v="Maharashtra"/>
    <n v="411047"/>
    <s v="India"/>
    <s v="Indian Rupee"/>
    <n v="62042300"/>
    <d v="2025-10-22T21:10:09"/>
    <n v="3800"/>
    <s v=""/>
    <s v="NFESTIVE15"/>
    <s v=""/>
    <s v="No"/>
    <n v="18"/>
    <n v="9"/>
    <n v="9"/>
    <n v="0"/>
    <n v="579.66099999999994"/>
    <n v="289.83100000000002"/>
    <n v="289.83100000000002"/>
    <n v="0"/>
    <m/>
    <m/>
    <d v="2025-10-22T12:00:00"/>
    <n v="3800"/>
    <n v="579.66200000000003"/>
    <n v="4379.6620000000003"/>
  </r>
  <r>
    <s v="NYK-32109356-5845996-1-1"/>
    <s v="NYKF35502487"/>
    <s v="CUTAB00000553"/>
    <x v="68"/>
    <n v="1"/>
    <x v="5"/>
    <n v="1"/>
    <n v="1"/>
    <n v="3750"/>
    <n v="3375"/>
    <n v="0"/>
    <n v="3424"/>
    <n v="49"/>
    <s v="COD"/>
    <d v="2025-10-05T23:07:26"/>
    <d v="2025-10-07T17:25:37"/>
    <m/>
    <s v="28449521771691"/>
    <s v="DelhiverySurface"/>
    <d v="2025-10-06T19:31:11"/>
    <s v=""/>
    <s v="Tiny Kingdom"/>
    <s v=""/>
    <s v=""/>
    <s v="TINYK11947513"/>
    <s v="RTO"/>
    <s v="Reverse PickUP Delivered"/>
    <s v=""/>
    <s v=""/>
    <d v="2025-10-17T20:41:16"/>
    <s v="No"/>
    <s v=""/>
    <s v="Gorakhpur"/>
    <s v="Uttar Pradesh"/>
    <n v="273015"/>
    <s v="India"/>
    <s v="Indian Rupee"/>
    <n v="62042300"/>
    <m/>
    <n v="3375"/>
    <s v="TINYK2627100258"/>
    <s v="NFSDS15"/>
    <s v=""/>
    <s v="No"/>
    <n v="18"/>
    <n v="0"/>
    <n v="0"/>
    <n v="18"/>
    <n v="514.83100000000002"/>
    <n v="0"/>
    <n v="0"/>
    <n v="514.83100000000002"/>
    <m/>
    <n v="0.85"/>
    <d v="2025-10-08T12:00:00"/>
    <n v="3375"/>
    <n v="514.83100000000002"/>
    <n v="3889.8310000000001"/>
  </r>
  <r>
    <s v="NYK-32047154-5971578-2-1"/>
    <s v="NYKF35432590"/>
    <s v="CUTAB00000554"/>
    <x v="69"/>
    <n v="2"/>
    <x v="0"/>
    <n v="1"/>
    <n v="1"/>
    <n v="3750"/>
    <n v="3375"/>
    <n v="0"/>
    <n v="3415.87"/>
    <n v="40.869999999999997"/>
    <s v="COD"/>
    <d v="2025-10-04T08:16:12"/>
    <d v="2025-10-06T17:09:18"/>
    <d v="2025-10-09T15:52:57"/>
    <s v="28449521584194"/>
    <s v="DelhiverySurface"/>
    <d v="2025-10-04T20:08:17"/>
    <s v=""/>
    <s v="Tiny Kingdom"/>
    <s v=""/>
    <s v=""/>
    <s v="TINYK11946517"/>
    <s v="Raise Return"/>
    <s v="Reverse PickUP Delivered"/>
    <s v=""/>
    <s v=""/>
    <d v="2025-10-24T15:06:22"/>
    <s v="No"/>
    <s v=""/>
    <s v="Gorakhpur"/>
    <s v="Uttar Pradesh"/>
    <n v="273015"/>
    <s v="India"/>
    <s v="Indian Rupee"/>
    <n v="62042300"/>
    <m/>
    <n v="3375"/>
    <s v="TINYK2627100230"/>
    <s v="NFLIW10"/>
    <s v=""/>
    <s v="No"/>
    <n v="18"/>
    <n v="0"/>
    <n v="0"/>
    <n v="18"/>
    <n v="514.83100000000002"/>
    <n v="0"/>
    <n v="0"/>
    <n v="514.83100000000002"/>
    <m/>
    <n v="0.85"/>
    <d v="2025-10-06T12:00:00"/>
    <n v="3375"/>
    <n v="514.83100000000002"/>
    <n v="3889.8310000000001"/>
  </r>
  <r>
    <s v="NYK-32718648-5450766-1-1"/>
    <s v="NYKF36162833"/>
    <s v="CUTAB00000555"/>
    <x v="70"/>
    <n v="1"/>
    <x v="1"/>
    <n v="1"/>
    <n v="1"/>
    <n v="4000"/>
    <n v="3800"/>
    <n v="0"/>
    <n v="3800"/>
    <n v="0"/>
    <s v="Prepaid"/>
    <d v="2025-10-26T13:27:31"/>
    <d v="2025-10-28T17:08:16"/>
    <d v="2025-10-30T15:33:03"/>
    <s v="28449527396353"/>
    <s v="DelhiverySurface"/>
    <d v="2025-10-27T19:08:35"/>
    <s v=""/>
    <s v="Tiny Kingdom"/>
    <s v=""/>
    <s v=""/>
    <s v=""/>
    <s v=""/>
    <s v=""/>
    <s v=""/>
    <s v=""/>
    <d v="2025-10-30T15:36:06"/>
    <s v="No"/>
    <s v=""/>
    <s v="Bangalore"/>
    <s v="Karnataka"/>
    <n v="560099"/>
    <s v="India"/>
    <s v="Indian Rupee"/>
    <n v="62042300"/>
    <m/>
    <n v="3800"/>
    <s v="TINYK2627100416"/>
    <s v="NFNEW15"/>
    <s v=""/>
    <s v="No"/>
    <n v="18"/>
    <n v="0"/>
    <n v="0"/>
    <n v="18"/>
    <n v="579.66099999999994"/>
    <n v="0"/>
    <n v="0"/>
    <n v="579.66099999999994"/>
    <m/>
    <n v="0.85"/>
    <d v="2025-10-29T12:00:00"/>
    <n v="3800"/>
    <n v="579.66099999999994"/>
    <n v="4379.6610000000001"/>
  </r>
  <r>
    <s v="NYK-32160012-8271138-3-1"/>
    <s v="NYKF35558716"/>
    <s v="CUTAB00000556"/>
    <x v="71"/>
    <n v="2"/>
    <x v="0"/>
    <n v="1"/>
    <n v="1"/>
    <n v="3750"/>
    <n v="3375"/>
    <n v="0"/>
    <n v="3440.08"/>
    <n v="65.08"/>
    <s v="Prepaid"/>
    <d v="2025-10-07T14:41:11"/>
    <d v="2025-10-08T17:13:49"/>
    <d v="2025-10-12T16:13:32"/>
    <s v="28449520198706"/>
    <s v="DelhiverySurface"/>
    <d v="2025-10-07T17:11:18"/>
    <s v=""/>
    <s v="Tiny Kingdom"/>
    <s v=""/>
    <s v=""/>
    <s v="TINYK11991683"/>
    <s v="Raise Return"/>
    <s v="Reverse PickUP Delivered"/>
    <s v=""/>
    <s v=""/>
    <d v="2025-10-29T18:01:09"/>
    <s v="No"/>
    <s v=""/>
    <s v="Noida"/>
    <s v="Uttar Pradesh"/>
    <n v="201301"/>
    <s v="India"/>
    <s v="Indian Rupee"/>
    <n v="62042300"/>
    <m/>
    <n v="3375"/>
    <s v="TINYK2627100265"/>
    <s v=""/>
    <s v=""/>
    <s v="No"/>
    <n v="18"/>
    <n v="0"/>
    <n v="0"/>
    <n v="18"/>
    <n v="514.83100000000002"/>
    <n v="0"/>
    <n v="0"/>
    <n v="514.83100000000002"/>
    <m/>
    <n v="0.85"/>
    <d v="2025-10-10T12:00:00"/>
    <n v="3375"/>
    <n v="514.83100000000002"/>
    <n v="3889.8310000000001"/>
  </r>
  <r>
    <s v="NYK-32199223-8670853-1-1"/>
    <s v="NYKF35601816"/>
    <s v="CUTAB00000655"/>
    <x v="72"/>
    <n v="1"/>
    <x v="0"/>
    <n v="1"/>
    <n v="1"/>
    <n v="4750"/>
    <n v="4275"/>
    <n v="0"/>
    <n v="4304"/>
    <n v="29"/>
    <s v="Prepaid"/>
    <d v="2025-10-08T18:34:31"/>
    <d v="2025-10-10T17:33:50"/>
    <d v="2025-10-17T19:23:24"/>
    <s v="237943173170361"/>
    <s v="Nykaa Fashion surface"/>
    <d v="2025-10-09T18:53:06"/>
    <s v=""/>
    <s v="Tiny Kingdom"/>
    <s v=""/>
    <s v=""/>
    <s v="TINYK12147023"/>
    <s v="Raise Return"/>
    <s v="Reverse PickUP Done"/>
    <s v=""/>
    <s v=""/>
    <d v="2025-10-28T07:01:21"/>
    <s v="No"/>
    <s v=""/>
    <s v="Kotma"/>
    <s v="Madhya Pradesh"/>
    <n v="484334"/>
    <s v="India"/>
    <s v="Indian Rupee"/>
    <n v="62042300"/>
    <m/>
    <n v="4275"/>
    <s v="TINYK2627100294"/>
    <s v=""/>
    <s v=""/>
    <s v="No"/>
    <n v="18"/>
    <n v="0"/>
    <n v="0"/>
    <n v="18"/>
    <n v="652.11900000000003"/>
    <n v="0"/>
    <n v="0"/>
    <n v="652.11900000000003"/>
    <m/>
    <n v="0.85"/>
    <d v="2025-10-11T12:00:00"/>
    <n v="4275"/>
    <n v="652.11900000000003"/>
    <n v="4927.1189999999997"/>
  </r>
  <r>
    <s v="NYK-32434290-6902989-1-1"/>
    <s v="NYKF35866886"/>
    <s v="CUTAB00001025"/>
    <x v="73"/>
    <n v="1"/>
    <x v="1"/>
    <n v="1"/>
    <n v="1"/>
    <n v="4000"/>
    <n v="3600"/>
    <n v="0"/>
    <n v="3649"/>
    <n v="49"/>
    <s v="COD"/>
    <d v="2025-10-15T08:25:03"/>
    <d v="2025-10-16T17:34:42"/>
    <d v="2025-10-22T19:28:45"/>
    <s v="28449525009073"/>
    <s v="DelhiverySurface"/>
    <d v="2025-10-15T19:10:58"/>
    <s v=""/>
    <s v="Tiny Kingdom"/>
    <s v=""/>
    <s v=""/>
    <s v=""/>
    <s v=""/>
    <s v=""/>
    <s v=""/>
    <s v=""/>
    <d v="2025-10-22T19:31:10"/>
    <s v="No"/>
    <s v=""/>
    <s v="Zirakpur"/>
    <s v="Punjab"/>
    <n v="140603"/>
    <s v="India"/>
    <s v="Indian Rupee"/>
    <n v="62044220"/>
    <m/>
    <n v="3600"/>
    <s v="TINYK2627100372"/>
    <s v="NFSDS15"/>
    <s v=""/>
    <s v="No"/>
    <n v="18"/>
    <n v="0"/>
    <n v="0"/>
    <n v="18"/>
    <n v="549.15300000000002"/>
    <n v="0"/>
    <n v="0"/>
    <n v="549.15300000000002"/>
    <m/>
    <n v="0.85"/>
    <d v="2025-10-17T12:00:00"/>
    <n v="3600"/>
    <n v="549.15300000000002"/>
    <n v="4149.1530000000002"/>
  </r>
  <r>
    <s v="NYK-32101638-4592239-1-1"/>
    <s v="NYKF35493433"/>
    <s v="CUTAB00001032"/>
    <x v="74"/>
    <n v="1"/>
    <x v="1"/>
    <n v="1"/>
    <n v="1"/>
    <n v="4000"/>
    <n v="3600"/>
    <n v="0"/>
    <n v="3649"/>
    <n v="49"/>
    <s v="COD"/>
    <d v="2025-10-05T19:59:52"/>
    <d v="2025-10-07T14:51:32"/>
    <d v="2025-10-14T18:03:20"/>
    <s v="SF2167355725NYK"/>
    <s v="Shadowfax"/>
    <d v="2025-10-06T19:31:11"/>
    <s v=""/>
    <s v="Tiny Kingdom"/>
    <s v=""/>
    <s v=""/>
    <s v=""/>
    <s v=""/>
    <s v=""/>
    <s v=""/>
    <s v=""/>
    <d v="2025-10-14T18:06:19"/>
    <s v="No"/>
    <s v=""/>
    <s v="Ghaziabad"/>
    <s v="Uttar Pradesh"/>
    <n v="201014"/>
    <s v="India"/>
    <s v="Indian Rupee"/>
    <n v="62044220"/>
    <m/>
    <n v="3600"/>
    <s v="TINYK2627100253"/>
    <s v="NFSDS15"/>
    <s v=""/>
    <s v="No"/>
    <n v="18"/>
    <n v="0"/>
    <n v="0"/>
    <n v="18"/>
    <n v="549.15300000000002"/>
    <n v="0"/>
    <n v="0"/>
    <n v="549.15300000000002"/>
    <m/>
    <n v="0.85"/>
    <d v="2025-10-08T12:00:00"/>
    <n v="3600"/>
    <n v="549.15300000000002"/>
    <n v="4149.1530000000002"/>
  </r>
  <r>
    <s v="NYK-32569750-7129572-1-1"/>
    <s v="NYKF36007480"/>
    <s v="CUTAB00001249"/>
    <x v="75"/>
    <n v="1"/>
    <x v="1"/>
    <n v="1"/>
    <n v="1"/>
    <n v="3750"/>
    <n v="3563"/>
    <n v="0"/>
    <n v="3583"/>
    <n v="20"/>
    <s v="COD"/>
    <d v="2025-10-20T02:22:10"/>
    <d v="2025-10-24T17:33:13"/>
    <d v="2025-10-31T12:28:35"/>
    <s v="28449525579245"/>
    <s v="DelhiverySurface"/>
    <d v="2025-10-24T12:00:44"/>
    <s v=""/>
    <s v="Tiny Kingdom"/>
    <s v=""/>
    <s v=""/>
    <s v=""/>
    <s v=""/>
    <s v=""/>
    <s v=""/>
    <s v=""/>
    <d v="2025-10-31T12:31:22"/>
    <s v="No"/>
    <s v=""/>
    <s v="Jhansi"/>
    <s v="Uttar Pradesh"/>
    <n v="284003"/>
    <s v="India"/>
    <s v="Indian Rupee"/>
    <n v="62044220"/>
    <m/>
    <n v="3563"/>
    <s v="TINYK2627100402"/>
    <s v=""/>
    <s v=""/>
    <s v="No"/>
    <n v="18"/>
    <n v="0"/>
    <n v="0"/>
    <n v="18"/>
    <n v="543.50800000000004"/>
    <n v="0"/>
    <n v="0"/>
    <n v="543.50800000000004"/>
    <m/>
    <n v="0.85"/>
    <d v="2025-10-22T12:00:00"/>
    <n v="3563"/>
    <n v="543.50800000000004"/>
    <n v="4106.5079999999998"/>
  </r>
  <r>
    <s v="NYK-32816018-2428554-1-1"/>
    <s v="NYKF36266397"/>
    <s v="CUTAB00000805"/>
    <x v="76"/>
    <n v="1"/>
    <x v="2"/>
    <n v="1"/>
    <n v="0"/>
    <n v="3750"/>
    <n v="3563"/>
    <n v="0"/>
    <n v="3587.373"/>
    <n v="24.373000000000001"/>
    <s v="COD"/>
    <d v="2025-10-29T23:57:09"/>
    <m/>
    <m/>
    <s v="28449526126634"/>
    <s v="DelhiverySurface"/>
    <d v="2025-10-31T12:25:47"/>
    <s v=""/>
    <s v="Tiny Kingdom"/>
    <s v=""/>
    <s v=""/>
    <s v=""/>
    <s v=""/>
    <s v=""/>
    <s v=""/>
    <s v=""/>
    <d v="2025-10-31T12:25:48"/>
    <s v="No"/>
    <s v=""/>
    <s v="Chomu"/>
    <s v="Rajasthan"/>
    <n v="303702"/>
    <s v="India"/>
    <s v="Indian Rupee"/>
    <n v="62044220"/>
    <m/>
    <n v="3563"/>
    <s v="TINYK2627100441"/>
    <s v=""/>
    <s v=""/>
    <s v="No"/>
    <n v="18"/>
    <n v="0"/>
    <n v="0"/>
    <n v="18"/>
    <n v="543.50800000000004"/>
    <n v="0"/>
    <n v="0"/>
    <n v="543.50800000000004"/>
    <m/>
    <n v="1"/>
    <d v="2025-11-01T12:00:00"/>
    <n v="3563"/>
    <n v="543.50800000000004"/>
    <n v="4106.5079999999998"/>
  </r>
  <r>
    <s v="NYK-32578098-3297097-1-1"/>
    <s v="NYKF36015702"/>
    <s v="CUTAB00000805"/>
    <x v="76"/>
    <n v="1"/>
    <x v="1"/>
    <n v="1"/>
    <n v="1"/>
    <n v="3750"/>
    <n v="3563"/>
    <n v="0"/>
    <n v="3583"/>
    <n v="20"/>
    <s v="COD"/>
    <d v="2025-10-20T15:11:37"/>
    <d v="2025-10-24T17:32:55"/>
    <d v="2025-10-27T13:50:49"/>
    <s v="28449525582130"/>
    <s v="DelhiverySurface"/>
    <d v="2025-10-24T12:00:44"/>
    <s v=""/>
    <s v="Tiny Kingdom"/>
    <s v=""/>
    <s v=""/>
    <s v=""/>
    <s v=""/>
    <s v=""/>
    <s v=""/>
    <s v=""/>
    <d v="2025-10-27T13:51:14"/>
    <s v="No"/>
    <s v=""/>
    <s v="Kauriram"/>
    <s v="Uttar Pradesh"/>
    <n v="273403"/>
    <s v="India"/>
    <s v="Indian Rupee"/>
    <n v="62044220"/>
    <m/>
    <n v="3563"/>
    <s v="TINYK2627100407"/>
    <s v=""/>
    <s v=""/>
    <s v="No"/>
    <n v="18"/>
    <n v="0"/>
    <n v="0"/>
    <n v="18"/>
    <n v="543.50800000000004"/>
    <n v="0"/>
    <n v="0"/>
    <n v="543.50800000000004"/>
    <m/>
    <n v="0.75"/>
    <d v="2025-10-23T12:00:00"/>
    <n v="3563"/>
    <n v="543.50800000000004"/>
    <n v="4106.5079999999998"/>
  </r>
  <r>
    <s v="NYK-32093478-9951546-1-1"/>
    <s v="NYKF35483988"/>
    <s v="CUTAB00000806"/>
    <x v="77"/>
    <n v="1"/>
    <x v="1"/>
    <n v="1"/>
    <n v="1"/>
    <n v="3750"/>
    <n v="3563"/>
    <n v="0"/>
    <n v="3587.5"/>
    <n v="24.5"/>
    <s v="COD"/>
    <d v="2025-10-05T15:55:52"/>
    <d v="2025-10-06T17:14:44"/>
    <d v="2025-10-14T19:45:50"/>
    <s v="28449521665066"/>
    <s v="DelhiverySurface"/>
    <d v="2025-10-05T17:49:47"/>
    <s v=""/>
    <s v="Tiny Kingdom"/>
    <s v=""/>
    <s v=""/>
    <s v=""/>
    <s v=""/>
    <s v=""/>
    <s v=""/>
    <s v=""/>
    <d v="2025-10-14T19:46:14"/>
    <s v="No"/>
    <s v=""/>
    <s v="Guwahati"/>
    <s v="Assam"/>
    <n v="781005"/>
    <s v="India"/>
    <s v="Indian Rupee"/>
    <n v="62044220"/>
    <m/>
    <n v="3563"/>
    <s v="TINYK2627100245"/>
    <s v=""/>
    <s v=""/>
    <s v="No"/>
    <n v="18"/>
    <n v="0"/>
    <n v="0"/>
    <n v="18"/>
    <n v="543.50800000000004"/>
    <n v="0"/>
    <n v="0"/>
    <n v="543.50800000000004"/>
    <m/>
    <n v="1"/>
    <d v="2025-10-08T12:00:00"/>
    <n v="3563"/>
    <n v="543.50800000000004"/>
    <n v="4106.5079999999998"/>
  </r>
  <r>
    <s v="NYK-32130889-0273399-1-1"/>
    <s v="NYKF35526424"/>
    <s v="CUTAB00000807"/>
    <x v="78"/>
    <n v="2"/>
    <x v="1"/>
    <n v="1"/>
    <n v="1"/>
    <n v="3750"/>
    <n v="3563"/>
    <n v="0"/>
    <n v="3571.15"/>
    <n v="8.15"/>
    <s v="COD"/>
    <d v="2025-10-06T17:01:13"/>
    <d v="2025-10-07T17:24:38"/>
    <d v="2025-10-14T13:24:56"/>
    <s v="28449521770383"/>
    <s v="DelhiverySurface"/>
    <d v="2025-10-06T19:31:11"/>
    <s v=""/>
    <s v="Tiny Kingdom"/>
    <s v=""/>
    <s v=""/>
    <s v=""/>
    <s v=""/>
    <s v=""/>
    <s v=""/>
    <s v=""/>
    <d v="2025-10-14T13:26:12"/>
    <s v="No"/>
    <s v=""/>
    <s v="Aurangabad-Br"/>
    <s v="Bihar"/>
    <n v="824101"/>
    <s v="India"/>
    <s v="Indian Rupee"/>
    <n v="62044220"/>
    <m/>
    <n v="3563"/>
    <s v="TINYK2627100260"/>
    <s v=""/>
    <s v=""/>
    <s v="No"/>
    <n v="18"/>
    <n v="0"/>
    <n v="0"/>
    <n v="18"/>
    <n v="543.50800000000004"/>
    <n v="0"/>
    <n v="0"/>
    <n v="543.50800000000004"/>
    <m/>
    <n v="0.75"/>
    <d v="2025-10-09T12:00:00"/>
    <n v="3563"/>
    <n v="543.50800000000004"/>
    <n v="4106.5079999999998"/>
  </r>
  <r>
    <s v="NYK-32630382-8138549-1-1"/>
    <s v="NYKF36070346"/>
    <s v="CUTAB00000808"/>
    <x v="79"/>
    <n v="1"/>
    <x v="1"/>
    <n v="1"/>
    <n v="1"/>
    <n v="3750"/>
    <n v="3563"/>
    <n v="0"/>
    <n v="3592"/>
    <n v="29"/>
    <s v="Prepaid"/>
    <d v="2025-10-23T00:05:39"/>
    <d v="2025-10-24T17:32:49"/>
    <d v="2025-10-28T09:36:41"/>
    <s v="28449527102493"/>
    <s v="DelhiverySurface"/>
    <d v="2025-10-24T12:00:44"/>
    <s v=""/>
    <s v="Tiny Kingdom"/>
    <s v=""/>
    <s v=""/>
    <s v=""/>
    <s v=""/>
    <s v=""/>
    <s v=""/>
    <s v=""/>
    <d v="2025-10-28T09:41:14"/>
    <s v="No"/>
    <s v=""/>
    <s v="Bathinda"/>
    <s v="Punjab"/>
    <n v="151001"/>
    <s v="India"/>
    <s v="Indian Rupee"/>
    <n v="62044220"/>
    <m/>
    <n v="3563"/>
    <s v="TINYK2627100391"/>
    <s v="NFDR15"/>
    <s v=""/>
    <s v="No"/>
    <n v="18"/>
    <n v="0"/>
    <n v="0"/>
    <n v="18"/>
    <n v="543.50800000000004"/>
    <n v="0"/>
    <n v="0"/>
    <n v="543.50800000000004"/>
    <m/>
    <n v="0.75"/>
    <d v="2025-10-25T12:00:00"/>
    <n v="3563"/>
    <n v="543.50800000000004"/>
    <n v="4106.5079999999998"/>
  </r>
  <r>
    <s v="NYK-32491152-2699460-1-1"/>
    <s v="NYKF35927249"/>
    <s v="CUTAB00000808"/>
    <x v="79"/>
    <n v="1"/>
    <x v="3"/>
    <n v="1"/>
    <n v="1"/>
    <n v="3750"/>
    <n v="3563"/>
    <n v="0"/>
    <n v="3583"/>
    <n v="20"/>
    <s v="COD"/>
    <d v="2025-10-16T22:08:19"/>
    <d v="2025-10-18T17:29:02"/>
    <m/>
    <s v="28449525197760"/>
    <s v="DelhiverySurface"/>
    <d v="2025-10-17T18:45:14"/>
    <s v=""/>
    <s v="Tiny Kingdom"/>
    <s v=""/>
    <s v=""/>
    <s v="TINYK12158383"/>
    <s v="RTO"/>
    <s v="Confirmed"/>
    <s v=""/>
    <s v=""/>
    <d v="2025-10-31T08:21:04"/>
    <s v="No"/>
    <s v=""/>
    <s v="Bongaigaon"/>
    <s v="Assam"/>
    <n v="783380"/>
    <s v="India"/>
    <s v="Indian Rupee"/>
    <n v="62044220"/>
    <m/>
    <n v="3563"/>
    <s v="TINYK2627100378"/>
    <s v=""/>
    <s v=""/>
    <s v="No"/>
    <n v="18"/>
    <n v="0"/>
    <n v="0"/>
    <n v="18"/>
    <n v="543.50800000000004"/>
    <n v="0"/>
    <n v="0"/>
    <n v="543.50800000000004"/>
    <m/>
    <n v="0.75"/>
    <d v="2025-10-19T12:00:00"/>
    <n v="3563"/>
    <n v="543.50800000000004"/>
    <n v="4106.5079999999998"/>
  </r>
  <r>
    <s v="NYK-32182276-0991355-1-1"/>
    <s v="NYKF35583518"/>
    <s v="CUTAB00000808"/>
    <x v="79"/>
    <n v="1"/>
    <x v="1"/>
    <n v="1"/>
    <n v="1"/>
    <n v="3750"/>
    <n v="3563"/>
    <n v="0"/>
    <n v="3592"/>
    <n v="29"/>
    <s v="Prepaid"/>
    <d v="2025-10-08T08:06:31"/>
    <d v="2025-10-09T17:37:59"/>
    <d v="2025-10-12T14:43:51"/>
    <s v="28449520302450"/>
    <s v="DelhiverySurface"/>
    <d v="2025-10-08T17:25:10"/>
    <s v=""/>
    <s v="Tiny Kingdom"/>
    <s v=""/>
    <s v=""/>
    <s v=""/>
    <s v=""/>
    <s v=""/>
    <s v=""/>
    <s v=""/>
    <d v="2025-10-12T14:46:18"/>
    <s v="No"/>
    <s v=""/>
    <s v="Zirakpur"/>
    <s v="Punjab"/>
    <n v="140603"/>
    <s v="India"/>
    <s v="Indian Rupee"/>
    <n v="62044220"/>
    <m/>
    <n v="3563"/>
    <s v="TINYK2627100281"/>
    <s v=""/>
    <s v=""/>
    <s v="No"/>
    <n v="18"/>
    <n v="0"/>
    <n v="0"/>
    <n v="18"/>
    <n v="543.50800000000004"/>
    <n v="0"/>
    <n v="0"/>
    <n v="543.50800000000004"/>
    <m/>
    <n v="0.75"/>
    <d v="2025-10-10T12:00:00"/>
    <n v="3563"/>
    <n v="543.50800000000004"/>
    <n v="4106.5079999999998"/>
  </r>
  <r>
    <s v="NYK-32288582-6003557-1-1"/>
    <s v="NYKF35702194"/>
    <s v="CUTAB00000809"/>
    <x v="80"/>
    <n v="1"/>
    <x v="5"/>
    <n v="1"/>
    <n v="1"/>
    <n v="3750"/>
    <n v="3563"/>
    <n v="0"/>
    <n v="3612"/>
    <n v="49"/>
    <s v="COD"/>
    <d v="2025-10-11T15:16:44"/>
    <d v="2025-10-13T18:17:04"/>
    <m/>
    <s v="28449522217720"/>
    <s v="DelhiverySurface"/>
    <d v="2025-10-11T19:21:32"/>
    <s v=""/>
    <s v="Tiny Kingdom"/>
    <s v=""/>
    <s v=""/>
    <s v="TINYK12079454"/>
    <s v="RTO"/>
    <s v="Reverse PickUP Delivered"/>
    <s v=""/>
    <s v=""/>
    <d v="2025-10-27T21:15:59"/>
    <s v="No"/>
    <s v=""/>
    <s v="Simri Bakthiyarpur"/>
    <s v="Bihar"/>
    <n v="852129"/>
    <s v="India"/>
    <s v="Indian Rupee"/>
    <n v="62044220"/>
    <m/>
    <n v="3563"/>
    <s v="TINYK2627100308"/>
    <s v=""/>
    <s v=""/>
    <s v="No"/>
    <n v="18"/>
    <n v="0"/>
    <n v="0"/>
    <n v="18"/>
    <n v="543.50800000000004"/>
    <n v="0"/>
    <n v="0"/>
    <n v="543.50800000000004"/>
    <m/>
    <n v="0.75"/>
    <d v="2025-10-14T12:00:00"/>
    <n v="3563"/>
    <n v="543.50800000000004"/>
    <n v="4106.5079999999998"/>
  </r>
  <r>
    <s v="NYK-32157259-2807901-1-1"/>
    <s v="NYKF35555816"/>
    <s v="CUTAB00000809"/>
    <x v="80"/>
    <n v="1"/>
    <x v="5"/>
    <n v="1"/>
    <n v="1"/>
    <n v="3750"/>
    <n v="3563"/>
    <n v="0"/>
    <n v="3604.86"/>
    <n v="41.86"/>
    <s v="COD"/>
    <d v="2025-10-07T13:10:08"/>
    <d v="2025-10-08T17:13:16"/>
    <m/>
    <s v="28449521862326"/>
    <s v="DelhiverySurface"/>
    <d v="2025-10-07T17:13:27"/>
    <s v=""/>
    <s v="Tiny Kingdom"/>
    <s v=""/>
    <s v=""/>
    <s v="TINYK11970555"/>
    <s v="RTO"/>
    <s v="Reverse PickUP Delivered"/>
    <s v=""/>
    <s v=""/>
    <d v="2025-10-17T20:41:16"/>
    <s v="No"/>
    <s v=""/>
    <s v="Ghaziabad"/>
    <s v="Uttar Pradesh"/>
    <n v="201001"/>
    <s v="India"/>
    <s v="Indian Rupee"/>
    <n v="62044220"/>
    <m/>
    <n v="3563"/>
    <s v="TINYK2627100274"/>
    <s v=""/>
    <s v=""/>
    <s v="No"/>
    <n v="18"/>
    <n v="0"/>
    <n v="0"/>
    <n v="18"/>
    <n v="543.50800000000004"/>
    <n v="0"/>
    <n v="0"/>
    <n v="543.50800000000004"/>
    <m/>
    <n v="0.75"/>
    <d v="2025-10-10T12:00:00"/>
    <n v="3563"/>
    <n v="543.50800000000004"/>
    <n v="4106.5079999999998"/>
  </r>
  <r>
    <s v="NYK-32629076-4918810-4-1"/>
    <s v="NYKF36068940"/>
    <s v="CUTAB00000810"/>
    <x v="81"/>
    <n v="3"/>
    <x v="0"/>
    <n v="1"/>
    <n v="1"/>
    <n v="3750"/>
    <n v="3563"/>
    <n v="0"/>
    <n v="3596.16"/>
    <n v="33.159999999999997"/>
    <s v="Prepaid"/>
    <d v="2025-10-22T23:11:59"/>
    <d v="2025-10-24T17:34:02"/>
    <d v="2025-10-27T12:08:24"/>
    <s v="28449527096716"/>
    <s v="DelhiverySurface"/>
    <d v="2025-10-24T12:00:44"/>
    <s v=""/>
    <s v="Tiny Kingdom"/>
    <s v=""/>
    <s v=""/>
    <s v="TINYK12177754"/>
    <s v="Raise Return"/>
    <s v="Reverse PickUP Done"/>
    <s v=""/>
    <s v=""/>
    <d v="2025-10-31T09:56:07"/>
    <s v="No"/>
    <s v=""/>
    <s v="Ghaziabad"/>
    <s v="Uttar Pradesh"/>
    <n v="201001"/>
    <s v="India"/>
    <s v="Indian Rupee"/>
    <n v="62044220"/>
    <m/>
    <n v="3563"/>
    <s v="TINYK2627100393"/>
    <s v="NFDR15"/>
    <s v=""/>
    <s v="No"/>
    <n v="18"/>
    <n v="0"/>
    <n v="0"/>
    <n v="18"/>
    <n v="543.50800000000004"/>
    <n v="0"/>
    <n v="0"/>
    <n v="543.50800000000004"/>
    <m/>
    <n v="0.75"/>
    <d v="2025-10-25T12:00:00"/>
    <n v="3563"/>
    <n v="543.50800000000004"/>
    <n v="4106.5079999999998"/>
  </r>
  <r>
    <s v="NYK-32129664-7490745-1-1"/>
    <s v="NYKF35525088"/>
    <s v="CUTAB00000810"/>
    <x v="81"/>
    <n v="1"/>
    <x v="0"/>
    <n v="1"/>
    <n v="1"/>
    <n v="3750"/>
    <n v="3563"/>
    <n v="0"/>
    <n v="3662"/>
    <n v="99"/>
    <s v="Prepaid"/>
    <d v="2025-10-06T16:14:51"/>
    <d v="2025-10-07T17:25:44"/>
    <d v="2025-10-11T18:50:12"/>
    <s v="28449520086835"/>
    <s v="DelhiverySurface"/>
    <d v="2025-10-06T19:31:11"/>
    <s v=""/>
    <s v="Tiny Kingdom"/>
    <s v=""/>
    <s v=""/>
    <s v="TINYK11989337"/>
    <s v="Raise Return"/>
    <s v="Reverse PickUP Delivered"/>
    <s v=""/>
    <s v=""/>
    <d v="2025-10-29T08:56:21"/>
    <s v="No"/>
    <s v=""/>
    <s v="New Delhi"/>
    <s v="Delhi"/>
    <n v="110059"/>
    <s v="India"/>
    <s v="Indian Rupee"/>
    <n v="62044220"/>
    <m/>
    <n v="3563"/>
    <s v="TINYK2627100257"/>
    <s v=""/>
    <s v=""/>
    <s v="No"/>
    <n v="18"/>
    <n v="0"/>
    <n v="0"/>
    <n v="18"/>
    <n v="543.50800000000004"/>
    <n v="0"/>
    <n v="0"/>
    <n v="543.50800000000004"/>
    <m/>
    <n v="0.75"/>
    <d v="2025-10-09T12:00:00"/>
    <n v="3563"/>
    <n v="543.50800000000004"/>
    <n v="4106.5079999999998"/>
  </r>
  <r>
    <s v="NYK-32394707-5650782-1-1"/>
    <s v="NYKF35823306"/>
    <s v="CUTAB00000811"/>
    <x v="82"/>
    <n v="1"/>
    <x v="4"/>
    <n v="1"/>
    <n v="0"/>
    <n v="3750"/>
    <n v="3563"/>
    <n v="0"/>
    <n v="3612"/>
    <n v="49"/>
    <s v="COD"/>
    <d v="2025-10-14T07:04:11"/>
    <m/>
    <m/>
    <s v=""/>
    <s v="DelhiverySurface"/>
    <m/>
    <s v="Delivery date is too late"/>
    <s v="Tiny Kingdom"/>
    <s v=""/>
    <s v=""/>
    <s v=""/>
    <s v=""/>
    <s v=""/>
    <s v=""/>
    <s v=""/>
    <d v="2025-10-14T09:26:16"/>
    <s v="No"/>
    <s v=""/>
    <s v="Alwar"/>
    <s v="Rajasthan"/>
    <n v="321607"/>
    <s v="India"/>
    <s v="Indian Rupee"/>
    <n v="62044220"/>
    <d v="2025-10-14T09:26:16"/>
    <n v="3563"/>
    <s v=""/>
    <s v="NFSDS15"/>
    <s v=""/>
    <s v="No"/>
    <n v="18"/>
    <n v="0"/>
    <n v="0"/>
    <n v="18"/>
    <n v="543.50800000000004"/>
    <n v="0"/>
    <n v="0"/>
    <n v="543.50800000000004"/>
    <m/>
    <m/>
    <d v="2025-10-16T12:00:00"/>
    <n v="3563"/>
    <n v="543.50800000000004"/>
    <n v="4106.5079999999998"/>
  </r>
  <r>
    <s v="NYK-32345179-6486467-2-1"/>
    <s v="NYKF35766849"/>
    <s v="CUTAB00000811"/>
    <x v="82"/>
    <n v="3"/>
    <x v="1"/>
    <n v="1"/>
    <n v="1"/>
    <n v="3750"/>
    <n v="3563"/>
    <n v="0"/>
    <n v="3600.78"/>
    <n v="37.78"/>
    <s v="COD"/>
    <d v="2025-10-12T21:58:06"/>
    <d v="2025-10-14T17:40:18"/>
    <d v="2025-10-18T11:24:06"/>
    <s v="237943175110470"/>
    <s v="Nykaa Fashion surface"/>
    <d v="2025-10-13T19:31:45"/>
    <s v=""/>
    <s v="Tiny Kingdom"/>
    <s v=""/>
    <s v=""/>
    <s v=""/>
    <s v=""/>
    <s v=""/>
    <s v=""/>
    <s v=""/>
    <d v="2025-10-18T11:26:07"/>
    <s v="No"/>
    <s v=""/>
    <s v="Durg"/>
    <s v="Chhattisgarh"/>
    <n v="491665"/>
    <s v="India"/>
    <s v="Indian Rupee"/>
    <n v="62044220"/>
    <m/>
    <n v="3563"/>
    <s v="TINYK2627100337"/>
    <s v=""/>
    <s v=""/>
    <s v="No"/>
    <n v="18"/>
    <n v="0"/>
    <n v="0"/>
    <n v="18"/>
    <n v="543.50800000000004"/>
    <n v="0"/>
    <n v="0"/>
    <n v="543.50800000000004"/>
    <m/>
    <n v="0.75"/>
    <d v="2025-10-15T12:00:00"/>
    <n v="3563"/>
    <n v="543.50800000000004"/>
    <n v="4106.5079999999998"/>
  </r>
  <r>
    <s v="NYK-32313368-8164526-1-1"/>
    <s v="NYKF35730681"/>
    <s v="CUTAB00000811"/>
    <x v="82"/>
    <n v="2"/>
    <x v="0"/>
    <n v="1"/>
    <n v="1"/>
    <n v="3750"/>
    <n v="3563"/>
    <n v="0"/>
    <n v="3572.38"/>
    <n v="9.3800000000000008"/>
    <s v="Prepaid"/>
    <d v="2025-10-12T08:32:45"/>
    <d v="2025-10-13T18:18:26"/>
    <d v="2025-10-18T09:56:45"/>
    <s v="28449520692921"/>
    <s v="DelhiverySurface"/>
    <d v="2025-10-12T15:52:26"/>
    <s v=""/>
    <s v="Tiny Kingdom"/>
    <s v=""/>
    <s v=""/>
    <s v="TINYK12081371"/>
    <s v="Raise Return"/>
    <s v="Reverse PickUP Delivered"/>
    <s v=""/>
    <s v=""/>
    <d v="2025-10-29T14:56:36"/>
    <s v="No"/>
    <s v=""/>
    <s v="Asansol"/>
    <s v="West Bengal"/>
    <n v="713303"/>
    <s v="India"/>
    <s v="Indian Rupee"/>
    <n v="62044220"/>
    <m/>
    <n v="3563"/>
    <s v="TINYK2627100323"/>
    <s v="NFSD5OO"/>
    <s v=""/>
    <s v="No"/>
    <n v="18"/>
    <n v="0"/>
    <n v="0"/>
    <n v="18"/>
    <n v="543.50800000000004"/>
    <n v="0"/>
    <n v="0"/>
    <n v="543.50800000000004"/>
    <m/>
    <n v="1"/>
    <d v="2025-10-14T12:00:00"/>
    <n v="3563"/>
    <n v="543.50800000000004"/>
    <n v="4106.5079999999998"/>
  </r>
  <r>
    <s v="NYK-32103884-8258750-2-1"/>
    <s v="NYKF35496099"/>
    <s v="CUTAB00000811"/>
    <x v="82"/>
    <n v="2"/>
    <x v="0"/>
    <n v="1"/>
    <n v="1"/>
    <n v="3750"/>
    <n v="3563"/>
    <n v="0"/>
    <n v="3573.2719999999999"/>
    <n v="10.272"/>
    <s v="COD"/>
    <d v="2025-10-05T21:00:59"/>
    <d v="2025-10-07T17:25:04"/>
    <d v="2025-10-13T10:46:58"/>
    <s v="28449521767373"/>
    <s v="DelhiverySurface"/>
    <d v="2025-10-06T19:31:11"/>
    <s v=""/>
    <s v="Tiny Kingdom"/>
    <s v=""/>
    <s v=""/>
    <s v="TINYK12014011"/>
    <s v="Raise Return"/>
    <s v="Reverse PickUP Delivered"/>
    <s v=""/>
    <s v=""/>
    <d v="2025-10-27T14:56:15"/>
    <s v="No"/>
    <s v=""/>
    <s v="Sirohi"/>
    <s v="Rajasthan"/>
    <n v="307027"/>
    <s v="India"/>
    <s v="Indian Rupee"/>
    <n v="62044220"/>
    <m/>
    <n v="3563"/>
    <s v="TINYK2627100251"/>
    <s v="NFSDS15"/>
    <s v=""/>
    <s v="No"/>
    <n v="18"/>
    <n v="0"/>
    <n v="0"/>
    <n v="18"/>
    <n v="543.50800000000004"/>
    <n v="0"/>
    <n v="0"/>
    <n v="543.50800000000004"/>
    <m/>
    <n v="1"/>
    <d v="2025-10-08T12:00:00"/>
    <n v="3563"/>
    <n v="543.50800000000004"/>
    <n v="4106.5079999999998"/>
  </r>
  <r>
    <s v="NYK-32101334-4082801-1-1"/>
    <s v="NYKF35493072"/>
    <s v="CUTAB00000811"/>
    <x v="82"/>
    <n v="1"/>
    <x v="0"/>
    <n v="1"/>
    <n v="1"/>
    <n v="3750"/>
    <n v="3563"/>
    <n v="0"/>
    <n v="3592"/>
    <n v="29"/>
    <s v="Prepaid"/>
    <d v="2025-10-05T19:51:23"/>
    <d v="2025-10-07T14:51:32"/>
    <d v="2025-10-13T14:40:42"/>
    <s v="SF2167305866NYK"/>
    <s v="Shadowfax"/>
    <d v="2025-10-06T19:31:11"/>
    <s v=""/>
    <s v="Tiny Kingdom"/>
    <s v=""/>
    <s v=""/>
    <s v="TINYK12001863"/>
    <s v="Raise Return"/>
    <s v="Reverse PickUP Delivered"/>
    <s v=""/>
    <s v=""/>
    <d v="2025-10-24T15:06:22"/>
    <s v="No"/>
    <s v=""/>
    <s v="Bangalore"/>
    <s v="Karnataka"/>
    <n v="560087"/>
    <s v="India"/>
    <s v="Indian Rupee"/>
    <n v="62044220"/>
    <m/>
    <n v="3563"/>
    <s v="TINYK2627100249"/>
    <s v="NFSDS15"/>
    <s v=""/>
    <s v="No"/>
    <n v="18"/>
    <n v="0"/>
    <n v="0"/>
    <n v="18"/>
    <n v="543.50800000000004"/>
    <n v="0"/>
    <n v="0"/>
    <n v="543.50800000000004"/>
    <m/>
    <n v="0.75"/>
    <d v="2025-10-08T12:00:00"/>
    <n v="3563"/>
    <n v="543.50800000000004"/>
    <n v="4106.5079999999998"/>
  </r>
  <r>
    <s v="NYK-32586485-7978568-2-1"/>
    <s v="NYKF36024593"/>
    <s v="CUTAB00000812"/>
    <x v="83"/>
    <n v="1"/>
    <x v="1"/>
    <n v="1"/>
    <n v="1"/>
    <n v="3750"/>
    <n v="3563"/>
    <n v="0"/>
    <n v="3621.53"/>
    <n v="58.53"/>
    <s v="Prepaid"/>
    <d v="2025-10-21T00:49:39"/>
    <d v="2025-10-24T17:33:07"/>
    <d v="2025-10-28T14:02:30"/>
    <s v="28449527101093"/>
    <s v="DelhiverySurface"/>
    <d v="2025-10-24T12:00:44"/>
    <s v=""/>
    <s v="Tiny Kingdom"/>
    <s v=""/>
    <s v=""/>
    <s v=""/>
    <s v=""/>
    <s v=""/>
    <s v=""/>
    <s v=""/>
    <d v="2025-10-28T14:06:02"/>
    <s v="No"/>
    <s v=""/>
    <s v="Rajpura"/>
    <s v="Punjab"/>
    <n v="140401"/>
    <s v="India"/>
    <s v="Indian Rupee"/>
    <n v="62044220"/>
    <m/>
    <n v="3563"/>
    <s v="TINYK2627100395"/>
    <s v=""/>
    <s v=""/>
    <s v="No"/>
    <n v="18"/>
    <n v="0"/>
    <n v="0"/>
    <n v="18"/>
    <n v="543.50800000000004"/>
    <n v="0"/>
    <n v="0"/>
    <n v="543.50800000000004"/>
    <m/>
    <n v="0.75"/>
    <d v="2025-10-23T12:00:00"/>
    <n v="3563"/>
    <n v="543.50800000000004"/>
    <n v="4106.5079999999998"/>
  </r>
  <r>
    <s v="NYK-32313368-8164526-1-1"/>
    <s v="NYKF35730681"/>
    <s v="CUTAB00000812"/>
    <x v="83"/>
    <n v="1"/>
    <x v="1"/>
    <n v="1"/>
    <n v="1"/>
    <n v="3750"/>
    <n v="3563"/>
    <n v="0"/>
    <n v="3572.38"/>
    <n v="9.3800000000000008"/>
    <s v="Prepaid"/>
    <d v="2025-10-12T08:32:45"/>
    <d v="2025-10-13T18:18:26"/>
    <d v="2025-10-18T09:56:45"/>
    <s v="28449520692921"/>
    <s v="DelhiverySurface"/>
    <d v="2025-10-12T15:52:26"/>
    <s v=""/>
    <s v="Tiny Kingdom"/>
    <s v=""/>
    <s v=""/>
    <s v=""/>
    <s v=""/>
    <s v=""/>
    <s v=""/>
    <s v=""/>
    <d v="2025-10-18T10:01:20"/>
    <s v="No"/>
    <s v=""/>
    <s v="Asansol"/>
    <s v="West Bengal"/>
    <n v="713303"/>
    <s v="India"/>
    <s v="Indian Rupee"/>
    <n v="62044220"/>
    <m/>
    <n v="3563"/>
    <s v="TINYK2627100323"/>
    <s v="NFSD5OO"/>
    <s v=""/>
    <s v="No"/>
    <n v="18"/>
    <n v="0"/>
    <n v="0"/>
    <n v="18"/>
    <n v="543.50800000000004"/>
    <n v="0"/>
    <n v="0"/>
    <n v="543.50800000000004"/>
    <m/>
    <n v="1"/>
    <d v="2025-10-14T12:00:00"/>
    <n v="3563"/>
    <n v="543.50800000000004"/>
    <n v="4106.5079999999998"/>
  </r>
  <r>
    <s v="NYK-32308486-9900482-1-1"/>
    <s v="NYKF35725025"/>
    <s v="CUTAB00000812"/>
    <x v="83"/>
    <n v="2"/>
    <x v="4"/>
    <n v="1"/>
    <n v="0"/>
    <n v="3750"/>
    <n v="3563"/>
    <n v="0"/>
    <n v="3608.8"/>
    <n v="45.8"/>
    <s v="COD"/>
    <d v="2025-10-12T00:41:40"/>
    <m/>
    <m/>
    <s v=""/>
    <s v="DelhiverySurface"/>
    <m/>
    <s v="Forgot to apply coupon/offers"/>
    <s v="Tiny Kingdom"/>
    <s v=""/>
    <s v=""/>
    <s v=""/>
    <s v=""/>
    <s v=""/>
    <s v=""/>
    <s v=""/>
    <d v="2025-10-12T08:20:30"/>
    <s v="No"/>
    <s v=""/>
    <s v="Asansol"/>
    <s v="West Bengal"/>
    <n v="713303"/>
    <s v="India"/>
    <s v="Indian Rupee"/>
    <n v="62044220"/>
    <d v="2025-10-12T08:20:30"/>
    <n v="3563"/>
    <s v=""/>
    <s v="NFJOY15"/>
    <s v=""/>
    <s v="No"/>
    <n v="18"/>
    <n v="0"/>
    <n v="0"/>
    <n v="18"/>
    <n v="543.50800000000004"/>
    <n v="0"/>
    <n v="0"/>
    <n v="543.50800000000004"/>
    <m/>
    <m/>
    <d v="2025-10-14T12:00:00"/>
    <n v="3563"/>
    <n v="543.50800000000004"/>
    <n v="4106.5079999999998"/>
  </r>
  <r>
    <s v="NYK-32247696-2640768-1-1"/>
    <s v="NYKF35656381"/>
    <s v="CUTAB00000813"/>
    <x v="84"/>
    <n v="1"/>
    <x v="1"/>
    <n v="1"/>
    <n v="1"/>
    <n v="3750"/>
    <n v="3563"/>
    <n v="0"/>
    <n v="3592"/>
    <n v="29"/>
    <s v="Prepaid"/>
    <d v="2025-10-10T10:34:01"/>
    <d v="2025-10-11T17:54:59"/>
    <d v="2025-10-16T13:42:53"/>
    <s v="28449520508795"/>
    <s v="DelhiverySurface"/>
    <d v="2025-10-10T19:35:20"/>
    <s v=""/>
    <s v="Tiny Kingdom"/>
    <s v=""/>
    <s v=""/>
    <s v=""/>
    <s v=""/>
    <s v=""/>
    <s v=""/>
    <s v=""/>
    <d v="2025-10-16T13:46:14"/>
    <s v="No"/>
    <s v=""/>
    <s v="Kakinada"/>
    <s v="Andhra Pradesh"/>
    <n v="533003"/>
    <s v="India"/>
    <s v="Indian Rupee"/>
    <n v="62044220"/>
    <m/>
    <n v="3563"/>
    <s v="TINYK2627100300"/>
    <s v="NF1010"/>
    <s v=""/>
    <s v="No"/>
    <n v="18"/>
    <n v="0"/>
    <n v="0"/>
    <n v="18"/>
    <n v="543.50800000000004"/>
    <n v="0"/>
    <n v="0"/>
    <n v="543.50800000000004"/>
    <m/>
    <n v="0.75"/>
    <d v="2025-10-12T12:00:00"/>
    <n v="3563"/>
    <n v="543.50800000000004"/>
    <n v="4106.5079999999998"/>
  </r>
  <r>
    <s v="NYK-32093478-9951546-1-1"/>
    <s v="NYKF35483988"/>
    <s v="CUTAB00000813"/>
    <x v="84"/>
    <n v="2"/>
    <x v="1"/>
    <n v="1"/>
    <n v="1"/>
    <n v="3750"/>
    <n v="3563"/>
    <n v="0"/>
    <n v="3587.5"/>
    <n v="24.5"/>
    <s v="COD"/>
    <d v="2025-10-05T15:55:52"/>
    <d v="2025-10-06T17:14:44"/>
    <d v="2025-10-14T19:45:50"/>
    <s v="28449521665066"/>
    <s v="DelhiverySurface"/>
    <d v="2025-10-05T17:49:47"/>
    <s v=""/>
    <s v="Tiny Kingdom"/>
    <s v=""/>
    <s v=""/>
    <s v=""/>
    <s v=""/>
    <s v=""/>
    <s v=""/>
    <s v=""/>
    <d v="2025-10-14T19:46:14"/>
    <s v="No"/>
    <s v=""/>
    <s v="Guwahati"/>
    <s v="Assam"/>
    <n v="781005"/>
    <s v="India"/>
    <s v="Indian Rupee"/>
    <n v="62044220"/>
    <m/>
    <n v="3563"/>
    <s v="TINYK2627100245"/>
    <s v=""/>
    <s v=""/>
    <s v="No"/>
    <n v="18"/>
    <n v="0"/>
    <n v="0"/>
    <n v="18"/>
    <n v="543.50800000000004"/>
    <n v="0"/>
    <n v="0"/>
    <n v="543.50800000000004"/>
    <m/>
    <n v="1"/>
    <d v="2025-10-08T12:00:00"/>
    <n v="3563"/>
    <n v="543.50800000000004"/>
    <n v="4106.5079999999998"/>
  </r>
  <r>
    <s v="NYK-32803920-4508592-1-1"/>
    <s v="NYKF36253370"/>
    <s v="CUTAB00000828"/>
    <x v="85"/>
    <n v="1"/>
    <x v="3"/>
    <n v="1"/>
    <n v="1"/>
    <n v="4000"/>
    <n v="3600"/>
    <n v="0"/>
    <n v="3629"/>
    <n v="29"/>
    <s v="Prepaid"/>
    <d v="2025-10-29T16:11:49"/>
    <d v="2025-10-30T14:59:03"/>
    <m/>
    <s v="SF2188138696NYK"/>
    <s v="Shadowfax"/>
    <d v="2025-10-29T18:58:15"/>
    <s v=""/>
    <s v="Tiny Kingdom"/>
    <s v=""/>
    <s v=""/>
    <s v=""/>
    <s v=""/>
    <s v=""/>
    <s v=""/>
    <s v=""/>
    <d v="2025-10-31T06:21:04"/>
    <s v="No"/>
    <s v=""/>
    <s v="Bangalore"/>
    <s v="Karnataka"/>
    <n v="560078"/>
    <s v="India"/>
    <s v="Indian Rupee"/>
    <n v="62044220"/>
    <m/>
    <n v="3600"/>
    <s v="TINYK2627100439"/>
    <s v=""/>
    <s v=""/>
    <s v="No"/>
    <n v="18"/>
    <n v="0"/>
    <n v="0"/>
    <n v="18"/>
    <n v="549.15300000000002"/>
    <n v="0"/>
    <n v="0"/>
    <n v="549.15300000000002"/>
    <m/>
    <n v="0.75"/>
    <d v="2025-11-01T12:00:00"/>
    <n v="3600"/>
    <n v="549.15300000000002"/>
    <n v="4149.1530000000002"/>
  </r>
  <r>
    <s v="NYK-32201789-4160140-2-1"/>
    <s v="NYKF35604657"/>
    <s v="CUTAB00000828"/>
    <x v="85"/>
    <n v="1"/>
    <x v="1"/>
    <n v="1"/>
    <n v="1"/>
    <n v="4000"/>
    <n v="3600"/>
    <n v="0"/>
    <n v="3613.04"/>
    <n v="13.04"/>
    <s v="Prepaid"/>
    <d v="2025-10-08T20:06:00"/>
    <d v="2025-10-10T17:32:49"/>
    <d v="2025-10-12T14:48:29"/>
    <s v="237943173167863"/>
    <s v="Nykaa Fashion surface"/>
    <d v="2025-10-09T18:52:18"/>
    <s v=""/>
    <s v="Tiny Kingdom"/>
    <s v=""/>
    <s v=""/>
    <s v=""/>
    <s v=""/>
    <s v=""/>
    <s v=""/>
    <s v=""/>
    <d v="2025-10-12T14:51:18"/>
    <s v="No"/>
    <s v=""/>
    <s v="Mumbai"/>
    <s v="Maharashtra"/>
    <n v="400060"/>
    <s v="India"/>
    <s v="Indian Rupee"/>
    <n v="62044220"/>
    <m/>
    <n v="3600"/>
    <s v="TINYK2627100289"/>
    <s v="NFSD50O"/>
    <s v=""/>
    <s v="No"/>
    <n v="18"/>
    <n v="9"/>
    <n v="9"/>
    <n v="0"/>
    <n v="549.15300000000002"/>
    <n v="274.577"/>
    <n v="274.577"/>
    <n v="0"/>
    <m/>
    <n v="0.75"/>
    <d v="2025-10-11T12:00:00"/>
    <n v="3600"/>
    <n v="549.154"/>
    <n v="4149.1540000000005"/>
  </r>
  <r>
    <s v="NYK-32274440-7678852-1-1"/>
    <s v="NYKF35686672"/>
    <s v="CUTAB00000832"/>
    <x v="86"/>
    <n v="1"/>
    <x v="1"/>
    <n v="1"/>
    <n v="1"/>
    <n v="4000"/>
    <n v="3600"/>
    <n v="0"/>
    <n v="3629"/>
    <n v="29"/>
    <s v="Prepaid"/>
    <d v="2025-10-11T07:24:39"/>
    <d v="2025-10-11T17:55:23"/>
    <d v="2025-10-13T15:37:05"/>
    <s v="28449520589402"/>
    <s v="DelhiverySurface"/>
    <d v="2025-10-11T14:17:20"/>
    <s v=""/>
    <s v="Tiny Kingdom"/>
    <s v=""/>
    <s v=""/>
    <s v=""/>
    <s v=""/>
    <s v=""/>
    <s v=""/>
    <s v=""/>
    <d v="2025-10-13T15:41:39"/>
    <s v="No"/>
    <s v=""/>
    <s v="Bangalore"/>
    <s v="Karnataka"/>
    <n v="560103"/>
    <s v="India"/>
    <s v="Indian Rupee"/>
    <n v="62044220"/>
    <m/>
    <n v="3600"/>
    <s v="TINYK2627100302"/>
    <s v=""/>
    <s v=""/>
    <s v="No"/>
    <n v="18"/>
    <n v="0"/>
    <n v="0"/>
    <n v="18"/>
    <n v="549.15300000000002"/>
    <n v="0"/>
    <n v="0"/>
    <n v="549.15300000000002"/>
    <m/>
    <n v="0.75"/>
    <d v="2025-10-13T12:00:00"/>
    <n v="3600"/>
    <n v="549.15300000000002"/>
    <n v="4149.1530000000002"/>
  </r>
  <r>
    <s v="NYK-32289130-7004935-3-1"/>
    <s v="NYKF35702787"/>
    <s v="CUTAB00000834"/>
    <x v="87"/>
    <n v="4"/>
    <x v="5"/>
    <n v="1"/>
    <n v="1"/>
    <n v="4000"/>
    <n v="3600"/>
    <n v="0"/>
    <n v="3624.77"/>
    <n v="24.77"/>
    <s v="COD"/>
    <d v="2025-10-11T15:33:25"/>
    <d v="2025-10-13T18:18:14"/>
    <m/>
    <s v="28449522218431"/>
    <s v="DelhiverySurface"/>
    <d v="2025-10-11T19:21:32"/>
    <s v=""/>
    <s v="Tiny Kingdom"/>
    <s v=""/>
    <s v=""/>
    <s v="TINYK12054265"/>
    <s v="RTO"/>
    <s v="Reverse PickUP Delivered"/>
    <s v=""/>
    <s v=""/>
    <d v="2025-10-28T20:51:05"/>
    <s v="No"/>
    <s v=""/>
    <s v="Guwahati"/>
    <s v="Assam"/>
    <n v="781011"/>
    <s v="India"/>
    <s v="Indian Rupee"/>
    <n v="62044220"/>
    <m/>
    <n v="3600"/>
    <s v="TINYK2627100307"/>
    <s v=""/>
    <s v=""/>
    <s v="No"/>
    <n v="18"/>
    <n v="0"/>
    <n v="0"/>
    <n v="18"/>
    <n v="549.15300000000002"/>
    <n v="0"/>
    <n v="0"/>
    <n v="549.15300000000002"/>
    <m/>
    <n v="0.75"/>
    <d v="2025-10-14T12:00:00"/>
    <n v="3600"/>
    <n v="549.15300000000002"/>
    <n v="4149.1530000000002"/>
  </r>
  <r>
    <s v="NYK-32562765-5576489-1-1"/>
    <s v="NYKF36273260"/>
    <s v="CUTAB00000835"/>
    <x v="88"/>
    <n v="2"/>
    <x v="2"/>
    <n v="1"/>
    <n v="0"/>
    <n v="4000"/>
    <n v="3600"/>
    <n v="0"/>
    <n v="3600"/>
    <n v="0"/>
    <s v="Prepaid"/>
    <d v="2025-10-19T20:22:56"/>
    <m/>
    <m/>
    <s v="SF2188142027NYK"/>
    <s v="Shadowfax"/>
    <d v="2025-10-31T12:25:47"/>
    <s v=""/>
    <s v="Tiny Kingdom"/>
    <s v=""/>
    <s v=""/>
    <s v=""/>
    <s v=""/>
    <s v=""/>
    <s v=""/>
    <s v=""/>
    <d v="2025-10-31T12:25:47"/>
    <s v="No"/>
    <s v=""/>
    <s v="Satara"/>
    <s v="Maharashtra"/>
    <n v="415001"/>
    <s v="India"/>
    <s v="Indian Rupee"/>
    <n v="62044220"/>
    <m/>
    <n v="3600"/>
    <s v="TINYK2627100440"/>
    <s v=""/>
    <s v="replacement_order"/>
    <s v="No"/>
    <n v="18"/>
    <n v="9"/>
    <n v="9"/>
    <n v="0"/>
    <n v="549.15300000000002"/>
    <n v="274.577"/>
    <n v="274.577"/>
    <n v="0"/>
    <m/>
    <n v="0.75"/>
    <d v="2025-11-01T12:00:00"/>
    <n v="3600"/>
    <n v="549.154"/>
    <n v="4149.1540000000005"/>
  </r>
  <r>
    <s v="NYK-32383960-3307873-1-1"/>
    <s v="NYKF35810927"/>
    <s v="CUTAB00000835"/>
    <x v="88"/>
    <n v="1"/>
    <x v="0"/>
    <n v="1"/>
    <n v="1"/>
    <n v="4000"/>
    <n v="3600"/>
    <n v="0"/>
    <n v="3649"/>
    <n v="49"/>
    <s v="COD"/>
    <d v="2025-10-13T22:05:08"/>
    <d v="2025-10-15T18:13:32"/>
    <d v="2025-10-18T18:05:13"/>
    <s v="28449522522360"/>
    <s v="DelhiverySurface"/>
    <d v="2025-10-14T19:23:37"/>
    <s v=""/>
    <s v="Tiny Kingdom"/>
    <s v=""/>
    <s v=""/>
    <s v="TINYK12132795"/>
    <s v="Raise Return"/>
    <s v="Reverse PickUP Done"/>
    <s v=""/>
    <s v=""/>
    <d v="2025-10-26T06:41:29"/>
    <s v="No"/>
    <s v=""/>
    <s v="Bangalore"/>
    <s v="Karnataka"/>
    <n v="560002"/>
    <s v="India"/>
    <s v="Indian Rupee"/>
    <n v="62044220"/>
    <m/>
    <n v="3600"/>
    <s v="TINYK2627100357"/>
    <s v="NFSDS15"/>
    <s v=""/>
    <s v="No"/>
    <n v="18"/>
    <n v="0"/>
    <n v="0"/>
    <n v="18"/>
    <n v="549.15300000000002"/>
    <n v="0"/>
    <n v="0"/>
    <n v="549.15300000000002"/>
    <m/>
    <n v="0.75"/>
    <d v="2025-10-16T12:00:00"/>
    <n v="3600"/>
    <n v="549.15300000000002"/>
    <n v="4149.1530000000002"/>
  </r>
  <r>
    <s v="NYK-32100329-2337696-1-1"/>
    <s v="NYKF35491846"/>
    <s v="CUTAB00000835"/>
    <x v="88"/>
    <n v="3"/>
    <x v="0"/>
    <n v="1"/>
    <n v="1"/>
    <n v="4000"/>
    <n v="3600"/>
    <n v="0"/>
    <n v="3600"/>
    <n v="0"/>
    <s v="Prepaid"/>
    <d v="2025-10-05T19:22:18"/>
    <d v="2025-10-07T14:51:32"/>
    <d v="2025-10-14T14:46:57"/>
    <s v="SF2167305892NYK"/>
    <s v="Shadowfax"/>
    <d v="2025-10-06T19:31:11"/>
    <s v=""/>
    <s v="Tiny Kingdom"/>
    <s v=""/>
    <s v=""/>
    <s v="TINYK12100838"/>
    <s v="Raise Return"/>
    <s v="Reverse PickUP Done"/>
    <s v=""/>
    <s v=""/>
    <d v="2025-10-26T06:21:29"/>
    <s v="No"/>
    <s v=""/>
    <s v="Noida"/>
    <s v="Uttar Pradesh"/>
    <n v="201310"/>
    <s v="India"/>
    <s v="Indian Rupee"/>
    <n v="62044220"/>
    <m/>
    <n v="3600"/>
    <s v="TINYK2627100250"/>
    <s v=""/>
    <s v=""/>
    <s v="No"/>
    <n v="18"/>
    <n v="0"/>
    <n v="0"/>
    <n v="18"/>
    <n v="549.15300000000002"/>
    <n v="0"/>
    <n v="0"/>
    <n v="549.15300000000002"/>
    <m/>
    <n v="0.75"/>
    <d v="2025-10-08T12:00:00"/>
    <n v="3600"/>
    <n v="549.15300000000002"/>
    <n v="4149.1530000000002"/>
  </r>
  <r>
    <s v="NYK-31993957-0377773-1-1"/>
    <s v="NYKF35373403"/>
    <s v="CUTAB00000835"/>
    <x v="88"/>
    <n v="1"/>
    <x v="4"/>
    <n v="1"/>
    <n v="0"/>
    <n v="4000"/>
    <n v="3600"/>
    <n v="0"/>
    <n v="3620"/>
    <n v="20"/>
    <s v="COD"/>
    <d v="2025-10-02T13:02:58"/>
    <m/>
    <m/>
    <s v=""/>
    <s v="DelhiverySurface"/>
    <m/>
    <s v="Delivery date is too late"/>
    <s v="Tiny Kingdom"/>
    <s v=""/>
    <s v=""/>
    <s v=""/>
    <s v=""/>
    <s v=""/>
    <s v=""/>
    <s v=""/>
    <d v="2025-10-03T10:17:38"/>
    <s v="No"/>
    <s v=""/>
    <s v="Rourkela"/>
    <s v="orissa"/>
    <n v="769012"/>
    <s v="India"/>
    <s v="Indian Rupee"/>
    <n v="62044220"/>
    <d v="2025-10-03T10:17:38"/>
    <n v="3600"/>
    <s v=""/>
    <s v=""/>
    <s v=""/>
    <s v="No"/>
    <n v="18"/>
    <n v="0"/>
    <n v="0"/>
    <n v="18"/>
    <n v="549.15300000000002"/>
    <n v="0"/>
    <n v="0"/>
    <n v="549.15300000000002"/>
    <m/>
    <m/>
    <d v="2025-10-05T12:00:00"/>
    <n v="3600"/>
    <n v="549.15300000000002"/>
    <n v="4149.1530000000002"/>
  </r>
  <r>
    <s v="NYK-32407548-2665267-1-1"/>
    <s v="NYKF35837141"/>
    <s v="CUTAB00000836"/>
    <x v="89"/>
    <n v="2"/>
    <x v="0"/>
    <n v="1"/>
    <n v="1"/>
    <n v="4000"/>
    <n v="3600"/>
    <n v="0"/>
    <n v="3622.03"/>
    <n v="22.03"/>
    <s v="Prepaid"/>
    <d v="2025-10-14T14:34:25"/>
    <d v="2025-10-15T18:14:49"/>
    <d v="2025-10-18T13:58:46"/>
    <s v="237943173346481"/>
    <s v="Nykaa Fashion surface"/>
    <d v="2025-10-14T19:23:37"/>
    <s v=""/>
    <s v="Tiny Kingdom"/>
    <s v=""/>
    <s v=""/>
    <s v="TINYK12196889"/>
    <s v="Raise Return"/>
    <s v="Reverse PickUP Done"/>
    <s v=""/>
    <s v=""/>
    <d v="2025-10-31T12:56:26"/>
    <s v="No"/>
    <s v=""/>
    <s v="Satara"/>
    <s v="Maharashtra"/>
    <n v="415001"/>
    <s v="India"/>
    <s v="Indian Rupee"/>
    <n v="62044220"/>
    <m/>
    <n v="3600"/>
    <s v="TINYK2627100366"/>
    <s v=""/>
    <s v="Blacklisted Customer"/>
    <s v="No"/>
    <n v="18"/>
    <n v="9"/>
    <n v="9"/>
    <n v="0"/>
    <n v="549.15300000000002"/>
    <n v="274.577"/>
    <n v="274.577"/>
    <n v="0"/>
    <d v="2025-10-14T18:53:57"/>
    <n v="0.75"/>
    <d v="2025-10-17T12:00:00"/>
    <n v="3600"/>
    <n v="549.154"/>
    <n v="4149.1540000000005"/>
  </r>
  <r>
    <s v="NYK-32301251-8851100-1-1"/>
    <s v="NYKF35716801"/>
    <s v="CUTAB00000836"/>
    <x v="89"/>
    <n v="1"/>
    <x v="1"/>
    <n v="1"/>
    <n v="1"/>
    <n v="4000"/>
    <n v="3600"/>
    <n v="0"/>
    <n v="3629"/>
    <n v="29"/>
    <s v="Prepaid"/>
    <d v="2025-10-11T21:37:31"/>
    <d v="2025-10-13T18:18:24"/>
    <d v="2025-10-16T13:14:26"/>
    <s v="28449520693562"/>
    <s v="DelhiverySurface"/>
    <d v="2025-10-12T15:52:26"/>
    <s v=""/>
    <s v="Tiny Kingdom"/>
    <s v=""/>
    <s v=""/>
    <s v=""/>
    <s v=""/>
    <s v=""/>
    <s v=""/>
    <s v=""/>
    <d v="2025-10-16T13:21:14"/>
    <s v="No"/>
    <s v=""/>
    <s v="Jaipur"/>
    <s v="Rajasthan"/>
    <n v="302021"/>
    <s v="India"/>
    <s v="Indian Rupee"/>
    <n v="62044220"/>
    <m/>
    <n v="3600"/>
    <s v="TINYK2627100325"/>
    <s v="NFSDS15"/>
    <s v=""/>
    <s v="No"/>
    <n v="18"/>
    <n v="0"/>
    <n v="0"/>
    <n v="18"/>
    <n v="549.15300000000002"/>
    <n v="0"/>
    <n v="0"/>
    <n v="549.15300000000002"/>
    <m/>
    <n v="0.75"/>
    <d v="2025-10-14T12:00:00"/>
    <n v="3600"/>
    <n v="549.15300000000002"/>
    <n v="4149.1530000000002"/>
  </r>
  <r>
    <s v="NYK-32266476-4884047-1-1"/>
    <s v="NYKF35677545"/>
    <s v="CUTAB00000836"/>
    <x v="89"/>
    <n v="1"/>
    <x v="4"/>
    <n v="1"/>
    <n v="0"/>
    <n v="4000"/>
    <n v="3600"/>
    <n v="0"/>
    <n v="3629"/>
    <n v="29"/>
    <s v="Prepaid"/>
    <d v="2025-10-10T22:18:04"/>
    <m/>
    <m/>
    <s v=""/>
    <s v="Nykaa Fashion surface"/>
    <m/>
    <s v="Change payment method"/>
    <s v="Tiny Kingdom"/>
    <s v=""/>
    <s v=""/>
    <s v=""/>
    <s v=""/>
    <s v=""/>
    <s v=""/>
    <s v=""/>
    <d v="2025-10-10T22:27:19"/>
    <s v="No"/>
    <s v=""/>
    <s v="Satara"/>
    <s v="Maharashtra"/>
    <n v="415001"/>
    <s v="India"/>
    <s v="Indian Rupee"/>
    <n v="62044220"/>
    <d v="2025-10-10T22:27:19"/>
    <n v="3600"/>
    <s v=""/>
    <s v=""/>
    <s v="Blacklisted Customer"/>
    <s v="Yes"/>
    <n v="18"/>
    <n v="9"/>
    <n v="9"/>
    <n v="0"/>
    <n v="549.15300000000002"/>
    <n v="274.577"/>
    <n v="274.577"/>
    <n v="0"/>
    <m/>
    <m/>
    <d v="2025-10-13T12:00:00"/>
    <n v="3600"/>
    <n v="549.154"/>
    <n v="4149.1540000000005"/>
  </r>
  <r>
    <s v="NYK-32264915-1747727-1-1"/>
    <s v="NYKF35675894"/>
    <s v="CUTAB00000836"/>
    <x v="89"/>
    <n v="1"/>
    <x v="1"/>
    <n v="1"/>
    <n v="1"/>
    <n v="4000"/>
    <n v="3600"/>
    <n v="0"/>
    <n v="3629"/>
    <n v="29"/>
    <s v="Prepaid"/>
    <d v="2025-10-10T21:25:48"/>
    <d v="2025-10-11T17:57:55"/>
    <d v="2025-10-14T10:50:10"/>
    <s v="28449520593381"/>
    <s v="DelhiverySurface"/>
    <d v="2025-10-11T14:17:20"/>
    <s v=""/>
    <s v="Tiny Kingdom"/>
    <s v=""/>
    <s v=""/>
    <s v=""/>
    <s v=""/>
    <s v=""/>
    <s v=""/>
    <s v=""/>
    <d v="2025-10-14T10:50:56"/>
    <s v="No"/>
    <s v=""/>
    <s v="New Delhi"/>
    <s v="Delhi"/>
    <n v="110075"/>
    <s v="India"/>
    <s v="Indian Rupee"/>
    <n v="62044220"/>
    <m/>
    <n v="3600"/>
    <s v="TINYK2627100305"/>
    <s v="NF1010"/>
    <s v=""/>
    <s v="No"/>
    <n v="18"/>
    <n v="0"/>
    <n v="0"/>
    <n v="18"/>
    <n v="549.15300000000002"/>
    <n v="0"/>
    <n v="0"/>
    <n v="549.15300000000002"/>
    <m/>
    <n v="0.75"/>
    <d v="2025-10-13T12:00:00"/>
    <n v="3600"/>
    <n v="549.15300000000002"/>
    <n v="4149.1530000000002"/>
  </r>
  <r>
    <s v="NYK-32185097-8714148-1-1"/>
    <s v="NYKF35586421"/>
    <s v="CUTAB00000836"/>
    <x v="89"/>
    <n v="1"/>
    <x v="1"/>
    <n v="1"/>
    <n v="1"/>
    <n v="4000"/>
    <n v="3600"/>
    <n v="0"/>
    <n v="3629"/>
    <n v="29"/>
    <s v="Prepaid"/>
    <d v="2025-10-08T10:15:14"/>
    <d v="2025-10-09T17:37:43"/>
    <d v="2025-10-11T20:01:34"/>
    <s v="237943173135630"/>
    <s v="Nykaa Fashion surface"/>
    <d v="2025-10-08T17:25:10"/>
    <s v=""/>
    <s v="Tiny Kingdom"/>
    <s v=""/>
    <s v=""/>
    <s v=""/>
    <s v=""/>
    <s v=""/>
    <s v=""/>
    <s v=""/>
    <d v="2025-10-11T20:06:22"/>
    <s v="No"/>
    <s v=""/>
    <s v="Pune"/>
    <s v="Maharashtra"/>
    <n v="411045"/>
    <s v="India"/>
    <s v="Indian Rupee"/>
    <n v="62044220"/>
    <m/>
    <n v="3600"/>
    <s v="TINYK2627100278"/>
    <s v="NFBACK20"/>
    <s v=""/>
    <s v="No"/>
    <n v="18"/>
    <n v="9"/>
    <n v="9"/>
    <n v="0"/>
    <n v="549.15300000000002"/>
    <n v="274.577"/>
    <n v="274.577"/>
    <n v="0"/>
    <m/>
    <n v="0.75"/>
    <d v="2025-10-10T12:00:00"/>
    <n v="3600"/>
    <n v="549.154"/>
    <n v="4149.1540000000005"/>
  </r>
  <r>
    <s v="NYK-32364231-8149782-1-1"/>
    <s v="NYKF35788691"/>
    <s v="CUTAB00000837"/>
    <x v="90"/>
    <n v="1"/>
    <x v="0"/>
    <n v="1"/>
    <n v="1"/>
    <n v="4000"/>
    <n v="3600"/>
    <n v="0"/>
    <n v="3629"/>
    <n v="29"/>
    <s v="Prepaid"/>
    <d v="2025-10-13T12:19:10"/>
    <d v="2025-10-14T17:45:41"/>
    <d v="2025-10-16T15:24:39"/>
    <s v="28449520862822"/>
    <s v="DelhiverySurface"/>
    <d v="2025-10-13T19:32:50"/>
    <s v=""/>
    <s v="Tiny Kingdom"/>
    <s v=""/>
    <s v=""/>
    <s v="TINYK12062739"/>
    <s v="Raise Return"/>
    <s v="Reverse PickUP Delivered"/>
    <s v=""/>
    <s v=""/>
    <d v="2025-10-29T12:46:27"/>
    <s v="No"/>
    <s v=""/>
    <s v="Gurgaon"/>
    <s v="Haryana"/>
    <n v="122018"/>
    <s v="India"/>
    <s v="Indian Rupee"/>
    <n v="62044220"/>
    <m/>
    <n v="3600"/>
    <s v="TINYK2627100344"/>
    <s v="NFSDS15"/>
    <s v=""/>
    <s v="No"/>
    <n v="18"/>
    <n v="0"/>
    <n v="0"/>
    <n v="18"/>
    <n v="549.15300000000002"/>
    <n v="0"/>
    <n v="0"/>
    <n v="549.15300000000002"/>
    <m/>
    <n v="0.75"/>
    <d v="2025-10-16T12:00:00"/>
    <n v="3600"/>
    <n v="549.15300000000002"/>
    <n v="4149.1530000000002"/>
  </r>
  <r>
    <s v="NYK-32097877-7850955-1-1"/>
    <s v="NYKF35489021"/>
    <s v="CUTAB00000840"/>
    <x v="91"/>
    <n v="3"/>
    <x v="1"/>
    <n v="1"/>
    <n v="1"/>
    <n v="4000"/>
    <n v="3600"/>
    <n v="0"/>
    <n v="3608.92"/>
    <n v="8.92"/>
    <s v="Prepaid"/>
    <d v="2025-10-05T18:07:31"/>
    <d v="2025-10-07T17:25:28"/>
    <d v="2025-10-09T17:13:29"/>
    <s v="237943173064882"/>
    <s v="Nykaa Fashion surface"/>
    <d v="2025-10-06T19:31:11"/>
    <s v=""/>
    <s v="Tiny Kingdom"/>
    <s v=""/>
    <s v=""/>
    <s v=""/>
    <s v=""/>
    <s v=""/>
    <s v=""/>
    <s v=""/>
    <d v="2025-10-09T17:16:08"/>
    <s v="No"/>
    <s v=""/>
    <s v="Mumbai"/>
    <s v="Maharashtra"/>
    <n v="401107"/>
    <s v="India"/>
    <s v="Indian Rupee"/>
    <n v="62044220"/>
    <m/>
    <n v="3600"/>
    <s v="TINYK2627100252"/>
    <s v="NFSDS15"/>
    <s v=""/>
    <s v="No"/>
    <n v="18"/>
    <n v="9"/>
    <n v="9"/>
    <n v="0"/>
    <n v="549.15300000000002"/>
    <n v="274.577"/>
    <n v="274.577"/>
    <n v="0"/>
    <m/>
    <n v="0.75"/>
    <d v="2025-10-08T12:00:00"/>
    <n v="3600"/>
    <n v="549.154"/>
    <n v="4149.1540000000005"/>
  </r>
  <r>
    <s v="NYK-32413768-4547603-1-1"/>
    <s v="NYKF35844000"/>
    <s v="CUTAB00000844"/>
    <x v="92"/>
    <n v="1"/>
    <x v="1"/>
    <n v="1"/>
    <n v="1"/>
    <n v="4000"/>
    <n v="3600"/>
    <n v="0"/>
    <n v="3610.3229999999999"/>
    <n v="10.323"/>
    <s v="COD"/>
    <d v="2025-10-14T17:52:28"/>
    <d v="2025-10-15T18:13:54"/>
    <d v="2025-10-18T15:50:12"/>
    <s v="28449522526560"/>
    <s v="DelhiverySurface"/>
    <d v="2025-10-14T19:23:37"/>
    <s v=""/>
    <s v="Tiny Kingdom"/>
    <s v=""/>
    <s v=""/>
    <s v=""/>
    <s v=""/>
    <s v=""/>
    <s v=""/>
    <s v=""/>
    <d v="2025-10-18T15:51:19"/>
    <s v="No"/>
    <s v=""/>
    <s v="Noida"/>
    <s v="Uttar Pradesh"/>
    <n v="201301"/>
    <s v="India"/>
    <s v="Indian Rupee"/>
    <n v="62044220"/>
    <m/>
    <n v="3600"/>
    <s v="TINYK2627100360"/>
    <s v="NFSD500"/>
    <s v=""/>
    <s v="No"/>
    <n v="18"/>
    <n v="0"/>
    <n v="0"/>
    <n v="18"/>
    <n v="549.15300000000002"/>
    <n v="0"/>
    <n v="0"/>
    <n v="549.15300000000002"/>
    <m/>
    <n v="1"/>
    <d v="2025-10-17T12:00:00"/>
    <n v="3600"/>
    <n v="549.15300000000002"/>
    <n v="4149.1530000000002"/>
  </r>
  <r>
    <s v="NYK-32262475-6219677-1-1"/>
    <s v="NYKF35673027"/>
    <s v="CUTAB00000854"/>
    <x v="93"/>
    <n v="1"/>
    <x v="0"/>
    <n v="1"/>
    <n v="1"/>
    <n v="3500"/>
    <n v="3150"/>
    <n v="0"/>
    <n v="3249"/>
    <n v="99"/>
    <s v="Prepaid"/>
    <d v="2025-10-10T19:53:40"/>
    <d v="2025-10-11T17:56:01"/>
    <d v="2025-10-14T13:15:07"/>
    <s v="237943173230082"/>
    <s v="Nykaa Fashion surface"/>
    <d v="2025-10-11T14:17:20"/>
    <s v=""/>
    <s v="Tiny Kingdom"/>
    <s v=""/>
    <s v=""/>
    <s v="TINYK12119176"/>
    <s v="Raise Return"/>
    <s v="Reverse PickUP Delivered"/>
    <s v=""/>
    <s v=""/>
    <d v="2025-10-28T15:01:06"/>
    <s v="No"/>
    <s v=""/>
    <s v="Mumbai"/>
    <s v="Maharashtra"/>
    <n v="400104"/>
    <s v="India"/>
    <s v="Indian Rupee"/>
    <n v="62044220"/>
    <m/>
    <n v="3150"/>
    <s v="TINYK2627100303"/>
    <s v="NF1010"/>
    <s v=""/>
    <s v="No"/>
    <n v="18"/>
    <n v="9"/>
    <n v="9"/>
    <n v="0"/>
    <n v="480.50799999999998"/>
    <n v="240.25399999999999"/>
    <n v="240.25399999999999"/>
    <n v="0"/>
    <m/>
    <n v="0.75"/>
    <d v="2025-10-13T12:00:00"/>
    <n v="3150"/>
    <n v="480.50799999999998"/>
    <n v="3630.5079999999998"/>
  </r>
  <r>
    <s v="NYK-32220090-1314062-1-1"/>
    <s v="NYKF35624874"/>
    <s v="CUTAB00000854"/>
    <x v="93"/>
    <n v="1"/>
    <x v="0"/>
    <n v="1"/>
    <n v="1"/>
    <n v="3500"/>
    <n v="3150"/>
    <n v="0"/>
    <n v="3199"/>
    <n v="49"/>
    <s v="COD"/>
    <d v="2025-10-09T11:58:34"/>
    <d v="2025-10-10T17:32:20"/>
    <d v="2025-10-16T13:06:11"/>
    <s v="237943175000360"/>
    <s v="Nykaa Fashion surface"/>
    <d v="2025-10-09T18:52:18"/>
    <s v=""/>
    <s v="Tiny Kingdom"/>
    <s v=""/>
    <s v=""/>
    <s v="TINYK12044179"/>
    <s v="Raise Return"/>
    <s v="Reverse PickUP Delivered"/>
    <s v=""/>
    <s v=""/>
    <d v="2025-10-29T14:56:36"/>
    <s v="No"/>
    <s v=""/>
    <s v="Gwalior"/>
    <s v="Madhya Pradesh"/>
    <n v="474001"/>
    <s v="India"/>
    <s v="Indian Rupee"/>
    <n v="62044220"/>
    <m/>
    <n v="3150"/>
    <s v="TINYK2627100290"/>
    <s v="NFDIWALI10"/>
    <s v=""/>
    <s v="No"/>
    <n v="18"/>
    <n v="0"/>
    <n v="0"/>
    <n v="18"/>
    <n v="480.50799999999998"/>
    <n v="0"/>
    <n v="0"/>
    <n v="480.50799999999998"/>
    <m/>
    <n v="0.75"/>
    <d v="2025-10-11T12:00:00"/>
    <n v="3150"/>
    <n v="480.50799999999998"/>
    <n v="3630.5079999999998"/>
  </r>
  <r>
    <s v="NYK-32203238-7053158-1-1"/>
    <s v="NYKF35606279"/>
    <s v="CUTAB00000854"/>
    <x v="93"/>
    <n v="1"/>
    <x v="0"/>
    <n v="1"/>
    <n v="1"/>
    <n v="3500"/>
    <n v="3150"/>
    <n v="0"/>
    <n v="3165.54"/>
    <n v="15.54"/>
    <s v="Prepaid"/>
    <d v="2025-10-08T20:54:13"/>
    <d v="2025-10-10T17:32:09"/>
    <d v="2025-10-18T17:31:06"/>
    <s v="28449520406046"/>
    <s v="DelhiverySurface"/>
    <d v="2025-10-09T18:52:18"/>
    <s v=""/>
    <s v="Tiny Kingdom"/>
    <s v=""/>
    <s v=""/>
    <s v="TINYK12074744"/>
    <s v="Raise Return"/>
    <s v="Reverse PickUP Done"/>
    <s v=""/>
    <s v=""/>
    <d v="2025-10-31T11:51:42"/>
    <s v="No"/>
    <s v=""/>
    <s v="Hathras"/>
    <s v="Uttar Pradesh"/>
    <n v="281306"/>
    <s v="India"/>
    <s v="Indian Rupee"/>
    <n v="62044220"/>
    <m/>
    <n v="3150"/>
    <s v="TINYK2627100291"/>
    <s v="NFSD50O"/>
    <s v=""/>
    <s v="No"/>
    <n v="18"/>
    <n v="0"/>
    <n v="0"/>
    <n v="18"/>
    <n v="480.50799999999998"/>
    <n v="0"/>
    <n v="0"/>
    <n v="480.50799999999998"/>
    <m/>
    <n v="0.75"/>
    <d v="2025-10-11T12:00:00"/>
    <n v="3150"/>
    <n v="480.50799999999998"/>
    <n v="3630.5079999999998"/>
  </r>
  <r>
    <s v="NYK-32128409-4675756-1-1"/>
    <s v="NYKF35523625"/>
    <s v="CUTAB00000854"/>
    <x v="93"/>
    <n v="1"/>
    <x v="1"/>
    <n v="1"/>
    <n v="1"/>
    <n v="3500"/>
    <n v="3150"/>
    <n v="0"/>
    <n v="3179"/>
    <n v="29"/>
    <s v="Prepaid"/>
    <d v="2025-10-06T15:27:56"/>
    <d v="2025-10-11T17:57:32"/>
    <d v="2025-10-15T15:05:03"/>
    <s v="28449520088353"/>
    <s v="DelhiverySurface"/>
    <d v="2025-10-06T19:31:11"/>
    <s v=""/>
    <s v="Tiny Kingdom"/>
    <s v=""/>
    <s v=""/>
    <s v=""/>
    <s v=""/>
    <s v=""/>
    <s v=""/>
    <s v=""/>
    <d v="2025-10-15T15:06:18"/>
    <s v="No"/>
    <s v=""/>
    <s v="Jamshedpur"/>
    <s v="Jharkhand"/>
    <n v="831005"/>
    <s v="India"/>
    <s v="Indian Rupee"/>
    <n v="62044220"/>
    <m/>
    <n v="3150"/>
    <s v="TINYK2627100255"/>
    <s v=""/>
    <s v=""/>
    <s v="No"/>
    <n v="18"/>
    <n v="0"/>
    <n v="0"/>
    <n v="18"/>
    <n v="480.50799999999998"/>
    <n v="0"/>
    <n v="0"/>
    <n v="480.50799999999998"/>
    <m/>
    <n v="0.75"/>
    <d v="2025-10-09T12:00:00"/>
    <n v="3150"/>
    <n v="480.50799999999998"/>
    <n v="3630.5079999999998"/>
  </r>
  <r>
    <s v="NYK-32053030-0849122-1-1"/>
    <s v="NYKF35438895"/>
    <s v="CUTAB00000855"/>
    <x v="94"/>
    <n v="1"/>
    <x v="1"/>
    <n v="1"/>
    <n v="1"/>
    <n v="3500"/>
    <n v="3150"/>
    <n v="0"/>
    <n v="3199"/>
    <n v="49"/>
    <s v="COD"/>
    <d v="2025-10-04T12:24:09"/>
    <d v="2025-10-06T15:23:28"/>
    <d v="2025-10-12T19:16:20"/>
    <s v="SF2167350780NYK"/>
    <s v="Shadowfax"/>
    <d v="2025-10-04T20:08:17"/>
    <s v=""/>
    <s v="Tiny Kingdom"/>
    <s v=""/>
    <s v=""/>
    <s v=""/>
    <s v=""/>
    <s v=""/>
    <s v=""/>
    <s v=""/>
    <d v="2025-10-12T19:21:14"/>
    <s v="No"/>
    <s v=""/>
    <s v="Patna"/>
    <s v="Bihar"/>
    <n v="800003"/>
    <s v="India"/>
    <s v="Indian Rupee"/>
    <n v="62044220"/>
    <m/>
    <n v="3150"/>
    <s v="TINYK2627100229"/>
    <s v="NFSAVE"/>
    <s v=""/>
    <s v="No"/>
    <n v="18"/>
    <n v="0"/>
    <n v="0"/>
    <n v="18"/>
    <n v="480.50799999999998"/>
    <n v="0"/>
    <n v="0"/>
    <n v="480.50799999999998"/>
    <m/>
    <n v="0.75"/>
    <d v="2025-10-07T12:00:00"/>
    <n v="3150"/>
    <n v="480.50799999999998"/>
    <n v="3630.5079999999998"/>
  </r>
  <r>
    <s v="NYK-32026145-0043220-3-1"/>
    <s v="NYKF35409123"/>
    <s v="CUTAB00000855"/>
    <x v="94"/>
    <n v="4"/>
    <x v="6"/>
    <n v="1"/>
    <n v="1"/>
    <n v="3500"/>
    <n v="3150"/>
    <n v="0"/>
    <n v="3156.7530000000002"/>
    <n v="6.7530000000000001"/>
    <s v="Prepaid"/>
    <d v="2025-10-03T13:57:23"/>
    <d v="2025-10-04T14:52:56"/>
    <m/>
    <s v="SF1835856014NYK"/>
    <s v="Shadowfax"/>
    <d v="2025-10-03T19:34:48"/>
    <s v=""/>
    <s v="Tiny Kingdom"/>
    <s v=""/>
    <s v=""/>
    <s v=""/>
    <s v=""/>
    <s v=""/>
    <s v=""/>
    <s v=""/>
    <d v="2025-10-18T01:06:16"/>
    <s v="No"/>
    <s v=""/>
    <s v="Nagpur"/>
    <s v="Maharashtra"/>
    <n v="440017"/>
    <s v="India"/>
    <s v="Indian Rupee"/>
    <n v="62044220"/>
    <m/>
    <n v="3150"/>
    <s v="TINYK2627100214"/>
    <s v="NFDIWALI10"/>
    <s v=""/>
    <s v="No"/>
    <n v="18"/>
    <n v="9"/>
    <n v="9"/>
    <n v="0"/>
    <n v="480.50799999999998"/>
    <n v="240.25399999999999"/>
    <n v="240.25399999999999"/>
    <n v="0"/>
    <m/>
    <n v="1.1000000000000001"/>
    <d v="2025-10-06T12:00:00"/>
    <n v="3150"/>
    <n v="480.50799999999998"/>
    <n v="3630.5079999999998"/>
  </r>
  <r>
    <s v="NYK-32117512-0789296-1-1"/>
    <s v="NYKF35511877"/>
    <s v="CUTAB00000856"/>
    <x v="95"/>
    <n v="1"/>
    <x v="1"/>
    <n v="1"/>
    <n v="1"/>
    <n v="3500"/>
    <n v="3150"/>
    <n v="0"/>
    <n v="3170"/>
    <n v="20"/>
    <s v="COD"/>
    <d v="2025-10-06T08:49:49"/>
    <d v="2025-10-07T17:25:33"/>
    <d v="2025-10-13T13:12:46"/>
    <s v="28449521772111"/>
    <s v="DelhiverySurface"/>
    <d v="2025-10-06T19:31:11"/>
    <s v=""/>
    <s v="Tiny Kingdom"/>
    <s v=""/>
    <s v=""/>
    <s v=""/>
    <s v=""/>
    <s v=""/>
    <s v=""/>
    <s v=""/>
    <d v="2025-10-13T13:16:14"/>
    <s v="No"/>
    <s v=""/>
    <s v="Bokaro"/>
    <s v="Jharkhand"/>
    <n v="827013"/>
    <s v="India"/>
    <s v="Indian Rupee"/>
    <n v="62044220"/>
    <m/>
    <n v="3150"/>
    <s v="TINYK2627100254"/>
    <s v="NFDIWALI20"/>
    <s v=""/>
    <s v="No"/>
    <n v="18"/>
    <n v="0"/>
    <n v="0"/>
    <n v="18"/>
    <n v="480.50799999999998"/>
    <n v="0"/>
    <n v="0"/>
    <n v="480.50799999999998"/>
    <m/>
    <n v="0.75"/>
    <d v="2025-10-08T12:00:00"/>
    <n v="3150"/>
    <n v="480.50799999999998"/>
    <n v="3630.5079999999998"/>
  </r>
  <r>
    <s v="NYK-32071361-7607520-1-1"/>
    <s v="NYKF35459465"/>
    <s v="CUTAB00000856"/>
    <x v="95"/>
    <n v="1"/>
    <x v="1"/>
    <n v="1"/>
    <n v="1"/>
    <n v="3500"/>
    <n v="3150"/>
    <n v="0"/>
    <n v="3199"/>
    <n v="49"/>
    <s v="COD"/>
    <d v="2025-10-04T22:36:48"/>
    <d v="2025-10-06T17:13:53"/>
    <d v="2025-10-09T14:30:13"/>
    <s v="28449521664311"/>
    <s v="DelhiverySurface"/>
    <d v="2025-10-05T17:49:47"/>
    <s v=""/>
    <s v="Tiny Kingdom"/>
    <s v=""/>
    <s v=""/>
    <s v=""/>
    <s v=""/>
    <s v=""/>
    <s v=""/>
    <s v=""/>
    <d v="2025-10-09T14:31:20"/>
    <s v="No"/>
    <s v=""/>
    <s v="Ranchi"/>
    <s v="Jharkhand"/>
    <n v="834009"/>
    <s v="India"/>
    <s v="Indian Rupee"/>
    <n v="62044220"/>
    <m/>
    <n v="3150"/>
    <s v="TINYK2627100247"/>
    <s v="NFSAVE"/>
    <s v=""/>
    <s v="No"/>
    <n v="18"/>
    <n v="0"/>
    <n v="0"/>
    <n v="18"/>
    <n v="480.50799999999998"/>
    <n v="0"/>
    <n v="0"/>
    <n v="480.50799999999998"/>
    <m/>
    <n v="0.75"/>
    <d v="2025-10-07T12:00:00"/>
    <n v="3150"/>
    <n v="480.50799999999998"/>
    <n v="3630.5079999999998"/>
  </r>
  <r>
    <s v="NYK-32541732-5862604-1-1"/>
    <s v="NYKF35978933"/>
    <s v="CUTAB00000857"/>
    <x v="96"/>
    <n v="1"/>
    <x v="3"/>
    <n v="1"/>
    <n v="1"/>
    <n v="3500"/>
    <n v="3150"/>
    <n v="0"/>
    <n v="3199"/>
    <n v="49"/>
    <s v="COD"/>
    <d v="2025-10-18T22:14:23"/>
    <d v="2025-10-24T17:32:23"/>
    <m/>
    <s v="28449525300612"/>
    <s v="DelhiverySurface"/>
    <d v="2025-10-19T13:19:59"/>
    <s v=""/>
    <s v="Tiny Kingdom"/>
    <s v=""/>
    <s v=""/>
    <s v="TINYK12207740"/>
    <s v="RTO"/>
    <s v="Confirmed"/>
    <s v=""/>
    <s v=""/>
    <d v="2025-10-31T08:46:04"/>
    <s v="No"/>
    <s v=""/>
    <s v="Dhampur"/>
    <s v="Uttar Pradesh"/>
    <n v="246761"/>
    <s v="India"/>
    <s v="Indian Rupee"/>
    <n v="62044220"/>
    <m/>
    <n v="3150"/>
    <s v="TINYK2627100388"/>
    <s v=""/>
    <s v=""/>
    <s v="No"/>
    <n v="18"/>
    <n v="0"/>
    <n v="0"/>
    <n v="18"/>
    <n v="480.50799999999998"/>
    <n v="0"/>
    <n v="0"/>
    <n v="480.50799999999998"/>
    <m/>
    <n v="0.75"/>
    <d v="2025-10-21T12:00:00"/>
    <n v="3150"/>
    <n v="480.50799999999998"/>
    <n v="3630.5079999999998"/>
  </r>
  <r>
    <s v="NYK-32200886-2181503-2-1"/>
    <s v="NYKF35603566"/>
    <s v="CUTAB00000857"/>
    <x v="96"/>
    <n v="1"/>
    <x v="1"/>
    <n v="1"/>
    <n v="1"/>
    <n v="3500"/>
    <n v="3150"/>
    <n v="0"/>
    <n v="3166.3"/>
    <n v="16.3"/>
    <s v="COD"/>
    <d v="2025-10-08T19:33:01"/>
    <d v="2025-10-15T18:14:57"/>
    <d v="2025-10-23T16:07:56"/>
    <s v="28449522046570"/>
    <s v="DelhiverySurface"/>
    <d v="2025-10-09T18:52:05"/>
    <s v=""/>
    <s v="Tiny Kingdom"/>
    <s v=""/>
    <s v=""/>
    <s v=""/>
    <s v=""/>
    <s v=""/>
    <s v=""/>
    <s v=""/>
    <d v="2025-10-23T16:11:18"/>
    <s v="No"/>
    <s v=""/>
    <s v="Patna"/>
    <s v="Bihar"/>
    <n v="801503"/>
    <s v="India"/>
    <s v="Indian Rupee"/>
    <n v="62044220"/>
    <m/>
    <n v="3150"/>
    <s v="TINYK2627100285"/>
    <s v=""/>
    <s v=""/>
    <s v="No"/>
    <n v="18"/>
    <n v="0"/>
    <n v="0"/>
    <n v="18"/>
    <n v="480.50799999999998"/>
    <n v="0"/>
    <n v="0"/>
    <n v="480.50799999999998"/>
    <m/>
    <n v="0.75"/>
    <d v="2025-10-11T12:00:00"/>
    <n v="3150"/>
    <n v="480.50799999999998"/>
    <n v="3630.5079999999998"/>
  </r>
  <r>
    <s v="NYK-32058987-2730324-1-1"/>
    <s v="NYKF35445263"/>
    <s v="CUTAB00000858"/>
    <x v="97"/>
    <n v="1"/>
    <x v="1"/>
    <n v="1"/>
    <n v="1"/>
    <n v="3500"/>
    <n v="3150"/>
    <n v="0"/>
    <n v="3199"/>
    <n v="49"/>
    <s v="COD"/>
    <d v="2025-10-04T15:42:10"/>
    <d v="2025-10-06T15:23:28"/>
    <d v="2025-10-11T16:22:08"/>
    <s v="SF2167350459NYK"/>
    <s v="Shadowfax"/>
    <d v="2025-10-04T20:08:17"/>
    <s v=""/>
    <s v="Tiny Kingdom"/>
    <s v=""/>
    <s v=""/>
    <s v=""/>
    <s v=""/>
    <s v=""/>
    <s v=""/>
    <s v=""/>
    <d v="2025-10-11T16:25:58"/>
    <s v="No"/>
    <s v=""/>
    <s v="Rajura"/>
    <s v="Maharashtra"/>
    <n v="442905"/>
    <s v="India"/>
    <s v="Indian Rupee"/>
    <n v="62044220"/>
    <m/>
    <n v="3150"/>
    <s v="TINYK2627100235"/>
    <s v=""/>
    <s v=""/>
    <s v="No"/>
    <n v="18"/>
    <n v="9"/>
    <n v="9"/>
    <n v="0"/>
    <n v="480.50799999999998"/>
    <n v="240.25399999999999"/>
    <n v="240.25399999999999"/>
    <n v="0"/>
    <m/>
    <n v="0.75"/>
    <d v="2025-10-07T12:00:00"/>
    <n v="3150"/>
    <n v="480.50799999999998"/>
    <n v="3630.5079999999998"/>
  </r>
  <r>
    <s v="NYK-32033906-9239748-8-1"/>
    <s v="NYKF35417701"/>
    <s v="CUTAB00000858"/>
    <x v="97"/>
    <n v="20"/>
    <x v="6"/>
    <n v="1"/>
    <n v="1"/>
    <n v="3500"/>
    <n v="3150"/>
    <n v="0"/>
    <n v="3150"/>
    <n v="0"/>
    <s v="Prepaid"/>
    <d v="2025-10-03T19:17:20"/>
    <d v="2025-10-04T14:52:56"/>
    <m/>
    <s v="SF1835855950NYK"/>
    <s v="Shadowfax"/>
    <d v="2025-10-03T19:41:37"/>
    <s v=""/>
    <s v="Tiny Kingdom"/>
    <s v=""/>
    <s v=""/>
    <s v=""/>
    <s v=""/>
    <s v=""/>
    <s v=""/>
    <s v=""/>
    <d v="2025-10-18T01:06:16"/>
    <s v="No"/>
    <s v=""/>
    <s v="Indore"/>
    <s v="Madhya Pradesh"/>
    <n v="452010"/>
    <s v="India"/>
    <s v="Indian Rupee"/>
    <n v="62044220"/>
    <m/>
    <n v="3150"/>
    <s v="TINYK2627100227"/>
    <s v=""/>
    <s v=""/>
    <s v="No"/>
    <n v="18"/>
    <n v="0"/>
    <n v="0"/>
    <n v="18"/>
    <n v="480.50799999999998"/>
    <n v="0"/>
    <n v="0"/>
    <n v="480.50799999999998"/>
    <m/>
    <n v="0.75"/>
    <d v="2025-10-06T12:00:00"/>
    <n v="3150"/>
    <n v="480.50799999999998"/>
    <n v="3630.5079999999998"/>
  </r>
  <r>
    <s v="NYK-32013425-0494829-1-1"/>
    <s v="NYKF35394965"/>
    <s v="CUTAB00000858"/>
    <x v="97"/>
    <n v="1"/>
    <x v="0"/>
    <n v="1"/>
    <n v="1"/>
    <n v="3500"/>
    <n v="3150"/>
    <n v="0"/>
    <n v="3199"/>
    <n v="49"/>
    <s v="COD"/>
    <d v="2025-10-03T00:11:35"/>
    <d v="2025-10-04T17:17:59"/>
    <d v="2025-10-08T18:48:33"/>
    <s v="28449519516070"/>
    <s v="DelhiverySurface"/>
    <d v="2025-10-03T19:34:48"/>
    <s v=""/>
    <s v="Tiny Kingdom"/>
    <s v=""/>
    <s v=""/>
    <s v="TINYK11988483"/>
    <s v="Raise Return"/>
    <s v="Reverse PickUP Delivered"/>
    <s v=""/>
    <s v=""/>
    <d v="2025-10-29T12:56:24"/>
    <s v="No"/>
    <s v=""/>
    <s v="Srinagar"/>
    <s v="jammu and kashmir"/>
    <n v="190011"/>
    <s v="India"/>
    <s v="Indian Rupee"/>
    <n v="62044220"/>
    <m/>
    <n v="3150"/>
    <s v="TINYK2627100220"/>
    <s v="NFESTIVE10"/>
    <s v="City level RTO reduction"/>
    <s v="No"/>
    <n v="18"/>
    <n v="0"/>
    <n v="0"/>
    <n v="18"/>
    <n v="480.50799999999998"/>
    <n v="0"/>
    <n v="0"/>
    <n v="480.50799999999998"/>
    <d v="2025-10-03T14:27:06"/>
    <n v="0.75"/>
    <d v="2025-10-06T12:00:00"/>
    <n v="3150"/>
    <n v="480.50799999999998"/>
    <n v="3630.5079999999998"/>
  </r>
  <r>
    <s v="NYK-32049810-3825208-1-1"/>
    <s v="NYKF35435342"/>
    <s v="CUTAB00000860"/>
    <x v="98"/>
    <n v="1"/>
    <x v="0"/>
    <n v="1"/>
    <n v="1"/>
    <n v="3500"/>
    <n v="3150"/>
    <n v="0"/>
    <n v="3199"/>
    <n v="49"/>
    <s v="COD"/>
    <d v="2025-10-04T10:27:05"/>
    <d v="2025-10-06T17:08:52"/>
    <d v="2025-10-14T17:58:21"/>
    <s v="28449521599384"/>
    <s v="DelhiverySurface"/>
    <d v="2025-10-04T20:08:17"/>
    <s v=""/>
    <s v="Tiny Kingdom"/>
    <s v=""/>
    <s v=""/>
    <s v="TINYK12034208"/>
    <s v="Raise Return"/>
    <s v="Reverse PickUP Delivered"/>
    <s v=""/>
    <s v=""/>
    <d v="2025-10-28T19:46:07"/>
    <s v="No"/>
    <s v=""/>
    <s v="Dibrugarh"/>
    <s v="Assam"/>
    <n v="786003"/>
    <s v="India"/>
    <s v="Indian Rupee"/>
    <n v="62044220"/>
    <m/>
    <n v="3150"/>
    <s v="TINYK2627100234"/>
    <s v=""/>
    <s v=""/>
    <s v="No"/>
    <n v="18"/>
    <n v="0"/>
    <n v="0"/>
    <n v="18"/>
    <n v="480.50799999999998"/>
    <n v="0"/>
    <n v="0"/>
    <n v="480.50799999999998"/>
    <m/>
    <n v="0.75"/>
    <d v="2025-10-06T12:00:00"/>
    <n v="3150"/>
    <n v="480.50799999999998"/>
    <n v="3630.5079999999998"/>
  </r>
  <r>
    <s v="NYK-32030741-9835552-1-1"/>
    <s v="NYKF35414101"/>
    <s v="CUTAB00000860"/>
    <x v="98"/>
    <n v="1"/>
    <x v="1"/>
    <n v="1"/>
    <n v="1"/>
    <n v="3500"/>
    <n v="3150"/>
    <n v="0"/>
    <n v="3170"/>
    <n v="20"/>
    <s v="COD"/>
    <d v="2025-10-03T16:40:36"/>
    <d v="2025-10-04T17:18:50"/>
    <d v="2025-10-07T12:26:10"/>
    <s v="28449519514084"/>
    <s v="DelhiverySurface"/>
    <d v="2025-10-03T19:34:47"/>
    <s v=""/>
    <s v="Tiny Kingdom"/>
    <s v=""/>
    <s v=""/>
    <s v=""/>
    <s v=""/>
    <s v=""/>
    <s v=""/>
    <s v=""/>
    <d v="2025-10-07T12:35:54"/>
    <s v="No"/>
    <s v=""/>
    <s v="Karnal"/>
    <s v="Haryana"/>
    <n v="132001"/>
    <s v="India"/>
    <s v="Indian Rupee"/>
    <n v="62044220"/>
    <m/>
    <n v="3150"/>
    <s v="TINYK2627100211"/>
    <s v="NFDIWALI20"/>
    <s v=""/>
    <s v="No"/>
    <n v="18"/>
    <n v="0"/>
    <n v="0"/>
    <n v="18"/>
    <n v="480.50799999999998"/>
    <n v="0"/>
    <n v="0"/>
    <n v="480.50799999999998"/>
    <m/>
    <n v="0.75"/>
    <d v="2025-10-06T12:00:00"/>
    <n v="3150"/>
    <n v="480.50799999999998"/>
    <n v="3630.5079999999998"/>
  </r>
  <r>
    <s v="NYK-32012391-8472897-1-1"/>
    <s v="NYKF35393801"/>
    <s v="CUTAB00000860"/>
    <x v="98"/>
    <n v="1"/>
    <x v="6"/>
    <n v="1"/>
    <n v="1"/>
    <n v="3500"/>
    <n v="3150"/>
    <n v="0"/>
    <n v="3179"/>
    <n v="29"/>
    <s v="Prepaid"/>
    <d v="2025-10-02T23:37:53"/>
    <d v="2025-10-04T14:52:56"/>
    <m/>
    <s v="SF1835855963NYK"/>
    <s v="Shadowfax"/>
    <d v="2025-10-03T19:34:48"/>
    <s v=""/>
    <s v="Tiny Kingdom"/>
    <s v=""/>
    <s v=""/>
    <s v=""/>
    <s v=""/>
    <s v=""/>
    <s v=""/>
    <s v=""/>
    <d v="2025-10-07T18:31:23"/>
    <s v="No"/>
    <s v=""/>
    <s v="Ambernath"/>
    <s v="Maharashtra"/>
    <n v="421306"/>
    <s v="India"/>
    <s v="Indian Rupee"/>
    <n v="62044220"/>
    <m/>
    <n v="3150"/>
    <s v="TINYK2627100212"/>
    <s v=""/>
    <s v=""/>
    <s v="No"/>
    <n v="18"/>
    <n v="9"/>
    <n v="9"/>
    <n v="0"/>
    <n v="480.50799999999998"/>
    <n v="240.25399999999999"/>
    <n v="240.25399999999999"/>
    <n v="0"/>
    <m/>
    <n v="0.75"/>
    <d v="2025-10-05T12:00:00"/>
    <n v="3150"/>
    <n v="480.50799999999998"/>
    <n v="3630.5079999999998"/>
  </r>
  <r>
    <s v="NYK-32010985-5999021-1-1"/>
    <s v="NYKF35392223"/>
    <s v="CUTAB00000860"/>
    <x v="98"/>
    <n v="1"/>
    <x v="4"/>
    <n v="1"/>
    <n v="0"/>
    <n v="3500"/>
    <n v="3150"/>
    <n v="0"/>
    <n v="3199"/>
    <n v="49"/>
    <s v="COD"/>
    <d v="2025-10-02T22:56:39"/>
    <m/>
    <m/>
    <s v=""/>
    <s v="DelhiverySurface"/>
    <m/>
    <s v="Found a better price somewhere else"/>
    <s v="Tiny Kingdom"/>
    <s v=""/>
    <s v=""/>
    <s v=""/>
    <s v=""/>
    <s v=""/>
    <s v=""/>
    <s v=""/>
    <d v="2025-10-02T22:59:37"/>
    <s v="No"/>
    <s v=""/>
    <s v="Gopalganj"/>
    <s v="Bihar"/>
    <n v="841428"/>
    <s v="India"/>
    <s v="Indian Rupee"/>
    <n v="62044220"/>
    <d v="2025-10-02T22:59:37"/>
    <n v="3150"/>
    <s v=""/>
    <s v="NFESTIVE1O"/>
    <s v=""/>
    <s v="No"/>
    <n v="18"/>
    <n v="0"/>
    <n v="0"/>
    <n v="18"/>
    <n v="480.50799999999998"/>
    <n v="0"/>
    <n v="0"/>
    <n v="480.50799999999998"/>
    <m/>
    <m/>
    <d v="2025-10-05T12:00:00"/>
    <n v="3150"/>
    <n v="480.50799999999998"/>
    <n v="3630.5079999999998"/>
  </r>
  <r>
    <s v="NYK-32116585-7238100-1-1"/>
    <s v="NYKF35510875"/>
    <s v="CUTAB00000861"/>
    <x v="99"/>
    <n v="1"/>
    <x v="4"/>
    <n v="1"/>
    <n v="0"/>
    <n v="3500"/>
    <n v="3150"/>
    <n v="0"/>
    <n v="3150"/>
    <n v="0"/>
    <s v="Prepaid"/>
    <d v="2025-10-06T07:50:38"/>
    <m/>
    <m/>
    <s v=""/>
    <s v="Nykaa Fashion surface"/>
    <m/>
    <s v="Change size"/>
    <s v="Tiny Kingdom"/>
    <s v=""/>
    <s v=""/>
    <s v=""/>
    <s v=""/>
    <s v=""/>
    <s v=""/>
    <s v=""/>
    <d v="2025-10-06T07:53:36"/>
    <s v="No"/>
    <s v=""/>
    <s v="Mumbai"/>
    <s v="Maharashtra"/>
    <n v="400072"/>
    <s v="India"/>
    <s v="Indian Rupee"/>
    <n v="62044220"/>
    <d v="2025-10-06T07:53:36"/>
    <n v="3150"/>
    <s v=""/>
    <s v="NFDIWALI20"/>
    <s v=""/>
    <s v="No"/>
    <n v="18"/>
    <n v="9"/>
    <n v="9"/>
    <n v="0"/>
    <n v="480.50799999999998"/>
    <n v="240.25399999999999"/>
    <n v="240.25399999999999"/>
    <n v="0"/>
    <m/>
    <m/>
    <d v="2025-10-08T12:00:00"/>
    <n v="3150"/>
    <n v="480.50799999999998"/>
    <n v="3630.5079999999998"/>
  </r>
  <r>
    <s v="NYK-32071871-8350454-2-1"/>
    <s v="NYKF35460061"/>
    <s v="CUTAB00000861"/>
    <x v="99"/>
    <n v="2"/>
    <x v="1"/>
    <n v="1"/>
    <n v="1"/>
    <n v="3500"/>
    <n v="3150"/>
    <n v="0"/>
    <n v="3170.95"/>
    <n v="20.95"/>
    <s v="COD"/>
    <d v="2025-10-04T22:49:10"/>
    <d v="2025-10-06T17:13:55"/>
    <d v="2025-10-10T10:38:17"/>
    <s v="28449521664576"/>
    <s v="DelhiverySurface"/>
    <d v="2025-10-05T17:49:47"/>
    <s v=""/>
    <s v="Tiny Kingdom"/>
    <s v=""/>
    <s v=""/>
    <s v=""/>
    <s v=""/>
    <s v=""/>
    <s v=""/>
    <s v=""/>
    <d v="2025-10-10T10:41:16"/>
    <s v="No"/>
    <s v=""/>
    <s v="Basti"/>
    <s v="Uttar Pradesh"/>
    <n v="272201"/>
    <s v="India"/>
    <s v="Indian Rupee"/>
    <n v="62044220"/>
    <m/>
    <n v="3150"/>
    <s v="TINYK2627100241"/>
    <s v=""/>
    <s v=""/>
    <s v="No"/>
    <n v="18"/>
    <n v="0"/>
    <n v="0"/>
    <n v="18"/>
    <n v="480.50799999999998"/>
    <n v="0"/>
    <n v="0"/>
    <n v="480.50799999999998"/>
    <m/>
    <n v="0.75"/>
    <d v="2025-10-07T12:00:00"/>
    <n v="3150"/>
    <n v="480.50799999999998"/>
    <n v="3630.5079999999998"/>
  </r>
  <r>
    <s v="NYK-32023446-4400900-1-1"/>
    <s v="NYKF35406105"/>
    <s v="CUTAB00000861"/>
    <x v="99"/>
    <n v="2"/>
    <x v="6"/>
    <n v="1"/>
    <n v="1"/>
    <n v="3500"/>
    <n v="3150"/>
    <n v="0"/>
    <n v="3169.77"/>
    <n v="19.77"/>
    <s v="Prepaid"/>
    <d v="2025-10-03T12:23:21"/>
    <d v="2025-10-04T14:52:56"/>
    <m/>
    <s v="SF1835856350NYK"/>
    <s v="Shadowfax"/>
    <d v="2025-10-03T19:34:49"/>
    <s v=""/>
    <s v="Tiny Kingdom"/>
    <s v=""/>
    <s v=""/>
    <s v=""/>
    <s v=""/>
    <s v=""/>
    <s v=""/>
    <s v=""/>
    <d v="2025-10-18T01:01:16"/>
    <s v="No"/>
    <s v=""/>
    <s v="Ghaziabad"/>
    <s v="Uttar Pradesh"/>
    <n v="201014"/>
    <s v="India"/>
    <s v="Indian Rupee"/>
    <n v="62044220"/>
    <m/>
    <n v="3150"/>
    <s v="TINYK2627100226"/>
    <s v="NFDR10"/>
    <s v=""/>
    <s v="No"/>
    <n v="18"/>
    <n v="0"/>
    <n v="0"/>
    <n v="18"/>
    <n v="480.50799999999998"/>
    <n v="0"/>
    <n v="0"/>
    <n v="480.50799999999998"/>
    <m/>
    <n v="0.75"/>
    <d v="2025-10-06T12:00:00"/>
    <n v="3150"/>
    <n v="480.50799999999998"/>
    <n v="3630.5079999999998"/>
  </r>
  <r>
    <s v="NYK-31981984-0737396-1-1"/>
    <s v="NYKF35360875"/>
    <s v="CUTAB00000861"/>
    <x v="99"/>
    <n v="1"/>
    <x v="0"/>
    <n v="1"/>
    <n v="1"/>
    <n v="3500"/>
    <n v="3150"/>
    <n v="0"/>
    <n v="3179"/>
    <n v="29"/>
    <s v="Prepaid"/>
    <d v="2025-10-01T23:15:37"/>
    <d v="2025-10-03T17:28:31"/>
    <d v="2025-10-06T18:21:32"/>
    <s v="28449519748212"/>
    <s v="DelhiverySurface"/>
    <d v="2025-10-03T12:50:31"/>
    <s v=""/>
    <s v="Tiny Kingdom"/>
    <s v=""/>
    <s v=""/>
    <s v="TINYK11983719"/>
    <s v="Raise Return"/>
    <s v="Reverse PickUP Delivered"/>
    <s v=""/>
    <s v=""/>
    <d v="2025-10-24T15:16:14"/>
    <s v="No"/>
    <s v=""/>
    <s v="Lucknow"/>
    <s v="Uttar Pradesh"/>
    <n v="226021"/>
    <s v="India"/>
    <s v="Indian Rupee"/>
    <n v="62044220"/>
    <m/>
    <n v="3150"/>
    <s v="TINYK2627100207"/>
    <s v="NFLIW10"/>
    <s v=""/>
    <s v="No"/>
    <n v="18"/>
    <n v="0"/>
    <n v="0"/>
    <n v="18"/>
    <n v="480.50799999999998"/>
    <n v="0"/>
    <n v="0"/>
    <n v="480.50799999999998"/>
    <m/>
    <n v="0.75"/>
    <d v="2025-10-04T12:00:00"/>
    <n v="3150"/>
    <n v="480.50799999999998"/>
    <n v="3630.5079999999998"/>
  </r>
  <r>
    <s v="NYK-32103277-7298210-1-1"/>
    <s v="NYKF35495329"/>
    <s v="CUTAB00000872"/>
    <x v="100"/>
    <n v="1"/>
    <x v="1"/>
    <n v="1"/>
    <n v="1"/>
    <n v="4000"/>
    <n v="3600"/>
    <n v="0"/>
    <n v="3649"/>
    <n v="49"/>
    <s v="COD"/>
    <d v="2025-10-05T20:44:58"/>
    <d v="2025-10-07T17:25:14"/>
    <d v="2025-10-11T14:40:26"/>
    <s v="28449521766216"/>
    <s v="DelhiverySurface"/>
    <d v="2025-10-06T19:31:11"/>
    <s v=""/>
    <s v="Tiny Kingdom"/>
    <s v=""/>
    <s v=""/>
    <s v=""/>
    <s v=""/>
    <s v=""/>
    <s v=""/>
    <s v=""/>
    <d v="2025-10-11T14:41:30"/>
    <s v="No"/>
    <s v=""/>
    <s v="Srinagar"/>
    <s v="jammu and kashmir"/>
    <n v="190011"/>
    <s v="India"/>
    <s v="Indian Rupee"/>
    <n v="62044220"/>
    <m/>
    <n v="3600"/>
    <s v="TINYK2627100248"/>
    <s v="NFSDS15"/>
    <s v="City level RTO reduction"/>
    <s v="No"/>
    <n v="18"/>
    <n v="0"/>
    <n v="0"/>
    <n v="18"/>
    <n v="549.15300000000002"/>
    <n v="0"/>
    <n v="0"/>
    <n v="549.15300000000002"/>
    <d v="2025-10-06T14:28:03"/>
    <n v="0.75"/>
    <d v="2025-10-09T12:00:00"/>
    <n v="3600"/>
    <n v="549.15300000000002"/>
    <n v="4149.1530000000002"/>
  </r>
  <r>
    <s v="NYK-32042946-6725129-3-1"/>
    <s v="NYKF35427934"/>
    <s v="CUTAB00000916"/>
    <x v="101"/>
    <n v="4"/>
    <x v="0"/>
    <n v="1"/>
    <n v="1"/>
    <n v="2000"/>
    <n v="1600"/>
    <n v="0"/>
    <n v="1613.8"/>
    <n v="13.8"/>
    <s v="COD"/>
    <d v="2025-10-04T00:08:45"/>
    <d v="2025-10-06T17:08:37"/>
    <d v="2025-10-10T17:57:04"/>
    <s v="237943174868966"/>
    <s v="Nykaa Fashion surface"/>
    <d v="2025-10-04T20:08:17"/>
    <s v=""/>
    <s v="Tiny Kingdom"/>
    <s v=""/>
    <s v=""/>
    <s v="TINYK12023700"/>
    <s v="Raise Return"/>
    <s v="Reverse PickUP Delivered"/>
    <s v=""/>
    <s v=""/>
    <d v="2025-10-18T19:46:18"/>
    <s v="No"/>
    <s v=""/>
    <s v="Mumbai"/>
    <s v="Maharashtra"/>
    <n v="400049"/>
    <s v="India"/>
    <s v="Indian Rupee"/>
    <n v="62044220"/>
    <m/>
    <n v="1600"/>
    <s v="TINYK2627100238"/>
    <s v=""/>
    <s v=""/>
    <s v="No"/>
    <n v="5"/>
    <n v="2.5"/>
    <n v="2.5"/>
    <n v="0"/>
    <n v="76.19"/>
    <n v="38.094999999999999"/>
    <n v="38.094999999999999"/>
    <n v="0"/>
    <m/>
    <n v="0.75"/>
    <d v="2025-10-06T12:00:00"/>
    <n v="1600"/>
    <n v="76.19"/>
    <n v="1676.19"/>
  </r>
  <r>
    <s v="NYK-32084133-3585100-3-1"/>
    <s v="NYKF35473695"/>
    <s v="CUTAB00000920"/>
    <x v="102"/>
    <n v="1"/>
    <x v="0"/>
    <n v="1"/>
    <n v="1"/>
    <n v="2000"/>
    <n v="1600"/>
    <n v="0"/>
    <n v="1600"/>
    <n v="0"/>
    <s v="Prepaid"/>
    <d v="2025-10-05T11:23:05"/>
    <d v="2025-10-06T18:39:00"/>
    <d v="2025-10-08T09:16:00"/>
    <s v="88281886162"/>
    <s v="BLUEDART"/>
    <d v="2025-10-05T17:49:47"/>
    <s v=""/>
    <s v="Tiny Kingdom"/>
    <s v=""/>
    <s v=""/>
    <s v="TINYK11932768"/>
    <s v="Raise Return"/>
    <s v="Reverse PickUP Delivered"/>
    <s v=""/>
    <s v=""/>
    <d v="2025-10-16T14:36:18"/>
    <s v="No"/>
    <s v=""/>
    <s v="Hyderabad"/>
    <s v="Telangana"/>
    <n v="500068"/>
    <s v="India"/>
    <s v="Indian Rupee"/>
    <n v="62044220"/>
    <m/>
    <n v="1600"/>
    <s v="TINYK2627100242"/>
    <s v="NFSDS15"/>
    <s v=""/>
    <s v="No"/>
    <n v="5"/>
    <n v="0"/>
    <n v="0"/>
    <n v="5"/>
    <n v="76.19"/>
    <n v="0"/>
    <n v="0"/>
    <n v="76.19"/>
    <m/>
    <n v="0.75"/>
    <d v="2025-10-07T12:00:00"/>
    <n v="1600"/>
    <n v="76.19"/>
    <n v="1676.19"/>
  </r>
  <r>
    <s v="NYK-32499929-1340661-1-1"/>
    <s v="NYKF35936811"/>
    <s v="CUTAB00001072"/>
    <x v="103"/>
    <n v="1"/>
    <x v="1"/>
    <n v="1"/>
    <n v="1"/>
    <n v="4000"/>
    <n v="3600"/>
    <n v="0"/>
    <n v="3600"/>
    <n v="0"/>
    <s v="Prepaid"/>
    <d v="2025-10-17T08:52:21"/>
    <d v="2025-10-18T17:28:51"/>
    <d v="2025-10-25T11:02:36"/>
    <s v="28449521349834"/>
    <s v="DelhiverySurface"/>
    <d v="2025-10-17T18:48:18"/>
    <s v=""/>
    <s v="Tiny Kingdom"/>
    <s v=""/>
    <s v=""/>
    <s v=""/>
    <s v=""/>
    <s v=""/>
    <s v=""/>
    <s v=""/>
    <d v="2025-10-25T11:06:17"/>
    <s v="No"/>
    <s v=""/>
    <s v="Bangalore"/>
    <s v="Karnataka"/>
    <n v="560103"/>
    <s v="India"/>
    <s v="Indian Rupee"/>
    <n v="62044220"/>
    <m/>
    <n v="3600"/>
    <s v="TINYK2627100380"/>
    <s v="NFFLAT10"/>
    <s v=""/>
    <s v="No"/>
    <n v="18"/>
    <n v="0"/>
    <n v="0"/>
    <n v="18"/>
    <n v="549.15300000000002"/>
    <n v="0"/>
    <n v="0"/>
    <n v="549.15300000000002"/>
    <m/>
    <n v="1.1000000000000001"/>
    <d v="2025-10-19T12:00:00"/>
    <n v="3600"/>
    <n v="549.15300000000002"/>
    <n v="4149.1530000000002"/>
  </r>
  <r>
    <s v="NYK-32740079-7994424-1-1"/>
    <s v="NYKF36186067"/>
    <s v="CUTAB00000886"/>
    <x v="104"/>
    <n v="1"/>
    <x v="1"/>
    <n v="1"/>
    <n v="1"/>
    <n v="3750"/>
    <n v="3375"/>
    <n v="0"/>
    <n v="3404"/>
    <n v="29"/>
    <s v="Prepaid"/>
    <d v="2025-10-27T06:49:54"/>
    <d v="2025-10-28T17:09:31"/>
    <d v="2025-10-30T13:51:03"/>
    <s v="28449527398044"/>
    <s v="DelhiverySurface"/>
    <d v="2025-10-27T19:08:35"/>
    <s v=""/>
    <s v="Tiny Kingdom"/>
    <s v=""/>
    <s v=""/>
    <s v=""/>
    <s v=""/>
    <s v=""/>
    <s v=""/>
    <s v=""/>
    <d v="2025-10-30T14:11:01"/>
    <s v="No"/>
    <s v=""/>
    <s v="Chennai"/>
    <s v="Tamil Nadu"/>
    <n v="600100"/>
    <s v="India"/>
    <s v="Indian Rupee"/>
    <n v="62044220"/>
    <m/>
    <n v="3375"/>
    <s v="TINYK2627100419"/>
    <s v=""/>
    <s v=""/>
    <s v="No"/>
    <n v="18"/>
    <n v="0"/>
    <n v="0"/>
    <n v="18"/>
    <n v="514.83100000000002"/>
    <n v="0"/>
    <n v="0"/>
    <n v="514.83100000000002"/>
    <m/>
    <n v="0.75"/>
    <d v="2025-10-29T12:00:00"/>
    <n v="3375"/>
    <n v="514.83100000000002"/>
    <n v="3889.8310000000001"/>
  </r>
  <r>
    <s v="NYK-32742922-1236946-1-1"/>
    <s v="NYKF36188945"/>
    <s v="CUTAB00000888"/>
    <x v="105"/>
    <n v="1"/>
    <x v="1"/>
    <n v="1"/>
    <n v="1"/>
    <n v="3750"/>
    <n v="3375"/>
    <n v="0"/>
    <n v="3375"/>
    <n v="0"/>
    <s v="Prepaid"/>
    <d v="2025-10-27T10:30:37"/>
    <d v="2025-10-28T17:08:42"/>
    <d v="2025-10-30T11:00:22"/>
    <s v="28449527398291"/>
    <s v="DelhiverySurface"/>
    <d v="2025-10-27T19:08:35"/>
    <s v=""/>
    <s v="Tiny Kingdom"/>
    <s v=""/>
    <s v=""/>
    <s v=""/>
    <s v=""/>
    <s v=""/>
    <s v=""/>
    <s v=""/>
    <d v="2025-10-30T11:06:06"/>
    <s v="No"/>
    <s v=""/>
    <s v="Kolkata"/>
    <s v="West Bengal"/>
    <n v="700048"/>
    <s v="India"/>
    <s v="Indian Rupee"/>
    <n v="62044220"/>
    <m/>
    <n v="3375"/>
    <s v="TINYK2627100422"/>
    <s v=""/>
    <s v=""/>
    <s v="No"/>
    <n v="18"/>
    <n v="0"/>
    <n v="0"/>
    <n v="18"/>
    <n v="514.83100000000002"/>
    <n v="0"/>
    <n v="0"/>
    <n v="514.83100000000002"/>
    <m/>
    <n v="0.75"/>
    <d v="2025-10-29T12:00:00"/>
    <n v="3375"/>
    <n v="514.83100000000002"/>
    <n v="3889.8310000000001"/>
  </r>
  <r>
    <s v="NYK-32763348-2759836-2-1"/>
    <s v="NYKF36210987"/>
    <s v="CUTAB00000892"/>
    <x v="106"/>
    <n v="2"/>
    <x v="3"/>
    <n v="1"/>
    <n v="1"/>
    <n v="3750"/>
    <n v="3375"/>
    <n v="0"/>
    <n v="3382.252"/>
    <n v="7.2519999999999998"/>
    <s v="Prepaid"/>
    <d v="2025-10-28T00:49:20"/>
    <d v="2025-10-28T17:10:57"/>
    <m/>
    <s v="28449527462175"/>
    <s v="DelhiverySurface"/>
    <d v="2025-10-28T13:02:05"/>
    <s v=""/>
    <s v="Tiny Kingdom"/>
    <s v=""/>
    <s v=""/>
    <s v=""/>
    <s v=""/>
    <s v=""/>
    <s v=""/>
    <s v=""/>
    <d v="2025-10-31T13:16:21"/>
    <s v="No"/>
    <s v=""/>
    <s v="Kapurthala"/>
    <s v="Punjab"/>
    <n v="144602"/>
    <s v="India"/>
    <s v="Indian Rupee"/>
    <n v="62044220"/>
    <m/>
    <n v="3375"/>
    <s v="TINYK2627100427"/>
    <s v=""/>
    <s v=""/>
    <s v="No"/>
    <n v="18"/>
    <n v="0"/>
    <n v="0"/>
    <n v="18"/>
    <n v="514.83100000000002"/>
    <n v="0"/>
    <n v="0"/>
    <n v="514.83100000000002"/>
    <m/>
    <n v="1.1000000000000001"/>
    <d v="2025-10-30T12:00:00"/>
    <n v="3375"/>
    <n v="514.83100000000002"/>
    <n v="3889.8310000000001"/>
  </r>
  <r>
    <s v="NYK-32656103-2579191-1-1"/>
    <s v="NYKF36097037"/>
    <s v="CUTAB00000974"/>
    <x v="107"/>
    <n v="1"/>
    <x v="1"/>
    <n v="1"/>
    <n v="1"/>
    <n v="3750"/>
    <n v="3375"/>
    <n v="0"/>
    <n v="3395"/>
    <n v="20"/>
    <s v="COD"/>
    <d v="2025-10-24T02:19:39"/>
    <d v="2025-10-24T17:32:36"/>
    <d v="2025-10-29T12:42:20"/>
    <s v="28449525579864"/>
    <s v="DelhiverySurface"/>
    <d v="2025-10-24T12:00:44"/>
    <s v=""/>
    <s v="Tiny Kingdom"/>
    <s v=""/>
    <s v=""/>
    <s v=""/>
    <s v=""/>
    <s v=""/>
    <s v=""/>
    <s v=""/>
    <d v="2025-10-29T13:21:20"/>
    <s v="No"/>
    <s v=""/>
    <s v="Nizamabad"/>
    <s v="Telangana"/>
    <n v="503001"/>
    <s v="India"/>
    <s v="Indian Rupee"/>
    <n v="62044220"/>
    <m/>
    <n v="3375"/>
    <s v="TINYK2627100405"/>
    <s v="NFDN15"/>
    <s v=""/>
    <s v="No"/>
    <n v="18"/>
    <n v="0"/>
    <n v="0"/>
    <n v="18"/>
    <n v="514.83100000000002"/>
    <n v="0"/>
    <n v="0"/>
    <n v="514.83100000000002"/>
    <m/>
    <n v="0.75"/>
    <d v="2025-10-26T12:00:00"/>
    <n v="3375"/>
    <n v="514.83100000000002"/>
    <n v="3889.8310000000001"/>
  </r>
  <r>
    <s v="NYK-32257503-4030247-1-1"/>
    <s v="NYKF35667284"/>
    <s v="CUTAB00000976"/>
    <x v="108"/>
    <n v="1"/>
    <x v="1"/>
    <n v="1"/>
    <n v="1"/>
    <n v="3750"/>
    <n v="3375"/>
    <n v="0"/>
    <n v="3404"/>
    <n v="29"/>
    <s v="Prepaid"/>
    <d v="2025-10-10T16:30:30"/>
    <d v="2025-10-11T17:55:31"/>
    <d v="2025-10-13T13:02:57"/>
    <s v="237943173195200"/>
    <s v="Nykaa Fashion surface"/>
    <d v="2025-10-10T19:35:20"/>
    <s v=""/>
    <s v="Tiny Kingdom"/>
    <s v=""/>
    <s v=""/>
    <s v=""/>
    <s v=""/>
    <s v=""/>
    <s v=""/>
    <s v=""/>
    <d v="2025-10-13T13:06:14"/>
    <s v="No"/>
    <s v=""/>
    <s v="Mumbai"/>
    <s v="Maharashtra"/>
    <n v="400050"/>
    <s v="India"/>
    <s v="Indian Rupee"/>
    <n v="62044220"/>
    <m/>
    <n v="3375"/>
    <s v="TINYK2627100301"/>
    <s v="NF1010"/>
    <s v=""/>
    <s v="No"/>
    <n v="18"/>
    <n v="9"/>
    <n v="9"/>
    <n v="0"/>
    <n v="514.83100000000002"/>
    <n v="257.416"/>
    <n v="257.416"/>
    <n v="0"/>
    <m/>
    <n v="0.75"/>
    <d v="2025-10-13T12:00:00"/>
    <n v="3375"/>
    <n v="514.83199999999999"/>
    <n v="3889.8319999999999"/>
  </r>
  <r>
    <s v="NYK-32413768-4547603-1-1"/>
    <s v="NYKF35844000"/>
    <s v="CUTAB00000977"/>
    <x v="109"/>
    <n v="2"/>
    <x v="1"/>
    <n v="1"/>
    <n v="1"/>
    <n v="3750"/>
    <n v="3375"/>
    <n v="0"/>
    <n v="3384.6770000000001"/>
    <n v="9.6769999999999996"/>
    <s v="COD"/>
    <d v="2025-10-14T17:52:28"/>
    <d v="2025-10-15T18:13:54"/>
    <d v="2025-10-18T15:50:12"/>
    <s v="28449522526560"/>
    <s v="DelhiverySurface"/>
    <d v="2025-10-14T19:23:37"/>
    <s v=""/>
    <s v="Tiny Kingdom"/>
    <s v=""/>
    <s v=""/>
    <s v=""/>
    <s v=""/>
    <s v=""/>
    <s v=""/>
    <s v=""/>
    <d v="2025-10-18T15:51:19"/>
    <s v="No"/>
    <s v=""/>
    <s v="Noida"/>
    <s v="Uttar Pradesh"/>
    <n v="201301"/>
    <s v="India"/>
    <s v="Indian Rupee"/>
    <n v="62044220"/>
    <m/>
    <n v="3375"/>
    <s v="TINYK2627100360"/>
    <s v="NFSD500"/>
    <s v=""/>
    <s v="No"/>
    <n v="18"/>
    <n v="0"/>
    <n v="0"/>
    <n v="18"/>
    <n v="514.83100000000002"/>
    <n v="0"/>
    <n v="0"/>
    <n v="514.83100000000002"/>
    <m/>
    <n v="1"/>
    <d v="2025-10-17T12:00:00"/>
    <n v="3375"/>
    <n v="514.83100000000002"/>
    <n v="3889.8310000000001"/>
  </r>
  <r>
    <s v="NYK-32334974-2835686-1-1"/>
    <s v="NYKF35755206"/>
    <s v="CUTAB00000977"/>
    <x v="109"/>
    <n v="1"/>
    <x v="1"/>
    <n v="1"/>
    <n v="1"/>
    <n v="3750"/>
    <n v="3375"/>
    <n v="0"/>
    <n v="3494"/>
    <n v="119"/>
    <s v="COD"/>
    <d v="2025-10-12T18:10:36"/>
    <d v="2025-10-14T17:41:22"/>
    <d v="2025-10-17T17:02:47"/>
    <s v="237943175109582"/>
    <s v="Nykaa Fashion surface"/>
    <d v="2025-10-13T19:31:45"/>
    <s v=""/>
    <s v="Tiny Kingdom"/>
    <s v=""/>
    <s v=""/>
    <s v=""/>
    <s v=""/>
    <s v=""/>
    <s v=""/>
    <s v=""/>
    <d v="2025-10-17T17:06:25"/>
    <s v="No"/>
    <s v=""/>
    <s v="Ratlam"/>
    <s v="Madhya Pradesh"/>
    <n v="457001"/>
    <s v="India"/>
    <s v="Indian Rupee"/>
    <n v="62044220"/>
    <m/>
    <n v="3375"/>
    <s v="TINYK2627100332"/>
    <s v=""/>
    <s v=""/>
    <s v="No"/>
    <n v="18"/>
    <n v="0"/>
    <n v="0"/>
    <n v="18"/>
    <n v="514.83100000000002"/>
    <n v="0"/>
    <n v="0"/>
    <n v="514.83100000000002"/>
    <m/>
    <n v="0.75"/>
    <d v="2025-10-15T12:00:00"/>
    <n v="3375"/>
    <n v="514.83100000000002"/>
    <n v="3889.8310000000001"/>
  </r>
  <r>
    <s v="NYK-32332425-8763194-1-1"/>
    <s v="NYKF35752199"/>
    <s v="CUTAB00000978"/>
    <x v="110"/>
    <n v="1"/>
    <x v="0"/>
    <n v="1"/>
    <n v="1"/>
    <n v="3750"/>
    <n v="3375"/>
    <n v="0"/>
    <n v="3404"/>
    <n v="29"/>
    <s v="Prepaid"/>
    <d v="2025-10-12T17:02:43"/>
    <d v="2025-10-14T17:39:50"/>
    <d v="2025-10-15T17:37:40"/>
    <s v="237943173317475"/>
    <s v="Nykaa Fashion surface"/>
    <d v="2025-10-13T19:32:50"/>
    <s v=""/>
    <s v="Tiny Kingdom"/>
    <s v=""/>
    <s v=""/>
    <s v="TINYK12090323"/>
    <s v="Raise Return"/>
    <s v="Reverse PickUP Done"/>
    <s v=""/>
    <s v=""/>
    <d v="2025-10-31T11:51:42"/>
    <s v="No"/>
    <s v=""/>
    <s v="Mumbai"/>
    <s v="Maharashtra"/>
    <n v="400094"/>
    <s v="India"/>
    <s v="Indian Rupee"/>
    <n v="62044220"/>
    <m/>
    <n v="3375"/>
    <s v="TINYK2627100350"/>
    <s v="NFJOY15"/>
    <s v=""/>
    <s v="No"/>
    <n v="18"/>
    <n v="9"/>
    <n v="9"/>
    <n v="0"/>
    <n v="514.83100000000002"/>
    <n v="257.416"/>
    <n v="257.416"/>
    <n v="0"/>
    <m/>
    <n v="0.75"/>
    <d v="2025-10-15T12:00:00"/>
    <n v="3375"/>
    <n v="514.83199999999999"/>
    <n v="3889.8319999999999"/>
  </r>
  <r>
    <s v="NYK-32305000-4269490-4-1"/>
    <s v="NYKF35721112"/>
    <s v="CUTAB00000978"/>
    <x v="110"/>
    <n v="2"/>
    <x v="1"/>
    <n v="1"/>
    <n v="1"/>
    <n v="3750"/>
    <n v="3375"/>
    <n v="0"/>
    <n v="3382.36"/>
    <n v="7.36"/>
    <s v="Prepaid"/>
    <d v="2025-10-11T23:07:49"/>
    <d v="2025-10-13T18:42:00"/>
    <d v="2025-10-15T11:58:00"/>
    <s v="88282000461"/>
    <s v="BLUEDART"/>
    <d v="2025-10-12T15:52:26"/>
    <s v=""/>
    <s v="Tiny Kingdom"/>
    <s v=""/>
    <s v=""/>
    <s v=""/>
    <s v=""/>
    <s v=""/>
    <s v=""/>
    <s v=""/>
    <d v="2025-10-15T12:06:14"/>
    <s v="No"/>
    <s v=""/>
    <s v="Hyderabad"/>
    <s v="Telangana"/>
    <n v="500032"/>
    <s v="India"/>
    <s v="Indian Rupee"/>
    <n v="62044220"/>
    <m/>
    <n v="3375"/>
    <s v="TINYK2627100319"/>
    <s v=""/>
    <s v=""/>
    <s v="No"/>
    <n v="18"/>
    <n v="0"/>
    <n v="0"/>
    <n v="18"/>
    <n v="514.83100000000002"/>
    <n v="0"/>
    <n v="0"/>
    <n v="514.83100000000002"/>
    <m/>
    <n v="1.1000000000000001"/>
    <d v="2025-10-14T12:00:00"/>
    <n v="3375"/>
    <n v="514.83100000000002"/>
    <n v="3889.8310000000001"/>
  </r>
  <r>
    <s v="NYK-32341942-2437776-1-1"/>
    <s v="NYKF35763247"/>
    <s v="CUTAB00001073"/>
    <x v="111"/>
    <n v="1"/>
    <x v="4"/>
    <n v="1"/>
    <n v="0"/>
    <n v="4000"/>
    <n v="3600"/>
    <n v="0"/>
    <n v="3649"/>
    <n v="49"/>
    <s v="COD"/>
    <d v="2025-10-12T20:50:38"/>
    <m/>
    <m/>
    <s v=""/>
    <s v="DelhiverySurface"/>
    <m/>
    <s v="Delivery date is too late"/>
    <s v="Tiny Kingdom"/>
    <s v=""/>
    <s v=""/>
    <s v=""/>
    <s v=""/>
    <s v=""/>
    <s v=""/>
    <s v=""/>
    <d v="2025-10-12T20:51:38"/>
    <s v="No"/>
    <s v=""/>
    <s v="Noida"/>
    <s v="Uttar Pradesh"/>
    <n v="201305"/>
    <s v="India"/>
    <s v="Indian Rupee"/>
    <n v="62044220"/>
    <d v="2025-10-12T20:51:38"/>
    <n v="3600"/>
    <s v=""/>
    <s v="NFJOY15"/>
    <s v=""/>
    <s v="No"/>
    <n v="18"/>
    <n v="0"/>
    <n v="0"/>
    <n v="18"/>
    <n v="549.15300000000002"/>
    <n v="0"/>
    <n v="0"/>
    <n v="549.15300000000002"/>
    <m/>
    <m/>
    <d v="2025-10-15T12:00:00"/>
    <n v="3600"/>
    <n v="549.15300000000002"/>
    <n v="4149.1530000000002"/>
  </r>
  <r>
    <s v="NYK-32320642-1335453-1-1"/>
    <s v="NYKF35738808"/>
    <s v="CUTAB00001078"/>
    <x v="112"/>
    <n v="1"/>
    <x v="0"/>
    <n v="1"/>
    <n v="1"/>
    <n v="4000"/>
    <n v="3600"/>
    <n v="0"/>
    <n v="3629"/>
    <n v="29"/>
    <s v="Prepaid"/>
    <d v="2025-10-12T12:12:15"/>
    <d v="2025-10-13T18:17:29"/>
    <d v="2025-10-24T15:59:00"/>
    <s v="28449520694520"/>
    <s v="DelhiverySurface"/>
    <d v="2025-10-12T15:52:26"/>
    <s v=""/>
    <s v="Tiny Kingdom"/>
    <s v=""/>
    <s v=""/>
    <s v="TINYK12142744"/>
    <s v="Raise Return"/>
    <s v="Reverse PickUP Done"/>
    <s v=""/>
    <s v=""/>
    <d v="2025-10-29T04:51:20"/>
    <s v="No"/>
    <s v=""/>
    <s v="Haridwar"/>
    <s v="Uttarakhand"/>
    <n v="249407"/>
    <s v="India"/>
    <s v="Indian Rupee"/>
    <n v="62044220"/>
    <m/>
    <n v="3600"/>
    <s v="TINYK2627100322"/>
    <s v=""/>
    <s v=""/>
    <s v="No"/>
    <n v="18"/>
    <n v="0"/>
    <n v="0"/>
    <n v="18"/>
    <n v="549.15300000000002"/>
    <n v="0"/>
    <n v="0"/>
    <n v="549.15300000000002"/>
    <m/>
    <n v="0.85"/>
    <d v="2025-10-15T12:00:00"/>
    <n v="3600"/>
    <n v="549.15300000000002"/>
    <n v="4149.1530000000002"/>
  </r>
  <r>
    <s v="NYK-32384772-4272833-1-1"/>
    <s v="NYKF35811861"/>
    <s v="CUTAB00001080"/>
    <x v="113"/>
    <n v="1"/>
    <x v="0"/>
    <n v="1"/>
    <n v="1"/>
    <n v="4000"/>
    <n v="3600"/>
    <n v="0"/>
    <n v="3629"/>
    <n v="29"/>
    <s v="Prepaid"/>
    <d v="2025-10-13T22:21:13"/>
    <d v="2025-10-15T18:14:10"/>
    <d v="2025-10-18T13:39:49"/>
    <s v="28449520981240"/>
    <s v="DelhiverySurface"/>
    <d v="2025-10-14T19:23:37"/>
    <s v=""/>
    <s v="Tiny Kingdom"/>
    <s v=""/>
    <s v=""/>
    <s v="TINYK12092857"/>
    <s v="Raise Return"/>
    <s v="Reverse PickUP Delivered"/>
    <s v=""/>
    <s v=""/>
    <d v="2025-10-27T14:56:15"/>
    <s v="No"/>
    <s v=""/>
    <s v="Bangalore"/>
    <s v="Karnataka"/>
    <n v="560068"/>
    <s v="India"/>
    <s v="Indian Rupee"/>
    <n v="62044220"/>
    <m/>
    <n v="3600"/>
    <s v="TINYK2627100355"/>
    <s v="NFDNXT10"/>
    <s v=""/>
    <s v="No"/>
    <n v="18"/>
    <n v="0"/>
    <n v="0"/>
    <n v="18"/>
    <n v="549.15300000000002"/>
    <n v="0"/>
    <n v="0"/>
    <n v="549.15300000000002"/>
    <m/>
    <n v="0.85"/>
    <d v="2025-10-16T12:00:00"/>
    <n v="3600"/>
    <n v="549.15300000000002"/>
    <n v="4149.1530000000002"/>
  </r>
  <r>
    <s v="NYK-32289409-7532618-1-1"/>
    <s v="NYKF35703099"/>
    <s v="CUTAB00001087"/>
    <x v="114"/>
    <n v="1"/>
    <x v="1"/>
    <n v="1"/>
    <n v="1"/>
    <n v="4250"/>
    <n v="3825"/>
    <n v="0"/>
    <n v="3845"/>
    <n v="20"/>
    <s v="COD"/>
    <d v="2025-10-11T15:42:13"/>
    <d v="2025-10-13T18:17:12"/>
    <d v="2025-10-18T16:14:51"/>
    <s v="28449522218206"/>
    <s v="DelhiverySurface"/>
    <d v="2025-10-11T19:21:32"/>
    <s v=""/>
    <s v="Tiny Kingdom"/>
    <s v=""/>
    <s v=""/>
    <s v=""/>
    <s v=""/>
    <s v=""/>
    <s v=""/>
    <s v=""/>
    <d v="2025-10-18T16:16:21"/>
    <s v="No"/>
    <s v=""/>
    <s v="Zirakpur"/>
    <s v="Punjab"/>
    <n v="140603"/>
    <s v="India"/>
    <s v="Indian Rupee"/>
    <n v="62044220"/>
    <m/>
    <n v="3825"/>
    <s v="TINYK2627100309"/>
    <s v="NFNEW15"/>
    <s v=""/>
    <s v="No"/>
    <n v="18"/>
    <n v="0"/>
    <n v="0"/>
    <n v="18"/>
    <n v="583.47500000000002"/>
    <n v="0"/>
    <n v="0"/>
    <n v="583.47500000000002"/>
    <m/>
    <n v="0.75"/>
    <d v="2025-10-14T12:00:00"/>
    <n v="3825"/>
    <n v="583.47500000000002"/>
    <n v="4408.4750000000004"/>
  </r>
  <r>
    <s v="NYK-32499929-1340661-1-1"/>
    <s v="NYKF35936811"/>
    <s v="CUTAB00001088"/>
    <x v="115"/>
    <n v="2"/>
    <x v="1"/>
    <n v="1"/>
    <n v="1"/>
    <n v="4250"/>
    <n v="3825"/>
    <n v="0"/>
    <n v="3825"/>
    <n v="0"/>
    <s v="Prepaid"/>
    <d v="2025-10-17T08:52:21"/>
    <d v="2025-10-18T17:28:51"/>
    <d v="2025-10-25T11:02:36"/>
    <s v="28449521349834"/>
    <s v="DelhiverySurface"/>
    <d v="2025-10-17T18:48:18"/>
    <s v=""/>
    <s v="Tiny Kingdom"/>
    <s v=""/>
    <s v=""/>
    <s v=""/>
    <s v=""/>
    <s v=""/>
    <s v=""/>
    <s v=""/>
    <d v="2025-10-25T11:06:17"/>
    <s v="No"/>
    <s v=""/>
    <s v="Bangalore"/>
    <s v="Karnataka"/>
    <n v="560103"/>
    <s v="India"/>
    <s v="Indian Rupee"/>
    <n v="62044220"/>
    <m/>
    <n v="3825"/>
    <s v="TINYK2627100380"/>
    <s v="NFFLAT10"/>
    <s v=""/>
    <s v="No"/>
    <n v="18"/>
    <n v="0"/>
    <n v="0"/>
    <n v="18"/>
    <n v="583.47500000000002"/>
    <n v="0"/>
    <n v="0"/>
    <n v="583.47500000000002"/>
    <m/>
    <n v="1.1000000000000001"/>
    <d v="2025-10-19T12:00:00"/>
    <n v="3825"/>
    <n v="583.47500000000002"/>
    <n v="4408.4750000000004"/>
  </r>
  <r>
    <s v="NYK-32350553-4222086-1-1"/>
    <s v="NYKF35772981"/>
    <s v="CUTAB00001176"/>
    <x v="116"/>
    <n v="1"/>
    <x v="1"/>
    <n v="1"/>
    <n v="1"/>
    <n v="3500"/>
    <n v="3325"/>
    <n v="0"/>
    <n v="3374"/>
    <n v="49"/>
    <s v="COD"/>
    <d v="2025-10-13T00:07:02"/>
    <d v="2025-10-14T17:39:59"/>
    <d v="2025-10-16T11:52:20"/>
    <s v="237943175108764"/>
    <s v="Nykaa Fashion surface"/>
    <d v="2025-10-13T19:32:50"/>
    <s v=""/>
    <s v="Tiny Kingdom"/>
    <s v=""/>
    <s v=""/>
    <s v=""/>
    <s v=""/>
    <s v=""/>
    <s v=""/>
    <s v=""/>
    <d v="2025-10-16T12:16:20"/>
    <s v="No"/>
    <s v=""/>
    <s v="Mumbai"/>
    <s v="Maharashtra"/>
    <n v="400080"/>
    <s v="India"/>
    <s v="Indian Rupee"/>
    <n v="62044220"/>
    <m/>
    <n v="3325"/>
    <s v="TINYK2627100343"/>
    <s v=""/>
    <s v=""/>
    <s v="No"/>
    <n v="18"/>
    <n v="9"/>
    <n v="9"/>
    <n v="0"/>
    <n v="507.20299999999997"/>
    <n v="253.602"/>
    <n v="253.602"/>
    <n v="0"/>
    <m/>
    <n v="0.85"/>
    <d v="2025-10-15T12:00:00"/>
    <n v="3325"/>
    <n v="507.20400000000001"/>
    <n v="3832.2040000000002"/>
  </r>
  <r>
    <s v="NYK-32118387-3441148-2-1"/>
    <s v="NYKF35512843"/>
    <s v="CUTAB00001187"/>
    <x v="117"/>
    <n v="1"/>
    <x v="1"/>
    <n v="1"/>
    <n v="1"/>
    <n v="3500"/>
    <n v="3500"/>
    <n v="0"/>
    <n v="3508.39"/>
    <n v="8.39"/>
    <s v="Prepaid"/>
    <d v="2025-10-06T09:34:01"/>
    <d v="2025-10-07T17:24:50"/>
    <d v="2025-10-10T12:51:15"/>
    <s v="28449520090873"/>
    <s v="DelhiverySurface"/>
    <d v="2025-10-06T19:31:11"/>
    <s v=""/>
    <s v="Tiny Kingdom"/>
    <s v=""/>
    <s v=""/>
    <s v=""/>
    <s v=""/>
    <s v=""/>
    <s v=""/>
    <s v=""/>
    <d v="2025-10-10T13:05:46"/>
    <s v="No"/>
    <s v=""/>
    <s v="Bangalore"/>
    <s v="Karnataka"/>
    <n v="560045"/>
    <s v="India"/>
    <s v="Indian Rupee"/>
    <n v="62044220"/>
    <m/>
    <n v="3500"/>
    <s v="TINYK2627100259"/>
    <s v=""/>
    <s v=""/>
    <s v="No"/>
    <n v="18"/>
    <n v="0"/>
    <n v="0"/>
    <n v="18"/>
    <n v="533.89800000000002"/>
    <n v="0"/>
    <n v="0"/>
    <n v="533.89800000000002"/>
    <m/>
    <n v="0.85"/>
    <d v="2025-10-08T12:00:00"/>
    <n v="3500"/>
    <n v="533.89800000000002"/>
    <n v="4033.8980000000001"/>
  </r>
  <r>
    <s v="NYK-32652682-0894288-1-1"/>
    <s v="NYKF36093334"/>
    <s v="CUTAB00001188"/>
    <x v="118"/>
    <n v="2"/>
    <x v="1"/>
    <n v="1"/>
    <n v="1"/>
    <n v="3500"/>
    <n v="3325"/>
    <n v="0"/>
    <n v="3343.82"/>
    <n v="18.82"/>
    <s v="Prepaid"/>
    <d v="2025-10-23T23:04:54"/>
    <d v="2025-10-24T15:49:00"/>
    <d v="2025-10-26T11:43:00"/>
    <s v="88282169054"/>
    <s v="BLUEDART"/>
    <d v="2025-10-24T12:00:44"/>
    <s v=""/>
    <s v="Tiny Kingdom"/>
    <s v=""/>
    <s v=""/>
    <s v=""/>
    <s v=""/>
    <s v=""/>
    <s v=""/>
    <s v=""/>
    <d v="2025-10-26T11:51:07"/>
    <s v="No"/>
    <s v=""/>
    <s v="Hyderabad"/>
    <s v="Telangana"/>
    <n v="500038"/>
    <s v="India"/>
    <s v="Indian Rupee"/>
    <n v="62044220"/>
    <m/>
    <n v="3325"/>
    <s v="TINYK2627100406"/>
    <s v="NFPRIVE300"/>
    <s v=""/>
    <s v="No"/>
    <n v="18"/>
    <n v="0"/>
    <n v="0"/>
    <n v="18"/>
    <n v="507.20299999999997"/>
    <n v="0"/>
    <n v="0"/>
    <n v="507.20299999999997"/>
    <m/>
    <n v="0.85"/>
    <d v="2025-10-26T12:00:00"/>
    <n v="3325"/>
    <n v="507.20299999999997"/>
    <n v="3832.203"/>
  </r>
  <r>
    <s v="NYK-32657322-1151108-5-1"/>
    <s v="NYKF36098149"/>
    <s v="CUTAB00001189"/>
    <x v="119"/>
    <n v="7"/>
    <x v="0"/>
    <n v="1"/>
    <n v="1"/>
    <n v="3500"/>
    <n v="3325"/>
    <n v="0"/>
    <n v="3334.52"/>
    <n v="9.52"/>
    <s v="Prepaid"/>
    <d v="2025-10-24T07:29:11"/>
    <d v="2025-10-24T17:33:41"/>
    <d v="2025-10-28T17:30:37"/>
    <s v="28449527102740"/>
    <s v="DelhiverySurface"/>
    <d v="2025-10-24T12:00:44"/>
    <s v=""/>
    <s v="Tiny Kingdom"/>
    <s v=""/>
    <s v=""/>
    <s v="TINYK12184153"/>
    <s v="Raise Return"/>
    <s v="Reverse PickUP Done"/>
    <s v=""/>
    <s v=""/>
    <d v="2025-10-30T14:51:05"/>
    <s v="No"/>
    <s v=""/>
    <s v="Kolkata"/>
    <s v="West Bengal"/>
    <n v="700099"/>
    <s v="India"/>
    <s v="Indian Rupee"/>
    <n v="62044220"/>
    <m/>
    <n v="3325"/>
    <s v="TINYK2627100408"/>
    <s v="PKIDS300"/>
    <s v=""/>
    <s v="No"/>
    <n v="18"/>
    <n v="0"/>
    <n v="0"/>
    <n v="18"/>
    <n v="507.20299999999997"/>
    <n v="0"/>
    <n v="0"/>
    <n v="507.20299999999997"/>
    <m/>
    <n v="0.85"/>
    <d v="2025-10-26T12:00:00"/>
    <n v="3325"/>
    <n v="507.20299999999997"/>
    <n v="3832.203"/>
  </r>
  <r>
    <s v="NYK-32159289-6761809-1-1"/>
    <s v="NYKF35557928"/>
    <s v="CUTAB00001196"/>
    <x v="120"/>
    <n v="1"/>
    <x v="1"/>
    <n v="1"/>
    <n v="1"/>
    <n v="3000"/>
    <n v="2850"/>
    <n v="0"/>
    <n v="2850"/>
    <n v="0"/>
    <s v="Prepaid"/>
    <d v="2025-10-07T14:16:02"/>
    <d v="2025-10-08T17:14:04"/>
    <d v="2025-10-11T11:43:14"/>
    <s v="237943173099366"/>
    <s v="Nykaa Fashion surface"/>
    <d v="2025-10-07T17:13:27"/>
    <s v=""/>
    <s v="Tiny Kingdom"/>
    <s v=""/>
    <s v=""/>
    <s v=""/>
    <s v=""/>
    <s v=""/>
    <s v=""/>
    <s v=""/>
    <d v="2025-10-11T11:46:34"/>
    <s v="No"/>
    <s v=""/>
    <s v="Nagpur"/>
    <s v="Maharashtra"/>
    <n v="441111"/>
    <s v="India"/>
    <s v="Indian Rupee"/>
    <n v="62044220"/>
    <m/>
    <n v="2850"/>
    <s v="TINYK2627100271"/>
    <s v="NFDIWALI20"/>
    <s v=""/>
    <s v="No"/>
    <n v="18"/>
    <n v="9"/>
    <n v="9"/>
    <n v="0"/>
    <n v="434.74599999999998"/>
    <n v="217.37299999999999"/>
    <n v="217.37299999999999"/>
    <n v="0"/>
    <m/>
    <n v="0.85"/>
    <d v="2025-10-10T12:00:00"/>
    <n v="2850"/>
    <n v="434.74599999999998"/>
    <n v="3284.7460000000001"/>
  </r>
  <r>
    <s v="NYK-32311571-6211906-2-1"/>
    <s v="NYKF35728653"/>
    <s v="CUTAB00001202"/>
    <x v="121"/>
    <n v="5"/>
    <x v="5"/>
    <n v="1"/>
    <n v="1"/>
    <n v="3000"/>
    <n v="2850"/>
    <n v="0"/>
    <n v="2876.47"/>
    <n v="26.47"/>
    <s v="COD"/>
    <d v="2025-10-12T05:13:32"/>
    <d v="2025-10-13T18:17:51"/>
    <m/>
    <s v="28449522286762"/>
    <s v="DelhiverySurface"/>
    <d v="2025-10-12T15:52:26"/>
    <s v=""/>
    <s v="Tiny Kingdom"/>
    <s v=""/>
    <s v=""/>
    <s v="TINYK12068109"/>
    <s v="RTO"/>
    <s v="Reverse PickUP Delivered"/>
    <s v=""/>
    <s v=""/>
    <d v="2025-10-28T20:51:05"/>
    <s v="No"/>
    <s v=""/>
    <s v="Ghaziabad"/>
    <s v="Uttar Pradesh"/>
    <n v="201013"/>
    <s v="India"/>
    <s v="Indian Rupee"/>
    <n v="62044220"/>
    <m/>
    <n v="2850"/>
    <s v="TINYK2627100311"/>
    <s v="NFSD5OO"/>
    <s v=""/>
    <s v="No"/>
    <n v="18"/>
    <n v="0"/>
    <n v="0"/>
    <n v="18"/>
    <n v="434.74599999999998"/>
    <n v="0"/>
    <n v="0"/>
    <n v="434.74599999999998"/>
    <m/>
    <n v="1.2"/>
    <d v="2025-10-14T12:00:00"/>
    <n v="2850"/>
    <n v="434.74599999999998"/>
    <n v="3284.7460000000001"/>
  </r>
  <r>
    <s v="NYK-32314225-0489465-1-1"/>
    <s v="NYKF35731664"/>
    <s v="CUTAB00001205"/>
    <x v="122"/>
    <n v="1"/>
    <x v="1"/>
    <n v="1"/>
    <n v="1"/>
    <n v="3000"/>
    <n v="2850"/>
    <n v="0"/>
    <n v="2899"/>
    <n v="49"/>
    <s v="COD"/>
    <d v="2025-10-12T09:11:29"/>
    <d v="2025-10-13T18:18:10"/>
    <d v="2025-10-15T12:43:16"/>
    <s v="237943175066005"/>
    <s v="Nykaa Fashion surface"/>
    <d v="2025-10-12T15:52:26"/>
    <s v=""/>
    <s v="Tiny Kingdom"/>
    <s v=""/>
    <s v=""/>
    <s v=""/>
    <s v=""/>
    <s v=""/>
    <s v=""/>
    <s v=""/>
    <d v="2025-10-15T12:46:18"/>
    <s v="No"/>
    <s v=""/>
    <s v="Mumbai"/>
    <s v="Maharashtra"/>
    <n v="400097"/>
    <s v="India"/>
    <s v="Indian Rupee"/>
    <n v="62044220"/>
    <m/>
    <n v="2850"/>
    <s v="TINYK2627100326"/>
    <s v=""/>
    <s v=""/>
    <s v="No"/>
    <n v="18"/>
    <n v="9"/>
    <n v="9"/>
    <n v="0"/>
    <n v="434.74599999999998"/>
    <n v="217.37299999999999"/>
    <n v="217.37299999999999"/>
    <n v="0"/>
    <m/>
    <n v="0.85"/>
    <d v="2025-10-14T12:00:00"/>
    <n v="2850"/>
    <n v="434.74599999999998"/>
    <n v="3284.7460000000001"/>
  </r>
  <r>
    <s v="NYK-32311571-6211906-2-1"/>
    <s v="NYKF35728653"/>
    <s v="CUTAB00001207"/>
    <x v="123"/>
    <n v="4"/>
    <x v="5"/>
    <n v="1"/>
    <n v="1"/>
    <n v="3000"/>
    <n v="2850"/>
    <n v="0"/>
    <n v="2876.47"/>
    <n v="26.47"/>
    <s v="COD"/>
    <d v="2025-10-12T05:13:32"/>
    <d v="2025-10-13T18:17:51"/>
    <m/>
    <s v="28449522286762"/>
    <s v="DelhiverySurface"/>
    <d v="2025-10-12T15:52:26"/>
    <s v=""/>
    <s v="Tiny Kingdom"/>
    <s v=""/>
    <s v=""/>
    <s v="TINYK12068109"/>
    <s v="RTO"/>
    <s v="Reverse PickUP Delivered"/>
    <s v=""/>
    <s v=""/>
    <d v="2025-10-28T20:51:05"/>
    <s v="No"/>
    <s v=""/>
    <s v="Ghaziabad"/>
    <s v="Uttar Pradesh"/>
    <n v="201013"/>
    <s v="India"/>
    <s v="Indian Rupee"/>
    <n v="62044220"/>
    <m/>
    <n v="2850"/>
    <s v="TINYK2627100311"/>
    <s v="NFSD5OO"/>
    <s v=""/>
    <s v="No"/>
    <n v="18"/>
    <n v="0"/>
    <n v="0"/>
    <n v="18"/>
    <n v="434.74599999999998"/>
    <n v="0"/>
    <n v="0"/>
    <n v="434.74599999999998"/>
    <m/>
    <n v="1.2"/>
    <d v="2025-10-14T12:00:00"/>
    <n v="2850"/>
    <n v="434.74599999999998"/>
    <n v="3284.7460000000001"/>
  </r>
  <r>
    <s v="NYK-32769889-0520664-1-1"/>
    <s v="NYKF36217547"/>
    <s v="CUTAB00001210"/>
    <x v="124"/>
    <n v="1"/>
    <x v="3"/>
    <n v="1"/>
    <n v="1"/>
    <n v="4000"/>
    <n v="3800"/>
    <n v="0"/>
    <n v="3899"/>
    <n v="99"/>
    <s v="Prepaid"/>
    <d v="2025-10-28T11:18:41"/>
    <d v="2025-10-28T17:10:13"/>
    <m/>
    <s v="28449527456273"/>
    <s v="DelhiverySurface"/>
    <d v="2025-10-28T13:02:05"/>
    <s v=""/>
    <s v="Tiny Kingdom"/>
    <s v=""/>
    <s v=""/>
    <s v=""/>
    <s v=""/>
    <s v=""/>
    <s v=""/>
    <s v=""/>
    <d v="2025-10-31T12:51:21"/>
    <s v="No"/>
    <s v=""/>
    <s v="New Delhi"/>
    <s v="Delhi"/>
    <n v="110016"/>
    <s v="India"/>
    <s v="Indian Rupee"/>
    <n v="62044220"/>
    <m/>
    <n v="3800"/>
    <s v="TINYK2627100428"/>
    <s v=""/>
    <s v=""/>
    <s v="No"/>
    <n v="18"/>
    <n v="0"/>
    <n v="0"/>
    <n v="18"/>
    <n v="579.66099999999994"/>
    <n v="0"/>
    <n v="0"/>
    <n v="579.66099999999994"/>
    <m/>
    <n v="0.85"/>
    <d v="2025-10-30T12:00:00"/>
    <n v="3800"/>
    <n v="579.66099999999994"/>
    <n v="4379.6610000000001"/>
  </r>
  <r>
    <s v="NYK-32527107-3642468-1-1"/>
    <s v="NYKF35964262"/>
    <s v="CUTAB00001212"/>
    <x v="125"/>
    <n v="1"/>
    <x v="3"/>
    <n v="1"/>
    <n v="1"/>
    <n v="4000"/>
    <n v="3800"/>
    <n v="0"/>
    <n v="3800"/>
    <n v="0"/>
    <s v="Prepaid"/>
    <d v="2025-10-18T10:30:42"/>
    <d v="2025-10-24T17:34:41"/>
    <m/>
    <s v="28449521421750"/>
    <s v="DelhiverySurface"/>
    <d v="2025-10-18T19:14:59"/>
    <s v=""/>
    <s v="Tiny Kingdom"/>
    <s v=""/>
    <s v=""/>
    <s v=""/>
    <s v=""/>
    <s v=""/>
    <s v=""/>
    <s v=""/>
    <d v="2025-10-31T10:46:18"/>
    <s v="No"/>
    <s v=""/>
    <s v="Karauli"/>
    <s v="Rajasthan"/>
    <n v="322241"/>
    <s v="India"/>
    <s v="Indian Rupee"/>
    <n v="62044220"/>
    <m/>
    <n v="3800"/>
    <s v="TINYK2627100385"/>
    <s v="NFESTIVE15"/>
    <s v=""/>
    <s v="No"/>
    <n v="18"/>
    <n v="0"/>
    <n v="0"/>
    <n v="18"/>
    <n v="579.66099999999994"/>
    <n v="0"/>
    <n v="0"/>
    <n v="579.66099999999994"/>
    <m/>
    <n v="0.85"/>
    <d v="2025-10-20T12:00:00"/>
    <n v="3800"/>
    <n v="579.66099999999994"/>
    <n v="4379.6610000000001"/>
  </r>
  <r>
    <s v="NYK-32413668-4351550-1-1"/>
    <s v="NYKF35843959"/>
    <s v="CUTAB00001213"/>
    <x v="126"/>
    <n v="1"/>
    <x v="1"/>
    <n v="1"/>
    <n v="1"/>
    <n v="4000"/>
    <n v="3800"/>
    <n v="0"/>
    <n v="3800"/>
    <n v="0"/>
    <s v="Prepaid"/>
    <d v="2025-10-14T17:49:12"/>
    <d v="2025-10-15T18:14:02"/>
    <d v="2025-10-17T12:13:00"/>
    <s v="237943173358904"/>
    <s v="Nykaa Fashion surface"/>
    <d v="2025-10-14T19:23:37"/>
    <s v=""/>
    <s v="Tiny Kingdom"/>
    <s v=""/>
    <s v=""/>
    <s v=""/>
    <s v=""/>
    <s v=""/>
    <s v=""/>
    <s v=""/>
    <d v="2025-10-17T12:21:28"/>
    <s v="No"/>
    <s v=""/>
    <s v="Mumbai"/>
    <s v="Maharashtra"/>
    <n v="400097"/>
    <s v="India"/>
    <s v="Indian Rupee"/>
    <n v="62044220"/>
    <m/>
    <n v="3800"/>
    <s v="TINYK2627100364"/>
    <s v="NFSDS15"/>
    <s v=""/>
    <s v="No"/>
    <n v="18"/>
    <n v="9"/>
    <n v="9"/>
    <n v="0"/>
    <n v="579.66099999999994"/>
    <n v="289.83100000000002"/>
    <n v="289.83100000000002"/>
    <n v="0"/>
    <m/>
    <n v="0.85"/>
    <d v="2025-10-17T12:00:00"/>
    <n v="3800"/>
    <n v="579.66200000000003"/>
    <n v="4379.6620000000003"/>
  </r>
  <r>
    <s v="NYK-32397240-3700736-1-1"/>
    <s v="NYKF35826127"/>
    <s v="CUTAB00001213"/>
    <x v="126"/>
    <n v="1"/>
    <x v="1"/>
    <n v="1"/>
    <n v="1"/>
    <n v="4000"/>
    <n v="3800"/>
    <n v="0"/>
    <n v="3829"/>
    <n v="29"/>
    <s v="Prepaid"/>
    <d v="2025-10-14T09:18:21"/>
    <d v="2025-10-15T18:14:42"/>
    <d v="2025-10-18T11:35:30"/>
    <s v="237943173355496"/>
    <s v="Nykaa Fashion surface"/>
    <d v="2025-10-14T19:23:37"/>
    <s v=""/>
    <s v="Tiny Kingdom"/>
    <s v=""/>
    <s v=""/>
    <s v=""/>
    <s v=""/>
    <s v=""/>
    <s v=""/>
    <s v=""/>
    <d v="2025-10-18T11:36:09"/>
    <s v="No"/>
    <s v=""/>
    <s v="Pune"/>
    <s v="Maharashtra"/>
    <n v="411058"/>
    <s v="India"/>
    <s v="Indian Rupee"/>
    <n v="62044220"/>
    <m/>
    <n v="3800"/>
    <s v="TINYK2627100365"/>
    <s v="NFSDS15"/>
    <s v=""/>
    <s v="No"/>
    <n v="18"/>
    <n v="9"/>
    <n v="9"/>
    <n v="0"/>
    <n v="579.66099999999994"/>
    <n v="289.83100000000002"/>
    <n v="289.83100000000002"/>
    <n v="0"/>
    <m/>
    <n v="0.85"/>
    <d v="2025-10-16T12:00:00"/>
    <n v="3800"/>
    <n v="579.66200000000003"/>
    <n v="4379.6620000000003"/>
  </r>
  <r>
    <s v="NYK-32285125-0110600-2-1"/>
    <s v="NYKF35698434"/>
    <s v="CUTAB00001213"/>
    <x v="126"/>
    <n v="1"/>
    <x v="0"/>
    <n v="1"/>
    <n v="1"/>
    <n v="3500"/>
    <n v="3325"/>
    <n v="0"/>
    <n v="3335.19"/>
    <n v="10.19"/>
    <s v="Prepaid"/>
    <d v="2025-10-11T13:38:31"/>
    <d v="2025-10-11T17:55:36"/>
    <d v="2025-10-13T19:06:21"/>
    <s v="28449520588444"/>
    <s v="DelhiverySurface"/>
    <d v="2025-10-11T14:17:20"/>
    <s v=""/>
    <s v="Tiny Kingdom"/>
    <s v=""/>
    <s v=""/>
    <s v="TINYK12035667"/>
    <s v="Raise Return"/>
    <s v="Reverse PickUP Delivered"/>
    <s v=""/>
    <s v=""/>
    <d v="2025-10-24T15:06:22"/>
    <s v="No"/>
    <s v=""/>
    <s v="Hyderabad"/>
    <s v="Telangana"/>
    <n v="500008"/>
    <s v="India"/>
    <s v="Indian Rupee"/>
    <n v="62044220"/>
    <m/>
    <n v="3325"/>
    <s v="TINYK2627100306"/>
    <s v="NFSDS15"/>
    <s v=""/>
    <s v="No"/>
    <n v="18"/>
    <n v="0"/>
    <n v="0"/>
    <n v="18"/>
    <n v="507.20299999999997"/>
    <n v="0"/>
    <n v="0"/>
    <n v="507.20299999999997"/>
    <m/>
    <n v="0.85"/>
    <d v="2025-10-14T12:00:00"/>
    <n v="3325"/>
    <n v="507.20299999999997"/>
    <n v="3832.203"/>
  </r>
  <r>
    <s v="NYK-32346845-9590228-1-1"/>
    <s v="NYKF35768786"/>
    <s v="CUTAB00001215"/>
    <x v="127"/>
    <n v="1"/>
    <x v="1"/>
    <n v="1"/>
    <n v="1"/>
    <n v="3500"/>
    <n v="3325"/>
    <n v="0"/>
    <n v="3325"/>
    <n v="0"/>
    <s v="Prepaid"/>
    <d v="2025-10-12T22:49:50"/>
    <d v="2025-10-14T16:04:00"/>
    <d v="2025-10-17T12:21:00"/>
    <s v="88282038751"/>
    <s v="BLUEDART"/>
    <d v="2025-10-13T19:31:45"/>
    <s v=""/>
    <s v="Tiny Kingdom"/>
    <s v=""/>
    <s v=""/>
    <s v=""/>
    <s v=""/>
    <s v=""/>
    <s v=""/>
    <s v=""/>
    <d v="2025-10-17T12:31:27"/>
    <s v="No"/>
    <s v=""/>
    <s v="Chennai"/>
    <s v="Tamil Nadu"/>
    <n v="600004"/>
    <s v="India"/>
    <s v="Indian Rupee"/>
    <n v="62044220"/>
    <m/>
    <n v="3325"/>
    <s v="TINYK2627100331"/>
    <s v=""/>
    <s v=""/>
    <s v="No"/>
    <n v="18"/>
    <n v="0"/>
    <n v="0"/>
    <n v="18"/>
    <n v="507.20299999999997"/>
    <n v="0"/>
    <n v="0"/>
    <n v="507.20299999999997"/>
    <m/>
    <n v="0.85"/>
    <d v="2025-10-15T12:00:00"/>
    <n v="3325"/>
    <n v="507.20299999999997"/>
    <n v="3832.203"/>
  </r>
  <r>
    <s v="NYK-32392126-4703941-1-1"/>
    <s v="NYKF35820288"/>
    <s v="CUTAB00001219"/>
    <x v="128"/>
    <n v="2"/>
    <x v="0"/>
    <n v="1"/>
    <n v="1"/>
    <n v="4000"/>
    <n v="3800"/>
    <n v="0"/>
    <n v="3800"/>
    <n v="0"/>
    <s v="Prepaid"/>
    <d v="2025-10-14T01:15:04"/>
    <d v="2025-10-15T18:13:37"/>
    <d v="2025-10-18T10:10:32"/>
    <s v="28449520983211"/>
    <s v="DelhiverySurface"/>
    <d v="2025-10-14T19:23:37"/>
    <s v=""/>
    <s v="Tiny Kingdom"/>
    <s v=""/>
    <s v=""/>
    <s v="TINYK12093963"/>
    <s v="Raise Return"/>
    <s v="Reverse PickUP Delivered"/>
    <s v=""/>
    <s v=""/>
    <d v="2025-10-28T20:51:08"/>
    <s v="No"/>
    <s v=""/>
    <s v="Noida"/>
    <s v="Uttar Pradesh"/>
    <n v="201308"/>
    <s v="India"/>
    <s v="Indian Rupee"/>
    <n v="62044220"/>
    <m/>
    <n v="3800"/>
    <s v="TINYK2627100363"/>
    <s v="NFSD500"/>
    <s v=""/>
    <s v="No"/>
    <n v="18"/>
    <n v="0"/>
    <n v="0"/>
    <n v="18"/>
    <n v="579.66099999999994"/>
    <n v="0"/>
    <n v="0"/>
    <n v="579.66099999999994"/>
    <m/>
    <n v="0.85"/>
    <d v="2025-10-16T12:00:00"/>
    <n v="3800"/>
    <n v="579.66099999999994"/>
    <n v="4379.6610000000001"/>
  </r>
  <r>
    <s v="NYK-32332070-8458643-1-1"/>
    <s v="NYKF35751918"/>
    <s v="CUTAB00001219"/>
    <x v="128"/>
    <n v="1"/>
    <x v="1"/>
    <n v="1"/>
    <n v="1"/>
    <n v="3750"/>
    <n v="3563"/>
    <n v="0"/>
    <n v="3577.4250000000002"/>
    <n v="14.425000000000001"/>
    <s v="Prepaid"/>
    <d v="2025-10-12T16:57:39"/>
    <d v="2025-10-14T17:48:04"/>
    <d v="2025-10-18T12:10:56"/>
    <s v="28449520860350"/>
    <s v="DelhiverySurface"/>
    <d v="2025-10-13T19:32:51"/>
    <s v=""/>
    <s v="Tiny Kingdom"/>
    <s v=""/>
    <s v=""/>
    <s v=""/>
    <s v=""/>
    <s v=""/>
    <s v=""/>
    <s v=""/>
    <d v="2025-10-18T12:21:31"/>
    <s v="No"/>
    <s v=""/>
    <s v="Ballinga"/>
    <s v="orissa"/>
    <n v="770076"/>
    <s v="India"/>
    <s v="Indian Rupee"/>
    <n v="62044220"/>
    <m/>
    <n v="3563"/>
    <s v="TINYK2627100354"/>
    <s v=""/>
    <s v=""/>
    <s v="No"/>
    <n v="18"/>
    <n v="0"/>
    <n v="0"/>
    <n v="18"/>
    <n v="543.50800000000004"/>
    <n v="0"/>
    <n v="0"/>
    <n v="543.50800000000004"/>
    <m/>
    <n v="1.2"/>
    <d v="2025-10-15T12:00:00"/>
    <n v="3563"/>
    <n v="543.50800000000004"/>
    <n v="4106.5079999999998"/>
  </r>
  <r>
    <s v="NYK-32393348-9873814-1-1"/>
    <s v="NYKF35821724"/>
    <s v="CUTAB00001220"/>
    <x v="129"/>
    <n v="1"/>
    <x v="4"/>
    <n v="1"/>
    <n v="0"/>
    <n v="4000"/>
    <n v="3800"/>
    <n v="0"/>
    <n v="3871.88"/>
    <n v="71.88"/>
    <s v="COD"/>
    <d v="2025-10-14T02:41:14"/>
    <m/>
    <m/>
    <s v=""/>
    <s v="Nykaa Fashion surface"/>
    <m/>
    <s v="Verification Cancelled"/>
    <s v="Tiny Kingdom"/>
    <s v="Address check - Incomplete address updated_x000a_"/>
    <s v=""/>
    <s v=""/>
    <s v=""/>
    <s v=""/>
    <s v=""/>
    <s v=""/>
    <d v="2025-10-14T13:44:06"/>
    <s v="No"/>
    <s v=""/>
    <s v="Porbandar"/>
    <s v="Gujarat"/>
    <n v="360575"/>
    <s v="India"/>
    <s v="Indian Rupee"/>
    <n v="62044220"/>
    <d v="2025-10-14T13:44:06"/>
    <n v="3800"/>
    <s v=""/>
    <s v=""/>
    <s v="Verification-Adress Check,Add check"/>
    <s v="Yes"/>
    <n v="18"/>
    <n v="0"/>
    <n v="0"/>
    <n v="18"/>
    <n v="579.66099999999994"/>
    <n v="0"/>
    <n v="0"/>
    <n v="579.66099999999994"/>
    <m/>
    <m/>
    <d v="2025-10-16T12:00:00"/>
    <n v="3800"/>
    <n v="579.66099999999994"/>
    <n v="4379.6610000000001"/>
  </r>
  <r>
    <s v="NYK-32224583-1086419-1-1"/>
    <s v="NYKF35629962"/>
    <s v="CUTAB00001220"/>
    <x v="129"/>
    <n v="1"/>
    <x v="1"/>
    <n v="1"/>
    <n v="1"/>
    <n v="3750"/>
    <n v="3563"/>
    <n v="0"/>
    <n v="3581.84"/>
    <n v="18.84"/>
    <s v="Prepaid"/>
    <d v="2025-10-09T14:41:26"/>
    <d v="2025-10-10T17:32:26"/>
    <d v="2025-10-14T12:31:10"/>
    <s v="237943173169963"/>
    <s v="Nykaa Fashion surface"/>
    <d v="2025-10-09T18:52:18"/>
    <s v=""/>
    <s v="Tiny Kingdom"/>
    <s v=""/>
    <s v=""/>
    <s v=""/>
    <s v=""/>
    <s v=""/>
    <s v=""/>
    <s v=""/>
    <d v="2025-10-14T12:46:13"/>
    <s v="No"/>
    <s v=""/>
    <s v="Kolhapur"/>
    <s v="Maharashtra"/>
    <n v="416008"/>
    <s v="India"/>
    <s v="Indian Rupee"/>
    <n v="62044220"/>
    <m/>
    <n v="3563"/>
    <s v="TINYK2627100288"/>
    <s v=""/>
    <s v=""/>
    <s v="No"/>
    <n v="18"/>
    <n v="9"/>
    <n v="9"/>
    <n v="0"/>
    <n v="543.50800000000004"/>
    <n v="271.75400000000002"/>
    <n v="271.75400000000002"/>
    <n v="0"/>
    <m/>
    <n v="0.85"/>
    <d v="2025-10-12T12:00:00"/>
    <n v="3563"/>
    <n v="543.50800000000004"/>
    <n v="4106.5079999999998"/>
  </r>
  <r>
    <s v="NYK-32409883-7186888-1-1"/>
    <s v="NYKF35839732"/>
    <s v="CUTAB00001221"/>
    <x v="130"/>
    <n v="1"/>
    <x v="0"/>
    <n v="1"/>
    <n v="1"/>
    <n v="4000"/>
    <n v="3800"/>
    <n v="0"/>
    <n v="3919"/>
    <n v="119"/>
    <s v="COD"/>
    <d v="2025-10-14T15:49:47"/>
    <d v="2025-10-15T18:13:25"/>
    <d v="2025-10-19T18:21:07"/>
    <s v="237943175135364"/>
    <s v="Nykaa Fashion surface"/>
    <d v="2025-10-14T19:23:37"/>
    <s v=""/>
    <s v="Tiny Kingdom"/>
    <s v=""/>
    <s v=""/>
    <s v="TINYK12097715"/>
    <s v="Raise Return"/>
    <s v="Reverse PickUP Delivered"/>
    <s v=""/>
    <s v=""/>
    <d v="2025-10-29T17:01:05"/>
    <s v="No"/>
    <s v=""/>
    <s v="Porbandar"/>
    <s v="Gujarat"/>
    <n v="360575"/>
    <s v="India"/>
    <s v="Indian Rupee"/>
    <n v="62044220"/>
    <m/>
    <n v="3800"/>
    <s v="TINYK2627100356"/>
    <s v=""/>
    <s v=""/>
    <s v="No"/>
    <n v="18"/>
    <n v="0"/>
    <n v="0"/>
    <n v="18"/>
    <n v="579.66099999999994"/>
    <n v="0"/>
    <n v="0"/>
    <n v="579.66099999999994"/>
    <m/>
    <n v="0.85"/>
    <d v="2025-10-17T12:00:00"/>
    <n v="3800"/>
    <n v="579.66099999999994"/>
    <n v="4379.6610000000001"/>
  </r>
  <r>
    <s v="NYK-32520549-4218404-1-1"/>
    <s v="NYKF35957938"/>
    <s v="CUTAB00001223"/>
    <x v="131"/>
    <n v="1"/>
    <x v="3"/>
    <n v="1"/>
    <n v="1"/>
    <n v="4000"/>
    <n v="3800"/>
    <n v="0"/>
    <n v="3849"/>
    <n v="49"/>
    <s v="COD"/>
    <d v="2025-10-17T23:33:38"/>
    <d v="2025-10-24T17:32:44"/>
    <m/>
    <s v="28449525265321"/>
    <s v="DelhiverySurface"/>
    <d v="2025-10-18T19:14:59"/>
    <s v=""/>
    <s v="Tiny Kingdom"/>
    <s v=""/>
    <s v=""/>
    <s v=""/>
    <s v=""/>
    <s v=""/>
    <s v=""/>
    <s v=""/>
    <d v="2025-10-31T06:16:05"/>
    <s v="No"/>
    <s v=""/>
    <s v="Mau"/>
    <s v="Uttar Pradesh"/>
    <n v="275101"/>
    <s v="India"/>
    <s v="Indian Rupee"/>
    <n v="62044220"/>
    <m/>
    <n v="3800"/>
    <s v="TINYK2627100382"/>
    <s v="NFDR10"/>
    <s v=""/>
    <s v="No"/>
    <n v="18"/>
    <n v="0"/>
    <n v="0"/>
    <n v="18"/>
    <n v="579.66099999999994"/>
    <n v="0"/>
    <n v="0"/>
    <n v="579.66099999999994"/>
    <m/>
    <n v="0.85"/>
    <d v="2025-10-20T12:00:00"/>
    <n v="3800"/>
    <n v="579.66099999999994"/>
    <n v="4379.6610000000001"/>
  </r>
  <r>
    <s v="NYK-32305000-4269490-4-1"/>
    <s v="NYKF35721112"/>
    <s v="CUTAB00001223"/>
    <x v="131"/>
    <n v="4"/>
    <x v="0"/>
    <n v="1"/>
    <n v="1"/>
    <n v="3750"/>
    <n v="3563"/>
    <n v="0"/>
    <n v="3570.77"/>
    <n v="7.77"/>
    <s v="Prepaid"/>
    <d v="2025-10-11T23:07:49"/>
    <d v="2025-10-13T18:42:00"/>
    <d v="2025-10-15T11:58:00"/>
    <s v="88282000461"/>
    <s v="BLUEDART"/>
    <d v="2025-10-12T15:52:26"/>
    <s v=""/>
    <s v="Tiny Kingdom"/>
    <s v=""/>
    <s v=""/>
    <s v="TINYK12044790"/>
    <s v="Raise Return"/>
    <s v="Reverse PickUP Delivered"/>
    <s v=""/>
    <s v=""/>
    <d v="2025-10-24T15:06:22"/>
    <s v="No"/>
    <s v=""/>
    <s v="Hyderabad"/>
    <s v="Telangana"/>
    <n v="500032"/>
    <s v="India"/>
    <s v="Indian Rupee"/>
    <n v="62044220"/>
    <m/>
    <n v="3563"/>
    <s v="TINYK2627100319"/>
    <s v=""/>
    <s v=""/>
    <s v="No"/>
    <n v="18"/>
    <n v="0"/>
    <n v="0"/>
    <n v="18"/>
    <n v="543.50800000000004"/>
    <n v="0"/>
    <n v="0"/>
    <n v="543.50800000000004"/>
    <m/>
    <n v="1.1000000000000001"/>
    <d v="2025-10-14T12:00:00"/>
    <n v="3563"/>
    <n v="543.50800000000004"/>
    <n v="4106.5079999999998"/>
  </r>
  <r>
    <s v="NYK-32291129-0651827-2-1"/>
    <s v="NYKF35705175"/>
    <s v="CUTAB00001223"/>
    <x v="131"/>
    <n v="1"/>
    <x v="1"/>
    <n v="1"/>
    <n v="1"/>
    <n v="3750"/>
    <n v="3563"/>
    <n v="0"/>
    <n v="3588.43"/>
    <n v="25.43"/>
    <s v="Prepaid"/>
    <d v="2025-10-11T16:34:12"/>
    <d v="2025-10-13T18:16:33"/>
    <d v="2025-10-16T14:12:01"/>
    <s v="28449520606261"/>
    <s v="DelhiverySurface"/>
    <d v="2025-10-11T19:21:33"/>
    <s v=""/>
    <s v="Tiny Kingdom"/>
    <s v=""/>
    <s v=""/>
    <s v=""/>
    <s v=""/>
    <s v=""/>
    <s v=""/>
    <s v=""/>
    <d v="2025-10-16T14:16:14"/>
    <s v="No"/>
    <s v=""/>
    <s v="Bangalore"/>
    <s v="Karnataka"/>
    <n v="560087"/>
    <s v="India"/>
    <s v="Indian Rupee"/>
    <n v="62044220"/>
    <m/>
    <n v="3563"/>
    <s v="TINYK2627100310"/>
    <s v=""/>
    <s v=""/>
    <s v="No"/>
    <n v="18"/>
    <n v="0"/>
    <n v="0"/>
    <n v="18"/>
    <n v="543.50800000000004"/>
    <n v="0"/>
    <n v="0"/>
    <n v="543.50800000000004"/>
    <m/>
    <n v="0.85"/>
    <d v="2025-10-14T12:00:00"/>
    <n v="3563"/>
    <n v="543.50800000000004"/>
    <n v="4106.5079999999998"/>
  </r>
  <r>
    <s v="NYK-32140158-8877227-3-1"/>
    <s v="NYKF35537037"/>
    <s v="CUTAB00001223"/>
    <x v="131"/>
    <n v="1"/>
    <x v="1"/>
    <n v="1"/>
    <n v="1"/>
    <n v="3750"/>
    <n v="3563"/>
    <n v="0"/>
    <n v="3573.67"/>
    <n v="10.67"/>
    <s v="Prepaid"/>
    <d v="2025-10-06T22:11:17"/>
    <d v="2025-10-08T17:14:50"/>
    <d v="2025-10-13T10:45:21"/>
    <s v="28449520198581"/>
    <s v="DelhiverySurface"/>
    <d v="2025-10-07T17:11:18"/>
    <s v=""/>
    <s v="Tiny Kingdom"/>
    <s v=""/>
    <s v=""/>
    <s v=""/>
    <s v=""/>
    <s v=""/>
    <s v=""/>
    <s v=""/>
    <d v="2025-10-13T10:45:56"/>
    <s v="No"/>
    <s v=""/>
    <s v="Ranchi"/>
    <s v="Jharkhand"/>
    <n v="834008"/>
    <s v="India"/>
    <s v="Indian Rupee"/>
    <n v="62044220"/>
    <m/>
    <n v="3563"/>
    <s v="TINYK2627100263"/>
    <s v=""/>
    <s v=""/>
    <s v="No"/>
    <n v="18"/>
    <n v="0"/>
    <n v="0"/>
    <n v="18"/>
    <n v="543.50800000000004"/>
    <n v="0"/>
    <n v="0"/>
    <n v="543.50800000000004"/>
    <m/>
    <n v="0.85"/>
    <d v="2025-10-09T12:00:00"/>
    <n v="3563"/>
    <n v="543.50800000000004"/>
    <n v="4106.5079999999998"/>
  </r>
  <r>
    <s v="NYK-32735375-0543963-3-1"/>
    <s v="NYKF36180923"/>
    <s v="TINAD00000008"/>
    <x v="132"/>
    <n v="6"/>
    <x v="1"/>
    <n v="1"/>
    <n v="1"/>
    <n v="2500"/>
    <n v="2000"/>
    <n v="0"/>
    <n v="2009.729"/>
    <n v="9.7289999999999992"/>
    <s v="COD"/>
    <d v="2025-10-26T23:12:24"/>
    <d v="2025-10-28T17:07:55"/>
    <d v="2025-10-30T14:39:27"/>
    <s v="28449525843720"/>
    <s v="DelhiverySurface"/>
    <d v="2025-10-27T19:08:35"/>
    <s v=""/>
    <s v="TINY BABY"/>
    <s v=""/>
    <s v=""/>
    <s v=""/>
    <s v=""/>
    <s v=""/>
    <s v=""/>
    <s v=""/>
    <d v="2025-10-30T14:41:01"/>
    <s v="No"/>
    <s v=""/>
    <s v="Kolkata"/>
    <s v="West Bengal"/>
    <n v="700016"/>
    <s v="India"/>
    <s v="Indian Rupee"/>
    <n v="62042300"/>
    <m/>
    <n v="2000"/>
    <s v="TINYK2627100424"/>
    <s v=""/>
    <s v=""/>
    <s v="No"/>
    <n v="5"/>
    <n v="0"/>
    <n v="0"/>
    <n v="5"/>
    <n v="95.238"/>
    <n v="0"/>
    <n v="0"/>
    <n v="95.238"/>
    <m/>
    <n v="1"/>
    <d v="2025-10-29T12:00:00"/>
    <n v="2000"/>
    <n v="95.238"/>
    <n v="2095.2379999999998"/>
  </r>
  <r>
    <s v="NYK-32164401-7676333-1-1"/>
    <s v="NYKF35563658"/>
    <s v="TINAD00000080"/>
    <x v="133"/>
    <n v="1"/>
    <x v="1"/>
    <n v="1"/>
    <n v="1"/>
    <n v="2500"/>
    <n v="2000"/>
    <n v="0"/>
    <n v="2049"/>
    <n v="49"/>
    <s v="COD"/>
    <d v="2025-10-07T17:17:56"/>
    <d v="2025-10-09T17:38:12"/>
    <d v="2025-10-12T19:00:56"/>
    <s v="28449521932190"/>
    <s v="DelhiverySurface"/>
    <d v="2025-10-08T17:25:10"/>
    <s v=""/>
    <s v="TINY BABY"/>
    <s v=""/>
    <s v=""/>
    <s v=""/>
    <s v=""/>
    <s v=""/>
    <s v=""/>
    <s v=""/>
    <d v="2025-10-12T19:06:14"/>
    <s v="No"/>
    <s v=""/>
    <s v="Noida"/>
    <s v="Uttar Pradesh"/>
    <n v="201306"/>
    <s v="India"/>
    <s v="Indian Rupee"/>
    <n v="62042300"/>
    <m/>
    <n v="2000"/>
    <s v="TINYK2627100277"/>
    <s v=""/>
    <s v=""/>
    <s v="No"/>
    <n v="5"/>
    <n v="0"/>
    <n v="0"/>
    <n v="5"/>
    <n v="95.238"/>
    <n v="0"/>
    <n v="0"/>
    <n v="95.238"/>
    <m/>
    <n v="0.75"/>
    <d v="2025-10-10T12:00:00"/>
    <n v="2000"/>
    <n v="95.238"/>
    <n v="2095.2379999999998"/>
  </r>
  <r>
    <s v="NYK-32255483-9312759-2-1"/>
    <s v="NYKF35664912"/>
    <s v="TINAD00000085"/>
    <x v="134"/>
    <n v="1"/>
    <x v="0"/>
    <n v="1"/>
    <n v="1"/>
    <n v="2500"/>
    <n v="2000"/>
    <n v="0"/>
    <n v="2014.88"/>
    <n v="14.88"/>
    <s v="Prepaid"/>
    <d v="2025-10-10T15:11:53"/>
    <d v="2025-10-11T17:55:57"/>
    <d v="2025-10-15T12:36:56"/>
    <s v="28449520501946"/>
    <s v="DelhiverySurface"/>
    <d v="2025-10-10T19:35:20"/>
    <s v=""/>
    <s v="TINY BABY"/>
    <s v=""/>
    <s v=""/>
    <s v="TINYK12033035"/>
    <s v="Raise Return"/>
    <s v="Reverse PickUP Delivered"/>
    <s v=""/>
    <s v=""/>
    <d v="2025-10-27T14:56:15"/>
    <s v="No"/>
    <s v=""/>
    <s v="Ghatal"/>
    <s v="West Bengal"/>
    <n v="721212"/>
    <s v="India"/>
    <s v="Indian Rupee"/>
    <n v="62042300"/>
    <m/>
    <n v="2000"/>
    <s v="TINYK2627100297"/>
    <s v="NFBACK20"/>
    <s v=""/>
    <s v="No"/>
    <n v="5"/>
    <n v="0"/>
    <n v="0"/>
    <n v="5"/>
    <n v="95.238"/>
    <n v="0"/>
    <n v="0"/>
    <n v="95.238"/>
    <m/>
    <n v="0.75"/>
    <d v="2025-10-13T12:00:00"/>
    <n v="2000"/>
    <n v="95.238"/>
    <n v="2095.2379999999998"/>
  </r>
  <r>
    <s v="NYK-32726961-4518314-2-1"/>
    <s v="NYKF36171760"/>
    <s v="TINAD00000086"/>
    <x v="135"/>
    <n v="4"/>
    <x v="1"/>
    <n v="1"/>
    <n v="1"/>
    <n v="2500"/>
    <n v="2000"/>
    <n v="0"/>
    <n v="2010.38"/>
    <n v="10.38"/>
    <s v="Prepaid"/>
    <d v="2025-10-26T18:45:18"/>
    <d v="2025-10-28T17:10:00"/>
    <d v="2025-10-30T09:47:47"/>
    <s v="28449527397775"/>
    <s v="DelhiverySurface"/>
    <d v="2025-10-27T19:08:35"/>
    <s v=""/>
    <s v="TINY BABY"/>
    <s v=""/>
    <s v=""/>
    <s v=""/>
    <s v=""/>
    <s v=""/>
    <s v=""/>
    <s v=""/>
    <d v="2025-10-30T09:51:14"/>
    <s v="No"/>
    <s v=""/>
    <s v="Noida"/>
    <s v="Uttar Pradesh"/>
    <n v="201304"/>
    <s v="India"/>
    <s v="Indian Rupee"/>
    <n v="62042300"/>
    <m/>
    <n v="2000"/>
    <s v="TINYK2627100420"/>
    <s v="NFOFF15"/>
    <s v=""/>
    <s v="No"/>
    <n v="5"/>
    <n v="0"/>
    <n v="0"/>
    <n v="5"/>
    <n v="95.238"/>
    <n v="0"/>
    <n v="0"/>
    <n v="95.238"/>
    <m/>
    <n v="0.75"/>
    <d v="2025-10-29T12:00:00"/>
    <n v="2000"/>
    <n v="95.238"/>
    <n v="2095.2379999999998"/>
  </r>
  <r>
    <s v="NYK-32426933-4933097-3-1"/>
    <s v="NYKF35858702"/>
    <s v="TINAD00000170"/>
    <x v="136"/>
    <n v="1"/>
    <x v="1"/>
    <n v="1"/>
    <n v="1"/>
    <n v="2750"/>
    <n v="2200"/>
    <n v="0"/>
    <n v="2207.123"/>
    <n v="7.1230000000000002"/>
    <s v="Prepaid"/>
    <d v="2025-10-14T23:32:13"/>
    <d v="2025-10-16T17:34:47"/>
    <d v="2025-10-20T10:01:48"/>
    <s v="28449521154615"/>
    <s v="DelhiverySurface"/>
    <d v="2025-10-15T19:10:53"/>
    <s v=""/>
    <s v="TINY BABY"/>
    <s v=""/>
    <s v=""/>
    <s v=""/>
    <s v=""/>
    <s v=""/>
    <s v=""/>
    <s v=""/>
    <d v="2025-10-20T10:06:17"/>
    <s v="No"/>
    <s v=""/>
    <s v="Allahabad"/>
    <s v="Uttar Pradesh"/>
    <n v="211013"/>
    <s v="India"/>
    <s v="Indian Rupee"/>
    <n v="62042300"/>
    <m/>
    <n v="2200"/>
    <s v="TINYK2627100368"/>
    <s v="NFSD5OO"/>
    <s v=""/>
    <s v="No"/>
    <n v="5"/>
    <n v="0"/>
    <n v="0"/>
    <n v="5"/>
    <n v="104.762"/>
    <n v="0"/>
    <n v="0"/>
    <n v="104.762"/>
    <m/>
    <n v="1.35"/>
    <d v="2025-10-17T12:00:00"/>
    <n v="2200"/>
    <n v="104.762"/>
    <n v="2304.7620000000002"/>
  </r>
  <r>
    <s v="NYK-32048316-0083109-1-1"/>
    <s v="NYKF35433862"/>
    <s v="TINAD00000203"/>
    <x v="137"/>
    <n v="1"/>
    <x v="0"/>
    <n v="1"/>
    <n v="1"/>
    <n v="3250"/>
    <n v="2275"/>
    <n v="0"/>
    <n v="2304"/>
    <n v="29"/>
    <s v="Prepaid"/>
    <d v="2025-10-04T09:24:43"/>
    <d v="2025-10-06T17:08:42"/>
    <d v="2025-10-09T19:18:04"/>
    <s v="28449519874610"/>
    <s v="DelhiverySurface"/>
    <d v="2025-10-04T20:08:17"/>
    <s v=""/>
    <s v="TINY BABY"/>
    <s v=""/>
    <s v=""/>
    <s v="TINYK11977995"/>
    <s v="Raise Return"/>
    <s v="Reverse PickUP Delivered"/>
    <s v=""/>
    <s v=""/>
    <d v="2025-10-24T15:06:22"/>
    <s v="No"/>
    <s v=""/>
    <s v="Gurgaon"/>
    <s v="Haryana"/>
    <n v="122001"/>
    <s v="India"/>
    <s v="Indian Rupee"/>
    <n v="62042300"/>
    <m/>
    <n v="2275"/>
    <s v="TINYK2627100233"/>
    <s v="NFSAVE"/>
    <s v=""/>
    <s v="No"/>
    <n v="5"/>
    <n v="0"/>
    <n v="0"/>
    <n v="5"/>
    <n v="108.333"/>
    <n v="0"/>
    <n v="0"/>
    <n v="108.333"/>
    <m/>
    <n v="0.75"/>
    <d v="2025-10-06T12:00:00"/>
    <n v="2275"/>
    <n v="108.333"/>
    <n v="2383.3330000000001"/>
  </r>
  <r>
    <s v="NYK-32706961-5186780-1-1"/>
    <s v="NYKF36150547"/>
    <s v="TINAD00000211"/>
    <x v="138"/>
    <n v="1"/>
    <x v="4"/>
    <n v="1"/>
    <n v="0"/>
    <n v="3250"/>
    <n v="2275"/>
    <n v="0"/>
    <n v="2324"/>
    <n v="49"/>
    <s v="COD"/>
    <d v="2025-10-25T23:29:47"/>
    <m/>
    <m/>
    <s v=""/>
    <s v="DelhiverySurface"/>
    <m/>
    <s v="Found a better price somewhere else"/>
    <s v="TINY BABY"/>
    <s v=""/>
    <s v=""/>
    <s v=""/>
    <s v=""/>
    <s v=""/>
    <s v=""/>
    <s v=""/>
    <d v="2025-10-25T23:33:58"/>
    <s v="No"/>
    <s v=""/>
    <s v="New Delhi"/>
    <s v="Delhi"/>
    <n v="110085"/>
    <s v="India"/>
    <s v="Indian Rupee"/>
    <n v="62042300"/>
    <d v="2025-10-25T23:33:58"/>
    <n v="2275"/>
    <s v=""/>
    <s v="NFNIGHT20"/>
    <s v=""/>
    <s v="No"/>
    <n v="5"/>
    <n v="0"/>
    <n v="0"/>
    <n v="5"/>
    <n v="108.333"/>
    <n v="0"/>
    <n v="0"/>
    <n v="108.333"/>
    <m/>
    <m/>
    <d v="2025-10-28T12:00:00"/>
    <n v="2275"/>
    <n v="108.333"/>
    <n v="2383.3330000000001"/>
  </r>
  <r>
    <s v="NYK-32459689-7416566-1-1"/>
    <s v="NYKF35893896"/>
    <s v="TINAD00000213"/>
    <x v="139"/>
    <n v="1"/>
    <x v="1"/>
    <n v="1"/>
    <n v="1"/>
    <n v="3250"/>
    <n v="2275"/>
    <n v="0"/>
    <n v="2324"/>
    <n v="49"/>
    <s v="COD"/>
    <d v="2025-10-15T22:26:57"/>
    <d v="2025-10-18T17:28:33"/>
    <d v="2025-10-24T15:53:19"/>
    <s v="28449525193685"/>
    <s v="DelhiverySurface"/>
    <d v="2025-10-17T17:07:48"/>
    <s v=""/>
    <s v="TINY BABY"/>
    <s v=""/>
    <s v=""/>
    <s v=""/>
    <s v=""/>
    <s v=""/>
    <s v=""/>
    <s v=""/>
    <d v="2025-10-24T15:56:06"/>
    <s v="No"/>
    <s v=""/>
    <s v="Sikandarpur"/>
    <s v="Uttar Pradesh"/>
    <n v="277124"/>
    <s v="India"/>
    <s v="Indian Rupee"/>
    <n v="62042300"/>
    <m/>
    <n v="2275"/>
    <s v="TINYK2627100373"/>
    <s v="NFDNXT10"/>
    <s v=""/>
    <s v="No"/>
    <n v="5"/>
    <n v="0"/>
    <n v="0"/>
    <n v="5"/>
    <n v="108.333"/>
    <n v="0"/>
    <n v="0"/>
    <n v="108.333"/>
    <m/>
    <n v="0.75"/>
    <d v="2025-10-18T12:00:00"/>
    <n v="2275"/>
    <n v="108.333"/>
    <n v="2383.3330000000001"/>
  </r>
  <r>
    <s v="NYK-32683979-8822403-1-1"/>
    <s v="NYKF36125959"/>
    <s v="TINAD00000231"/>
    <x v="140"/>
    <n v="1"/>
    <x v="1"/>
    <n v="1"/>
    <n v="1"/>
    <n v="2500"/>
    <n v="2000"/>
    <n v="0"/>
    <n v="2029"/>
    <n v="29"/>
    <s v="Prepaid"/>
    <d v="2025-10-25T07:50:22"/>
    <d v="2025-10-27T15:53:00"/>
    <d v="2025-10-29T20:00:00"/>
    <s v="88282187232"/>
    <s v="BLUEDART"/>
    <d v="2025-10-25T17:56:13"/>
    <s v=""/>
    <s v="TINY BABY"/>
    <s v=""/>
    <s v=""/>
    <s v=""/>
    <s v=""/>
    <s v=""/>
    <s v=""/>
    <s v=""/>
    <d v="2025-10-29T20:06:00"/>
    <s v="No"/>
    <s v=""/>
    <s v="Hyderabad"/>
    <s v="Telangana"/>
    <n v="500032"/>
    <s v="India"/>
    <s v="Indian Rupee"/>
    <n v="62042300"/>
    <m/>
    <n v="2000"/>
    <s v="TINYK2627100414"/>
    <s v="NFSTYLE"/>
    <s v=""/>
    <s v="No"/>
    <n v="5"/>
    <n v="0"/>
    <n v="0"/>
    <n v="5"/>
    <n v="95.238"/>
    <n v="0"/>
    <n v="0"/>
    <n v="95.238"/>
    <m/>
    <n v="0.75"/>
    <d v="2025-10-27T12:00:00"/>
    <n v="2000"/>
    <n v="95.238"/>
    <n v="2095.2379999999998"/>
  </r>
  <r>
    <s v="NYK-32735375-0543963-3-1"/>
    <s v="NYKF36180923"/>
    <s v="TINAD00000302"/>
    <x v="141"/>
    <n v="5"/>
    <x v="1"/>
    <n v="1"/>
    <n v="1"/>
    <n v="2750"/>
    <n v="2200"/>
    <n v="0"/>
    <n v="2210.701"/>
    <n v="10.701000000000001"/>
    <s v="COD"/>
    <d v="2025-10-26T23:12:24"/>
    <d v="2025-10-28T17:07:55"/>
    <d v="2025-10-30T14:39:27"/>
    <s v="28449525843720"/>
    <s v="DelhiverySurface"/>
    <d v="2025-10-27T19:08:35"/>
    <s v=""/>
    <s v="TINY BABY"/>
    <s v=""/>
    <s v=""/>
    <s v=""/>
    <s v=""/>
    <s v=""/>
    <s v=""/>
    <s v=""/>
    <d v="2025-10-30T14:41:01"/>
    <s v="No"/>
    <s v=""/>
    <s v="Kolkata"/>
    <s v="West Bengal"/>
    <n v="700016"/>
    <s v="India"/>
    <s v="Indian Rupee"/>
    <n v="62042300"/>
    <m/>
    <n v="2200"/>
    <s v="TINYK2627100424"/>
    <s v=""/>
    <s v=""/>
    <s v="No"/>
    <n v="5"/>
    <n v="0"/>
    <n v="0"/>
    <n v="5"/>
    <n v="104.762"/>
    <n v="0"/>
    <n v="0"/>
    <n v="104.762"/>
    <m/>
    <n v="1"/>
    <d v="2025-10-29T12:00:00"/>
    <n v="2200"/>
    <n v="104.762"/>
    <n v="2304.7620000000002"/>
  </r>
  <r>
    <s v="NYK-32660860-4093560-1-1"/>
    <s v="NYKF36101591"/>
    <s v="TINAD00000511"/>
    <x v="142"/>
    <n v="1"/>
    <x v="0"/>
    <n v="1"/>
    <n v="1"/>
    <n v="3250"/>
    <n v="2275"/>
    <n v="0"/>
    <n v="2275"/>
    <n v="0"/>
    <s v="Prepaid"/>
    <d v="2025-10-24T11:04:54"/>
    <d v="2025-10-24T17:33:21"/>
    <d v="2025-10-27T13:07:44"/>
    <s v="28449527105514"/>
    <s v="DelhiverySurface"/>
    <d v="2025-10-24T12:00:44"/>
    <s v=""/>
    <s v="TINY BABY"/>
    <s v=""/>
    <s v=""/>
    <s v="TINYK12202496"/>
    <s v="Raise Return"/>
    <s v="Reverse PickUP Done"/>
    <s v=""/>
    <s v=""/>
    <d v="2025-10-31T09:21:08"/>
    <s v="No"/>
    <s v=""/>
    <s v="Faridabad"/>
    <s v="Haryana"/>
    <n v="121101"/>
    <s v="India"/>
    <s v="Indian Rupee"/>
    <n v="62044220"/>
    <m/>
    <n v="2275"/>
    <s v="TINYK2627100399"/>
    <s v="NFNEW15"/>
    <s v=""/>
    <s v="No"/>
    <n v="5"/>
    <n v="0"/>
    <n v="0"/>
    <n v="5"/>
    <n v="108.333"/>
    <n v="0"/>
    <n v="0"/>
    <n v="108.333"/>
    <m/>
    <n v="0.75"/>
    <d v="2025-10-26T12:00:00"/>
    <n v="2275"/>
    <n v="108.333"/>
    <n v="2383.3330000000001"/>
  </r>
  <r>
    <s v="NYK-32018098-0668323-1-1"/>
    <s v="NYKF35400164"/>
    <s v="TINAD00000115"/>
    <x v="143"/>
    <n v="1"/>
    <x v="1"/>
    <n v="1"/>
    <n v="1"/>
    <n v="3000"/>
    <n v="2100"/>
    <n v="0"/>
    <n v="2149"/>
    <n v="49"/>
    <s v="COD"/>
    <d v="2025-10-03T08:34:28"/>
    <d v="2025-10-04T17:18:08"/>
    <d v="2025-10-09T11:44:05"/>
    <s v="28449519514994"/>
    <s v="DelhiverySurface"/>
    <d v="2025-10-03T19:34:48"/>
    <s v=""/>
    <s v="TINY BABY"/>
    <s v=""/>
    <s v=""/>
    <s v=""/>
    <s v=""/>
    <s v=""/>
    <s v=""/>
    <s v=""/>
    <d v="2025-10-09T12:01:05"/>
    <s v="No"/>
    <s v=""/>
    <s v="Amritsar"/>
    <s v="Punjab"/>
    <n v="143001"/>
    <s v="India"/>
    <s v="Indian Rupee"/>
    <n v="62042300"/>
    <m/>
    <n v="2100"/>
    <s v="TINYK2627100217"/>
    <s v=""/>
    <s v=""/>
    <s v="No"/>
    <n v="5"/>
    <n v="0"/>
    <n v="0"/>
    <n v="5"/>
    <n v="100"/>
    <n v="0"/>
    <n v="0"/>
    <n v="100"/>
    <m/>
    <n v="0.75"/>
    <d v="2025-10-05T12:00:00"/>
    <n v="2100"/>
    <n v="100"/>
    <n v="2200"/>
  </r>
  <r>
    <s v="NYK-32733197-6690468-1-1"/>
    <s v="NYKF36178533"/>
    <s v="TINAD00000116"/>
    <x v="144"/>
    <n v="1"/>
    <x v="3"/>
    <n v="1"/>
    <n v="1"/>
    <n v="3000"/>
    <n v="2100"/>
    <n v="0"/>
    <n v="2149"/>
    <n v="49"/>
    <s v="COD"/>
    <d v="2025-10-26T22:08:10"/>
    <d v="2025-10-28T17:09:52"/>
    <m/>
    <s v="28449525843926"/>
    <s v="DelhiverySurface"/>
    <d v="2025-10-27T19:08:35"/>
    <s v=""/>
    <s v="TINY BABY"/>
    <s v=""/>
    <s v=""/>
    <s v=""/>
    <s v=""/>
    <s v=""/>
    <s v=""/>
    <s v=""/>
    <d v="2025-10-31T12:16:22"/>
    <s v="No"/>
    <s v=""/>
    <s v="Bijainagar"/>
    <s v="Rajasthan"/>
    <n v="305624"/>
    <s v="India"/>
    <s v="Indian Rupee"/>
    <n v="62042300"/>
    <m/>
    <n v="2100"/>
    <s v="TINYK2627100421"/>
    <s v=""/>
    <s v=""/>
    <s v="No"/>
    <n v="5"/>
    <n v="0"/>
    <n v="0"/>
    <n v="5"/>
    <n v="100"/>
    <n v="0"/>
    <n v="0"/>
    <n v="100"/>
    <m/>
    <n v="0.75"/>
    <d v="2025-10-29T12:00:00"/>
    <n v="2100"/>
    <n v="100"/>
    <n v="2200"/>
  </r>
  <r>
    <s v="NYK-32047794-8474444-1-1"/>
    <s v="NYKF35433281"/>
    <s v="TINAD00000256"/>
    <x v="145"/>
    <n v="1"/>
    <x v="0"/>
    <n v="1"/>
    <n v="1"/>
    <n v="3250"/>
    <n v="2275"/>
    <n v="0"/>
    <n v="2304"/>
    <n v="29"/>
    <s v="Prepaid"/>
    <d v="2025-10-04T08:57:54"/>
    <d v="2025-10-06T17:08:47"/>
    <d v="2025-10-10T17:28:27"/>
    <s v="28449519870771"/>
    <s v="DelhiverySurface"/>
    <d v="2025-10-04T20:08:17"/>
    <s v=""/>
    <s v="TINY BABY"/>
    <s v=""/>
    <s v=""/>
    <s v="TINYK12043131"/>
    <s v="Raise Return"/>
    <s v="Reverse PickUP Done"/>
    <s v=""/>
    <s v=""/>
    <d v="2025-10-30T11:41:11"/>
    <s v="No"/>
    <s v=""/>
    <s v="Bargarh"/>
    <s v="orissa"/>
    <n v="768028"/>
    <s v="India"/>
    <s v="Indian Rupee"/>
    <n v="62042300"/>
    <m/>
    <n v="2275"/>
    <s v="TINYK2627100231"/>
    <s v=""/>
    <s v=""/>
    <s v="No"/>
    <n v="5"/>
    <n v="0"/>
    <n v="0"/>
    <n v="5"/>
    <n v="108.333"/>
    <n v="0"/>
    <n v="0"/>
    <n v="108.333"/>
    <m/>
    <n v="0.75"/>
    <d v="2025-10-06T12:00:00"/>
    <n v="2275"/>
    <n v="108.333"/>
    <n v="2383.3330000000001"/>
  </r>
  <r>
    <s v="NYK-32706661-4579006-1-1"/>
    <s v="NYKF36150204"/>
    <s v="TINAD00000259"/>
    <x v="146"/>
    <n v="1"/>
    <x v="4"/>
    <n v="1"/>
    <n v="0"/>
    <n v="3250"/>
    <n v="2275"/>
    <n v="0"/>
    <n v="2295"/>
    <n v="20"/>
    <s v="COD"/>
    <d v="2025-10-25T23:19:39"/>
    <m/>
    <m/>
    <s v=""/>
    <s v="DelhiverySurface"/>
    <m/>
    <s v="Change style/color"/>
    <s v="TINY BABY"/>
    <s v=""/>
    <s v=""/>
    <s v=""/>
    <s v=""/>
    <s v=""/>
    <s v=""/>
    <s v=""/>
    <d v="2025-10-25T23:26:59"/>
    <s v="No"/>
    <s v=""/>
    <s v="New Delhi"/>
    <s v="Delhi"/>
    <n v="110085"/>
    <s v="India"/>
    <s v="Indian Rupee"/>
    <n v="62042300"/>
    <d v="2025-10-25T23:26:59"/>
    <n v="2275"/>
    <s v=""/>
    <s v="NFNIGHT20"/>
    <s v=""/>
    <s v="No"/>
    <n v="5"/>
    <n v="0"/>
    <n v="0"/>
    <n v="5"/>
    <n v="108.333"/>
    <n v="0"/>
    <n v="0"/>
    <n v="108.333"/>
    <m/>
    <m/>
    <d v="2025-10-28T12:00:00"/>
    <n v="2275"/>
    <n v="108.333"/>
    <n v="2383.3330000000001"/>
  </r>
  <r>
    <s v="NYK-32618471-6738610-1-1"/>
    <s v="NYKF36057578"/>
    <s v="TINAD00000259"/>
    <x v="146"/>
    <n v="1"/>
    <x v="0"/>
    <n v="1"/>
    <n v="1"/>
    <n v="3250"/>
    <n v="2275"/>
    <n v="0"/>
    <n v="2298.35"/>
    <n v="23.35"/>
    <s v="COD"/>
    <d v="2025-10-22T15:22:19"/>
    <d v="2025-10-24T17:32:08"/>
    <d v="2025-10-28T15:50:27"/>
    <s v="28449525582314"/>
    <s v="DelhiverySurface"/>
    <d v="2025-10-24T12:00:44"/>
    <s v=""/>
    <s v="TINY BABY"/>
    <s v=""/>
    <s v=""/>
    <s v="TINYK12203197"/>
    <s v="Raise Return"/>
    <s v="Reverse PickUP Done"/>
    <s v=""/>
    <s v=""/>
    <d v="2025-10-31T13:26:25"/>
    <s v="No"/>
    <s v=""/>
    <s v="Bareilly"/>
    <s v="Uttar Pradesh"/>
    <n v="243503"/>
    <s v="India"/>
    <s v="Indian Rupee"/>
    <n v="62042300"/>
    <m/>
    <n v="2275"/>
    <s v="TINYK2627100411"/>
    <s v=""/>
    <s v=""/>
    <s v="No"/>
    <n v="5"/>
    <n v="0"/>
    <n v="0"/>
    <n v="5"/>
    <n v="108.333"/>
    <n v="0"/>
    <n v="0"/>
    <n v="108.333"/>
    <m/>
    <n v="0.75"/>
    <d v="2025-10-25T12:00:00"/>
    <n v="2275"/>
    <n v="108.333"/>
    <n v="2383.3330000000001"/>
  </r>
  <r>
    <s v="NYK-32553369-8910454-1-1"/>
    <s v="NYKF35990394"/>
    <s v="TINAD00000260"/>
    <x v="147"/>
    <n v="1"/>
    <x v="0"/>
    <n v="1"/>
    <n v="1"/>
    <n v="3250"/>
    <n v="2275"/>
    <n v="0"/>
    <n v="2295"/>
    <n v="20"/>
    <s v="COD"/>
    <d v="2025-10-19T12:58:30"/>
    <d v="2025-10-24T15:49:00"/>
    <d v="2025-10-26T14:46:00"/>
    <s v="59497120745"/>
    <s v="BLUEDART"/>
    <d v="2025-10-19T13:19:59"/>
    <s v=""/>
    <s v="TINY BABY"/>
    <s v=""/>
    <s v=""/>
    <s v="TINYK12177961"/>
    <s v="Raise Return"/>
    <s v="Reverse PickUP Done"/>
    <s v=""/>
    <s v=""/>
    <d v="2025-10-31T12:26:27"/>
    <s v="No"/>
    <s v=""/>
    <s v="Hyderabad"/>
    <s v="Telangana"/>
    <n v="500018"/>
    <s v="India"/>
    <s v="Indian Rupee"/>
    <n v="62042300"/>
    <m/>
    <n v="2275"/>
    <s v="TINYK2627100387"/>
    <s v=""/>
    <s v=""/>
    <s v="No"/>
    <n v="5"/>
    <n v="0"/>
    <n v="0"/>
    <n v="5"/>
    <n v="108.333"/>
    <n v="0"/>
    <n v="0"/>
    <n v="108.333"/>
    <m/>
    <n v="0.75"/>
    <d v="2025-10-22T12:00:00"/>
    <n v="2275"/>
    <n v="108.333"/>
    <n v="2383.3330000000001"/>
  </r>
  <r>
    <s v="NYK-32103884-8258750-2-1"/>
    <s v="NYKF35496099"/>
    <s v="TINAD00000260"/>
    <x v="147"/>
    <n v="3"/>
    <x v="1"/>
    <n v="1"/>
    <n v="1"/>
    <n v="3250"/>
    <n v="2275"/>
    <n v="0"/>
    <n v="2281.558"/>
    <n v="6.5579999999999998"/>
    <s v="COD"/>
    <d v="2025-10-05T21:00:59"/>
    <d v="2025-10-07T17:25:04"/>
    <d v="2025-10-13T10:46:58"/>
    <s v="28449521767373"/>
    <s v="DelhiverySurface"/>
    <d v="2025-10-06T19:31:11"/>
    <s v=""/>
    <s v="TINY BABY"/>
    <s v=""/>
    <s v=""/>
    <s v=""/>
    <s v=""/>
    <s v=""/>
    <s v=""/>
    <s v=""/>
    <d v="2025-10-13T10:50:56"/>
    <s v="No"/>
    <s v=""/>
    <s v="Sirohi"/>
    <s v="Rajasthan"/>
    <n v="307027"/>
    <s v="India"/>
    <s v="Indian Rupee"/>
    <n v="62042300"/>
    <m/>
    <n v="2275"/>
    <s v="TINYK2627100251"/>
    <s v="NFSDS15"/>
    <s v=""/>
    <s v="No"/>
    <n v="5"/>
    <n v="0"/>
    <n v="0"/>
    <n v="5"/>
    <n v="108.333"/>
    <n v="0"/>
    <n v="0"/>
    <n v="108.333"/>
    <m/>
    <n v="1"/>
    <d v="2025-10-08T12:00:00"/>
    <n v="2275"/>
    <n v="108.333"/>
    <n v="2383.3330000000001"/>
  </r>
  <r>
    <s v="NYK-32768021-6005536-1-1"/>
    <s v="NYKF36229657"/>
    <s v="TINAD00000261"/>
    <x v="148"/>
    <n v="1"/>
    <x v="3"/>
    <n v="1"/>
    <n v="1"/>
    <n v="3250"/>
    <n v="2275"/>
    <n v="0"/>
    <n v="2275"/>
    <n v="0"/>
    <s v="Prepaid"/>
    <d v="2025-10-28T10:03:26"/>
    <d v="2025-10-29T14:55:32"/>
    <m/>
    <s v="SF2188137319NYK"/>
    <s v="Shadowfax"/>
    <d v="2025-10-29T11:01:11"/>
    <s v=""/>
    <s v="TINY BABY"/>
    <s v=""/>
    <s v=""/>
    <s v=""/>
    <s v=""/>
    <s v=""/>
    <s v=""/>
    <s v=""/>
    <d v="2025-10-30T13:11:50"/>
    <s v="No"/>
    <s v=""/>
    <s v="Hyderabad"/>
    <s v="Telangana"/>
    <n v="500018"/>
    <s v="India"/>
    <s v="Indian Rupee"/>
    <n v="62042300"/>
    <m/>
    <n v="2275"/>
    <s v="TINYK2627100433"/>
    <s v=""/>
    <s v="replacement_order"/>
    <s v="No"/>
    <n v="5"/>
    <n v="0"/>
    <n v="0"/>
    <n v="5"/>
    <n v="108.333"/>
    <n v="0"/>
    <n v="0"/>
    <n v="108.333"/>
    <m/>
    <n v="0.75"/>
    <d v="2025-10-31T12:00:00"/>
    <n v="2275"/>
    <n v="108.333"/>
    <n v="2383.3330000000001"/>
  </r>
  <r>
    <s v="NYK-32733953-8101789-4-1"/>
    <s v="NYKF36179425"/>
    <s v="TINAD00000261"/>
    <x v="148"/>
    <n v="1"/>
    <x v="1"/>
    <n v="1"/>
    <n v="1"/>
    <n v="3250"/>
    <n v="2275"/>
    <n v="0"/>
    <n v="2282.21"/>
    <n v="7.21"/>
    <s v="Prepaid"/>
    <d v="2025-10-26T22:31:42"/>
    <d v="2025-10-28T15:56:00"/>
    <d v="2025-10-30T11:13:00"/>
    <s v="88282202691"/>
    <s v="BLUEDART"/>
    <d v="2025-10-27T19:08:35"/>
    <s v=""/>
    <s v="TINY BABY"/>
    <s v=""/>
    <s v=""/>
    <s v=""/>
    <s v=""/>
    <s v=""/>
    <s v=""/>
    <s v=""/>
    <d v="2025-10-30T11:21:05"/>
    <s v="No"/>
    <s v=""/>
    <s v="Hyderabad"/>
    <s v="Telangana"/>
    <n v="500049"/>
    <s v="India"/>
    <s v="Indian Rupee"/>
    <n v="62042300"/>
    <m/>
    <n v="2275"/>
    <s v="TINYK2627100415"/>
    <s v="NTBKF10"/>
    <s v=""/>
    <s v="No"/>
    <n v="5"/>
    <n v="0"/>
    <n v="0"/>
    <n v="5"/>
    <n v="108.333"/>
    <n v="0"/>
    <n v="0"/>
    <n v="108.333"/>
    <m/>
    <n v="0.75"/>
    <d v="2025-10-29T12:00:00"/>
    <n v="2275"/>
    <n v="108.333"/>
    <n v="2383.3330000000001"/>
  </r>
  <r>
    <s v="NYK-32701183-3361730-1-1"/>
    <s v="NYKF36144363"/>
    <s v="TINAD00000261"/>
    <x v="148"/>
    <n v="1"/>
    <x v="3"/>
    <n v="1"/>
    <n v="1"/>
    <n v="3250"/>
    <n v="2275"/>
    <n v="0"/>
    <n v="2304"/>
    <n v="29"/>
    <s v="Prepaid"/>
    <d v="2025-10-25T20:12:42"/>
    <d v="2025-10-28T17:09:40"/>
    <m/>
    <s v="28449527396191"/>
    <s v="DelhiverySurface"/>
    <d v="2025-10-27T19:08:35"/>
    <s v=""/>
    <s v="TINY BABY"/>
    <s v=""/>
    <s v=""/>
    <s v=""/>
    <s v=""/>
    <s v=""/>
    <s v=""/>
    <s v=""/>
    <d v="2025-10-31T12:41:21"/>
    <s v="No"/>
    <s v=""/>
    <s v="Bangalore"/>
    <s v="Karnataka"/>
    <n v="560048"/>
    <s v="India"/>
    <s v="Indian Rupee"/>
    <n v="62042300"/>
    <m/>
    <n v="2275"/>
    <s v="TINYK2627100417"/>
    <s v="NFBACK20"/>
    <s v=""/>
    <s v="No"/>
    <n v="5"/>
    <n v="0"/>
    <n v="0"/>
    <n v="5"/>
    <n v="108.333"/>
    <n v="0"/>
    <n v="0"/>
    <n v="108.333"/>
    <m/>
    <n v="0.75"/>
    <d v="2025-10-28T12:00:00"/>
    <n v="2275"/>
    <n v="108.333"/>
    <n v="2383.3330000000001"/>
  </r>
  <r>
    <s v="NYK-32630126-7399169-1-1"/>
    <s v="NYKF36070076"/>
    <s v="TINAD00000261"/>
    <x v="148"/>
    <n v="1"/>
    <x v="1"/>
    <n v="1"/>
    <n v="1"/>
    <n v="3250"/>
    <n v="2275"/>
    <n v="0"/>
    <n v="2304"/>
    <n v="29"/>
    <s v="Prepaid"/>
    <d v="2025-10-22T23:53:19"/>
    <d v="2025-10-24T17:34:08"/>
    <d v="2025-10-26T17:42:52"/>
    <s v="28449527104232"/>
    <s v="DelhiverySurface"/>
    <d v="2025-10-24T12:00:44"/>
    <s v=""/>
    <s v="TINY BABY"/>
    <s v=""/>
    <s v=""/>
    <s v=""/>
    <s v=""/>
    <s v=""/>
    <s v=""/>
    <s v=""/>
    <d v="2025-10-26T17:46:33"/>
    <s v="No"/>
    <s v=""/>
    <s v="Gurugram"/>
    <s v="Haryana"/>
    <n v="122001"/>
    <s v="India"/>
    <s v="Indian Rupee"/>
    <n v="62042300"/>
    <m/>
    <n v="2275"/>
    <s v="TINYK2627100412"/>
    <s v="NFDR15"/>
    <s v=""/>
    <s v="No"/>
    <n v="5"/>
    <n v="0"/>
    <n v="0"/>
    <n v="5"/>
    <n v="108.333"/>
    <n v="0"/>
    <n v="0"/>
    <n v="108.333"/>
    <m/>
    <n v="0.75"/>
    <d v="2025-10-25T12:00:00"/>
    <n v="2275"/>
    <n v="108.333"/>
    <n v="2383.3330000000001"/>
  </r>
  <r>
    <s v="NYK-32030101-8465440-1-1"/>
    <s v="NYKF35413340"/>
    <s v="TINAD00000261"/>
    <x v="148"/>
    <n v="1"/>
    <x v="6"/>
    <n v="1"/>
    <n v="1"/>
    <n v="3250"/>
    <n v="2275"/>
    <n v="0"/>
    <n v="2304"/>
    <n v="29"/>
    <s v="Prepaid"/>
    <d v="2025-10-03T16:17:45"/>
    <d v="2025-10-04T14:52:56"/>
    <m/>
    <s v="SF1835856296NYK"/>
    <s v="Shadowfax"/>
    <d v="2025-10-03T19:34:48"/>
    <s v=""/>
    <s v="TINY BABY"/>
    <s v=""/>
    <s v=""/>
    <s v="TINYK12038957"/>
    <s v="RTO"/>
    <s v="Confirmed"/>
    <s v=""/>
    <s v=""/>
    <d v="2025-10-18T01:06:16"/>
    <s v="No"/>
    <s v=""/>
    <s v="Gurugram"/>
    <s v="Haryana"/>
    <n v="122003"/>
    <s v="India"/>
    <s v="Indian Rupee"/>
    <n v="62042300"/>
    <m/>
    <n v="2275"/>
    <s v="TINYK2627100213"/>
    <s v="NFDR10"/>
    <s v=""/>
    <s v="No"/>
    <n v="5"/>
    <n v="0"/>
    <n v="0"/>
    <n v="5"/>
    <n v="108.333"/>
    <n v="0"/>
    <n v="0"/>
    <n v="108.333"/>
    <m/>
    <n v="0.75"/>
    <d v="2025-10-06T12:00:00"/>
    <n v="2275"/>
    <n v="108.333"/>
    <n v="2383.3330000000001"/>
  </r>
  <r>
    <s v="NYK-32614490-4896846-4-1"/>
    <s v="NYKF36053486"/>
    <s v="TINAD00000262"/>
    <x v="149"/>
    <n v="1"/>
    <x v="0"/>
    <n v="1"/>
    <n v="1"/>
    <n v="3250"/>
    <n v="2275"/>
    <n v="0"/>
    <n v="2278.2399999999998"/>
    <n v="3.24"/>
    <s v="Prepaid"/>
    <d v="2025-10-22T12:04:57"/>
    <d v="2025-10-24T17:33:34"/>
    <d v="2025-10-26T15:04:48"/>
    <s v="28449527103963"/>
    <s v="DelhiverySurface"/>
    <d v="2025-10-24T12:00:44"/>
    <s v=""/>
    <s v="TINY BABY"/>
    <s v=""/>
    <s v=""/>
    <s v="TINYK12187186"/>
    <s v="Raise Return"/>
    <s v="Reverse PickUP Done"/>
    <s v=""/>
    <s v=""/>
    <d v="2025-10-30T17:46:08"/>
    <s v="No"/>
    <s v=""/>
    <s v="Bangalore"/>
    <s v="Karnataka"/>
    <n v="560045"/>
    <s v="India"/>
    <s v="Indian Rupee"/>
    <n v="62042300"/>
    <m/>
    <n v="2275"/>
    <s v="TINYK2627100410"/>
    <s v="NFBACK20"/>
    <s v=""/>
    <s v="No"/>
    <n v="5"/>
    <n v="0"/>
    <n v="0"/>
    <n v="5"/>
    <n v="108.333"/>
    <n v="0"/>
    <n v="0"/>
    <n v="108.333"/>
    <m/>
    <n v="0.75"/>
    <d v="2025-10-25T12:00:00"/>
    <n v="2275"/>
    <n v="108.333"/>
    <n v="2383.3330000000001"/>
  </r>
  <r>
    <s v="NYK-32499144-8063121-1-1"/>
    <s v="NYKF35935950"/>
    <s v="TINAD00000262"/>
    <x v="149"/>
    <n v="1"/>
    <x v="0"/>
    <n v="1"/>
    <n v="1"/>
    <n v="3250"/>
    <n v="2275"/>
    <n v="0"/>
    <n v="2304"/>
    <n v="29"/>
    <s v="Prepaid"/>
    <d v="2025-10-17T07:57:43"/>
    <d v="2025-10-18T17:28:37"/>
    <d v="2025-10-21T16:42:09"/>
    <s v="28449521353706"/>
    <s v="DelhiverySurface"/>
    <d v="2025-10-17T18:45:29"/>
    <s v=""/>
    <s v="TINY BABY"/>
    <s v=""/>
    <s v=""/>
    <s v="TINYK12103919"/>
    <s v="Raise Return"/>
    <s v="Reverse PickUP Delivered"/>
    <s v=""/>
    <s v=""/>
    <d v="2025-10-29T19:21:03"/>
    <s v="No"/>
    <s v=""/>
    <s v="Bangalore"/>
    <s v="Karnataka"/>
    <n v="560100"/>
    <s v="India"/>
    <s v="Indian Rupee"/>
    <n v="62042300"/>
    <m/>
    <n v="2275"/>
    <s v="TINYK2627100379"/>
    <s v="NFBACK20"/>
    <s v=""/>
    <s v="No"/>
    <n v="5"/>
    <n v="0"/>
    <n v="0"/>
    <n v="5"/>
    <n v="108.333"/>
    <n v="0"/>
    <n v="0"/>
    <n v="108.333"/>
    <m/>
    <n v="0.75"/>
    <d v="2025-10-19T12:00:00"/>
    <n v="2275"/>
    <n v="108.333"/>
    <n v="2383.3330000000001"/>
  </r>
  <r>
    <s v="NYK-32359824-0156457-2-1"/>
    <s v="NYKF35783681"/>
    <s v="TINAD00000262"/>
    <x v="149"/>
    <n v="1"/>
    <x v="1"/>
    <n v="1"/>
    <n v="1"/>
    <n v="3250"/>
    <n v="2275"/>
    <n v="0"/>
    <n v="2288.88"/>
    <n v="13.88"/>
    <s v="Prepaid"/>
    <d v="2025-10-13T10:05:56"/>
    <d v="2025-10-14T17:43:30"/>
    <d v="2025-10-19T13:42:55"/>
    <s v="28449520861271"/>
    <s v="DelhiverySurface"/>
    <d v="2025-10-13T19:32:50"/>
    <s v=""/>
    <s v="TINY BABY"/>
    <s v=""/>
    <s v=""/>
    <s v=""/>
    <s v=""/>
    <s v=""/>
    <s v=""/>
    <s v=""/>
    <d v="2025-10-19T13:46:12"/>
    <s v="No"/>
    <s v=""/>
    <s v="Mirzapur"/>
    <s v="Uttar Pradesh"/>
    <n v="231001"/>
    <s v="India"/>
    <s v="Indian Rupee"/>
    <n v="62042300"/>
    <m/>
    <n v="2275"/>
    <s v="TINYK2627100347"/>
    <s v="NFSDS15"/>
    <s v=""/>
    <s v="No"/>
    <n v="5"/>
    <n v="0"/>
    <n v="0"/>
    <n v="5"/>
    <n v="108.333"/>
    <n v="0"/>
    <n v="0"/>
    <n v="108.333"/>
    <m/>
    <n v="0.75"/>
    <d v="2025-10-15T12:00:00"/>
    <n v="2275"/>
    <n v="108.333"/>
    <n v="2383.3330000000001"/>
  </r>
  <r>
    <s v="NYK-32320008-0448539-2-1"/>
    <s v="NYKF35738082"/>
    <s v="TINAD00000263"/>
    <x v="150"/>
    <n v="1"/>
    <x v="5"/>
    <n v="1"/>
    <n v="1"/>
    <n v="3250"/>
    <n v="2275"/>
    <n v="0"/>
    <n v="2301.2199999999998"/>
    <n v="26.22"/>
    <s v="COD"/>
    <d v="2025-10-12T11:57:29"/>
    <d v="2025-10-13T18:17:22"/>
    <m/>
    <s v="28449522285023"/>
    <s v="DelhiverySurface"/>
    <d v="2025-10-12T15:52:26"/>
    <s v=""/>
    <s v="TINY BABY"/>
    <s v=""/>
    <s v=""/>
    <s v="TINYK12041143"/>
    <s v="RTO"/>
    <s v="Reverse PickUP Delivered"/>
    <s v=""/>
    <s v=""/>
    <d v="2025-10-25T21:06:03"/>
    <s v="No"/>
    <s v=""/>
    <s v="Yamuna Nagar"/>
    <s v="Haryana"/>
    <n v="135002"/>
    <s v="India"/>
    <s v="Indian Rupee"/>
    <n v="62042300"/>
    <m/>
    <n v="2275"/>
    <s v="TINYK2627100313"/>
    <s v="NFJOY15"/>
    <s v=""/>
    <s v="No"/>
    <n v="5"/>
    <n v="0"/>
    <n v="0"/>
    <n v="5"/>
    <n v="108.333"/>
    <n v="0"/>
    <n v="0"/>
    <n v="108.333"/>
    <m/>
    <n v="0.75"/>
    <d v="2025-10-14T12:00:00"/>
    <n v="2275"/>
    <n v="108.333"/>
    <n v="2383.3330000000001"/>
  </r>
  <r>
    <s v="NYK-32258554-6428980-1-1"/>
    <s v="NYKF35668512"/>
    <s v="TINAD00000263"/>
    <x v="150"/>
    <n v="1"/>
    <x v="1"/>
    <n v="1"/>
    <n v="1"/>
    <n v="3250"/>
    <n v="2275"/>
    <n v="0"/>
    <n v="2324"/>
    <n v="49"/>
    <s v="COD"/>
    <d v="2025-10-10T17:10:29"/>
    <d v="2025-10-11T17:57:49"/>
    <d v="2025-10-17T12:59:43"/>
    <s v="28449522126274"/>
    <s v="DelhiverySurface"/>
    <d v="2025-10-10T19:35:20"/>
    <s v=""/>
    <s v="TINY BABY"/>
    <s v=""/>
    <s v=""/>
    <s v=""/>
    <s v=""/>
    <s v=""/>
    <s v=""/>
    <s v=""/>
    <d v="2025-10-17T13:01:27"/>
    <s v="No"/>
    <s v=""/>
    <s v="Bahraich"/>
    <s v="Uttar Pradesh"/>
    <n v="271801"/>
    <s v="India"/>
    <s v="Indian Rupee"/>
    <n v="62042300"/>
    <m/>
    <n v="2275"/>
    <s v="TINYK2627100298"/>
    <s v=""/>
    <s v=""/>
    <s v="No"/>
    <n v="5"/>
    <n v="0"/>
    <n v="0"/>
    <n v="5"/>
    <n v="108.333"/>
    <n v="0"/>
    <n v="0"/>
    <n v="108.333"/>
    <m/>
    <n v="0.75"/>
    <d v="2025-10-13T12:00:00"/>
    <n v="2275"/>
    <n v="108.333"/>
    <n v="2383.3330000000001"/>
  </r>
  <r>
    <s v="NYK-32247778-2847338-4-1"/>
    <s v="NYKF35656463"/>
    <s v="TINAD00000263"/>
    <x v="150"/>
    <n v="6"/>
    <x v="0"/>
    <n v="1"/>
    <n v="1"/>
    <n v="3250"/>
    <n v="2275"/>
    <n v="0"/>
    <n v="2280.16"/>
    <n v="5.16"/>
    <s v="Prepaid"/>
    <d v="2025-10-10T10:37:27"/>
    <d v="2025-10-11T17:58:23"/>
    <d v="2025-10-13T21:32:48"/>
    <s v="28449520507222"/>
    <s v="DelhiverySurface"/>
    <d v="2025-10-10T19:35:20"/>
    <s v=""/>
    <s v="TINY BABY"/>
    <s v=""/>
    <s v=""/>
    <s v="TINYK12023783"/>
    <s v="Raise Return"/>
    <s v="Reverse PickUP Delivered"/>
    <s v=""/>
    <s v=""/>
    <d v="2025-10-30T01:06:14"/>
    <s v="No"/>
    <s v=""/>
    <s v="Bangalore"/>
    <s v="Karnataka"/>
    <n v="560063"/>
    <s v="India"/>
    <s v="Indian Rupee"/>
    <n v="62042300"/>
    <m/>
    <n v="2275"/>
    <s v="TINYK2627100296"/>
    <s v=""/>
    <s v=""/>
    <s v="No"/>
    <n v="5"/>
    <n v="0"/>
    <n v="0"/>
    <n v="5"/>
    <n v="108.333"/>
    <n v="0"/>
    <n v="0"/>
    <n v="108.333"/>
    <m/>
    <n v="0.75"/>
    <d v="2025-10-12T12:00:00"/>
    <n v="2275"/>
    <n v="108.333"/>
    <n v="2383.3330000000001"/>
  </r>
  <r>
    <s v="NYK-32735847-1337213-1-1"/>
    <s v="NYKF36181438"/>
    <s v="TINAD00000680"/>
    <x v="151"/>
    <n v="1"/>
    <x v="3"/>
    <n v="1"/>
    <n v="1"/>
    <n v="3250"/>
    <n v="2275"/>
    <n v="0"/>
    <n v="2324"/>
    <n v="49"/>
    <s v="COD"/>
    <d v="2025-10-26T23:25:37"/>
    <d v="2025-10-28T17:09:20"/>
    <m/>
    <s v="28449525840570"/>
    <s v="DelhiverySurface"/>
    <d v="2025-10-27T19:08:35"/>
    <s v=""/>
    <s v="TINY BABY"/>
    <s v=""/>
    <s v=""/>
    <s v=""/>
    <s v=""/>
    <s v=""/>
    <s v=""/>
    <s v=""/>
    <d v="2025-10-31T08:16:04"/>
    <s v="No"/>
    <s v=""/>
    <s v="New Delhi"/>
    <s v="Delhi"/>
    <n v="110085"/>
    <s v="India"/>
    <s v="Indian Rupee"/>
    <n v="62044220"/>
    <m/>
    <n v="2275"/>
    <s v="TINYK2627100418"/>
    <s v="NFOFF15"/>
    <s v=""/>
    <s v="No"/>
    <n v="5"/>
    <n v="0"/>
    <n v="0"/>
    <n v="5"/>
    <n v="108.333"/>
    <n v="0"/>
    <n v="0"/>
    <n v="108.333"/>
    <m/>
    <n v="0.75"/>
    <d v="2025-10-29T12:00:00"/>
    <n v="2275"/>
    <n v="108.333"/>
    <n v="2383.3330000000001"/>
  </r>
  <r>
    <s v="NYK-32707024-5341863-1-1"/>
    <s v="NYKF36150628"/>
    <s v="TINAD00000681"/>
    <x v="152"/>
    <n v="1"/>
    <x v="4"/>
    <n v="1"/>
    <n v="0"/>
    <n v="3250"/>
    <n v="2275"/>
    <n v="0"/>
    <n v="2324"/>
    <n v="49"/>
    <s v="COD"/>
    <d v="2025-10-25T23:32:22"/>
    <m/>
    <m/>
    <s v=""/>
    <s v="DelhiverySurface"/>
    <m/>
    <s v="Change style/color"/>
    <s v="TINY BABY"/>
    <s v=""/>
    <s v=""/>
    <s v=""/>
    <s v=""/>
    <s v=""/>
    <s v=""/>
    <s v=""/>
    <d v="2025-10-25T23:36:28"/>
    <s v="No"/>
    <s v=""/>
    <s v="New Delhi"/>
    <s v="Delhi"/>
    <n v="110085"/>
    <s v="India"/>
    <s v="Indian Rupee"/>
    <n v="62044220"/>
    <d v="2025-10-25T23:36:28"/>
    <n v="2275"/>
    <s v=""/>
    <s v="NFNIGHT20"/>
    <s v=""/>
    <s v="No"/>
    <n v="5"/>
    <n v="0"/>
    <n v="0"/>
    <n v="5"/>
    <n v="108.333"/>
    <n v="0"/>
    <n v="0"/>
    <n v="108.333"/>
    <m/>
    <m/>
    <d v="2025-10-28T12:00:00"/>
    <n v="2275"/>
    <n v="108.333"/>
    <n v="2383.3330000000001"/>
  </r>
  <r>
    <s v="NYK-32055251-5141451-3-1"/>
    <s v="NYKF35441293"/>
    <s v="TINAD00000267"/>
    <x v="153"/>
    <n v="5"/>
    <x v="0"/>
    <n v="1"/>
    <n v="1"/>
    <n v="2800"/>
    <n v="2240"/>
    <n v="0"/>
    <n v="2240"/>
    <n v="0"/>
    <s v="Prepaid"/>
    <d v="2025-10-04T13:35:41"/>
    <d v="2025-10-06T15:23:28"/>
    <d v="2025-10-10T10:52:15"/>
    <s v="SF1835859838NYK"/>
    <s v="Shadowfax"/>
    <d v="2025-10-04T20:08:17"/>
    <s v=""/>
    <s v="TINY BABY"/>
    <s v=""/>
    <s v=""/>
    <s v="TINYK12007813"/>
    <s v="Raise Return"/>
    <s v="Reverse PickUP Delivered"/>
    <s v=""/>
    <s v=""/>
    <d v="2025-10-27T14:56:15"/>
    <s v="No"/>
    <s v=""/>
    <s v="Gurgaon"/>
    <s v="Haryana"/>
    <n v="122003"/>
    <s v="India"/>
    <s v="Indian Rupee"/>
    <n v="62042300"/>
    <m/>
    <n v="2240"/>
    <s v="TINYK2627100236"/>
    <s v=""/>
    <s v=""/>
    <s v="No"/>
    <n v="5"/>
    <n v="0"/>
    <n v="0"/>
    <n v="5"/>
    <n v="106.667"/>
    <n v="0"/>
    <n v="0"/>
    <n v="106.667"/>
    <m/>
    <n v="0.75"/>
    <d v="2025-10-07T12:00:00"/>
    <n v="2240"/>
    <n v="106.667"/>
    <n v="2346.6669999999999"/>
  </r>
  <r>
    <s v="NYK-32547708-7582242-5-1"/>
    <s v="NYKF35984994"/>
    <s v="TINAD00000269"/>
    <x v="154"/>
    <n v="6"/>
    <x v="0"/>
    <n v="1"/>
    <n v="1"/>
    <n v="2800"/>
    <n v="2240"/>
    <n v="0"/>
    <n v="2242.9920000000002"/>
    <n v="2.992"/>
    <s v="Prepaid"/>
    <d v="2025-10-19T07:03:02"/>
    <d v="2025-10-24T17:34:19"/>
    <d v="2025-10-29T09:59:28"/>
    <s v="28449521464940"/>
    <s v="DelhiverySurface"/>
    <d v="2025-10-19T13:19:59"/>
    <s v=""/>
    <s v="TINY BABY"/>
    <s v=""/>
    <s v=""/>
    <s v="TINYK12201262"/>
    <s v="Raise Return"/>
    <s v="Reverse PickUP Done"/>
    <s v=""/>
    <s v=""/>
    <d v="2025-10-31T11:46:42"/>
    <s v="No"/>
    <s v=""/>
    <s v="Bangalore"/>
    <s v="Karnataka"/>
    <n v="560100"/>
    <s v="India"/>
    <s v="Indian Rupee"/>
    <n v="62042300"/>
    <m/>
    <n v="2240"/>
    <s v="TINYK2627100389"/>
    <s v=""/>
    <s v=""/>
    <s v="No"/>
    <n v="5"/>
    <n v="0"/>
    <n v="0"/>
    <n v="5"/>
    <n v="106.667"/>
    <n v="0"/>
    <n v="0"/>
    <n v="106.667"/>
    <m/>
    <n v="1"/>
    <d v="2025-10-21T12:00:00"/>
    <n v="2240"/>
    <n v="106.667"/>
    <n v="2346.6669999999999"/>
  </r>
  <r>
    <s v="NYK-32315357-3060538-1-1"/>
    <s v="NYKF35733038"/>
    <s v="TINAD00000270"/>
    <x v="155"/>
    <n v="1"/>
    <x v="1"/>
    <n v="1"/>
    <n v="1"/>
    <n v="2800"/>
    <n v="2240"/>
    <n v="0"/>
    <n v="2240"/>
    <n v="0"/>
    <s v="Prepaid"/>
    <d v="2025-10-12T09:54:21"/>
    <d v="2025-10-13T18:18:17"/>
    <d v="2025-10-18T13:56:15"/>
    <s v="237943173256203"/>
    <s v="Nykaa Fashion surface"/>
    <d v="2025-10-12T15:52:26"/>
    <s v=""/>
    <s v="TINY BABY"/>
    <s v=""/>
    <s v=""/>
    <s v=""/>
    <s v=""/>
    <s v=""/>
    <s v=""/>
    <s v=""/>
    <d v="2025-10-18T14:01:30"/>
    <s v="No"/>
    <s v=""/>
    <s v="Yavatmal"/>
    <s v="Maharashtra"/>
    <n v="445001"/>
    <s v="India"/>
    <s v="Indian Rupee"/>
    <n v="62042300"/>
    <m/>
    <n v="2240"/>
    <s v="TINYK2627100316"/>
    <s v="NFJOY15"/>
    <s v=""/>
    <s v="No"/>
    <n v="5"/>
    <n v="2.5"/>
    <n v="2.5"/>
    <n v="0"/>
    <n v="106.667"/>
    <n v="53.334000000000003"/>
    <n v="53.334000000000003"/>
    <n v="0"/>
    <m/>
    <n v="0.75"/>
    <d v="2025-10-14T12:00:00"/>
    <n v="2240"/>
    <n v="106.66800000000001"/>
    <n v="2346.6680000000001"/>
  </r>
  <r>
    <s v="NYK-32018969-3729000-1-1"/>
    <s v="NYKF35401120"/>
    <s v="TINAD00000272"/>
    <x v="156"/>
    <n v="1"/>
    <x v="6"/>
    <n v="1"/>
    <n v="1"/>
    <n v="2800"/>
    <n v="2240"/>
    <n v="0"/>
    <n v="2289"/>
    <n v="49"/>
    <s v="COD"/>
    <d v="2025-10-03T09:25:29"/>
    <d v="2025-10-04T14:52:56"/>
    <m/>
    <s v="SF1835871963NYK"/>
    <s v="Shadowfax"/>
    <d v="2025-10-03T19:34:48"/>
    <s v=""/>
    <s v="TINY BABY"/>
    <s v=""/>
    <s v=""/>
    <s v=""/>
    <s v=""/>
    <s v=""/>
    <s v=""/>
    <s v=""/>
    <d v="2025-10-18T01:01:16"/>
    <s v="No"/>
    <s v=""/>
    <s v="Pune"/>
    <s v="Maharashtra"/>
    <n v="411014"/>
    <s v="India"/>
    <s v="Indian Rupee"/>
    <n v="62042300"/>
    <m/>
    <n v="2240"/>
    <s v="TINYK2627100219"/>
    <s v="NFESTIVE1O"/>
    <s v=""/>
    <s v="No"/>
    <n v="5"/>
    <n v="2.5"/>
    <n v="2.5"/>
    <n v="0"/>
    <n v="106.667"/>
    <n v="53.334000000000003"/>
    <n v="53.334000000000003"/>
    <n v="0"/>
    <m/>
    <n v="0.75"/>
    <d v="2025-10-05T12:00:00"/>
    <n v="2240"/>
    <n v="106.66800000000001"/>
    <n v="2346.6680000000001"/>
  </r>
  <r>
    <s v="NYK-32315064-2439405-1-1"/>
    <s v="NYKF35732633"/>
    <s v="TINAD00000102"/>
    <x v="157"/>
    <n v="1"/>
    <x v="1"/>
    <n v="1"/>
    <n v="1"/>
    <n v="3000"/>
    <n v="2100"/>
    <n v="0"/>
    <n v="2129"/>
    <n v="29"/>
    <s v="Prepaid"/>
    <d v="2025-10-12T09:43:59"/>
    <d v="2025-10-13T18:18:05"/>
    <d v="2025-10-18T17:33:32"/>
    <s v="28449520681581"/>
    <s v="DelhiverySurface"/>
    <d v="2025-10-12T15:52:26"/>
    <s v=""/>
    <s v="TINY BABY"/>
    <s v=""/>
    <s v=""/>
    <s v=""/>
    <s v=""/>
    <s v=""/>
    <s v=""/>
    <s v=""/>
    <d v="2025-10-18T17:36:18"/>
    <s v="No"/>
    <s v=""/>
    <s v="Kota"/>
    <s v="Rajasthan"/>
    <n v="325004"/>
    <s v="India"/>
    <s v="Indian Rupee"/>
    <n v="62042300"/>
    <m/>
    <n v="2100"/>
    <s v="TINYK2627100315"/>
    <s v="NFJOY15"/>
    <s v=""/>
    <s v="No"/>
    <n v="5"/>
    <n v="0"/>
    <n v="0"/>
    <n v="5"/>
    <n v="100"/>
    <n v="0"/>
    <n v="0"/>
    <n v="100"/>
    <m/>
    <n v="0.75"/>
    <d v="2025-10-14T12:00:00"/>
    <n v="2100"/>
    <n v="100"/>
    <n v="2200"/>
  </r>
  <r>
    <s v="NYK-32649288-3346117-1-1"/>
    <s v="NYKF36089795"/>
    <s v="TINAD00000290"/>
    <x v="158"/>
    <n v="1"/>
    <x v="1"/>
    <n v="1"/>
    <n v="1"/>
    <n v="3000"/>
    <n v="2100"/>
    <n v="0"/>
    <n v="2149"/>
    <n v="49"/>
    <s v="COD"/>
    <d v="2025-10-23T20:59:06"/>
    <d v="2025-10-24T17:33:01"/>
    <d v="2025-10-26T12:16:36"/>
    <s v="28449525581802"/>
    <s v="DelhiverySurface"/>
    <d v="2025-10-24T12:00:44"/>
    <s v=""/>
    <s v="TINY BABY"/>
    <s v=""/>
    <s v=""/>
    <s v=""/>
    <s v=""/>
    <s v=""/>
    <s v=""/>
    <s v=""/>
    <d v="2025-10-26T12:21:26"/>
    <s v="No"/>
    <s v=""/>
    <s v="Vizag"/>
    <s v="Andhra Pradesh"/>
    <n v="530007"/>
    <s v="India"/>
    <s v="Indian Rupee"/>
    <n v="62042300"/>
    <m/>
    <n v="2100"/>
    <s v="TINYK2627100390"/>
    <s v=""/>
    <s v=""/>
    <s v="No"/>
    <n v="5"/>
    <n v="0"/>
    <n v="0"/>
    <n v="5"/>
    <n v="100"/>
    <n v="0"/>
    <n v="0"/>
    <n v="100"/>
    <m/>
    <n v="0.75"/>
    <d v="2025-10-26T12:00:00"/>
    <n v="2100"/>
    <n v="100"/>
    <n v="2200"/>
  </r>
  <r>
    <s v="NYK-32660196-2260320-1-1"/>
    <s v="NYKF36100895"/>
    <s v="TINAD00000602"/>
    <x v="159"/>
    <n v="1"/>
    <x v="1"/>
    <n v="1"/>
    <n v="1"/>
    <n v="3250"/>
    <n v="2275"/>
    <n v="0"/>
    <n v="2275"/>
    <n v="0"/>
    <s v="Prepaid"/>
    <d v="2025-10-24T10:34:20"/>
    <d v="2025-10-24T18:18:00"/>
    <d v="2025-10-26T13:58:00"/>
    <s v="NKFP0000001648"/>
    <s v="Ekart Surface"/>
    <d v="2025-10-24T12:00:44"/>
    <s v=""/>
    <s v="TINY BABY"/>
    <s v=""/>
    <s v=""/>
    <s v=""/>
    <s v=""/>
    <s v=""/>
    <s v=""/>
    <s v=""/>
    <d v="2025-10-26T21:06:09"/>
    <s v="No"/>
    <s v=""/>
    <s v="Pune"/>
    <s v="Maharashtra"/>
    <n v="411001"/>
    <s v="India"/>
    <s v="Indian Rupee"/>
    <n v="62044220"/>
    <m/>
    <n v="2275"/>
    <s v="TINYK2627100401"/>
    <s v="NFNEW15"/>
    <s v=""/>
    <s v="No"/>
    <n v="5"/>
    <n v="2.5"/>
    <n v="2.5"/>
    <n v="0"/>
    <n v="108.333"/>
    <n v="54.167000000000002"/>
    <n v="54.167000000000002"/>
    <n v="0"/>
    <m/>
    <n v="0.75"/>
    <d v="2025-10-26T12:00:00"/>
    <n v="2275"/>
    <n v="108.334"/>
    <n v="2383.3339999999998"/>
  </r>
  <r>
    <s v="NYK-32149690-5827160-1-1"/>
    <s v="NYKF35547656"/>
    <s v="TINAD00000602"/>
    <x v="159"/>
    <n v="1"/>
    <x v="5"/>
    <n v="1"/>
    <n v="1"/>
    <n v="3250"/>
    <n v="2275"/>
    <n v="0"/>
    <n v="2295"/>
    <n v="20"/>
    <s v="COD"/>
    <d v="2025-10-07T08:27:07"/>
    <d v="2025-10-08T17:14:20"/>
    <m/>
    <s v="28449521848750"/>
    <s v="DelhiverySurface"/>
    <d v="2025-10-07T17:13:27"/>
    <s v=""/>
    <s v="TINY BABY"/>
    <s v=""/>
    <s v=""/>
    <s v="TINYK12040248"/>
    <s v="RTO"/>
    <s v="Reverse PickUP Delivered"/>
    <s v=""/>
    <s v=""/>
    <d v="2025-10-25T21:06:03"/>
    <s v="No"/>
    <s v=""/>
    <s v="Angul"/>
    <s v="orissa"/>
    <n v="759122"/>
    <s v="India"/>
    <s v="Indian Rupee"/>
    <n v="62044220"/>
    <m/>
    <n v="2275"/>
    <s v="TINYK2627100275"/>
    <s v="NFDIWALI20"/>
    <s v=""/>
    <s v="No"/>
    <n v="5"/>
    <n v="0"/>
    <n v="0"/>
    <n v="5"/>
    <n v="108.333"/>
    <n v="0"/>
    <n v="0"/>
    <n v="108.333"/>
    <m/>
    <n v="0.75"/>
    <d v="2025-10-09T12:00:00"/>
    <n v="2275"/>
    <n v="108.333"/>
    <n v="2383.3330000000001"/>
  </r>
  <r>
    <s v="NYK-32144171-4739451-1-1"/>
    <s v="NYKF35541582"/>
    <s v="TINAD00000696"/>
    <x v="160"/>
    <n v="1"/>
    <x v="0"/>
    <n v="1"/>
    <n v="1"/>
    <n v="3000"/>
    <n v="2100"/>
    <n v="0"/>
    <n v="2149"/>
    <n v="49"/>
    <s v="COD"/>
    <d v="2025-10-06T23:48:59"/>
    <d v="2025-10-08T17:14:31"/>
    <d v="2025-10-14T10:57:37"/>
    <s v="28449521862363"/>
    <s v="DelhiverySurface"/>
    <d v="2025-10-07T17:13:27"/>
    <s v=""/>
    <s v="TINY BABY"/>
    <s v=""/>
    <s v=""/>
    <s v="TINYK12065509"/>
    <s v="Raise Return"/>
    <s v="Reverse PickUP Delivered"/>
    <s v=""/>
    <s v=""/>
    <d v="2025-10-30T03:16:29"/>
    <s v="No"/>
    <s v=""/>
    <s v="Jalalabadup"/>
    <s v="Uttar Pradesh"/>
    <n v="242221"/>
    <s v="India"/>
    <s v="Indian Rupee"/>
    <n v="62044220"/>
    <m/>
    <n v="2100"/>
    <s v="TINYK2627100273"/>
    <s v="NFBACK20"/>
    <s v=""/>
    <s v="No"/>
    <n v="5"/>
    <n v="0"/>
    <n v="0"/>
    <n v="5"/>
    <n v="100"/>
    <n v="0"/>
    <n v="0"/>
    <n v="100"/>
    <m/>
    <n v="0.85"/>
    <d v="2025-10-09T12:00:00"/>
    <n v="2100"/>
    <n v="100"/>
    <n v="2200"/>
  </r>
  <r>
    <s v="NYK-32426933-4933097-3-1"/>
    <s v="NYKF35858702"/>
    <s v="TINAD00000697"/>
    <x v="161"/>
    <n v="4"/>
    <x v="1"/>
    <n v="1"/>
    <n v="1"/>
    <n v="3000"/>
    <n v="2100"/>
    <n v="0"/>
    <n v="2106.799"/>
    <n v="6.7990000000000004"/>
    <s v="Prepaid"/>
    <d v="2025-10-14T23:32:13"/>
    <d v="2025-10-16T17:34:47"/>
    <d v="2025-10-20T10:01:48"/>
    <s v="28449521154615"/>
    <s v="DelhiverySurface"/>
    <d v="2025-10-15T19:10:53"/>
    <s v=""/>
    <s v="TINY BABY"/>
    <s v=""/>
    <s v=""/>
    <s v=""/>
    <s v=""/>
    <s v=""/>
    <s v=""/>
    <s v=""/>
    <d v="2025-10-20T10:06:17"/>
    <s v="No"/>
    <s v=""/>
    <s v="Allahabad"/>
    <s v="Uttar Pradesh"/>
    <n v="211013"/>
    <s v="India"/>
    <s v="Indian Rupee"/>
    <n v="62044220"/>
    <m/>
    <n v="2100"/>
    <s v="TINYK2627100368"/>
    <s v="NFSD5OO"/>
    <s v=""/>
    <s v="No"/>
    <n v="5"/>
    <n v="0"/>
    <n v="0"/>
    <n v="5"/>
    <n v="100"/>
    <n v="0"/>
    <n v="0"/>
    <n v="100"/>
    <m/>
    <n v="1.35"/>
    <d v="2025-10-17T12:00:00"/>
    <n v="2100"/>
    <n v="100"/>
    <n v="2200"/>
  </r>
  <r>
    <s v="NYK-32547708-7582242-5-1"/>
    <s v="NYKF35984994"/>
    <s v="TINAD00000279"/>
    <x v="162"/>
    <n v="7"/>
    <x v="0"/>
    <n v="1"/>
    <n v="1"/>
    <n v="3250"/>
    <n v="2275"/>
    <n v="0"/>
    <n v="2278.038"/>
    <n v="3.0379999999999998"/>
    <s v="Prepaid"/>
    <d v="2025-10-19T07:03:02"/>
    <d v="2025-10-24T17:34:19"/>
    <d v="2025-10-29T09:59:28"/>
    <s v="28449521464940"/>
    <s v="DelhiverySurface"/>
    <d v="2025-10-19T13:19:59"/>
    <s v=""/>
    <s v="TINY BABY"/>
    <s v=""/>
    <s v=""/>
    <s v="TINYK12201529"/>
    <s v="Raise Return"/>
    <s v="Reverse PickUP Done"/>
    <s v=""/>
    <s v=""/>
    <d v="2025-10-31T11:46:42"/>
    <s v="No"/>
    <s v=""/>
    <s v="Bangalore"/>
    <s v="Karnataka"/>
    <n v="560100"/>
    <s v="India"/>
    <s v="Indian Rupee"/>
    <n v="62042300"/>
    <m/>
    <n v="2275"/>
    <s v="TINYK2627100389"/>
    <s v=""/>
    <s v=""/>
    <s v="No"/>
    <n v="5"/>
    <n v="0"/>
    <n v="0"/>
    <n v="5"/>
    <n v="108.333"/>
    <n v="0"/>
    <n v="0"/>
    <n v="108.333"/>
    <m/>
    <n v="1"/>
    <d v="2025-10-21T12:00:00"/>
    <n v="2275"/>
    <n v="108.333"/>
    <n v="2383.3330000000001"/>
  </r>
  <r>
    <s v="NYK-32082377-9828971-1-1"/>
    <s v="NYKF35471654"/>
    <s v="TINAD00000280"/>
    <x v="163"/>
    <n v="1"/>
    <x v="1"/>
    <n v="1"/>
    <n v="1"/>
    <n v="3250"/>
    <n v="2275"/>
    <n v="0"/>
    <n v="2324"/>
    <n v="49"/>
    <s v="COD"/>
    <d v="2025-10-05T10:20:29"/>
    <d v="2025-10-06T17:15:23"/>
    <d v="2025-10-17T16:20:56"/>
    <s v="28449521660310"/>
    <s v="DelhiverySurface"/>
    <d v="2025-10-05T17:49:47"/>
    <s v=""/>
    <s v="TINY BABY"/>
    <s v=""/>
    <s v=""/>
    <s v=""/>
    <s v=""/>
    <s v=""/>
    <s v=""/>
    <s v=""/>
    <d v="2025-10-17T16:21:25"/>
    <s v="No"/>
    <s v=""/>
    <s v="Munger"/>
    <s v="Bihar"/>
    <n v="811201"/>
    <s v="India"/>
    <s v="Indian Rupee"/>
    <n v="62042300"/>
    <m/>
    <n v="2275"/>
    <s v="TINYK2627100244"/>
    <s v=""/>
    <s v=""/>
    <s v="No"/>
    <n v="5"/>
    <n v="0"/>
    <n v="0"/>
    <n v="5"/>
    <n v="108.333"/>
    <n v="0"/>
    <n v="0"/>
    <n v="108.333"/>
    <m/>
    <n v="0.75"/>
    <d v="2025-10-07T12:00:00"/>
    <n v="2275"/>
    <n v="108.333"/>
    <n v="2383.3330000000001"/>
  </r>
  <r>
    <s v="NYK-32603161-1020831-1-1"/>
    <s v="NYKF36041673"/>
    <s v="TINAD00000281"/>
    <x v="164"/>
    <n v="1"/>
    <x v="1"/>
    <n v="1"/>
    <n v="1"/>
    <n v="3250"/>
    <n v="2275"/>
    <n v="0"/>
    <n v="2304"/>
    <n v="29"/>
    <s v="Prepaid"/>
    <d v="2025-10-21T21:07:01"/>
    <d v="2025-10-24T17:31:55"/>
    <d v="2025-10-27T12:36:12"/>
    <s v="28449527096845"/>
    <s v="DelhiverySurface"/>
    <d v="2025-10-24T12:00:44"/>
    <s v=""/>
    <s v="TINY BABY"/>
    <s v=""/>
    <s v=""/>
    <s v=""/>
    <s v=""/>
    <s v=""/>
    <s v=""/>
    <s v=""/>
    <d v="2025-10-27T12:41:07"/>
    <s v="No"/>
    <s v=""/>
    <s v="BANGALORE"/>
    <s v="Karnataka"/>
    <n v="560067"/>
    <s v="India"/>
    <s v="Indian Rupee"/>
    <n v="62042300"/>
    <m/>
    <n v="2275"/>
    <s v="TINYK2627100394"/>
    <s v="NFDR15"/>
    <s v=""/>
    <s v="No"/>
    <n v="5"/>
    <n v="0"/>
    <n v="0"/>
    <n v="5"/>
    <n v="108.333"/>
    <n v="0"/>
    <n v="0"/>
    <n v="108.333"/>
    <m/>
    <n v="0.75"/>
    <d v="2025-10-24T12:00:00"/>
    <n v="2275"/>
    <n v="108.333"/>
    <n v="2383.3330000000001"/>
  </r>
  <r>
    <s v="NYK-32426933-4933097-3-1"/>
    <s v="NYKF35858702"/>
    <s v="TINAD00000740"/>
    <x v="165"/>
    <n v="3"/>
    <x v="1"/>
    <n v="1"/>
    <n v="1"/>
    <n v="3000"/>
    <n v="2100"/>
    <n v="0"/>
    <n v="2106.799"/>
    <n v="6.7990000000000004"/>
    <s v="Prepaid"/>
    <d v="2025-10-14T23:32:13"/>
    <d v="2025-10-16T17:34:47"/>
    <d v="2025-10-20T10:01:48"/>
    <s v="28449521154615"/>
    <s v="DelhiverySurface"/>
    <d v="2025-10-15T19:10:53"/>
    <s v=""/>
    <s v="TINY BABY"/>
    <s v=""/>
    <s v=""/>
    <s v=""/>
    <s v=""/>
    <s v=""/>
    <s v=""/>
    <s v=""/>
    <d v="2025-10-20T10:06:17"/>
    <s v="No"/>
    <s v=""/>
    <s v="Allahabad"/>
    <s v="Uttar Pradesh"/>
    <n v="211013"/>
    <s v="India"/>
    <s v="Indian Rupee"/>
    <n v="62044220"/>
    <m/>
    <n v="2100"/>
    <s v="TINYK2627100368"/>
    <s v="NFSD5OO"/>
    <s v=""/>
    <s v="No"/>
    <n v="5"/>
    <n v="0"/>
    <n v="0"/>
    <n v="5"/>
    <n v="100"/>
    <n v="0"/>
    <n v="0"/>
    <n v="100"/>
    <m/>
    <n v="1.35"/>
    <d v="2025-10-17T12:00:00"/>
    <n v="2100"/>
    <n v="100"/>
    <n v="2200"/>
  </r>
  <r>
    <s v="NYK-32168665-7276554-1-1"/>
    <s v="NYKF35568369"/>
    <s v="BETAE00000328"/>
    <x v="166"/>
    <n v="1"/>
    <x v="4"/>
    <n v="1"/>
    <n v="0"/>
    <n v="5000"/>
    <n v="4000"/>
    <n v="0"/>
    <n v="4020"/>
    <n v="20"/>
    <s v="COD"/>
    <d v="2025-10-07T19:57:57"/>
    <m/>
    <m/>
    <s v=""/>
    <s v="DelhiverySurface"/>
    <m/>
    <s v="Change payment method"/>
    <s v="BETTY"/>
    <s v=""/>
    <s v=""/>
    <s v=""/>
    <s v=""/>
    <s v=""/>
    <s v=""/>
    <s v=""/>
    <d v="2025-10-07T20:07:22"/>
    <s v="No"/>
    <s v=""/>
    <s v="Chitrakoot"/>
    <s v="Uttar Pradesh"/>
    <n v="210205"/>
    <s v="India"/>
    <s v="Indian Rupee"/>
    <n v="62044220"/>
    <d v="2025-10-07T20:07:22"/>
    <n v="4000"/>
    <s v=""/>
    <s v=""/>
    <s v=""/>
    <s v="No"/>
    <n v="18"/>
    <n v="0"/>
    <n v="0"/>
    <n v="18"/>
    <n v="610.16899999999998"/>
    <n v="0"/>
    <n v="0"/>
    <n v="610.16899999999998"/>
    <m/>
    <m/>
    <d v="2025-10-10T12:00:00"/>
    <n v="4000"/>
    <n v="610.16899999999998"/>
    <n v="4610.1689999999999"/>
  </r>
  <r>
    <s v="NYK-32668405-3326976-1-1"/>
    <s v="NYKF36109503"/>
    <s v="BETAE00000402"/>
    <x v="167"/>
    <n v="1"/>
    <x v="1"/>
    <n v="1"/>
    <n v="1"/>
    <n v="4750"/>
    <n v="3800"/>
    <n v="0"/>
    <n v="3829"/>
    <n v="29"/>
    <s v="Prepaid"/>
    <d v="2025-10-24T16:25:27"/>
    <d v="2025-10-27T15:53:00"/>
    <d v="2025-10-29T09:15:00"/>
    <s v="88282185025"/>
    <s v="BLUEDART"/>
    <d v="2025-10-25T17:56:13"/>
    <s v=""/>
    <s v="BETTY"/>
    <s v=""/>
    <s v=""/>
    <s v=""/>
    <s v=""/>
    <s v=""/>
    <s v=""/>
    <s v=""/>
    <d v="2025-10-29T09:21:18"/>
    <s v="No"/>
    <s v=""/>
    <s v="Chennai"/>
    <s v="Tamil Nadu"/>
    <n v="600092"/>
    <s v="India"/>
    <s v="Indian Rupee"/>
    <n v="62044220"/>
    <m/>
    <n v="3800"/>
    <s v="TINYK2627100413"/>
    <s v="NFDR15"/>
    <s v=""/>
    <s v="No"/>
    <n v="18"/>
    <n v="0"/>
    <n v="0"/>
    <n v="18"/>
    <n v="579.66099999999994"/>
    <n v="0"/>
    <n v="0"/>
    <n v="579.66099999999994"/>
    <m/>
    <n v="0.85"/>
    <d v="2025-10-27T12:00:00"/>
    <n v="3800"/>
    <n v="579.66099999999994"/>
    <n v="4379.6610000000001"/>
  </r>
  <r>
    <s v="NYK-32350388-3972620-1-1"/>
    <s v="NYKF35772767"/>
    <s v="BETAE00000238"/>
    <x v="168"/>
    <n v="1"/>
    <x v="1"/>
    <n v="1"/>
    <n v="1"/>
    <n v="5000"/>
    <n v="4500"/>
    <n v="0"/>
    <n v="4520"/>
    <n v="20"/>
    <s v="COD"/>
    <d v="2025-10-13T00:02:53"/>
    <d v="2025-10-14T17:42:17"/>
    <d v="2025-10-16T11:51:56"/>
    <s v="237943175108484"/>
    <s v="Nykaa Fashion surface"/>
    <d v="2025-10-13T19:32:50"/>
    <s v=""/>
    <s v="BETTY"/>
    <s v=""/>
    <s v=""/>
    <s v=""/>
    <s v=""/>
    <s v=""/>
    <s v=""/>
    <s v=""/>
    <d v="2025-10-16T12:16:20"/>
    <s v="No"/>
    <s v=""/>
    <s v="Mumbai"/>
    <s v="Maharashtra"/>
    <n v="400080"/>
    <s v="India"/>
    <s v="Indian Rupee"/>
    <n v="62044220"/>
    <m/>
    <n v="4500"/>
    <s v="TINYK2627100342"/>
    <s v="NFJOY15"/>
    <s v=""/>
    <s v="No"/>
    <n v="18"/>
    <n v="9"/>
    <n v="9"/>
    <n v="0"/>
    <n v="686.44100000000003"/>
    <n v="343.221"/>
    <n v="343.221"/>
    <n v="0"/>
    <m/>
    <n v="0.85"/>
    <d v="2025-10-15T12:00:00"/>
    <n v="4500"/>
    <n v="686.44200000000001"/>
    <n v="5186.442"/>
  </r>
  <r>
    <s v="NYK-32153685-5409393-1-1"/>
    <s v="NYKF35551888"/>
    <s v="BETAE00000247"/>
    <x v="169"/>
    <n v="1"/>
    <x v="0"/>
    <n v="1"/>
    <n v="1"/>
    <n v="5000"/>
    <n v="4500"/>
    <n v="0"/>
    <n v="4520"/>
    <n v="20"/>
    <s v="COD"/>
    <d v="2025-10-07T11:06:49"/>
    <d v="2025-10-08T17:14:52"/>
    <d v="2025-10-15T15:14:28"/>
    <s v="237943174947053"/>
    <s v="Nykaa Fashion surface"/>
    <d v="2025-10-07T17:11:02"/>
    <s v=""/>
    <s v="BETTY"/>
    <s v=""/>
    <s v=""/>
    <s v="TINYK12142242"/>
    <s v="Raise Return"/>
    <s v="Reverse PickUP Done"/>
    <s v=""/>
    <s v=""/>
    <d v="2025-10-26T11:51:11"/>
    <s v="No"/>
    <s v=""/>
    <s v="Satna"/>
    <s v="Madhya Pradesh"/>
    <n v="485001"/>
    <s v="India"/>
    <s v="Indian Rupee"/>
    <n v="62044220"/>
    <m/>
    <n v="4500"/>
    <s v="TINYK2627100262"/>
    <s v="NFDIWALI20"/>
    <s v=""/>
    <s v="No"/>
    <n v="18"/>
    <n v="0"/>
    <n v="0"/>
    <n v="18"/>
    <n v="686.44100000000003"/>
    <n v="0"/>
    <n v="0"/>
    <n v="686.44100000000003"/>
    <m/>
    <n v="0.85"/>
    <d v="2025-10-09T12:00:00"/>
    <n v="4500"/>
    <n v="686.44100000000003"/>
    <n v="5186.4409999999998"/>
  </r>
  <r>
    <s v="NYK-32627701-1785642-3-1"/>
    <s v="NYKF36067489"/>
    <s v="BETAE00000212"/>
    <x v="170"/>
    <n v="2"/>
    <x v="4"/>
    <n v="1"/>
    <n v="0"/>
    <n v="5500"/>
    <n v="4950"/>
    <n v="0"/>
    <n v="4962.54"/>
    <n v="12.54"/>
    <s v="Prepaid"/>
    <d v="2025-10-22T22:19:46"/>
    <m/>
    <m/>
    <s v=""/>
    <s v="DelhiverySurface"/>
    <m/>
    <s v="Delivery date is too late"/>
    <s v="BETTY"/>
    <s v=""/>
    <s v=""/>
    <s v=""/>
    <s v=""/>
    <s v=""/>
    <s v=""/>
    <s v=""/>
    <d v="2025-10-23T16:54:28"/>
    <s v="No"/>
    <s v=""/>
    <s v="Gurugram"/>
    <s v="Haryana"/>
    <n v="122002"/>
    <s v="India"/>
    <s v="Indian Rupee"/>
    <n v="62044220"/>
    <d v="2025-10-23T16:54:28"/>
    <n v="4950"/>
    <s v=""/>
    <s v="NFBACK20"/>
    <s v=""/>
    <s v="No"/>
    <n v="18"/>
    <n v="0"/>
    <n v="0"/>
    <n v="18"/>
    <n v="755.08500000000004"/>
    <n v="0"/>
    <n v="0"/>
    <n v="755.08500000000004"/>
    <m/>
    <m/>
    <d v="2025-10-25T12:00:00"/>
    <n v="4950"/>
    <n v="755.08500000000004"/>
    <n v="5705.085"/>
  </r>
  <r>
    <s v="NYK-32168444-6797570-2-1"/>
    <s v="NYKF35568088"/>
    <s v="BETAE00000278"/>
    <x v="171"/>
    <n v="2"/>
    <x v="0"/>
    <n v="1"/>
    <n v="1"/>
    <n v="5000"/>
    <n v="4500"/>
    <n v="0"/>
    <n v="4500"/>
    <n v="0"/>
    <s v="Prepaid"/>
    <d v="2025-10-07T19:49:58"/>
    <d v="2025-10-10T17:34:08"/>
    <d v="2025-10-15T13:51:05"/>
    <s v="28449520403401"/>
    <s v="DelhiverySurface"/>
    <d v="2025-10-09T18:52:18"/>
    <s v=""/>
    <s v="BETTY"/>
    <s v=""/>
    <s v=""/>
    <s v="TINYK12050782"/>
    <s v="Raise Return"/>
    <s v="Reverse PickUP Delivered"/>
    <s v=""/>
    <s v=""/>
    <d v="2025-10-28T15:01:06"/>
    <s v="No"/>
    <s v=""/>
    <s v="Chikkamagalur"/>
    <s v="Karnataka"/>
    <n v="577102"/>
    <s v="India"/>
    <s v="Indian Rupee"/>
    <n v="62044220"/>
    <m/>
    <n v="4500"/>
    <s v="TINYK2627100287"/>
    <s v="NFDIWALI20"/>
    <s v=""/>
    <s v="No"/>
    <n v="18"/>
    <n v="0"/>
    <n v="0"/>
    <n v="18"/>
    <n v="686.44100000000003"/>
    <n v="0"/>
    <n v="0"/>
    <n v="686.44100000000003"/>
    <m/>
    <n v="0.7"/>
    <d v="2025-10-10T12:00:00"/>
    <n v="4500"/>
    <n v="686.44100000000003"/>
    <n v="5186.4409999999998"/>
  </r>
  <r>
    <s v="NYK-32479200-5788339-1-1"/>
    <s v="NYKF35914506"/>
    <s v="BETAE00000047"/>
    <x v="172"/>
    <n v="1"/>
    <x v="0"/>
    <n v="1"/>
    <n v="1"/>
    <n v="5250"/>
    <n v="4725"/>
    <n v="0"/>
    <n v="4725"/>
    <n v="0"/>
    <s v="Prepaid"/>
    <d v="2025-10-16T14:39:48"/>
    <d v="2025-10-18T17:28:55"/>
    <d v="2025-10-25T16:22:56"/>
    <s v="28449521349554"/>
    <s v="DelhiverySurface"/>
    <d v="2025-10-17T18:43:05"/>
    <s v=""/>
    <s v="Betty Ethnic"/>
    <s v=""/>
    <s v=""/>
    <s v="TINYK12154520"/>
    <s v="Raise Return"/>
    <s v="Confirmed"/>
    <s v=""/>
    <s v=""/>
    <d v="2025-10-26T17:41:19"/>
    <s v="No"/>
    <s v=""/>
    <s v="Kashipur"/>
    <s v="Uttarakhand"/>
    <n v="244712"/>
    <s v="India"/>
    <s v="Indian Rupee"/>
    <n v="62042300"/>
    <m/>
    <n v="4725"/>
    <s v="TINYK2627100376"/>
    <s v="NFSDS15"/>
    <s v=""/>
    <s v="No"/>
    <n v="18"/>
    <n v="0"/>
    <n v="0"/>
    <n v="18"/>
    <n v="720.76300000000003"/>
    <n v="0"/>
    <n v="0"/>
    <n v="720.76300000000003"/>
    <m/>
    <n v="0.75"/>
    <d v="2025-10-19T12:00:00"/>
    <n v="4725"/>
    <n v="720.76300000000003"/>
    <n v="5445.7629999999999"/>
  </r>
  <r>
    <s v="NYK-32445058-9420637-1-1"/>
    <s v="NYKF35878324"/>
    <s v="BETAE00000033"/>
    <x v="173"/>
    <n v="1"/>
    <x v="4"/>
    <n v="1"/>
    <n v="0"/>
    <n v="6000"/>
    <n v="5400"/>
    <n v="0"/>
    <n v="5449"/>
    <n v="49"/>
    <s v="COD"/>
    <d v="2025-10-15T14:40:21"/>
    <m/>
    <m/>
    <s v=""/>
    <s v="DelhiverySurface"/>
    <m/>
    <s v="Change size"/>
    <s v="Betty Ethnic"/>
    <s v=""/>
    <s v=""/>
    <s v=""/>
    <s v=""/>
    <s v=""/>
    <s v=""/>
    <s v=""/>
    <d v="2025-10-15T14:45:52"/>
    <s v="No"/>
    <s v=""/>
    <s v="Lucknow"/>
    <s v="Uttar Pradesh"/>
    <n v="226010"/>
    <s v="India"/>
    <s v="Indian Rupee"/>
    <n v="62042300"/>
    <d v="2025-10-15T14:45:52"/>
    <n v="5400"/>
    <s v=""/>
    <s v=""/>
    <s v=""/>
    <s v="No"/>
    <n v="18"/>
    <n v="0"/>
    <n v="0"/>
    <n v="18"/>
    <n v="823.72900000000004"/>
    <n v="0"/>
    <n v="0"/>
    <n v="823.72900000000004"/>
    <m/>
    <m/>
    <d v="2025-10-18T12:00:00"/>
    <n v="5400"/>
    <n v="823.72900000000004"/>
    <n v="6223.7290000000003"/>
  </r>
  <r>
    <s v="NYK-32763348-2759836-2-1"/>
    <s v="NYKF36210987"/>
    <s v="BETAE00000186"/>
    <x v="174"/>
    <n v="4"/>
    <x v="3"/>
    <n v="1"/>
    <n v="1"/>
    <n v="6000"/>
    <n v="5700"/>
    <n v="0"/>
    <n v="5712.2479999999996"/>
    <n v="12.247999999999999"/>
    <s v="Prepaid"/>
    <d v="2025-10-28T00:49:20"/>
    <d v="2025-10-28T17:10:57"/>
    <m/>
    <s v="28449527462175"/>
    <s v="DelhiverySurface"/>
    <d v="2025-10-28T13:02:05"/>
    <s v=""/>
    <s v="BETTY"/>
    <s v=""/>
    <s v=""/>
    <s v=""/>
    <s v=""/>
    <s v=""/>
    <s v=""/>
    <s v=""/>
    <d v="2025-10-31T13:16:21"/>
    <s v="No"/>
    <s v=""/>
    <s v="Kapurthala"/>
    <s v="Punjab"/>
    <n v="144602"/>
    <s v="India"/>
    <s v="Indian Rupee"/>
    <n v="62042300"/>
    <m/>
    <n v="5700"/>
    <s v="TINYK2627100427"/>
    <s v=""/>
    <s v=""/>
    <s v="No"/>
    <n v="18"/>
    <n v="0"/>
    <n v="0"/>
    <n v="18"/>
    <n v="869.49199999999996"/>
    <n v="0"/>
    <n v="0"/>
    <n v="869.49199999999996"/>
    <m/>
    <n v="1.1000000000000001"/>
    <d v="2025-10-30T12:00:00"/>
    <n v="5700"/>
    <n v="869.49199999999996"/>
    <n v="6569.4920000000002"/>
  </r>
  <r>
    <s v="NYK-32309239-1472492-1-1"/>
    <s v="NYKF35725923"/>
    <s v="BETAE00000186"/>
    <x v="174"/>
    <n v="1"/>
    <x v="1"/>
    <n v="1"/>
    <n v="1"/>
    <n v="6000"/>
    <n v="5700"/>
    <n v="0"/>
    <n v="5749"/>
    <n v="49"/>
    <s v="COD"/>
    <d v="2025-10-12T01:07:52"/>
    <d v="2025-10-13T18:18:27"/>
    <d v="2025-10-16T20:56:12"/>
    <s v="28449522278653"/>
    <s v="DelhiverySurface"/>
    <d v="2025-10-12T15:52:26"/>
    <s v=""/>
    <s v="BETTY"/>
    <s v=""/>
    <s v=""/>
    <s v=""/>
    <s v=""/>
    <s v=""/>
    <s v=""/>
    <s v=""/>
    <d v="2025-10-16T21:01:15"/>
    <s v="No"/>
    <s v=""/>
    <s v="Bangalore"/>
    <s v="Karnataka"/>
    <n v="560095"/>
    <s v="India"/>
    <s v="Indian Rupee"/>
    <n v="62042300"/>
    <m/>
    <n v="5700"/>
    <s v="TINYK2627100317"/>
    <s v=""/>
    <s v=""/>
    <s v="No"/>
    <n v="18"/>
    <n v="0"/>
    <n v="0"/>
    <n v="18"/>
    <n v="869.49199999999996"/>
    <n v="0"/>
    <n v="0"/>
    <n v="869.49199999999996"/>
    <m/>
    <n v="0.85"/>
    <d v="2025-10-14T12:00:00"/>
    <n v="5700"/>
    <n v="869.49199999999996"/>
    <n v="6569.4920000000002"/>
  </r>
  <r>
    <s v="NYK-32227801-9343664-1-1"/>
    <s v="NYKF35633900"/>
    <s v="BETAE00000010"/>
    <x v="175"/>
    <n v="1"/>
    <x v="1"/>
    <n v="1"/>
    <n v="1"/>
    <n v="5750"/>
    <n v="5175"/>
    <n v="0"/>
    <n v="5224"/>
    <n v="49"/>
    <s v="COD"/>
    <d v="2025-10-09T16:59:04"/>
    <d v="2025-10-10T21:47:00"/>
    <d v="2025-10-12T12:14:00"/>
    <s v="59497021776"/>
    <s v="BLUEDART"/>
    <d v="2025-10-09T18:53:06"/>
    <s v=""/>
    <s v="BETTY"/>
    <s v=""/>
    <s v=""/>
    <s v=""/>
    <s v=""/>
    <s v=""/>
    <s v=""/>
    <s v=""/>
    <d v="2025-10-12T12:21:19"/>
    <s v="No"/>
    <s v=""/>
    <s v="Phulwarisharif"/>
    <s v="Bihar"/>
    <n v="801505"/>
    <s v="India"/>
    <s v="Indian Rupee"/>
    <n v="62042300"/>
    <m/>
    <n v="5175"/>
    <s v="TINYK2627100293"/>
    <s v=""/>
    <s v=""/>
    <s v="No"/>
    <n v="18"/>
    <n v="0"/>
    <n v="0"/>
    <n v="18"/>
    <n v="789.40700000000004"/>
    <n v="0"/>
    <n v="0"/>
    <n v="789.40700000000004"/>
    <m/>
    <n v="0.75"/>
    <d v="2025-10-12T12:00:00"/>
    <n v="5175"/>
    <n v="789.40700000000004"/>
    <n v="5964.4070000000002"/>
  </r>
  <r>
    <s v="NYK-32006071-6637145-2-1"/>
    <s v="NYKF35386752"/>
    <s v="BETAE00000105"/>
    <x v="176"/>
    <n v="1"/>
    <x v="6"/>
    <n v="1"/>
    <n v="1"/>
    <n v="6000"/>
    <n v="5400"/>
    <n v="0"/>
    <n v="5415.06"/>
    <n v="15.06"/>
    <s v="Prepaid"/>
    <d v="2025-10-02T20:20:37"/>
    <d v="2025-10-04T14:52:56"/>
    <m/>
    <s v="SF1835855465NYK"/>
    <s v="Shadowfax"/>
    <d v="2025-10-03T19:34:48"/>
    <s v=""/>
    <s v="BETTY"/>
    <s v=""/>
    <s v=""/>
    <s v=""/>
    <s v=""/>
    <s v=""/>
    <s v=""/>
    <s v=""/>
    <d v="2025-10-18T01:01:16"/>
    <s v="No"/>
    <s v=""/>
    <s v="Faridabad"/>
    <s v="Haryana"/>
    <n v="121007"/>
    <s v="India"/>
    <s v="Indian Rupee"/>
    <n v="62042300"/>
    <m/>
    <n v="5400"/>
    <s v="TINYK2627100222"/>
    <s v=""/>
    <s v=""/>
    <s v="No"/>
    <n v="18"/>
    <n v="0"/>
    <n v="0"/>
    <n v="18"/>
    <n v="823.72900000000004"/>
    <n v="0"/>
    <n v="0"/>
    <n v="823.72900000000004"/>
    <m/>
    <n v="0.85"/>
    <d v="2025-10-05T12:00:00"/>
    <n v="5400"/>
    <n v="823.72900000000004"/>
    <n v="6223.7290000000003"/>
  </r>
  <r>
    <s v="NYK-32174799-7615725-2-1"/>
    <s v="NYKF35575248"/>
    <s v="BETAE00000197"/>
    <x v="177"/>
    <n v="2"/>
    <x v="1"/>
    <n v="1"/>
    <n v="1"/>
    <n v="6950"/>
    <n v="6255"/>
    <n v="0"/>
    <n v="6274.2"/>
    <n v="19.2"/>
    <s v="Prepaid"/>
    <d v="2025-10-07T22:50:16"/>
    <d v="2025-10-09T17:38:01"/>
    <d v="2025-10-16T15:07:17"/>
    <s v="237943173133272"/>
    <s v="Nykaa Fashion surface"/>
    <d v="2025-10-08T17:25:10"/>
    <s v=""/>
    <s v="BETTY"/>
    <s v=""/>
    <s v=""/>
    <s v=""/>
    <s v=""/>
    <s v=""/>
    <s v=""/>
    <s v=""/>
    <d v="2025-10-16T15:20:54"/>
    <s v="No"/>
    <s v=""/>
    <s v="Bhopal"/>
    <s v="Madhya Pradesh"/>
    <n v="462016"/>
    <s v="India"/>
    <s v="Indian Rupee"/>
    <n v="62044220"/>
    <m/>
    <n v="6255"/>
    <s v="TINYK2627100279"/>
    <s v="NFPRIVEDEAL"/>
    <s v=""/>
    <s v="No"/>
    <n v="18"/>
    <n v="0"/>
    <n v="0"/>
    <n v="18"/>
    <n v="954.15300000000002"/>
    <n v="0"/>
    <n v="0"/>
    <n v="954.15300000000002"/>
    <m/>
    <n v="0.85"/>
    <d v="2025-10-10T12:00:00"/>
    <n v="6255"/>
    <n v="954.15300000000002"/>
    <n v="7209.1530000000002"/>
  </r>
  <r>
    <s v="NYK-32226811-6848074-1-1"/>
    <s v="NYKF35632751"/>
    <s v="BETAE00000116"/>
    <x v="178"/>
    <n v="2"/>
    <x v="0"/>
    <n v="1"/>
    <n v="1"/>
    <n v="6000"/>
    <n v="5400"/>
    <n v="0"/>
    <n v="5414.55"/>
    <n v="14.55"/>
    <s v="Prepaid"/>
    <d v="2025-10-09T16:17:28"/>
    <d v="2025-10-10T17:32:34"/>
    <d v="2025-10-14T15:42:53"/>
    <s v="28449520407575"/>
    <s v="DelhiverySurface"/>
    <d v="2025-10-09T18:52:05"/>
    <s v=""/>
    <s v="BETTY"/>
    <s v=""/>
    <s v=""/>
    <s v="TINYK12036834"/>
    <s v="Raise Return"/>
    <s v="Reverse PickUP Delivered"/>
    <s v=""/>
    <s v=""/>
    <d v="2025-10-29T08:46:22"/>
    <s v="No"/>
    <s v=""/>
    <s v="Siliguri"/>
    <s v="West Bengal"/>
    <n v="734001"/>
    <s v="India"/>
    <s v="Indian Rupee"/>
    <n v="62042300"/>
    <m/>
    <n v="5400"/>
    <s v="TINYK2627100286"/>
    <s v="NFSD5OO"/>
    <s v=""/>
    <s v="No"/>
    <n v="18"/>
    <n v="0"/>
    <n v="0"/>
    <n v="18"/>
    <n v="823.72900000000004"/>
    <n v="0"/>
    <n v="0"/>
    <n v="823.72900000000004"/>
    <m/>
    <n v="0.85"/>
    <d v="2025-10-12T12:00:00"/>
    <n v="5400"/>
    <n v="823.72900000000004"/>
    <n v="6223.7290000000003"/>
  </r>
  <r>
    <s v="NYK-32191598-2178095-1-1"/>
    <s v="NYKF35593504"/>
    <s v="BETAE00000120"/>
    <x v="179"/>
    <n v="1"/>
    <x v="1"/>
    <n v="1"/>
    <n v="1"/>
    <n v="6950"/>
    <n v="6255"/>
    <n v="0"/>
    <n v="6255"/>
    <n v="0"/>
    <s v="Prepaid"/>
    <d v="2025-10-08T13:59:38"/>
    <d v="2025-10-09T17:37:32"/>
    <d v="2025-10-13T10:40:35"/>
    <s v="28449520304395"/>
    <s v="DelhiverySurface"/>
    <d v="2025-10-08T17:25:10"/>
    <s v=""/>
    <s v="BETTY"/>
    <s v=""/>
    <s v=""/>
    <s v=""/>
    <s v=""/>
    <s v=""/>
    <s v=""/>
    <s v=""/>
    <d v="2025-10-13T10:40:56"/>
    <s v="No"/>
    <s v=""/>
    <s v="New Delhi"/>
    <s v="Delhi"/>
    <n v="110075"/>
    <s v="India"/>
    <s v="Indian Rupee"/>
    <n v="62042300"/>
    <m/>
    <n v="6255"/>
    <s v="TINYK2627100282"/>
    <s v="NFDIWALI20"/>
    <s v=""/>
    <s v="No"/>
    <n v="18"/>
    <n v="0"/>
    <n v="0"/>
    <n v="18"/>
    <n v="954.15300000000002"/>
    <n v="0"/>
    <n v="0"/>
    <n v="954.15300000000002"/>
    <m/>
    <n v="0.85"/>
    <d v="2025-10-11T12:00:00"/>
    <n v="6255"/>
    <n v="954.15300000000002"/>
    <n v="7209.1530000000002"/>
  </r>
  <r>
    <s v="NYK-32364328-8302608-1-1"/>
    <s v="NYKF35788782"/>
    <s v="CUTAB00000765"/>
    <x v="180"/>
    <n v="1"/>
    <x v="1"/>
    <n v="1"/>
    <n v="1"/>
    <n v="3250"/>
    <n v="3088"/>
    <n v="0"/>
    <n v="3137"/>
    <n v="49"/>
    <s v="COD"/>
    <d v="2025-10-13T12:21:43"/>
    <d v="2025-10-14T17:48:00"/>
    <d v="2025-10-18T11:54:06"/>
    <s v="237943175108716"/>
    <s v="Nykaa Fashion surface"/>
    <d v="2025-10-13T19:30:40"/>
    <s v=""/>
    <s v="Tiny Kingdom"/>
    <s v=""/>
    <s v=""/>
    <s v=""/>
    <s v=""/>
    <s v=""/>
    <s v=""/>
    <s v=""/>
    <d v="2025-10-18T11:56:09"/>
    <s v="No"/>
    <s v=""/>
    <s v="Dhule"/>
    <s v="Maharashtra"/>
    <n v="424001"/>
    <s v="India"/>
    <s v="Indian Rupee"/>
    <n v="62044220"/>
    <m/>
    <n v="3088"/>
    <s v="TINYK2627100327"/>
    <s v="NFSDS15"/>
    <s v=""/>
    <s v="No"/>
    <n v="18"/>
    <n v="9"/>
    <n v="9"/>
    <n v="0"/>
    <n v="471.05099999999999"/>
    <n v="235.52600000000001"/>
    <n v="235.52600000000001"/>
    <n v="0"/>
    <m/>
    <n v="0.85"/>
    <d v="2025-10-16T12:00:00"/>
    <n v="3088"/>
    <n v="471.05200000000002"/>
    <n v="3559.0520000000001"/>
  </r>
  <r>
    <s v="NYK-31969926-0178192-5-1"/>
    <s v="NYKF35347775"/>
    <s v="CUTAB00000733"/>
    <x v="181"/>
    <n v="10"/>
    <x v="0"/>
    <n v="1"/>
    <n v="1"/>
    <n v="4000"/>
    <n v="3600"/>
    <n v="0"/>
    <n v="3603.22"/>
    <n v="3.22"/>
    <s v="Prepaid"/>
    <d v="2025-10-01T14:46:18"/>
    <d v="2025-10-03T15:05:13"/>
    <d v="2025-10-06T13:35:42"/>
    <s v="SF1835839658NYK"/>
    <s v="Shadowfax"/>
    <d v="2025-10-01T19:31:30"/>
    <s v=""/>
    <s v="Tiny Kingdom"/>
    <s v=""/>
    <s v=""/>
    <s v="TINYK11905377"/>
    <s v="Raise Return"/>
    <s v="Reverse PickUP Delivered"/>
    <s v=""/>
    <s v=""/>
    <d v="2025-10-15T17:21:27"/>
    <s v="No"/>
    <s v=""/>
    <s v="Bangalore"/>
    <s v="Karnataka"/>
    <n v="560102"/>
    <s v="India"/>
    <s v="Indian Rupee"/>
    <n v="62044220"/>
    <m/>
    <n v="3600"/>
    <s v="TINYK2627100205"/>
    <s v="NFBACK20"/>
    <s v=""/>
    <s v="No"/>
    <n v="18"/>
    <n v="0"/>
    <n v="0"/>
    <n v="18"/>
    <n v="549.15300000000002"/>
    <n v="0"/>
    <n v="0"/>
    <n v="549.15300000000002"/>
    <m/>
    <n v="0.85"/>
    <d v="2025-10-04T12:00:00"/>
    <n v="3600"/>
    <n v="549.15300000000002"/>
    <n v="4149.1530000000002"/>
  </r>
  <r>
    <s v="NYK-32076920-8406556-1-1"/>
    <s v="NYKF35466028"/>
    <s v="CUTAB00000734"/>
    <x v="182"/>
    <n v="1"/>
    <x v="4"/>
    <n v="1"/>
    <n v="0"/>
    <n v="4000"/>
    <n v="3600"/>
    <n v="0"/>
    <n v="3649"/>
    <n v="49"/>
    <s v="COD"/>
    <d v="2025-10-05T01:36:47"/>
    <m/>
    <m/>
    <s v=""/>
    <s v="DelhiverySurface"/>
    <m/>
    <s v="Change size"/>
    <s v="Tiny Kingdom"/>
    <s v=""/>
    <s v=""/>
    <s v=""/>
    <s v=""/>
    <s v=""/>
    <s v=""/>
    <s v=""/>
    <d v="2025-10-05T09:20:33"/>
    <s v="No"/>
    <s v=""/>
    <s v="Jhansi"/>
    <s v="Uttar Pradesh"/>
    <n v="284001"/>
    <s v="India"/>
    <s v="Indian Rupee"/>
    <n v="62044220"/>
    <d v="2025-10-05T09:20:33"/>
    <n v="3600"/>
    <s v=""/>
    <s v=""/>
    <s v=""/>
    <s v="No"/>
    <n v="18"/>
    <n v="0"/>
    <n v="0"/>
    <n v="18"/>
    <n v="549.15300000000002"/>
    <n v="0"/>
    <n v="0"/>
    <n v="549.15300000000002"/>
    <m/>
    <m/>
    <d v="2025-10-07T12:00:00"/>
    <n v="3600"/>
    <n v="549.15300000000002"/>
    <n v="4149.1530000000002"/>
  </r>
  <r>
    <s v="NYK-32026145-0043220-3-1"/>
    <s v="NYKF35409123"/>
    <s v="CUTAB00000734"/>
    <x v="182"/>
    <n v="3"/>
    <x v="6"/>
    <n v="1"/>
    <n v="1"/>
    <n v="4000"/>
    <n v="3600"/>
    <n v="0"/>
    <n v="3607.7170000000001"/>
    <n v="7.7169999999999996"/>
    <s v="Prepaid"/>
    <d v="2025-10-03T13:57:23"/>
    <d v="2025-10-04T14:52:56"/>
    <m/>
    <s v="SF1835856014NYK"/>
    <s v="Shadowfax"/>
    <d v="2025-10-03T19:34:48"/>
    <s v=""/>
    <s v="Tiny Kingdom"/>
    <s v=""/>
    <s v=""/>
    <s v=""/>
    <s v=""/>
    <s v=""/>
    <s v=""/>
    <s v=""/>
    <d v="2025-10-18T01:06:16"/>
    <s v="No"/>
    <s v=""/>
    <s v="Nagpur"/>
    <s v="Maharashtra"/>
    <n v="440017"/>
    <s v="India"/>
    <s v="Indian Rupee"/>
    <n v="62044220"/>
    <m/>
    <n v="3600"/>
    <s v="TINYK2627100214"/>
    <s v="NFDIWALI10"/>
    <s v=""/>
    <s v="No"/>
    <n v="18"/>
    <n v="9"/>
    <n v="9"/>
    <n v="0"/>
    <n v="549.15300000000002"/>
    <n v="274.577"/>
    <n v="274.577"/>
    <n v="0"/>
    <m/>
    <n v="1.1000000000000001"/>
    <d v="2025-10-06T12:00:00"/>
    <n v="3600"/>
    <n v="549.154"/>
    <n v="4149.1540000000005"/>
  </r>
  <r>
    <s v="NYK-31959067-0449307-1-1"/>
    <s v="NYKF35336562"/>
    <s v="CUTAB00000736"/>
    <x v="183"/>
    <n v="1"/>
    <x v="0"/>
    <n v="1"/>
    <n v="1"/>
    <n v="4000"/>
    <n v="3600"/>
    <n v="0"/>
    <n v="3629"/>
    <n v="29"/>
    <s v="Prepaid"/>
    <d v="2025-10-01T00:57:29"/>
    <d v="2025-10-01T15:19:00"/>
    <d v="2025-10-06T15:11:19"/>
    <s v="SF1835838610NYK"/>
    <s v="Shadowfax"/>
    <d v="2025-10-01T13:25:20"/>
    <s v=""/>
    <s v="Tiny Kingdom"/>
    <s v=""/>
    <s v=""/>
    <s v="TINYK11924265"/>
    <s v="Raise Return"/>
    <s v="Reverse PickUP Delivered"/>
    <s v=""/>
    <s v=""/>
    <d v="2025-10-17T20:41:19"/>
    <s v="No"/>
    <s v=""/>
    <s v="Noida"/>
    <s v="Uttar Pradesh"/>
    <n v="201301"/>
    <s v="India"/>
    <s v="Indian Rupee"/>
    <n v="62044220"/>
    <m/>
    <n v="3600"/>
    <s v="TINYK2627100203"/>
    <s v="NFJOY15"/>
    <s v=""/>
    <s v="No"/>
    <n v="18"/>
    <n v="0"/>
    <n v="0"/>
    <n v="18"/>
    <n v="549.15300000000002"/>
    <n v="0"/>
    <n v="0"/>
    <n v="549.15300000000002"/>
    <m/>
    <n v="0.85"/>
    <d v="2025-10-03T12:00:00"/>
    <n v="3600"/>
    <n v="549.15300000000002"/>
    <n v="4149.1530000000002"/>
  </r>
  <r>
    <s v="NYK-32432358-5054631-2-1"/>
    <s v="NYKF35864803"/>
    <s v="CUTAB00000744"/>
    <x v="184"/>
    <n v="4"/>
    <x v="0"/>
    <n v="1"/>
    <n v="1"/>
    <n v="4000"/>
    <n v="3800"/>
    <n v="0"/>
    <n v="3808.79"/>
    <n v="8.7899999999999991"/>
    <s v="COD"/>
    <d v="2025-10-15T05:07:35"/>
    <d v="2025-10-16T17:34:37"/>
    <d v="2025-10-21T11:00:42"/>
    <s v="28449525008255"/>
    <s v="DelhiverySurface"/>
    <d v="2025-10-15T19:10:58"/>
    <s v=""/>
    <s v="Tiny Kingdom"/>
    <s v=""/>
    <s v=""/>
    <s v="TINYK12200658"/>
    <s v="Raise Return"/>
    <s v="Reverse PickUP Done"/>
    <s v=""/>
    <s v=""/>
    <d v="2025-10-31T12:56:26"/>
    <s v="No"/>
    <s v=""/>
    <s v="Rajkot"/>
    <s v="Gujarat"/>
    <n v="360003"/>
    <s v="India"/>
    <s v="Indian Rupee"/>
    <n v="62044220"/>
    <m/>
    <n v="3800"/>
    <s v="TINYK2627100369"/>
    <s v=""/>
    <s v=""/>
    <s v="No"/>
    <n v="18"/>
    <n v="0"/>
    <n v="0"/>
    <n v="18"/>
    <n v="579.66099999999994"/>
    <n v="0"/>
    <n v="0"/>
    <n v="579.66099999999994"/>
    <m/>
    <n v="0.85"/>
    <d v="2025-10-17T12:00:00"/>
    <n v="3800"/>
    <n v="579.66099999999994"/>
    <n v="4379.6610000000001"/>
  </r>
  <r>
    <s v="NYK-32388099-8099749-1-1"/>
    <s v="NYKF35815623"/>
    <s v="CUTAB00000744"/>
    <x v="184"/>
    <n v="1"/>
    <x v="1"/>
    <n v="1"/>
    <n v="1"/>
    <n v="4000"/>
    <n v="3800"/>
    <n v="0"/>
    <n v="3811.14"/>
    <n v="11.14"/>
    <s v="Prepaid"/>
    <d v="2025-10-13T23:25:00"/>
    <d v="2025-10-15T18:12:44"/>
    <d v="2025-10-18T16:01:52"/>
    <s v="28449520985064"/>
    <s v="DelhiverySurface"/>
    <d v="2025-10-14T19:23:37"/>
    <s v=""/>
    <s v="Tiny Kingdom"/>
    <s v=""/>
    <s v=""/>
    <s v=""/>
    <s v=""/>
    <s v=""/>
    <s v=""/>
    <s v=""/>
    <d v="2025-10-18T16:06:18"/>
    <s v="No"/>
    <s v=""/>
    <s v="Bangalore"/>
    <s v="Karnataka"/>
    <n v="560035"/>
    <s v="India"/>
    <s v="Indian Rupee"/>
    <n v="62044220"/>
    <m/>
    <n v="3800"/>
    <s v="TINYK2627100359"/>
    <s v="NFSDS15"/>
    <s v=""/>
    <s v="No"/>
    <n v="18"/>
    <n v="0"/>
    <n v="0"/>
    <n v="18"/>
    <n v="579.66099999999994"/>
    <n v="0"/>
    <n v="0"/>
    <n v="579.66099999999994"/>
    <m/>
    <n v="0.85"/>
    <d v="2025-10-16T12:00:00"/>
    <n v="3800"/>
    <n v="579.66099999999994"/>
    <n v="4379.6610000000001"/>
  </r>
  <r>
    <s v="NYK-32323231-5132074-1-1"/>
    <s v="NYKF35741805"/>
    <s v="CUTAB00000745"/>
    <x v="185"/>
    <n v="1"/>
    <x v="1"/>
    <n v="1"/>
    <n v="1"/>
    <n v="3500"/>
    <n v="3325"/>
    <n v="0"/>
    <n v="3338.0749999999998"/>
    <n v="13.074999999999999"/>
    <s v="Prepaid"/>
    <d v="2025-10-12T13:15:32"/>
    <d v="2025-10-13T18:16:43"/>
    <d v="2025-10-16T11:04:55"/>
    <s v="237943173264710"/>
    <s v="Nykaa Fashion surface"/>
    <d v="2025-10-12T15:52:26"/>
    <s v=""/>
    <s v="Tiny Kingdom"/>
    <s v=""/>
    <s v=""/>
    <s v=""/>
    <s v=""/>
    <s v=""/>
    <s v=""/>
    <s v=""/>
    <d v="2025-10-16T11:36:09"/>
    <s v="No"/>
    <s v=""/>
    <s v="Mumbai"/>
    <s v="Maharashtra"/>
    <n v="400059"/>
    <s v="India"/>
    <s v="Indian Rupee"/>
    <n v="62044220"/>
    <m/>
    <n v="3325"/>
    <s v="TINYK2627100318"/>
    <s v="NFSD5OO"/>
    <s v=""/>
    <s v="No"/>
    <n v="18"/>
    <n v="9"/>
    <n v="9"/>
    <n v="0"/>
    <n v="507.20299999999997"/>
    <n v="253.602"/>
    <n v="253.602"/>
    <n v="0"/>
    <m/>
    <n v="1.2"/>
    <d v="2025-10-15T12:00:00"/>
    <n v="3325"/>
    <n v="507.20400000000001"/>
    <n v="3832.2040000000002"/>
  </r>
  <r>
    <s v="NYK-32733783-7784748-1-1"/>
    <s v="NYKF36179205"/>
    <s v="CUTAB00000748"/>
    <x v="186"/>
    <n v="1"/>
    <x v="1"/>
    <n v="1"/>
    <n v="1"/>
    <n v="4000"/>
    <n v="3800"/>
    <n v="0"/>
    <n v="3829"/>
    <n v="29"/>
    <s v="Prepaid"/>
    <d v="2025-10-26T22:26:25"/>
    <d v="2025-10-28T17:08:50"/>
    <d v="2025-10-31T08:54:16"/>
    <s v="28449527398280"/>
    <s v="DelhiverySurface"/>
    <d v="2025-10-27T19:08:35"/>
    <s v=""/>
    <s v="Tiny Kingdom"/>
    <s v=""/>
    <s v=""/>
    <s v=""/>
    <s v=""/>
    <s v=""/>
    <s v=""/>
    <s v=""/>
    <d v="2025-10-31T08:56:06"/>
    <s v="No"/>
    <s v=""/>
    <s v="New Delhi"/>
    <s v="Delhi"/>
    <n v="110033"/>
    <s v="India"/>
    <s v="Indian Rupee"/>
    <n v="62044220"/>
    <m/>
    <n v="3800"/>
    <s v="TINYK2627100423"/>
    <s v="NFOFF15"/>
    <s v=""/>
    <s v="No"/>
    <n v="18"/>
    <n v="0"/>
    <n v="0"/>
    <n v="18"/>
    <n v="579.66099999999994"/>
    <n v="0"/>
    <n v="0"/>
    <n v="579.66099999999994"/>
    <m/>
    <n v="0.85"/>
    <d v="2025-10-29T12:00:00"/>
    <n v="3800"/>
    <n v="579.66099999999994"/>
    <n v="4379.6610000000001"/>
  </r>
  <r>
    <s v="NYK-32146701-0587693-3-1"/>
    <s v="NYKF35544479"/>
    <s v="CUTAB00001003"/>
    <x v="187"/>
    <n v="1"/>
    <x v="0"/>
    <n v="1"/>
    <n v="1"/>
    <n v="3750"/>
    <n v="3375"/>
    <n v="0"/>
    <n v="3382.91"/>
    <n v="7.91"/>
    <s v="Prepaid"/>
    <d v="2025-10-07T01:26:28"/>
    <d v="2025-10-08T17:14:30"/>
    <d v="2025-10-10T17:17:58"/>
    <s v="237943173100221"/>
    <s v="Nykaa Fashion surface"/>
    <d v="2025-10-07T17:11:02"/>
    <s v=""/>
    <s v="Tiny Kingdom"/>
    <s v=""/>
    <s v=""/>
    <s v="TINYK11977585"/>
    <s v="Raise Return"/>
    <s v="Reverse PickUP Delivered"/>
    <s v=""/>
    <s v=""/>
    <d v="2025-10-17T15:16:31"/>
    <s v="No"/>
    <s v=""/>
    <s v="Pune"/>
    <s v="Maharashtra"/>
    <n v="411028"/>
    <s v="India"/>
    <s v="Indian Rupee"/>
    <n v="62044220"/>
    <m/>
    <n v="3375"/>
    <s v="TINYK2627100261"/>
    <s v=""/>
    <s v=""/>
    <s v="No"/>
    <n v="18"/>
    <n v="9"/>
    <n v="9"/>
    <n v="0"/>
    <n v="514.83100000000002"/>
    <n v="257.416"/>
    <n v="257.416"/>
    <n v="0"/>
    <m/>
    <n v="0.85"/>
    <d v="2025-10-09T12:00:00"/>
    <n v="3375"/>
    <n v="514.83199999999999"/>
    <n v="3889.8319999999999"/>
  </r>
  <r>
    <s v="NYK-32763986-5881580-2-1"/>
    <s v="NYKF36211671"/>
    <s v="CUTAB00000995"/>
    <x v="188"/>
    <n v="3"/>
    <x v="1"/>
    <n v="1"/>
    <n v="1"/>
    <n v="4000"/>
    <n v="3800"/>
    <n v="0"/>
    <n v="3810.3009999999999"/>
    <n v="10.301"/>
    <s v="Prepaid"/>
    <d v="2025-10-28T01:41:22"/>
    <d v="2025-10-28T17:10:21"/>
    <d v="2025-10-30T12:21:07"/>
    <s v="28449527460101"/>
    <s v="DelhiverySurface"/>
    <d v="2025-10-28T13:02:05"/>
    <s v=""/>
    <s v="Tiny Kingdom"/>
    <s v=""/>
    <s v=""/>
    <s v=""/>
    <s v=""/>
    <s v=""/>
    <s v=""/>
    <s v=""/>
    <d v="2025-10-30T12:26:42"/>
    <s v="No"/>
    <s v=""/>
    <s v="New Delhi"/>
    <s v="Delhi"/>
    <n v="110031"/>
    <s v="India"/>
    <s v="Indian Rupee"/>
    <n v="62044220"/>
    <m/>
    <n v="3800"/>
    <s v="TINYK2627100429"/>
    <s v="NTBB10"/>
    <s v=""/>
    <s v="No"/>
    <n v="18"/>
    <n v="0"/>
    <n v="0"/>
    <n v="18"/>
    <n v="579.66099999999994"/>
    <n v="0"/>
    <n v="0"/>
    <n v="579.66099999999994"/>
    <m/>
    <n v="1.2"/>
    <d v="2025-10-30T12:00:00"/>
    <n v="3800"/>
    <n v="579.66099999999994"/>
    <n v="4379.6610000000001"/>
  </r>
  <r>
    <s v="NYK-32356081-0529117-2-1"/>
    <s v="NYKF35779611"/>
    <s v="CUTAB00001000"/>
    <x v="189"/>
    <n v="2"/>
    <x v="0"/>
    <n v="1"/>
    <n v="1"/>
    <n v="3750"/>
    <n v="3563"/>
    <n v="0"/>
    <n v="3574.45"/>
    <n v="11.45"/>
    <s v="Prepaid"/>
    <d v="2025-10-13T07:25:29"/>
    <d v="2025-10-14T17:47:18"/>
    <d v="2025-10-17T14:49:27"/>
    <s v="28449520863651"/>
    <s v="DelhiverySurface"/>
    <d v="2025-10-13T19:32:50"/>
    <s v=""/>
    <s v="Tiny Kingdom"/>
    <s v=""/>
    <s v=""/>
    <s v="TINYK12107621"/>
    <s v="Raise Return"/>
    <s v="Reverse PickUP Delivered"/>
    <s v=""/>
    <s v=""/>
    <d v="2025-10-29T17:01:05"/>
    <s v="No"/>
    <s v=""/>
    <s v="Neemrana"/>
    <s v="Rajasthan"/>
    <n v="301701"/>
    <s v="India"/>
    <s v="Indian Rupee"/>
    <n v="62044220"/>
    <m/>
    <n v="3563"/>
    <s v="TINYK2627100352"/>
    <s v="NFSDS15"/>
    <s v=""/>
    <s v="No"/>
    <n v="18"/>
    <n v="0"/>
    <n v="0"/>
    <n v="18"/>
    <n v="543.50800000000004"/>
    <n v="0"/>
    <n v="0"/>
    <n v="543.50800000000004"/>
    <m/>
    <n v="0.85"/>
    <d v="2025-10-15T12:00:00"/>
    <n v="3563"/>
    <n v="543.50800000000004"/>
    <n v="4106.5079999999998"/>
  </r>
  <r>
    <s v="NYK-31994672-1879540-2-1"/>
    <s v="NYKF35374159"/>
    <s v="CUTAB00001132"/>
    <x v="190"/>
    <n v="1"/>
    <x v="1"/>
    <n v="1"/>
    <n v="1"/>
    <n v="4000"/>
    <n v="3600"/>
    <n v="0"/>
    <n v="3619.38"/>
    <n v="19.38"/>
    <s v="Prepaid"/>
    <d v="2025-10-02T13:28:00"/>
    <d v="2025-10-04T17:18:41"/>
    <d v="2025-10-10T16:49:25"/>
    <s v="28449519778474"/>
    <s v="DelhiverySurface"/>
    <d v="2025-10-03T19:34:48"/>
    <s v=""/>
    <s v="Tiny Kingdom"/>
    <s v=""/>
    <s v=""/>
    <s v=""/>
    <s v=""/>
    <s v=""/>
    <s v=""/>
    <s v=""/>
    <d v="2025-10-10T16:51:03"/>
    <s v="No"/>
    <s v=""/>
    <s v="Karaikal"/>
    <s v="pondicherry"/>
    <n v="609602"/>
    <s v="India"/>
    <s v="Indian Rupee"/>
    <n v="62044220"/>
    <m/>
    <n v="3600"/>
    <s v="TINYK2627100224"/>
    <s v="NFESTIVE1O"/>
    <s v=""/>
    <s v="No"/>
    <n v="18"/>
    <n v="0"/>
    <n v="0"/>
    <n v="18"/>
    <n v="549.15300000000002"/>
    <n v="0"/>
    <n v="0"/>
    <n v="549.15300000000002"/>
    <m/>
    <n v="0.85"/>
    <d v="2025-10-05T12:00:00"/>
    <n v="3600"/>
    <n v="549.15300000000002"/>
    <n v="4149.1530000000002"/>
  </r>
  <r>
    <s v="NYK-32806875-2141744-1-1"/>
    <s v="NYKF36256597"/>
    <s v="CUTAB00001136"/>
    <x v="191"/>
    <n v="1"/>
    <x v="3"/>
    <n v="1"/>
    <n v="1"/>
    <n v="4500"/>
    <n v="4275"/>
    <n v="0"/>
    <n v="4324"/>
    <n v="49"/>
    <s v="COD"/>
    <d v="2025-10-29T18:19:02"/>
    <d v="2025-10-30T17:29:51"/>
    <m/>
    <s v="28449526000203"/>
    <s v="DelhiverySurface"/>
    <d v="2025-10-29T18:58:15"/>
    <s v=""/>
    <s v="Tiny Kingdom"/>
    <s v=""/>
    <s v=""/>
    <s v=""/>
    <s v=""/>
    <s v=""/>
    <s v=""/>
    <s v=""/>
    <d v="2025-10-31T08:51:04"/>
    <s v="No"/>
    <s v=""/>
    <s v="Roorkee"/>
    <s v="Uttarakhand"/>
    <n v="247667"/>
    <s v="India"/>
    <s v="Indian Rupee"/>
    <n v="62044220"/>
    <m/>
    <n v="4275"/>
    <s v="TINYK2627100437"/>
    <s v="NFCARTO10"/>
    <s v=""/>
    <s v="No"/>
    <n v="18"/>
    <n v="0"/>
    <n v="0"/>
    <n v="18"/>
    <n v="652.11900000000003"/>
    <n v="0"/>
    <n v="0"/>
    <n v="652.11900000000003"/>
    <m/>
    <n v="0.85"/>
    <d v="2025-11-01T12:00:00"/>
    <n v="4275"/>
    <n v="652.11900000000003"/>
    <n v="4927.1189999999997"/>
  </r>
  <r>
    <s v="NYK-32599366-0349062-1-1"/>
    <s v="NYKF36037564"/>
    <s v="CUTAB00001136"/>
    <x v="191"/>
    <n v="1"/>
    <x v="1"/>
    <n v="1"/>
    <n v="1"/>
    <n v="4500"/>
    <n v="4275"/>
    <n v="0"/>
    <n v="4324"/>
    <n v="49"/>
    <s v="COD"/>
    <d v="2025-10-21T18:09:09"/>
    <d v="2025-10-24T17:33:28"/>
    <d v="2025-10-27T10:49:24"/>
    <s v="28449525580111"/>
    <s v="DelhiverySurface"/>
    <d v="2025-10-24T12:00:44"/>
    <s v=""/>
    <s v="Tiny Kingdom"/>
    <s v=""/>
    <s v=""/>
    <s v=""/>
    <s v=""/>
    <s v=""/>
    <s v=""/>
    <s v=""/>
    <d v="2025-10-27T11:25:55"/>
    <s v="No"/>
    <s v=""/>
    <s v="Ghaziabad"/>
    <s v="Uttar Pradesh"/>
    <n v="201010"/>
    <s v="India"/>
    <s v="Indian Rupee"/>
    <n v="62044220"/>
    <m/>
    <n v="4275"/>
    <s v="TINYK2627100404"/>
    <s v="NFDR15"/>
    <s v=""/>
    <s v="No"/>
    <n v="18"/>
    <n v="0"/>
    <n v="0"/>
    <n v="18"/>
    <n v="652.11900000000003"/>
    <n v="0"/>
    <n v="0"/>
    <n v="652.11900000000003"/>
    <m/>
    <n v="0.85"/>
    <d v="2025-10-24T12:00:00"/>
    <n v="4275"/>
    <n v="652.11900000000003"/>
    <n v="4927.1189999999997"/>
  </r>
  <r>
    <s v="NYK-32515905-3498940-1-1"/>
    <s v="NYKF35953164"/>
    <s v="CUTAB00001124"/>
    <x v="192"/>
    <n v="2"/>
    <x v="1"/>
    <n v="1"/>
    <n v="1"/>
    <n v="4500"/>
    <n v="4275"/>
    <n v="0"/>
    <n v="4289.5"/>
    <n v="14.5"/>
    <s v="Prepaid"/>
    <d v="2025-10-17T20:34:59"/>
    <d v="2025-10-24T17:34:34"/>
    <d v="2025-10-28T09:37:10"/>
    <s v="28449521425865"/>
    <s v="DelhiverySurface"/>
    <d v="2025-10-18T19:14:59"/>
    <s v=""/>
    <s v="Tiny Kingdom"/>
    <s v=""/>
    <s v=""/>
    <s v=""/>
    <s v=""/>
    <s v=""/>
    <s v=""/>
    <s v=""/>
    <d v="2025-10-28T09:41:14"/>
    <s v="No"/>
    <s v=""/>
    <s v="New Delhi"/>
    <s v="Delhi"/>
    <n v="110075"/>
    <s v="India"/>
    <s v="Indian Rupee"/>
    <n v="62044220"/>
    <m/>
    <n v="4275"/>
    <s v="TINYK2627100386"/>
    <s v="NFDIWALI1O"/>
    <s v=""/>
    <s v="No"/>
    <n v="18"/>
    <n v="0"/>
    <n v="0"/>
    <n v="18"/>
    <n v="652.11900000000003"/>
    <n v="0"/>
    <n v="0"/>
    <n v="652.11900000000003"/>
    <m/>
    <n v="1.2"/>
    <d v="2025-10-20T12:00:00"/>
    <n v="4275"/>
    <n v="652.11900000000003"/>
    <n v="4927.1189999999997"/>
  </r>
  <r>
    <s v="NYK-32368002-4692261-1-1"/>
    <s v="NYKF35792846"/>
    <s v="CUTAB00001124"/>
    <x v="192"/>
    <n v="1"/>
    <x v="0"/>
    <n v="1"/>
    <n v="1"/>
    <n v="4000"/>
    <n v="3800"/>
    <n v="0"/>
    <n v="3800"/>
    <n v="0"/>
    <s v="Prepaid"/>
    <d v="2025-10-13T14:08:12"/>
    <d v="2025-10-14T17:41:16"/>
    <d v="2025-10-17T12:06:42"/>
    <s v="28449520865143"/>
    <s v="DelhiverySurface"/>
    <d v="2025-10-13T19:32:50"/>
    <s v=""/>
    <s v="Tiny Kingdom"/>
    <s v=""/>
    <s v=""/>
    <s v="TINYK12120472"/>
    <s v="Raise Return"/>
    <s v="Reverse PickUP Delivered"/>
    <s v=""/>
    <s v=""/>
    <d v="2025-10-30T20:31:09"/>
    <s v="No"/>
    <s v=""/>
    <s v="Virudhunagar"/>
    <s v="Tamil Nadu"/>
    <n v="626123"/>
    <s v="India"/>
    <s v="Indian Rupee"/>
    <n v="62044220"/>
    <m/>
    <n v="3800"/>
    <s v="TINYK2627100345"/>
    <s v="NFDIWALI20"/>
    <s v=""/>
    <s v="No"/>
    <n v="18"/>
    <n v="0"/>
    <n v="0"/>
    <n v="18"/>
    <n v="579.66099999999994"/>
    <n v="0"/>
    <n v="0"/>
    <n v="579.66099999999994"/>
    <m/>
    <n v="0.85"/>
    <d v="2025-10-16T12:00:00"/>
    <n v="3800"/>
    <n v="579.66099999999994"/>
    <n v="4379.6610000000001"/>
  </r>
  <r>
    <s v="NYK-32184393-7488202-2-1"/>
    <s v="NYKF35585840"/>
    <s v="CUTAB00001126"/>
    <x v="193"/>
    <n v="1"/>
    <x v="1"/>
    <n v="1"/>
    <n v="1"/>
    <n v="4000"/>
    <n v="3600"/>
    <n v="0"/>
    <n v="3618.98"/>
    <n v="18.98"/>
    <s v="Prepaid"/>
    <d v="2025-10-08T09:54:48"/>
    <d v="2025-10-09T17:37:47"/>
    <d v="2025-10-17T12:24:53"/>
    <s v="28449520303334"/>
    <s v="DelhiverySurface"/>
    <d v="2025-10-08T17:25:10"/>
    <s v=""/>
    <s v="Tiny Kingdom"/>
    <s v=""/>
    <s v=""/>
    <s v=""/>
    <s v=""/>
    <s v=""/>
    <s v=""/>
    <s v=""/>
    <d v="2025-10-17T12:31:27"/>
    <s v="No"/>
    <s v=""/>
    <s v="Moradabad"/>
    <s v="Uttar Pradesh"/>
    <n v="244001"/>
    <s v="India"/>
    <s v="Indian Rupee"/>
    <n v="62044220"/>
    <m/>
    <n v="3600"/>
    <s v="TINYK2627100283"/>
    <s v="NFSD50O"/>
    <s v=""/>
    <s v="No"/>
    <n v="18"/>
    <n v="0"/>
    <n v="0"/>
    <n v="18"/>
    <n v="549.15300000000002"/>
    <n v="0"/>
    <n v="0"/>
    <n v="549.15300000000002"/>
    <m/>
    <n v="0.85"/>
    <d v="2025-10-10T12:00:00"/>
    <n v="3600"/>
    <n v="549.15300000000002"/>
    <n v="4149.1530000000002"/>
  </r>
  <r>
    <s v="NYK-32069514-4571698-1-1"/>
    <s v="NYKF35457493"/>
    <s v="CUTAB00001126"/>
    <x v="193"/>
    <n v="2"/>
    <x v="1"/>
    <n v="1"/>
    <n v="1"/>
    <n v="4000"/>
    <n v="3600"/>
    <n v="0"/>
    <n v="3625.47"/>
    <n v="25.47"/>
    <s v="Prepaid"/>
    <d v="2025-10-04T21:46:12"/>
    <d v="2025-10-06T15:23:28"/>
    <d v="2025-10-11T15:33:34"/>
    <s v="SF2167301184NYK"/>
    <s v="Shadowfax"/>
    <d v="2025-10-05T17:49:47"/>
    <s v=""/>
    <s v="Tiny Kingdom"/>
    <s v=""/>
    <s v=""/>
    <s v=""/>
    <s v=""/>
    <s v=""/>
    <s v=""/>
    <s v=""/>
    <d v="2025-10-11T15:35:58"/>
    <s v="No"/>
    <s v=""/>
    <s v="New Delhi"/>
    <s v="Delhi"/>
    <n v="110088"/>
    <s v="India"/>
    <s v="Indian Rupee"/>
    <n v="62044220"/>
    <m/>
    <n v="3600"/>
    <s v="TINYK2627100243"/>
    <s v="NFSAVE"/>
    <s v=""/>
    <s v="No"/>
    <n v="18"/>
    <n v="0"/>
    <n v="0"/>
    <n v="18"/>
    <n v="549.15300000000002"/>
    <n v="0"/>
    <n v="0"/>
    <n v="549.15300000000002"/>
    <m/>
    <n v="0.85"/>
    <d v="2025-10-07T12:00:00"/>
    <n v="3600"/>
    <n v="549.15300000000002"/>
    <n v="4149.1530000000002"/>
  </r>
  <r>
    <s v="NYK-32434532-7727847-9-1"/>
    <s v="NYKF35867194"/>
    <s v="CUTAB00001128"/>
    <x v="194"/>
    <n v="11"/>
    <x v="1"/>
    <n v="1"/>
    <n v="1"/>
    <n v="4500"/>
    <n v="4275"/>
    <n v="0"/>
    <n v="4282.09"/>
    <n v="7.09"/>
    <s v="Prepaid"/>
    <d v="2025-10-15T08:38:48"/>
    <d v="2025-10-16T17:34:57"/>
    <d v="2025-10-19T14:17:02"/>
    <s v="28449521151292"/>
    <s v="DelhiverySurface"/>
    <d v="2025-10-15T19:10:52"/>
    <s v=""/>
    <s v="Tiny Kingdom"/>
    <s v=""/>
    <s v=""/>
    <s v=""/>
    <s v=""/>
    <s v=""/>
    <s v=""/>
    <s v=""/>
    <d v="2025-10-19T14:21:12"/>
    <s v="No"/>
    <s v=""/>
    <s v="Bilimora"/>
    <s v="Gujarat"/>
    <n v="396310"/>
    <s v="India"/>
    <s v="Indian Rupee"/>
    <n v="62044220"/>
    <m/>
    <n v="4275"/>
    <s v="TINYK2627100367"/>
    <s v=""/>
    <s v=""/>
    <s v="No"/>
    <n v="18"/>
    <n v="0"/>
    <n v="0"/>
    <n v="18"/>
    <n v="652.11900000000003"/>
    <n v="0"/>
    <n v="0"/>
    <n v="652.11900000000003"/>
    <m/>
    <n v="0.85"/>
    <d v="2025-10-17T12:00:00"/>
    <n v="4275"/>
    <n v="652.11900000000003"/>
    <n v="4927.1189999999997"/>
  </r>
  <r>
    <s v="NYK-32440765-0552166-1-1"/>
    <s v="NYKF35873696"/>
    <s v="CUTAB00000988"/>
    <x v="195"/>
    <n v="1"/>
    <x v="0"/>
    <n v="1"/>
    <n v="1"/>
    <n v="4500"/>
    <n v="4275"/>
    <n v="0"/>
    <n v="4290"/>
    <n v="15"/>
    <s v="Prepaid"/>
    <d v="2025-10-15T12:12:32"/>
    <d v="2025-10-16T17:34:49"/>
    <d v="2025-10-23T13:29:02"/>
    <s v="28449521149844"/>
    <s v="DelhiverySurface"/>
    <d v="2025-10-15T19:10:58"/>
    <s v=""/>
    <s v="Tiny Kingdom"/>
    <s v=""/>
    <s v=""/>
    <s v="TINYK12150222"/>
    <s v="Raise Return"/>
    <s v="Reverse PickUP Done"/>
    <s v=""/>
    <s v=""/>
    <d v="2025-10-28T06:16:27"/>
    <s v="No"/>
    <s v=""/>
    <s v="Tohana"/>
    <s v="Haryana"/>
    <n v="125120"/>
    <s v="India"/>
    <s v="Indian Rupee"/>
    <n v="62044220"/>
    <m/>
    <n v="4275"/>
    <s v="TINYK2627100370"/>
    <s v=""/>
    <s v=""/>
    <s v="No"/>
    <n v="18"/>
    <n v="0"/>
    <n v="0"/>
    <n v="18"/>
    <n v="652.11900000000003"/>
    <n v="0"/>
    <n v="0"/>
    <n v="652.11900000000003"/>
    <m/>
    <n v="0.85"/>
    <d v="2025-10-18T12:00:00"/>
    <n v="4275"/>
    <n v="652.11900000000003"/>
    <n v="4927.1189999999997"/>
  </r>
  <r>
    <s v="NYK-32270140-1371945-1-1"/>
    <s v="NYKF35681761"/>
    <s v="CUTAB00000988"/>
    <x v="195"/>
    <n v="1"/>
    <x v="0"/>
    <n v="1"/>
    <n v="1"/>
    <n v="4000"/>
    <n v="3800"/>
    <n v="0"/>
    <n v="3829"/>
    <n v="29"/>
    <s v="Prepaid"/>
    <d v="2025-10-11T00:06:12"/>
    <d v="2025-10-11T17:58:02"/>
    <d v="2025-10-16T16:30:13"/>
    <s v="28449520588234"/>
    <s v="DelhiverySurface"/>
    <d v="2025-10-11T14:17:20"/>
    <s v=""/>
    <s v="Tiny Kingdom"/>
    <s v=""/>
    <s v=""/>
    <s v="TINYK12049138"/>
    <s v="Raise Return"/>
    <s v="Reverse PickUP Delivered"/>
    <s v=""/>
    <s v=""/>
    <d v="2025-10-28T15:01:06"/>
    <s v="No"/>
    <s v=""/>
    <s v="Mandi"/>
    <s v="Himachal Pradesh"/>
    <n v="175021"/>
    <s v="India"/>
    <s v="Indian Rupee"/>
    <n v="62044220"/>
    <m/>
    <n v="3800"/>
    <s v="TINYK2627100304"/>
    <s v="NFSDS15"/>
    <s v=""/>
    <s v="No"/>
    <n v="18"/>
    <n v="0"/>
    <n v="0"/>
    <n v="18"/>
    <n v="579.66099999999994"/>
    <n v="0"/>
    <n v="0"/>
    <n v="579.66099999999994"/>
    <m/>
    <n v="0.85"/>
    <d v="2025-10-13T12:00:00"/>
    <n v="3800"/>
    <n v="579.66099999999994"/>
    <n v="4379.6610000000001"/>
  </r>
  <r>
    <s v="NYK-32551097-2496512-2-1"/>
    <s v="NYKF35988154"/>
    <s v="CUTAB00000991"/>
    <x v="196"/>
    <n v="7"/>
    <x v="1"/>
    <n v="1"/>
    <n v="1"/>
    <n v="4500"/>
    <n v="4275"/>
    <n v="0"/>
    <n v="4292.05"/>
    <n v="17.05"/>
    <s v="COD"/>
    <d v="2025-10-19T11:11:36"/>
    <d v="2025-10-24T17:33:54"/>
    <d v="2025-10-27T14:17:44"/>
    <s v="28449525580203"/>
    <s v="DelhiverySurface"/>
    <d v="2025-10-24T12:00:44"/>
    <s v=""/>
    <s v="Tiny Kingdom"/>
    <s v=""/>
    <s v=""/>
    <s v=""/>
    <s v=""/>
    <s v=""/>
    <s v=""/>
    <s v=""/>
    <d v="2025-10-27T14:21:14"/>
    <s v="No"/>
    <s v=""/>
    <s v="Tirupati"/>
    <s v="Andhra Pradesh"/>
    <n v="517502"/>
    <s v="India"/>
    <s v="Indian Rupee"/>
    <n v="62044220"/>
    <m/>
    <n v="4275"/>
    <s v="TINYK2627100396"/>
    <s v=""/>
    <s v="mob_with_gt10000_spend"/>
    <s v="No"/>
    <n v="18"/>
    <n v="0"/>
    <n v="0"/>
    <n v="18"/>
    <n v="652.11900000000003"/>
    <n v="0"/>
    <n v="0"/>
    <n v="652.11900000000003"/>
    <d v="2025-10-19T18:30:46"/>
    <n v="0.85"/>
    <d v="2025-10-22T12:00:00"/>
    <n v="4275"/>
    <n v="652.11900000000003"/>
    <n v="4927.1189999999997"/>
  </r>
  <r>
    <s v="NYK-32537429-3884150-1-1"/>
    <s v="NYKF35974533"/>
    <s v="CUTAB00000991"/>
    <x v="196"/>
    <n v="2"/>
    <x v="4"/>
    <n v="1"/>
    <n v="0"/>
    <n v="4500"/>
    <n v="4275"/>
    <n v="0"/>
    <n v="4312.8500000000004"/>
    <n v="37.85"/>
    <s v="COD"/>
    <d v="2025-10-18T18:54:44"/>
    <m/>
    <m/>
    <s v=""/>
    <s v="DelhiverySurface"/>
    <m/>
    <s v="Delivery date is too late"/>
    <s v="Tiny Kingdom"/>
    <s v=""/>
    <s v=""/>
    <s v=""/>
    <s v=""/>
    <s v=""/>
    <s v=""/>
    <s v=""/>
    <d v="2025-10-18T19:03:07"/>
    <s v="No"/>
    <s v=""/>
    <s v="Bangalore"/>
    <s v="Karnataka"/>
    <n v="560049"/>
    <s v="India"/>
    <s v="Indian Rupee"/>
    <n v="62044220"/>
    <d v="2025-10-18T19:03:07"/>
    <n v="4275"/>
    <s v=""/>
    <s v="NFDIWALI10"/>
    <s v=""/>
    <s v="No"/>
    <n v="18"/>
    <n v="0"/>
    <n v="0"/>
    <n v="18"/>
    <n v="652.11900000000003"/>
    <n v="0"/>
    <n v="0"/>
    <n v="652.11900000000003"/>
    <m/>
    <m/>
    <d v="2025-10-21T12:00:00"/>
    <n v="4275"/>
    <n v="652.11900000000003"/>
    <n v="4927.1189999999997"/>
  </r>
  <r>
    <s v="NYK-32803668-3872608-3-1"/>
    <s v="NYKF36253089"/>
    <s v="CUTAB00000992"/>
    <x v="197"/>
    <n v="6"/>
    <x v="3"/>
    <n v="1"/>
    <n v="1"/>
    <n v="4500"/>
    <n v="4275"/>
    <n v="0"/>
    <n v="4275"/>
    <n v="0"/>
    <s v="Prepaid"/>
    <d v="2025-10-29T16:01:13"/>
    <d v="2025-10-30T17:29:47"/>
    <m/>
    <s v="28449527560050"/>
    <s v="DelhiverySurface"/>
    <d v="2025-10-29T18:58:15"/>
    <s v=""/>
    <s v="Tiny Kingdom"/>
    <s v=""/>
    <s v=""/>
    <s v=""/>
    <s v=""/>
    <s v=""/>
    <s v=""/>
    <s v=""/>
    <d v="2025-10-31T09:46:03"/>
    <s v="No"/>
    <s v=""/>
    <s v="Gurgaon"/>
    <s v="Haryana"/>
    <n v="122004"/>
    <s v="India"/>
    <s v="Indian Rupee"/>
    <n v="62044220"/>
    <m/>
    <n v="4275"/>
    <s v="TINYK2627100435"/>
    <s v="NFNEW15"/>
    <s v=""/>
    <s v="No"/>
    <n v="18"/>
    <n v="0"/>
    <n v="0"/>
    <n v="18"/>
    <n v="652.11900000000003"/>
    <n v="0"/>
    <n v="0"/>
    <n v="652.11900000000003"/>
    <m/>
    <n v="0.85"/>
    <d v="2025-11-01T12:00:00"/>
    <n v="4275"/>
    <n v="652.11900000000003"/>
    <n v="4927.1189999999997"/>
  </r>
  <r>
    <s v="NYK-32530489-2641343-1-1"/>
    <s v="NYKF35967396"/>
    <s v="CUTAB00000993"/>
    <x v="198"/>
    <n v="1"/>
    <x v="1"/>
    <n v="1"/>
    <n v="1"/>
    <n v="4500"/>
    <n v="4275"/>
    <n v="0"/>
    <n v="4304"/>
    <n v="29"/>
    <s v="Prepaid"/>
    <d v="2025-10-18T13:00:41"/>
    <d v="2025-10-24T17:34:13"/>
    <d v="2025-10-27T10:58:04"/>
    <s v="28449521425703"/>
    <s v="DelhiverySurface"/>
    <d v="2025-10-18T19:14:59"/>
    <s v=""/>
    <s v="Tiny Kingdom"/>
    <s v=""/>
    <s v=""/>
    <s v=""/>
    <s v=""/>
    <s v=""/>
    <s v=""/>
    <s v=""/>
    <d v="2025-10-27T11:30:58"/>
    <s v="No"/>
    <s v=""/>
    <s v="Shimoga"/>
    <s v="Karnataka"/>
    <n v="577204"/>
    <s v="India"/>
    <s v="Indian Rupee"/>
    <n v="62044220"/>
    <m/>
    <n v="4275"/>
    <s v="TINYK2627100384"/>
    <s v=""/>
    <s v=""/>
    <s v="No"/>
    <n v="18"/>
    <n v="0"/>
    <n v="0"/>
    <n v="18"/>
    <n v="652.11900000000003"/>
    <n v="0"/>
    <n v="0"/>
    <n v="652.11900000000003"/>
    <m/>
    <n v="0.85"/>
    <d v="2025-10-21T12:00:00"/>
    <n v="4275"/>
    <n v="652.11900000000003"/>
    <n v="4927.1189999999997"/>
  </r>
  <r>
    <s v="NYK-32325570-8592173-1-1"/>
    <s v="NYKF35744228"/>
    <s v="CUTAB00000993"/>
    <x v="198"/>
    <n v="1"/>
    <x v="1"/>
    <n v="1"/>
    <n v="1"/>
    <n v="4000"/>
    <n v="3800"/>
    <n v="0"/>
    <n v="3829"/>
    <n v="29"/>
    <s v="Prepaid"/>
    <d v="2025-10-12T14:13:12"/>
    <d v="2025-10-13T18:16:55"/>
    <d v="2025-10-16T16:40:30"/>
    <s v="28449520690994"/>
    <s v="DelhiverySurface"/>
    <d v="2025-10-12T15:52:26"/>
    <s v=""/>
    <s v="Tiny Kingdom"/>
    <s v=""/>
    <s v=""/>
    <s v=""/>
    <s v=""/>
    <s v=""/>
    <s v=""/>
    <s v=""/>
    <d v="2025-10-16T16:40:56"/>
    <s v="No"/>
    <s v=""/>
    <s v="Gurugram"/>
    <s v="Haryana"/>
    <n v="122017"/>
    <s v="India"/>
    <s v="Indian Rupee"/>
    <n v="62044220"/>
    <m/>
    <n v="3800"/>
    <s v="TINYK2627100321"/>
    <s v="NFJOY15"/>
    <s v=""/>
    <s v="No"/>
    <n v="18"/>
    <n v="0"/>
    <n v="0"/>
    <n v="18"/>
    <n v="579.66099999999994"/>
    <n v="0"/>
    <n v="0"/>
    <n v="579.66099999999994"/>
    <m/>
    <n v="0.85"/>
    <d v="2025-10-15T12:00:00"/>
    <n v="3800"/>
    <n v="579.66099999999994"/>
    <n v="4379.6610000000001"/>
  </r>
  <r>
    <s v="NYK-32757489-9490689-2-1"/>
    <s v="NYKF36204611"/>
    <s v="CUTAB00000994"/>
    <x v="199"/>
    <n v="3"/>
    <x v="1"/>
    <n v="1"/>
    <n v="1"/>
    <n v="4500"/>
    <n v="4275"/>
    <n v="0"/>
    <n v="4287.08"/>
    <n v="12.08"/>
    <s v="Prepaid"/>
    <d v="2025-10-27T21:08:11"/>
    <d v="2025-10-28T17:10:29"/>
    <d v="2025-10-30T12:00:11"/>
    <s v="237943173662726"/>
    <s v="Nykaa Fashion surface"/>
    <d v="2025-10-28T13:02:07"/>
    <s v=""/>
    <s v="Tiny Kingdom"/>
    <s v=""/>
    <s v=""/>
    <s v=""/>
    <s v=""/>
    <s v=""/>
    <s v=""/>
    <s v=""/>
    <d v="2025-10-30T12:01:06"/>
    <s v="No"/>
    <s v=""/>
    <s v="Pune"/>
    <s v="Maharashtra"/>
    <n v="411013"/>
    <s v="India"/>
    <s v="Indian Rupee"/>
    <n v="62044220"/>
    <m/>
    <n v="4275"/>
    <s v="TINYK2627100431"/>
    <s v="NFDR10"/>
    <s v=""/>
    <s v="No"/>
    <n v="18"/>
    <n v="9"/>
    <n v="9"/>
    <n v="0"/>
    <n v="652.11900000000003"/>
    <n v="326.06"/>
    <n v="326.06"/>
    <n v="0"/>
    <m/>
    <n v="0.85"/>
    <d v="2025-10-30T12:00:00"/>
    <n v="4275"/>
    <n v="652.12"/>
    <n v="4927.12"/>
  </r>
  <r>
    <s v="NYK-32205637-1481602-2-1"/>
    <s v="NYKF35608958"/>
    <s v="CUTAB00000994"/>
    <x v="199"/>
    <n v="1"/>
    <x v="1"/>
    <n v="1"/>
    <n v="1"/>
    <n v="4000"/>
    <n v="3600"/>
    <n v="0"/>
    <n v="3635.28"/>
    <n v="35.28"/>
    <s v="COD"/>
    <d v="2025-10-08T22:08:02"/>
    <d v="2025-10-10T17:33:10"/>
    <d v="2025-10-13T16:29:10"/>
    <s v="28449522045586"/>
    <s v="DelhiverySurface"/>
    <d v="2025-10-09T18:52:18"/>
    <s v=""/>
    <s v="Tiny Kingdom"/>
    <s v=""/>
    <s v=""/>
    <s v=""/>
    <s v=""/>
    <s v=""/>
    <s v=""/>
    <s v=""/>
    <d v="2025-10-13T16:31:39"/>
    <s v="No"/>
    <s v=""/>
    <s v="Madurai"/>
    <s v="Tamil Nadu"/>
    <n v="625002"/>
    <s v="India"/>
    <s v="Indian Rupee"/>
    <n v="62044220"/>
    <m/>
    <n v="3600"/>
    <s v="TINYK2627100292"/>
    <s v="NFSD50O"/>
    <s v=""/>
    <s v="No"/>
    <n v="18"/>
    <n v="0"/>
    <n v="0"/>
    <n v="18"/>
    <n v="549.15300000000002"/>
    <n v="0"/>
    <n v="0"/>
    <n v="549.15300000000002"/>
    <m/>
    <n v="0.85"/>
    <d v="2025-10-11T12:00:00"/>
    <n v="3600"/>
    <n v="549.15300000000002"/>
    <n v="4149.1530000000002"/>
  </r>
  <r>
    <s v="NYK-32390930-2154052-1-1"/>
    <s v="NYKF35818921"/>
    <s v="CUTAB00001158"/>
    <x v="200"/>
    <n v="1"/>
    <x v="1"/>
    <n v="1"/>
    <n v="1"/>
    <n v="4500"/>
    <n v="4275"/>
    <n v="0"/>
    <n v="4324"/>
    <n v="49"/>
    <s v="COD"/>
    <d v="2025-10-14T00:32:34"/>
    <d v="2025-10-15T18:12:11"/>
    <d v="2025-10-18T18:45:15"/>
    <s v="28449522528041"/>
    <s v="DelhiverySurface"/>
    <d v="2025-10-14T19:23:37"/>
    <s v=""/>
    <s v="Tiny Kingdom"/>
    <s v=""/>
    <s v=""/>
    <s v=""/>
    <s v=""/>
    <s v=""/>
    <s v=""/>
    <s v=""/>
    <d v="2025-10-18T18:46:16"/>
    <s v="No"/>
    <s v=""/>
    <s v="Bhubaneshwar"/>
    <s v="orissa"/>
    <n v="751024"/>
    <s v="India"/>
    <s v="Indian Rupee"/>
    <n v="62044220"/>
    <m/>
    <n v="4275"/>
    <s v="TINYK2627100358"/>
    <s v="NFSDS15"/>
    <s v=""/>
    <s v="No"/>
    <n v="18"/>
    <n v="0"/>
    <n v="0"/>
    <n v="18"/>
    <n v="652.11900000000003"/>
    <n v="0"/>
    <n v="0"/>
    <n v="652.11900000000003"/>
    <m/>
    <n v="0.85"/>
    <d v="2025-10-16T12:00:00"/>
    <n v="4275"/>
    <n v="652.11900000000003"/>
    <n v="4927.1189999999997"/>
  </r>
  <r>
    <s v="NYK-32358464-7475621-1-1"/>
    <s v="NYKF35782386"/>
    <s v="CUTAB00001159"/>
    <x v="201"/>
    <n v="1"/>
    <x v="0"/>
    <n v="1"/>
    <n v="1"/>
    <n v="4500"/>
    <n v="4275"/>
    <n v="0"/>
    <n v="4324"/>
    <n v="49"/>
    <s v="COD"/>
    <d v="2025-10-13T09:21:16"/>
    <d v="2025-10-14T17:40:25"/>
    <d v="2025-10-18T15:49:52"/>
    <s v="28449522418664"/>
    <s v="DelhiverySurface"/>
    <d v="2025-10-13T19:32:50"/>
    <s v=""/>
    <s v="Tiny Kingdom"/>
    <s v=""/>
    <s v=""/>
    <s v="TINYK12131525"/>
    <s v="Raise Return"/>
    <s v="Reverse PickUP Done"/>
    <s v=""/>
    <s v=""/>
    <d v="2025-10-30T18:16:18"/>
    <s v="No"/>
    <s v=""/>
    <s v="Chhabra"/>
    <s v="Rajasthan"/>
    <n v="325220"/>
    <s v="India"/>
    <s v="Indian Rupee"/>
    <n v="62044220"/>
    <m/>
    <n v="4275"/>
    <s v="TINYK2627100341"/>
    <s v="NFSDS15"/>
    <s v=""/>
    <s v="No"/>
    <n v="18"/>
    <n v="0"/>
    <n v="0"/>
    <n v="18"/>
    <n v="652.11900000000003"/>
    <n v="0"/>
    <n v="0"/>
    <n v="652.11900000000003"/>
    <m/>
    <n v="0.85"/>
    <d v="2025-10-15T12:00:00"/>
    <n v="4275"/>
    <n v="652.11900000000003"/>
    <n v="4927.1189999999997"/>
  </r>
  <r>
    <s v="NYK-32611697-6511652-1-1"/>
    <s v="NYKF36050837"/>
    <s v="CUTAB00001160"/>
    <x v="202"/>
    <n v="1"/>
    <x v="4"/>
    <n v="1"/>
    <n v="0"/>
    <n v="4500"/>
    <n v="4275"/>
    <n v="0"/>
    <n v="4304"/>
    <n v="29"/>
    <s v="Prepaid"/>
    <d v="2025-10-22T09:45:12"/>
    <m/>
    <m/>
    <s v=""/>
    <s v="DelhiverySurface"/>
    <m/>
    <s v="Verification Cancelled"/>
    <s v="Tiny Kingdom"/>
    <s v="Bad Return history_x000a_"/>
    <s v=""/>
    <s v=""/>
    <s v=""/>
    <s v=""/>
    <s v=""/>
    <s v=""/>
    <d v="2025-10-22T12:34:30"/>
    <s v="No"/>
    <s v=""/>
    <s v="Jaipur"/>
    <s v="Rajasthan"/>
    <n v="302021"/>
    <s v="India"/>
    <s v="Indian Rupee"/>
    <n v="62044220"/>
    <d v="2025-10-22T12:34:30"/>
    <n v="4275"/>
    <s v=""/>
    <s v="NFNEXT10"/>
    <s v="Blacklisted Customer"/>
    <s v="Yes"/>
    <n v="18"/>
    <n v="0"/>
    <n v="0"/>
    <n v="18"/>
    <n v="652.11900000000003"/>
    <n v="0"/>
    <n v="0"/>
    <n v="652.11900000000003"/>
    <m/>
    <m/>
    <d v="2025-10-24T12:00:00"/>
    <n v="4275"/>
    <n v="652.11900000000003"/>
    <n v="4927.1189999999997"/>
  </r>
  <r>
    <s v="NYK-31996528-5584003-1-1"/>
    <s v="NYKF35376117"/>
    <s v="CUTAB00001167"/>
    <x v="203"/>
    <n v="1"/>
    <x v="1"/>
    <n v="1"/>
    <n v="1"/>
    <n v="4500"/>
    <n v="4275"/>
    <n v="0"/>
    <n v="4304"/>
    <n v="29"/>
    <s v="Prepaid"/>
    <d v="2025-10-02T14:29:44"/>
    <d v="2025-10-04T17:18:13"/>
    <d v="2025-10-08T19:04:43"/>
    <s v="28449519779664"/>
    <s v="DelhiverySurface"/>
    <d v="2025-10-03T19:34:48"/>
    <s v=""/>
    <s v="Tiny Kingdom"/>
    <s v=""/>
    <s v=""/>
    <s v=""/>
    <s v=""/>
    <s v=""/>
    <s v=""/>
    <s v=""/>
    <d v="2025-10-08T19:06:11"/>
    <s v="No"/>
    <s v=""/>
    <s v="Guwahati"/>
    <s v="Assam"/>
    <n v="781011"/>
    <s v="India"/>
    <s v="Indian Rupee"/>
    <n v="62044220"/>
    <m/>
    <n v="4275"/>
    <s v="TINYK2627100215"/>
    <s v=""/>
    <s v=""/>
    <s v="No"/>
    <n v="18"/>
    <n v="0"/>
    <n v="0"/>
    <n v="18"/>
    <n v="652.11900000000003"/>
    <n v="0"/>
    <n v="0"/>
    <n v="652.11900000000003"/>
    <m/>
    <n v="0.85"/>
    <d v="2025-10-05T12:00:00"/>
    <n v="4275"/>
    <n v="652.11900000000003"/>
    <n v="4927.1189999999997"/>
  </r>
  <r>
    <s v="NYK-32353741-0279376-5-1"/>
    <s v="NYKF35776826"/>
    <s v="CUTAB00001169"/>
    <x v="204"/>
    <n v="7"/>
    <x v="1"/>
    <n v="1"/>
    <n v="1"/>
    <n v="4500"/>
    <n v="4275"/>
    <n v="0"/>
    <n v="4278.0600000000004"/>
    <n v="3.06"/>
    <s v="Prepaid"/>
    <d v="2025-10-13T01:47:59"/>
    <d v="2025-10-14T17:42:25"/>
    <d v="2025-10-16T17:03:47"/>
    <s v="28449520862682"/>
    <s v="DelhiverySurface"/>
    <d v="2025-10-13T19:30:41"/>
    <s v=""/>
    <s v="Tiny Kingdom"/>
    <s v=""/>
    <s v=""/>
    <s v=""/>
    <s v=""/>
    <s v=""/>
    <s v=""/>
    <s v=""/>
    <d v="2025-10-16T17:06:26"/>
    <s v="No"/>
    <s v=""/>
    <s v="Gurgaon"/>
    <s v="Haryana"/>
    <n v="122002"/>
    <s v="India"/>
    <s v="Indian Rupee"/>
    <n v="62044220"/>
    <m/>
    <n v="4275"/>
    <s v="TINYK2627100329"/>
    <s v=""/>
    <s v=""/>
    <s v="No"/>
    <n v="18"/>
    <n v="0"/>
    <n v="0"/>
    <n v="18"/>
    <n v="652.11900000000003"/>
    <n v="0"/>
    <n v="0"/>
    <n v="652.11900000000003"/>
    <m/>
    <n v="0.85"/>
    <d v="2025-10-15T12:00:00"/>
    <n v="4275"/>
    <n v="652.11900000000003"/>
    <n v="4927.1189999999997"/>
  </r>
  <r>
    <s v="NYK-32515905-3498940-1-1"/>
    <s v="NYKF35953164"/>
    <s v="CUTAB00001172"/>
    <x v="205"/>
    <n v="1"/>
    <x v="1"/>
    <n v="1"/>
    <n v="1"/>
    <n v="4500"/>
    <n v="4275"/>
    <n v="0"/>
    <n v="4289.5"/>
    <n v="14.5"/>
    <s v="Prepaid"/>
    <d v="2025-10-17T20:34:59"/>
    <d v="2025-10-24T17:34:34"/>
    <d v="2025-10-28T09:37:10"/>
    <s v="28449521425865"/>
    <s v="DelhiverySurface"/>
    <d v="2025-10-18T19:14:59"/>
    <s v=""/>
    <s v="Tiny Kingdom"/>
    <s v=""/>
    <s v=""/>
    <s v=""/>
    <s v=""/>
    <s v=""/>
    <s v=""/>
    <s v=""/>
    <d v="2025-10-28T09:41:14"/>
    <s v="No"/>
    <s v=""/>
    <s v="New Delhi"/>
    <s v="Delhi"/>
    <n v="110075"/>
    <s v="India"/>
    <s v="Indian Rupee"/>
    <n v="62044220"/>
    <m/>
    <n v="4275"/>
    <s v="TINYK2627100386"/>
    <s v="NFDIWALI1O"/>
    <s v=""/>
    <s v="No"/>
    <n v="18"/>
    <n v="0"/>
    <n v="0"/>
    <n v="18"/>
    <n v="652.11900000000003"/>
    <n v="0"/>
    <n v="0"/>
    <n v="652.11900000000003"/>
    <m/>
    <n v="1.2"/>
    <d v="2025-10-20T12:00:00"/>
    <n v="4275"/>
    <n v="652.11900000000003"/>
    <n v="4927.1189999999997"/>
  </r>
  <r>
    <s v="NYK-32362722-5554338-2-1"/>
    <s v="NYKF35787026"/>
    <s v="CUTAB00001173"/>
    <x v="206"/>
    <n v="2"/>
    <x v="1"/>
    <n v="1"/>
    <n v="1"/>
    <n v="4500"/>
    <n v="4275"/>
    <n v="0"/>
    <n v="4291.6499999999996"/>
    <n v="16.649999999999999"/>
    <s v="Prepaid"/>
    <d v="2025-10-13T11:35:54"/>
    <d v="2025-10-14T17:49:05"/>
    <d v="2025-10-18T11:41:44"/>
    <s v="28449520864583"/>
    <s v="DelhiverySurface"/>
    <d v="2025-10-13T19:31:45"/>
    <s v=""/>
    <s v="Tiny Kingdom"/>
    <s v=""/>
    <s v=""/>
    <s v=""/>
    <s v=""/>
    <s v=""/>
    <s v=""/>
    <s v=""/>
    <d v="2025-10-18T11:46:07"/>
    <s v="No"/>
    <s v=""/>
    <s v="Bangalore"/>
    <s v="Karnataka"/>
    <n v="560103"/>
    <s v="India"/>
    <s v="Indian Rupee"/>
    <n v="62044220"/>
    <m/>
    <n v="4275"/>
    <s v="TINYK2627100338"/>
    <s v="NFSD5OO"/>
    <s v=""/>
    <s v="No"/>
    <n v="18"/>
    <n v="0"/>
    <n v="0"/>
    <n v="18"/>
    <n v="652.11900000000003"/>
    <n v="0"/>
    <n v="0"/>
    <n v="652.11900000000003"/>
    <m/>
    <n v="0.85"/>
    <d v="2025-10-15T12:00:00"/>
    <n v="4275"/>
    <n v="652.11900000000003"/>
    <n v="4927.11899999999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NYK-32366739-2647158-1-1"/>
    <s v="1180-Blue-18"/>
    <n v="1125"/>
    <n v="53.570999999999998"/>
    <n v="1178.5709999999999"/>
    <x v="0"/>
  </r>
  <r>
    <s v="NYK-32403335-4829423-1-1"/>
    <s v="1221-Rani-26"/>
    <n v="3200"/>
    <n v="488.13600000000002"/>
    <n v="3688.136"/>
    <x v="0"/>
  </r>
  <r>
    <s v="NYK-32146272-9178363-4-1"/>
    <s v="1221-Rani-36"/>
    <n v="3200"/>
    <n v="488.13600000000002"/>
    <n v="3688.136"/>
    <x v="0"/>
  </r>
  <r>
    <s v="NYK-31976662-8133615-4-1"/>
    <s v="1235-Blue-38"/>
    <n v="2400"/>
    <n v="114.286"/>
    <n v="2514.2860000000001"/>
    <x v="0"/>
  </r>
  <r>
    <s v="NYK-32066839-9427040-1-1"/>
    <s v="1245-Pink-20"/>
    <n v="2800"/>
    <n v="427.12"/>
    <n v="3227.12"/>
    <x v="1"/>
  </r>
  <r>
    <s v="NYK-32153170-4319140-1-1"/>
    <s v="1258-Multi-32"/>
    <n v="3465"/>
    <n v="528.55899999999997"/>
    <n v="3993.5590000000002"/>
    <x v="0"/>
  </r>
  <r>
    <s v="NYK-32356595-2556873-1-1"/>
    <s v="1263-Lilac-38"/>
    <n v="3600"/>
    <n v="549.15300000000002"/>
    <n v="4149.1530000000002"/>
    <x v="0"/>
  </r>
  <r>
    <s v="NYK-32103741-8046267-10-1"/>
    <s v="1271-Blue-36"/>
    <n v="2700"/>
    <n v="411.86399999999998"/>
    <n v="3111.864"/>
    <x v="0"/>
  </r>
  <r>
    <s v="NYK-32065093-5820157-2-1"/>
    <s v="1276-L.Blue-24"/>
    <n v="3150"/>
    <n v="480.50799999999998"/>
    <n v="3630.5079999999998"/>
    <x v="1"/>
  </r>
  <r>
    <s v="NYK-32040988-2970821-5-1"/>
    <s v="1278-Multicolor-22"/>
    <n v="3375"/>
    <n v="514.83199999999999"/>
    <n v="3889.8319999999999"/>
    <x v="0"/>
  </r>
  <r>
    <s v="NYK-32153170-4319140-1-1"/>
    <s v="1278-Multicolor-34"/>
    <n v="3375"/>
    <n v="514.83100000000002"/>
    <n v="3889.8310000000001"/>
    <x v="0"/>
  </r>
  <r>
    <s v="NYK-32315949-3753080-1-1"/>
    <s v="1280-Pink-24"/>
    <n v="3150"/>
    <n v="480.50799999999998"/>
    <n v="3630.5079999999998"/>
    <x v="2"/>
  </r>
  <r>
    <s v="NYK-31996311-5116477-3-1"/>
    <s v="1283-Blue-16"/>
    <n v="1400"/>
    <n v="66.668000000000006"/>
    <n v="1466.6680000000001"/>
    <x v="3"/>
  </r>
  <r>
    <s v="NYK-32160803-9807227-3-1"/>
    <s v="1284-Blue-30"/>
    <n v="4050"/>
    <n v="617.79700000000003"/>
    <n v="4667.7970000000005"/>
    <x v="0"/>
  </r>
  <r>
    <s v="NYK-32071160-7302384-1-1"/>
    <s v="1288-Rani-30"/>
    <n v="3375"/>
    <n v="514.83100000000002"/>
    <n v="3889.8310000000001"/>
    <x v="0"/>
  </r>
  <r>
    <s v="NYK-32487937-6183751-2-1"/>
    <s v="1288-Rani-38"/>
    <n v="3375"/>
    <n v="514.83100000000002"/>
    <n v="3889.8310000000001"/>
    <x v="0"/>
  </r>
  <r>
    <s v="NYK-32348645-2049554-2-1"/>
    <s v="1290-Purple-36"/>
    <n v="3600"/>
    <n v="549.154"/>
    <n v="4149.1540000000005"/>
    <x v="0"/>
  </r>
  <r>
    <s v="NYK-32642110-3420788-3-1"/>
    <s v="1290-Purple-38"/>
    <n v="3600"/>
    <n v="549.154"/>
    <n v="4149.1540000000005"/>
    <x v="0"/>
  </r>
  <r>
    <s v="NYK-32332070-8458643-1-1"/>
    <s v="1293-Orange-36"/>
    <n v="3600"/>
    <n v="549.15300000000002"/>
    <n v="4149.1530000000002"/>
    <x v="0"/>
  </r>
  <r>
    <s v="NYK-32469518-5262792-1-1"/>
    <s v="1295-Blue-24"/>
    <n v="3800"/>
    <n v="579.66099999999994"/>
    <n v="4379.6610000000001"/>
    <x v="3"/>
  </r>
  <r>
    <s v="NYK-32047154-5971578-2-1"/>
    <s v="1295-Maroon-30"/>
    <n v="3375"/>
    <n v="514.83100000000002"/>
    <n v="3889.8310000000001"/>
    <x v="0"/>
  </r>
  <r>
    <s v="NYK-32160012-8271138-3-1"/>
    <s v="1295-Maroon-34"/>
    <n v="3375"/>
    <n v="514.83100000000002"/>
    <n v="3889.8310000000001"/>
    <x v="3"/>
  </r>
  <r>
    <s v="NYK-32199223-8670853-1-1"/>
    <s v="1298-Magenta-28"/>
    <n v="4275"/>
    <n v="652.11900000000003"/>
    <n v="4927.1189999999997"/>
    <x v="0"/>
  </r>
  <r>
    <s v="NYK-32629076-4918810-4-1"/>
    <s v="1305-Sky Blue-30"/>
    <n v="3563"/>
    <n v="543.50800000000004"/>
    <n v="4106.5079999999998"/>
    <x v="4"/>
  </r>
  <r>
    <s v="NYK-32129664-7490745-1-1"/>
    <s v="1305-Sky Blue-30"/>
    <n v="3563"/>
    <n v="543.50800000000004"/>
    <n v="4106.5079999999998"/>
    <x v="0"/>
  </r>
  <r>
    <s v="NYK-32313368-8164526-1-1"/>
    <s v="1305-Sky Blue-32"/>
    <n v="3563"/>
    <n v="543.50800000000004"/>
    <n v="4106.5079999999998"/>
    <x v="5"/>
  </r>
  <r>
    <s v="NYK-32103884-8258750-2-1"/>
    <s v="1305-Sky Blue-32"/>
    <n v="3563"/>
    <n v="543.50800000000004"/>
    <n v="4106.5079999999998"/>
    <x v="5"/>
  </r>
  <r>
    <s v="NYK-32101334-4082801-1-1"/>
    <s v="1305-Sky Blue-32"/>
    <n v="3563"/>
    <n v="543.50800000000004"/>
    <n v="4106.5079999999998"/>
    <x v="0"/>
  </r>
  <r>
    <s v="NYK-32383960-3307873-1-1"/>
    <s v="1308-Cream-34"/>
    <n v="3600"/>
    <n v="549.15300000000002"/>
    <n v="4149.1530000000002"/>
    <x v="6"/>
  </r>
  <r>
    <s v="NYK-32100329-2337696-1-1"/>
    <s v="1308-Cream-34"/>
    <n v="3600"/>
    <n v="549.15300000000002"/>
    <n v="4149.1530000000002"/>
    <x v="0"/>
  </r>
  <r>
    <s v="NYK-32407548-2665267-1-1"/>
    <s v="1308-Cream-36"/>
    <n v="3600"/>
    <n v="549.154"/>
    <n v="4149.1540000000005"/>
    <x v="4"/>
  </r>
  <r>
    <s v="NYK-32364231-8149782-1-1"/>
    <s v="1308-Cream-38"/>
    <n v="3600"/>
    <n v="549.15300000000002"/>
    <n v="4149.1530000000002"/>
    <x v="5"/>
  </r>
  <r>
    <s v="NYK-32262475-6219677-1-1"/>
    <s v="1311-Pink-24"/>
    <n v="3150"/>
    <n v="480.50799999999998"/>
    <n v="3630.5079999999998"/>
    <x v="1"/>
  </r>
  <r>
    <s v="NYK-32220090-1314062-1-1"/>
    <s v="1311-Pink-24"/>
    <n v="3150"/>
    <n v="480.50799999999998"/>
    <n v="3630.5079999999998"/>
    <x v="0"/>
  </r>
  <r>
    <s v="NYK-32203238-7053158-1-1"/>
    <s v="1311-Pink-24"/>
    <n v="3150"/>
    <n v="480.50799999999998"/>
    <n v="3630.5079999999998"/>
    <x v="0"/>
  </r>
  <r>
    <s v="NYK-32013425-0494829-1-1"/>
    <s v="1311-Pink-32"/>
    <n v="3150"/>
    <n v="480.50799999999998"/>
    <n v="3630.5079999999998"/>
    <x v="0"/>
  </r>
  <r>
    <s v="NYK-32049810-3825208-1-1"/>
    <s v="1311-Pink-36"/>
    <n v="3150"/>
    <n v="480.50799999999998"/>
    <n v="3630.5079999999998"/>
    <x v="0"/>
  </r>
  <r>
    <s v="NYK-31981984-0737396-1-1"/>
    <s v="1311-Pink-38"/>
    <n v="3150"/>
    <n v="480.50799999999998"/>
    <n v="3630.5079999999998"/>
    <x v="0"/>
  </r>
  <r>
    <s v="NYK-32042946-6725129-3-1"/>
    <s v="1316-Pink-22"/>
    <n v="1600"/>
    <n v="76.19"/>
    <n v="1676.19"/>
    <x v="5"/>
  </r>
  <r>
    <s v="NYK-32084133-3585100-3-1"/>
    <s v="1317-White-18"/>
    <n v="1600"/>
    <n v="76.19"/>
    <n v="1676.19"/>
    <x v="1"/>
  </r>
  <r>
    <s v="NYK-32332425-8763194-1-1"/>
    <s v="1323-Cream-38"/>
    <n v="3375"/>
    <n v="514.83199999999999"/>
    <n v="3889.8319999999999"/>
    <x v="0"/>
  </r>
  <r>
    <s v="NYK-32320642-1335453-1-1"/>
    <s v="1326-Pink-34"/>
    <n v="3600"/>
    <n v="549.15300000000002"/>
    <n v="4149.1530000000002"/>
    <x v="3"/>
  </r>
  <r>
    <s v="NYK-32384772-4272833-1-1"/>
    <s v="1326-Pink-38"/>
    <n v="3600"/>
    <n v="549.15300000000002"/>
    <n v="4149.1530000000002"/>
    <x v="0"/>
  </r>
  <r>
    <s v="NYK-32657322-1151108-5-1"/>
    <s v="1334-Yellow-34"/>
    <n v="3325"/>
    <n v="507.20299999999997"/>
    <n v="3832.203"/>
    <x v="4"/>
  </r>
  <r>
    <s v="NYK-32285125-0110600-2-1"/>
    <s v="1336-Rani-34"/>
    <n v="3325"/>
    <n v="507.20299999999997"/>
    <n v="3832.203"/>
    <x v="3"/>
  </r>
  <r>
    <s v="NYK-32392126-4703941-1-1"/>
    <s v="1337-Cream-30"/>
    <n v="3800"/>
    <n v="579.66099999999994"/>
    <n v="4379.6610000000001"/>
    <x v="0"/>
  </r>
  <r>
    <s v="NYK-32409883-7186888-1-1"/>
    <s v="1337-Cream-34"/>
    <n v="3800"/>
    <n v="579.66099999999994"/>
    <n v="4379.6610000000001"/>
    <x v="0"/>
  </r>
  <r>
    <s v="NYK-32305000-4269490-4-1"/>
    <s v="1337-Cream-38"/>
    <n v="3563"/>
    <n v="543.50800000000004"/>
    <n v="4106.5079999999998"/>
    <x v="0"/>
  </r>
  <r>
    <s v="NYK-32255483-9312759-2-1"/>
    <s v="2366-Peach-34"/>
    <n v="2000"/>
    <n v="95.238"/>
    <n v="2095.2379999999998"/>
    <x v="1"/>
  </r>
  <r>
    <s v="NYK-32048316-0083109-1-1"/>
    <s v="2377-Lavender-36"/>
    <n v="2275"/>
    <n v="108.333"/>
    <n v="2383.3330000000001"/>
    <x v="0"/>
  </r>
  <r>
    <s v="NYK-32660860-4093560-1-1"/>
    <s v="2407-SkyBlue-26"/>
    <n v="2275"/>
    <n v="108.333"/>
    <n v="2383.3330000000001"/>
    <x v="4"/>
  </r>
  <r>
    <s v="NYK-32047794-8474444-1-1"/>
    <s v="2410-Fuchsia-24"/>
    <n v="2275"/>
    <n v="108.333"/>
    <n v="2383.3330000000001"/>
    <x v="0"/>
  </r>
  <r>
    <s v="NYK-32618471-6738610-1-1"/>
    <s v="2410-Fuchsia-30"/>
    <n v="2275"/>
    <n v="108.333"/>
    <n v="2383.3330000000001"/>
    <x v="4"/>
  </r>
  <r>
    <s v="NYK-32553369-8910454-1-1"/>
    <s v="2410-Fuchsia-32"/>
    <n v="2275"/>
    <n v="108.333"/>
    <n v="2383.3330000000001"/>
    <x v="4"/>
  </r>
  <r>
    <s v="NYK-32614490-4896846-4-1"/>
    <s v="2410-Fuchsia-36"/>
    <n v="2275"/>
    <n v="108.333"/>
    <n v="2383.3330000000001"/>
    <x v="4"/>
  </r>
  <r>
    <s v="NYK-32499144-8063121-1-1"/>
    <s v="2410-Fuchsia-36"/>
    <n v="2275"/>
    <n v="108.333"/>
    <n v="2383.3330000000001"/>
    <x v="3"/>
  </r>
  <r>
    <s v="NYK-32247778-2847338-4-1"/>
    <s v="2410-Fuchsia-38"/>
    <n v="2275"/>
    <n v="108.333"/>
    <n v="2383.3330000000001"/>
    <x v="1"/>
  </r>
  <r>
    <s v="NYK-32055251-5141451-3-1"/>
    <s v="2433-Cream-26"/>
    <n v="2240"/>
    <n v="106.667"/>
    <n v="2346.6669999999999"/>
    <x v="5"/>
  </r>
  <r>
    <s v="NYK-32547708-7582242-5-1"/>
    <s v="2433-Cream-30"/>
    <n v="2240"/>
    <n v="106.667"/>
    <n v="2346.6669999999999"/>
    <x v="4"/>
  </r>
  <r>
    <s v="NYK-32144171-4739451-1-1"/>
    <s v="2461-Blue-28"/>
    <n v="2100"/>
    <n v="100"/>
    <n v="2200"/>
    <x v="3"/>
  </r>
  <r>
    <s v="NYK-32547708-7582242-5-1"/>
    <s v="2467-Cream-30"/>
    <n v="2275"/>
    <n v="108.333"/>
    <n v="2383.3330000000001"/>
    <x v="4"/>
  </r>
  <r>
    <s v="NYK-32153685-5409393-1-1"/>
    <s v="4455-Rasberry-38"/>
    <n v="4500"/>
    <n v="686.44100000000003"/>
    <n v="5186.4409999999998"/>
    <x v="3"/>
  </r>
  <r>
    <s v="NYK-32168444-6797570-2-1"/>
    <s v="4585-Orchid-30"/>
    <n v="4500"/>
    <n v="686.44100000000003"/>
    <n v="5186.4409999999998"/>
    <x v="0"/>
  </r>
  <r>
    <s v="NYK-32479200-5788339-1-1"/>
    <s v="4594-R.Green-24"/>
    <n v="4725"/>
    <n v="720.76300000000003"/>
    <n v="5445.7629999999999"/>
    <x v="0"/>
  </r>
  <r>
    <s v="NYK-32226811-6848074-1-1"/>
    <s v="9005-Fawn-40"/>
    <n v="5400"/>
    <n v="823.72900000000004"/>
    <n v="6223.7290000000003"/>
    <x v="5"/>
  </r>
  <r>
    <s v="NYK-31969926-0178192-5-1"/>
    <s v="TK-1002-Purple-24"/>
    <n v="3600"/>
    <n v="549.15300000000002"/>
    <n v="4149.1530000000002"/>
    <x v="3"/>
  </r>
  <r>
    <s v="NYK-31959067-0449307-1-1"/>
    <s v="TK-1002-Purple-30"/>
    <n v="3600"/>
    <n v="549.15300000000002"/>
    <n v="4149.1530000000002"/>
    <x v="1"/>
  </r>
  <r>
    <s v="NYK-32432358-5054631-2-1"/>
    <s v="TK-1003-Purple-30"/>
    <n v="3800"/>
    <n v="579.66099999999994"/>
    <n v="4379.6610000000001"/>
    <x v="4"/>
  </r>
  <r>
    <s v="NYK-32146701-0587693-3-1"/>
    <s v="TK-1004-Blue-22"/>
    <n v="3375"/>
    <n v="514.83199999999999"/>
    <n v="3889.8319999999999"/>
    <x v="0"/>
  </r>
  <r>
    <s v="NYK-32356081-0529117-2-1"/>
    <s v="TK-1004-Red-30"/>
    <n v="3563"/>
    <n v="543.50800000000004"/>
    <n v="4106.5079999999998"/>
    <x v="0"/>
  </r>
  <r>
    <s v="NYK-32368002-4692261-1-1"/>
    <s v="TK-1005-Orange-30"/>
    <n v="3800"/>
    <n v="579.66099999999994"/>
    <n v="4379.6610000000001"/>
    <x v="0"/>
  </r>
  <r>
    <s v="NYK-32440765-0552166-1-1"/>
    <s v="TK-1006-Cream-26"/>
    <n v="4275"/>
    <n v="652.11900000000003"/>
    <n v="4927.1189999999997"/>
    <x v="0"/>
  </r>
  <r>
    <s v="NYK-32270140-1371945-1-1"/>
    <s v="TK-1006-Cream-26"/>
    <n v="3800"/>
    <n v="579.66099999999994"/>
    <n v="4379.6610000000001"/>
    <x v="0"/>
  </r>
  <r>
    <s v="NYK-32358464-7475621-1-1"/>
    <s v="TK-1007-Green-38"/>
    <n v="4275"/>
    <n v="652.11900000000003"/>
    <n v="4927.118999999999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09B83-8B0A-4235-ACE5-AA7271BAC504}" name="PivotTable10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048328:M1048336" firstHeaderRow="1" firstDataRow="1" firstDataCol="1"/>
  <pivotFields count="6">
    <pivotField showAll="0"/>
    <pivotField showAll="0"/>
    <pivotField showAll="0"/>
    <pivotField showAll="0"/>
    <pivotField showAll="0"/>
    <pivotField axis="axisRow" dataField="1" showAll="0">
      <items count="8">
        <item x="1"/>
        <item x="3"/>
        <item x="5"/>
        <item x="4"/>
        <item x="0"/>
        <item x="2"/>
        <item x="6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Return Reason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128D0-D0E3-423B-AC94-1D13599173BB}" name="PivotTable8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H1048328:I1048339" firstHeaderRow="1" firstDataRow="1" firstDataCol="1"/>
  <pivotFields count="58">
    <pivotField showAll="0"/>
    <pivotField showAll="0"/>
    <pivotField showAll="0"/>
    <pivotField axis="axisRow" showAll="0" measureFilter="1" sortType="descending">
      <items count="2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">
        <item x="4"/>
        <item x="1"/>
        <item x="6"/>
        <item x="2"/>
        <item x="0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dataField="1" showAll="0"/>
  </pivotFields>
  <rowFields count="1">
    <field x="3"/>
  </rowFields>
  <rowItems count="11">
    <i>
      <x v="89"/>
    </i>
    <i>
      <x v="82"/>
    </i>
    <i>
      <x v="131"/>
    </i>
    <i>
      <x v="88"/>
    </i>
    <i>
      <x v="60"/>
    </i>
    <i>
      <x v="99"/>
    </i>
    <i>
      <x v="98"/>
    </i>
    <i>
      <x v="93"/>
    </i>
    <i>
      <x v="174"/>
    </i>
    <i>
      <x v="126"/>
    </i>
    <i t="grand">
      <x/>
    </i>
  </rowItems>
  <colItems count="1">
    <i/>
  </colItems>
  <dataFields count="1">
    <dataField name="Sum of Net Sale (After Tax)" fld="57" baseField="0" baseItem="0" numFmtId="164"/>
  </dataFields>
  <formats count="1">
    <format dxfId="0">
      <pivotArea outline="0" collapsedLevelsAreSubtotals="1" fieldPosition="0"/>
    </format>
  </format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F2FCC-4475-426A-9DAB-7E720F48617A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1048328:F1048536" firstHeaderRow="1" firstDataRow="1" firstDataCol="1"/>
  <pivotFields count="58">
    <pivotField showAll="0"/>
    <pivotField showAll="0"/>
    <pivotField showAll="0"/>
    <pivotField axis="axisRow" showAll="0" sortType="descending">
      <items count="2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8">
        <item x="4"/>
        <item x="1"/>
        <item x="6"/>
        <item x="2"/>
        <item x="0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dataField="1" showAll="0"/>
  </pivotFields>
  <rowFields count="1">
    <field x="3"/>
  </rowFields>
  <rowItems count="208">
    <i>
      <x v="89"/>
    </i>
    <i>
      <x v="82"/>
    </i>
    <i>
      <x v="131"/>
    </i>
    <i>
      <x v="88"/>
    </i>
    <i>
      <x v="60"/>
    </i>
    <i>
      <x v="98"/>
    </i>
    <i>
      <x v="99"/>
    </i>
    <i>
      <x v="93"/>
    </i>
    <i>
      <x v="174"/>
    </i>
    <i>
      <x v="126"/>
    </i>
    <i>
      <x v="52"/>
    </i>
    <i>
      <x v="83"/>
    </i>
    <i>
      <x v="79"/>
    </i>
    <i>
      <x v="148"/>
    </i>
    <i>
      <x v="97"/>
    </i>
    <i>
      <x v="191"/>
    </i>
    <i>
      <x v="196"/>
    </i>
    <i>
      <x v="43"/>
    </i>
    <i>
      <x v="192"/>
    </i>
    <i>
      <x v="195"/>
    </i>
    <i>
      <x v="198"/>
    </i>
    <i>
      <x v="199"/>
    </i>
    <i>
      <x v="184"/>
    </i>
    <i>
      <x v="129"/>
    </i>
    <i>
      <x v="128"/>
    </i>
    <i>
      <x v="66"/>
    </i>
    <i>
      <x v="85"/>
    </i>
    <i>
      <x v="182"/>
    </i>
    <i>
      <x v="4"/>
    </i>
    <i>
      <x v="193"/>
    </i>
    <i>
      <x v="80"/>
    </i>
    <i>
      <x v="76"/>
    </i>
    <i>
      <x v="81"/>
    </i>
    <i>
      <x v="84"/>
    </i>
    <i>
      <x v="25"/>
    </i>
    <i>
      <x v="24"/>
    </i>
    <i>
      <x v="110"/>
    </i>
    <i>
      <x v="38"/>
    </i>
    <i>
      <x v="47"/>
    </i>
    <i>
      <x v="109"/>
    </i>
    <i>
      <x v="46"/>
    </i>
    <i>
      <x v="5"/>
    </i>
    <i>
      <x v="8"/>
    </i>
    <i>
      <x v="9"/>
    </i>
    <i>
      <x v="94"/>
    </i>
    <i>
      <x v="96"/>
    </i>
    <i>
      <x v="95"/>
    </i>
    <i>
      <x v="179"/>
    </i>
    <i>
      <x v="177"/>
    </i>
    <i>
      <x v="150"/>
    </i>
    <i>
      <x v="149"/>
    </i>
    <i>
      <x v="173"/>
    </i>
    <i>
      <x v="178"/>
    </i>
    <i>
      <x v="176"/>
    </i>
    <i>
      <x v="175"/>
    </i>
    <i>
      <x v="170"/>
    </i>
    <i>
      <x v="172"/>
    </i>
    <i>
      <x v="168"/>
    </i>
    <i>
      <x v="171"/>
    </i>
    <i>
      <x v="31"/>
    </i>
    <i>
      <x v="169"/>
    </i>
    <i>
      <x v="204"/>
    </i>
    <i>
      <x v="200"/>
    </i>
    <i>
      <x v="197"/>
    </i>
    <i>
      <x v="202"/>
    </i>
    <i>
      <x v="201"/>
    </i>
    <i>
      <x v="203"/>
    </i>
    <i>
      <x v="205"/>
    </i>
    <i>
      <x v="206"/>
    </i>
    <i>
      <x v="194"/>
    </i>
    <i>
      <x v="72"/>
    </i>
    <i>
      <x v="159"/>
    </i>
    <i>
      <x v="146"/>
    </i>
    <i>
      <x v="147"/>
    </i>
    <i>
      <x v="17"/>
    </i>
    <i>
      <x v="29"/>
    </i>
    <i>
      <x v="30"/>
    </i>
    <i>
      <x v="42"/>
    </i>
    <i>
      <x v="44"/>
    </i>
    <i>
      <x v="28"/>
    </i>
    <i>
      <x v="22"/>
    </i>
    <i>
      <x v="166"/>
    </i>
    <i>
      <x v="114"/>
    </i>
    <i>
      <x v="115"/>
    </i>
    <i>
      <x v="67"/>
    </i>
    <i>
      <x v="70"/>
    </i>
    <i>
      <x v="186"/>
    </i>
    <i>
      <x v="124"/>
    </i>
    <i>
      <x v="130"/>
    </i>
    <i>
      <x v="167"/>
    </i>
    <i>
      <x v="188"/>
    </i>
    <i>
      <x v="65"/>
    </i>
    <i>
      <x v="64"/>
    </i>
    <i>
      <x v="125"/>
    </i>
    <i>
      <x v="63"/>
    </i>
    <i>
      <x v="62"/>
    </i>
    <i>
      <x v="53"/>
    </i>
    <i>
      <x v="51"/>
    </i>
    <i>
      <x v="50"/>
    </i>
    <i>
      <x v="91"/>
    </i>
    <i>
      <x v="92"/>
    </i>
    <i>
      <x v="54"/>
    </i>
    <i>
      <x v="58"/>
    </i>
    <i>
      <x v="87"/>
    </i>
    <i>
      <x v="55"/>
    </i>
    <i>
      <x v="3"/>
    </i>
    <i>
      <x v="100"/>
    </i>
    <i>
      <x v="183"/>
    </i>
    <i>
      <x v="112"/>
    </i>
    <i>
      <x v="49"/>
    </i>
    <i>
      <x v="74"/>
    </i>
    <i>
      <x v="27"/>
    </i>
    <i>
      <x v="56"/>
    </i>
    <i>
      <x v="90"/>
    </i>
    <i>
      <x v="59"/>
    </i>
    <i>
      <x v="190"/>
    </i>
    <i>
      <x v="57"/>
    </i>
    <i>
      <x v="45"/>
    </i>
    <i>
      <x v="111"/>
    </i>
    <i>
      <x v="86"/>
    </i>
    <i>
      <x v="113"/>
    </i>
    <i>
      <x v="73"/>
    </i>
    <i>
      <x v="181"/>
    </i>
    <i>
      <x v="103"/>
    </i>
    <i>
      <x v="78"/>
    </i>
    <i>
      <x v="189"/>
    </i>
    <i>
      <x v="75"/>
    </i>
    <i>
      <x v="77"/>
    </i>
    <i>
      <x v="14"/>
    </i>
    <i>
      <x v="117"/>
    </i>
    <i>
      <x v="23"/>
    </i>
    <i>
      <x v="108"/>
    </i>
    <i>
      <x v="36"/>
    </i>
    <i>
      <x v="187"/>
    </i>
    <i>
      <x v="107"/>
    </i>
    <i>
      <x v="68"/>
    </i>
    <i>
      <x v="105"/>
    </i>
    <i>
      <x v="48"/>
    </i>
    <i>
      <x v="69"/>
    </i>
    <i>
      <x v="71"/>
    </i>
    <i>
      <x v="106"/>
    </i>
    <i>
      <x v="37"/>
    </i>
    <i>
      <x v="104"/>
    </i>
    <i>
      <x v="185"/>
    </i>
    <i>
      <x v="116"/>
    </i>
    <i>
      <x v="127"/>
    </i>
    <i>
      <x v="118"/>
    </i>
    <i>
      <x v="119"/>
    </i>
    <i>
      <x v="6"/>
    </i>
    <i>
      <x v="7"/>
    </i>
    <i>
      <x v="40"/>
    </i>
    <i>
      <x v="35"/>
    </i>
    <i>
      <x v="34"/>
    </i>
    <i>
      <x v="39"/>
    </i>
    <i>
      <x v="33"/>
    </i>
    <i>
      <x v="180"/>
    </i>
    <i>
      <x v="121"/>
    </i>
    <i>
      <x v="120"/>
    </i>
    <i>
      <x v="122"/>
    </i>
    <i>
      <x v="123"/>
    </i>
    <i>
      <x v="18"/>
    </i>
    <i>
      <x v="21"/>
    </i>
    <i>
      <x v="26"/>
    </i>
    <i>
      <x v="19"/>
    </i>
    <i>
      <x v="15"/>
    </i>
    <i>
      <x v="12"/>
    </i>
    <i>
      <x v="61"/>
    </i>
    <i>
      <x v="32"/>
    </i>
    <i>
      <x v="20"/>
    </i>
    <i>
      <x v="16"/>
    </i>
    <i>
      <x v="162"/>
    </i>
    <i>
      <x v="139"/>
    </i>
    <i>
      <x v="138"/>
    </i>
    <i>
      <x v="137"/>
    </i>
    <i>
      <x v="142"/>
    </i>
    <i>
      <x v="145"/>
    </i>
    <i>
      <x v="163"/>
    </i>
    <i>
      <x v="152"/>
    </i>
    <i>
      <x v="151"/>
    </i>
    <i>
      <x v="164"/>
    </i>
    <i>
      <x v="156"/>
    </i>
    <i>
      <x v="155"/>
    </i>
    <i>
      <x v="154"/>
    </i>
    <i>
      <x v="153"/>
    </i>
    <i>
      <x v="141"/>
    </i>
    <i>
      <x v="136"/>
    </i>
    <i>
      <x v="160"/>
    </i>
    <i>
      <x v="144"/>
    </i>
    <i>
      <x v="161"/>
    </i>
    <i>
      <x v="157"/>
    </i>
    <i>
      <x v="143"/>
    </i>
    <i>
      <x v="158"/>
    </i>
    <i>
      <x v="165"/>
    </i>
    <i>
      <x v="132"/>
    </i>
    <i>
      <x v="140"/>
    </i>
    <i>
      <x v="133"/>
    </i>
    <i>
      <x v="134"/>
    </i>
    <i>
      <x v="135"/>
    </i>
    <i>
      <x v="101"/>
    </i>
    <i>
      <x v="102"/>
    </i>
    <i>
      <x v="41"/>
    </i>
    <i>
      <x v="1"/>
    </i>
    <i>
      <x v="2"/>
    </i>
    <i>
      <x/>
    </i>
    <i>
      <x v="13"/>
    </i>
    <i>
      <x v="10"/>
    </i>
    <i>
      <x v="11"/>
    </i>
    <i t="grand">
      <x/>
    </i>
  </rowItems>
  <colItems count="1">
    <i/>
  </colItems>
  <dataFields count="1">
    <dataField name="Sum of Net Sale (After Tax)" fld="5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F3624-F9D1-454D-AAF0-83518EEDD9BE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1048328:C1048336" firstHeaderRow="1" firstDataRow="1" firstDataCol="1"/>
  <pivotFields count="58">
    <pivotField showAll="0"/>
    <pivotField showAll="0"/>
    <pivotField showAll="0"/>
    <pivotField showAll="0"/>
    <pivotField showAll="0"/>
    <pivotField axis="axisRow" dataField="1" showAll="0" sortType="descending">
      <items count="8">
        <item x="4"/>
        <item x="1"/>
        <item x="6"/>
        <item x="2"/>
        <item x="0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</pivotFields>
  <rowFields count="1">
    <field x="5"/>
  </rowFields>
  <rowItems count="8">
    <i>
      <x v="1"/>
    </i>
    <i>
      <x v="4"/>
    </i>
    <i>
      <x/>
    </i>
    <i>
      <x v="6"/>
    </i>
    <i>
      <x v="2"/>
    </i>
    <i>
      <x v="5"/>
    </i>
    <i>
      <x v="3"/>
    </i>
    <i t="grand">
      <x/>
    </i>
  </rowItems>
  <colItems count="1">
    <i/>
  </colItems>
  <dataFields count="1">
    <dataField name="Count of Status" fld="5" subtotal="count" baseField="0" baseItem="0"/>
  </dataFields>
  <chartFormats count="8"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4A686E-E0D6-4A89-9B63-49A5F6DD5766}" autoFormatId="16" applyNumberFormats="0" applyBorderFormats="0" applyFontFormats="0" applyPatternFormats="0" applyAlignmentFormats="0" applyWidthHeightFormats="0">
  <queryTableRefresh nextId="59" unboundColumnsRight="3">
    <queryTableFields count="58">
      <queryTableField id="1" name="MagentoOrderNo" tableColumnId="1"/>
      <queryTableField id="2" name="orderno" tableColumnId="2"/>
      <queryTableField id="3" name="SKUCode" tableColumnId="3"/>
      <queryTableField id="4" name="Design no." tableColumnId="4"/>
      <queryTableField id="5" name="EXTLINENO" tableColumnId="5"/>
      <queryTableField id="6" name="Status" tableColumnId="6"/>
      <queryTableField id="7" name="OrderQty" tableColumnId="7"/>
      <queryTableField id="8" name="ShippedQty" tableColumnId="8"/>
      <queryTableField id="9" name="Mrp" tableColumnId="9"/>
      <queryTableField id="10" name="UnitPrice" tableColumnId="10"/>
      <queryTableField id="11" name="DiscountAmount" tableColumnId="11"/>
      <queryTableField id="12" name="LineItemTotal" tableColumnId="12"/>
      <queryTableField id="13" name="ShippingCharge" tableColumnId="13"/>
      <queryTableField id="14" name="Mode" tableColumnId="14"/>
      <queryTableField id="15" name="OrderDate" tableColumnId="15"/>
      <queryTableField id="16" name="ShippedDate" tableColumnId="16"/>
      <queryTableField id="17" name="DeliveredDate" tableColumnId="17"/>
      <queryTableField id="18" name="AWBNo" tableColumnId="18"/>
      <queryTableField id="19" name="TransName" tableColumnId="19"/>
      <queryTableField id="20" name="Invoicedate" tableColumnId="20"/>
      <queryTableField id="21" name="ReasonForCancellation" tableColumnId="21"/>
      <queryTableField id="22" name="Brand" tableColumnId="22"/>
      <queryTableField id="23" name="CancelRemark" tableColumnId="23"/>
      <queryTableField id="24" name="CommentHistory" tableColumnId="24"/>
      <queryTableField id="25" name="Return Code" tableColumnId="25"/>
      <queryTableField id="26" name="Return Type" tableColumnId="26"/>
      <queryTableField id="27" name="Return Status" tableColumnId="27"/>
      <queryTableField id="28" name="Return Create Reason" tableColumnId="28"/>
      <queryTableField id="29" name="OrderSource" tableColumnId="29"/>
      <queryTableField id="30" name="upddate" tableColumnId="30"/>
      <queryTableField id="31" name="Is Replacement" tableColumnId="31"/>
      <queryTableField id="32" name="Original OrderNo" tableColumnId="32"/>
      <queryTableField id="33" name="city_x000a_" tableColumnId="33"/>
      <queryTableField id="34" name="State" tableColumnId="34"/>
      <queryTableField id="35" name="Pincode" tableColumnId="35"/>
      <queryTableField id="36" name="Country" tableColumnId="36"/>
      <queryTableField id="37" name="Currency" tableColumnId="37"/>
      <queryTableField id="38" name="HSNCode" tableColumnId="38"/>
      <queryTableField id="39" name="CancelledDate" tableColumnId="39"/>
      <queryTableField id="40" name="SellingPrice" tableColumnId="40"/>
      <queryTableField id="41" name="InvoiceNo" tableColumnId="41"/>
      <queryTableField id="42" name="Discount code" tableColumnId="42"/>
      <queryTableField id="43" name="Order Tag" tableColumnId="43"/>
      <queryTableField id="44" name="OnHold" tableColumnId="44"/>
      <queryTableField id="45" name="TaxPercent" tableColumnId="45"/>
      <queryTableField id="46" name="CGSTTaxPercent" tableColumnId="46"/>
      <queryTableField id="47" name="SGSTTaxPercent" tableColumnId="47"/>
      <queryTableField id="48" name="IGSTTaxPercent" tableColumnId="48"/>
      <queryTableField id="49" name="TaxAmount" tableColumnId="49"/>
      <queryTableField id="50" name="CGSTAmount" tableColumnId="50"/>
      <queryTableField id="51" name="SGSTAmount" tableColumnId="51"/>
      <queryTableField id="52" name="IGSTAmount" tableColumnId="52"/>
      <queryTableField id="53" name="Unhold Date" tableColumnId="53"/>
      <queryTableField id="54" name="Weight" tableColumnId="54"/>
      <queryTableField id="55" name="ShipByDate" tableColumnId="55"/>
      <queryTableField id="56" dataBound="0" tableColumnId="56"/>
      <queryTableField id="57" dataBound="0" tableColumnId="57"/>
      <queryTableField id="58" dataBound="0" tableColumnId="5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F374BE-8191-4C70-8FBF-E1BEB72D239B}" name="MarketPlace_Order_Report__2" displayName="MarketPlace_Order_Report__2" ref="A1:BF292" tableType="queryTable" totalsRowShown="0">
  <tableColumns count="58">
    <tableColumn id="1" xr3:uid="{83367BC4-5C82-4FCB-9A90-A0F7389080EB}" uniqueName="1" name="MagentoOrderNo" queryTableFieldId="1" dataDxfId="38"/>
    <tableColumn id="2" xr3:uid="{3C06E2CF-A211-4351-A826-FEEECBE318B2}" uniqueName="2" name="orderno" queryTableFieldId="2" dataDxfId="37"/>
    <tableColumn id="3" xr3:uid="{318693EA-BA03-4D18-BF28-8AB4665D232A}" uniqueName="3" name="SKUCode" queryTableFieldId="3" dataDxfId="36"/>
    <tableColumn id="4" xr3:uid="{AE85C312-80F5-4DC3-856F-DD14225E09BC}" uniqueName="4" name="Design no." queryTableFieldId="4" dataDxfId="35"/>
    <tableColumn id="5" xr3:uid="{4832A190-6BA2-4476-9A9E-C28A918F3FAA}" uniqueName="5" name="EXTLINENO" queryTableFieldId="5"/>
    <tableColumn id="6" xr3:uid="{97E17100-46D8-48DE-AF3D-1A2B8D286DA5}" uniqueName="6" name="Status" queryTableFieldId="6" dataDxfId="34"/>
    <tableColumn id="7" xr3:uid="{53AC1F0A-BEAB-492A-A55F-BB4DDFA4A15E}" uniqueName="7" name="OrderQty" queryTableFieldId="7"/>
    <tableColumn id="8" xr3:uid="{764D73F8-1E2E-4DDA-BFBC-3942A0CB9F0F}" uniqueName="8" name="ShippedQty" queryTableFieldId="8"/>
    <tableColumn id="9" xr3:uid="{DE3AB96B-6078-4F08-A324-4D995C0EDFA3}" uniqueName="9" name="Mrp" queryTableFieldId="9"/>
    <tableColumn id="10" xr3:uid="{98557DCD-7064-4107-9626-578E69236B69}" uniqueName="10" name="UnitPrice" queryTableFieldId="10"/>
    <tableColumn id="11" xr3:uid="{B8B64EA0-111B-4390-81DE-C03237076495}" uniqueName="11" name="DiscountAmount" queryTableFieldId="11"/>
    <tableColumn id="12" xr3:uid="{B2C2230E-65E5-4969-83E8-A8B5746938B2}" uniqueName="12" name="LineItemTotal" queryTableFieldId="12"/>
    <tableColumn id="13" xr3:uid="{25256766-4E0D-446A-BE81-A30170C43D87}" uniqueName="13" name="ShippingCharge" queryTableFieldId="13"/>
    <tableColumn id="14" xr3:uid="{290C3219-517A-4B89-8535-2D5536CA6138}" uniqueName="14" name="Mode" queryTableFieldId="14" dataDxfId="33"/>
    <tableColumn id="15" xr3:uid="{FC2E57F6-86AA-4CE5-9C8E-738E99E65DFE}" uniqueName="15" name="OrderDate" queryTableFieldId="15" dataDxfId="32"/>
    <tableColumn id="16" xr3:uid="{3D08B915-5252-4DE1-999C-DF6BAE18D99E}" uniqueName="16" name="ShippedDate" queryTableFieldId="16" dataDxfId="31"/>
    <tableColumn id="17" xr3:uid="{314577B9-4E17-4B92-A908-D919CFFFC8D3}" uniqueName="17" name="DeliveredDate" queryTableFieldId="17" dataDxfId="30"/>
    <tableColumn id="18" xr3:uid="{5DBCCDD9-25AC-469B-BF9C-7B4276DD617B}" uniqueName="18" name="AWBNo" queryTableFieldId="18" dataDxfId="29"/>
    <tableColumn id="19" xr3:uid="{55B76252-53F4-4482-8683-4EF050010D71}" uniqueName="19" name="TransName" queryTableFieldId="19" dataDxfId="28"/>
    <tableColumn id="20" xr3:uid="{171EBED9-ED04-4C77-A79F-C913C3851C72}" uniqueName="20" name="Invoicedate" queryTableFieldId="20" dataDxfId="27"/>
    <tableColumn id="21" xr3:uid="{28893E63-8345-4DAB-9B75-E6563E8F1EAB}" uniqueName="21" name="ReasonForCancellation" queryTableFieldId="21" dataDxfId="26"/>
    <tableColumn id="22" xr3:uid="{494CFC20-9DFD-4078-9091-1FE4D47545A5}" uniqueName="22" name="Brand" queryTableFieldId="22" dataDxfId="25"/>
    <tableColumn id="23" xr3:uid="{07D9392F-6F38-486B-B98D-F9F0B96258A9}" uniqueName="23" name="CancelRemark" queryTableFieldId="23" dataDxfId="24"/>
    <tableColumn id="24" xr3:uid="{707CCC8E-7F6D-4B1C-82B0-484B2EBD5111}" uniqueName="24" name="CommentHistory" queryTableFieldId="24" dataDxfId="23"/>
    <tableColumn id="25" xr3:uid="{22CD799F-308F-4632-B718-48BC68C6C5CA}" uniqueName="25" name="Return Code" queryTableFieldId="25" dataDxfId="22"/>
    <tableColumn id="26" xr3:uid="{F015A43E-B2FD-4595-B37F-BDC5163C11D3}" uniqueName="26" name="Return Type" queryTableFieldId="26" dataDxfId="21"/>
    <tableColumn id="27" xr3:uid="{4D906B2A-1271-460D-91C7-DA949A3AFE0A}" uniqueName="27" name="Return Status" queryTableFieldId="27" dataDxfId="20"/>
    <tableColumn id="28" xr3:uid="{3937ED9D-55D9-415F-BBB3-D58DB924A18B}" uniqueName="28" name="Return Create Reason" queryTableFieldId="28" dataDxfId="19"/>
    <tableColumn id="29" xr3:uid="{69E0E7BB-35B0-4818-B74A-013F67F72DCD}" uniqueName="29" name="OrderSource" queryTableFieldId="29" dataDxfId="18"/>
    <tableColumn id="30" xr3:uid="{31363D01-244D-4DC9-A29B-8AB8060714CE}" uniqueName="30" name="upddate" queryTableFieldId="30" dataDxfId="17"/>
    <tableColumn id="31" xr3:uid="{9DDF50F8-2AEC-4B90-B700-D85567B3E9F5}" uniqueName="31" name="Is Replacement" queryTableFieldId="31" dataDxfId="16"/>
    <tableColumn id="32" xr3:uid="{42213601-C332-408B-9330-F2525FCABB42}" uniqueName="32" name="Original OrderNo" queryTableFieldId="32" dataDxfId="15"/>
    <tableColumn id="33" xr3:uid="{7C3DF386-7DAB-436D-B197-A0708E89876B}" uniqueName="33" name="city_x000a_" queryTableFieldId="33" dataDxfId="14"/>
    <tableColumn id="34" xr3:uid="{C0A7B2F9-CA7A-4CA6-9307-D69F8D859BFC}" uniqueName="34" name="State" queryTableFieldId="34" dataDxfId="13"/>
    <tableColumn id="35" xr3:uid="{A278DA47-6D30-408E-B59C-ABDB1BC15626}" uniqueName="35" name="Pincode" queryTableFieldId="35"/>
    <tableColumn id="36" xr3:uid="{160BBA26-8A17-4547-8F15-8B92ECE81431}" uniqueName="36" name="Country" queryTableFieldId="36" dataDxfId="12"/>
    <tableColumn id="37" xr3:uid="{46E0722C-2682-418B-8313-21E27CE0DC6A}" uniqueName="37" name="Currency" queryTableFieldId="37" dataDxfId="11"/>
    <tableColumn id="38" xr3:uid="{178E28C3-1D9C-4F0D-987D-2466D5C6CF73}" uniqueName="38" name="HSNCode" queryTableFieldId="38"/>
    <tableColumn id="39" xr3:uid="{297DEBD6-CCAE-4011-93F7-9E9DF4EC4310}" uniqueName="39" name="CancelledDate" queryTableFieldId="39" dataDxfId="10"/>
    <tableColumn id="40" xr3:uid="{77768C1C-55FB-4BB2-A558-0ACC53C01525}" uniqueName="40" name="SellingPrice" queryTableFieldId="40"/>
    <tableColumn id="41" xr3:uid="{2ED44A8A-9D03-47CC-8F36-8A02DE29FFE9}" uniqueName="41" name="InvoiceNo" queryTableFieldId="41" dataDxfId="9"/>
    <tableColumn id="42" xr3:uid="{7124C867-5C4C-4786-8DBD-5D13AD7B0D6C}" uniqueName="42" name="Discount code" queryTableFieldId="42" dataDxfId="8"/>
    <tableColumn id="43" xr3:uid="{AB2EF1CF-FFF1-4B47-B4E0-FA0778D21FB9}" uniqueName="43" name="Order Tag" queryTableFieldId="43" dataDxfId="7"/>
    <tableColumn id="44" xr3:uid="{904A7192-F128-4641-8B80-E31DB336A2DF}" uniqueName="44" name="OnHold" queryTableFieldId="44" dataDxfId="6"/>
    <tableColumn id="45" xr3:uid="{BD53EC59-28A4-4A9D-AC7D-14D8B3E122EE}" uniqueName="45" name="TaxPercent" queryTableFieldId="45"/>
    <tableColumn id="46" xr3:uid="{3933E44B-3E91-46F7-8124-70595E15DA26}" uniqueName="46" name="CGSTTaxPercent" queryTableFieldId="46"/>
    <tableColumn id="47" xr3:uid="{0BC743C4-7EDC-4BD8-82C2-316152AD28FD}" uniqueName="47" name="SGSTTaxPercent" queryTableFieldId="47"/>
    <tableColumn id="48" xr3:uid="{3F68DED3-0794-4A94-814D-CF878DDE235D}" uniqueName="48" name="IGSTTaxPercent" queryTableFieldId="48"/>
    <tableColumn id="49" xr3:uid="{6C9590B9-B48D-4EA6-941D-83F7D20898CE}" uniqueName="49" name="TaxAmount" queryTableFieldId="49"/>
    <tableColumn id="50" xr3:uid="{F5299331-E9AA-4896-BDBC-49467C0F0BB4}" uniqueName="50" name="CGSTAmount" queryTableFieldId="50"/>
    <tableColumn id="51" xr3:uid="{F3F773A2-56EA-4105-901C-BE30888025CC}" uniqueName="51" name="SGSTAmount" queryTableFieldId="51"/>
    <tableColumn id="52" xr3:uid="{DE8660E2-14EC-464D-AB34-B1374A350C1C}" uniqueName="52" name="IGSTAmount" queryTableFieldId="52"/>
    <tableColumn id="53" xr3:uid="{513F807C-2458-4897-93E2-BFC9376D82A6}" uniqueName="53" name="Unhold Date" queryTableFieldId="53" dataDxfId="5"/>
    <tableColumn id="54" xr3:uid="{AD0170BF-B338-48A3-978D-1C1B779F5BED}" uniqueName="54" name="Weight" queryTableFieldId="54"/>
    <tableColumn id="55" xr3:uid="{0FD91CB7-25F1-43E0-8DF5-C35BD905581C}" uniqueName="55" name="ShipByDate" queryTableFieldId="55" dataDxfId="4"/>
    <tableColumn id="56" xr3:uid="{BD3CE91C-8CF8-4B69-8B25-BB33440AF126}" uniqueName="56" name="Gross Amount (Before Tax)" queryTableFieldId="56" dataDxfId="3">
      <calculatedColumnFormula>MarketPlace_Order_Report__2[[#This Row],[UnitPrice]]*MarketPlace_Order_Report__2[[#This Row],[OrderQty]]</calculatedColumnFormula>
    </tableColumn>
    <tableColumn id="57" xr3:uid="{CB35F73F-AE56-4B29-B792-1E6650485ECB}" uniqueName="57" name="Total GST Amount" queryTableFieldId="57" dataDxfId="2">
      <calculatedColumnFormula>IFERROR(MarketPlace_Order_Report__2[[#This Row],[CGSTAmount]]+MarketPlace_Order_Report__2[[#This Row],[SGSTAmount]]+MarketPlace_Order_Report__2[[#This Row],[IGSTAmount]],MarketPlace_Order_Report__2[[#This Row],[TaxAmount]])</calculatedColumnFormula>
    </tableColumn>
    <tableColumn id="58" xr3:uid="{CCF5ABDB-4580-49D8-9729-03B285789F88}" uniqueName="58" name="Net Sale (After Tax)" queryTableFieldId="58" dataDxfId="1">
      <calculatedColumnFormula>MarketPlace_Order_Report__2[[#This Row],[Gross Amount (Before Tax)]]+MarketPlace_Order_Report__2[[#This Row],[Total GST Amount]]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7F3D-988C-46E9-8FD7-8CE983214217}">
  <dimension ref="A1:BF1048536"/>
  <sheetViews>
    <sheetView workbookViewId="0"/>
  </sheetViews>
  <sheetFormatPr defaultRowHeight="14.4"/>
  <cols>
    <col min="1" max="1" width="25.44140625" bestFit="1" customWidth="1"/>
    <col min="2" max="2" width="12.6640625" bestFit="1" customWidth="1"/>
    <col min="3" max="3" width="14.109375" bestFit="1" customWidth="1"/>
    <col min="4" max="5" width="19" bestFit="1" customWidth="1"/>
    <col min="6" max="6" width="24" bestFit="1" customWidth="1"/>
    <col min="7" max="7" width="11" bestFit="1" customWidth="1"/>
    <col min="8" max="8" width="15.109375" bestFit="1" customWidth="1"/>
    <col min="9" max="9" width="24" bestFit="1" customWidth="1"/>
    <col min="10" max="10" width="10.88671875" bestFit="1" customWidth="1"/>
    <col min="11" max="11" width="17.5546875" bestFit="1" customWidth="1"/>
    <col min="12" max="12" width="27.44140625" bestFit="1" customWidth="1"/>
    <col min="13" max="13" width="21.33203125" bestFit="1" customWidth="1"/>
    <col min="14" max="18" width="28.6640625" bestFit="1" customWidth="1"/>
    <col min="19" max="19" width="10.77734375" bestFit="1" customWidth="1"/>
    <col min="20" max="20" width="15.44140625" bestFit="1" customWidth="1"/>
    <col min="21" max="21" width="31.88671875" bestFit="1" customWidth="1"/>
    <col min="22" max="22" width="11.77734375" bestFit="1" customWidth="1"/>
    <col min="23" max="23" width="38.77734375" bestFit="1" customWidth="1"/>
    <col min="24" max="24" width="17.5546875" bestFit="1" customWidth="1"/>
    <col min="25" max="25" width="14" bestFit="1" customWidth="1"/>
    <col min="26" max="26" width="13.44140625" bestFit="1" customWidth="1"/>
    <col min="27" max="27" width="21.88671875" bestFit="1" customWidth="1"/>
    <col min="28" max="28" width="21.5546875" bestFit="1" customWidth="1"/>
    <col min="29" max="29" width="13.77734375" bestFit="1" customWidth="1"/>
    <col min="30" max="30" width="15.44140625" bestFit="1" customWidth="1"/>
    <col min="31" max="31" width="16.109375" bestFit="1" customWidth="1"/>
    <col min="32" max="32" width="17.44140625" bestFit="1" customWidth="1"/>
    <col min="33" max="33" width="15.88671875" bestFit="1" customWidth="1"/>
    <col min="34" max="34" width="16.88671875" bestFit="1" customWidth="1"/>
    <col min="35" max="36" width="10" bestFit="1" customWidth="1"/>
    <col min="37" max="37" width="11.5546875" bestFit="1" customWidth="1"/>
    <col min="38" max="38" width="11.109375" bestFit="1" customWidth="1"/>
    <col min="39" max="39" width="15.44140625" bestFit="1" customWidth="1"/>
    <col min="40" max="40" width="12.77734375" bestFit="1" customWidth="1"/>
    <col min="41" max="41" width="16" bestFit="1" customWidth="1"/>
    <col min="42" max="42" width="15.109375" bestFit="1" customWidth="1"/>
    <col min="43" max="43" width="31" bestFit="1" customWidth="1"/>
    <col min="44" max="44" width="9.5546875" bestFit="1" customWidth="1"/>
    <col min="45" max="45" width="12.5546875" bestFit="1" customWidth="1"/>
    <col min="46" max="46" width="17" bestFit="1" customWidth="1"/>
    <col min="47" max="47" width="16.88671875" bestFit="1" customWidth="1"/>
    <col min="48" max="48" width="16.44140625" bestFit="1" customWidth="1"/>
    <col min="49" max="49" width="13" bestFit="1" customWidth="1"/>
    <col min="50" max="50" width="14.44140625" bestFit="1" customWidth="1"/>
    <col min="51" max="51" width="14.33203125" bestFit="1" customWidth="1"/>
    <col min="52" max="52" width="13.88671875" bestFit="1" customWidth="1"/>
    <col min="53" max="53" width="15.44140625" bestFit="1" customWidth="1"/>
    <col min="54" max="54" width="9.21875" bestFit="1" customWidth="1"/>
    <col min="55" max="55" width="15.44140625" bestFit="1" customWidth="1"/>
    <col min="56" max="56" width="26.109375" bestFit="1" customWidth="1"/>
    <col min="57" max="57" width="18.5546875" bestFit="1" customWidth="1"/>
    <col min="58" max="58" width="19.6640625" bestFit="1" customWidth="1"/>
  </cols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s="1" t="s">
        <v>55</v>
      </c>
      <c r="BE1" s="1" t="s">
        <v>56</v>
      </c>
      <c r="BF1" s="1" t="s">
        <v>57</v>
      </c>
    </row>
    <row r="2" spans="1:58">
      <c r="A2" t="s">
        <v>58</v>
      </c>
      <c r="B2" t="s">
        <v>59</v>
      </c>
      <c r="C2" t="s">
        <v>60</v>
      </c>
      <c r="D2" t="s">
        <v>61</v>
      </c>
      <c r="E2">
        <v>1</v>
      </c>
      <c r="F2" t="s">
        <v>62</v>
      </c>
      <c r="G2">
        <v>1</v>
      </c>
      <c r="H2">
        <v>1</v>
      </c>
      <c r="I2">
        <v>2250</v>
      </c>
      <c r="J2">
        <v>1125</v>
      </c>
      <c r="K2">
        <v>0</v>
      </c>
      <c r="L2">
        <v>1125</v>
      </c>
      <c r="M2">
        <v>0</v>
      </c>
      <c r="N2" t="s">
        <v>63</v>
      </c>
      <c r="O2" s="2">
        <v>45943.565358796295</v>
      </c>
      <c r="P2" s="2">
        <v>45944.742685185185</v>
      </c>
      <c r="Q2" s="2">
        <v>45949.638460648152</v>
      </c>
      <c r="R2" t="s">
        <v>64</v>
      </c>
      <c r="S2" t="s">
        <v>65</v>
      </c>
      <c r="T2" s="2">
        <v>45943.813715277778</v>
      </c>
      <c r="U2" t="s">
        <v>66</v>
      </c>
      <c r="V2" t="s">
        <v>67</v>
      </c>
      <c r="W2" t="s">
        <v>66</v>
      </c>
      <c r="X2" t="s">
        <v>66</v>
      </c>
      <c r="Y2" t="s">
        <v>68</v>
      </c>
      <c r="Z2" t="s">
        <v>69</v>
      </c>
      <c r="AA2" t="s">
        <v>70</v>
      </c>
      <c r="AB2" t="s">
        <v>66</v>
      </c>
      <c r="AC2" t="s">
        <v>66</v>
      </c>
      <c r="AD2" s="2">
        <v>45961.49423611111</v>
      </c>
      <c r="AE2" t="s">
        <v>71</v>
      </c>
      <c r="AF2" t="s">
        <v>66</v>
      </c>
      <c r="AG2" t="s">
        <v>72</v>
      </c>
      <c r="AH2" t="s">
        <v>73</v>
      </c>
      <c r="AI2">
        <v>313001</v>
      </c>
      <c r="AJ2" t="s">
        <v>74</v>
      </c>
      <c r="AK2" t="s">
        <v>75</v>
      </c>
      <c r="AL2">
        <v>62042300</v>
      </c>
      <c r="AM2" s="2"/>
      <c r="AN2">
        <v>1125</v>
      </c>
      <c r="AO2" t="s">
        <v>76</v>
      </c>
      <c r="AP2" t="s">
        <v>77</v>
      </c>
      <c r="AQ2" t="s">
        <v>66</v>
      </c>
      <c r="AR2" t="s">
        <v>71</v>
      </c>
      <c r="AS2">
        <v>5</v>
      </c>
      <c r="AT2">
        <v>0</v>
      </c>
      <c r="AU2">
        <v>0</v>
      </c>
      <c r="AV2">
        <v>5</v>
      </c>
      <c r="AW2">
        <v>53.570999999999998</v>
      </c>
      <c r="AX2">
        <v>0</v>
      </c>
      <c r="AY2">
        <v>0</v>
      </c>
      <c r="AZ2">
        <v>53.570999999999998</v>
      </c>
      <c r="BA2" s="2"/>
      <c r="BB2">
        <v>0.75</v>
      </c>
      <c r="BC2" s="2">
        <v>45946.5</v>
      </c>
      <c r="BD2" s="1">
        <f>MarketPlace_Order_Report__2[[#This Row],[UnitPrice]]*MarketPlace_Order_Report__2[[#This Row],[OrderQty]]</f>
        <v>1125</v>
      </c>
      <c r="BE2" s="1">
        <f>IFERROR(MarketPlace_Order_Report__2[[#This Row],[CGSTAmount]]+MarketPlace_Order_Report__2[[#This Row],[SGSTAmount]]+MarketPlace_Order_Report__2[[#This Row],[IGSTAmount]],MarketPlace_Order_Report__2[[#This Row],[TaxAmount]])</f>
        <v>53.570999999999998</v>
      </c>
      <c r="BF2" s="1">
        <f>MarketPlace_Order_Report__2[[#This Row],[Gross Amount (Before Tax)]]+MarketPlace_Order_Report__2[[#This Row],[Total GST Amount]]</f>
        <v>1178.5709999999999</v>
      </c>
    </row>
    <row r="3" spans="1:58">
      <c r="A3" t="s">
        <v>78</v>
      </c>
      <c r="B3" t="s">
        <v>79</v>
      </c>
      <c r="C3" t="s">
        <v>80</v>
      </c>
      <c r="D3" t="s">
        <v>81</v>
      </c>
      <c r="E3">
        <v>1</v>
      </c>
      <c r="F3" t="s">
        <v>1806</v>
      </c>
      <c r="G3">
        <v>1</v>
      </c>
      <c r="H3">
        <v>1</v>
      </c>
      <c r="I3">
        <v>2250</v>
      </c>
      <c r="J3">
        <v>1125</v>
      </c>
      <c r="K3">
        <v>0</v>
      </c>
      <c r="L3">
        <v>1125</v>
      </c>
      <c r="M3">
        <v>0</v>
      </c>
      <c r="N3" t="s">
        <v>63</v>
      </c>
      <c r="O3" s="2">
        <v>45943.517581018517</v>
      </c>
      <c r="P3" s="2">
        <v>45944.742627314816</v>
      </c>
      <c r="Q3" s="2">
        <v>45949.638460648152</v>
      </c>
      <c r="R3" t="s">
        <v>82</v>
      </c>
      <c r="S3" t="s">
        <v>65</v>
      </c>
      <c r="T3" s="2">
        <v>45943.813715277778</v>
      </c>
      <c r="U3" t="s">
        <v>66</v>
      </c>
      <c r="V3" t="s">
        <v>67</v>
      </c>
      <c r="W3" t="s">
        <v>66</v>
      </c>
      <c r="X3" t="s">
        <v>66</v>
      </c>
      <c r="Y3" t="s">
        <v>66</v>
      </c>
      <c r="Z3" t="s">
        <v>66</v>
      </c>
      <c r="AA3" t="s">
        <v>66</v>
      </c>
      <c r="AB3" t="s">
        <v>66</v>
      </c>
      <c r="AC3" t="s">
        <v>66</v>
      </c>
      <c r="AD3" s="2">
        <v>45949.639768518522</v>
      </c>
      <c r="AE3" t="s">
        <v>71</v>
      </c>
      <c r="AF3" t="s">
        <v>66</v>
      </c>
      <c r="AG3" t="s">
        <v>72</v>
      </c>
      <c r="AH3" t="s">
        <v>73</v>
      </c>
      <c r="AI3">
        <v>313001</v>
      </c>
      <c r="AJ3" t="s">
        <v>74</v>
      </c>
      <c r="AK3" t="s">
        <v>75</v>
      </c>
      <c r="AL3">
        <v>62042300</v>
      </c>
      <c r="AM3" s="2"/>
      <c r="AN3">
        <v>1125</v>
      </c>
      <c r="AO3" t="s">
        <v>83</v>
      </c>
      <c r="AP3" t="s">
        <v>77</v>
      </c>
      <c r="AQ3" t="s">
        <v>66</v>
      </c>
      <c r="AR3" t="s">
        <v>71</v>
      </c>
      <c r="AS3">
        <v>5</v>
      </c>
      <c r="AT3">
        <v>0</v>
      </c>
      <c r="AU3">
        <v>0</v>
      </c>
      <c r="AV3">
        <v>5</v>
      </c>
      <c r="AW3">
        <v>53.570999999999998</v>
      </c>
      <c r="AX3">
        <v>0</v>
      </c>
      <c r="AY3">
        <v>0</v>
      </c>
      <c r="AZ3">
        <v>53.570999999999998</v>
      </c>
      <c r="BA3" s="2"/>
      <c r="BB3">
        <v>0.75</v>
      </c>
      <c r="BC3" s="2">
        <v>45946.5</v>
      </c>
      <c r="BD3" s="1">
        <f>MarketPlace_Order_Report__2[[#This Row],[UnitPrice]]*MarketPlace_Order_Report__2[[#This Row],[OrderQty]]</f>
        <v>1125</v>
      </c>
      <c r="BE3" s="1">
        <f>IFERROR(MarketPlace_Order_Report__2[[#This Row],[CGSTAmount]]+MarketPlace_Order_Report__2[[#This Row],[SGSTAmount]]+MarketPlace_Order_Report__2[[#This Row],[IGSTAmount]],MarketPlace_Order_Report__2[[#This Row],[TaxAmount]])</f>
        <v>53.570999999999998</v>
      </c>
      <c r="BF3" s="1">
        <f>MarketPlace_Order_Report__2[[#This Row],[Gross Amount (Before Tax)]]+MarketPlace_Order_Report__2[[#This Row],[Total GST Amount]]</f>
        <v>1178.5709999999999</v>
      </c>
    </row>
    <row r="4" spans="1:58">
      <c r="A4" t="s">
        <v>84</v>
      </c>
      <c r="B4" t="s">
        <v>85</v>
      </c>
      <c r="C4" t="s">
        <v>86</v>
      </c>
      <c r="D4" t="s">
        <v>87</v>
      </c>
      <c r="E4">
        <v>1</v>
      </c>
      <c r="F4" t="s">
        <v>1806</v>
      </c>
      <c r="G4">
        <v>1</v>
      </c>
      <c r="H4">
        <v>1</v>
      </c>
      <c r="I4">
        <v>2250</v>
      </c>
      <c r="J4">
        <v>1125</v>
      </c>
      <c r="K4">
        <v>0</v>
      </c>
      <c r="L4">
        <v>1154</v>
      </c>
      <c r="M4">
        <v>29</v>
      </c>
      <c r="N4" t="s">
        <v>63</v>
      </c>
      <c r="O4" s="2">
        <v>45935.598101851851</v>
      </c>
      <c r="P4" s="2">
        <v>45936.641296296293</v>
      </c>
      <c r="Q4" s="2">
        <v>45942.920486111114</v>
      </c>
      <c r="R4" t="s">
        <v>88</v>
      </c>
      <c r="S4" t="s">
        <v>89</v>
      </c>
      <c r="T4" s="2">
        <v>45935.742905092593</v>
      </c>
      <c r="U4" t="s">
        <v>66</v>
      </c>
      <c r="V4" t="s">
        <v>67</v>
      </c>
      <c r="W4" t="s">
        <v>66</v>
      </c>
      <c r="X4" t="s">
        <v>66</v>
      </c>
      <c r="Y4" t="s">
        <v>66</v>
      </c>
      <c r="Z4" t="s">
        <v>66</v>
      </c>
      <c r="AA4" t="s">
        <v>66</v>
      </c>
      <c r="AB4" t="s">
        <v>66</v>
      </c>
      <c r="AC4" t="s">
        <v>66</v>
      </c>
      <c r="AD4" s="2">
        <v>45942.920868055553</v>
      </c>
      <c r="AE4" t="s">
        <v>71</v>
      </c>
      <c r="AF4" t="s">
        <v>66</v>
      </c>
      <c r="AG4" t="s">
        <v>90</v>
      </c>
      <c r="AH4" t="s">
        <v>91</v>
      </c>
      <c r="AI4">
        <v>560043</v>
      </c>
      <c r="AJ4" t="s">
        <v>74</v>
      </c>
      <c r="AK4" t="s">
        <v>75</v>
      </c>
      <c r="AL4">
        <v>62042300</v>
      </c>
      <c r="AM4" s="2"/>
      <c r="AN4">
        <v>1125</v>
      </c>
      <c r="AO4" t="s">
        <v>92</v>
      </c>
      <c r="AP4" t="s">
        <v>93</v>
      </c>
      <c r="AQ4" t="s">
        <v>66</v>
      </c>
      <c r="AR4" t="s">
        <v>71</v>
      </c>
      <c r="AS4">
        <v>5</v>
      </c>
      <c r="AT4">
        <v>0</v>
      </c>
      <c r="AU4">
        <v>0</v>
      </c>
      <c r="AV4">
        <v>5</v>
      </c>
      <c r="AW4">
        <v>53.570999999999998</v>
      </c>
      <c r="AX4">
        <v>0</v>
      </c>
      <c r="AY4">
        <v>0</v>
      </c>
      <c r="AZ4">
        <v>53.570999999999998</v>
      </c>
      <c r="BA4" s="2"/>
      <c r="BB4">
        <v>0.7</v>
      </c>
      <c r="BC4" s="2">
        <v>45938.5</v>
      </c>
      <c r="BD4" s="1">
        <f>MarketPlace_Order_Report__2[[#This Row],[UnitPrice]]*MarketPlace_Order_Report__2[[#This Row],[OrderQty]]</f>
        <v>1125</v>
      </c>
      <c r="BE4" s="1">
        <f>IFERROR(MarketPlace_Order_Report__2[[#This Row],[CGSTAmount]]+MarketPlace_Order_Report__2[[#This Row],[SGSTAmount]]+MarketPlace_Order_Report__2[[#This Row],[IGSTAmount]],MarketPlace_Order_Report__2[[#This Row],[TaxAmount]])</f>
        <v>53.570999999999998</v>
      </c>
      <c r="BF4" s="1">
        <f>MarketPlace_Order_Report__2[[#This Row],[Gross Amount (Before Tax)]]+MarketPlace_Order_Report__2[[#This Row],[Total GST Amount]]</f>
        <v>1178.5709999999999</v>
      </c>
    </row>
    <row r="5" spans="1:58">
      <c r="A5" t="s">
        <v>94</v>
      </c>
      <c r="B5" t="s">
        <v>95</v>
      </c>
      <c r="C5" t="s">
        <v>96</v>
      </c>
      <c r="D5" t="s">
        <v>97</v>
      </c>
      <c r="E5">
        <v>2</v>
      </c>
      <c r="F5" t="s">
        <v>98</v>
      </c>
      <c r="G5">
        <v>1</v>
      </c>
      <c r="H5">
        <v>0</v>
      </c>
      <c r="I5">
        <v>4000</v>
      </c>
      <c r="J5">
        <v>3600</v>
      </c>
      <c r="K5">
        <v>0</v>
      </c>
      <c r="L5">
        <v>3624.627</v>
      </c>
      <c r="M5">
        <v>24.626999999999999</v>
      </c>
      <c r="N5" t="s">
        <v>99</v>
      </c>
      <c r="O5" s="2">
        <v>45959.998020833336</v>
      </c>
      <c r="P5" s="2"/>
      <c r="Q5" s="2"/>
      <c r="R5" t="s">
        <v>100</v>
      </c>
      <c r="S5" t="s">
        <v>65</v>
      </c>
      <c r="T5" s="2">
        <v>45961.517905092594</v>
      </c>
      <c r="U5" t="s">
        <v>66</v>
      </c>
      <c r="V5" t="s">
        <v>67</v>
      </c>
      <c r="W5" t="s">
        <v>66</v>
      </c>
      <c r="X5" t="s">
        <v>66</v>
      </c>
      <c r="Y5" t="s">
        <v>66</v>
      </c>
      <c r="Z5" t="s">
        <v>66</v>
      </c>
      <c r="AA5" t="s">
        <v>66</v>
      </c>
      <c r="AB5" t="s">
        <v>66</v>
      </c>
      <c r="AC5" t="s">
        <v>66</v>
      </c>
      <c r="AD5" s="2">
        <v>45961.517916666664</v>
      </c>
      <c r="AE5" t="s">
        <v>71</v>
      </c>
      <c r="AF5" t="s">
        <v>66</v>
      </c>
      <c r="AG5" t="s">
        <v>101</v>
      </c>
      <c r="AH5" t="s">
        <v>73</v>
      </c>
      <c r="AI5">
        <v>303702</v>
      </c>
      <c r="AJ5" t="s">
        <v>74</v>
      </c>
      <c r="AK5" t="s">
        <v>75</v>
      </c>
      <c r="AL5">
        <v>62042300</v>
      </c>
      <c r="AM5" s="2"/>
      <c r="AN5">
        <v>3600</v>
      </c>
      <c r="AO5" t="s">
        <v>102</v>
      </c>
      <c r="AP5" t="s">
        <v>66</v>
      </c>
      <c r="AQ5" t="s">
        <v>66</v>
      </c>
      <c r="AR5" t="s">
        <v>71</v>
      </c>
      <c r="AS5">
        <v>18</v>
      </c>
      <c r="AT5">
        <v>0</v>
      </c>
      <c r="AU5">
        <v>0</v>
      </c>
      <c r="AV5">
        <v>18</v>
      </c>
      <c r="AW5">
        <v>549.15300000000002</v>
      </c>
      <c r="AX5">
        <v>0</v>
      </c>
      <c r="AY5">
        <v>0</v>
      </c>
      <c r="AZ5">
        <v>549.15300000000002</v>
      </c>
      <c r="BA5" s="2"/>
      <c r="BB5">
        <v>1</v>
      </c>
      <c r="BC5" s="2">
        <v>45962.5</v>
      </c>
      <c r="BD5" s="1">
        <f>MarketPlace_Order_Report__2[[#This Row],[UnitPrice]]*MarketPlace_Order_Report__2[[#This Row],[OrderQty]]</f>
        <v>3600</v>
      </c>
      <c r="BE5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5" s="1">
        <f>MarketPlace_Order_Report__2[[#This Row],[Gross Amount (Before Tax)]]+MarketPlace_Order_Report__2[[#This Row],[Total GST Amount]]</f>
        <v>4149.1530000000002</v>
      </c>
    </row>
    <row r="6" spans="1:58">
      <c r="A6" t="s">
        <v>103</v>
      </c>
      <c r="B6" t="s">
        <v>104</v>
      </c>
      <c r="C6" t="s">
        <v>105</v>
      </c>
      <c r="D6" t="s">
        <v>106</v>
      </c>
      <c r="E6">
        <v>1</v>
      </c>
      <c r="F6" t="s">
        <v>107</v>
      </c>
      <c r="G6">
        <v>1</v>
      </c>
      <c r="H6">
        <v>1</v>
      </c>
      <c r="I6">
        <v>4000</v>
      </c>
      <c r="J6">
        <v>3600</v>
      </c>
      <c r="K6">
        <v>0</v>
      </c>
      <c r="L6">
        <v>3649</v>
      </c>
      <c r="M6">
        <v>49</v>
      </c>
      <c r="N6" t="s">
        <v>99</v>
      </c>
      <c r="O6" s="2">
        <v>45959.64466435185</v>
      </c>
      <c r="P6" s="2">
        <v>45960.624247685184</v>
      </c>
      <c r="Q6" s="2"/>
      <c r="R6" t="s">
        <v>108</v>
      </c>
      <c r="S6" t="s">
        <v>89</v>
      </c>
      <c r="T6" s="2">
        <v>45959.790451388886</v>
      </c>
      <c r="U6" t="s">
        <v>66</v>
      </c>
      <c r="V6" t="s">
        <v>67</v>
      </c>
      <c r="W6" t="s">
        <v>66</v>
      </c>
      <c r="X6" t="s">
        <v>66</v>
      </c>
      <c r="Y6" t="s">
        <v>66</v>
      </c>
      <c r="Z6" t="s">
        <v>66</v>
      </c>
      <c r="AA6" t="s">
        <v>66</v>
      </c>
      <c r="AB6" t="s">
        <v>66</v>
      </c>
      <c r="AC6" t="s">
        <v>66</v>
      </c>
      <c r="AD6" s="2">
        <v>45961.247407407405</v>
      </c>
      <c r="AE6" t="s">
        <v>71</v>
      </c>
      <c r="AF6" t="s">
        <v>66</v>
      </c>
      <c r="AG6" t="s">
        <v>90</v>
      </c>
      <c r="AH6" t="s">
        <v>91</v>
      </c>
      <c r="AI6">
        <v>560076</v>
      </c>
      <c r="AJ6" t="s">
        <v>74</v>
      </c>
      <c r="AK6" t="s">
        <v>75</v>
      </c>
      <c r="AL6">
        <v>62042300</v>
      </c>
      <c r="AM6" s="2"/>
      <c r="AN6">
        <v>3600</v>
      </c>
      <c r="AO6" t="s">
        <v>109</v>
      </c>
      <c r="AP6" t="s">
        <v>110</v>
      </c>
      <c r="AQ6" t="s">
        <v>66</v>
      </c>
      <c r="AR6" t="s">
        <v>71</v>
      </c>
      <c r="AS6">
        <v>18</v>
      </c>
      <c r="AT6">
        <v>0</v>
      </c>
      <c r="AU6">
        <v>0</v>
      </c>
      <c r="AV6">
        <v>18</v>
      </c>
      <c r="AW6">
        <v>549.15300000000002</v>
      </c>
      <c r="AX6">
        <v>0</v>
      </c>
      <c r="AY6">
        <v>0</v>
      </c>
      <c r="AZ6">
        <v>549.15300000000002</v>
      </c>
      <c r="BA6" s="2"/>
      <c r="BB6">
        <v>0.75</v>
      </c>
      <c r="BC6" s="2">
        <v>45962.5</v>
      </c>
      <c r="BD6" s="1">
        <f>MarketPlace_Order_Report__2[[#This Row],[UnitPrice]]*MarketPlace_Order_Report__2[[#This Row],[OrderQty]]</f>
        <v>3600</v>
      </c>
      <c r="BE6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6" s="1">
        <f>MarketPlace_Order_Report__2[[#This Row],[Gross Amount (Before Tax)]]+MarketPlace_Order_Report__2[[#This Row],[Total GST Amount]]</f>
        <v>4149.1530000000002</v>
      </c>
    </row>
    <row r="7" spans="1:58">
      <c r="A7" t="s">
        <v>111</v>
      </c>
      <c r="B7" t="s">
        <v>112</v>
      </c>
      <c r="C7" t="s">
        <v>105</v>
      </c>
      <c r="D7" t="s">
        <v>106</v>
      </c>
      <c r="E7">
        <v>2</v>
      </c>
      <c r="F7" t="s">
        <v>1806</v>
      </c>
      <c r="G7">
        <v>1</v>
      </c>
      <c r="H7">
        <v>1</v>
      </c>
      <c r="I7">
        <v>4000</v>
      </c>
      <c r="J7">
        <v>3600</v>
      </c>
      <c r="K7">
        <v>0</v>
      </c>
      <c r="L7">
        <v>3619.33</v>
      </c>
      <c r="M7">
        <v>19.329999999999998</v>
      </c>
      <c r="N7" t="s">
        <v>63</v>
      </c>
      <c r="O7" s="2">
        <v>45946.44017361111</v>
      </c>
      <c r="P7" s="2">
        <v>45948.728310185186</v>
      </c>
      <c r="Q7" s="2">
        <v>45952.732037037036</v>
      </c>
      <c r="R7" t="s">
        <v>113</v>
      </c>
      <c r="S7" t="s">
        <v>65</v>
      </c>
      <c r="T7" s="2">
        <v>45947.714212962965</v>
      </c>
      <c r="U7" t="s">
        <v>66</v>
      </c>
      <c r="V7" t="s">
        <v>67</v>
      </c>
      <c r="W7" t="s">
        <v>66</v>
      </c>
      <c r="X7" t="s">
        <v>66</v>
      </c>
      <c r="Y7" t="s">
        <v>66</v>
      </c>
      <c r="Z7" t="s">
        <v>66</v>
      </c>
      <c r="AA7" t="s">
        <v>66</v>
      </c>
      <c r="AB7" t="s">
        <v>66</v>
      </c>
      <c r="AC7" t="s">
        <v>66</v>
      </c>
      <c r="AD7" s="2">
        <v>45952.733518518522</v>
      </c>
      <c r="AE7" t="s">
        <v>71</v>
      </c>
      <c r="AF7" t="s">
        <v>66</v>
      </c>
      <c r="AG7" t="s">
        <v>114</v>
      </c>
      <c r="AH7" t="s">
        <v>115</v>
      </c>
      <c r="AI7">
        <v>110032</v>
      </c>
      <c r="AJ7" t="s">
        <v>74</v>
      </c>
      <c r="AK7" t="s">
        <v>75</v>
      </c>
      <c r="AL7">
        <v>62042300</v>
      </c>
      <c r="AM7" s="2"/>
      <c r="AN7">
        <v>3600</v>
      </c>
      <c r="AO7" t="s">
        <v>116</v>
      </c>
      <c r="AP7" t="s">
        <v>66</v>
      </c>
      <c r="AQ7" t="s">
        <v>66</v>
      </c>
      <c r="AR7" t="s">
        <v>71</v>
      </c>
      <c r="AS7">
        <v>18</v>
      </c>
      <c r="AT7">
        <v>0</v>
      </c>
      <c r="AU7">
        <v>0</v>
      </c>
      <c r="AV7">
        <v>18</v>
      </c>
      <c r="AW7">
        <v>549.15300000000002</v>
      </c>
      <c r="AX7">
        <v>0</v>
      </c>
      <c r="AY7">
        <v>0</v>
      </c>
      <c r="AZ7">
        <v>549.15300000000002</v>
      </c>
      <c r="BA7" s="2"/>
      <c r="BB7">
        <v>0.75</v>
      </c>
      <c r="BC7" s="2">
        <v>45948.5</v>
      </c>
      <c r="BD7" s="1">
        <f>MarketPlace_Order_Report__2[[#This Row],[UnitPrice]]*MarketPlace_Order_Report__2[[#This Row],[OrderQty]]</f>
        <v>3600</v>
      </c>
      <c r="BE7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7" s="1">
        <f>MarketPlace_Order_Report__2[[#This Row],[Gross Amount (Before Tax)]]+MarketPlace_Order_Report__2[[#This Row],[Total GST Amount]]</f>
        <v>4149.1530000000002</v>
      </c>
    </row>
    <row r="8" spans="1:58">
      <c r="A8" t="s">
        <v>117</v>
      </c>
      <c r="B8" t="s">
        <v>118</v>
      </c>
      <c r="C8" t="s">
        <v>119</v>
      </c>
      <c r="D8" t="s">
        <v>120</v>
      </c>
      <c r="E8">
        <v>1</v>
      </c>
      <c r="F8" t="s">
        <v>1806</v>
      </c>
      <c r="G8">
        <v>1</v>
      </c>
      <c r="H8">
        <v>1</v>
      </c>
      <c r="I8">
        <v>4000</v>
      </c>
      <c r="J8">
        <v>3200</v>
      </c>
      <c r="K8">
        <v>0</v>
      </c>
      <c r="L8">
        <v>3229</v>
      </c>
      <c r="M8">
        <v>29</v>
      </c>
      <c r="N8" t="s">
        <v>63</v>
      </c>
      <c r="O8" s="2">
        <v>45951.847037037034</v>
      </c>
      <c r="P8" s="2">
        <v>45954.629108796296</v>
      </c>
      <c r="Q8" s="2">
        <v>45956.490081018521</v>
      </c>
      <c r="R8" t="s">
        <v>121</v>
      </c>
      <c r="S8" t="s">
        <v>89</v>
      </c>
      <c r="T8" s="2">
        <v>45954.500509259262</v>
      </c>
      <c r="U8" t="s">
        <v>66</v>
      </c>
      <c r="V8" t="s">
        <v>67</v>
      </c>
      <c r="W8" t="s">
        <v>66</v>
      </c>
      <c r="X8" t="s">
        <v>66</v>
      </c>
      <c r="Y8" t="s">
        <v>66</v>
      </c>
      <c r="Z8" t="s">
        <v>66</v>
      </c>
      <c r="AA8" t="s">
        <v>66</v>
      </c>
      <c r="AB8" t="s">
        <v>66</v>
      </c>
      <c r="AC8" t="s">
        <v>66</v>
      </c>
      <c r="AD8" s="2">
        <v>45956.490358796298</v>
      </c>
      <c r="AE8" t="s">
        <v>71</v>
      </c>
      <c r="AF8" t="s">
        <v>66</v>
      </c>
      <c r="AG8" t="s">
        <v>122</v>
      </c>
      <c r="AH8" t="s">
        <v>123</v>
      </c>
      <c r="AI8">
        <v>421204</v>
      </c>
      <c r="AJ8" t="s">
        <v>74</v>
      </c>
      <c r="AK8" t="s">
        <v>75</v>
      </c>
      <c r="AL8">
        <v>62042300</v>
      </c>
      <c r="AM8" s="2"/>
      <c r="AN8">
        <v>3200</v>
      </c>
      <c r="AO8" t="s">
        <v>124</v>
      </c>
      <c r="AP8" t="s">
        <v>125</v>
      </c>
      <c r="AQ8" t="s">
        <v>66</v>
      </c>
      <c r="AR8" t="s">
        <v>71</v>
      </c>
      <c r="AS8">
        <v>18</v>
      </c>
      <c r="AT8">
        <v>9</v>
      </c>
      <c r="AU8">
        <v>9</v>
      </c>
      <c r="AV8">
        <v>0</v>
      </c>
      <c r="AW8">
        <v>488.13600000000002</v>
      </c>
      <c r="AX8">
        <v>244.06800000000001</v>
      </c>
      <c r="AY8">
        <v>244.06800000000001</v>
      </c>
      <c r="AZ8">
        <v>0</v>
      </c>
      <c r="BA8" s="2"/>
      <c r="BB8">
        <v>0.85</v>
      </c>
      <c r="BC8" s="2">
        <v>45954.5</v>
      </c>
      <c r="BD8" s="1">
        <f>MarketPlace_Order_Report__2[[#This Row],[UnitPrice]]*MarketPlace_Order_Report__2[[#This Row],[OrderQty]]</f>
        <v>3200</v>
      </c>
      <c r="BE8" s="1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BF8" s="1">
        <f>MarketPlace_Order_Report__2[[#This Row],[Gross Amount (Before Tax)]]+MarketPlace_Order_Report__2[[#This Row],[Total GST Amount]]</f>
        <v>3688.136</v>
      </c>
    </row>
    <row r="9" spans="1:58">
      <c r="A9" t="s">
        <v>126</v>
      </c>
      <c r="B9" t="s">
        <v>127</v>
      </c>
      <c r="C9" t="s">
        <v>119</v>
      </c>
      <c r="D9" t="s">
        <v>120</v>
      </c>
      <c r="E9">
        <v>1</v>
      </c>
      <c r="F9" t="s">
        <v>62</v>
      </c>
      <c r="G9">
        <v>1</v>
      </c>
      <c r="H9">
        <v>1</v>
      </c>
      <c r="I9">
        <v>4000</v>
      </c>
      <c r="J9">
        <v>3200</v>
      </c>
      <c r="K9">
        <v>0</v>
      </c>
      <c r="L9">
        <v>3319</v>
      </c>
      <c r="M9">
        <v>119</v>
      </c>
      <c r="N9" t="s">
        <v>99</v>
      </c>
      <c r="O9" s="2">
        <v>45944.516539351855</v>
      </c>
      <c r="P9" s="2">
        <v>45945.758634259262</v>
      </c>
      <c r="Q9" s="2">
        <v>45948.620347222219</v>
      </c>
      <c r="R9" t="s">
        <v>128</v>
      </c>
      <c r="S9" t="s">
        <v>65</v>
      </c>
      <c r="T9" s="2">
        <v>45944.808067129627</v>
      </c>
      <c r="U9" t="s">
        <v>66</v>
      </c>
      <c r="V9" t="s">
        <v>67</v>
      </c>
      <c r="W9" t="s">
        <v>66</v>
      </c>
      <c r="X9" t="s">
        <v>66</v>
      </c>
      <c r="Y9" t="s">
        <v>129</v>
      </c>
      <c r="Z9" t="s">
        <v>69</v>
      </c>
      <c r="AA9" t="s">
        <v>130</v>
      </c>
      <c r="AB9" t="s">
        <v>66</v>
      </c>
      <c r="AC9" t="s">
        <v>66</v>
      </c>
      <c r="AD9" s="2">
        <v>45955.858969907407</v>
      </c>
      <c r="AE9" t="s">
        <v>71</v>
      </c>
      <c r="AF9" t="s">
        <v>66</v>
      </c>
      <c r="AG9" t="s">
        <v>90</v>
      </c>
      <c r="AH9" t="s">
        <v>91</v>
      </c>
      <c r="AI9">
        <v>560077</v>
      </c>
      <c r="AJ9" t="s">
        <v>74</v>
      </c>
      <c r="AK9" t="s">
        <v>75</v>
      </c>
      <c r="AL9">
        <v>62042300</v>
      </c>
      <c r="AM9" s="2"/>
      <c r="AN9">
        <v>3200</v>
      </c>
      <c r="AO9" t="s">
        <v>131</v>
      </c>
      <c r="AP9" t="s">
        <v>132</v>
      </c>
      <c r="AQ9" t="s">
        <v>66</v>
      </c>
      <c r="AR9" t="s">
        <v>71</v>
      </c>
      <c r="AS9">
        <v>18</v>
      </c>
      <c r="AT9">
        <v>0</v>
      </c>
      <c r="AU9">
        <v>0</v>
      </c>
      <c r="AV9">
        <v>18</v>
      </c>
      <c r="AW9">
        <v>488.13600000000002</v>
      </c>
      <c r="AX9">
        <v>0</v>
      </c>
      <c r="AY9">
        <v>0</v>
      </c>
      <c r="AZ9">
        <v>488.13600000000002</v>
      </c>
      <c r="BA9" s="2"/>
      <c r="BB9">
        <v>0.85</v>
      </c>
      <c r="BC9" s="2">
        <v>45947.5</v>
      </c>
      <c r="BD9" s="1">
        <f>MarketPlace_Order_Report__2[[#This Row],[UnitPrice]]*MarketPlace_Order_Report__2[[#This Row],[OrderQty]]</f>
        <v>3200</v>
      </c>
      <c r="BE9" s="1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BF9" s="1">
        <f>MarketPlace_Order_Report__2[[#This Row],[Gross Amount (Before Tax)]]+MarketPlace_Order_Report__2[[#This Row],[Total GST Amount]]</f>
        <v>3688.136</v>
      </c>
    </row>
    <row r="10" spans="1:58">
      <c r="A10" t="s">
        <v>133</v>
      </c>
      <c r="B10" t="s">
        <v>134</v>
      </c>
      <c r="C10" t="s">
        <v>135</v>
      </c>
      <c r="D10" t="s">
        <v>136</v>
      </c>
      <c r="E10">
        <v>1</v>
      </c>
      <c r="F10" t="s">
        <v>1806</v>
      </c>
      <c r="G10">
        <v>1</v>
      </c>
      <c r="H10">
        <v>1</v>
      </c>
      <c r="I10">
        <v>4000</v>
      </c>
      <c r="J10">
        <v>3200</v>
      </c>
      <c r="K10">
        <v>0</v>
      </c>
      <c r="L10">
        <v>3216.38</v>
      </c>
      <c r="M10">
        <v>16.38</v>
      </c>
      <c r="N10" t="s">
        <v>63</v>
      </c>
      <c r="O10" s="2">
        <v>45954.311805555553</v>
      </c>
      <c r="P10" s="2">
        <v>45954.731793981482</v>
      </c>
      <c r="Q10" s="2">
        <v>45958.606076388889</v>
      </c>
      <c r="R10" t="s">
        <v>137</v>
      </c>
      <c r="S10" t="s">
        <v>65</v>
      </c>
      <c r="T10" s="2">
        <v>45954.500509259262</v>
      </c>
      <c r="U10" t="s">
        <v>66</v>
      </c>
      <c r="V10" t="s">
        <v>67</v>
      </c>
      <c r="W10" t="s">
        <v>66</v>
      </c>
      <c r="X10" t="s">
        <v>66</v>
      </c>
      <c r="Y10" t="s">
        <v>66</v>
      </c>
      <c r="Z10" t="s">
        <v>66</v>
      </c>
      <c r="AA10" t="s">
        <v>66</v>
      </c>
      <c r="AB10" t="s">
        <v>66</v>
      </c>
      <c r="AC10" t="s">
        <v>66</v>
      </c>
      <c r="AD10" s="2">
        <v>45958.608356481483</v>
      </c>
      <c r="AE10" t="s">
        <v>71</v>
      </c>
      <c r="AF10" t="s">
        <v>66</v>
      </c>
      <c r="AG10" t="s">
        <v>138</v>
      </c>
      <c r="AH10" t="s">
        <v>139</v>
      </c>
      <c r="AI10">
        <v>211001</v>
      </c>
      <c r="AJ10" t="s">
        <v>74</v>
      </c>
      <c r="AK10" t="s">
        <v>75</v>
      </c>
      <c r="AL10">
        <v>62042300</v>
      </c>
      <c r="AM10" s="2"/>
      <c r="AN10">
        <v>3200</v>
      </c>
      <c r="AO10" t="s">
        <v>140</v>
      </c>
      <c r="AP10" t="s">
        <v>66</v>
      </c>
      <c r="AQ10" t="s">
        <v>66</v>
      </c>
      <c r="AR10" t="s">
        <v>71</v>
      </c>
      <c r="AS10">
        <v>18</v>
      </c>
      <c r="AT10">
        <v>0</v>
      </c>
      <c r="AU10">
        <v>0</v>
      </c>
      <c r="AV10">
        <v>18</v>
      </c>
      <c r="AW10">
        <v>488.13600000000002</v>
      </c>
      <c r="AX10">
        <v>0</v>
      </c>
      <c r="AY10">
        <v>0</v>
      </c>
      <c r="AZ10">
        <v>488.13600000000002</v>
      </c>
      <c r="BA10" s="2"/>
      <c r="BB10">
        <v>0.85</v>
      </c>
      <c r="BC10" s="2">
        <v>45956.5</v>
      </c>
      <c r="BD10" s="1">
        <f>MarketPlace_Order_Report__2[[#This Row],[UnitPrice]]*MarketPlace_Order_Report__2[[#This Row],[OrderQty]]</f>
        <v>3200</v>
      </c>
      <c r="BE10" s="1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BF10" s="1">
        <f>MarketPlace_Order_Report__2[[#This Row],[Gross Amount (Before Tax)]]+MarketPlace_Order_Report__2[[#This Row],[Total GST Amount]]</f>
        <v>3688.136</v>
      </c>
    </row>
    <row r="11" spans="1:58">
      <c r="A11" t="s">
        <v>141</v>
      </c>
      <c r="B11" t="s">
        <v>142</v>
      </c>
      <c r="C11" t="s">
        <v>143</v>
      </c>
      <c r="D11" t="s">
        <v>144</v>
      </c>
      <c r="E11">
        <v>1</v>
      </c>
      <c r="F11" t="s">
        <v>145</v>
      </c>
      <c r="G11">
        <v>1</v>
      </c>
      <c r="H11">
        <v>0</v>
      </c>
      <c r="I11">
        <v>4000</v>
      </c>
      <c r="J11">
        <v>3200</v>
      </c>
      <c r="K11">
        <v>0</v>
      </c>
      <c r="L11">
        <v>3249</v>
      </c>
      <c r="M11">
        <v>49</v>
      </c>
      <c r="N11" t="s">
        <v>99</v>
      </c>
      <c r="O11" s="2">
        <v>45952.367326388892</v>
      </c>
      <c r="P11" s="2"/>
      <c r="Q11" s="2"/>
      <c r="R11" t="s">
        <v>66</v>
      </c>
      <c r="S11" t="s">
        <v>146</v>
      </c>
      <c r="T11" s="2"/>
      <c r="U11" t="s">
        <v>147</v>
      </c>
      <c r="V11" t="s">
        <v>67</v>
      </c>
      <c r="W11" t="s">
        <v>66</v>
      </c>
      <c r="X11" t="s">
        <v>66</v>
      </c>
      <c r="Y11" t="s">
        <v>66</v>
      </c>
      <c r="Z11" t="s">
        <v>66</v>
      </c>
      <c r="AA11" t="s">
        <v>66</v>
      </c>
      <c r="AB11" t="s">
        <v>66</v>
      </c>
      <c r="AC11" t="s">
        <v>66</v>
      </c>
      <c r="AD11" s="2">
        <v>45953.290312500001</v>
      </c>
      <c r="AE11" t="s">
        <v>71</v>
      </c>
      <c r="AF11" t="s">
        <v>66</v>
      </c>
      <c r="AG11" t="s">
        <v>148</v>
      </c>
      <c r="AH11" t="s">
        <v>149</v>
      </c>
      <c r="AI11">
        <v>500050</v>
      </c>
      <c r="AJ11" t="s">
        <v>74</v>
      </c>
      <c r="AK11" t="s">
        <v>75</v>
      </c>
      <c r="AL11">
        <v>62042300</v>
      </c>
      <c r="AM11" s="2">
        <v>45953.290312500001</v>
      </c>
      <c r="AN11">
        <v>3200</v>
      </c>
      <c r="AO11" t="s">
        <v>66</v>
      </c>
      <c r="AP11" t="s">
        <v>66</v>
      </c>
      <c r="AQ11" t="s">
        <v>66</v>
      </c>
      <c r="AR11" t="s">
        <v>71</v>
      </c>
      <c r="AS11">
        <v>18</v>
      </c>
      <c r="AT11">
        <v>0</v>
      </c>
      <c r="AU11">
        <v>0</v>
      </c>
      <c r="AV11">
        <v>18</v>
      </c>
      <c r="AW11">
        <v>488.13600000000002</v>
      </c>
      <c r="AX11">
        <v>0</v>
      </c>
      <c r="AY11">
        <v>0</v>
      </c>
      <c r="AZ11">
        <v>488.13600000000002</v>
      </c>
      <c r="BA11" s="2"/>
      <c r="BC11" s="2">
        <v>45954.5</v>
      </c>
      <c r="BD11" s="1">
        <f>MarketPlace_Order_Report__2[[#This Row],[UnitPrice]]*MarketPlace_Order_Report__2[[#This Row],[OrderQty]]</f>
        <v>3200</v>
      </c>
      <c r="BE11" s="1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BF11" s="1">
        <f>MarketPlace_Order_Report__2[[#This Row],[Gross Amount (Before Tax)]]+MarketPlace_Order_Report__2[[#This Row],[Total GST Amount]]</f>
        <v>3688.136</v>
      </c>
    </row>
    <row r="12" spans="1:58">
      <c r="A12" t="s">
        <v>150</v>
      </c>
      <c r="B12" t="s">
        <v>151</v>
      </c>
      <c r="C12" t="s">
        <v>152</v>
      </c>
      <c r="D12" t="s">
        <v>153</v>
      </c>
      <c r="E12">
        <v>1</v>
      </c>
      <c r="F12" t="s">
        <v>107</v>
      </c>
      <c r="G12">
        <v>1</v>
      </c>
      <c r="H12">
        <v>1</v>
      </c>
      <c r="I12">
        <v>4000</v>
      </c>
      <c r="J12">
        <v>3200</v>
      </c>
      <c r="K12">
        <v>0</v>
      </c>
      <c r="L12">
        <v>3200</v>
      </c>
      <c r="M12">
        <v>0</v>
      </c>
      <c r="N12" t="s">
        <v>63</v>
      </c>
      <c r="O12" s="2">
        <v>45957.948020833333</v>
      </c>
      <c r="P12" s="2">
        <v>45959.783333333333</v>
      </c>
      <c r="Q12" s="2"/>
      <c r="R12" t="s">
        <v>154</v>
      </c>
      <c r="S12" t="s">
        <v>155</v>
      </c>
      <c r="T12" s="2">
        <v>45958.543113425927</v>
      </c>
      <c r="U12" t="s">
        <v>66</v>
      </c>
      <c r="V12" t="s">
        <v>67</v>
      </c>
      <c r="W12" t="s">
        <v>66</v>
      </c>
      <c r="X12" t="s">
        <v>66</v>
      </c>
      <c r="Y12" t="s">
        <v>66</v>
      </c>
      <c r="Z12" t="s">
        <v>66</v>
      </c>
      <c r="AA12" t="s">
        <v>66</v>
      </c>
      <c r="AB12" t="s">
        <v>66</v>
      </c>
      <c r="AC12" t="s">
        <v>66</v>
      </c>
      <c r="AD12" s="2">
        <v>45961.445347222223</v>
      </c>
      <c r="AE12" t="s">
        <v>71</v>
      </c>
      <c r="AF12" t="s">
        <v>66</v>
      </c>
      <c r="AG12" t="s">
        <v>156</v>
      </c>
      <c r="AH12" t="s">
        <v>123</v>
      </c>
      <c r="AI12">
        <v>401303</v>
      </c>
      <c r="AJ12" t="s">
        <v>74</v>
      </c>
      <c r="AK12" t="s">
        <v>75</v>
      </c>
      <c r="AL12">
        <v>62042300</v>
      </c>
      <c r="AM12" s="2"/>
      <c r="AN12">
        <v>3200</v>
      </c>
      <c r="AO12" t="s">
        <v>157</v>
      </c>
      <c r="AP12" t="s">
        <v>158</v>
      </c>
      <c r="AQ12" t="s">
        <v>66</v>
      </c>
      <c r="AR12" t="s">
        <v>71</v>
      </c>
      <c r="AS12">
        <v>18</v>
      </c>
      <c r="AT12">
        <v>9</v>
      </c>
      <c r="AU12">
        <v>9</v>
      </c>
      <c r="AV12">
        <v>0</v>
      </c>
      <c r="AW12">
        <v>488.13600000000002</v>
      </c>
      <c r="AX12">
        <v>244.06800000000001</v>
      </c>
      <c r="AY12">
        <v>244.06800000000001</v>
      </c>
      <c r="AZ12">
        <v>0</v>
      </c>
      <c r="BA12" s="2"/>
      <c r="BB12">
        <v>0.85</v>
      </c>
      <c r="BC12" s="2">
        <v>45960.5</v>
      </c>
      <c r="BD12" s="1">
        <f>MarketPlace_Order_Report__2[[#This Row],[UnitPrice]]*MarketPlace_Order_Report__2[[#This Row],[OrderQty]]</f>
        <v>3200</v>
      </c>
      <c r="BE12" s="1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BF12" s="1">
        <f>MarketPlace_Order_Report__2[[#This Row],[Gross Amount (Before Tax)]]+MarketPlace_Order_Report__2[[#This Row],[Total GST Amount]]</f>
        <v>3688.136</v>
      </c>
    </row>
    <row r="13" spans="1:58">
      <c r="A13" t="s">
        <v>159</v>
      </c>
      <c r="B13" t="s">
        <v>160</v>
      </c>
      <c r="C13" t="s">
        <v>152</v>
      </c>
      <c r="D13" t="s">
        <v>153</v>
      </c>
      <c r="E13">
        <v>1</v>
      </c>
      <c r="F13" t="s">
        <v>145</v>
      </c>
      <c r="G13">
        <v>1</v>
      </c>
      <c r="H13">
        <v>0</v>
      </c>
      <c r="I13">
        <v>4000</v>
      </c>
      <c r="J13">
        <v>3200</v>
      </c>
      <c r="K13">
        <v>0</v>
      </c>
      <c r="L13">
        <v>3249</v>
      </c>
      <c r="M13">
        <v>49</v>
      </c>
      <c r="N13" t="s">
        <v>99</v>
      </c>
      <c r="O13" s="2">
        <v>45947.005995370368</v>
      </c>
      <c r="P13" s="2"/>
      <c r="Q13" s="2"/>
      <c r="R13" t="s">
        <v>66</v>
      </c>
      <c r="S13" t="s">
        <v>161</v>
      </c>
      <c r="T13" s="2"/>
      <c r="U13" t="s">
        <v>147</v>
      </c>
      <c r="V13" t="s">
        <v>67</v>
      </c>
      <c r="W13" t="s">
        <v>66</v>
      </c>
      <c r="X13" t="s">
        <v>66</v>
      </c>
      <c r="Y13" t="s">
        <v>66</v>
      </c>
      <c r="Z13" t="s">
        <v>66</v>
      </c>
      <c r="AA13" t="s">
        <v>66</v>
      </c>
      <c r="AB13" t="s">
        <v>66</v>
      </c>
      <c r="AC13" t="s">
        <v>66</v>
      </c>
      <c r="AD13" s="2">
        <v>45947.007314814815</v>
      </c>
      <c r="AE13" t="s">
        <v>71</v>
      </c>
      <c r="AF13" t="s">
        <v>66</v>
      </c>
      <c r="AG13" t="s">
        <v>162</v>
      </c>
      <c r="AH13" t="s">
        <v>123</v>
      </c>
      <c r="AI13">
        <v>442703</v>
      </c>
      <c r="AJ13" t="s">
        <v>74</v>
      </c>
      <c r="AK13" t="s">
        <v>75</v>
      </c>
      <c r="AL13">
        <v>62042300</v>
      </c>
      <c r="AM13" s="2">
        <v>45947.007314814815</v>
      </c>
      <c r="AN13">
        <v>3200</v>
      </c>
      <c r="AO13" t="s">
        <v>66</v>
      </c>
      <c r="AP13" t="s">
        <v>66</v>
      </c>
      <c r="AQ13" t="s">
        <v>66</v>
      </c>
      <c r="AR13" t="s">
        <v>71</v>
      </c>
      <c r="AS13">
        <v>18</v>
      </c>
      <c r="AT13">
        <v>9</v>
      </c>
      <c r="AU13">
        <v>9</v>
      </c>
      <c r="AV13">
        <v>0</v>
      </c>
      <c r="AW13">
        <v>488.13600000000002</v>
      </c>
      <c r="AX13">
        <v>244.06800000000001</v>
      </c>
      <c r="AY13">
        <v>244.06800000000001</v>
      </c>
      <c r="AZ13">
        <v>0</v>
      </c>
      <c r="BA13" s="2"/>
      <c r="BC13" s="2">
        <v>45949.5</v>
      </c>
      <c r="BD13" s="1">
        <f>MarketPlace_Order_Report__2[[#This Row],[UnitPrice]]*MarketPlace_Order_Report__2[[#This Row],[OrderQty]]</f>
        <v>3200</v>
      </c>
      <c r="BE13" s="1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BF13" s="1">
        <f>MarketPlace_Order_Report__2[[#This Row],[Gross Amount (Before Tax)]]+MarketPlace_Order_Report__2[[#This Row],[Total GST Amount]]</f>
        <v>3688.136</v>
      </c>
    </row>
    <row r="14" spans="1:58">
      <c r="A14" t="s">
        <v>163</v>
      </c>
      <c r="B14" t="s">
        <v>164</v>
      </c>
      <c r="C14" t="s">
        <v>165</v>
      </c>
      <c r="D14" t="s">
        <v>166</v>
      </c>
      <c r="E14">
        <v>1</v>
      </c>
      <c r="F14" t="s">
        <v>1806</v>
      </c>
      <c r="G14">
        <v>1</v>
      </c>
      <c r="H14">
        <v>1</v>
      </c>
      <c r="I14">
        <v>4000</v>
      </c>
      <c r="J14">
        <v>3200</v>
      </c>
      <c r="K14">
        <v>0</v>
      </c>
      <c r="L14">
        <v>3229</v>
      </c>
      <c r="M14">
        <v>29</v>
      </c>
      <c r="N14" t="s">
        <v>63</v>
      </c>
      <c r="O14" s="2">
        <v>45937.406863425924</v>
      </c>
      <c r="P14" s="2">
        <v>45938.717789351853</v>
      </c>
      <c r="Q14" s="2">
        <v>45945.501793981479</v>
      </c>
      <c r="R14" t="s">
        <v>167</v>
      </c>
      <c r="S14" t="s">
        <v>65</v>
      </c>
      <c r="T14" s="2">
        <v>45937.717673611114</v>
      </c>
      <c r="U14" t="s">
        <v>66</v>
      </c>
      <c r="V14" t="s">
        <v>67</v>
      </c>
      <c r="W14" t="s">
        <v>66</v>
      </c>
      <c r="X14" t="s">
        <v>66</v>
      </c>
      <c r="Y14" t="s">
        <v>66</v>
      </c>
      <c r="Z14" t="s">
        <v>66</v>
      </c>
      <c r="AA14" t="s">
        <v>66</v>
      </c>
      <c r="AB14" t="s">
        <v>66</v>
      </c>
      <c r="AC14" t="s">
        <v>66</v>
      </c>
      <c r="AD14" s="2">
        <v>45945.504328703704</v>
      </c>
      <c r="AE14" t="s">
        <v>71</v>
      </c>
      <c r="AF14" t="s">
        <v>66</v>
      </c>
      <c r="AG14" t="s">
        <v>168</v>
      </c>
      <c r="AH14" t="s">
        <v>169</v>
      </c>
      <c r="AI14">
        <v>801106</v>
      </c>
      <c r="AJ14" t="s">
        <v>74</v>
      </c>
      <c r="AK14" t="s">
        <v>75</v>
      </c>
      <c r="AL14">
        <v>62042300</v>
      </c>
      <c r="AM14" s="2"/>
      <c r="AN14">
        <v>3200</v>
      </c>
      <c r="AO14" t="s">
        <v>170</v>
      </c>
      <c r="AP14" t="s">
        <v>93</v>
      </c>
      <c r="AQ14" t="s">
        <v>66</v>
      </c>
      <c r="AR14" t="s">
        <v>71</v>
      </c>
      <c r="AS14">
        <v>18</v>
      </c>
      <c r="AT14">
        <v>0</v>
      </c>
      <c r="AU14">
        <v>0</v>
      </c>
      <c r="AV14">
        <v>18</v>
      </c>
      <c r="AW14">
        <v>488.13600000000002</v>
      </c>
      <c r="AX14">
        <v>0</v>
      </c>
      <c r="AY14">
        <v>0</v>
      </c>
      <c r="AZ14">
        <v>488.13600000000002</v>
      </c>
      <c r="BA14" s="2"/>
      <c r="BB14">
        <v>0.85</v>
      </c>
      <c r="BC14" s="2">
        <v>45939.5</v>
      </c>
      <c r="BD14" s="1">
        <f>MarketPlace_Order_Report__2[[#This Row],[UnitPrice]]*MarketPlace_Order_Report__2[[#This Row],[OrderQty]]</f>
        <v>3200</v>
      </c>
      <c r="BE14" s="1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BF14" s="1">
        <f>MarketPlace_Order_Report__2[[#This Row],[Gross Amount (Before Tax)]]+MarketPlace_Order_Report__2[[#This Row],[Total GST Amount]]</f>
        <v>3688.136</v>
      </c>
    </row>
    <row r="15" spans="1:58">
      <c r="A15" t="s">
        <v>171</v>
      </c>
      <c r="B15" t="s">
        <v>172</v>
      </c>
      <c r="C15" t="s">
        <v>165</v>
      </c>
      <c r="D15" t="s">
        <v>166</v>
      </c>
      <c r="E15">
        <v>2</v>
      </c>
      <c r="F15" t="s">
        <v>62</v>
      </c>
      <c r="G15">
        <v>1</v>
      </c>
      <c r="H15">
        <v>1</v>
      </c>
      <c r="I15">
        <v>4000</v>
      </c>
      <c r="J15">
        <v>3200</v>
      </c>
      <c r="K15">
        <v>0</v>
      </c>
      <c r="L15">
        <v>3222.26</v>
      </c>
      <c r="M15">
        <v>22.26</v>
      </c>
      <c r="N15" t="s">
        <v>63</v>
      </c>
      <c r="O15" s="2">
        <v>45937.043726851851</v>
      </c>
      <c r="P15" s="2">
        <v>45938.717349537037</v>
      </c>
      <c r="Q15" s="2">
        <v>45942.620752314811</v>
      </c>
      <c r="R15" t="s">
        <v>173</v>
      </c>
      <c r="S15" t="s">
        <v>161</v>
      </c>
      <c r="T15" s="2">
        <v>45937.716180555559</v>
      </c>
      <c r="U15" t="s">
        <v>66</v>
      </c>
      <c r="V15" t="s">
        <v>67</v>
      </c>
      <c r="W15" t="s">
        <v>66</v>
      </c>
      <c r="X15" t="s">
        <v>66</v>
      </c>
      <c r="Y15" t="s">
        <v>174</v>
      </c>
      <c r="Z15" t="s">
        <v>69</v>
      </c>
      <c r="AA15" t="s">
        <v>175</v>
      </c>
      <c r="AB15" t="s">
        <v>66</v>
      </c>
      <c r="AC15" t="s">
        <v>66</v>
      </c>
      <c r="AD15" s="2">
        <v>45957.622395833336</v>
      </c>
      <c r="AE15" t="s">
        <v>71</v>
      </c>
      <c r="AF15" t="s">
        <v>66</v>
      </c>
      <c r="AG15" t="s">
        <v>176</v>
      </c>
      <c r="AH15" t="s">
        <v>177</v>
      </c>
      <c r="AI15">
        <v>495001</v>
      </c>
      <c r="AJ15" t="s">
        <v>74</v>
      </c>
      <c r="AK15" t="s">
        <v>75</v>
      </c>
      <c r="AL15">
        <v>62042300</v>
      </c>
      <c r="AM15" s="2"/>
      <c r="AN15">
        <v>3200</v>
      </c>
      <c r="AO15" t="s">
        <v>178</v>
      </c>
      <c r="AP15" t="s">
        <v>179</v>
      </c>
      <c r="AQ15" t="s">
        <v>66</v>
      </c>
      <c r="AR15" t="s">
        <v>71</v>
      </c>
      <c r="AS15">
        <v>18</v>
      </c>
      <c r="AT15">
        <v>0</v>
      </c>
      <c r="AU15">
        <v>0</v>
      </c>
      <c r="AV15">
        <v>18</v>
      </c>
      <c r="AW15">
        <v>488.13600000000002</v>
      </c>
      <c r="AX15">
        <v>0</v>
      </c>
      <c r="AY15">
        <v>0</v>
      </c>
      <c r="AZ15">
        <v>488.13600000000002</v>
      </c>
      <c r="BA15" s="2"/>
      <c r="BB15">
        <v>0.85</v>
      </c>
      <c r="BC15" s="2">
        <v>45939.5</v>
      </c>
      <c r="BD15" s="1">
        <f>MarketPlace_Order_Report__2[[#This Row],[UnitPrice]]*MarketPlace_Order_Report__2[[#This Row],[OrderQty]]</f>
        <v>3200</v>
      </c>
      <c r="BE15" s="1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BF15" s="1">
        <f>MarketPlace_Order_Report__2[[#This Row],[Gross Amount (Before Tax)]]+MarketPlace_Order_Report__2[[#This Row],[Total GST Amount]]</f>
        <v>3688.136</v>
      </c>
    </row>
    <row r="16" spans="1:58">
      <c r="A16" t="s">
        <v>180</v>
      </c>
      <c r="B16" t="s">
        <v>181</v>
      </c>
      <c r="C16" t="s">
        <v>182</v>
      </c>
      <c r="D16" t="s">
        <v>183</v>
      </c>
      <c r="E16">
        <v>1</v>
      </c>
      <c r="F16" t="s">
        <v>1806</v>
      </c>
      <c r="G16">
        <v>1</v>
      </c>
      <c r="H16">
        <v>1</v>
      </c>
      <c r="I16">
        <v>2000</v>
      </c>
      <c r="J16">
        <v>1000</v>
      </c>
      <c r="K16">
        <v>0</v>
      </c>
      <c r="L16">
        <v>1009.3</v>
      </c>
      <c r="M16">
        <v>9.3000000000000007</v>
      </c>
      <c r="N16" t="s">
        <v>63</v>
      </c>
      <c r="O16" s="2">
        <v>45940.790972222225</v>
      </c>
      <c r="P16" s="2">
        <v>45941.748726851853</v>
      </c>
      <c r="Q16" s="2">
        <v>45944.852847222224</v>
      </c>
      <c r="R16" t="s">
        <v>184</v>
      </c>
      <c r="S16" t="s">
        <v>65</v>
      </c>
      <c r="T16" s="2">
        <v>45940.816203703704</v>
      </c>
      <c r="U16" t="s">
        <v>66</v>
      </c>
      <c r="V16" t="s">
        <v>67</v>
      </c>
      <c r="W16" t="s">
        <v>66</v>
      </c>
      <c r="X16" t="s">
        <v>66</v>
      </c>
      <c r="Y16" t="s">
        <v>66</v>
      </c>
      <c r="Z16" t="s">
        <v>66</v>
      </c>
      <c r="AA16" t="s">
        <v>66</v>
      </c>
      <c r="AB16" t="s">
        <v>66</v>
      </c>
      <c r="AC16" t="s">
        <v>66</v>
      </c>
      <c r="AD16" s="2">
        <v>45944.855011574073</v>
      </c>
      <c r="AE16" t="s">
        <v>71</v>
      </c>
      <c r="AF16" t="s">
        <v>66</v>
      </c>
      <c r="AG16" t="s">
        <v>185</v>
      </c>
      <c r="AH16" t="s">
        <v>139</v>
      </c>
      <c r="AI16">
        <v>201307</v>
      </c>
      <c r="AJ16" t="s">
        <v>74</v>
      </c>
      <c r="AK16" t="s">
        <v>75</v>
      </c>
      <c r="AL16">
        <v>62044220</v>
      </c>
      <c r="AM16" s="2"/>
      <c r="AN16">
        <v>1000</v>
      </c>
      <c r="AO16" t="s">
        <v>186</v>
      </c>
      <c r="AP16" t="s">
        <v>187</v>
      </c>
      <c r="AQ16" t="s">
        <v>66</v>
      </c>
      <c r="AR16" t="s">
        <v>71</v>
      </c>
      <c r="AS16">
        <v>5</v>
      </c>
      <c r="AT16">
        <v>0</v>
      </c>
      <c r="AU16">
        <v>0</v>
      </c>
      <c r="AV16">
        <v>5</v>
      </c>
      <c r="AW16">
        <v>47.619</v>
      </c>
      <c r="AX16">
        <v>0</v>
      </c>
      <c r="AY16">
        <v>0</v>
      </c>
      <c r="AZ16">
        <v>47.619</v>
      </c>
      <c r="BA16" s="2"/>
      <c r="BB16">
        <v>0.7</v>
      </c>
      <c r="BC16" s="2">
        <v>45943.5</v>
      </c>
      <c r="BD16" s="1">
        <f>MarketPlace_Order_Report__2[[#This Row],[UnitPrice]]*MarketPlace_Order_Report__2[[#This Row],[OrderQty]]</f>
        <v>1000</v>
      </c>
      <c r="BE16" s="1">
        <f>IFERROR(MarketPlace_Order_Report__2[[#This Row],[CGSTAmount]]+MarketPlace_Order_Report__2[[#This Row],[SGSTAmount]]+MarketPlace_Order_Report__2[[#This Row],[IGSTAmount]],MarketPlace_Order_Report__2[[#This Row],[TaxAmount]])</f>
        <v>47.619</v>
      </c>
      <c r="BF16" s="1">
        <f>MarketPlace_Order_Report__2[[#This Row],[Gross Amount (Before Tax)]]+MarketPlace_Order_Report__2[[#This Row],[Total GST Amount]]</f>
        <v>1047.6189999999999</v>
      </c>
    </row>
    <row r="17" spans="1:58">
      <c r="A17" t="s">
        <v>188</v>
      </c>
      <c r="B17" t="s">
        <v>189</v>
      </c>
      <c r="C17" t="s">
        <v>190</v>
      </c>
      <c r="D17" t="s">
        <v>191</v>
      </c>
      <c r="E17">
        <v>4</v>
      </c>
      <c r="F17" t="s">
        <v>1806</v>
      </c>
      <c r="G17">
        <v>1</v>
      </c>
      <c r="H17">
        <v>1</v>
      </c>
      <c r="I17">
        <v>2000</v>
      </c>
      <c r="J17">
        <v>1000</v>
      </c>
      <c r="K17">
        <v>0</v>
      </c>
      <c r="L17">
        <v>1007.34</v>
      </c>
      <c r="M17">
        <v>7.34</v>
      </c>
      <c r="N17" t="s">
        <v>63</v>
      </c>
      <c r="O17" s="2">
        <v>45944.328645833331</v>
      </c>
      <c r="P17" s="2">
        <v>45945.759166666663</v>
      </c>
      <c r="Q17" s="2">
        <v>45949.615243055552</v>
      </c>
      <c r="R17" t="s">
        <v>192</v>
      </c>
      <c r="S17" t="s">
        <v>161</v>
      </c>
      <c r="T17" s="2">
        <v>45944.808067129627</v>
      </c>
      <c r="U17" t="s">
        <v>66</v>
      </c>
      <c r="V17" t="s">
        <v>67</v>
      </c>
      <c r="W17" t="s">
        <v>66</v>
      </c>
      <c r="X17" t="s">
        <v>66</v>
      </c>
      <c r="Y17" t="s">
        <v>66</v>
      </c>
      <c r="Z17" t="s">
        <v>66</v>
      </c>
      <c r="AA17" t="s">
        <v>66</v>
      </c>
      <c r="AB17" t="s">
        <v>66</v>
      </c>
      <c r="AC17" t="s">
        <v>66</v>
      </c>
      <c r="AD17" s="2">
        <v>45949.615416666667</v>
      </c>
      <c r="AE17" t="s">
        <v>71</v>
      </c>
      <c r="AF17" t="s">
        <v>66</v>
      </c>
      <c r="AG17" t="s">
        <v>193</v>
      </c>
      <c r="AH17" t="s">
        <v>194</v>
      </c>
      <c r="AI17">
        <v>390010</v>
      </c>
      <c r="AJ17" t="s">
        <v>74</v>
      </c>
      <c r="AK17" t="s">
        <v>75</v>
      </c>
      <c r="AL17">
        <v>62044220</v>
      </c>
      <c r="AM17" s="2"/>
      <c r="AN17">
        <v>1000</v>
      </c>
      <c r="AO17" t="s">
        <v>195</v>
      </c>
      <c r="AP17" t="s">
        <v>132</v>
      </c>
      <c r="AQ17" t="s">
        <v>66</v>
      </c>
      <c r="AR17" t="s">
        <v>71</v>
      </c>
      <c r="AS17">
        <v>5</v>
      </c>
      <c r="AT17">
        <v>0</v>
      </c>
      <c r="AU17">
        <v>0</v>
      </c>
      <c r="AV17">
        <v>5</v>
      </c>
      <c r="AW17">
        <v>47.619</v>
      </c>
      <c r="AX17">
        <v>0</v>
      </c>
      <c r="AY17">
        <v>0</v>
      </c>
      <c r="AZ17">
        <v>47.619</v>
      </c>
      <c r="BA17" s="2"/>
      <c r="BB17">
        <v>0.7</v>
      </c>
      <c r="BC17" s="2">
        <v>45946.5</v>
      </c>
      <c r="BD17" s="1">
        <f>MarketPlace_Order_Report__2[[#This Row],[UnitPrice]]*MarketPlace_Order_Report__2[[#This Row],[OrderQty]]</f>
        <v>1000</v>
      </c>
      <c r="BE17" s="1">
        <f>IFERROR(MarketPlace_Order_Report__2[[#This Row],[CGSTAmount]]+MarketPlace_Order_Report__2[[#This Row],[SGSTAmount]]+MarketPlace_Order_Report__2[[#This Row],[IGSTAmount]],MarketPlace_Order_Report__2[[#This Row],[TaxAmount]])</f>
        <v>47.619</v>
      </c>
      <c r="BF17" s="1">
        <f>MarketPlace_Order_Report__2[[#This Row],[Gross Amount (Before Tax)]]+MarketPlace_Order_Report__2[[#This Row],[Total GST Amount]]</f>
        <v>1047.6189999999999</v>
      </c>
    </row>
    <row r="18" spans="1:58">
      <c r="A18" t="s">
        <v>196</v>
      </c>
      <c r="B18" t="s">
        <v>197</v>
      </c>
      <c r="C18" t="s">
        <v>198</v>
      </c>
      <c r="D18" t="s">
        <v>199</v>
      </c>
      <c r="E18">
        <v>2</v>
      </c>
      <c r="F18" t="s">
        <v>1806</v>
      </c>
      <c r="G18">
        <v>1</v>
      </c>
      <c r="H18">
        <v>1</v>
      </c>
      <c r="I18">
        <v>2000</v>
      </c>
      <c r="J18">
        <v>1000</v>
      </c>
      <c r="K18">
        <v>0</v>
      </c>
      <c r="L18">
        <v>1000</v>
      </c>
      <c r="M18">
        <v>0</v>
      </c>
      <c r="N18" t="s">
        <v>63</v>
      </c>
      <c r="O18" s="2">
        <v>45947.493831018517</v>
      </c>
      <c r="P18" s="2">
        <v>45948.802083333336</v>
      </c>
      <c r="Q18" s="2">
        <v>45950.546527777777</v>
      </c>
      <c r="R18" t="s">
        <v>200</v>
      </c>
      <c r="S18" t="s">
        <v>155</v>
      </c>
      <c r="T18" s="2">
        <v>45947.78429398148</v>
      </c>
      <c r="U18" t="s">
        <v>66</v>
      </c>
      <c r="V18" t="s">
        <v>67</v>
      </c>
      <c r="W18" t="s">
        <v>66</v>
      </c>
      <c r="X18" t="s">
        <v>66</v>
      </c>
      <c r="Y18" t="s">
        <v>66</v>
      </c>
      <c r="Z18" t="s">
        <v>66</v>
      </c>
      <c r="AA18" t="s">
        <v>66</v>
      </c>
      <c r="AB18" t="s">
        <v>66</v>
      </c>
      <c r="AC18" t="s">
        <v>66</v>
      </c>
      <c r="AD18" s="2">
        <v>45950.688194444447</v>
      </c>
      <c r="AE18" t="s">
        <v>71</v>
      </c>
      <c r="AF18" t="s">
        <v>66</v>
      </c>
      <c r="AG18" t="s">
        <v>201</v>
      </c>
      <c r="AH18" t="s">
        <v>123</v>
      </c>
      <c r="AI18">
        <v>400703</v>
      </c>
      <c r="AJ18" t="s">
        <v>74</v>
      </c>
      <c r="AK18" t="s">
        <v>75</v>
      </c>
      <c r="AL18">
        <v>62044220</v>
      </c>
      <c r="AM18" s="2"/>
      <c r="AN18">
        <v>1000</v>
      </c>
      <c r="AO18" t="s">
        <v>202</v>
      </c>
      <c r="AP18" t="s">
        <v>66</v>
      </c>
      <c r="AQ18" t="s">
        <v>66</v>
      </c>
      <c r="AR18" t="s">
        <v>71</v>
      </c>
      <c r="AS18">
        <v>5</v>
      </c>
      <c r="AT18">
        <v>2.5</v>
      </c>
      <c r="AU18">
        <v>2.5</v>
      </c>
      <c r="AV18">
        <v>0</v>
      </c>
      <c r="AW18">
        <v>47.619</v>
      </c>
      <c r="AX18">
        <v>23.81</v>
      </c>
      <c r="AY18">
        <v>23.81</v>
      </c>
      <c r="AZ18">
        <v>0</v>
      </c>
      <c r="BA18" s="2"/>
      <c r="BB18">
        <v>0.7</v>
      </c>
      <c r="BC18" s="2">
        <v>45949.5</v>
      </c>
      <c r="BD18" s="1">
        <f>MarketPlace_Order_Report__2[[#This Row],[UnitPrice]]*MarketPlace_Order_Report__2[[#This Row],[OrderQty]]</f>
        <v>1000</v>
      </c>
      <c r="BE18" s="1">
        <f>IFERROR(MarketPlace_Order_Report__2[[#This Row],[CGSTAmount]]+MarketPlace_Order_Report__2[[#This Row],[SGSTAmount]]+MarketPlace_Order_Report__2[[#This Row],[IGSTAmount]],MarketPlace_Order_Report__2[[#This Row],[TaxAmount]])</f>
        <v>47.62</v>
      </c>
      <c r="BF18" s="1">
        <f>MarketPlace_Order_Report__2[[#This Row],[Gross Amount (Before Tax)]]+MarketPlace_Order_Report__2[[#This Row],[Total GST Amount]]</f>
        <v>1047.6199999999999</v>
      </c>
    </row>
    <row r="19" spans="1:58">
      <c r="A19" t="s">
        <v>203</v>
      </c>
      <c r="B19" t="s">
        <v>204</v>
      </c>
      <c r="C19" t="s">
        <v>198</v>
      </c>
      <c r="D19" t="s">
        <v>199</v>
      </c>
      <c r="E19">
        <v>5</v>
      </c>
      <c r="F19" t="s">
        <v>1806</v>
      </c>
      <c r="G19">
        <v>1</v>
      </c>
      <c r="H19">
        <v>1</v>
      </c>
      <c r="I19">
        <v>2000</v>
      </c>
      <c r="J19">
        <v>1000</v>
      </c>
      <c r="K19">
        <v>0</v>
      </c>
      <c r="L19">
        <v>1009.59</v>
      </c>
      <c r="M19">
        <v>9.59</v>
      </c>
      <c r="N19" t="s">
        <v>99</v>
      </c>
      <c r="O19" s="2">
        <v>45942.611145833333</v>
      </c>
      <c r="P19" s="2">
        <v>45943.779166666667</v>
      </c>
      <c r="Q19" s="2">
        <v>45953.662499999999</v>
      </c>
      <c r="R19" t="s">
        <v>205</v>
      </c>
      <c r="S19" t="s">
        <v>146</v>
      </c>
      <c r="T19" s="2">
        <v>45942.661412037036</v>
      </c>
      <c r="U19" t="s">
        <v>66</v>
      </c>
      <c r="V19" t="s">
        <v>67</v>
      </c>
      <c r="W19" t="s">
        <v>66</v>
      </c>
      <c r="X19" t="s">
        <v>66</v>
      </c>
      <c r="Y19" t="s">
        <v>66</v>
      </c>
      <c r="Z19" t="s">
        <v>66</v>
      </c>
      <c r="AA19" t="s">
        <v>66</v>
      </c>
      <c r="AB19" t="s">
        <v>66</v>
      </c>
      <c r="AC19" t="s">
        <v>66</v>
      </c>
      <c r="AD19" s="2">
        <v>45953.671030092592</v>
      </c>
      <c r="AE19" t="s">
        <v>71</v>
      </c>
      <c r="AF19" t="s">
        <v>66</v>
      </c>
      <c r="AG19" t="s">
        <v>148</v>
      </c>
      <c r="AH19" t="s">
        <v>149</v>
      </c>
      <c r="AI19">
        <v>500001</v>
      </c>
      <c r="AJ19" t="s">
        <v>74</v>
      </c>
      <c r="AK19" t="s">
        <v>75</v>
      </c>
      <c r="AL19">
        <v>62044220</v>
      </c>
      <c r="AM19" s="2"/>
      <c r="AN19">
        <v>1000</v>
      </c>
      <c r="AO19" t="s">
        <v>206</v>
      </c>
      <c r="AP19" t="s">
        <v>66</v>
      </c>
      <c r="AQ19" t="s">
        <v>66</v>
      </c>
      <c r="AR19" t="s">
        <v>71</v>
      </c>
      <c r="AS19">
        <v>5</v>
      </c>
      <c r="AT19">
        <v>0</v>
      </c>
      <c r="AU19">
        <v>0</v>
      </c>
      <c r="AV19">
        <v>5</v>
      </c>
      <c r="AW19">
        <v>47.619</v>
      </c>
      <c r="AX19">
        <v>0</v>
      </c>
      <c r="AY19">
        <v>0</v>
      </c>
      <c r="AZ19">
        <v>47.619</v>
      </c>
      <c r="BA19" s="2"/>
      <c r="BB19">
        <v>0.7</v>
      </c>
      <c r="BC19" s="2">
        <v>45945.5</v>
      </c>
      <c r="BD19" s="1">
        <f>MarketPlace_Order_Report__2[[#This Row],[UnitPrice]]*MarketPlace_Order_Report__2[[#This Row],[OrderQty]]</f>
        <v>1000</v>
      </c>
      <c r="BE19" s="1">
        <f>IFERROR(MarketPlace_Order_Report__2[[#This Row],[CGSTAmount]]+MarketPlace_Order_Report__2[[#This Row],[SGSTAmount]]+MarketPlace_Order_Report__2[[#This Row],[IGSTAmount]],MarketPlace_Order_Report__2[[#This Row],[TaxAmount]])</f>
        <v>47.619</v>
      </c>
      <c r="BF19" s="1">
        <f>MarketPlace_Order_Report__2[[#This Row],[Gross Amount (Before Tax)]]+MarketPlace_Order_Report__2[[#This Row],[Total GST Amount]]</f>
        <v>1047.6189999999999</v>
      </c>
    </row>
    <row r="20" spans="1:58">
      <c r="A20" t="s">
        <v>207</v>
      </c>
      <c r="B20" t="s">
        <v>208</v>
      </c>
      <c r="C20" t="s">
        <v>198</v>
      </c>
      <c r="D20" t="s">
        <v>199</v>
      </c>
      <c r="E20">
        <v>2</v>
      </c>
      <c r="F20" t="s">
        <v>145</v>
      </c>
      <c r="G20">
        <v>1</v>
      </c>
      <c r="H20">
        <v>0</v>
      </c>
      <c r="I20">
        <v>2000</v>
      </c>
      <c r="J20">
        <v>1000</v>
      </c>
      <c r="K20">
        <v>0</v>
      </c>
      <c r="L20">
        <v>1003.92</v>
      </c>
      <c r="M20">
        <v>3.92</v>
      </c>
      <c r="N20" t="s">
        <v>99</v>
      </c>
      <c r="O20" s="2">
        <v>45942.417384259257</v>
      </c>
      <c r="P20" s="2"/>
      <c r="Q20" s="2"/>
      <c r="R20" t="s">
        <v>66</v>
      </c>
      <c r="S20" t="s">
        <v>146</v>
      </c>
      <c r="T20" s="2"/>
      <c r="U20" t="s">
        <v>209</v>
      </c>
      <c r="V20" t="s">
        <v>67</v>
      </c>
      <c r="W20" t="s">
        <v>66</v>
      </c>
      <c r="X20" t="s">
        <v>66</v>
      </c>
      <c r="Y20" t="s">
        <v>66</v>
      </c>
      <c r="Z20" t="s">
        <v>66</v>
      </c>
      <c r="AA20" t="s">
        <v>66</v>
      </c>
      <c r="AB20" t="s">
        <v>66</v>
      </c>
      <c r="AC20" t="s">
        <v>66</v>
      </c>
      <c r="AD20" s="2">
        <v>45942.535219907404</v>
      </c>
      <c r="AE20" t="s">
        <v>71</v>
      </c>
      <c r="AF20" t="s">
        <v>66</v>
      </c>
      <c r="AG20" t="s">
        <v>148</v>
      </c>
      <c r="AH20" t="s">
        <v>149</v>
      </c>
      <c r="AI20">
        <v>500001</v>
      </c>
      <c r="AJ20" t="s">
        <v>74</v>
      </c>
      <c r="AK20" t="s">
        <v>75</v>
      </c>
      <c r="AL20">
        <v>62044220</v>
      </c>
      <c r="AM20" s="2">
        <v>45942.535219907404</v>
      </c>
      <c r="AN20">
        <v>1000</v>
      </c>
      <c r="AO20" t="s">
        <v>66</v>
      </c>
      <c r="AP20" t="s">
        <v>66</v>
      </c>
      <c r="AQ20" t="s">
        <v>66</v>
      </c>
      <c r="AR20" t="s">
        <v>71</v>
      </c>
      <c r="AS20">
        <v>5</v>
      </c>
      <c r="AT20">
        <v>0</v>
      </c>
      <c r="AU20">
        <v>0</v>
      </c>
      <c r="AV20">
        <v>5</v>
      </c>
      <c r="AW20">
        <v>47.619</v>
      </c>
      <c r="AX20">
        <v>0</v>
      </c>
      <c r="AY20">
        <v>0</v>
      </c>
      <c r="AZ20">
        <v>47.619</v>
      </c>
      <c r="BA20" s="2"/>
      <c r="BC20" s="2">
        <v>45944.5</v>
      </c>
      <c r="BD20" s="1">
        <f>MarketPlace_Order_Report__2[[#This Row],[UnitPrice]]*MarketPlace_Order_Report__2[[#This Row],[OrderQty]]</f>
        <v>1000</v>
      </c>
      <c r="BE20" s="1">
        <f>IFERROR(MarketPlace_Order_Report__2[[#This Row],[CGSTAmount]]+MarketPlace_Order_Report__2[[#This Row],[SGSTAmount]]+MarketPlace_Order_Report__2[[#This Row],[IGSTAmount]],MarketPlace_Order_Report__2[[#This Row],[TaxAmount]])</f>
        <v>47.619</v>
      </c>
      <c r="BF20" s="1">
        <f>MarketPlace_Order_Report__2[[#This Row],[Gross Amount (Before Tax)]]+MarketPlace_Order_Report__2[[#This Row],[Total GST Amount]]</f>
        <v>1047.6189999999999</v>
      </c>
    </row>
    <row r="21" spans="1:58">
      <c r="A21" t="s">
        <v>210</v>
      </c>
      <c r="B21" t="s">
        <v>211</v>
      </c>
      <c r="C21" t="s">
        <v>212</v>
      </c>
      <c r="D21" t="s">
        <v>213</v>
      </c>
      <c r="E21">
        <v>2</v>
      </c>
      <c r="F21" t="s">
        <v>1806</v>
      </c>
      <c r="G21">
        <v>1</v>
      </c>
      <c r="H21">
        <v>1</v>
      </c>
      <c r="I21">
        <v>2000</v>
      </c>
      <c r="J21">
        <v>1000</v>
      </c>
      <c r="K21">
        <v>0</v>
      </c>
      <c r="L21">
        <v>1000</v>
      </c>
      <c r="M21">
        <v>0</v>
      </c>
      <c r="N21" t="s">
        <v>63</v>
      </c>
      <c r="O21" s="2">
        <v>45937.664293981485</v>
      </c>
      <c r="P21" s="2">
        <v>45938.718495370369</v>
      </c>
      <c r="Q21" s="2">
        <v>45939.632476851853</v>
      </c>
      <c r="R21" t="s">
        <v>214</v>
      </c>
      <c r="S21" t="s">
        <v>161</v>
      </c>
      <c r="T21" s="2">
        <v>45937.717673611114</v>
      </c>
      <c r="U21" t="s">
        <v>66</v>
      </c>
      <c r="V21" t="s">
        <v>67</v>
      </c>
      <c r="W21" t="s">
        <v>66</v>
      </c>
      <c r="X21" t="s">
        <v>66</v>
      </c>
      <c r="Y21" t="s">
        <v>66</v>
      </c>
      <c r="Z21" t="s">
        <v>66</v>
      </c>
      <c r="AA21" t="s">
        <v>66</v>
      </c>
      <c r="AB21" t="s">
        <v>66</v>
      </c>
      <c r="AC21" t="s">
        <v>66</v>
      </c>
      <c r="AD21" s="2">
        <v>45939.63621527778</v>
      </c>
      <c r="AE21" t="s">
        <v>71</v>
      </c>
      <c r="AF21" t="s">
        <v>66</v>
      </c>
      <c r="AG21" t="s">
        <v>215</v>
      </c>
      <c r="AH21" t="s">
        <v>123</v>
      </c>
      <c r="AI21">
        <v>400607</v>
      </c>
      <c r="AJ21" t="s">
        <v>74</v>
      </c>
      <c r="AK21" t="s">
        <v>75</v>
      </c>
      <c r="AL21">
        <v>62044220</v>
      </c>
      <c r="AM21" s="2"/>
      <c r="AN21">
        <v>1000</v>
      </c>
      <c r="AO21" t="s">
        <v>216</v>
      </c>
      <c r="AP21" t="s">
        <v>77</v>
      </c>
      <c r="AQ21" t="s">
        <v>66</v>
      </c>
      <c r="AR21" t="s">
        <v>71</v>
      </c>
      <c r="AS21">
        <v>5</v>
      </c>
      <c r="AT21">
        <v>2.5</v>
      </c>
      <c r="AU21">
        <v>2.5</v>
      </c>
      <c r="AV21">
        <v>0</v>
      </c>
      <c r="AW21">
        <v>47.619</v>
      </c>
      <c r="AX21">
        <v>23.81</v>
      </c>
      <c r="AY21">
        <v>23.81</v>
      </c>
      <c r="AZ21">
        <v>0</v>
      </c>
      <c r="BA21" s="2"/>
      <c r="BB21">
        <v>0.7</v>
      </c>
      <c r="BC21" s="2">
        <v>45940.5</v>
      </c>
      <c r="BD21" s="1">
        <f>MarketPlace_Order_Report__2[[#This Row],[UnitPrice]]*MarketPlace_Order_Report__2[[#This Row],[OrderQty]]</f>
        <v>1000</v>
      </c>
      <c r="BE21" s="1">
        <f>IFERROR(MarketPlace_Order_Report__2[[#This Row],[CGSTAmount]]+MarketPlace_Order_Report__2[[#This Row],[SGSTAmount]]+MarketPlace_Order_Report__2[[#This Row],[IGSTAmount]],MarketPlace_Order_Report__2[[#This Row],[TaxAmount]])</f>
        <v>47.62</v>
      </c>
      <c r="BF21" s="1">
        <f>MarketPlace_Order_Report__2[[#This Row],[Gross Amount (Before Tax)]]+MarketPlace_Order_Report__2[[#This Row],[Total GST Amount]]</f>
        <v>1047.6199999999999</v>
      </c>
    </row>
    <row r="22" spans="1:58">
      <c r="A22" t="s">
        <v>217</v>
      </c>
      <c r="B22" t="s">
        <v>218</v>
      </c>
      <c r="C22" t="s">
        <v>219</v>
      </c>
      <c r="D22" t="s">
        <v>220</v>
      </c>
      <c r="E22">
        <v>1</v>
      </c>
      <c r="F22" t="s">
        <v>1806</v>
      </c>
      <c r="G22">
        <v>1</v>
      </c>
      <c r="H22">
        <v>1</v>
      </c>
      <c r="I22">
        <v>5000</v>
      </c>
      <c r="J22">
        <v>3500</v>
      </c>
      <c r="K22">
        <v>0</v>
      </c>
      <c r="L22">
        <v>3549</v>
      </c>
      <c r="M22">
        <v>49</v>
      </c>
      <c r="N22" t="s">
        <v>99</v>
      </c>
      <c r="O22" s="2">
        <v>45931.737245370372</v>
      </c>
      <c r="P22" s="2">
        <v>45933.728148148148</v>
      </c>
      <c r="Q22" s="2">
        <v>45937.49015046296</v>
      </c>
      <c r="R22" t="s">
        <v>221</v>
      </c>
      <c r="S22" t="s">
        <v>65</v>
      </c>
      <c r="T22" s="2">
        <v>45931.814814814818</v>
      </c>
      <c r="U22" t="s">
        <v>66</v>
      </c>
      <c r="V22" t="s">
        <v>67</v>
      </c>
      <c r="W22" t="s">
        <v>66</v>
      </c>
      <c r="X22" t="s">
        <v>66</v>
      </c>
      <c r="Y22" t="s">
        <v>66</v>
      </c>
      <c r="Z22" t="s">
        <v>66</v>
      </c>
      <c r="AA22" t="s">
        <v>66</v>
      </c>
      <c r="AB22" t="s">
        <v>66</v>
      </c>
      <c r="AC22" t="s">
        <v>66</v>
      </c>
      <c r="AD22" s="2">
        <v>45937.500810185185</v>
      </c>
      <c r="AE22" t="s">
        <v>71</v>
      </c>
      <c r="AF22" t="s">
        <v>66</v>
      </c>
      <c r="AG22" t="s">
        <v>222</v>
      </c>
      <c r="AH22" t="s">
        <v>73</v>
      </c>
      <c r="AI22">
        <v>302020</v>
      </c>
      <c r="AJ22" t="s">
        <v>74</v>
      </c>
      <c r="AK22" t="s">
        <v>75</v>
      </c>
      <c r="AL22">
        <v>62042300</v>
      </c>
      <c r="AM22" s="2"/>
      <c r="AN22">
        <v>3500</v>
      </c>
      <c r="AO22" t="s">
        <v>223</v>
      </c>
      <c r="AP22" t="s">
        <v>66</v>
      </c>
      <c r="AQ22" t="s">
        <v>66</v>
      </c>
      <c r="AR22" t="s">
        <v>71</v>
      </c>
      <c r="AS22">
        <v>18</v>
      </c>
      <c r="AT22">
        <v>0</v>
      </c>
      <c r="AU22">
        <v>0</v>
      </c>
      <c r="AV22">
        <v>18</v>
      </c>
      <c r="AW22">
        <v>533.89800000000002</v>
      </c>
      <c r="AX22">
        <v>0</v>
      </c>
      <c r="AY22">
        <v>0</v>
      </c>
      <c r="AZ22">
        <v>533.89800000000002</v>
      </c>
      <c r="BA22" s="2"/>
      <c r="BB22">
        <v>0.75</v>
      </c>
      <c r="BC22" s="2">
        <v>45934.5</v>
      </c>
      <c r="BD22" s="1">
        <f>MarketPlace_Order_Report__2[[#This Row],[UnitPrice]]*MarketPlace_Order_Report__2[[#This Row],[OrderQty]]</f>
        <v>3500</v>
      </c>
      <c r="BE22" s="1">
        <f>IFERROR(MarketPlace_Order_Report__2[[#This Row],[CGSTAmount]]+MarketPlace_Order_Report__2[[#This Row],[SGSTAmount]]+MarketPlace_Order_Report__2[[#This Row],[IGSTAmount]],MarketPlace_Order_Report__2[[#This Row],[TaxAmount]])</f>
        <v>533.89800000000002</v>
      </c>
      <c r="BF22" s="1">
        <f>MarketPlace_Order_Report__2[[#This Row],[Gross Amount (Before Tax)]]+MarketPlace_Order_Report__2[[#This Row],[Total GST Amount]]</f>
        <v>4033.8980000000001</v>
      </c>
    </row>
    <row r="23" spans="1:58">
      <c r="A23" t="s">
        <v>224</v>
      </c>
      <c r="B23" t="s">
        <v>225</v>
      </c>
      <c r="C23" t="s">
        <v>226</v>
      </c>
      <c r="D23" t="s">
        <v>227</v>
      </c>
      <c r="E23">
        <v>2</v>
      </c>
      <c r="F23" t="s">
        <v>228</v>
      </c>
      <c r="G23">
        <v>1</v>
      </c>
      <c r="H23">
        <v>1</v>
      </c>
      <c r="I23">
        <v>2000</v>
      </c>
      <c r="J23">
        <v>1000</v>
      </c>
      <c r="K23">
        <v>0</v>
      </c>
      <c r="L23">
        <v>1059.5</v>
      </c>
      <c r="M23">
        <v>59.5</v>
      </c>
      <c r="N23" t="s">
        <v>99</v>
      </c>
      <c r="O23" s="2">
        <v>45945.413877314815</v>
      </c>
      <c r="P23" s="2">
        <v>45946.732372685183</v>
      </c>
      <c r="Q23" s="2"/>
      <c r="R23" t="s">
        <v>229</v>
      </c>
      <c r="S23" t="s">
        <v>65</v>
      </c>
      <c r="T23" s="2">
        <v>45945.79928240741</v>
      </c>
      <c r="U23" t="s">
        <v>66</v>
      </c>
      <c r="V23" t="s">
        <v>67</v>
      </c>
      <c r="W23" t="s">
        <v>66</v>
      </c>
      <c r="X23" t="s">
        <v>66</v>
      </c>
      <c r="Y23" t="s">
        <v>230</v>
      </c>
      <c r="Z23" t="s">
        <v>231</v>
      </c>
      <c r="AA23" t="s">
        <v>175</v>
      </c>
      <c r="AB23" t="s">
        <v>66</v>
      </c>
      <c r="AC23" t="s">
        <v>66</v>
      </c>
      <c r="AD23" s="2">
        <v>45960.854930555557</v>
      </c>
      <c r="AE23" t="s">
        <v>71</v>
      </c>
      <c r="AF23" t="s">
        <v>66</v>
      </c>
      <c r="AG23" t="s">
        <v>232</v>
      </c>
      <c r="AH23" t="s">
        <v>139</v>
      </c>
      <c r="AI23">
        <v>273016</v>
      </c>
      <c r="AJ23" t="s">
        <v>74</v>
      </c>
      <c r="AK23" t="s">
        <v>75</v>
      </c>
      <c r="AL23">
        <v>62044220</v>
      </c>
      <c r="AM23" s="2"/>
      <c r="AN23">
        <v>1000</v>
      </c>
      <c r="AO23" t="s">
        <v>233</v>
      </c>
      <c r="AP23" t="s">
        <v>66</v>
      </c>
      <c r="AQ23" t="s">
        <v>66</v>
      </c>
      <c r="AR23" t="s">
        <v>71</v>
      </c>
      <c r="AS23">
        <v>5</v>
      </c>
      <c r="AT23">
        <v>0</v>
      </c>
      <c r="AU23">
        <v>0</v>
      </c>
      <c r="AV23">
        <v>5</v>
      </c>
      <c r="AW23">
        <v>47.619</v>
      </c>
      <c r="AX23">
        <v>0</v>
      </c>
      <c r="AY23">
        <v>0</v>
      </c>
      <c r="AZ23">
        <v>47.619</v>
      </c>
      <c r="BA23" s="2"/>
      <c r="BB23">
        <v>0.501</v>
      </c>
      <c r="BC23" s="2">
        <v>45947.5</v>
      </c>
      <c r="BD23" s="1">
        <f>MarketPlace_Order_Report__2[[#This Row],[UnitPrice]]*MarketPlace_Order_Report__2[[#This Row],[OrderQty]]</f>
        <v>1000</v>
      </c>
      <c r="BE23" s="1">
        <f>IFERROR(MarketPlace_Order_Report__2[[#This Row],[CGSTAmount]]+MarketPlace_Order_Report__2[[#This Row],[SGSTAmount]]+MarketPlace_Order_Report__2[[#This Row],[IGSTAmount]],MarketPlace_Order_Report__2[[#This Row],[TaxAmount]])</f>
        <v>47.619</v>
      </c>
      <c r="BF23" s="1">
        <f>MarketPlace_Order_Report__2[[#This Row],[Gross Amount (Before Tax)]]+MarketPlace_Order_Report__2[[#This Row],[Total GST Amount]]</f>
        <v>1047.6189999999999</v>
      </c>
    </row>
    <row r="24" spans="1:58">
      <c r="A24" t="s">
        <v>234</v>
      </c>
      <c r="B24" t="s">
        <v>235</v>
      </c>
      <c r="C24" t="s">
        <v>226</v>
      </c>
      <c r="D24" t="s">
        <v>227</v>
      </c>
      <c r="E24">
        <v>1</v>
      </c>
      <c r="F24" t="s">
        <v>1806</v>
      </c>
      <c r="G24">
        <v>1</v>
      </c>
      <c r="H24">
        <v>1</v>
      </c>
      <c r="I24">
        <v>2000</v>
      </c>
      <c r="J24">
        <v>1000</v>
      </c>
      <c r="K24">
        <v>0</v>
      </c>
      <c r="L24">
        <v>1000</v>
      </c>
      <c r="M24">
        <v>0</v>
      </c>
      <c r="N24" t="s">
        <v>63</v>
      </c>
      <c r="O24" s="2">
        <v>45943.522916666669</v>
      </c>
      <c r="P24" s="2">
        <v>45944.74181712963</v>
      </c>
      <c r="Q24" s="2">
        <v>45949.638460648152</v>
      </c>
      <c r="R24" t="s">
        <v>236</v>
      </c>
      <c r="S24" t="s">
        <v>65</v>
      </c>
      <c r="T24" s="2">
        <v>45943.812974537039</v>
      </c>
      <c r="U24" t="s">
        <v>66</v>
      </c>
      <c r="V24" t="s">
        <v>67</v>
      </c>
      <c r="W24" t="s">
        <v>66</v>
      </c>
      <c r="X24" t="s">
        <v>66</v>
      </c>
      <c r="Y24" t="s">
        <v>66</v>
      </c>
      <c r="Z24" t="s">
        <v>66</v>
      </c>
      <c r="AA24" t="s">
        <v>66</v>
      </c>
      <c r="AB24" t="s">
        <v>66</v>
      </c>
      <c r="AC24" t="s">
        <v>66</v>
      </c>
      <c r="AD24" s="2">
        <v>45949.639768518522</v>
      </c>
      <c r="AE24" t="s">
        <v>71</v>
      </c>
      <c r="AF24" t="s">
        <v>66</v>
      </c>
      <c r="AG24" t="s">
        <v>72</v>
      </c>
      <c r="AH24" t="s">
        <v>73</v>
      </c>
      <c r="AI24">
        <v>313001</v>
      </c>
      <c r="AJ24" t="s">
        <v>74</v>
      </c>
      <c r="AK24" t="s">
        <v>75</v>
      </c>
      <c r="AL24">
        <v>62044220</v>
      </c>
      <c r="AM24" s="2"/>
      <c r="AN24">
        <v>1000</v>
      </c>
      <c r="AO24" t="s">
        <v>237</v>
      </c>
      <c r="AP24" t="s">
        <v>77</v>
      </c>
      <c r="AQ24" t="s">
        <v>66</v>
      </c>
      <c r="AR24" t="s">
        <v>71</v>
      </c>
      <c r="AS24">
        <v>5</v>
      </c>
      <c r="AT24">
        <v>0</v>
      </c>
      <c r="AU24">
        <v>0</v>
      </c>
      <c r="AV24">
        <v>5</v>
      </c>
      <c r="AW24">
        <v>47.619</v>
      </c>
      <c r="AX24">
        <v>0</v>
      </c>
      <c r="AY24">
        <v>0</v>
      </c>
      <c r="AZ24">
        <v>47.619</v>
      </c>
      <c r="BA24" s="2"/>
      <c r="BB24">
        <v>0.501</v>
      </c>
      <c r="BC24" s="2">
        <v>45946.5</v>
      </c>
      <c r="BD24" s="1">
        <f>MarketPlace_Order_Report__2[[#This Row],[UnitPrice]]*MarketPlace_Order_Report__2[[#This Row],[OrderQty]]</f>
        <v>1000</v>
      </c>
      <c r="BE24" s="1">
        <f>IFERROR(MarketPlace_Order_Report__2[[#This Row],[CGSTAmount]]+MarketPlace_Order_Report__2[[#This Row],[SGSTAmount]]+MarketPlace_Order_Report__2[[#This Row],[IGSTAmount]],MarketPlace_Order_Report__2[[#This Row],[TaxAmount]])</f>
        <v>47.619</v>
      </c>
      <c r="BF24" s="1">
        <f>MarketPlace_Order_Report__2[[#This Row],[Gross Amount (Before Tax)]]+MarketPlace_Order_Report__2[[#This Row],[Total GST Amount]]</f>
        <v>1047.6189999999999</v>
      </c>
    </row>
    <row r="25" spans="1:58">
      <c r="A25" t="s">
        <v>238</v>
      </c>
      <c r="B25" t="s">
        <v>239</v>
      </c>
      <c r="C25" t="s">
        <v>226</v>
      </c>
      <c r="D25" t="s">
        <v>227</v>
      </c>
      <c r="E25">
        <v>3</v>
      </c>
      <c r="F25" t="s">
        <v>1806</v>
      </c>
      <c r="G25">
        <v>1</v>
      </c>
      <c r="H25">
        <v>1</v>
      </c>
      <c r="I25">
        <v>2000</v>
      </c>
      <c r="J25">
        <v>1000</v>
      </c>
      <c r="K25">
        <v>0</v>
      </c>
      <c r="L25">
        <v>1010.5</v>
      </c>
      <c r="M25">
        <v>10.5</v>
      </c>
      <c r="N25" t="s">
        <v>63</v>
      </c>
      <c r="O25" s="2">
        <v>45942.872245370374</v>
      </c>
      <c r="P25" s="2">
        <v>45944.743009259262</v>
      </c>
      <c r="Q25" s="2">
        <v>45947.538912037038</v>
      </c>
      <c r="R25" t="s">
        <v>240</v>
      </c>
      <c r="S25" t="s">
        <v>161</v>
      </c>
      <c r="T25" s="2">
        <v>45943.814467592594</v>
      </c>
      <c r="U25" t="s">
        <v>66</v>
      </c>
      <c r="V25" t="s">
        <v>67</v>
      </c>
      <c r="W25" t="s">
        <v>66</v>
      </c>
      <c r="X25" t="s">
        <v>66</v>
      </c>
      <c r="Y25" t="s">
        <v>66</v>
      </c>
      <c r="Z25" t="s">
        <v>66</v>
      </c>
      <c r="AA25" t="s">
        <v>66</v>
      </c>
      <c r="AB25" t="s">
        <v>66</v>
      </c>
      <c r="AC25" t="s">
        <v>66</v>
      </c>
      <c r="AD25" s="2">
        <v>45947.539201388892</v>
      </c>
      <c r="AE25" t="s">
        <v>71</v>
      </c>
      <c r="AF25" t="s">
        <v>66</v>
      </c>
      <c r="AG25" t="s">
        <v>241</v>
      </c>
      <c r="AH25" t="s">
        <v>123</v>
      </c>
      <c r="AI25">
        <v>416003</v>
      </c>
      <c r="AJ25" t="s">
        <v>74</v>
      </c>
      <c r="AK25" t="s">
        <v>75</v>
      </c>
      <c r="AL25">
        <v>62044220</v>
      </c>
      <c r="AM25" s="2"/>
      <c r="AN25">
        <v>1000</v>
      </c>
      <c r="AO25" t="s">
        <v>242</v>
      </c>
      <c r="AP25" t="s">
        <v>243</v>
      </c>
      <c r="AQ25" t="s">
        <v>66</v>
      </c>
      <c r="AR25" t="s">
        <v>71</v>
      </c>
      <c r="AS25">
        <v>5</v>
      </c>
      <c r="AT25">
        <v>2.5</v>
      </c>
      <c r="AU25">
        <v>2.5</v>
      </c>
      <c r="AV25">
        <v>0</v>
      </c>
      <c r="AW25">
        <v>47.619</v>
      </c>
      <c r="AX25">
        <v>23.81</v>
      </c>
      <c r="AY25">
        <v>23.81</v>
      </c>
      <c r="AZ25">
        <v>0</v>
      </c>
      <c r="BA25" s="2"/>
      <c r="BB25">
        <v>0.501</v>
      </c>
      <c r="BC25" s="2">
        <v>45945.5</v>
      </c>
      <c r="BD25" s="1">
        <f>MarketPlace_Order_Report__2[[#This Row],[UnitPrice]]*MarketPlace_Order_Report__2[[#This Row],[OrderQty]]</f>
        <v>1000</v>
      </c>
      <c r="BE25" s="1">
        <f>IFERROR(MarketPlace_Order_Report__2[[#This Row],[CGSTAmount]]+MarketPlace_Order_Report__2[[#This Row],[SGSTAmount]]+MarketPlace_Order_Report__2[[#This Row],[IGSTAmount]],MarketPlace_Order_Report__2[[#This Row],[TaxAmount]])</f>
        <v>47.62</v>
      </c>
      <c r="BF25" s="1">
        <f>MarketPlace_Order_Report__2[[#This Row],[Gross Amount (Before Tax)]]+MarketPlace_Order_Report__2[[#This Row],[Total GST Amount]]</f>
        <v>1047.6199999999999</v>
      </c>
    </row>
    <row r="26" spans="1:58">
      <c r="A26" t="s">
        <v>244</v>
      </c>
      <c r="B26" t="s">
        <v>245</v>
      </c>
      <c r="C26" t="s">
        <v>246</v>
      </c>
      <c r="D26" t="s">
        <v>247</v>
      </c>
      <c r="E26">
        <v>2</v>
      </c>
      <c r="F26" t="s">
        <v>62</v>
      </c>
      <c r="G26">
        <v>1</v>
      </c>
      <c r="H26">
        <v>1</v>
      </c>
      <c r="I26">
        <v>4000</v>
      </c>
      <c r="J26">
        <v>2400</v>
      </c>
      <c r="K26">
        <v>0</v>
      </c>
      <c r="L26">
        <v>2400</v>
      </c>
      <c r="M26">
        <v>0</v>
      </c>
      <c r="N26" t="s">
        <v>63</v>
      </c>
      <c r="O26" s="2">
        <v>45931.823310185187</v>
      </c>
      <c r="P26" s="2">
        <v>45934.652083333334</v>
      </c>
      <c r="Q26" s="2">
        <v>45936.783333333333</v>
      </c>
      <c r="R26" t="s">
        <v>248</v>
      </c>
      <c r="S26" t="s">
        <v>146</v>
      </c>
      <c r="T26" s="2">
        <v>45933.535081018519</v>
      </c>
      <c r="U26" t="s">
        <v>66</v>
      </c>
      <c r="V26" t="s">
        <v>67</v>
      </c>
      <c r="W26" t="s">
        <v>66</v>
      </c>
      <c r="X26" t="s">
        <v>66</v>
      </c>
      <c r="Y26" t="s">
        <v>249</v>
      </c>
      <c r="Z26" t="s">
        <v>69</v>
      </c>
      <c r="AA26" t="s">
        <v>175</v>
      </c>
      <c r="AB26" t="s">
        <v>66</v>
      </c>
      <c r="AC26" t="s">
        <v>66</v>
      </c>
      <c r="AD26" s="2">
        <v>45955.462731481479</v>
      </c>
      <c r="AE26" t="s">
        <v>71</v>
      </c>
      <c r="AF26" t="s">
        <v>66</v>
      </c>
      <c r="AG26" t="s">
        <v>250</v>
      </c>
      <c r="AH26" t="s">
        <v>251</v>
      </c>
      <c r="AI26">
        <v>641048</v>
      </c>
      <c r="AJ26" t="s">
        <v>74</v>
      </c>
      <c r="AK26" t="s">
        <v>75</v>
      </c>
      <c r="AL26">
        <v>62044220</v>
      </c>
      <c r="AM26" s="2"/>
      <c r="AN26">
        <v>2400</v>
      </c>
      <c r="AO26" t="s">
        <v>252</v>
      </c>
      <c r="AP26" t="s">
        <v>66</v>
      </c>
      <c r="AQ26" t="s">
        <v>66</v>
      </c>
      <c r="AR26" t="s">
        <v>71</v>
      </c>
      <c r="AS26">
        <v>5</v>
      </c>
      <c r="AT26">
        <v>0</v>
      </c>
      <c r="AU26">
        <v>0</v>
      </c>
      <c r="AV26">
        <v>5</v>
      </c>
      <c r="AW26">
        <v>114.286</v>
      </c>
      <c r="AX26">
        <v>0</v>
      </c>
      <c r="AY26">
        <v>0</v>
      </c>
      <c r="AZ26">
        <v>114.286</v>
      </c>
      <c r="BA26" s="2"/>
      <c r="BB26">
        <v>0.85</v>
      </c>
      <c r="BC26" s="2">
        <v>45934.5</v>
      </c>
      <c r="BD26" s="1">
        <f>MarketPlace_Order_Report__2[[#This Row],[UnitPrice]]*MarketPlace_Order_Report__2[[#This Row],[OrderQty]]</f>
        <v>2400</v>
      </c>
      <c r="BE26" s="1">
        <f>IFERROR(MarketPlace_Order_Report__2[[#This Row],[CGSTAmount]]+MarketPlace_Order_Report__2[[#This Row],[SGSTAmount]]+MarketPlace_Order_Report__2[[#This Row],[IGSTAmount]],MarketPlace_Order_Report__2[[#This Row],[TaxAmount]])</f>
        <v>114.286</v>
      </c>
      <c r="BF26" s="1">
        <f>MarketPlace_Order_Report__2[[#This Row],[Gross Amount (Before Tax)]]+MarketPlace_Order_Report__2[[#This Row],[Total GST Amount]]</f>
        <v>2514.2860000000001</v>
      </c>
    </row>
    <row r="27" spans="1:58">
      <c r="A27" t="s">
        <v>253</v>
      </c>
      <c r="B27" t="s">
        <v>254</v>
      </c>
      <c r="C27" t="s">
        <v>255</v>
      </c>
      <c r="D27" t="s">
        <v>256</v>
      </c>
      <c r="E27">
        <v>1</v>
      </c>
      <c r="F27" t="s">
        <v>257</v>
      </c>
      <c r="G27">
        <v>1</v>
      </c>
      <c r="H27">
        <v>1</v>
      </c>
      <c r="I27">
        <v>4500</v>
      </c>
      <c r="J27">
        <v>4050</v>
      </c>
      <c r="K27">
        <v>0</v>
      </c>
      <c r="L27">
        <v>4079</v>
      </c>
      <c r="M27">
        <v>29</v>
      </c>
      <c r="N27" t="s">
        <v>63</v>
      </c>
      <c r="O27" s="2">
        <v>45933.322060185186</v>
      </c>
      <c r="P27" s="2">
        <v>45934.620092592595</v>
      </c>
      <c r="Q27" s="2"/>
      <c r="R27" t="s">
        <v>258</v>
      </c>
      <c r="S27" t="s">
        <v>89</v>
      </c>
      <c r="T27" s="2">
        <v>45933.815833333334</v>
      </c>
      <c r="U27" t="s">
        <v>66</v>
      </c>
      <c r="V27" t="s">
        <v>67</v>
      </c>
      <c r="W27" t="s">
        <v>66</v>
      </c>
      <c r="X27" t="s">
        <v>66</v>
      </c>
      <c r="Y27" t="s">
        <v>66</v>
      </c>
      <c r="Z27" t="s">
        <v>66</v>
      </c>
      <c r="AA27" t="s">
        <v>66</v>
      </c>
      <c r="AB27" t="s">
        <v>66</v>
      </c>
      <c r="AC27" t="s">
        <v>66</v>
      </c>
      <c r="AD27" s="2">
        <v>45937.771793981483</v>
      </c>
      <c r="AE27" t="s">
        <v>71</v>
      </c>
      <c r="AF27" t="s">
        <v>66</v>
      </c>
      <c r="AG27" t="s">
        <v>259</v>
      </c>
      <c r="AH27" t="s">
        <v>123</v>
      </c>
      <c r="AI27">
        <v>400050</v>
      </c>
      <c r="AJ27" t="s">
        <v>74</v>
      </c>
      <c r="AK27" t="s">
        <v>75</v>
      </c>
      <c r="AL27">
        <v>62042300</v>
      </c>
      <c r="AM27" s="2"/>
      <c r="AN27">
        <v>4050</v>
      </c>
      <c r="AO27" t="s">
        <v>260</v>
      </c>
      <c r="AP27" t="s">
        <v>66</v>
      </c>
      <c r="AQ27" t="s">
        <v>66</v>
      </c>
      <c r="AR27" t="s">
        <v>71</v>
      </c>
      <c r="AS27">
        <v>18</v>
      </c>
      <c r="AT27">
        <v>9</v>
      </c>
      <c r="AU27">
        <v>9</v>
      </c>
      <c r="AV27">
        <v>0</v>
      </c>
      <c r="AW27">
        <v>617.79700000000003</v>
      </c>
      <c r="AX27">
        <v>308.899</v>
      </c>
      <c r="AY27">
        <v>308.899</v>
      </c>
      <c r="AZ27">
        <v>0</v>
      </c>
      <c r="BA27" s="2"/>
      <c r="BB27">
        <v>0.75</v>
      </c>
      <c r="BC27" s="2">
        <v>45935.5</v>
      </c>
      <c r="BD27" s="1">
        <f>MarketPlace_Order_Report__2[[#This Row],[UnitPrice]]*MarketPlace_Order_Report__2[[#This Row],[OrderQty]]</f>
        <v>4050</v>
      </c>
      <c r="BE27" s="1">
        <f>IFERROR(MarketPlace_Order_Report__2[[#This Row],[CGSTAmount]]+MarketPlace_Order_Report__2[[#This Row],[SGSTAmount]]+MarketPlace_Order_Report__2[[#This Row],[IGSTAmount]],MarketPlace_Order_Report__2[[#This Row],[TaxAmount]])</f>
        <v>617.798</v>
      </c>
      <c r="BF27" s="1">
        <f>MarketPlace_Order_Report__2[[#This Row],[Gross Amount (Before Tax)]]+MarketPlace_Order_Report__2[[#This Row],[Total GST Amount]]</f>
        <v>4667.7979999999998</v>
      </c>
    </row>
    <row r="28" spans="1:58">
      <c r="A28" t="s">
        <v>261</v>
      </c>
      <c r="B28" t="s">
        <v>262</v>
      </c>
      <c r="C28" t="s">
        <v>263</v>
      </c>
      <c r="D28" t="s">
        <v>264</v>
      </c>
      <c r="E28">
        <v>2</v>
      </c>
      <c r="F28" t="s">
        <v>62</v>
      </c>
      <c r="G28">
        <v>1</v>
      </c>
      <c r="H28">
        <v>1</v>
      </c>
      <c r="I28">
        <v>3500</v>
      </c>
      <c r="J28">
        <v>2800</v>
      </c>
      <c r="K28">
        <v>0</v>
      </c>
      <c r="L28">
        <v>2827.86</v>
      </c>
      <c r="M28">
        <v>27.86</v>
      </c>
      <c r="N28" t="s">
        <v>99</v>
      </c>
      <c r="O28" s="2">
        <v>45934.847534722219</v>
      </c>
      <c r="P28" s="2">
        <v>45936.641296296293</v>
      </c>
      <c r="Q28" s="2">
        <v>45942.867974537039</v>
      </c>
      <c r="R28" t="s">
        <v>265</v>
      </c>
      <c r="S28" t="s">
        <v>89</v>
      </c>
      <c r="T28" s="2">
        <v>45935.742905092593</v>
      </c>
      <c r="U28" t="s">
        <v>66</v>
      </c>
      <c r="V28" t="s">
        <v>67</v>
      </c>
      <c r="W28" t="s">
        <v>66</v>
      </c>
      <c r="X28" t="s">
        <v>66</v>
      </c>
      <c r="Y28" t="s">
        <v>266</v>
      </c>
      <c r="Z28" t="s">
        <v>69</v>
      </c>
      <c r="AA28" t="s">
        <v>175</v>
      </c>
      <c r="AB28" t="s">
        <v>66</v>
      </c>
      <c r="AC28" t="s">
        <v>66</v>
      </c>
      <c r="AD28" s="2">
        <v>45948.823819444442</v>
      </c>
      <c r="AE28" t="s">
        <v>71</v>
      </c>
      <c r="AF28" t="s">
        <v>66</v>
      </c>
      <c r="AG28" t="s">
        <v>267</v>
      </c>
      <c r="AH28" t="s">
        <v>123</v>
      </c>
      <c r="AI28">
        <v>444105</v>
      </c>
      <c r="AJ28" t="s">
        <v>74</v>
      </c>
      <c r="AK28" t="s">
        <v>75</v>
      </c>
      <c r="AL28">
        <v>62042300</v>
      </c>
      <c r="AM28" s="2"/>
      <c r="AN28">
        <v>2800</v>
      </c>
      <c r="AO28" t="s">
        <v>268</v>
      </c>
      <c r="AP28" t="s">
        <v>66</v>
      </c>
      <c r="AQ28" t="s">
        <v>66</v>
      </c>
      <c r="AR28" t="s">
        <v>71</v>
      </c>
      <c r="AS28">
        <v>18</v>
      </c>
      <c r="AT28">
        <v>9</v>
      </c>
      <c r="AU28">
        <v>9</v>
      </c>
      <c r="AV28">
        <v>0</v>
      </c>
      <c r="AW28">
        <v>427.11900000000003</v>
      </c>
      <c r="AX28">
        <v>213.56</v>
      </c>
      <c r="AY28">
        <v>213.56</v>
      </c>
      <c r="AZ28">
        <v>0</v>
      </c>
      <c r="BA28" s="2"/>
      <c r="BB28">
        <v>0.75</v>
      </c>
      <c r="BC28" s="2">
        <v>45937.5</v>
      </c>
      <c r="BD28" s="1">
        <f>MarketPlace_Order_Report__2[[#This Row],[UnitPrice]]*MarketPlace_Order_Report__2[[#This Row],[OrderQty]]</f>
        <v>2800</v>
      </c>
      <c r="BE28" s="1">
        <f>IFERROR(MarketPlace_Order_Report__2[[#This Row],[CGSTAmount]]+MarketPlace_Order_Report__2[[#This Row],[SGSTAmount]]+MarketPlace_Order_Report__2[[#This Row],[IGSTAmount]],MarketPlace_Order_Report__2[[#This Row],[TaxAmount]])</f>
        <v>427.12</v>
      </c>
      <c r="BF28" s="1">
        <f>MarketPlace_Order_Report__2[[#This Row],[Gross Amount (Before Tax)]]+MarketPlace_Order_Report__2[[#This Row],[Total GST Amount]]</f>
        <v>3227.12</v>
      </c>
    </row>
    <row r="29" spans="1:58">
      <c r="A29" t="s">
        <v>269</v>
      </c>
      <c r="B29" t="s">
        <v>270</v>
      </c>
      <c r="C29" t="s">
        <v>271</v>
      </c>
      <c r="D29" t="s">
        <v>272</v>
      </c>
      <c r="E29">
        <v>1</v>
      </c>
      <c r="F29" t="s">
        <v>145</v>
      </c>
      <c r="G29">
        <v>1</v>
      </c>
      <c r="H29">
        <v>0</v>
      </c>
      <c r="I29">
        <v>3500</v>
      </c>
      <c r="J29">
        <v>2800</v>
      </c>
      <c r="K29">
        <v>0</v>
      </c>
      <c r="L29">
        <v>2849</v>
      </c>
      <c r="M29">
        <v>49</v>
      </c>
      <c r="N29" t="s">
        <v>99</v>
      </c>
      <c r="O29" s="2">
        <v>45956.583553240744</v>
      </c>
      <c r="P29" s="2"/>
      <c r="Q29" s="2"/>
      <c r="R29" t="s">
        <v>66</v>
      </c>
      <c r="S29" t="s">
        <v>65</v>
      </c>
      <c r="T29" s="2"/>
      <c r="U29" t="s">
        <v>147</v>
      </c>
      <c r="V29" t="s">
        <v>67</v>
      </c>
      <c r="W29" t="s">
        <v>66</v>
      </c>
      <c r="X29" t="s">
        <v>66</v>
      </c>
      <c r="Y29" t="s">
        <v>66</v>
      </c>
      <c r="Z29" t="s">
        <v>66</v>
      </c>
      <c r="AA29" t="s">
        <v>66</v>
      </c>
      <c r="AB29" t="s">
        <v>66</v>
      </c>
      <c r="AC29" t="s">
        <v>66</v>
      </c>
      <c r="AD29" s="2">
        <v>45956.586493055554</v>
      </c>
      <c r="AE29" t="s">
        <v>71</v>
      </c>
      <c r="AF29" t="s">
        <v>66</v>
      </c>
      <c r="AG29" t="s">
        <v>90</v>
      </c>
      <c r="AH29" t="s">
        <v>91</v>
      </c>
      <c r="AI29">
        <v>560076</v>
      </c>
      <c r="AJ29" t="s">
        <v>74</v>
      </c>
      <c r="AK29" t="s">
        <v>75</v>
      </c>
      <c r="AL29">
        <v>62042300</v>
      </c>
      <c r="AM29" s="2">
        <v>45956.586493055554</v>
      </c>
      <c r="AN29">
        <v>2800</v>
      </c>
      <c r="AO29" t="s">
        <v>66</v>
      </c>
      <c r="AP29" t="s">
        <v>66</v>
      </c>
      <c r="AQ29" t="s">
        <v>66</v>
      </c>
      <c r="AR29" t="s">
        <v>71</v>
      </c>
      <c r="AS29">
        <v>18</v>
      </c>
      <c r="AT29">
        <v>0</v>
      </c>
      <c r="AU29">
        <v>0</v>
      </c>
      <c r="AV29">
        <v>18</v>
      </c>
      <c r="AW29">
        <v>427.11900000000003</v>
      </c>
      <c r="AX29">
        <v>0</v>
      </c>
      <c r="AY29">
        <v>0</v>
      </c>
      <c r="AZ29">
        <v>427.11900000000003</v>
      </c>
      <c r="BA29" s="2"/>
      <c r="BC29" s="2">
        <v>45959.5</v>
      </c>
      <c r="BD29" s="1">
        <f>MarketPlace_Order_Report__2[[#This Row],[UnitPrice]]*MarketPlace_Order_Report__2[[#This Row],[OrderQty]]</f>
        <v>2800</v>
      </c>
      <c r="BE29" s="1">
        <f>IFERROR(MarketPlace_Order_Report__2[[#This Row],[CGSTAmount]]+MarketPlace_Order_Report__2[[#This Row],[SGSTAmount]]+MarketPlace_Order_Report__2[[#This Row],[IGSTAmount]],MarketPlace_Order_Report__2[[#This Row],[TaxAmount]])</f>
        <v>427.11900000000003</v>
      </c>
      <c r="BF29" s="1">
        <f>MarketPlace_Order_Report__2[[#This Row],[Gross Amount (Before Tax)]]+MarketPlace_Order_Report__2[[#This Row],[Total GST Amount]]</f>
        <v>3227.1190000000001</v>
      </c>
    </row>
    <row r="30" spans="1:58">
      <c r="A30" t="s">
        <v>273</v>
      </c>
      <c r="B30" t="s">
        <v>274</v>
      </c>
      <c r="C30" t="s">
        <v>275</v>
      </c>
      <c r="D30" t="s">
        <v>276</v>
      </c>
      <c r="E30">
        <v>1</v>
      </c>
      <c r="F30" t="s">
        <v>1806</v>
      </c>
      <c r="G30">
        <v>1</v>
      </c>
      <c r="H30">
        <v>1</v>
      </c>
      <c r="I30">
        <v>3500</v>
      </c>
      <c r="J30">
        <v>2450</v>
      </c>
      <c r="K30">
        <v>0</v>
      </c>
      <c r="L30">
        <v>2479</v>
      </c>
      <c r="M30">
        <v>29</v>
      </c>
      <c r="N30" t="s">
        <v>63</v>
      </c>
      <c r="O30" s="2">
        <v>45953.946111111109</v>
      </c>
      <c r="P30" s="2">
        <v>45954.730902777781</v>
      </c>
      <c r="Q30" s="2">
        <v>45958.391782407409</v>
      </c>
      <c r="R30" t="s">
        <v>277</v>
      </c>
      <c r="S30" t="s">
        <v>65</v>
      </c>
      <c r="T30" s="2">
        <v>45954.500509259262</v>
      </c>
      <c r="U30" t="s">
        <v>66</v>
      </c>
      <c r="V30" t="s">
        <v>67</v>
      </c>
      <c r="W30" t="s">
        <v>66</v>
      </c>
      <c r="X30" t="s">
        <v>66</v>
      </c>
      <c r="Y30" t="s">
        <v>66</v>
      </c>
      <c r="Z30" t="s">
        <v>66</v>
      </c>
      <c r="AA30" t="s">
        <v>66</v>
      </c>
      <c r="AB30" t="s">
        <v>66</v>
      </c>
      <c r="AC30" t="s">
        <v>66</v>
      </c>
      <c r="AD30" s="2">
        <v>45958.393217592595</v>
      </c>
      <c r="AE30" t="s">
        <v>71</v>
      </c>
      <c r="AF30" t="s">
        <v>66</v>
      </c>
      <c r="AG30" t="s">
        <v>278</v>
      </c>
      <c r="AH30" t="s">
        <v>279</v>
      </c>
      <c r="AI30">
        <v>151001</v>
      </c>
      <c r="AJ30" t="s">
        <v>74</v>
      </c>
      <c r="AK30" t="s">
        <v>75</v>
      </c>
      <c r="AL30">
        <v>62042300</v>
      </c>
      <c r="AM30" s="2"/>
      <c r="AN30">
        <v>2450</v>
      </c>
      <c r="AO30" t="s">
        <v>280</v>
      </c>
      <c r="AP30" t="s">
        <v>125</v>
      </c>
      <c r="AQ30" t="s">
        <v>66</v>
      </c>
      <c r="AR30" t="s">
        <v>71</v>
      </c>
      <c r="AS30">
        <v>5</v>
      </c>
      <c r="AT30">
        <v>0</v>
      </c>
      <c r="AU30">
        <v>0</v>
      </c>
      <c r="AV30">
        <v>5</v>
      </c>
      <c r="AW30">
        <v>116.667</v>
      </c>
      <c r="AX30">
        <v>0</v>
      </c>
      <c r="AY30">
        <v>0</v>
      </c>
      <c r="AZ30">
        <v>116.667</v>
      </c>
      <c r="BA30" s="2"/>
      <c r="BB30">
        <v>0.75</v>
      </c>
      <c r="BC30" s="2">
        <v>45956.5</v>
      </c>
      <c r="BD30" s="1">
        <f>MarketPlace_Order_Report__2[[#This Row],[UnitPrice]]*MarketPlace_Order_Report__2[[#This Row],[OrderQty]]</f>
        <v>2450</v>
      </c>
      <c r="BE30" s="1">
        <f>IFERROR(MarketPlace_Order_Report__2[[#This Row],[CGSTAmount]]+MarketPlace_Order_Report__2[[#This Row],[SGSTAmount]]+MarketPlace_Order_Report__2[[#This Row],[IGSTAmount]],MarketPlace_Order_Report__2[[#This Row],[TaxAmount]])</f>
        <v>116.667</v>
      </c>
      <c r="BF30" s="1">
        <f>MarketPlace_Order_Report__2[[#This Row],[Gross Amount (Before Tax)]]+MarketPlace_Order_Report__2[[#This Row],[Total GST Amount]]</f>
        <v>2566.6669999999999</v>
      </c>
    </row>
    <row r="31" spans="1:58">
      <c r="A31" t="s">
        <v>281</v>
      </c>
      <c r="B31" t="s">
        <v>282</v>
      </c>
      <c r="C31" t="s">
        <v>283</v>
      </c>
      <c r="D31" t="s">
        <v>284</v>
      </c>
      <c r="E31">
        <v>1</v>
      </c>
      <c r="F31" t="s">
        <v>1806</v>
      </c>
      <c r="G31">
        <v>1</v>
      </c>
      <c r="H31">
        <v>1</v>
      </c>
      <c r="I31">
        <v>4000</v>
      </c>
      <c r="J31">
        <v>2800</v>
      </c>
      <c r="K31">
        <v>0</v>
      </c>
      <c r="L31">
        <v>2849</v>
      </c>
      <c r="M31">
        <v>49</v>
      </c>
      <c r="N31" t="s">
        <v>99</v>
      </c>
      <c r="O31" s="2">
        <v>45933.797280092593</v>
      </c>
      <c r="P31" s="2">
        <v>45934.720648148148</v>
      </c>
      <c r="Q31" s="2">
        <v>45937.516539351855</v>
      </c>
      <c r="R31" t="s">
        <v>285</v>
      </c>
      <c r="S31" t="s">
        <v>161</v>
      </c>
      <c r="T31" s="2">
        <v>45933.815821759257</v>
      </c>
      <c r="U31" t="s">
        <v>66</v>
      </c>
      <c r="V31" t="s">
        <v>67</v>
      </c>
      <c r="W31" t="s">
        <v>66</v>
      </c>
      <c r="X31" t="s">
        <v>66</v>
      </c>
      <c r="Y31" t="s">
        <v>66</v>
      </c>
      <c r="Z31" t="s">
        <v>66</v>
      </c>
      <c r="AA31" t="s">
        <v>66</v>
      </c>
      <c r="AB31" t="s">
        <v>66</v>
      </c>
      <c r="AC31" t="s">
        <v>66</v>
      </c>
      <c r="AD31" s="2">
        <v>45937.524895833332</v>
      </c>
      <c r="AE31" t="s">
        <v>71</v>
      </c>
      <c r="AF31" t="s">
        <v>66</v>
      </c>
      <c r="AG31" t="s">
        <v>286</v>
      </c>
      <c r="AH31" t="s">
        <v>194</v>
      </c>
      <c r="AI31">
        <v>390002</v>
      </c>
      <c r="AJ31" t="s">
        <v>74</v>
      </c>
      <c r="AK31" t="s">
        <v>75</v>
      </c>
      <c r="AL31">
        <v>62042300</v>
      </c>
      <c r="AM31" s="2"/>
      <c r="AN31">
        <v>2800</v>
      </c>
      <c r="AO31" t="s">
        <v>287</v>
      </c>
      <c r="AP31" t="s">
        <v>288</v>
      </c>
      <c r="AQ31" t="s">
        <v>66</v>
      </c>
      <c r="AR31" t="s">
        <v>71</v>
      </c>
      <c r="AS31">
        <v>18</v>
      </c>
      <c r="AT31">
        <v>0</v>
      </c>
      <c r="AU31">
        <v>0</v>
      </c>
      <c r="AV31">
        <v>18</v>
      </c>
      <c r="AW31">
        <v>427.11900000000003</v>
      </c>
      <c r="AX31">
        <v>0</v>
      </c>
      <c r="AY31">
        <v>0</v>
      </c>
      <c r="AZ31">
        <v>427.11900000000003</v>
      </c>
      <c r="BA31" s="2"/>
      <c r="BB31">
        <v>0.75</v>
      </c>
      <c r="BC31" s="2">
        <v>45936.5</v>
      </c>
      <c r="BD31" s="1">
        <f>MarketPlace_Order_Report__2[[#This Row],[UnitPrice]]*MarketPlace_Order_Report__2[[#This Row],[OrderQty]]</f>
        <v>2800</v>
      </c>
      <c r="BE31" s="1">
        <f>IFERROR(MarketPlace_Order_Report__2[[#This Row],[CGSTAmount]]+MarketPlace_Order_Report__2[[#This Row],[SGSTAmount]]+MarketPlace_Order_Report__2[[#This Row],[IGSTAmount]],MarketPlace_Order_Report__2[[#This Row],[TaxAmount]])</f>
        <v>427.11900000000003</v>
      </c>
      <c r="BF31" s="1">
        <f>MarketPlace_Order_Report__2[[#This Row],[Gross Amount (Before Tax)]]+MarketPlace_Order_Report__2[[#This Row],[Total GST Amount]]</f>
        <v>3227.1190000000001</v>
      </c>
    </row>
    <row r="32" spans="1:58">
      <c r="A32" t="s">
        <v>289</v>
      </c>
      <c r="B32" t="s">
        <v>290</v>
      </c>
      <c r="C32" t="s">
        <v>291</v>
      </c>
      <c r="D32" t="s">
        <v>292</v>
      </c>
      <c r="E32">
        <v>1</v>
      </c>
      <c r="F32" t="s">
        <v>257</v>
      </c>
      <c r="G32">
        <v>1</v>
      </c>
      <c r="H32">
        <v>1</v>
      </c>
      <c r="I32">
        <v>5000</v>
      </c>
      <c r="J32">
        <v>4000</v>
      </c>
      <c r="K32">
        <v>0</v>
      </c>
      <c r="L32">
        <v>4029</v>
      </c>
      <c r="M32">
        <v>29</v>
      </c>
      <c r="N32" t="s">
        <v>63</v>
      </c>
      <c r="O32" s="2">
        <v>45932.889664351853</v>
      </c>
      <c r="P32" s="2">
        <v>45934.620092592595</v>
      </c>
      <c r="Q32" s="2"/>
      <c r="R32" t="s">
        <v>293</v>
      </c>
      <c r="S32" t="s">
        <v>89</v>
      </c>
      <c r="T32" s="2">
        <v>45933.815833333334</v>
      </c>
      <c r="U32" t="s">
        <v>66</v>
      </c>
      <c r="V32" t="s">
        <v>67</v>
      </c>
      <c r="W32" t="s">
        <v>66</v>
      </c>
      <c r="X32" t="s">
        <v>66</v>
      </c>
      <c r="Y32" t="s">
        <v>66</v>
      </c>
      <c r="Z32" t="s">
        <v>66</v>
      </c>
      <c r="AA32" t="s">
        <v>66</v>
      </c>
      <c r="AB32" t="s">
        <v>66</v>
      </c>
      <c r="AC32" t="s">
        <v>66</v>
      </c>
      <c r="AD32" s="2">
        <v>45937.771793981483</v>
      </c>
      <c r="AE32" t="s">
        <v>71</v>
      </c>
      <c r="AF32" t="s">
        <v>66</v>
      </c>
      <c r="AG32" t="s">
        <v>259</v>
      </c>
      <c r="AH32" t="s">
        <v>123</v>
      </c>
      <c r="AI32">
        <v>400050</v>
      </c>
      <c r="AJ32" t="s">
        <v>74</v>
      </c>
      <c r="AK32" t="s">
        <v>75</v>
      </c>
      <c r="AL32">
        <v>62042300</v>
      </c>
      <c r="AM32" s="2"/>
      <c r="AN32">
        <v>4000</v>
      </c>
      <c r="AO32" t="s">
        <v>294</v>
      </c>
      <c r="AP32" t="s">
        <v>66</v>
      </c>
      <c r="AQ32" t="s">
        <v>66</v>
      </c>
      <c r="AR32" t="s">
        <v>71</v>
      </c>
      <c r="AS32">
        <v>18</v>
      </c>
      <c r="AT32">
        <v>9</v>
      </c>
      <c r="AU32">
        <v>9</v>
      </c>
      <c r="AV32">
        <v>0</v>
      </c>
      <c r="AW32">
        <v>610.16899999999998</v>
      </c>
      <c r="AX32">
        <v>305.08499999999998</v>
      </c>
      <c r="AY32">
        <v>305.08499999999998</v>
      </c>
      <c r="AZ32">
        <v>0</v>
      </c>
      <c r="BA32" s="2"/>
      <c r="BB32">
        <v>0.75</v>
      </c>
      <c r="BC32" s="2">
        <v>45935.5</v>
      </c>
      <c r="BD32" s="1">
        <f>MarketPlace_Order_Report__2[[#This Row],[UnitPrice]]*MarketPlace_Order_Report__2[[#This Row],[OrderQty]]</f>
        <v>4000</v>
      </c>
      <c r="BE32" s="1">
        <f>IFERROR(MarketPlace_Order_Report__2[[#This Row],[CGSTAmount]]+MarketPlace_Order_Report__2[[#This Row],[SGSTAmount]]+MarketPlace_Order_Report__2[[#This Row],[IGSTAmount]],MarketPlace_Order_Report__2[[#This Row],[TaxAmount]])</f>
        <v>610.16999999999996</v>
      </c>
      <c r="BF32" s="1">
        <f>MarketPlace_Order_Report__2[[#This Row],[Gross Amount (Before Tax)]]+MarketPlace_Order_Report__2[[#This Row],[Total GST Amount]]</f>
        <v>4610.17</v>
      </c>
    </row>
    <row r="33" spans="1:58">
      <c r="A33" t="s">
        <v>295</v>
      </c>
      <c r="B33" t="s">
        <v>296</v>
      </c>
      <c r="C33" t="s">
        <v>297</v>
      </c>
      <c r="D33" t="s">
        <v>298</v>
      </c>
      <c r="E33">
        <v>1</v>
      </c>
      <c r="F33" t="s">
        <v>107</v>
      </c>
      <c r="G33">
        <v>1</v>
      </c>
      <c r="H33">
        <v>1</v>
      </c>
      <c r="I33">
        <v>3850</v>
      </c>
      <c r="J33">
        <v>3465</v>
      </c>
      <c r="K33">
        <v>0</v>
      </c>
      <c r="L33">
        <v>3485</v>
      </c>
      <c r="M33">
        <v>20</v>
      </c>
      <c r="N33" t="s">
        <v>99</v>
      </c>
      <c r="O33" s="2">
        <v>45959.644618055558</v>
      </c>
      <c r="P33" s="2">
        <v>45960.624282407407</v>
      </c>
      <c r="Q33" s="2"/>
      <c r="R33" t="s">
        <v>299</v>
      </c>
      <c r="S33" t="s">
        <v>89</v>
      </c>
      <c r="T33" s="2">
        <v>45959.790451388886</v>
      </c>
      <c r="U33" t="s">
        <v>66</v>
      </c>
      <c r="V33" t="s">
        <v>67</v>
      </c>
      <c r="W33" t="s">
        <v>66</v>
      </c>
      <c r="X33" t="s">
        <v>66</v>
      </c>
      <c r="Y33" t="s">
        <v>66</v>
      </c>
      <c r="Z33" t="s">
        <v>66</v>
      </c>
      <c r="AA33" t="s">
        <v>66</v>
      </c>
      <c r="AB33" t="s">
        <v>66</v>
      </c>
      <c r="AC33" t="s">
        <v>66</v>
      </c>
      <c r="AD33" s="2">
        <v>45960.914143518516</v>
      </c>
      <c r="AE33" t="s">
        <v>71</v>
      </c>
      <c r="AF33" t="s">
        <v>66</v>
      </c>
      <c r="AG33" t="s">
        <v>300</v>
      </c>
      <c r="AH33" t="s">
        <v>123</v>
      </c>
      <c r="AI33">
        <v>411015</v>
      </c>
      <c r="AJ33" t="s">
        <v>74</v>
      </c>
      <c r="AK33" t="s">
        <v>75</v>
      </c>
      <c r="AL33">
        <v>62044220</v>
      </c>
      <c r="AM33" s="2"/>
      <c r="AN33">
        <v>3465</v>
      </c>
      <c r="AO33" t="s">
        <v>301</v>
      </c>
      <c r="AP33" t="s">
        <v>158</v>
      </c>
      <c r="AQ33" t="s">
        <v>66</v>
      </c>
      <c r="AR33" t="s">
        <v>71</v>
      </c>
      <c r="AS33">
        <v>18</v>
      </c>
      <c r="AT33">
        <v>9</v>
      </c>
      <c r="AU33">
        <v>9</v>
      </c>
      <c r="AV33">
        <v>0</v>
      </c>
      <c r="AW33">
        <v>528.55899999999997</v>
      </c>
      <c r="AX33">
        <v>264.27999999999997</v>
      </c>
      <c r="AY33">
        <v>264.27999999999997</v>
      </c>
      <c r="AZ33">
        <v>0</v>
      </c>
      <c r="BA33" s="2"/>
      <c r="BB33">
        <v>0.75</v>
      </c>
      <c r="BC33" s="2">
        <v>45962.5</v>
      </c>
      <c r="BD33" s="1">
        <f>MarketPlace_Order_Report__2[[#This Row],[UnitPrice]]*MarketPlace_Order_Report__2[[#This Row],[OrderQty]]</f>
        <v>3465</v>
      </c>
      <c r="BE33" s="1">
        <f>IFERROR(MarketPlace_Order_Report__2[[#This Row],[CGSTAmount]]+MarketPlace_Order_Report__2[[#This Row],[SGSTAmount]]+MarketPlace_Order_Report__2[[#This Row],[IGSTAmount]],MarketPlace_Order_Report__2[[#This Row],[TaxAmount]])</f>
        <v>528.55999999999995</v>
      </c>
      <c r="BF33" s="1">
        <f>MarketPlace_Order_Report__2[[#This Row],[Gross Amount (Before Tax)]]+MarketPlace_Order_Report__2[[#This Row],[Total GST Amount]]</f>
        <v>3993.56</v>
      </c>
    </row>
    <row r="34" spans="1:58">
      <c r="A34" t="s">
        <v>302</v>
      </c>
      <c r="B34" t="s">
        <v>303</v>
      </c>
      <c r="C34" t="s">
        <v>304</v>
      </c>
      <c r="D34" t="s">
        <v>305</v>
      </c>
      <c r="E34">
        <v>2</v>
      </c>
      <c r="F34" t="s">
        <v>1806</v>
      </c>
      <c r="G34">
        <v>1</v>
      </c>
      <c r="H34">
        <v>1</v>
      </c>
      <c r="I34">
        <v>3850</v>
      </c>
      <c r="J34">
        <v>3465</v>
      </c>
      <c r="K34">
        <v>0</v>
      </c>
      <c r="L34">
        <v>3479.6909999999998</v>
      </c>
      <c r="M34">
        <v>14.691000000000001</v>
      </c>
      <c r="N34" t="s">
        <v>63</v>
      </c>
      <c r="O34" s="2">
        <v>45958.410671296297</v>
      </c>
      <c r="P34" s="2">
        <v>45958.715821759259</v>
      </c>
      <c r="Q34" s="2">
        <v>45961.456782407404</v>
      </c>
      <c r="R34" t="s">
        <v>306</v>
      </c>
      <c r="S34" t="s">
        <v>65</v>
      </c>
      <c r="T34" s="2">
        <v>45958.543124999997</v>
      </c>
      <c r="U34" t="s">
        <v>66</v>
      </c>
      <c r="V34" t="s">
        <v>67</v>
      </c>
      <c r="W34" t="s">
        <v>66</v>
      </c>
      <c r="X34" t="s">
        <v>66</v>
      </c>
      <c r="Y34" t="s">
        <v>66</v>
      </c>
      <c r="Z34" t="s">
        <v>66</v>
      </c>
      <c r="AA34" t="s">
        <v>66</v>
      </c>
      <c r="AB34" t="s">
        <v>66</v>
      </c>
      <c r="AC34" t="s">
        <v>66</v>
      </c>
      <c r="AD34" s="2">
        <v>45961.480266203704</v>
      </c>
      <c r="AE34" t="s">
        <v>71</v>
      </c>
      <c r="AF34" t="s">
        <v>66</v>
      </c>
      <c r="AG34" t="s">
        <v>90</v>
      </c>
      <c r="AH34" t="s">
        <v>91</v>
      </c>
      <c r="AI34">
        <v>560087</v>
      </c>
      <c r="AJ34" t="s">
        <v>74</v>
      </c>
      <c r="AK34" t="s">
        <v>75</v>
      </c>
      <c r="AL34">
        <v>62044220</v>
      </c>
      <c r="AM34" s="2"/>
      <c r="AN34">
        <v>3465</v>
      </c>
      <c r="AO34" t="s">
        <v>307</v>
      </c>
      <c r="AP34" t="s">
        <v>66</v>
      </c>
      <c r="AQ34" t="s">
        <v>66</v>
      </c>
      <c r="AR34" t="s">
        <v>71</v>
      </c>
      <c r="AS34">
        <v>18</v>
      </c>
      <c r="AT34">
        <v>0</v>
      </c>
      <c r="AU34">
        <v>0</v>
      </c>
      <c r="AV34">
        <v>18</v>
      </c>
      <c r="AW34">
        <v>528.55899999999997</v>
      </c>
      <c r="AX34">
        <v>0</v>
      </c>
      <c r="AY34">
        <v>0</v>
      </c>
      <c r="AZ34">
        <v>528.55899999999997</v>
      </c>
      <c r="BA34" s="2"/>
      <c r="BB34">
        <v>1.1000000000000001</v>
      </c>
      <c r="BC34" s="2">
        <v>45960.5</v>
      </c>
      <c r="BD34" s="1">
        <f>MarketPlace_Order_Report__2[[#This Row],[UnitPrice]]*MarketPlace_Order_Report__2[[#This Row],[OrderQty]]</f>
        <v>3465</v>
      </c>
      <c r="BE34" s="1">
        <f>IFERROR(MarketPlace_Order_Report__2[[#This Row],[CGSTAmount]]+MarketPlace_Order_Report__2[[#This Row],[SGSTAmount]]+MarketPlace_Order_Report__2[[#This Row],[IGSTAmount]],MarketPlace_Order_Report__2[[#This Row],[TaxAmount]])</f>
        <v>528.55899999999997</v>
      </c>
      <c r="BF34" s="1">
        <f>MarketPlace_Order_Report__2[[#This Row],[Gross Amount (Before Tax)]]+MarketPlace_Order_Report__2[[#This Row],[Total GST Amount]]</f>
        <v>3993.5590000000002</v>
      </c>
    </row>
    <row r="35" spans="1:58">
      <c r="A35" t="s">
        <v>308</v>
      </c>
      <c r="B35" t="s">
        <v>309</v>
      </c>
      <c r="C35" t="s">
        <v>304</v>
      </c>
      <c r="D35" t="s">
        <v>305</v>
      </c>
      <c r="E35">
        <v>1</v>
      </c>
      <c r="F35" t="s">
        <v>1806</v>
      </c>
      <c r="G35">
        <v>1</v>
      </c>
      <c r="H35">
        <v>1</v>
      </c>
      <c r="I35">
        <v>3850</v>
      </c>
      <c r="J35">
        <v>3465</v>
      </c>
      <c r="K35">
        <v>0</v>
      </c>
      <c r="L35">
        <v>3465</v>
      </c>
      <c r="M35">
        <v>0</v>
      </c>
      <c r="N35" t="s">
        <v>63</v>
      </c>
      <c r="O35" s="2">
        <v>45942.395173611112</v>
      </c>
      <c r="P35" s="2">
        <v>45943.762280092589</v>
      </c>
      <c r="Q35" s="2">
        <v>45950.532870370371</v>
      </c>
      <c r="R35" t="s">
        <v>310</v>
      </c>
      <c r="S35" t="s">
        <v>161</v>
      </c>
      <c r="T35" s="2">
        <v>45942.661412037036</v>
      </c>
      <c r="U35" t="s">
        <v>66</v>
      </c>
      <c r="V35" t="s">
        <v>67</v>
      </c>
      <c r="W35" t="s">
        <v>66</v>
      </c>
      <c r="X35" t="s">
        <v>66</v>
      </c>
      <c r="Y35" t="s">
        <v>66</v>
      </c>
      <c r="Z35" t="s">
        <v>66</v>
      </c>
      <c r="AA35" t="s">
        <v>66</v>
      </c>
      <c r="AB35" t="s">
        <v>66</v>
      </c>
      <c r="AC35" t="s">
        <v>66</v>
      </c>
      <c r="AD35" s="2">
        <v>45950.587789351855</v>
      </c>
      <c r="AE35" t="s">
        <v>71</v>
      </c>
      <c r="AF35" t="s">
        <v>66</v>
      </c>
      <c r="AG35" t="s">
        <v>311</v>
      </c>
      <c r="AH35" t="s">
        <v>177</v>
      </c>
      <c r="AI35">
        <v>497001</v>
      </c>
      <c r="AJ35" t="s">
        <v>74</v>
      </c>
      <c r="AK35" t="s">
        <v>75</v>
      </c>
      <c r="AL35">
        <v>62044220</v>
      </c>
      <c r="AM35" s="2"/>
      <c r="AN35">
        <v>3465</v>
      </c>
      <c r="AO35" t="s">
        <v>312</v>
      </c>
      <c r="AP35" t="s">
        <v>243</v>
      </c>
      <c r="AQ35" t="s">
        <v>66</v>
      </c>
      <c r="AR35" t="s">
        <v>71</v>
      </c>
      <c r="AS35">
        <v>18</v>
      </c>
      <c r="AT35">
        <v>0</v>
      </c>
      <c r="AU35">
        <v>0</v>
      </c>
      <c r="AV35">
        <v>18</v>
      </c>
      <c r="AW35">
        <v>528.55899999999997</v>
      </c>
      <c r="AX35">
        <v>0</v>
      </c>
      <c r="AY35">
        <v>0</v>
      </c>
      <c r="AZ35">
        <v>528.55899999999997</v>
      </c>
      <c r="BA35" s="2"/>
      <c r="BB35">
        <v>0.75</v>
      </c>
      <c r="BC35" s="2">
        <v>45944.5</v>
      </c>
      <c r="BD35" s="1">
        <f>MarketPlace_Order_Report__2[[#This Row],[UnitPrice]]*MarketPlace_Order_Report__2[[#This Row],[OrderQty]]</f>
        <v>3465</v>
      </c>
      <c r="BE35" s="1">
        <f>IFERROR(MarketPlace_Order_Report__2[[#This Row],[CGSTAmount]]+MarketPlace_Order_Report__2[[#This Row],[SGSTAmount]]+MarketPlace_Order_Report__2[[#This Row],[IGSTAmount]],MarketPlace_Order_Report__2[[#This Row],[TaxAmount]])</f>
        <v>528.55899999999997</v>
      </c>
      <c r="BF35" s="1">
        <f>MarketPlace_Order_Report__2[[#This Row],[Gross Amount (Before Tax)]]+MarketPlace_Order_Report__2[[#This Row],[Total GST Amount]]</f>
        <v>3993.5590000000002</v>
      </c>
    </row>
    <row r="36" spans="1:58">
      <c r="A36" t="s">
        <v>313</v>
      </c>
      <c r="B36" t="s">
        <v>314</v>
      </c>
      <c r="C36" t="s">
        <v>315</v>
      </c>
      <c r="D36" t="s">
        <v>316</v>
      </c>
      <c r="E36">
        <v>1</v>
      </c>
      <c r="F36" t="s">
        <v>62</v>
      </c>
      <c r="G36">
        <v>1</v>
      </c>
      <c r="H36">
        <v>1</v>
      </c>
      <c r="I36">
        <v>3850</v>
      </c>
      <c r="J36">
        <v>3465</v>
      </c>
      <c r="K36">
        <v>0</v>
      </c>
      <c r="L36">
        <v>3489.8220000000001</v>
      </c>
      <c r="M36">
        <v>24.821999999999999</v>
      </c>
      <c r="N36" t="s">
        <v>99</v>
      </c>
      <c r="O36" s="2">
        <v>45937.45045138889</v>
      </c>
      <c r="P36" s="2">
        <v>45939.734652777777</v>
      </c>
      <c r="Q36" s="2">
        <v>45949.724004629628</v>
      </c>
      <c r="R36" t="s">
        <v>317</v>
      </c>
      <c r="S36" t="s">
        <v>65</v>
      </c>
      <c r="T36" s="2">
        <v>45938.725810185184</v>
      </c>
      <c r="U36" t="s">
        <v>66</v>
      </c>
      <c r="V36" t="s">
        <v>67</v>
      </c>
      <c r="W36" t="s">
        <v>66</v>
      </c>
      <c r="X36" t="s">
        <v>66</v>
      </c>
      <c r="Y36" t="s">
        <v>318</v>
      </c>
      <c r="Z36" t="s">
        <v>69</v>
      </c>
      <c r="AA36" t="s">
        <v>70</v>
      </c>
      <c r="AB36" t="s">
        <v>66</v>
      </c>
      <c r="AC36" t="s">
        <v>66</v>
      </c>
      <c r="AD36" s="2">
        <v>45961.49423611111</v>
      </c>
      <c r="AE36" t="s">
        <v>71</v>
      </c>
      <c r="AF36" t="s">
        <v>66</v>
      </c>
      <c r="AG36" t="s">
        <v>319</v>
      </c>
      <c r="AH36" t="s">
        <v>139</v>
      </c>
      <c r="AI36">
        <v>242001</v>
      </c>
      <c r="AJ36" t="s">
        <v>74</v>
      </c>
      <c r="AK36" t="s">
        <v>75</v>
      </c>
      <c r="AL36">
        <v>62044220</v>
      </c>
      <c r="AM36" s="2"/>
      <c r="AN36">
        <v>3465</v>
      </c>
      <c r="AO36" t="s">
        <v>320</v>
      </c>
      <c r="AP36" t="s">
        <v>66</v>
      </c>
      <c r="AQ36" t="s">
        <v>66</v>
      </c>
      <c r="AR36" t="s">
        <v>71</v>
      </c>
      <c r="AS36">
        <v>18</v>
      </c>
      <c r="AT36">
        <v>0</v>
      </c>
      <c r="AU36">
        <v>0</v>
      </c>
      <c r="AV36">
        <v>18</v>
      </c>
      <c r="AW36">
        <v>528.55899999999997</v>
      </c>
      <c r="AX36">
        <v>0</v>
      </c>
      <c r="AY36">
        <v>0</v>
      </c>
      <c r="AZ36">
        <v>528.55899999999997</v>
      </c>
      <c r="BA36" s="2"/>
      <c r="BB36">
        <v>1.1000000000000001</v>
      </c>
      <c r="BC36" s="2">
        <v>45939.5</v>
      </c>
      <c r="BD36" s="1">
        <f>MarketPlace_Order_Report__2[[#This Row],[UnitPrice]]*MarketPlace_Order_Report__2[[#This Row],[OrderQty]]</f>
        <v>3465</v>
      </c>
      <c r="BE36" s="1">
        <f>IFERROR(MarketPlace_Order_Report__2[[#This Row],[CGSTAmount]]+MarketPlace_Order_Report__2[[#This Row],[SGSTAmount]]+MarketPlace_Order_Report__2[[#This Row],[IGSTAmount]],MarketPlace_Order_Report__2[[#This Row],[TaxAmount]])</f>
        <v>528.55899999999997</v>
      </c>
      <c r="BF36" s="1">
        <f>MarketPlace_Order_Report__2[[#This Row],[Gross Amount (Before Tax)]]+MarketPlace_Order_Report__2[[#This Row],[Total GST Amount]]</f>
        <v>3993.5590000000002</v>
      </c>
    </row>
    <row r="37" spans="1:58">
      <c r="A37" t="s">
        <v>321</v>
      </c>
      <c r="B37" t="s">
        <v>322</v>
      </c>
      <c r="C37" t="s">
        <v>315</v>
      </c>
      <c r="D37" t="s">
        <v>316</v>
      </c>
      <c r="E37">
        <v>1</v>
      </c>
      <c r="F37" t="s">
        <v>145</v>
      </c>
      <c r="G37">
        <v>1</v>
      </c>
      <c r="H37">
        <v>0</v>
      </c>
      <c r="I37">
        <v>3850</v>
      </c>
      <c r="J37">
        <v>3465</v>
      </c>
      <c r="K37">
        <v>0</v>
      </c>
      <c r="L37">
        <v>3514</v>
      </c>
      <c r="M37">
        <v>49</v>
      </c>
      <c r="N37" t="s">
        <v>99</v>
      </c>
      <c r="O37" s="2">
        <v>45935.674016203702</v>
      </c>
      <c r="P37" s="2"/>
      <c r="Q37" s="2"/>
      <c r="R37" t="s">
        <v>66</v>
      </c>
      <c r="S37" t="s">
        <v>65</v>
      </c>
      <c r="T37" s="2"/>
      <c r="U37" t="s">
        <v>323</v>
      </c>
      <c r="V37" t="s">
        <v>67</v>
      </c>
      <c r="W37" t="s">
        <v>324</v>
      </c>
      <c r="X37" t="s">
        <v>66</v>
      </c>
      <c r="Y37" t="s">
        <v>66</v>
      </c>
      <c r="Z37" t="s">
        <v>66</v>
      </c>
      <c r="AA37" t="s">
        <v>66</v>
      </c>
      <c r="AB37" t="s">
        <v>66</v>
      </c>
      <c r="AC37" t="s">
        <v>66</v>
      </c>
      <c r="AD37" s="2">
        <v>45936.479768518519</v>
      </c>
      <c r="AE37" t="s">
        <v>71</v>
      </c>
      <c r="AF37" t="s">
        <v>66</v>
      </c>
      <c r="AG37" t="s">
        <v>319</v>
      </c>
      <c r="AH37" t="s">
        <v>139</v>
      </c>
      <c r="AI37">
        <v>242001</v>
      </c>
      <c r="AJ37" t="s">
        <v>74</v>
      </c>
      <c r="AK37" t="s">
        <v>75</v>
      </c>
      <c r="AL37">
        <v>62044220</v>
      </c>
      <c r="AM37" s="2">
        <v>45936.479768518519</v>
      </c>
      <c r="AN37">
        <v>3465</v>
      </c>
      <c r="AO37" t="s">
        <v>66</v>
      </c>
      <c r="AP37" t="s">
        <v>66</v>
      </c>
      <c r="AQ37" t="s">
        <v>325</v>
      </c>
      <c r="AR37" t="s">
        <v>326</v>
      </c>
      <c r="AS37">
        <v>18</v>
      </c>
      <c r="AT37">
        <v>0</v>
      </c>
      <c r="AU37">
        <v>0</v>
      </c>
      <c r="AV37">
        <v>18</v>
      </c>
      <c r="AW37">
        <v>528.55899999999997</v>
      </c>
      <c r="AX37">
        <v>0</v>
      </c>
      <c r="AY37">
        <v>0</v>
      </c>
      <c r="AZ37">
        <v>528.55899999999997</v>
      </c>
      <c r="BA37" s="2"/>
      <c r="BC37" s="2">
        <v>45938.5</v>
      </c>
      <c r="BD37" s="1">
        <f>MarketPlace_Order_Report__2[[#This Row],[UnitPrice]]*MarketPlace_Order_Report__2[[#This Row],[OrderQty]]</f>
        <v>3465</v>
      </c>
      <c r="BE37" s="1">
        <f>IFERROR(MarketPlace_Order_Report__2[[#This Row],[CGSTAmount]]+MarketPlace_Order_Report__2[[#This Row],[SGSTAmount]]+MarketPlace_Order_Report__2[[#This Row],[IGSTAmount]],MarketPlace_Order_Report__2[[#This Row],[TaxAmount]])</f>
        <v>528.55899999999997</v>
      </c>
      <c r="BF37" s="1">
        <f>MarketPlace_Order_Report__2[[#This Row],[Gross Amount (Before Tax)]]+MarketPlace_Order_Report__2[[#This Row],[Total GST Amount]]</f>
        <v>3993.5590000000002</v>
      </c>
    </row>
    <row r="38" spans="1:58">
      <c r="A38" t="s">
        <v>327</v>
      </c>
      <c r="B38" t="s">
        <v>328</v>
      </c>
      <c r="C38" t="s">
        <v>329</v>
      </c>
      <c r="D38" t="s">
        <v>330</v>
      </c>
      <c r="E38">
        <v>4</v>
      </c>
      <c r="F38" t="s">
        <v>1806</v>
      </c>
      <c r="G38">
        <v>1</v>
      </c>
      <c r="H38">
        <v>1</v>
      </c>
      <c r="I38">
        <v>3500</v>
      </c>
      <c r="J38">
        <v>2800</v>
      </c>
      <c r="K38">
        <v>0</v>
      </c>
      <c r="L38">
        <v>2806.66</v>
      </c>
      <c r="M38">
        <v>6.66</v>
      </c>
      <c r="N38" t="s">
        <v>63</v>
      </c>
      <c r="O38" s="2">
        <v>45958.074641203704</v>
      </c>
      <c r="P38" s="2">
        <v>45958.71570601852</v>
      </c>
      <c r="Q38" s="2">
        <v>45960.732951388891</v>
      </c>
      <c r="R38" t="s">
        <v>331</v>
      </c>
      <c r="S38" t="s">
        <v>65</v>
      </c>
      <c r="T38" s="2">
        <v>45958.543113425927</v>
      </c>
      <c r="U38" t="s">
        <v>66</v>
      </c>
      <c r="V38" t="s">
        <v>67</v>
      </c>
      <c r="W38" t="s">
        <v>66</v>
      </c>
      <c r="X38" t="s">
        <v>66</v>
      </c>
      <c r="Y38" t="s">
        <v>66</v>
      </c>
      <c r="Z38" t="s">
        <v>66</v>
      </c>
      <c r="AA38" t="s">
        <v>66</v>
      </c>
      <c r="AB38" t="s">
        <v>66</v>
      </c>
      <c r="AC38" t="s">
        <v>66</v>
      </c>
      <c r="AD38" s="2">
        <v>45960.733391203707</v>
      </c>
      <c r="AE38" t="s">
        <v>71</v>
      </c>
      <c r="AF38" t="s">
        <v>66</v>
      </c>
      <c r="AG38" t="s">
        <v>185</v>
      </c>
      <c r="AH38" t="s">
        <v>139</v>
      </c>
      <c r="AI38">
        <v>201305</v>
      </c>
      <c r="AJ38" t="s">
        <v>74</v>
      </c>
      <c r="AK38" t="s">
        <v>75</v>
      </c>
      <c r="AL38">
        <v>62042300</v>
      </c>
      <c r="AM38" s="2"/>
      <c r="AN38">
        <v>2800</v>
      </c>
      <c r="AO38" t="s">
        <v>332</v>
      </c>
      <c r="AP38" t="s">
        <v>288</v>
      </c>
      <c r="AQ38" t="s">
        <v>66</v>
      </c>
      <c r="AR38" t="s">
        <v>71</v>
      </c>
      <c r="AS38">
        <v>18</v>
      </c>
      <c r="AT38">
        <v>0</v>
      </c>
      <c r="AU38">
        <v>0</v>
      </c>
      <c r="AV38">
        <v>18</v>
      </c>
      <c r="AW38">
        <v>427.11900000000003</v>
      </c>
      <c r="AX38">
        <v>0</v>
      </c>
      <c r="AY38">
        <v>0</v>
      </c>
      <c r="AZ38">
        <v>427.11900000000003</v>
      </c>
      <c r="BA38" s="2"/>
      <c r="BB38">
        <v>0.85</v>
      </c>
      <c r="BC38" s="2">
        <v>45960.5</v>
      </c>
      <c r="BD38" s="1">
        <f>MarketPlace_Order_Report__2[[#This Row],[UnitPrice]]*MarketPlace_Order_Report__2[[#This Row],[OrderQty]]</f>
        <v>2800</v>
      </c>
      <c r="BE38" s="1">
        <f>IFERROR(MarketPlace_Order_Report__2[[#This Row],[CGSTAmount]]+MarketPlace_Order_Report__2[[#This Row],[SGSTAmount]]+MarketPlace_Order_Report__2[[#This Row],[IGSTAmount]],MarketPlace_Order_Report__2[[#This Row],[TaxAmount]])</f>
        <v>427.11900000000003</v>
      </c>
      <c r="BF38" s="1">
        <f>MarketPlace_Order_Report__2[[#This Row],[Gross Amount (Before Tax)]]+MarketPlace_Order_Report__2[[#This Row],[Total GST Amount]]</f>
        <v>3227.1190000000001</v>
      </c>
    </row>
    <row r="39" spans="1:58">
      <c r="A39" t="s">
        <v>333</v>
      </c>
      <c r="B39" t="s">
        <v>334</v>
      </c>
      <c r="C39" t="s">
        <v>335</v>
      </c>
      <c r="D39" t="s">
        <v>336</v>
      </c>
      <c r="E39">
        <v>1</v>
      </c>
      <c r="F39" t="s">
        <v>62</v>
      </c>
      <c r="G39">
        <v>1</v>
      </c>
      <c r="H39">
        <v>1</v>
      </c>
      <c r="I39">
        <v>4500</v>
      </c>
      <c r="J39">
        <v>3600</v>
      </c>
      <c r="K39">
        <v>0</v>
      </c>
      <c r="L39">
        <v>3629</v>
      </c>
      <c r="M39">
        <v>29</v>
      </c>
      <c r="N39" t="s">
        <v>63</v>
      </c>
      <c r="O39" s="2">
        <v>45943.332835648151</v>
      </c>
      <c r="P39" s="2">
        <v>45944.740173611113</v>
      </c>
      <c r="Q39" s="2">
        <v>45949.578750000001</v>
      </c>
      <c r="R39" t="s">
        <v>337</v>
      </c>
      <c r="S39" t="s">
        <v>65</v>
      </c>
      <c r="T39" s="2">
        <v>45943.812962962962</v>
      </c>
      <c r="U39" t="s">
        <v>66</v>
      </c>
      <c r="V39" t="s">
        <v>67</v>
      </c>
      <c r="W39" t="s">
        <v>66</v>
      </c>
      <c r="X39" t="s">
        <v>66</v>
      </c>
      <c r="Y39" t="s">
        <v>338</v>
      </c>
      <c r="Z39" t="s">
        <v>69</v>
      </c>
      <c r="AA39" t="s">
        <v>70</v>
      </c>
      <c r="AB39" t="s">
        <v>66</v>
      </c>
      <c r="AC39" t="s">
        <v>66</v>
      </c>
      <c r="AD39" s="2">
        <v>45961.105057870373</v>
      </c>
      <c r="AE39" t="s">
        <v>71</v>
      </c>
      <c r="AF39" t="s">
        <v>66</v>
      </c>
      <c r="AG39" t="s">
        <v>339</v>
      </c>
      <c r="AH39" t="s">
        <v>73</v>
      </c>
      <c r="AI39">
        <v>335512</v>
      </c>
      <c r="AJ39" t="s">
        <v>74</v>
      </c>
      <c r="AK39" t="s">
        <v>75</v>
      </c>
      <c r="AL39">
        <v>62042300</v>
      </c>
      <c r="AM39" s="2"/>
      <c r="AN39">
        <v>3600</v>
      </c>
      <c r="AO39" t="s">
        <v>340</v>
      </c>
      <c r="AP39" t="s">
        <v>132</v>
      </c>
      <c r="AQ39" t="s">
        <v>66</v>
      </c>
      <c r="AR39" t="s">
        <v>71</v>
      </c>
      <c r="AS39">
        <v>18</v>
      </c>
      <c r="AT39">
        <v>0</v>
      </c>
      <c r="AU39">
        <v>0</v>
      </c>
      <c r="AV39">
        <v>18</v>
      </c>
      <c r="AW39">
        <v>549.15300000000002</v>
      </c>
      <c r="AX39">
        <v>0</v>
      </c>
      <c r="AY39">
        <v>0</v>
      </c>
      <c r="AZ39">
        <v>549.15300000000002</v>
      </c>
      <c r="BA39" s="2"/>
      <c r="BB39">
        <v>0.75</v>
      </c>
      <c r="BC39" s="2">
        <v>45945.5</v>
      </c>
      <c r="BD39" s="1">
        <f>MarketPlace_Order_Report__2[[#This Row],[UnitPrice]]*MarketPlace_Order_Report__2[[#This Row],[OrderQty]]</f>
        <v>3600</v>
      </c>
      <c r="BE39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39" s="1">
        <f>MarketPlace_Order_Report__2[[#This Row],[Gross Amount (Before Tax)]]+MarketPlace_Order_Report__2[[#This Row],[Total GST Amount]]</f>
        <v>4149.1530000000002</v>
      </c>
    </row>
    <row r="40" spans="1:58">
      <c r="A40" t="s">
        <v>341</v>
      </c>
      <c r="B40" t="s">
        <v>342</v>
      </c>
      <c r="C40" t="s">
        <v>343</v>
      </c>
      <c r="D40" t="s">
        <v>344</v>
      </c>
      <c r="E40">
        <v>1</v>
      </c>
      <c r="F40" t="s">
        <v>145</v>
      </c>
      <c r="G40">
        <v>1</v>
      </c>
      <c r="H40">
        <v>0</v>
      </c>
      <c r="I40">
        <v>4500</v>
      </c>
      <c r="J40">
        <v>4050</v>
      </c>
      <c r="K40">
        <v>0</v>
      </c>
      <c r="L40">
        <v>4099</v>
      </c>
      <c r="M40">
        <v>49</v>
      </c>
      <c r="N40" t="s">
        <v>99</v>
      </c>
      <c r="O40" s="2">
        <v>45935.066076388888</v>
      </c>
      <c r="P40" s="2"/>
      <c r="Q40" s="2"/>
      <c r="R40" t="s">
        <v>66</v>
      </c>
      <c r="S40" t="s">
        <v>65</v>
      </c>
      <c r="T40" s="2"/>
      <c r="U40" t="s">
        <v>345</v>
      </c>
      <c r="V40" t="s">
        <v>67</v>
      </c>
      <c r="W40" t="s">
        <v>66</v>
      </c>
      <c r="X40" t="s">
        <v>66</v>
      </c>
      <c r="Y40" t="s">
        <v>66</v>
      </c>
      <c r="Z40" t="s">
        <v>66</v>
      </c>
      <c r="AA40" t="s">
        <v>66</v>
      </c>
      <c r="AB40" t="s">
        <v>66</v>
      </c>
      <c r="AC40" t="s">
        <v>66</v>
      </c>
      <c r="AD40" s="2">
        <v>45935.388877314814</v>
      </c>
      <c r="AE40" t="s">
        <v>71</v>
      </c>
      <c r="AF40" t="s">
        <v>66</v>
      </c>
      <c r="AG40" t="s">
        <v>346</v>
      </c>
      <c r="AH40" t="s">
        <v>139</v>
      </c>
      <c r="AI40">
        <v>284001</v>
      </c>
      <c r="AJ40" t="s">
        <v>74</v>
      </c>
      <c r="AK40" t="s">
        <v>75</v>
      </c>
      <c r="AL40">
        <v>62042300</v>
      </c>
      <c r="AM40" s="2">
        <v>45935.388877314814</v>
      </c>
      <c r="AN40">
        <v>4050</v>
      </c>
      <c r="AO40" t="s">
        <v>66</v>
      </c>
      <c r="AP40" t="s">
        <v>66</v>
      </c>
      <c r="AQ40" t="s">
        <v>66</v>
      </c>
      <c r="AR40" t="s">
        <v>71</v>
      </c>
      <c r="AS40">
        <v>18</v>
      </c>
      <c r="AT40">
        <v>0</v>
      </c>
      <c r="AU40">
        <v>0</v>
      </c>
      <c r="AV40">
        <v>18</v>
      </c>
      <c r="AW40">
        <v>617.79700000000003</v>
      </c>
      <c r="AX40">
        <v>0</v>
      </c>
      <c r="AY40">
        <v>0</v>
      </c>
      <c r="AZ40">
        <v>617.79700000000003</v>
      </c>
      <c r="BA40" s="2"/>
      <c r="BC40" s="2">
        <v>45937.5</v>
      </c>
      <c r="BD40" s="1">
        <f>MarketPlace_Order_Report__2[[#This Row],[UnitPrice]]*MarketPlace_Order_Report__2[[#This Row],[OrderQty]]</f>
        <v>4050</v>
      </c>
      <c r="BE40" s="1">
        <f>IFERROR(MarketPlace_Order_Report__2[[#This Row],[CGSTAmount]]+MarketPlace_Order_Report__2[[#This Row],[SGSTAmount]]+MarketPlace_Order_Report__2[[#This Row],[IGSTAmount]],MarketPlace_Order_Report__2[[#This Row],[TaxAmount]])</f>
        <v>617.79700000000003</v>
      </c>
      <c r="BF40" s="1">
        <f>MarketPlace_Order_Report__2[[#This Row],[Gross Amount (Before Tax)]]+MarketPlace_Order_Report__2[[#This Row],[Total GST Amount]]</f>
        <v>4667.7970000000005</v>
      </c>
    </row>
    <row r="41" spans="1:58">
      <c r="A41" t="s">
        <v>347</v>
      </c>
      <c r="B41" t="s">
        <v>348</v>
      </c>
      <c r="C41" t="s">
        <v>349</v>
      </c>
      <c r="D41" t="s">
        <v>350</v>
      </c>
      <c r="E41">
        <v>2</v>
      </c>
      <c r="F41" t="s">
        <v>1806</v>
      </c>
      <c r="G41">
        <v>1</v>
      </c>
      <c r="H41">
        <v>1</v>
      </c>
      <c r="I41">
        <v>4500</v>
      </c>
      <c r="J41">
        <v>4050</v>
      </c>
      <c r="K41">
        <v>0</v>
      </c>
      <c r="L41">
        <v>4065.9250000000002</v>
      </c>
      <c r="M41">
        <v>15.925000000000001</v>
      </c>
      <c r="N41" t="s">
        <v>63</v>
      </c>
      <c r="O41" s="2">
        <v>45942.552453703705</v>
      </c>
      <c r="P41" s="2">
        <v>45943.761608796296</v>
      </c>
      <c r="Q41" s="2">
        <v>45946.461747685185</v>
      </c>
      <c r="R41" t="s">
        <v>351</v>
      </c>
      <c r="S41" t="s">
        <v>161</v>
      </c>
      <c r="T41" s="2">
        <v>45942.661412037036</v>
      </c>
      <c r="U41" t="s">
        <v>66</v>
      </c>
      <c r="V41" t="s">
        <v>67</v>
      </c>
      <c r="W41" t="s">
        <v>66</v>
      </c>
      <c r="X41" t="s">
        <v>66</v>
      </c>
      <c r="Y41" t="s">
        <v>66</v>
      </c>
      <c r="Z41" t="s">
        <v>66</v>
      </c>
      <c r="AA41" t="s">
        <v>66</v>
      </c>
      <c r="AB41" t="s">
        <v>66</v>
      </c>
      <c r="AC41" t="s">
        <v>66</v>
      </c>
      <c r="AD41" s="2">
        <v>45946.483437499999</v>
      </c>
      <c r="AE41" t="s">
        <v>71</v>
      </c>
      <c r="AF41" t="s">
        <v>66</v>
      </c>
      <c r="AG41" t="s">
        <v>259</v>
      </c>
      <c r="AH41" t="s">
        <v>123</v>
      </c>
      <c r="AI41">
        <v>400059</v>
      </c>
      <c r="AJ41" t="s">
        <v>74</v>
      </c>
      <c r="AK41" t="s">
        <v>75</v>
      </c>
      <c r="AL41">
        <v>62042300</v>
      </c>
      <c r="AM41" s="2"/>
      <c r="AN41">
        <v>4050</v>
      </c>
      <c r="AO41" t="s">
        <v>352</v>
      </c>
      <c r="AP41" t="s">
        <v>353</v>
      </c>
      <c r="AQ41" t="s">
        <v>66</v>
      </c>
      <c r="AR41" t="s">
        <v>71</v>
      </c>
      <c r="AS41">
        <v>18</v>
      </c>
      <c r="AT41">
        <v>9</v>
      </c>
      <c r="AU41">
        <v>9</v>
      </c>
      <c r="AV41">
        <v>0</v>
      </c>
      <c r="AW41">
        <v>617.79700000000003</v>
      </c>
      <c r="AX41">
        <v>308.899</v>
      </c>
      <c r="AY41">
        <v>308.899</v>
      </c>
      <c r="AZ41">
        <v>0</v>
      </c>
      <c r="BA41" s="2"/>
      <c r="BB41">
        <v>1.2</v>
      </c>
      <c r="BC41" s="2">
        <v>45945.5</v>
      </c>
      <c r="BD41" s="1">
        <f>MarketPlace_Order_Report__2[[#This Row],[UnitPrice]]*MarketPlace_Order_Report__2[[#This Row],[OrderQty]]</f>
        <v>4050</v>
      </c>
      <c r="BE41" s="1">
        <f>IFERROR(MarketPlace_Order_Report__2[[#This Row],[CGSTAmount]]+MarketPlace_Order_Report__2[[#This Row],[SGSTAmount]]+MarketPlace_Order_Report__2[[#This Row],[IGSTAmount]],MarketPlace_Order_Report__2[[#This Row],[TaxAmount]])</f>
        <v>617.798</v>
      </c>
      <c r="BF41" s="1">
        <f>MarketPlace_Order_Report__2[[#This Row],[Gross Amount (Before Tax)]]+MarketPlace_Order_Report__2[[#This Row],[Total GST Amount]]</f>
        <v>4667.7979999999998</v>
      </c>
    </row>
    <row r="42" spans="1:58">
      <c r="A42" t="s">
        <v>354</v>
      </c>
      <c r="B42" t="s">
        <v>355</v>
      </c>
      <c r="C42" t="s">
        <v>356</v>
      </c>
      <c r="D42" t="s">
        <v>357</v>
      </c>
      <c r="E42">
        <v>1</v>
      </c>
      <c r="F42" t="s">
        <v>1806</v>
      </c>
      <c r="G42">
        <v>1</v>
      </c>
      <c r="H42">
        <v>1</v>
      </c>
      <c r="I42">
        <v>4500</v>
      </c>
      <c r="J42">
        <v>4050</v>
      </c>
      <c r="K42">
        <v>0</v>
      </c>
      <c r="L42">
        <v>4099</v>
      </c>
      <c r="M42">
        <v>49</v>
      </c>
      <c r="N42" t="s">
        <v>99</v>
      </c>
      <c r="O42" s="2">
        <v>45939.732546296298</v>
      </c>
      <c r="P42" s="2">
        <v>45943.763124999998</v>
      </c>
      <c r="Q42" s="2">
        <v>45946.454664351855</v>
      </c>
      <c r="R42" t="s">
        <v>358</v>
      </c>
      <c r="S42" t="s">
        <v>65</v>
      </c>
      <c r="T42" s="2">
        <v>45939.786874999998</v>
      </c>
      <c r="U42" t="s">
        <v>66</v>
      </c>
      <c r="V42" t="s">
        <v>67</v>
      </c>
      <c r="W42" t="s">
        <v>66</v>
      </c>
      <c r="X42" t="s">
        <v>66</v>
      </c>
      <c r="Y42" t="s">
        <v>66</v>
      </c>
      <c r="Z42" t="s">
        <v>66</v>
      </c>
      <c r="AA42" t="s">
        <v>66</v>
      </c>
      <c r="AB42" t="s">
        <v>66</v>
      </c>
      <c r="AC42" t="s">
        <v>66</v>
      </c>
      <c r="AD42" s="2">
        <v>45946.455717592595</v>
      </c>
      <c r="AE42" t="s">
        <v>71</v>
      </c>
      <c r="AF42" t="s">
        <v>66</v>
      </c>
      <c r="AG42" t="s">
        <v>359</v>
      </c>
      <c r="AH42" t="s">
        <v>360</v>
      </c>
      <c r="AI42">
        <v>700055</v>
      </c>
      <c r="AJ42" t="s">
        <v>74</v>
      </c>
      <c r="AK42" t="s">
        <v>75</v>
      </c>
      <c r="AL42">
        <v>62042300</v>
      </c>
      <c r="AM42" s="2"/>
      <c r="AN42">
        <v>4050</v>
      </c>
      <c r="AO42" t="s">
        <v>361</v>
      </c>
      <c r="AP42" t="s">
        <v>66</v>
      </c>
      <c r="AQ42" t="s">
        <v>66</v>
      </c>
      <c r="AR42" t="s">
        <v>71</v>
      </c>
      <c r="AS42">
        <v>18</v>
      </c>
      <c r="AT42">
        <v>0</v>
      </c>
      <c r="AU42">
        <v>0</v>
      </c>
      <c r="AV42">
        <v>18</v>
      </c>
      <c r="AW42">
        <v>617.79700000000003</v>
      </c>
      <c r="AX42">
        <v>0</v>
      </c>
      <c r="AY42">
        <v>0</v>
      </c>
      <c r="AZ42">
        <v>617.79700000000003</v>
      </c>
      <c r="BA42" s="2"/>
      <c r="BB42">
        <v>0.85</v>
      </c>
      <c r="BC42" s="2">
        <v>45942.5</v>
      </c>
      <c r="BD42" s="1">
        <f>MarketPlace_Order_Report__2[[#This Row],[UnitPrice]]*MarketPlace_Order_Report__2[[#This Row],[OrderQty]]</f>
        <v>4050</v>
      </c>
      <c r="BE42" s="1">
        <f>IFERROR(MarketPlace_Order_Report__2[[#This Row],[CGSTAmount]]+MarketPlace_Order_Report__2[[#This Row],[SGSTAmount]]+MarketPlace_Order_Report__2[[#This Row],[IGSTAmount]],MarketPlace_Order_Report__2[[#This Row],[TaxAmount]])</f>
        <v>617.79700000000003</v>
      </c>
      <c r="BF42" s="1">
        <f>MarketPlace_Order_Report__2[[#This Row],[Gross Amount (Before Tax)]]+MarketPlace_Order_Report__2[[#This Row],[Total GST Amount]]</f>
        <v>4667.7970000000005</v>
      </c>
    </row>
    <row r="43" spans="1:58">
      <c r="A43" t="s">
        <v>362</v>
      </c>
      <c r="B43" t="s">
        <v>363</v>
      </c>
      <c r="C43" t="s">
        <v>364</v>
      </c>
      <c r="D43" t="s">
        <v>365</v>
      </c>
      <c r="E43">
        <v>1</v>
      </c>
      <c r="F43" t="s">
        <v>1806</v>
      </c>
      <c r="G43">
        <v>1</v>
      </c>
      <c r="H43">
        <v>1</v>
      </c>
      <c r="I43">
        <v>5000</v>
      </c>
      <c r="J43">
        <v>4500</v>
      </c>
      <c r="K43">
        <v>0</v>
      </c>
      <c r="L43">
        <v>4520.76</v>
      </c>
      <c r="M43">
        <v>20.76</v>
      </c>
      <c r="N43" t="s">
        <v>63</v>
      </c>
      <c r="O43" s="2">
        <v>45953.363229166665</v>
      </c>
      <c r="P43" s="2">
        <v>45954.730717592596</v>
      </c>
      <c r="Q43" s="2">
        <v>45956.693124999998</v>
      </c>
      <c r="R43" t="s">
        <v>366</v>
      </c>
      <c r="S43" t="s">
        <v>65</v>
      </c>
      <c r="T43" s="2">
        <v>45954.500509259262</v>
      </c>
      <c r="U43" t="s">
        <v>66</v>
      </c>
      <c r="V43" t="s">
        <v>67</v>
      </c>
      <c r="W43" t="s">
        <v>66</v>
      </c>
      <c r="X43" t="s">
        <v>66</v>
      </c>
      <c r="Y43" t="s">
        <v>66</v>
      </c>
      <c r="Z43" t="s">
        <v>66</v>
      </c>
      <c r="AA43" t="s">
        <v>66</v>
      </c>
      <c r="AB43" t="s">
        <v>66</v>
      </c>
      <c r="AC43" t="s">
        <v>66</v>
      </c>
      <c r="AD43" s="2">
        <v>45956.695520833331</v>
      </c>
      <c r="AE43" t="s">
        <v>71</v>
      </c>
      <c r="AF43" t="s">
        <v>66</v>
      </c>
      <c r="AG43" t="s">
        <v>90</v>
      </c>
      <c r="AH43" t="s">
        <v>91</v>
      </c>
      <c r="AI43">
        <v>560102</v>
      </c>
      <c r="AJ43" t="s">
        <v>74</v>
      </c>
      <c r="AK43" t="s">
        <v>75</v>
      </c>
      <c r="AL43">
        <v>62042300</v>
      </c>
      <c r="AM43" s="2"/>
      <c r="AN43">
        <v>4500</v>
      </c>
      <c r="AO43" t="s">
        <v>367</v>
      </c>
      <c r="AP43" t="s">
        <v>93</v>
      </c>
      <c r="AQ43" t="s">
        <v>66</v>
      </c>
      <c r="AR43" t="s">
        <v>71</v>
      </c>
      <c r="AS43">
        <v>18</v>
      </c>
      <c r="AT43">
        <v>0</v>
      </c>
      <c r="AU43">
        <v>0</v>
      </c>
      <c r="AV43">
        <v>18</v>
      </c>
      <c r="AW43">
        <v>686.44100000000003</v>
      </c>
      <c r="AX43">
        <v>0</v>
      </c>
      <c r="AY43">
        <v>0</v>
      </c>
      <c r="AZ43">
        <v>686.44100000000003</v>
      </c>
      <c r="BA43" s="2"/>
      <c r="BB43">
        <v>0.85</v>
      </c>
      <c r="BC43" s="2">
        <v>45955.5</v>
      </c>
      <c r="BD43" s="1">
        <f>MarketPlace_Order_Report__2[[#This Row],[UnitPrice]]*MarketPlace_Order_Report__2[[#This Row],[OrderQty]]</f>
        <v>4500</v>
      </c>
      <c r="BE43" s="1">
        <f>IFERROR(MarketPlace_Order_Report__2[[#This Row],[CGSTAmount]]+MarketPlace_Order_Report__2[[#This Row],[SGSTAmount]]+MarketPlace_Order_Report__2[[#This Row],[IGSTAmount]],MarketPlace_Order_Report__2[[#This Row],[TaxAmount]])</f>
        <v>686.44100000000003</v>
      </c>
      <c r="BF43" s="1">
        <f>MarketPlace_Order_Report__2[[#This Row],[Gross Amount (Before Tax)]]+MarketPlace_Order_Report__2[[#This Row],[Total GST Amount]]</f>
        <v>5186.4409999999998</v>
      </c>
    </row>
    <row r="44" spans="1:58">
      <c r="A44" t="s">
        <v>368</v>
      </c>
      <c r="B44" t="s">
        <v>369</v>
      </c>
      <c r="C44" t="s">
        <v>370</v>
      </c>
      <c r="D44" t="s">
        <v>371</v>
      </c>
      <c r="E44">
        <v>30</v>
      </c>
      <c r="F44" t="s">
        <v>62</v>
      </c>
      <c r="G44">
        <v>1</v>
      </c>
      <c r="H44">
        <v>1</v>
      </c>
      <c r="I44">
        <v>4500</v>
      </c>
      <c r="J44">
        <v>2700</v>
      </c>
      <c r="K44">
        <v>0</v>
      </c>
      <c r="L44">
        <v>2700</v>
      </c>
      <c r="M44">
        <v>0</v>
      </c>
      <c r="N44" t="s">
        <v>63</v>
      </c>
      <c r="O44" s="2">
        <v>45935.873217592591</v>
      </c>
      <c r="P44" s="2">
        <v>45937.725925925923</v>
      </c>
      <c r="Q44" s="2">
        <v>45940.739317129628</v>
      </c>
      <c r="R44" t="s">
        <v>372</v>
      </c>
      <c r="S44" t="s">
        <v>65</v>
      </c>
      <c r="T44" s="2">
        <v>45936.813321759262</v>
      </c>
      <c r="U44" t="s">
        <v>66</v>
      </c>
      <c r="V44" t="s">
        <v>67</v>
      </c>
      <c r="W44" t="s">
        <v>66</v>
      </c>
      <c r="X44" t="s">
        <v>66</v>
      </c>
      <c r="Y44" t="s">
        <v>373</v>
      </c>
      <c r="Z44" t="s">
        <v>69</v>
      </c>
      <c r="AA44" t="s">
        <v>175</v>
      </c>
      <c r="AB44" t="s">
        <v>66</v>
      </c>
      <c r="AC44" t="s">
        <v>66</v>
      </c>
      <c r="AD44" s="2">
        <v>45948.823819444442</v>
      </c>
      <c r="AE44" t="s">
        <v>71</v>
      </c>
      <c r="AF44" t="s">
        <v>66</v>
      </c>
      <c r="AG44" t="s">
        <v>374</v>
      </c>
      <c r="AH44" t="s">
        <v>91</v>
      </c>
      <c r="AI44">
        <v>575001</v>
      </c>
      <c r="AJ44" t="s">
        <v>74</v>
      </c>
      <c r="AK44" t="s">
        <v>75</v>
      </c>
      <c r="AL44">
        <v>62042300</v>
      </c>
      <c r="AM44" s="2"/>
      <c r="AN44">
        <v>2700</v>
      </c>
      <c r="AO44" t="s">
        <v>375</v>
      </c>
      <c r="AP44" t="s">
        <v>66</v>
      </c>
      <c r="AQ44" t="s">
        <v>66</v>
      </c>
      <c r="AR44" t="s">
        <v>71</v>
      </c>
      <c r="AS44">
        <v>18</v>
      </c>
      <c r="AT44">
        <v>0</v>
      </c>
      <c r="AU44">
        <v>0</v>
      </c>
      <c r="AV44">
        <v>18</v>
      </c>
      <c r="AW44">
        <v>411.86399999999998</v>
      </c>
      <c r="AX44">
        <v>0</v>
      </c>
      <c r="AY44">
        <v>0</v>
      </c>
      <c r="AZ44">
        <v>411.86399999999998</v>
      </c>
      <c r="BA44" s="2"/>
      <c r="BB44">
        <v>1.2</v>
      </c>
      <c r="BC44" s="2">
        <v>45938.5</v>
      </c>
      <c r="BD44" s="1">
        <f>MarketPlace_Order_Report__2[[#This Row],[UnitPrice]]*MarketPlace_Order_Report__2[[#This Row],[OrderQty]]</f>
        <v>2700</v>
      </c>
      <c r="BE44" s="1">
        <f>IFERROR(MarketPlace_Order_Report__2[[#This Row],[CGSTAmount]]+MarketPlace_Order_Report__2[[#This Row],[SGSTAmount]]+MarketPlace_Order_Report__2[[#This Row],[IGSTAmount]],MarketPlace_Order_Report__2[[#This Row],[TaxAmount]])</f>
        <v>411.86399999999998</v>
      </c>
      <c r="BF44" s="1">
        <f>MarketPlace_Order_Report__2[[#This Row],[Gross Amount (Before Tax)]]+MarketPlace_Order_Report__2[[#This Row],[Total GST Amount]]</f>
        <v>3111.864</v>
      </c>
    </row>
    <row r="45" spans="1:58">
      <c r="A45" t="s">
        <v>376</v>
      </c>
      <c r="B45" t="s">
        <v>377</v>
      </c>
      <c r="C45" t="s">
        <v>378</v>
      </c>
      <c r="D45" t="s">
        <v>379</v>
      </c>
      <c r="E45">
        <v>1</v>
      </c>
      <c r="F45" t="s">
        <v>62</v>
      </c>
      <c r="G45">
        <v>1</v>
      </c>
      <c r="H45">
        <v>1</v>
      </c>
      <c r="I45">
        <v>3500</v>
      </c>
      <c r="J45">
        <v>3150</v>
      </c>
      <c r="K45">
        <v>0</v>
      </c>
      <c r="L45">
        <v>3164.52</v>
      </c>
      <c r="M45">
        <v>14.52</v>
      </c>
      <c r="N45" t="s">
        <v>63</v>
      </c>
      <c r="O45" s="2">
        <v>45934.805787037039</v>
      </c>
      <c r="P45" s="2">
        <v>45936.714699074073</v>
      </c>
      <c r="Q45" s="2">
        <v>45943.710347222222</v>
      </c>
      <c r="R45" t="s">
        <v>380</v>
      </c>
      <c r="S45" t="s">
        <v>161</v>
      </c>
      <c r="T45" s="2">
        <v>45934.839085648149</v>
      </c>
      <c r="U45" t="s">
        <v>66</v>
      </c>
      <c r="V45" t="s">
        <v>67</v>
      </c>
      <c r="W45" t="s">
        <v>66</v>
      </c>
      <c r="X45" t="s">
        <v>66</v>
      </c>
      <c r="Y45" t="s">
        <v>381</v>
      </c>
      <c r="Z45" t="s">
        <v>69</v>
      </c>
      <c r="AA45" t="s">
        <v>175</v>
      </c>
      <c r="AB45" t="s">
        <v>66</v>
      </c>
      <c r="AC45" t="s">
        <v>66</v>
      </c>
      <c r="AD45" s="2">
        <v>45954.629421296297</v>
      </c>
      <c r="AE45" t="s">
        <v>71</v>
      </c>
      <c r="AF45" t="s">
        <v>66</v>
      </c>
      <c r="AG45" t="s">
        <v>382</v>
      </c>
      <c r="AH45" t="s">
        <v>383</v>
      </c>
      <c r="AI45">
        <v>462003</v>
      </c>
      <c r="AJ45" t="s">
        <v>74</v>
      </c>
      <c r="AK45" t="s">
        <v>75</v>
      </c>
      <c r="AL45">
        <v>62042300</v>
      </c>
      <c r="AM45" s="2"/>
      <c r="AN45">
        <v>3150</v>
      </c>
      <c r="AO45" t="s">
        <v>384</v>
      </c>
      <c r="AP45" t="s">
        <v>66</v>
      </c>
      <c r="AQ45" t="s">
        <v>66</v>
      </c>
      <c r="AR45" t="s">
        <v>71</v>
      </c>
      <c r="AS45">
        <v>18</v>
      </c>
      <c r="AT45">
        <v>0</v>
      </c>
      <c r="AU45">
        <v>0</v>
      </c>
      <c r="AV45">
        <v>18</v>
      </c>
      <c r="AW45">
        <v>480.50799999999998</v>
      </c>
      <c r="AX45">
        <v>0</v>
      </c>
      <c r="AY45">
        <v>0</v>
      </c>
      <c r="AZ45">
        <v>480.50799999999998</v>
      </c>
      <c r="BA45" s="2"/>
      <c r="BB45">
        <v>0.85</v>
      </c>
      <c r="BC45" s="2">
        <v>45937.5</v>
      </c>
      <c r="BD45" s="1">
        <f>MarketPlace_Order_Report__2[[#This Row],[UnitPrice]]*MarketPlace_Order_Report__2[[#This Row],[OrderQty]]</f>
        <v>3150</v>
      </c>
      <c r="BE45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45" s="1">
        <f>MarketPlace_Order_Report__2[[#This Row],[Gross Amount (Before Tax)]]+MarketPlace_Order_Report__2[[#This Row],[Total GST Amount]]</f>
        <v>3630.5079999999998</v>
      </c>
    </row>
    <row r="46" spans="1:58">
      <c r="A46" t="s">
        <v>385</v>
      </c>
      <c r="B46" t="s">
        <v>386</v>
      </c>
      <c r="C46" t="s">
        <v>387</v>
      </c>
      <c r="D46" t="s">
        <v>388</v>
      </c>
      <c r="E46">
        <v>2</v>
      </c>
      <c r="F46" t="s">
        <v>145</v>
      </c>
      <c r="G46">
        <v>1</v>
      </c>
      <c r="H46">
        <v>0</v>
      </c>
      <c r="I46">
        <v>3500</v>
      </c>
      <c r="J46">
        <v>3150</v>
      </c>
      <c r="K46">
        <v>0</v>
      </c>
      <c r="L46">
        <v>3157.84</v>
      </c>
      <c r="M46">
        <v>7.84</v>
      </c>
      <c r="N46" t="s">
        <v>63</v>
      </c>
      <c r="O46" s="2">
        <v>45957.72488425926</v>
      </c>
      <c r="P46" s="2"/>
      <c r="Q46" s="2"/>
      <c r="R46" t="s">
        <v>66</v>
      </c>
      <c r="S46" t="s">
        <v>65</v>
      </c>
      <c r="T46" s="2"/>
      <c r="U46" t="s">
        <v>147</v>
      </c>
      <c r="V46" t="s">
        <v>67</v>
      </c>
      <c r="W46" t="s">
        <v>66</v>
      </c>
      <c r="X46" t="s">
        <v>66</v>
      </c>
      <c r="Y46" t="s">
        <v>66</v>
      </c>
      <c r="Z46" t="s">
        <v>66</v>
      </c>
      <c r="AA46" t="s">
        <v>66</v>
      </c>
      <c r="AB46" t="s">
        <v>66</v>
      </c>
      <c r="AC46" t="s">
        <v>66</v>
      </c>
      <c r="AD46" s="2">
        <v>45957.733587962961</v>
      </c>
      <c r="AE46" t="s">
        <v>71</v>
      </c>
      <c r="AF46" t="s">
        <v>66</v>
      </c>
      <c r="AG46" t="s">
        <v>90</v>
      </c>
      <c r="AH46" t="s">
        <v>91</v>
      </c>
      <c r="AI46">
        <v>560086</v>
      </c>
      <c r="AJ46" t="s">
        <v>74</v>
      </c>
      <c r="AK46" t="s">
        <v>75</v>
      </c>
      <c r="AL46">
        <v>62042300</v>
      </c>
      <c r="AM46" s="2">
        <v>45957.733587962961</v>
      </c>
      <c r="AN46">
        <v>3150</v>
      </c>
      <c r="AO46" t="s">
        <v>66</v>
      </c>
      <c r="AP46" t="s">
        <v>66</v>
      </c>
      <c r="AQ46" t="s">
        <v>66</v>
      </c>
      <c r="AR46" t="s">
        <v>71</v>
      </c>
      <c r="AS46">
        <v>18</v>
      </c>
      <c r="AT46">
        <v>0</v>
      </c>
      <c r="AU46">
        <v>0</v>
      </c>
      <c r="AV46">
        <v>18</v>
      </c>
      <c r="AW46">
        <v>480.50799999999998</v>
      </c>
      <c r="AX46">
        <v>0</v>
      </c>
      <c r="AY46">
        <v>0</v>
      </c>
      <c r="AZ46">
        <v>480.50799999999998</v>
      </c>
      <c r="BA46" s="2"/>
      <c r="BC46" s="2">
        <v>45960.5</v>
      </c>
      <c r="BD46" s="1">
        <f>MarketPlace_Order_Report__2[[#This Row],[UnitPrice]]*MarketPlace_Order_Report__2[[#This Row],[OrderQty]]</f>
        <v>3150</v>
      </c>
      <c r="BE46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46" s="1">
        <f>MarketPlace_Order_Report__2[[#This Row],[Gross Amount (Before Tax)]]+MarketPlace_Order_Report__2[[#This Row],[Total GST Amount]]</f>
        <v>3630.5079999999998</v>
      </c>
    </row>
    <row r="47" spans="1:58">
      <c r="A47" t="s">
        <v>389</v>
      </c>
      <c r="B47" t="s">
        <v>390</v>
      </c>
      <c r="C47" t="s">
        <v>391</v>
      </c>
      <c r="D47" t="s">
        <v>392</v>
      </c>
      <c r="E47">
        <v>2</v>
      </c>
      <c r="F47" t="s">
        <v>228</v>
      </c>
      <c r="G47">
        <v>1</v>
      </c>
      <c r="H47">
        <v>1</v>
      </c>
      <c r="I47">
        <v>3500</v>
      </c>
      <c r="J47">
        <v>3150</v>
      </c>
      <c r="K47">
        <v>0</v>
      </c>
      <c r="L47">
        <v>3156.83</v>
      </c>
      <c r="M47">
        <v>6.83</v>
      </c>
      <c r="N47" t="s">
        <v>99</v>
      </c>
      <c r="O47" s="2">
        <v>45934.059745370374</v>
      </c>
      <c r="P47" s="2">
        <v>45936.714629629627</v>
      </c>
      <c r="Q47" s="2"/>
      <c r="R47" t="s">
        <v>393</v>
      </c>
      <c r="S47" t="s">
        <v>65</v>
      </c>
      <c r="T47" s="2">
        <v>45934.839085648149</v>
      </c>
      <c r="U47" t="s">
        <v>66</v>
      </c>
      <c r="V47" t="s">
        <v>67</v>
      </c>
      <c r="W47" t="s">
        <v>66</v>
      </c>
      <c r="X47" t="s">
        <v>66</v>
      </c>
      <c r="Y47" t="s">
        <v>394</v>
      </c>
      <c r="Z47" t="s">
        <v>231</v>
      </c>
      <c r="AA47" t="s">
        <v>175</v>
      </c>
      <c r="AB47" t="s">
        <v>66</v>
      </c>
      <c r="AC47" t="s">
        <v>66</v>
      </c>
      <c r="AD47" s="2">
        <v>45946.89298611111</v>
      </c>
      <c r="AE47" t="s">
        <v>71</v>
      </c>
      <c r="AF47" t="s">
        <v>66</v>
      </c>
      <c r="AG47" t="s">
        <v>395</v>
      </c>
      <c r="AH47" t="s">
        <v>251</v>
      </c>
      <c r="AI47">
        <v>603202</v>
      </c>
      <c r="AJ47" t="s">
        <v>74</v>
      </c>
      <c r="AK47" t="s">
        <v>75</v>
      </c>
      <c r="AL47">
        <v>62042300</v>
      </c>
      <c r="AM47" s="2"/>
      <c r="AN47">
        <v>3150</v>
      </c>
      <c r="AO47" t="s">
        <v>396</v>
      </c>
      <c r="AP47" t="s">
        <v>77</v>
      </c>
      <c r="AQ47" t="s">
        <v>66</v>
      </c>
      <c r="AR47" t="s">
        <v>71</v>
      </c>
      <c r="AS47">
        <v>18</v>
      </c>
      <c r="AT47">
        <v>0</v>
      </c>
      <c r="AU47">
        <v>0</v>
      </c>
      <c r="AV47">
        <v>18</v>
      </c>
      <c r="AW47">
        <v>480.50799999999998</v>
      </c>
      <c r="AX47">
        <v>0</v>
      </c>
      <c r="AY47">
        <v>0</v>
      </c>
      <c r="AZ47">
        <v>480.50799999999998</v>
      </c>
      <c r="BA47" s="2"/>
      <c r="BB47">
        <v>0.85</v>
      </c>
      <c r="BC47" s="2">
        <v>45936.5</v>
      </c>
      <c r="BD47" s="1">
        <f>MarketPlace_Order_Report__2[[#This Row],[UnitPrice]]*MarketPlace_Order_Report__2[[#This Row],[OrderQty]]</f>
        <v>3150</v>
      </c>
      <c r="BE47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47" s="1">
        <f>MarketPlace_Order_Report__2[[#This Row],[Gross Amount (Before Tax)]]+MarketPlace_Order_Report__2[[#This Row],[Total GST Amount]]</f>
        <v>3630.5079999999998</v>
      </c>
    </row>
    <row r="48" spans="1:58">
      <c r="A48" t="s">
        <v>397</v>
      </c>
      <c r="B48" t="s">
        <v>398</v>
      </c>
      <c r="C48" t="s">
        <v>399</v>
      </c>
      <c r="D48" t="s">
        <v>400</v>
      </c>
      <c r="E48">
        <v>4</v>
      </c>
      <c r="F48" t="s">
        <v>62</v>
      </c>
      <c r="G48">
        <v>1</v>
      </c>
      <c r="H48">
        <v>1</v>
      </c>
      <c r="I48">
        <v>3750</v>
      </c>
      <c r="J48">
        <v>3375</v>
      </c>
      <c r="K48">
        <v>0</v>
      </c>
      <c r="L48">
        <v>3378.77</v>
      </c>
      <c r="M48">
        <v>3.77</v>
      </c>
      <c r="N48" t="s">
        <v>63</v>
      </c>
      <c r="O48" s="2">
        <v>45933.962627314817</v>
      </c>
      <c r="P48" s="2">
        <v>45936.714212962965</v>
      </c>
      <c r="Q48" s="2">
        <v>45938.539861111109</v>
      </c>
      <c r="R48" t="s">
        <v>401</v>
      </c>
      <c r="S48" t="s">
        <v>161</v>
      </c>
      <c r="T48" s="2">
        <v>45934.839085648149</v>
      </c>
      <c r="U48" t="s">
        <v>66</v>
      </c>
      <c r="V48" t="s">
        <v>67</v>
      </c>
      <c r="W48" t="s">
        <v>66</v>
      </c>
      <c r="X48" t="s">
        <v>66</v>
      </c>
      <c r="Y48" t="s">
        <v>402</v>
      </c>
      <c r="Z48" t="s">
        <v>69</v>
      </c>
      <c r="AA48" t="s">
        <v>175</v>
      </c>
      <c r="AB48" t="s">
        <v>66</v>
      </c>
      <c r="AC48" t="s">
        <v>66</v>
      </c>
      <c r="AD48" s="2">
        <v>45944.861990740741</v>
      </c>
      <c r="AE48" t="s">
        <v>71</v>
      </c>
      <c r="AF48" t="s">
        <v>66</v>
      </c>
      <c r="AG48" t="s">
        <v>259</v>
      </c>
      <c r="AH48" t="s">
        <v>123</v>
      </c>
      <c r="AI48">
        <v>400086</v>
      </c>
      <c r="AJ48" t="s">
        <v>74</v>
      </c>
      <c r="AK48" t="s">
        <v>75</v>
      </c>
      <c r="AL48">
        <v>62042300</v>
      </c>
      <c r="AM48" s="2"/>
      <c r="AN48">
        <v>3375</v>
      </c>
      <c r="AO48" t="s">
        <v>403</v>
      </c>
      <c r="AP48" t="s">
        <v>288</v>
      </c>
      <c r="AQ48" t="s">
        <v>66</v>
      </c>
      <c r="AR48" t="s">
        <v>71</v>
      </c>
      <c r="AS48">
        <v>18</v>
      </c>
      <c r="AT48">
        <v>9</v>
      </c>
      <c r="AU48">
        <v>9</v>
      </c>
      <c r="AV48">
        <v>0</v>
      </c>
      <c r="AW48">
        <v>514.83100000000002</v>
      </c>
      <c r="AX48">
        <v>257.416</v>
      </c>
      <c r="AY48">
        <v>257.416</v>
      </c>
      <c r="AZ48">
        <v>0</v>
      </c>
      <c r="BA48" s="2"/>
      <c r="BB48">
        <v>0.85</v>
      </c>
      <c r="BC48" s="2">
        <v>45936.5</v>
      </c>
      <c r="BD48" s="1">
        <f>MarketPlace_Order_Report__2[[#This Row],[UnitPrice]]*MarketPlace_Order_Report__2[[#This Row],[OrderQty]]</f>
        <v>3375</v>
      </c>
      <c r="BE48" s="1">
        <f>IFERROR(MarketPlace_Order_Report__2[[#This Row],[CGSTAmount]]+MarketPlace_Order_Report__2[[#This Row],[SGSTAmount]]+MarketPlace_Order_Report__2[[#This Row],[IGSTAmount]],MarketPlace_Order_Report__2[[#This Row],[TaxAmount]])</f>
        <v>514.83199999999999</v>
      </c>
      <c r="BF48" s="1">
        <f>MarketPlace_Order_Report__2[[#This Row],[Gross Amount (Before Tax)]]+MarketPlace_Order_Report__2[[#This Row],[Total GST Amount]]</f>
        <v>3889.8319999999999</v>
      </c>
    </row>
    <row r="49" spans="1:58">
      <c r="A49" t="s">
        <v>302</v>
      </c>
      <c r="B49" t="s">
        <v>303</v>
      </c>
      <c r="C49" t="s">
        <v>404</v>
      </c>
      <c r="D49" t="s">
        <v>405</v>
      </c>
      <c r="E49">
        <v>1</v>
      </c>
      <c r="F49" t="s">
        <v>1806</v>
      </c>
      <c r="G49">
        <v>1</v>
      </c>
      <c r="H49">
        <v>1</v>
      </c>
      <c r="I49">
        <v>3750</v>
      </c>
      <c r="J49">
        <v>3375</v>
      </c>
      <c r="K49">
        <v>0</v>
      </c>
      <c r="L49">
        <v>3389.3090000000002</v>
      </c>
      <c r="M49">
        <v>14.308999999999999</v>
      </c>
      <c r="N49" t="s">
        <v>63</v>
      </c>
      <c r="O49" s="2">
        <v>45958.410671296297</v>
      </c>
      <c r="P49" s="2">
        <v>45958.715821759259</v>
      </c>
      <c r="Q49" s="2">
        <v>45961.456782407404</v>
      </c>
      <c r="R49" t="s">
        <v>306</v>
      </c>
      <c r="S49" t="s">
        <v>65</v>
      </c>
      <c r="T49" s="2">
        <v>45958.543124999997</v>
      </c>
      <c r="U49" t="s">
        <v>66</v>
      </c>
      <c r="V49" t="s">
        <v>67</v>
      </c>
      <c r="W49" t="s">
        <v>66</v>
      </c>
      <c r="X49" t="s">
        <v>66</v>
      </c>
      <c r="Y49" t="s">
        <v>66</v>
      </c>
      <c r="Z49" t="s">
        <v>66</v>
      </c>
      <c r="AA49" t="s">
        <v>66</v>
      </c>
      <c r="AB49" t="s">
        <v>66</v>
      </c>
      <c r="AC49" t="s">
        <v>66</v>
      </c>
      <c r="AD49" s="2">
        <v>45961.480266203704</v>
      </c>
      <c r="AE49" t="s">
        <v>71</v>
      </c>
      <c r="AF49" t="s">
        <v>66</v>
      </c>
      <c r="AG49" t="s">
        <v>90</v>
      </c>
      <c r="AH49" t="s">
        <v>91</v>
      </c>
      <c r="AI49">
        <v>560087</v>
      </c>
      <c r="AJ49" t="s">
        <v>74</v>
      </c>
      <c r="AK49" t="s">
        <v>75</v>
      </c>
      <c r="AL49">
        <v>62042300</v>
      </c>
      <c r="AM49" s="2"/>
      <c r="AN49">
        <v>3375</v>
      </c>
      <c r="AO49" t="s">
        <v>307</v>
      </c>
      <c r="AP49" t="s">
        <v>66</v>
      </c>
      <c r="AQ49" t="s">
        <v>66</v>
      </c>
      <c r="AR49" t="s">
        <v>71</v>
      </c>
      <c r="AS49">
        <v>18</v>
      </c>
      <c r="AT49">
        <v>0</v>
      </c>
      <c r="AU49">
        <v>0</v>
      </c>
      <c r="AV49">
        <v>18</v>
      </c>
      <c r="AW49">
        <v>514.83100000000002</v>
      </c>
      <c r="AX49">
        <v>0</v>
      </c>
      <c r="AY49">
        <v>0</v>
      </c>
      <c r="AZ49">
        <v>514.83100000000002</v>
      </c>
      <c r="BA49" s="2"/>
      <c r="BB49">
        <v>1.1000000000000001</v>
      </c>
      <c r="BC49" s="2">
        <v>45960.5</v>
      </c>
      <c r="BD49" s="1">
        <f>MarketPlace_Order_Report__2[[#This Row],[UnitPrice]]*MarketPlace_Order_Report__2[[#This Row],[OrderQty]]</f>
        <v>3375</v>
      </c>
      <c r="BE49" s="1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49" s="1">
        <f>MarketPlace_Order_Report__2[[#This Row],[Gross Amount (Before Tax)]]+MarketPlace_Order_Report__2[[#This Row],[Total GST Amount]]</f>
        <v>3889.8310000000001</v>
      </c>
    </row>
    <row r="50" spans="1:58">
      <c r="A50" t="s">
        <v>313</v>
      </c>
      <c r="B50" t="s">
        <v>314</v>
      </c>
      <c r="C50" t="s">
        <v>406</v>
      </c>
      <c r="D50" t="s">
        <v>407</v>
      </c>
      <c r="E50">
        <v>2</v>
      </c>
      <c r="F50" t="s">
        <v>62</v>
      </c>
      <c r="G50">
        <v>1</v>
      </c>
      <c r="H50">
        <v>1</v>
      </c>
      <c r="I50">
        <v>3750</v>
      </c>
      <c r="J50">
        <v>3375</v>
      </c>
      <c r="K50">
        <v>0</v>
      </c>
      <c r="L50">
        <v>3399.1779999999999</v>
      </c>
      <c r="M50">
        <v>24.178000000000001</v>
      </c>
      <c r="N50" t="s">
        <v>99</v>
      </c>
      <c r="O50" s="2">
        <v>45937.45045138889</v>
      </c>
      <c r="P50" s="2">
        <v>45939.734652777777</v>
      </c>
      <c r="Q50" s="2">
        <v>45949.724004629628</v>
      </c>
      <c r="R50" t="s">
        <v>317</v>
      </c>
      <c r="S50" t="s">
        <v>65</v>
      </c>
      <c r="T50" s="2">
        <v>45938.725810185184</v>
      </c>
      <c r="U50" t="s">
        <v>66</v>
      </c>
      <c r="V50" t="s">
        <v>67</v>
      </c>
      <c r="W50" t="s">
        <v>66</v>
      </c>
      <c r="X50" t="s">
        <v>66</v>
      </c>
      <c r="Y50" t="s">
        <v>408</v>
      </c>
      <c r="Z50" t="s">
        <v>69</v>
      </c>
      <c r="AA50" t="s">
        <v>70</v>
      </c>
      <c r="AB50" t="s">
        <v>66</v>
      </c>
      <c r="AC50" t="s">
        <v>66</v>
      </c>
      <c r="AD50" s="2">
        <v>45957.209224537037</v>
      </c>
      <c r="AE50" t="s">
        <v>71</v>
      </c>
      <c r="AF50" t="s">
        <v>66</v>
      </c>
      <c r="AG50" t="s">
        <v>319</v>
      </c>
      <c r="AH50" t="s">
        <v>139</v>
      </c>
      <c r="AI50">
        <v>242001</v>
      </c>
      <c r="AJ50" t="s">
        <v>74</v>
      </c>
      <c r="AK50" t="s">
        <v>75</v>
      </c>
      <c r="AL50">
        <v>62042300</v>
      </c>
      <c r="AM50" s="2"/>
      <c r="AN50">
        <v>3375</v>
      </c>
      <c r="AO50" t="s">
        <v>320</v>
      </c>
      <c r="AP50" t="s">
        <v>66</v>
      </c>
      <c r="AQ50" t="s">
        <v>66</v>
      </c>
      <c r="AR50" t="s">
        <v>71</v>
      </c>
      <c r="AS50">
        <v>18</v>
      </c>
      <c r="AT50">
        <v>0</v>
      </c>
      <c r="AU50">
        <v>0</v>
      </c>
      <c r="AV50">
        <v>18</v>
      </c>
      <c r="AW50">
        <v>514.83100000000002</v>
      </c>
      <c r="AX50">
        <v>0</v>
      </c>
      <c r="AY50">
        <v>0</v>
      </c>
      <c r="AZ50">
        <v>514.83100000000002</v>
      </c>
      <c r="BA50" s="2"/>
      <c r="BB50">
        <v>1.1000000000000001</v>
      </c>
      <c r="BC50" s="2">
        <v>45939.5</v>
      </c>
      <c r="BD50" s="1">
        <f>MarketPlace_Order_Report__2[[#This Row],[UnitPrice]]*MarketPlace_Order_Report__2[[#This Row],[OrderQty]]</f>
        <v>3375</v>
      </c>
      <c r="BE50" s="1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50" s="1">
        <f>MarketPlace_Order_Report__2[[#This Row],[Gross Amount (Before Tax)]]+MarketPlace_Order_Report__2[[#This Row],[Total GST Amount]]</f>
        <v>3889.8310000000001</v>
      </c>
    </row>
    <row r="51" spans="1:58">
      <c r="A51" t="s">
        <v>409</v>
      </c>
      <c r="B51" t="s">
        <v>410</v>
      </c>
      <c r="C51" t="s">
        <v>406</v>
      </c>
      <c r="D51" t="s">
        <v>407</v>
      </c>
      <c r="E51">
        <v>1</v>
      </c>
      <c r="F51" t="s">
        <v>145</v>
      </c>
      <c r="G51">
        <v>1</v>
      </c>
      <c r="H51">
        <v>0</v>
      </c>
      <c r="I51">
        <v>3750</v>
      </c>
      <c r="J51">
        <v>3375</v>
      </c>
      <c r="K51">
        <v>0</v>
      </c>
      <c r="L51">
        <v>3424</v>
      </c>
      <c r="M51">
        <v>49</v>
      </c>
      <c r="N51" t="s">
        <v>99</v>
      </c>
      <c r="O51" s="2">
        <v>45935.66920138889</v>
      </c>
      <c r="P51" s="2"/>
      <c r="Q51" s="2"/>
      <c r="R51" t="s">
        <v>66</v>
      </c>
      <c r="S51" t="s">
        <v>65</v>
      </c>
      <c r="T51" s="2"/>
      <c r="U51" t="s">
        <v>323</v>
      </c>
      <c r="V51" t="s">
        <v>67</v>
      </c>
      <c r="W51" t="s">
        <v>324</v>
      </c>
      <c r="X51" t="s">
        <v>66</v>
      </c>
      <c r="Y51" t="s">
        <v>66</v>
      </c>
      <c r="Z51" t="s">
        <v>66</v>
      </c>
      <c r="AA51" t="s">
        <v>66</v>
      </c>
      <c r="AB51" t="s">
        <v>66</v>
      </c>
      <c r="AC51" t="s">
        <v>66</v>
      </c>
      <c r="AD51" s="2">
        <v>45936.479756944442</v>
      </c>
      <c r="AE51" t="s">
        <v>71</v>
      </c>
      <c r="AF51" t="s">
        <v>66</v>
      </c>
      <c r="AG51" t="s">
        <v>319</v>
      </c>
      <c r="AH51" t="s">
        <v>139</v>
      </c>
      <c r="AI51">
        <v>242001</v>
      </c>
      <c r="AJ51" t="s">
        <v>74</v>
      </c>
      <c r="AK51" t="s">
        <v>75</v>
      </c>
      <c r="AL51">
        <v>62042300</v>
      </c>
      <c r="AM51" s="2">
        <v>45936.479756944442</v>
      </c>
      <c r="AN51">
        <v>3375</v>
      </c>
      <c r="AO51" t="s">
        <v>66</v>
      </c>
      <c r="AP51" t="s">
        <v>66</v>
      </c>
      <c r="AQ51" t="s">
        <v>325</v>
      </c>
      <c r="AR51" t="s">
        <v>326</v>
      </c>
      <c r="AS51">
        <v>18</v>
      </c>
      <c r="AT51">
        <v>0</v>
      </c>
      <c r="AU51">
        <v>0</v>
      </c>
      <c r="AV51">
        <v>18</v>
      </c>
      <c r="AW51">
        <v>514.83100000000002</v>
      </c>
      <c r="AX51">
        <v>0</v>
      </c>
      <c r="AY51">
        <v>0</v>
      </c>
      <c r="AZ51">
        <v>514.83100000000002</v>
      </c>
      <c r="BA51" s="2"/>
      <c r="BC51" s="2">
        <v>45938.5</v>
      </c>
      <c r="BD51" s="1">
        <f>MarketPlace_Order_Report__2[[#This Row],[UnitPrice]]*MarketPlace_Order_Report__2[[#This Row],[OrderQty]]</f>
        <v>3375</v>
      </c>
      <c r="BE51" s="1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51" s="1">
        <f>MarketPlace_Order_Report__2[[#This Row],[Gross Amount (Before Tax)]]+MarketPlace_Order_Report__2[[#This Row],[Total GST Amount]]</f>
        <v>3889.8310000000001</v>
      </c>
    </row>
    <row r="52" spans="1:58">
      <c r="A52" t="s">
        <v>411</v>
      </c>
      <c r="B52" t="s">
        <v>412</v>
      </c>
      <c r="C52" t="s">
        <v>413</v>
      </c>
      <c r="D52" t="s">
        <v>414</v>
      </c>
      <c r="E52">
        <v>1</v>
      </c>
      <c r="F52" t="s">
        <v>1806</v>
      </c>
      <c r="G52">
        <v>1</v>
      </c>
      <c r="H52">
        <v>1</v>
      </c>
      <c r="I52">
        <v>3500</v>
      </c>
      <c r="J52">
        <v>3150</v>
      </c>
      <c r="K52">
        <v>0</v>
      </c>
      <c r="L52">
        <v>3179</v>
      </c>
      <c r="M52">
        <v>29</v>
      </c>
      <c r="N52" t="s">
        <v>63</v>
      </c>
      <c r="O52" s="2">
        <v>45932.495520833334</v>
      </c>
      <c r="P52" s="2">
        <v>45933.728113425925</v>
      </c>
      <c r="Q52" s="2">
        <v>45935.641365740739</v>
      </c>
      <c r="R52" t="s">
        <v>415</v>
      </c>
      <c r="S52" t="s">
        <v>65</v>
      </c>
      <c r="T52" s="2">
        <v>45933.535081018519</v>
      </c>
      <c r="U52" t="s">
        <v>66</v>
      </c>
      <c r="V52" t="s">
        <v>67</v>
      </c>
      <c r="W52" t="s">
        <v>66</v>
      </c>
      <c r="X52" t="s">
        <v>66</v>
      </c>
      <c r="Y52" t="s">
        <v>66</v>
      </c>
      <c r="Z52" t="s">
        <v>66</v>
      </c>
      <c r="AA52" t="s">
        <v>66</v>
      </c>
      <c r="AB52" t="s">
        <v>66</v>
      </c>
      <c r="AC52" t="s">
        <v>66</v>
      </c>
      <c r="AD52" s="2">
        <v>45935.643275462964</v>
      </c>
      <c r="AE52" t="s">
        <v>71</v>
      </c>
      <c r="AF52" t="s">
        <v>66</v>
      </c>
      <c r="AG52" t="s">
        <v>185</v>
      </c>
      <c r="AH52" t="s">
        <v>139</v>
      </c>
      <c r="AI52">
        <v>201308</v>
      </c>
      <c r="AJ52" t="s">
        <v>74</v>
      </c>
      <c r="AK52" t="s">
        <v>75</v>
      </c>
      <c r="AL52">
        <v>62042300</v>
      </c>
      <c r="AM52" s="2"/>
      <c r="AN52">
        <v>3150</v>
      </c>
      <c r="AO52" t="s">
        <v>416</v>
      </c>
      <c r="AP52" t="s">
        <v>66</v>
      </c>
      <c r="AQ52" t="s">
        <v>66</v>
      </c>
      <c r="AR52" t="s">
        <v>71</v>
      </c>
      <c r="AS52">
        <v>18</v>
      </c>
      <c r="AT52">
        <v>0</v>
      </c>
      <c r="AU52">
        <v>0</v>
      </c>
      <c r="AV52">
        <v>18</v>
      </c>
      <c r="AW52">
        <v>480.50799999999998</v>
      </c>
      <c r="AX52">
        <v>0</v>
      </c>
      <c r="AY52">
        <v>0</v>
      </c>
      <c r="AZ52">
        <v>480.50799999999998</v>
      </c>
      <c r="BA52" s="2"/>
      <c r="BB52">
        <v>0.85</v>
      </c>
      <c r="BC52" s="2">
        <v>45934.5</v>
      </c>
      <c r="BD52" s="1">
        <f>MarketPlace_Order_Report__2[[#This Row],[UnitPrice]]*MarketPlace_Order_Report__2[[#This Row],[OrderQty]]</f>
        <v>3150</v>
      </c>
      <c r="BE52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52" s="1">
        <f>MarketPlace_Order_Report__2[[#This Row],[Gross Amount (Before Tax)]]+MarketPlace_Order_Report__2[[#This Row],[Total GST Amount]]</f>
        <v>3630.5079999999998</v>
      </c>
    </row>
    <row r="53" spans="1:58">
      <c r="A53" t="s">
        <v>417</v>
      </c>
      <c r="B53" t="s">
        <v>418</v>
      </c>
      <c r="C53" t="s">
        <v>419</v>
      </c>
      <c r="D53" t="s">
        <v>420</v>
      </c>
      <c r="E53">
        <v>1</v>
      </c>
      <c r="F53" t="s">
        <v>62</v>
      </c>
      <c r="G53">
        <v>1</v>
      </c>
      <c r="H53">
        <v>1</v>
      </c>
      <c r="I53">
        <v>3500</v>
      </c>
      <c r="J53">
        <v>3150</v>
      </c>
      <c r="K53">
        <v>0</v>
      </c>
      <c r="L53">
        <v>3170</v>
      </c>
      <c r="M53">
        <v>20</v>
      </c>
      <c r="N53" t="s">
        <v>99</v>
      </c>
      <c r="O53" s="2">
        <v>45942.420752314814</v>
      </c>
      <c r="P53" s="2">
        <v>45943.761400462965</v>
      </c>
      <c r="Q53" s="2">
        <v>45947.541342592594</v>
      </c>
      <c r="R53" t="s">
        <v>421</v>
      </c>
      <c r="S53" t="s">
        <v>65</v>
      </c>
      <c r="T53" s="2">
        <v>45942.661412037036</v>
      </c>
      <c r="U53" t="s">
        <v>66</v>
      </c>
      <c r="V53" t="s">
        <v>67</v>
      </c>
      <c r="W53" t="s">
        <v>66</v>
      </c>
      <c r="X53" t="s">
        <v>66</v>
      </c>
      <c r="Y53" t="s">
        <v>422</v>
      </c>
      <c r="Z53" t="s">
        <v>69</v>
      </c>
      <c r="AA53" t="s">
        <v>70</v>
      </c>
      <c r="AB53" t="s">
        <v>66</v>
      </c>
      <c r="AC53" t="s">
        <v>66</v>
      </c>
      <c r="AD53" s="2">
        <v>45958.296076388891</v>
      </c>
      <c r="AE53" t="s">
        <v>71</v>
      </c>
      <c r="AF53" t="s">
        <v>66</v>
      </c>
      <c r="AG53" t="s">
        <v>423</v>
      </c>
      <c r="AH53" t="s">
        <v>139</v>
      </c>
      <c r="AI53">
        <v>208011</v>
      </c>
      <c r="AJ53" t="s">
        <v>74</v>
      </c>
      <c r="AK53" t="s">
        <v>75</v>
      </c>
      <c r="AL53">
        <v>62044220</v>
      </c>
      <c r="AM53" s="2"/>
      <c r="AN53">
        <v>3150</v>
      </c>
      <c r="AO53" t="s">
        <v>424</v>
      </c>
      <c r="AP53" t="s">
        <v>66</v>
      </c>
      <c r="AQ53" t="s">
        <v>66</v>
      </c>
      <c r="AR53" t="s">
        <v>71</v>
      </c>
      <c r="AS53">
        <v>18</v>
      </c>
      <c r="AT53">
        <v>0</v>
      </c>
      <c r="AU53">
        <v>0</v>
      </c>
      <c r="AV53">
        <v>18</v>
      </c>
      <c r="AW53">
        <v>480.50799999999998</v>
      </c>
      <c r="AX53">
        <v>0</v>
      </c>
      <c r="AY53">
        <v>0</v>
      </c>
      <c r="AZ53">
        <v>480.50799999999998</v>
      </c>
      <c r="BA53" s="2"/>
      <c r="BB53">
        <v>0.75</v>
      </c>
      <c r="BC53" s="2">
        <v>45944.5</v>
      </c>
      <c r="BD53" s="1">
        <f>MarketPlace_Order_Report__2[[#This Row],[UnitPrice]]*MarketPlace_Order_Report__2[[#This Row],[OrderQty]]</f>
        <v>3150</v>
      </c>
      <c r="BE53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53" s="1">
        <f>MarketPlace_Order_Report__2[[#This Row],[Gross Amount (Before Tax)]]+MarketPlace_Order_Report__2[[#This Row],[Total GST Amount]]</f>
        <v>3630.5079999999998</v>
      </c>
    </row>
    <row r="54" spans="1:58">
      <c r="A54" t="s">
        <v>425</v>
      </c>
      <c r="B54" t="s">
        <v>426</v>
      </c>
      <c r="C54" t="s">
        <v>427</v>
      </c>
      <c r="D54" t="s">
        <v>428</v>
      </c>
      <c r="E54">
        <v>8</v>
      </c>
      <c r="F54" t="s">
        <v>62</v>
      </c>
      <c r="G54">
        <v>1</v>
      </c>
      <c r="H54">
        <v>1</v>
      </c>
      <c r="I54">
        <v>1750</v>
      </c>
      <c r="J54">
        <v>1400</v>
      </c>
      <c r="K54">
        <v>0</v>
      </c>
      <c r="L54">
        <v>1415.26</v>
      </c>
      <c r="M54">
        <v>15.26</v>
      </c>
      <c r="N54" t="s">
        <v>63</v>
      </c>
      <c r="O54" s="2">
        <v>45932.598564814813</v>
      </c>
      <c r="P54" s="2">
        <v>45934.721134259256</v>
      </c>
      <c r="Q54" s="2">
        <v>45935.919907407406</v>
      </c>
      <c r="R54" t="s">
        <v>429</v>
      </c>
      <c r="S54" t="s">
        <v>161</v>
      </c>
      <c r="T54" s="2">
        <v>45933.815833333334</v>
      </c>
      <c r="U54" t="s">
        <v>66</v>
      </c>
      <c r="V54" t="s">
        <v>67</v>
      </c>
      <c r="W54" t="s">
        <v>66</v>
      </c>
      <c r="X54" t="s">
        <v>66</v>
      </c>
      <c r="Y54" t="s">
        <v>430</v>
      </c>
      <c r="Z54" t="s">
        <v>69</v>
      </c>
      <c r="AA54" t="s">
        <v>175</v>
      </c>
      <c r="AB54" t="s">
        <v>66</v>
      </c>
      <c r="AC54" t="s">
        <v>66</v>
      </c>
      <c r="AD54" s="2">
        <v>45945.723229166666</v>
      </c>
      <c r="AE54" t="s">
        <v>71</v>
      </c>
      <c r="AF54" t="s">
        <v>66</v>
      </c>
      <c r="AG54" t="s">
        <v>215</v>
      </c>
      <c r="AH54" t="s">
        <v>123</v>
      </c>
      <c r="AI54">
        <v>400608</v>
      </c>
      <c r="AJ54" t="s">
        <v>74</v>
      </c>
      <c r="AK54" t="s">
        <v>75</v>
      </c>
      <c r="AL54">
        <v>62044220</v>
      </c>
      <c r="AM54" s="2"/>
      <c r="AN54">
        <v>1400</v>
      </c>
      <c r="AO54" t="s">
        <v>431</v>
      </c>
      <c r="AP54" t="s">
        <v>432</v>
      </c>
      <c r="AQ54" t="s">
        <v>66</v>
      </c>
      <c r="AR54" t="s">
        <v>71</v>
      </c>
      <c r="AS54">
        <v>5</v>
      </c>
      <c r="AT54">
        <v>2.5</v>
      </c>
      <c r="AU54">
        <v>2.5</v>
      </c>
      <c r="AV54">
        <v>0</v>
      </c>
      <c r="AW54">
        <v>66.667000000000002</v>
      </c>
      <c r="AX54">
        <v>33.334000000000003</v>
      </c>
      <c r="AY54">
        <v>33.334000000000003</v>
      </c>
      <c r="AZ54">
        <v>0</v>
      </c>
      <c r="BA54" s="2"/>
      <c r="BB54">
        <v>0.75</v>
      </c>
      <c r="BC54" s="2">
        <v>45935.5</v>
      </c>
      <c r="BD54" s="1">
        <f>MarketPlace_Order_Report__2[[#This Row],[UnitPrice]]*MarketPlace_Order_Report__2[[#This Row],[OrderQty]]</f>
        <v>1400</v>
      </c>
      <c r="BE54" s="1">
        <f>IFERROR(MarketPlace_Order_Report__2[[#This Row],[CGSTAmount]]+MarketPlace_Order_Report__2[[#This Row],[SGSTAmount]]+MarketPlace_Order_Report__2[[#This Row],[IGSTAmount]],MarketPlace_Order_Report__2[[#This Row],[TaxAmount]])</f>
        <v>66.668000000000006</v>
      </c>
      <c r="BF54" s="1">
        <f>MarketPlace_Order_Report__2[[#This Row],[Gross Amount (Before Tax)]]+MarketPlace_Order_Report__2[[#This Row],[Total GST Amount]]</f>
        <v>1466.6680000000001</v>
      </c>
    </row>
    <row r="55" spans="1:58">
      <c r="A55" t="s">
        <v>433</v>
      </c>
      <c r="B55" t="s">
        <v>434</v>
      </c>
      <c r="C55" t="s">
        <v>435</v>
      </c>
      <c r="D55" t="s">
        <v>436</v>
      </c>
      <c r="E55">
        <v>4</v>
      </c>
      <c r="F55" t="s">
        <v>62</v>
      </c>
      <c r="G55">
        <v>1</v>
      </c>
      <c r="H55">
        <v>1</v>
      </c>
      <c r="I55">
        <v>4500</v>
      </c>
      <c r="J55">
        <v>4050</v>
      </c>
      <c r="K55">
        <v>0</v>
      </c>
      <c r="L55">
        <v>4060.85</v>
      </c>
      <c r="M55">
        <v>10.85</v>
      </c>
      <c r="N55" t="s">
        <v>63</v>
      </c>
      <c r="O55" s="2">
        <v>45937.629710648151</v>
      </c>
      <c r="P55" s="2">
        <v>45938.718275462961</v>
      </c>
      <c r="Q55" s="2">
        <v>45941.493703703702</v>
      </c>
      <c r="R55" t="s">
        <v>437</v>
      </c>
      <c r="S55" t="s">
        <v>65</v>
      </c>
      <c r="T55" s="2">
        <v>45937.716180555559</v>
      </c>
      <c r="U55" t="s">
        <v>66</v>
      </c>
      <c r="V55" t="s">
        <v>67</v>
      </c>
      <c r="W55" t="s">
        <v>66</v>
      </c>
      <c r="X55" t="s">
        <v>66</v>
      </c>
      <c r="Y55" t="s">
        <v>438</v>
      </c>
      <c r="Z55" t="s">
        <v>69</v>
      </c>
      <c r="AA55" t="s">
        <v>175</v>
      </c>
      <c r="AB55" t="s">
        <v>66</v>
      </c>
      <c r="AC55" t="s">
        <v>66</v>
      </c>
      <c r="AD55" s="2">
        <v>45954.629421296297</v>
      </c>
      <c r="AE55" t="s">
        <v>71</v>
      </c>
      <c r="AF55" t="s">
        <v>66</v>
      </c>
      <c r="AG55" t="s">
        <v>439</v>
      </c>
      <c r="AH55" t="s">
        <v>440</v>
      </c>
      <c r="AI55">
        <v>122004</v>
      </c>
      <c r="AJ55" t="s">
        <v>74</v>
      </c>
      <c r="AK55" t="s">
        <v>75</v>
      </c>
      <c r="AL55">
        <v>62042300</v>
      </c>
      <c r="AM55" s="2"/>
      <c r="AN55">
        <v>4050</v>
      </c>
      <c r="AO55" t="s">
        <v>441</v>
      </c>
      <c r="AP55" t="s">
        <v>442</v>
      </c>
      <c r="AQ55" t="s">
        <v>66</v>
      </c>
      <c r="AR55" t="s">
        <v>71</v>
      </c>
      <c r="AS55">
        <v>18</v>
      </c>
      <c r="AT55">
        <v>0</v>
      </c>
      <c r="AU55">
        <v>0</v>
      </c>
      <c r="AV55">
        <v>18</v>
      </c>
      <c r="AW55">
        <v>617.79700000000003</v>
      </c>
      <c r="AX55">
        <v>0</v>
      </c>
      <c r="AY55">
        <v>0</v>
      </c>
      <c r="AZ55">
        <v>617.79700000000003</v>
      </c>
      <c r="BA55" s="2"/>
      <c r="BB55">
        <v>0.85</v>
      </c>
      <c r="BC55" s="2">
        <v>45940.5</v>
      </c>
      <c r="BD55" s="1">
        <f>MarketPlace_Order_Report__2[[#This Row],[UnitPrice]]*MarketPlace_Order_Report__2[[#This Row],[OrderQty]]</f>
        <v>4050</v>
      </c>
      <c r="BE55" s="1">
        <f>IFERROR(MarketPlace_Order_Report__2[[#This Row],[CGSTAmount]]+MarketPlace_Order_Report__2[[#This Row],[SGSTAmount]]+MarketPlace_Order_Report__2[[#This Row],[IGSTAmount]],MarketPlace_Order_Report__2[[#This Row],[TaxAmount]])</f>
        <v>617.79700000000003</v>
      </c>
      <c r="BF55" s="1">
        <f>MarketPlace_Order_Report__2[[#This Row],[Gross Amount (Before Tax)]]+MarketPlace_Order_Report__2[[#This Row],[Total GST Amount]]</f>
        <v>4667.7970000000005</v>
      </c>
    </row>
    <row r="56" spans="1:58">
      <c r="A56" t="s">
        <v>443</v>
      </c>
      <c r="B56" t="s">
        <v>444</v>
      </c>
      <c r="C56" t="s">
        <v>445</v>
      </c>
      <c r="D56" t="s">
        <v>446</v>
      </c>
      <c r="E56">
        <v>1</v>
      </c>
      <c r="F56" t="s">
        <v>1806</v>
      </c>
      <c r="G56">
        <v>1</v>
      </c>
      <c r="H56">
        <v>1</v>
      </c>
      <c r="I56">
        <v>4500</v>
      </c>
      <c r="J56">
        <v>4050</v>
      </c>
      <c r="K56">
        <v>0</v>
      </c>
      <c r="L56">
        <v>4099</v>
      </c>
      <c r="M56">
        <v>49</v>
      </c>
      <c r="N56" t="s">
        <v>99</v>
      </c>
      <c r="O56" s="2">
        <v>45937.412164351852</v>
      </c>
      <c r="P56" s="2">
        <v>45938.718599537038</v>
      </c>
      <c r="Q56" s="2">
        <v>45948.630856481483</v>
      </c>
      <c r="R56" t="s">
        <v>447</v>
      </c>
      <c r="S56" t="s">
        <v>65</v>
      </c>
      <c r="T56" s="2">
        <v>45937.716180555559</v>
      </c>
      <c r="U56" t="s">
        <v>66</v>
      </c>
      <c r="V56" t="s">
        <v>67</v>
      </c>
      <c r="W56" t="s">
        <v>66</v>
      </c>
      <c r="X56" t="s">
        <v>66</v>
      </c>
      <c r="Y56" t="s">
        <v>66</v>
      </c>
      <c r="Z56" t="s">
        <v>66</v>
      </c>
      <c r="AA56" t="s">
        <v>66</v>
      </c>
      <c r="AB56" t="s">
        <v>66</v>
      </c>
      <c r="AC56" t="s">
        <v>66</v>
      </c>
      <c r="AD56" s="2">
        <v>45948.636342592596</v>
      </c>
      <c r="AE56" t="s">
        <v>71</v>
      </c>
      <c r="AF56" t="s">
        <v>66</v>
      </c>
      <c r="AG56" t="s">
        <v>319</v>
      </c>
      <c r="AH56" t="s">
        <v>139</v>
      </c>
      <c r="AI56">
        <v>242001</v>
      </c>
      <c r="AJ56" t="s">
        <v>74</v>
      </c>
      <c r="AK56" t="s">
        <v>75</v>
      </c>
      <c r="AL56">
        <v>62042300</v>
      </c>
      <c r="AM56" s="2"/>
      <c r="AN56">
        <v>4050</v>
      </c>
      <c r="AO56" t="s">
        <v>448</v>
      </c>
      <c r="AP56" t="s">
        <v>66</v>
      </c>
      <c r="AQ56" t="s">
        <v>66</v>
      </c>
      <c r="AR56" t="s">
        <v>71</v>
      </c>
      <c r="AS56">
        <v>18</v>
      </c>
      <c r="AT56">
        <v>0</v>
      </c>
      <c r="AU56">
        <v>0</v>
      </c>
      <c r="AV56">
        <v>18</v>
      </c>
      <c r="AW56">
        <v>617.79700000000003</v>
      </c>
      <c r="AX56">
        <v>0</v>
      </c>
      <c r="AY56">
        <v>0</v>
      </c>
      <c r="AZ56">
        <v>617.79700000000003</v>
      </c>
      <c r="BA56" s="2"/>
      <c r="BB56">
        <v>0.85</v>
      </c>
      <c r="BC56" s="2">
        <v>45939.5</v>
      </c>
      <c r="BD56" s="1">
        <f>MarketPlace_Order_Report__2[[#This Row],[UnitPrice]]*MarketPlace_Order_Report__2[[#This Row],[OrderQty]]</f>
        <v>4050</v>
      </c>
      <c r="BE56" s="1">
        <f>IFERROR(MarketPlace_Order_Report__2[[#This Row],[CGSTAmount]]+MarketPlace_Order_Report__2[[#This Row],[SGSTAmount]]+MarketPlace_Order_Report__2[[#This Row],[IGSTAmount]],MarketPlace_Order_Report__2[[#This Row],[TaxAmount]])</f>
        <v>617.79700000000003</v>
      </c>
      <c r="BF56" s="1">
        <f>MarketPlace_Order_Report__2[[#This Row],[Gross Amount (Before Tax)]]+MarketPlace_Order_Report__2[[#This Row],[Total GST Amount]]</f>
        <v>4667.7970000000005</v>
      </c>
    </row>
    <row r="57" spans="1:58">
      <c r="A57" t="s">
        <v>449</v>
      </c>
      <c r="B57" t="s">
        <v>450</v>
      </c>
      <c r="C57" t="s">
        <v>445</v>
      </c>
      <c r="D57" t="s">
        <v>446</v>
      </c>
      <c r="E57">
        <v>1</v>
      </c>
      <c r="F57" t="s">
        <v>145</v>
      </c>
      <c r="G57">
        <v>1</v>
      </c>
      <c r="H57">
        <v>0</v>
      </c>
      <c r="I57">
        <v>4500</v>
      </c>
      <c r="J57">
        <v>4050</v>
      </c>
      <c r="K57">
        <v>0</v>
      </c>
      <c r="L57">
        <v>4099</v>
      </c>
      <c r="M57">
        <v>49</v>
      </c>
      <c r="N57" t="s">
        <v>99</v>
      </c>
      <c r="O57" s="2">
        <v>45935.815983796296</v>
      </c>
      <c r="P57" s="2"/>
      <c r="Q57" s="2"/>
      <c r="R57" t="s">
        <v>66</v>
      </c>
      <c r="S57" t="s">
        <v>65</v>
      </c>
      <c r="T57" s="2"/>
      <c r="U57" t="s">
        <v>323</v>
      </c>
      <c r="V57" t="s">
        <v>67</v>
      </c>
      <c r="W57" t="s">
        <v>324</v>
      </c>
      <c r="X57" t="s">
        <v>66</v>
      </c>
      <c r="Y57" t="s">
        <v>66</v>
      </c>
      <c r="Z57" t="s">
        <v>66</v>
      </c>
      <c r="AA57" t="s">
        <v>66</v>
      </c>
      <c r="AB57" t="s">
        <v>66</v>
      </c>
      <c r="AC57" t="s">
        <v>66</v>
      </c>
      <c r="AD57" s="2">
        <v>45936.479780092595</v>
      </c>
      <c r="AE57" t="s">
        <v>71</v>
      </c>
      <c r="AF57" t="s">
        <v>66</v>
      </c>
      <c r="AG57" t="s">
        <v>319</v>
      </c>
      <c r="AH57" t="s">
        <v>139</v>
      </c>
      <c r="AI57">
        <v>242001</v>
      </c>
      <c r="AJ57" t="s">
        <v>74</v>
      </c>
      <c r="AK57" t="s">
        <v>75</v>
      </c>
      <c r="AL57">
        <v>62042300</v>
      </c>
      <c r="AM57" s="2">
        <v>45936.479780092595</v>
      </c>
      <c r="AN57">
        <v>4050</v>
      </c>
      <c r="AO57" t="s">
        <v>66</v>
      </c>
      <c r="AP57" t="s">
        <v>451</v>
      </c>
      <c r="AQ57" t="s">
        <v>325</v>
      </c>
      <c r="AR57" t="s">
        <v>326</v>
      </c>
      <c r="AS57">
        <v>18</v>
      </c>
      <c r="AT57">
        <v>0</v>
      </c>
      <c r="AU57">
        <v>0</v>
      </c>
      <c r="AV57">
        <v>18</v>
      </c>
      <c r="AW57">
        <v>617.79700000000003</v>
      </c>
      <c r="AX57">
        <v>0</v>
      </c>
      <c r="AY57">
        <v>0</v>
      </c>
      <c r="AZ57">
        <v>617.79700000000003</v>
      </c>
      <c r="BA57" s="2"/>
      <c r="BC57" s="2">
        <v>45938.5</v>
      </c>
      <c r="BD57" s="1">
        <f>MarketPlace_Order_Report__2[[#This Row],[UnitPrice]]*MarketPlace_Order_Report__2[[#This Row],[OrderQty]]</f>
        <v>4050</v>
      </c>
      <c r="BE57" s="1">
        <f>IFERROR(MarketPlace_Order_Report__2[[#This Row],[CGSTAmount]]+MarketPlace_Order_Report__2[[#This Row],[SGSTAmount]]+MarketPlace_Order_Report__2[[#This Row],[IGSTAmount]],MarketPlace_Order_Report__2[[#This Row],[TaxAmount]])</f>
        <v>617.79700000000003</v>
      </c>
      <c r="BF57" s="1">
        <f>MarketPlace_Order_Report__2[[#This Row],[Gross Amount (Before Tax)]]+MarketPlace_Order_Report__2[[#This Row],[Total GST Amount]]</f>
        <v>4667.7970000000005</v>
      </c>
    </row>
    <row r="58" spans="1:58">
      <c r="A58" t="s">
        <v>452</v>
      </c>
      <c r="B58" t="s">
        <v>453</v>
      </c>
      <c r="C58" t="s">
        <v>454</v>
      </c>
      <c r="D58" t="s">
        <v>455</v>
      </c>
      <c r="E58">
        <v>1</v>
      </c>
      <c r="F58" t="s">
        <v>1806</v>
      </c>
      <c r="G58">
        <v>1</v>
      </c>
      <c r="H58">
        <v>1</v>
      </c>
      <c r="I58">
        <v>4500</v>
      </c>
      <c r="J58">
        <v>4050</v>
      </c>
      <c r="K58">
        <v>0</v>
      </c>
      <c r="L58">
        <v>4099</v>
      </c>
      <c r="M58">
        <v>49</v>
      </c>
      <c r="N58" t="s">
        <v>99</v>
      </c>
      <c r="O58" s="2">
        <v>45938.437106481484</v>
      </c>
      <c r="P58" s="2">
        <v>45939.734791666669</v>
      </c>
      <c r="Q58" s="2">
        <v>45943.525370370371</v>
      </c>
      <c r="R58" t="s">
        <v>456</v>
      </c>
      <c r="S58" t="s">
        <v>65</v>
      </c>
      <c r="T58" s="2">
        <v>45938.725821759261</v>
      </c>
      <c r="U58" t="s">
        <v>66</v>
      </c>
      <c r="V58" t="s">
        <v>67</v>
      </c>
      <c r="W58" t="s">
        <v>66</v>
      </c>
      <c r="X58" t="s">
        <v>66</v>
      </c>
      <c r="Y58" t="s">
        <v>66</v>
      </c>
      <c r="Z58" t="s">
        <v>66</v>
      </c>
      <c r="AA58" t="s">
        <v>66</v>
      </c>
      <c r="AB58" t="s">
        <v>66</v>
      </c>
      <c r="AC58" t="s">
        <v>66</v>
      </c>
      <c r="AD58" s="2">
        <v>45943.528622685182</v>
      </c>
      <c r="AE58" t="s">
        <v>71</v>
      </c>
      <c r="AF58" t="s">
        <v>66</v>
      </c>
      <c r="AG58" t="s">
        <v>457</v>
      </c>
      <c r="AH58" t="s">
        <v>139</v>
      </c>
      <c r="AI58">
        <v>201005</v>
      </c>
      <c r="AJ58" t="s">
        <v>74</v>
      </c>
      <c r="AK58" t="s">
        <v>75</v>
      </c>
      <c r="AL58">
        <v>62042300</v>
      </c>
      <c r="AM58" s="2"/>
      <c r="AN58">
        <v>4050</v>
      </c>
      <c r="AO58" t="s">
        <v>458</v>
      </c>
      <c r="AP58" t="s">
        <v>66</v>
      </c>
      <c r="AQ58" t="s">
        <v>66</v>
      </c>
      <c r="AR58" t="s">
        <v>71</v>
      </c>
      <c r="AS58">
        <v>18</v>
      </c>
      <c r="AT58">
        <v>0</v>
      </c>
      <c r="AU58">
        <v>0</v>
      </c>
      <c r="AV58">
        <v>18</v>
      </c>
      <c r="AW58">
        <v>617.79700000000003</v>
      </c>
      <c r="AX58">
        <v>0</v>
      </c>
      <c r="AY58">
        <v>0</v>
      </c>
      <c r="AZ58">
        <v>617.79700000000003</v>
      </c>
      <c r="BA58" s="2"/>
      <c r="BB58">
        <v>0.85</v>
      </c>
      <c r="BC58" s="2">
        <v>45940.5</v>
      </c>
      <c r="BD58" s="1">
        <f>MarketPlace_Order_Report__2[[#This Row],[UnitPrice]]*MarketPlace_Order_Report__2[[#This Row],[OrderQty]]</f>
        <v>4050</v>
      </c>
      <c r="BE58" s="1">
        <f>IFERROR(MarketPlace_Order_Report__2[[#This Row],[CGSTAmount]]+MarketPlace_Order_Report__2[[#This Row],[SGSTAmount]]+MarketPlace_Order_Report__2[[#This Row],[IGSTAmount]],MarketPlace_Order_Report__2[[#This Row],[TaxAmount]])</f>
        <v>617.79700000000003</v>
      </c>
      <c r="BF58" s="1">
        <f>MarketPlace_Order_Report__2[[#This Row],[Gross Amount (Before Tax)]]+MarketPlace_Order_Report__2[[#This Row],[Total GST Amount]]</f>
        <v>4667.7970000000005</v>
      </c>
    </row>
    <row r="59" spans="1:58">
      <c r="A59" t="s">
        <v>459</v>
      </c>
      <c r="B59" t="s">
        <v>460</v>
      </c>
      <c r="C59" t="s">
        <v>461</v>
      </c>
      <c r="D59" t="s">
        <v>462</v>
      </c>
      <c r="E59">
        <v>1</v>
      </c>
      <c r="F59" t="s">
        <v>257</v>
      </c>
      <c r="G59">
        <v>1</v>
      </c>
      <c r="H59">
        <v>1</v>
      </c>
      <c r="I59">
        <v>4000</v>
      </c>
      <c r="J59">
        <v>3600</v>
      </c>
      <c r="K59">
        <v>0</v>
      </c>
      <c r="L59">
        <v>3600</v>
      </c>
      <c r="M59">
        <v>0</v>
      </c>
      <c r="N59" t="s">
        <v>63</v>
      </c>
      <c r="O59" s="2">
        <v>45932.769328703704</v>
      </c>
      <c r="P59" s="2">
        <v>45934.620092592595</v>
      </c>
      <c r="Q59" s="2"/>
      <c r="R59" t="s">
        <v>463</v>
      </c>
      <c r="S59" t="s">
        <v>89</v>
      </c>
      <c r="T59" s="2">
        <v>45933.815833333334</v>
      </c>
      <c r="U59" t="s">
        <v>66</v>
      </c>
      <c r="V59" t="s">
        <v>67</v>
      </c>
      <c r="W59" t="s">
        <v>66</v>
      </c>
      <c r="X59" t="s">
        <v>66</v>
      </c>
      <c r="Y59" t="s">
        <v>66</v>
      </c>
      <c r="Z59" t="s">
        <v>66</v>
      </c>
      <c r="AA59" t="s">
        <v>66</v>
      </c>
      <c r="AB59" t="s">
        <v>66</v>
      </c>
      <c r="AC59" t="s">
        <v>66</v>
      </c>
      <c r="AD59" s="2">
        <v>45948.042546296296</v>
      </c>
      <c r="AE59" t="s">
        <v>71</v>
      </c>
      <c r="AF59" t="s">
        <v>66</v>
      </c>
      <c r="AG59" t="s">
        <v>90</v>
      </c>
      <c r="AH59" t="s">
        <v>91</v>
      </c>
      <c r="AI59">
        <v>560035</v>
      </c>
      <c r="AJ59" t="s">
        <v>74</v>
      </c>
      <c r="AK59" t="s">
        <v>75</v>
      </c>
      <c r="AL59">
        <v>62042300</v>
      </c>
      <c r="AM59" s="2"/>
      <c r="AN59">
        <v>3600</v>
      </c>
      <c r="AO59" t="s">
        <v>464</v>
      </c>
      <c r="AP59" t="s">
        <v>465</v>
      </c>
      <c r="AQ59" t="s">
        <v>66</v>
      </c>
      <c r="AR59" t="s">
        <v>71</v>
      </c>
      <c r="AS59">
        <v>18</v>
      </c>
      <c r="AT59">
        <v>0</v>
      </c>
      <c r="AU59">
        <v>0</v>
      </c>
      <c r="AV59">
        <v>18</v>
      </c>
      <c r="AW59">
        <v>549.15300000000002</v>
      </c>
      <c r="AX59">
        <v>0</v>
      </c>
      <c r="AY59">
        <v>0</v>
      </c>
      <c r="AZ59">
        <v>549.15300000000002</v>
      </c>
      <c r="BA59" s="2"/>
      <c r="BB59">
        <v>0.85</v>
      </c>
      <c r="BC59" s="2">
        <v>45935.5</v>
      </c>
      <c r="BD59" s="1">
        <f>MarketPlace_Order_Report__2[[#This Row],[UnitPrice]]*MarketPlace_Order_Report__2[[#This Row],[OrderQty]]</f>
        <v>3600</v>
      </c>
      <c r="BE59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59" s="1">
        <f>MarketPlace_Order_Report__2[[#This Row],[Gross Amount (Before Tax)]]+MarketPlace_Order_Report__2[[#This Row],[Total GST Amount]]</f>
        <v>4149.1530000000002</v>
      </c>
    </row>
    <row r="60" spans="1:58">
      <c r="A60" t="s">
        <v>466</v>
      </c>
      <c r="B60" t="s">
        <v>467</v>
      </c>
      <c r="C60" t="s">
        <v>468</v>
      </c>
      <c r="D60" t="s">
        <v>469</v>
      </c>
      <c r="E60">
        <v>1</v>
      </c>
      <c r="F60" t="s">
        <v>107</v>
      </c>
      <c r="G60">
        <v>1</v>
      </c>
      <c r="H60">
        <v>1</v>
      </c>
      <c r="I60">
        <v>3750</v>
      </c>
      <c r="J60">
        <v>3375</v>
      </c>
      <c r="K60">
        <v>0</v>
      </c>
      <c r="L60">
        <v>3424</v>
      </c>
      <c r="M60">
        <v>49</v>
      </c>
      <c r="N60" t="s">
        <v>99</v>
      </c>
      <c r="O60" s="2">
        <v>45942.434548611112</v>
      </c>
      <c r="P60" s="2">
        <v>45943.762754629628</v>
      </c>
      <c r="Q60" s="2"/>
      <c r="R60" t="s">
        <v>470</v>
      </c>
      <c r="S60" t="s">
        <v>65</v>
      </c>
      <c r="T60" s="2">
        <v>45942.661412037036</v>
      </c>
      <c r="U60" t="s">
        <v>66</v>
      </c>
      <c r="V60" t="s">
        <v>67</v>
      </c>
      <c r="W60" t="s">
        <v>66</v>
      </c>
      <c r="X60" t="s">
        <v>66</v>
      </c>
      <c r="Y60" t="s">
        <v>471</v>
      </c>
      <c r="Z60" t="s">
        <v>231</v>
      </c>
      <c r="AA60" t="s">
        <v>130</v>
      </c>
      <c r="AB60" t="s">
        <v>66</v>
      </c>
      <c r="AC60" t="s">
        <v>66</v>
      </c>
      <c r="AD60" s="2">
        <v>45961.434930555559</v>
      </c>
      <c r="AE60" t="s">
        <v>71</v>
      </c>
      <c r="AF60" t="s">
        <v>66</v>
      </c>
      <c r="AG60" t="s">
        <v>472</v>
      </c>
      <c r="AH60" t="s">
        <v>139</v>
      </c>
      <c r="AI60">
        <v>202001</v>
      </c>
      <c r="AJ60" t="s">
        <v>74</v>
      </c>
      <c r="AK60" t="s">
        <v>75</v>
      </c>
      <c r="AL60">
        <v>62042300</v>
      </c>
      <c r="AM60" s="2"/>
      <c r="AN60">
        <v>3375</v>
      </c>
      <c r="AO60" t="s">
        <v>473</v>
      </c>
      <c r="AP60" t="s">
        <v>243</v>
      </c>
      <c r="AQ60" t="s">
        <v>66</v>
      </c>
      <c r="AR60" t="s">
        <v>71</v>
      </c>
      <c r="AS60">
        <v>18</v>
      </c>
      <c r="AT60">
        <v>0</v>
      </c>
      <c r="AU60">
        <v>0</v>
      </c>
      <c r="AV60">
        <v>18</v>
      </c>
      <c r="AW60">
        <v>514.83100000000002</v>
      </c>
      <c r="AX60">
        <v>0</v>
      </c>
      <c r="AY60">
        <v>0</v>
      </c>
      <c r="AZ60">
        <v>514.83100000000002</v>
      </c>
      <c r="BA60" s="2"/>
      <c r="BB60">
        <v>0.85</v>
      </c>
      <c r="BC60" s="2">
        <v>45944.5</v>
      </c>
      <c r="BD60" s="1">
        <f>MarketPlace_Order_Report__2[[#This Row],[UnitPrice]]*MarketPlace_Order_Report__2[[#This Row],[OrderQty]]</f>
        <v>3375</v>
      </c>
      <c r="BE60" s="1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60" s="1">
        <f>MarketPlace_Order_Report__2[[#This Row],[Gross Amount (Before Tax)]]+MarketPlace_Order_Report__2[[#This Row],[Total GST Amount]]</f>
        <v>3889.8310000000001</v>
      </c>
    </row>
    <row r="61" spans="1:58">
      <c r="A61" t="s">
        <v>474</v>
      </c>
      <c r="B61" t="s">
        <v>475</v>
      </c>
      <c r="C61" t="s">
        <v>468</v>
      </c>
      <c r="D61" t="s">
        <v>469</v>
      </c>
      <c r="E61">
        <v>1</v>
      </c>
      <c r="F61" t="s">
        <v>62</v>
      </c>
      <c r="G61">
        <v>1</v>
      </c>
      <c r="H61">
        <v>1</v>
      </c>
      <c r="I61">
        <v>3750</v>
      </c>
      <c r="J61">
        <v>3375</v>
      </c>
      <c r="K61">
        <v>0</v>
      </c>
      <c r="L61">
        <v>3424</v>
      </c>
      <c r="M61">
        <v>49</v>
      </c>
      <c r="N61" t="s">
        <v>99</v>
      </c>
      <c r="O61" s="2">
        <v>45934.938680555555</v>
      </c>
      <c r="P61" s="2">
        <v>45936.641296296293</v>
      </c>
      <c r="Q61" s="2">
        <v>45943.831701388888</v>
      </c>
      <c r="R61" t="s">
        <v>476</v>
      </c>
      <c r="S61" t="s">
        <v>89</v>
      </c>
      <c r="T61" s="2">
        <v>45935.742905092593</v>
      </c>
      <c r="U61" t="s">
        <v>66</v>
      </c>
      <c r="V61" t="s">
        <v>67</v>
      </c>
      <c r="W61" t="s">
        <v>66</v>
      </c>
      <c r="X61" t="s">
        <v>66</v>
      </c>
      <c r="Y61" t="s">
        <v>477</v>
      </c>
      <c r="Z61" t="s">
        <v>69</v>
      </c>
      <c r="AA61" t="s">
        <v>175</v>
      </c>
      <c r="AB61" t="s">
        <v>66</v>
      </c>
      <c r="AC61" t="s">
        <v>66</v>
      </c>
      <c r="AD61" s="2">
        <v>45959.264826388891</v>
      </c>
      <c r="AE61" t="s">
        <v>71</v>
      </c>
      <c r="AF61" t="s">
        <v>66</v>
      </c>
      <c r="AG61" t="s">
        <v>478</v>
      </c>
      <c r="AH61" t="s">
        <v>383</v>
      </c>
      <c r="AI61">
        <v>452014</v>
      </c>
      <c r="AJ61" t="s">
        <v>74</v>
      </c>
      <c r="AK61" t="s">
        <v>75</v>
      </c>
      <c r="AL61">
        <v>62042300</v>
      </c>
      <c r="AM61" s="2"/>
      <c r="AN61">
        <v>3375</v>
      </c>
      <c r="AO61" t="s">
        <v>479</v>
      </c>
      <c r="AP61" t="s">
        <v>66</v>
      </c>
      <c r="AQ61" t="s">
        <v>66</v>
      </c>
      <c r="AR61" t="s">
        <v>71</v>
      </c>
      <c r="AS61">
        <v>18</v>
      </c>
      <c r="AT61">
        <v>0</v>
      </c>
      <c r="AU61">
        <v>0</v>
      </c>
      <c r="AV61">
        <v>18</v>
      </c>
      <c r="AW61">
        <v>514.83100000000002</v>
      </c>
      <c r="AX61">
        <v>0</v>
      </c>
      <c r="AY61">
        <v>0</v>
      </c>
      <c r="AZ61">
        <v>514.83100000000002</v>
      </c>
      <c r="BA61" s="2"/>
      <c r="BB61">
        <v>0.85</v>
      </c>
      <c r="BC61" s="2">
        <v>45937.5</v>
      </c>
      <c r="BD61" s="1">
        <f>MarketPlace_Order_Report__2[[#This Row],[UnitPrice]]*MarketPlace_Order_Report__2[[#This Row],[OrderQty]]</f>
        <v>3375</v>
      </c>
      <c r="BE61" s="1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61" s="1">
        <f>MarketPlace_Order_Report__2[[#This Row],[Gross Amount (Before Tax)]]+MarketPlace_Order_Report__2[[#This Row],[Total GST Amount]]</f>
        <v>3889.8310000000001</v>
      </c>
    </row>
    <row r="62" spans="1:58">
      <c r="A62" t="s">
        <v>480</v>
      </c>
      <c r="B62" t="s">
        <v>481</v>
      </c>
      <c r="C62" t="s">
        <v>482</v>
      </c>
      <c r="D62" t="s">
        <v>483</v>
      </c>
      <c r="E62">
        <v>2</v>
      </c>
      <c r="F62" t="s">
        <v>1806</v>
      </c>
      <c r="G62">
        <v>1</v>
      </c>
      <c r="H62">
        <v>1</v>
      </c>
      <c r="I62">
        <v>3750</v>
      </c>
      <c r="J62">
        <v>3375</v>
      </c>
      <c r="K62">
        <v>0</v>
      </c>
      <c r="L62">
        <v>3404.34</v>
      </c>
      <c r="M62">
        <v>29.34</v>
      </c>
      <c r="N62" t="s">
        <v>99</v>
      </c>
      <c r="O62" s="2">
        <v>45943.495949074073</v>
      </c>
      <c r="P62" s="2">
        <v>45944.740231481483</v>
      </c>
      <c r="Q62" s="2">
        <v>45948.738078703704</v>
      </c>
      <c r="R62" t="s">
        <v>484</v>
      </c>
      <c r="S62" t="s">
        <v>65</v>
      </c>
      <c r="T62" s="2">
        <v>45943.814467592594</v>
      </c>
      <c r="U62" t="s">
        <v>66</v>
      </c>
      <c r="V62" t="s">
        <v>67</v>
      </c>
      <c r="W62" t="s">
        <v>66</v>
      </c>
      <c r="X62" t="s">
        <v>66</v>
      </c>
      <c r="Y62" t="s">
        <v>66</v>
      </c>
      <c r="Z62" t="s">
        <v>66</v>
      </c>
      <c r="AA62" t="s">
        <v>66</v>
      </c>
      <c r="AB62" t="s">
        <v>66</v>
      </c>
      <c r="AC62" t="s">
        <v>66</v>
      </c>
      <c r="AD62" s="2">
        <v>45948.74050925926</v>
      </c>
      <c r="AE62" t="s">
        <v>71</v>
      </c>
      <c r="AF62" t="s">
        <v>66</v>
      </c>
      <c r="AG62" t="s">
        <v>90</v>
      </c>
      <c r="AH62" t="s">
        <v>91</v>
      </c>
      <c r="AI62">
        <v>560035</v>
      </c>
      <c r="AJ62" t="s">
        <v>74</v>
      </c>
      <c r="AK62" t="s">
        <v>75</v>
      </c>
      <c r="AL62">
        <v>62042300</v>
      </c>
      <c r="AM62" s="2"/>
      <c r="AN62">
        <v>3375</v>
      </c>
      <c r="AO62" t="s">
        <v>485</v>
      </c>
      <c r="AP62" t="s">
        <v>66</v>
      </c>
      <c r="AQ62" t="s">
        <v>66</v>
      </c>
      <c r="AR62" t="s">
        <v>71</v>
      </c>
      <c r="AS62">
        <v>18</v>
      </c>
      <c r="AT62">
        <v>0</v>
      </c>
      <c r="AU62">
        <v>0</v>
      </c>
      <c r="AV62">
        <v>18</v>
      </c>
      <c r="AW62">
        <v>514.83100000000002</v>
      </c>
      <c r="AX62">
        <v>0</v>
      </c>
      <c r="AY62">
        <v>0</v>
      </c>
      <c r="AZ62">
        <v>514.83100000000002</v>
      </c>
      <c r="BA62" s="2"/>
      <c r="BB62">
        <v>0.85</v>
      </c>
      <c r="BC62" s="2">
        <v>45945.5</v>
      </c>
      <c r="BD62" s="1">
        <f>MarketPlace_Order_Report__2[[#This Row],[UnitPrice]]*MarketPlace_Order_Report__2[[#This Row],[OrderQty]]</f>
        <v>3375</v>
      </c>
      <c r="BE62" s="1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62" s="1">
        <f>MarketPlace_Order_Report__2[[#This Row],[Gross Amount (Before Tax)]]+MarketPlace_Order_Report__2[[#This Row],[Total GST Amount]]</f>
        <v>3889.8310000000001</v>
      </c>
    </row>
    <row r="63" spans="1:58">
      <c r="A63" t="s">
        <v>486</v>
      </c>
      <c r="B63" t="s">
        <v>487</v>
      </c>
      <c r="C63" t="s">
        <v>482</v>
      </c>
      <c r="D63" t="s">
        <v>483</v>
      </c>
      <c r="E63">
        <v>1</v>
      </c>
      <c r="F63" t="s">
        <v>1806</v>
      </c>
      <c r="G63">
        <v>1</v>
      </c>
      <c r="H63">
        <v>1</v>
      </c>
      <c r="I63">
        <v>3750</v>
      </c>
      <c r="J63">
        <v>3375</v>
      </c>
      <c r="K63">
        <v>0</v>
      </c>
      <c r="L63">
        <v>3394.25</v>
      </c>
      <c r="M63">
        <v>19.25</v>
      </c>
      <c r="N63" t="s">
        <v>63</v>
      </c>
      <c r="O63" s="2">
        <v>45943.482175925928</v>
      </c>
      <c r="P63" s="2">
        <v>45944.738993055558</v>
      </c>
      <c r="Q63" s="2">
        <v>45949.477187500001</v>
      </c>
      <c r="R63" t="s">
        <v>488</v>
      </c>
      <c r="S63" t="s">
        <v>65</v>
      </c>
      <c r="T63" s="2">
        <v>45943.814467592594</v>
      </c>
      <c r="U63" t="s">
        <v>66</v>
      </c>
      <c r="V63" t="s">
        <v>67</v>
      </c>
      <c r="W63" t="s">
        <v>66</v>
      </c>
      <c r="X63" t="s">
        <v>66</v>
      </c>
      <c r="Y63" t="s">
        <v>66</v>
      </c>
      <c r="Z63" t="s">
        <v>66</v>
      </c>
      <c r="AA63" t="s">
        <v>66</v>
      </c>
      <c r="AB63" t="s">
        <v>66</v>
      </c>
      <c r="AC63" t="s">
        <v>66</v>
      </c>
      <c r="AD63" s="2">
        <v>45949.480196759258</v>
      </c>
      <c r="AE63" t="s">
        <v>71</v>
      </c>
      <c r="AF63" t="s">
        <v>66</v>
      </c>
      <c r="AG63" t="s">
        <v>489</v>
      </c>
      <c r="AH63" t="s">
        <v>251</v>
      </c>
      <c r="AI63">
        <v>641035</v>
      </c>
      <c r="AJ63" t="s">
        <v>74</v>
      </c>
      <c r="AK63" t="s">
        <v>75</v>
      </c>
      <c r="AL63">
        <v>62042300</v>
      </c>
      <c r="AM63" s="2"/>
      <c r="AN63">
        <v>3375</v>
      </c>
      <c r="AO63" t="s">
        <v>490</v>
      </c>
      <c r="AP63" t="s">
        <v>66</v>
      </c>
      <c r="AQ63" t="s">
        <v>66</v>
      </c>
      <c r="AR63" t="s">
        <v>71</v>
      </c>
      <c r="AS63">
        <v>18</v>
      </c>
      <c r="AT63">
        <v>0</v>
      </c>
      <c r="AU63">
        <v>0</v>
      </c>
      <c r="AV63">
        <v>18</v>
      </c>
      <c r="AW63">
        <v>514.83100000000002</v>
      </c>
      <c r="AX63">
        <v>0</v>
      </c>
      <c r="AY63">
        <v>0</v>
      </c>
      <c r="AZ63">
        <v>514.83100000000002</v>
      </c>
      <c r="BA63" s="2"/>
      <c r="BB63">
        <v>0.85</v>
      </c>
      <c r="BC63" s="2">
        <v>45945.5</v>
      </c>
      <c r="BD63" s="1">
        <f>MarketPlace_Order_Report__2[[#This Row],[UnitPrice]]*MarketPlace_Order_Report__2[[#This Row],[OrderQty]]</f>
        <v>3375</v>
      </c>
      <c r="BE63" s="1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63" s="1">
        <f>MarketPlace_Order_Report__2[[#This Row],[Gross Amount (Before Tax)]]+MarketPlace_Order_Report__2[[#This Row],[Total GST Amount]]</f>
        <v>3889.8310000000001</v>
      </c>
    </row>
    <row r="64" spans="1:58">
      <c r="A64" t="s">
        <v>491</v>
      </c>
      <c r="B64" t="s">
        <v>492</v>
      </c>
      <c r="C64" t="s">
        <v>493</v>
      </c>
      <c r="D64" t="s">
        <v>494</v>
      </c>
      <c r="E64">
        <v>3</v>
      </c>
      <c r="F64" t="s">
        <v>62</v>
      </c>
      <c r="G64">
        <v>1</v>
      </c>
      <c r="H64">
        <v>1</v>
      </c>
      <c r="I64">
        <v>3750</v>
      </c>
      <c r="J64">
        <v>3375</v>
      </c>
      <c r="K64">
        <v>0</v>
      </c>
      <c r="L64">
        <v>3391.55</v>
      </c>
      <c r="M64">
        <v>16.55</v>
      </c>
      <c r="N64" t="s">
        <v>63</v>
      </c>
      <c r="O64" s="2">
        <v>45946.847037037034</v>
      </c>
      <c r="P64" s="2">
        <v>45948.728263888886</v>
      </c>
      <c r="Q64" s="2">
        <v>45955.73364583333</v>
      </c>
      <c r="R64" t="s">
        <v>495</v>
      </c>
      <c r="S64" t="s">
        <v>65</v>
      </c>
      <c r="T64" s="2">
        <v>45947.781145833331</v>
      </c>
      <c r="U64" t="s">
        <v>66</v>
      </c>
      <c r="V64" t="s">
        <v>67</v>
      </c>
      <c r="W64" t="s">
        <v>66</v>
      </c>
      <c r="X64" t="s">
        <v>66</v>
      </c>
      <c r="Y64" t="s">
        <v>496</v>
      </c>
      <c r="Z64" t="s">
        <v>69</v>
      </c>
      <c r="AA64" t="s">
        <v>70</v>
      </c>
      <c r="AB64" t="s">
        <v>66</v>
      </c>
      <c r="AC64" t="s">
        <v>66</v>
      </c>
      <c r="AD64" s="2">
        <v>45957.705740740741</v>
      </c>
      <c r="AE64" t="s">
        <v>71</v>
      </c>
      <c r="AF64" t="s">
        <v>66</v>
      </c>
      <c r="AG64" t="s">
        <v>222</v>
      </c>
      <c r="AH64" t="s">
        <v>73</v>
      </c>
      <c r="AI64">
        <v>302021</v>
      </c>
      <c r="AJ64" t="s">
        <v>74</v>
      </c>
      <c r="AK64" t="s">
        <v>75</v>
      </c>
      <c r="AL64">
        <v>62042300</v>
      </c>
      <c r="AM64" s="2"/>
      <c r="AN64">
        <v>3375</v>
      </c>
      <c r="AO64" t="s">
        <v>497</v>
      </c>
      <c r="AP64" t="s">
        <v>132</v>
      </c>
      <c r="AQ64" t="s">
        <v>66</v>
      </c>
      <c r="AR64" t="s">
        <v>71</v>
      </c>
      <c r="AS64">
        <v>18</v>
      </c>
      <c r="AT64">
        <v>0</v>
      </c>
      <c r="AU64">
        <v>0</v>
      </c>
      <c r="AV64">
        <v>18</v>
      </c>
      <c r="AW64">
        <v>514.83100000000002</v>
      </c>
      <c r="AX64">
        <v>0</v>
      </c>
      <c r="AY64">
        <v>0</v>
      </c>
      <c r="AZ64">
        <v>514.83100000000002</v>
      </c>
      <c r="BA64" s="2"/>
      <c r="BB64">
        <v>0.85</v>
      </c>
      <c r="BC64" s="2">
        <v>45949.5</v>
      </c>
      <c r="BD64" s="1">
        <f>MarketPlace_Order_Report__2[[#This Row],[UnitPrice]]*MarketPlace_Order_Report__2[[#This Row],[OrderQty]]</f>
        <v>3375</v>
      </c>
      <c r="BE64" s="1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64" s="1">
        <f>MarketPlace_Order_Report__2[[#This Row],[Gross Amount (Before Tax)]]+MarketPlace_Order_Report__2[[#This Row],[Total GST Amount]]</f>
        <v>3889.8310000000001</v>
      </c>
    </row>
    <row r="65" spans="1:58">
      <c r="A65" t="s">
        <v>498</v>
      </c>
      <c r="B65" t="s">
        <v>499</v>
      </c>
      <c r="C65" t="s">
        <v>500</v>
      </c>
      <c r="D65" t="s">
        <v>501</v>
      </c>
      <c r="E65">
        <v>1</v>
      </c>
      <c r="F65" t="s">
        <v>1806</v>
      </c>
      <c r="G65">
        <v>1</v>
      </c>
      <c r="H65">
        <v>1</v>
      </c>
      <c r="I65">
        <v>4000</v>
      </c>
      <c r="J65">
        <v>3600</v>
      </c>
      <c r="K65">
        <v>0</v>
      </c>
      <c r="L65">
        <v>3649</v>
      </c>
      <c r="M65">
        <v>49</v>
      </c>
      <c r="N65" t="s">
        <v>99</v>
      </c>
      <c r="O65" s="2">
        <v>45942.889120370368</v>
      </c>
      <c r="P65" s="2">
        <v>45944.743067129632</v>
      </c>
      <c r="Q65" s="2">
        <v>45949.696793981479</v>
      </c>
      <c r="R65" t="s">
        <v>502</v>
      </c>
      <c r="S65" t="s">
        <v>65</v>
      </c>
      <c r="T65" s="2">
        <v>45943.814467592594</v>
      </c>
      <c r="U65" t="s">
        <v>66</v>
      </c>
      <c r="V65" t="s">
        <v>67</v>
      </c>
      <c r="W65" t="s">
        <v>66</v>
      </c>
      <c r="X65" t="s">
        <v>66</v>
      </c>
      <c r="Y65" t="s">
        <v>66</v>
      </c>
      <c r="Z65" t="s">
        <v>66</v>
      </c>
      <c r="AA65" t="s">
        <v>66</v>
      </c>
      <c r="AB65" t="s">
        <v>66</v>
      </c>
      <c r="AC65" t="s">
        <v>66</v>
      </c>
      <c r="AD65" s="2">
        <v>45949.698784722219</v>
      </c>
      <c r="AE65" t="s">
        <v>71</v>
      </c>
      <c r="AF65" t="s">
        <v>66</v>
      </c>
      <c r="AG65" t="s">
        <v>503</v>
      </c>
      <c r="AH65" t="s">
        <v>139</v>
      </c>
      <c r="AI65">
        <v>281001</v>
      </c>
      <c r="AJ65" t="s">
        <v>74</v>
      </c>
      <c r="AK65" t="s">
        <v>75</v>
      </c>
      <c r="AL65">
        <v>62042300</v>
      </c>
      <c r="AM65" s="2"/>
      <c r="AN65">
        <v>3600</v>
      </c>
      <c r="AO65" t="s">
        <v>504</v>
      </c>
      <c r="AP65" t="s">
        <v>243</v>
      </c>
      <c r="AQ65" t="s">
        <v>66</v>
      </c>
      <c r="AR65" t="s">
        <v>71</v>
      </c>
      <c r="AS65">
        <v>18</v>
      </c>
      <c r="AT65">
        <v>0</v>
      </c>
      <c r="AU65">
        <v>0</v>
      </c>
      <c r="AV65">
        <v>18</v>
      </c>
      <c r="AW65">
        <v>549.15300000000002</v>
      </c>
      <c r="AX65">
        <v>0</v>
      </c>
      <c r="AY65">
        <v>0</v>
      </c>
      <c r="AZ65">
        <v>549.15300000000002</v>
      </c>
      <c r="BA65" s="2"/>
      <c r="BB65">
        <v>0.85</v>
      </c>
      <c r="BC65" s="2">
        <v>45945.5</v>
      </c>
      <c r="BD65" s="1">
        <f>MarketPlace_Order_Report__2[[#This Row],[UnitPrice]]*MarketPlace_Order_Report__2[[#This Row],[OrderQty]]</f>
        <v>3600</v>
      </c>
      <c r="BE65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65" s="1">
        <f>MarketPlace_Order_Report__2[[#This Row],[Gross Amount (Before Tax)]]+MarketPlace_Order_Report__2[[#This Row],[Total GST Amount]]</f>
        <v>4149.1530000000002</v>
      </c>
    </row>
    <row r="66" spans="1:58">
      <c r="A66" t="s">
        <v>505</v>
      </c>
      <c r="B66" t="s">
        <v>506</v>
      </c>
      <c r="C66" t="s">
        <v>507</v>
      </c>
      <c r="D66" t="s">
        <v>508</v>
      </c>
      <c r="E66">
        <v>1</v>
      </c>
      <c r="F66" t="s">
        <v>1806</v>
      </c>
      <c r="G66">
        <v>1</v>
      </c>
      <c r="H66">
        <v>1</v>
      </c>
      <c r="I66">
        <v>4000</v>
      </c>
      <c r="J66">
        <v>3600</v>
      </c>
      <c r="K66">
        <v>0</v>
      </c>
      <c r="L66">
        <v>3649</v>
      </c>
      <c r="M66">
        <v>49</v>
      </c>
      <c r="N66" t="s">
        <v>99</v>
      </c>
      <c r="O66" s="2">
        <v>45943.468784722223</v>
      </c>
      <c r="P66" s="2">
        <v>45944.740891203706</v>
      </c>
      <c r="Q66" s="2">
        <v>45946.699988425928</v>
      </c>
      <c r="R66" t="s">
        <v>509</v>
      </c>
      <c r="S66" t="s">
        <v>161</v>
      </c>
      <c r="T66" s="2">
        <v>45943.813715277778</v>
      </c>
      <c r="U66" t="s">
        <v>66</v>
      </c>
      <c r="V66" t="s">
        <v>67</v>
      </c>
      <c r="W66" t="s">
        <v>66</v>
      </c>
      <c r="X66" t="s">
        <v>66</v>
      </c>
      <c r="Y66" t="s">
        <v>66</v>
      </c>
      <c r="Z66" t="s">
        <v>66</v>
      </c>
      <c r="AA66" t="s">
        <v>66</v>
      </c>
      <c r="AB66" t="s">
        <v>66</v>
      </c>
      <c r="AC66" t="s">
        <v>66</v>
      </c>
      <c r="AD66" s="2">
        <v>45946.70590277778</v>
      </c>
      <c r="AE66" t="s">
        <v>71</v>
      </c>
      <c r="AF66" t="s">
        <v>66</v>
      </c>
      <c r="AG66" t="s">
        <v>300</v>
      </c>
      <c r="AH66" t="s">
        <v>123</v>
      </c>
      <c r="AI66">
        <v>411014</v>
      </c>
      <c r="AJ66" t="s">
        <v>74</v>
      </c>
      <c r="AK66" t="s">
        <v>75</v>
      </c>
      <c r="AL66">
        <v>62042300</v>
      </c>
      <c r="AM66" s="2"/>
      <c r="AN66">
        <v>3600</v>
      </c>
      <c r="AO66" t="s">
        <v>510</v>
      </c>
      <c r="AP66" t="s">
        <v>66</v>
      </c>
      <c r="AQ66" t="s">
        <v>66</v>
      </c>
      <c r="AR66" t="s">
        <v>71</v>
      </c>
      <c r="AS66">
        <v>18</v>
      </c>
      <c r="AT66">
        <v>9</v>
      </c>
      <c r="AU66">
        <v>9</v>
      </c>
      <c r="AV66">
        <v>0</v>
      </c>
      <c r="AW66">
        <v>549.15300000000002</v>
      </c>
      <c r="AX66">
        <v>274.577</v>
      </c>
      <c r="AY66">
        <v>274.577</v>
      </c>
      <c r="AZ66">
        <v>0</v>
      </c>
      <c r="BA66" s="2"/>
      <c r="BB66">
        <v>0.85</v>
      </c>
      <c r="BC66" s="2">
        <v>45945.5</v>
      </c>
      <c r="BD66" s="1">
        <f>MarketPlace_Order_Report__2[[#This Row],[UnitPrice]]*MarketPlace_Order_Report__2[[#This Row],[OrderQty]]</f>
        <v>3600</v>
      </c>
      <c r="BE66" s="1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66" s="1">
        <f>MarketPlace_Order_Report__2[[#This Row],[Gross Amount (Before Tax)]]+MarketPlace_Order_Report__2[[#This Row],[Total GST Amount]]</f>
        <v>4149.1540000000005</v>
      </c>
    </row>
    <row r="67" spans="1:58">
      <c r="A67" t="s">
        <v>511</v>
      </c>
      <c r="B67" t="s">
        <v>512</v>
      </c>
      <c r="C67" t="s">
        <v>513</v>
      </c>
      <c r="D67" t="s">
        <v>514</v>
      </c>
      <c r="E67">
        <v>1</v>
      </c>
      <c r="F67" t="s">
        <v>107</v>
      </c>
      <c r="G67">
        <v>1</v>
      </c>
      <c r="H67">
        <v>1</v>
      </c>
      <c r="I67">
        <v>4000</v>
      </c>
      <c r="J67">
        <v>3600</v>
      </c>
      <c r="K67">
        <v>0</v>
      </c>
      <c r="L67">
        <v>3629</v>
      </c>
      <c r="M67">
        <v>29</v>
      </c>
      <c r="N67" t="s">
        <v>63</v>
      </c>
      <c r="O67" s="2">
        <v>45959.09107638889</v>
      </c>
      <c r="P67" s="2">
        <v>45959.783333333333</v>
      </c>
      <c r="Q67" s="2"/>
      <c r="R67" t="s">
        <v>515</v>
      </c>
      <c r="S67" t="s">
        <v>155</v>
      </c>
      <c r="T67" s="2">
        <v>45959.459155092591</v>
      </c>
      <c r="U67" t="s">
        <v>66</v>
      </c>
      <c r="V67" t="s">
        <v>67</v>
      </c>
      <c r="W67" t="s">
        <v>66</v>
      </c>
      <c r="X67" t="s">
        <v>66</v>
      </c>
      <c r="Y67" t="s">
        <v>66</v>
      </c>
      <c r="Z67" t="s">
        <v>66</v>
      </c>
      <c r="AA67" t="s">
        <v>66</v>
      </c>
      <c r="AB67" t="s">
        <v>66</v>
      </c>
      <c r="AC67" t="s">
        <v>66</v>
      </c>
      <c r="AD67" s="2">
        <v>45961.483738425923</v>
      </c>
      <c r="AE67" t="s">
        <v>71</v>
      </c>
      <c r="AF67" t="s">
        <v>66</v>
      </c>
      <c r="AG67" t="s">
        <v>259</v>
      </c>
      <c r="AH67" t="s">
        <v>123</v>
      </c>
      <c r="AI67">
        <v>400076</v>
      </c>
      <c r="AJ67" t="s">
        <v>74</v>
      </c>
      <c r="AK67" t="s">
        <v>75</v>
      </c>
      <c r="AL67">
        <v>62042300</v>
      </c>
      <c r="AM67" s="2"/>
      <c r="AN67">
        <v>3600</v>
      </c>
      <c r="AO67" t="s">
        <v>516</v>
      </c>
      <c r="AP67" t="s">
        <v>517</v>
      </c>
      <c r="AQ67" t="s">
        <v>66</v>
      </c>
      <c r="AR67" t="s">
        <v>71</v>
      </c>
      <c r="AS67">
        <v>18</v>
      </c>
      <c r="AT67">
        <v>9</v>
      </c>
      <c r="AU67">
        <v>9</v>
      </c>
      <c r="AV67">
        <v>0</v>
      </c>
      <c r="AW67">
        <v>549.15300000000002</v>
      </c>
      <c r="AX67">
        <v>274.577</v>
      </c>
      <c r="AY67">
        <v>274.577</v>
      </c>
      <c r="AZ67">
        <v>0</v>
      </c>
      <c r="BA67" s="2"/>
      <c r="BB67">
        <v>0.85</v>
      </c>
      <c r="BC67" s="2">
        <v>45961.5</v>
      </c>
      <c r="BD67" s="1">
        <f>MarketPlace_Order_Report__2[[#This Row],[UnitPrice]]*MarketPlace_Order_Report__2[[#This Row],[OrderQty]]</f>
        <v>3600</v>
      </c>
      <c r="BE67" s="1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67" s="1">
        <f>MarketPlace_Order_Report__2[[#This Row],[Gross Amount (Before Tax)]]+MarketPlace_Order_Report__2[[#This Row],[Total GST Amount]]</f>
        <v>4149.1540000000005</v>
      </c>
    </row>
    <row r="68" spans="1:58">
      <c r="A68" t="s">
        <v>518</v>
      </c>
      <c r="B68" t="s">
        <v>519</v>
      </c>
      <c r="C68" t="s">
        <v>520</v>
      </c>
      <c r="D68" t="s">
        <v>521</v>
      </c>
      <c r="E68">
        <v>1</v>
      </c>
      <c r="F68" t="s">
        <v>1806</v>
      </c>
      <c r="G68">
        <v>1</v>
      </c>
      <c r="H68">
        <v>1</v>
      </c>
      <c r="I68">
        <v>4000</v>
      </c>
      <c r="J68">
        <v>3600</v>
      </c>
      <c r="K68">
        <v>0</v>
      </c>
      <c r="L68">
        <v>3600</v>
      </c>
      <c r="M68">
        <v>0</v>
      </c>
      <c r="N68" t="s">
        <v>63</v>
      </c>
      <c r="O68" s="2">
        <v>45953.643761574072</v>
      </c>
      <c r="P68" s="2">
        <v>45954.762499999997</v>
      </c>
      <c r="Q68" s="2">
        <v>45956.401388888888</v>
      </c>
      <c r="R68" t="s">
        <v>522</v>
      </c>
      <c r="S68" t="s">
        <v>155</v>
      </c>
      <c r="T68" s="2">
        <v>45954.500509259262</v>
      </c>
      <c r="U68" t="s">
        <v>66</v>
      </c>
      <c r="V68" t="s">
        <v>67</v>
      </c>
      <c r="W68" t="s">
        <v>66</v>
      </c>
      <c r="X68" t="s">
        <v>66</v>
      </c>
      <c r="Y68" t="s">
        <v>66</v>
      </c>
      <c r="Z68" t="s">
        <v>66</v>
      </c>
      <c r="AA68" t="s">
        <v>66</v>
      </c>
      <c r="AB68" t="s">
        <v>66</v>
      </c>
      <c r="AC68" t="s">
        <v>66</v>
      </c>
      <c r="AD68" s="2">
        <v>45956.650381944448</v>
      </c>
      <c r="AE68" t="s">
        <v>71</v>
      </c>
      <c r="AF68" t="s">
        <v>66</v>
      </c>
      <c r="AG68" t="s">
        <v>300</v>
      </c>
      <c r="AH68" t="s">
        <v>123</v>
      </c>
      <c r="AI68">
        <v>411014</v>
      </c>
      <c r="AJ68" t="s">
        <v>74</v>
      </c>
      <c r="AK68" t="s">
        <v>75</v>
      </c>
      <c r="AL68">
        <v>62042300</v>
      </c>
      <c r="AM68" s="2"/>
      <c r="AN68">
        <v>3600</v>
      </c>
      <c r="AO68" t="s">
        <v>523</v>
      </c>
      <c r="AP68" t="s">
        <v>158</v>
      </c>
      <c r="AQ68" t="s">
        <v>66</v>
      </c>
      <c r="AR68" t="s">
        <v>71</v>
      </c>
      <c r="AS68">
        <v>18</v>
      </c>
      <c r="AT68">
        <v>9</v>
      </c>
      <c r="AU68">
        <v>9</v>
      </c>
      <c r="AV68">
        <v>0</v>
      </c>
      <c r="AW68">
        <v>549.15300000000002</v>
      </c>
      <c r="AX68">
        <v>274.577</v>
      </c>
      <c r="AY68">
        <v>274.577</v>
      </c>
      <c r="AZ68">
        <v>0</v>
      </c>
      <c r="BA68" s="2"/>
      <c r="BB68">
        <v>1.2</v>
      </c>
      <c r="BC68" s="2">
        <v>45956.5</v>
      </c>
      <c r="BD68" s="1">
        <f>MarketPlace_Order_Report__2[[#This Row],[UnitPrice]]*MarketPlace_Order_Report__2[[#This Row],[OrderQty]]</f>
        <v>3600</v>
      </c>
      <c r="BE68" s="1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68" s="1">
        <f>MarketPlace_Order_Report__2[[#This Row],[Gross Amount (Before Tax)]]+MarketPlace_Order_Report__2[[#This Row],[Total GST Amount]]</f>
        <v>4149.1540000000005</v>
      </c>
    </row>
    <row r="69" spans="1:58">
      <c r="A69" t="s">
        <v>524</v>
      </c>
      <c r="B69" t="s">
        <v>525</v>
      </c>
      <c r="C69" t="s">
        <v>520</v>
      </c>
      <c r="D69" t="s">
        <v>521</v>
      </c>
      <c r="E69">
        <v>1</v>
      </c>
      <c r="F69" t="s">
        <v>1806</v>
      </c>
      <c r="G69">
        <v>1</v>
      </c>
      <c r="H69">
        <v>1</v>
      </c>
      <c r="I69">
        <v>4000</v>
      </c>
      <c r="J69">
        <v>3600</v>
      </c>
      <c r="K69">
        <v>0</v>
      </c>
      <c r="L69">
        <v>3629</v>
      </c>
      <c r="M69">
        <v>29</v>
      </c>
      <c r="N69" t="s">
        <v>63</v>
      </c>
      <c r="O69" s="2">
        <v>45943.699583333335</v>
      </c>
      <c r="P69" s="2">
        <v>45944.669444444444</v>
      </c>
      <c r="Q69" s="2">
        <v>45947.703472222223</v>
      </c>
      <c r="R69" t="s">
        <v>526</v>
      </c>
      <c r="S69" t="s">
        <v>146</v>
      </c>
      <c r="T69" s="2">
        <v>45943.813715277778</v>
      </c>
      <c r="U69" t="s">
        <v>66</v>
      </c>
      <c r="V69" t="s">
        <v>67</v>
      </c>
      <c r="W69" t="s">
        <v>66</v>
      </c>
      <c r="X69" t="s">
        <v>66</v>
      </c>
      <c r="Y69" t="s">
        <v>66</v>
      </c>
      <c r="Z69" t="s">
        <v>66</v>
      </c>
      <c r="AA69" t="s">
        <v>66</v>
      </c>
      <c r="AB69" t="s">
        <v>66</v>
      </c>
      <c r="AC69" t="s">
        <v>66</v>
      </c>
      <c r="AD69" s="2">
        <v>45947.709293981483</v>
      </c>
      <c r="AE69" t="s">
        <v>71</v>
      </c>
      <c r="AF69" t="s">
        <v>66</v>
      </c>
      <c r="AG69" t="s">
        <v>395</v>
      </c>
      <c r="AH69" t="s">
        <v>251</v>
      </c>
      <c r="AI69">
        <v>600080</v>
      </c>
      <c r="AJ69" t="s">
        <v>74</v>
      </c>
      <c r="AK69" t="s">
        <v>75</v>
      </c>
      <c r="AL69">
        <v>62042300</v>
      </c>
      <c r="AM69" s="2"/>
      <c r="AN69">
        <v>3600</v>
      </c>
      <c r="AO69" t="s">
        <v>527</v>
      </c>
      <c r="AP69" t="s">
        <v>132</v>
      </c>
      <c r="AQ69" t="s">
        <v>66</v>
      </c>
      <c r="AR69" t="s">
        <v>71</v>
      </c>
      <c r="AS69">
        <v>18</v>
      </c>
      <c r="AT69">
        <v>0</v>
      </c>
      <c r="AU69">
        <v>0</v>
      </c>
      <c r="AV69">
        <v>18</v>
      </c>
      <c r="AW69">
        <v>549.15300000000002</v>
      </c>
      <c r="AX69">
        <v>0</v>
      </c>
      <c r="AY69">
        <v>0</v>
      </c>
      <c r="AZ69">
        <v>549.15300000000002</v>
      </c>
      <c r="BA69" s="2"/>
      <c r="BB69">
        <v>0.85</v>
      </c>
      <c r="BC69" s="2">
        <v>45946.5</v>
      </c>
      <c r="BD69" s="1">
        <f>MarketPlace_Order_Report__2[[#This Row],[UnitPrice]]*MarketPlace_Order_Report__2[[#This Row],[OrderQty]]</f>
        <v>3600</v>
      </c>
      <c r="BE69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69" s="1">
        <f>MarketPlace_Order_Report__2[[#This Row],[Gross Amount (Before Tax)]]+MarketPlace_Order_Report__2[[#This Row],[Total GST Amount]]</f>
        <v>4149.1530000000002</v>
      </c>
    </row>
    <row r="70" spans="1:58">
      <c r="A70" t="s">
        <v>528</v>
      </c>
      <c r="B70" t="s">
        <v>529</v>
      </c>
      <c r="C70" t="s">
        <v>520</v>
      </c>
      <c r="D70" t="s">
        <v>521</v>
      </c>
      <c r="E70">
        <v>1</v>
      </c>
      <c r="F70" t="s">
        <v>62</v>
      </c>
      <c r="G70">
        <v>1</v>
      </c>
      <c r="H70">
        <v>1</v>
      </c>
      <c r="I70">
        <v>4000</v>
      </c>
      <c r="J70">
        <v>3600</v>
      </c>
      <c r="K70">
        <v>0</v>
      </c>
      <c r="L70">
        <v>3622.22</v>
      </c>
      <c r="M70">
        <v>22.22</v>
      </c>
      <c r="N70" t="s">
        <v>63</v>
      </c>
      <c r="O70" s="2">
        <v>45942.979745370372</v>
      </c>
      <c r="P70" s="2">
        <v>45944.735902777778</v>
      </c>
      <c r="Q70" s="2">
        <v>45946.753842592596</v>
      </c>
      <c r="R70" t="s">
        <v>530</v>
      </c>
      <c r="S70" t="s">
        <v>161</v>
      </c>
      <c r="T70" s="2">
        <v>45943.814467592594</v>
      </c>
      <c r="U70" t="s">
        <v>66</v>
      </c>
      <c r="V70" t="s">
        <v>67</v>
      </c>
      <c r="W70" t="s">
        <v>66</v>
      </c>
      <c r="X70" t="s">
        <v>66</v>
      </c>
      <c r="Y70" t="s">
        <v>531</v>
      </c>
      <c r="Z70" t="s">
        <v>69</v>
      </c>
      <c r="AA70" t="s">
        <v>175</v>
      </c>
      <c r="AB70" t="s">
        <v>66</v>
      </c>
      <c r="AC70" t="s">
        <v>66</v>
      </c>
      <c r="AD70" s="2">
        <v>45954.629421296297</v>
      </c>
      <c r="AE70" t="s">
        <v>71</v>
      </c>
      <c r="AF70" t="s">
        <v>66</v>
      </c>
      <c r="AG70" t="s">
        <v>259</v>
      </c>
      <c r="AH70" t="s">
        <v>123</v>
      </c>
      <c r="AI70">
        <v>400076</v>
      </c>
      <c r="AJ70" t="s">
        <v>74</v>
      </c>
      <c r="AK70" t="s">
        <v>75</v>
      </c>
      <c r="AL70">
        <v>62042300</v>
      </c>
      <c r="AM70" s="2"/>
      <c r="AN70">
        <v>3600</v>
      </c>
      <c r="AO70" t="s">
        <v>532</v>
      </c>
      <c r="AP70" t="s">
        <v>243</v>
      </c>
      <c r="AQ70" t="s">
        <v>66</v>
      </c>
      <c r="AR70" t="s">
        <v>71</v>
      </c>
      <c r="AS70">
        <v>18</v>
      </c>
      <c r="AT70">
        <v>9</v>
      </c>
      <c r="AU70">
        <v>9</v>
      </c>
      <c r="AV70">
        <v>0</v>
      </c>
      <c r="AW70">
        <v>549.15300000000002</v>
      </c>
      <c r="AX70">
        <v>274.577</v>
      </c>
      <c r="AY70">
        <v>274.577</v>
      </c>
      <c r="AZ70">
        <v>0</v>
      </c>
      <c r="BA70" s="2"/>
      <c r="BB70">
        <v>0.85</v>
      </c>
      <c r="BC70" s="2">
        <v>45945.5</v>
      </c>
      <c r="BD70" s="1">
        <f>MarketPlace_Order_Report__2[[#This Row],[UnitPrice]]*MarketPlace_Order_Report__2[[#This Row],[OrderQty]]</f>
        <v>3600</v>
      </c>
      <c r="BE70" s="1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70" s="1">
        <f>MarketPlace_Order_Report__2[[#This Row],[Gross Amount (Before Tax)]]+MarketPlace_Order_Report__2[[#This Row],[Total GST Amount]]</f>
        <v>4149.1540000000005</v>
      </c>
    </row>
    <row r="71" spans="1:58">
      <c r="A71" t="s">
        <v>518</v>
      </c>
      <c r="B71" t="s">
        <v>519</v>
      </c>
      <c r="C71" t="s">
        <v>533</v>
      </c>
      <c r="D71" t="s">
        <v>534</v>
      </c>
      <c r="E71">
        <v>4</v>
      </c>
      <c r="F71" t="s">
        <v>62</v>
      </c>
      <c r="G71">
        <v>1</v>
      </c>
      <c r="H71">
        <v>1</v>
      </c>
      <c r="I71">
        <v>4000</v>
      </c>
      <c r="J71">
        <v>3600</v>
      </c>
      <c r="K71">
        <v>0</v>
      </c>
      <c r="L71">
        <v>3600</v>
      </c>
      <c r="M71">
        <v>0</v>
      </c>
      <c r="N71" t="s">
        <v>63</v>
      </c>
      <c r="O71" s="2">
        <v>45953.643761574072</v>
      </c>
      <c r="P71" s="2">
        <v>45954.762499999997</v>
      </c>
      <c r="Q71" s="2">
        <v>45956.401388888888</v>
      </c>
      <c r="R71" t="s">
        <v>522</v>
      </c>
      <c r="S71" t="s">
        <v>155</v>
      </c>
      <c r="T71" s="2">
        <v>45954.500509259262</v>
      </c>
      <c r="U71" t="s">
        <v>66</v>
      </c>
      <c r="V71" t="s">
        <v>67</v>
      </c>
      <c r="W71" t="s">
        <v>66</v>
      </c>
      <c r="X71" t="s">
        <v>66</v>
      </c>
      <c r="Y71" t="s">
        <v>535</v>
      </c>
      <c r="Z71" t="s">
        <v>69</v>
      </c>
      <c r="AA71" t="s">
        <v>130</v>
      </c>
      <c r="AB71" t="s">
        <v>66</v>
      </c>
      <c r="AC71" t="s">
        <v>66</v>
      </c>
      <c r="AD71" s="2">
        <v>45957.79619212963</v>
      </c>
      <c r="AE71" t="s">
        <v>71</v>
      </c>
      <c r="AF71" t="s">
        <v>66</v>
      </c>
      <c r="AG71" t="s">
        <v>300</v>
      </c>
      <c r="AH71" t="s">
        <v>123</v>
      </c>
      <c r="AI71">
        <v>411014</v>
      </c>
      <c r="AJ71" t="s">
        <v>74</v>
      </c>
      <c r="AK71" t="s">
        <v>75</v>
      </c>
      <c r="AL71">
        <v>62042300</v>
      </c>
      <c r="AM71" s="2"/>
      <c r="AN71">
        <v>3600</v>
      </c>
      <c r="AO71" t="s">
        <v>523</v>
      </c>
      <c r="AP71" t="s">
        <v>158</v>
      </c>
      <c r="AQ71" t="s">
        <v>66</v>
      </c>
      <c r="AR71" t="s">
        <v>71</v>
      </c>
      <c r="AS71">
        <v>18</v>
      </c>
      <c r="AT71">
        <v>9</v>
      </c>
      <c r="AU71">
        <v>9</v>
      </c>
      <c r="AV71">
        <v>0</v>
      </c>
      <c r="AW71">
        <v>549.15300000000002</v>
      </c>
      <c r="AX71">
        <v>274.577</v>
      </c>
      <c r="AY71">
        <v>274.577</v>
      </c>
      <c r="AZ71">
        <v>0</v>
      </c>
      <c r="BA71" s="2"/>
      <c r="BB71">
        <v>1.2</v>
      </c>
      <c r="BC71" s="2">
        <v>45956.5</v>
      </c>
      <c r="BD71" s="1">
        <f>MarketPlace_Order_Report__2[[#This Row],[UnitPrice]]*MarketPlace_Order_Report__2[[#This Row],[OrderQty]]</f>
        <v>3600</v>
      </c>
      <c r="BE71" s="1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71" s="1">
        <f>MarketPlace_Order_Report__2[[#This Row],[Gross Amount (Before Tax)]]+MarketPlace_Order_Report__2[[#This Row],[Total GST Amount]]</f>
        <v>4149.1540000000005</v>
      </c>
    </row>
    <row r="72" spans="1:58">
      <c r="A72" t="s">
        <v>536</v>
      </c>
      <c r="B72" t="s">
        <v>537</v>
      </c>
      <c r="C72" t="s">
        <v>538</v>
      </c>
      <c r="D72" t="s">
        <v>539</v>
      </c>
      <c r="E72">
        <v>2</v>
      </c>
      <c r="F72" t="s">
        <v>1806</v>
      </c>
      <c r="G72">
        <v>1</v>
      </c>
      <c r="H72">
        <v>1</v>
      </c>
      <c r="I72">
        <v>4000</v>
      </c>
      <c r="J72">
        <v>3600</v>
      </c>
      <c r="K72">
        <v>0</v>
      </c>
      <c r="L72">
        <v>3609.759</v>
      </c>
      <c r="M72">
        <v>9.7590000000000003</v>
      </c>
      <c r="N72" t="s">
        <v>63</v>
      </c>
      <c r="O72" s="2">
        <v>45958.070393518516</v>
      </c>
      <c r="P72" s="2">
        <v>45958.715520833335</v>
      </c>
      <c r="Q72" s="2">
        <v>45960.514664351853</v>
      </c>
      <c r="R72" t="s">
        <v>540</v>
      </c>
      <c r="S72" t="s">
        <v>65</v>
      </c>
      <c r="T72" s="2">
        <v>45958.543113425927</v>
      </c>
      <c r="U72" t="s">
        <v>66</v>
      </c>
      <c r="V72" t="s">
        <v>67</v>
      </c>
      <c r="W72" t="s">
        <v>66</v>
      </c>
      <c r="X72" t="s">
        <v>66</v>
      </c>
      <c r="Y72" t="s">
        <v>66</v>
      </c>
      <c r="Z72" t="s">
        <v>66</v>
      </c>
      <c r="AA72" t="s">
        <v>66</v>
      </c>
      <c r="AB72" t="s">
        <v>66</v>
      </c>
      <c r="AC72" t="s">
        <v>66</v>
      </c>
      <c r="AD72" s="2">
        <v>45960.518541666665</v>
      </c>
      <c r="AE72" t="s">
        <v>71</v>
      </c>
      <c r="AF72" t="s">
        <v>66</v>
      </c>
      <c r="AG72" t="s">
        <v>114</v>
      </c>
      <c r="AH72" t="s">
        <v>115</v>
      </c>
      <c r="AI72">
        <v>110031</v>
      </c>
      <c r="AJ72" t="s">
        <v>74</v>
      </c>
      <c r="AK72" t="s">
        <v>75</v>
      </c>
      <c r="AL72">
        <v>62042300</v>
      </c>
      <c r="AM72" s="2"/>
      <c r="AN72">
        <v>3600</v>
      </c>
      <c r="AO72" t="s">
        <v>541</v>
      </c>
      <c r="AP72" t="s">
        <v>542</v>
      </c>
      <c r="AQ72" t="s">
        <v>66</v>
      </c>
      <c r="AR72" t="s">
        <v>71</v>
      </c>
      <c r="AS72">
        <v>18</v>
      </c>
      <c r="AT72">
        <v>0</v>
      </c>
      <c r="AU72">
        <v>0</v>
      </c>
      <c r="AV72">
        <v>18</v>
      </c>
      <c r="AW72">
        <v>549.15300000000002</v>
      </c>
      <c r="AX72">
        <v>0</v>
      </c>
      <c r="AY72">
        <v>0</v>
      </c>
      <c r="AZ72">
        <v>549.15300000000002</v>
      </c>
      <c r="BA72" s="2"/>
      <c r="BB72">
        <v>1.2</v>
      </c>
      <c r="BC72" s="2">
        <v>45960.5</v>
      </c>
      <c r="BD72" s="1">
        <f>MarketPlace_Order_Report__2[[#This Row],[UnitPrice]]*MarketPlace_Order_Report__2[[#This Row],[OrderQty]]</f>
        <v>3600</v>
      </c>
      <c r="BE72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72" s="1">
        <f>MarketPlace_Order_Report__2[[#This Row],[Gross Amount (Before Tax)]]+MarketPlace_Order_Report__2[[#This Row],[Total GST Amount]]</f>
        <v>4149.1530000000002</v>
      </c>
    </row>
    <row r="73" spans="1:58">
      <c r="A73" t="s">
        <v>543</v>
      </c>
      <c r="B73" t="s">
        <v>544</v>
      </c>
      <c r="C73" t="s">
        <v>545</v>
      </c>
      <c r="D73" t="s">
        <v>546</v>
      </c>
      <c r="E73">
        <v>5</v>
      </c>
      <c r="F73" t="s">
        <v>257</v>
      </c>
      <c r="G73">
        <v>1</v>
      </c>
      <c r="H73">
        <v>1</v>
      </c>
      <c r="I73">
        <v>4000</v>
      </c>
      <c r="J73">
        <v>3600</v>
      </c>
      <c r="K73">
        <v>0</v>
      </c>
      <c r="L73">
        <v>3603.62</v>
      </c>
      <c r="M73">
        <v>3.62</v>
      </c>
      <c r="N73" t="s">
        <v>63</v>
      </c>
      <c r="O73" s="2">
        <v>45933.423958333333</v>
      </c>
      <c r="P73" s="2">
        <v>45934.620092592595</v>
      </c>
      <c r="Q73" s="2"/>
      <c r="R73" t="s">
        <v>547</v>
      </c>
      <c r="S73" t="s">
        <v>89</v>
      </c>
      <c r="T73" s="2">
        <v>45933.815833333334</v>
      </c>
      <c r="U73" t="s">
        <v>66</v>
      </c>
      <c r="V73" t="s">
        <v>67</v>
      </c>
      <c r="W73" t="s">
        <v>66</v>
      </c>
      <c r="X73" t="s">
        <v>66</v>
      </c>
      <c r="Y73" t="s">
        <v>66</v>
      </c>
      <c r="Z73" t="s">
        <v>66</v>
      </c>
      <c r="AA73" t="s">
        <v>66</v>
      </c>
      <c r="AB73" t="s">
        <v>66</v>
      </c>
      <c r="AC73" t="s">
        <v>66</v>
      </c>
      <c r="AD73" s="2">
        <v>45948.046018518522</v>
      </c>
      <c r="AE73" t="s">
        <v>71</v>
      </c>
      <c r="AF73" t="s">
        <v>66</v>
      </c>
      <c r="AG73" t="s">
        <v>457</v>
      </c>
      <c r="AH73" t="s">
        <v>139</v>
      </c>
      <c r="AI73">
        <v>201009</v>
      </c>
      <c r="AJ73" t="s">
        <v>74</v>
      </c>
      <c r="AK73" t="s">
        <v>75</v>
      </c>
      <c r="AL73">
        <v>62042300</v>
      </c>
      <c r="AM73" s="2"/>
      <c r="AN73">
        <v>3600</v>
      </c>
      <c r="AO73" t="s">
        <v>548</v>
      </c>
      <c r="AP73" t="s">
        <v>66</v>
      </c>
      <c r="AQ73" t="s">
        <v>66</v>
      </c>
      <c r="AR73" t="s">
        <v>71</v>
      </c>
      <c r="AS73">
        <v>18</v>
      </c>
      <c r="AT73">
        <v>0</v>
      </c>
      <c r="AU73">
        <v>0</v>
      </c>
      <c r="AV73">
        <v>18</v>
      </c>
      <c r="AW73">
        <v>549.15300000000002</v>
      </c>
      <c r="AX73">
        <v>0</v>
      </c>
      <c r="AY73">
        <v>0</v>
      </c>
      <c r="AZ73">
        <v>549.15300000000002</v>
      </c>
      <c r="BA73" s="2"/>
      <c r="BB73">
        <v>0.85</v>
      </c>
      <c r="BC73" s="2">
        <v>45935.5</v>
      </c>
      <c r="BD73" s="1">
        <f>MarketPlace_Order_Report__2[[#This Row],[UnitPrice]]*MarketPlace_Order_Report__2[[#This Row],[OrderQty]]</f>
        <v>3600</v>
      </c>
      <c r="BE73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73" s="1">
        <f>MarketPlace_Order_Report__2[[#This Row],[Gross Amount (Before Tax)]]+MarketPlace_Order_Report__2[[#This Row],[Total GST Amount]]</f>
        <v>4149.1530000000002</v>
      </c>
    </row>
    <row r="74" spans="1:58">
      <c r="A74" t="s">
        <v>549</v>
      </c>
      <c r="B74" t="s">
        <v>550</v>
      </c>
      <c r="C74" t="s">
        <v>551</v>
      </c>
      <c r="D74" t="s">
        <v>552</v>
      </c>
      <c r="E74">
        <v>1</v>
      </c>
      <c r="F74" t="s">
        <v>98</v>
      </c>
      <c r="G74">
        <v>1</v>
      </c>
      <c r="H74">
        <v>0</v>
      </c>
      <c r="I74">
        <v>4000</v>
      </c>
      <c r="J74">
        <v>3600</v>
      </c>
      <c r="K74">
        <v>0</v>
      </c>
      <c r="L74">
        <v>3629</v>
      </c>
      <c r="M74">
        <v>29</v>
      </c>
      <c r="N74" t="s">
        <v>63</v>
      </c>
      <c r="O74" s="2">
        <v>45960.44568287037</v>
      </c>
      <c r="P74" s="2"/>
      <c r="Q74" s="2"/>
      <c r="R74" t="s">
        <v>553</v>
      </c>
      <c r="S74" t="s">
        <v>65</v>
      </c>
      <c r="T74" s="2">
        <v>45961.517905092594</v>
      </c>
      <c r="U74" t="s">
        <v>66</v>
      </c>
      <c r="V74" t="s">
        <v>67</v>
      </c>
      <c r="W74" t="s">
        <v>66</v>
      </c>
      <c r="X74" t="s">
        <v>66</v>
      </c>
      <c r="Y74" t="s">
        <v>66</v>
      </c>
      <c r="Z74" t="s">
        <v>66</v>
      </c>
      <c r="AA74" t="s">
        <v>66</v>
      </c>
      <c r="AB74" t="s">
        <v>66</v>
      </c>
      <c r="AC74" t="s">
        <v>66</v>
      </c>
      <c r="AD74" s="2">
        <v>45961.517905092594</v>
      </c>
      <c r="AE74" t="s">
        <v>71</v>
      </c>
      <c r="AF74" t="s">
        <v>66</v>
      </c>
      <c r="AG74" t="s">
        <v>439</v>
      </c>
      <c r="AH74" t="s">
        <v>440</v>
      </c>
      <c r="AI74">
        <v>122004</v>
      </c>
      <c r="AJ74" t="s">
        <v>74</v>
      </c>
      <c r="AK74" t="s">
        <v>75</v>
      </c>
      <c r="AL74">
        <v>62042300</v>
      </c>
      <c r="AM74" s="2"/>
      <c r="AN74">
        <v>3600</v>
      </c>
      <c r="AO74" t="s">
        <v>554</v>
      </c>
      <c r="AP74" t="s">
        <v>110</v>
      </c>
      <c r="AQ74" t="s">
        <v>66</v>
      </c>
      <c r="AR74" t="s">
        <v>71</v>
      </c>
      <c r="AS74">
        <v>18</v>
      </c>
      <c r="AT74">
        <v>0</v>
      </c>
      <c r="AU74">
        <v>0</v>
      </c>
      <c r="AV74">
        <v>18</v>
      </c>
      <c r="AW74">
        <v>549.15300000000002</v>
      </c>
      <c r="AX74">
        <v>0</v>
      </c>
      <c r="AY74">
        <v>0</v>
      </c>
      <c r="AZ74">
        <v>549.15300000000002</v>
      </c>
      <c r="BA74" s="2"/>
      <c r="BB74">
        <v>0.85</v>
      </c>
      <c r="BC74" s="2">
        <v>45962.5</v>
      </c>
      <c r="BD74" s="1">
        <f>MarketPlace_Order_Report__2[[#This Row],[UnitPrice]]*MarketPlace_Order_Report__2[[#This Row],[OrderQty]]</f>
        <v>3600</v>
      </c>
      <c r="BE74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74" s="1">
        <f>MarketPlace_Order_Report__2[[#This Row],[Gross Amount (Before Tax)]]+MarketPlace_Order_Report__2[[#This Row],[Total GST Amount]]</f>
        <v>4149.1530000000002</v>
      </c>
    </row>
    <row r="75" spans="1:58">
      <c r="A75" t="s">
        <v>555</v>
      </c>
      <c r="B75" t="s">
        <v>556</v>
      </c>
      <c r="C75" t="s">
        <v>557</v>
      </c>
      <c r="D75" t="s">
        <v>558</v>
      </c>
      <c r="E75">
        <v>4</v>
      </c>
      <c r="F75" t="s">
        <v>1806</v>
      </c>
      <c r="G75">
        <v>1</v>
      </c>
      <c r="H75">
        <v>1</v>
      </c>
      <c r="I75">
        <v>4000</v>
      </c>
      <c r="J75">
        <v>3600</v>
      </c>
      <c r="K75">
        <v>0</v>
      </c>
      <c r="L75">
        <v>3608.18</v>
      </c>
      <c r="M75">
        <v>8.18</v>
      </c>
      <c r="N75" t="s">
        <v>63</v>
      </c>
      <c r="O75" s="2">
        <v>45937.021516203706</v>
      </c>
      <c r="P75" s="2">
        <v>45938.718182870369</v>
      </c>
      <c r="Q75" s="2">
        <v>45942.618530092594</v>
      </c>
      <c r="R75" t="s">
        <v>559</v>
      </c>
      <c r="S75" t="s">
        <v>161</v>
      </c>
      <c r="T75" s="2">
        <v>45937.717673611114</v>
      </c>
      <c r="U75" t="s">
        <v>66</v>
      </c>
      <c r="V75" t="s">
        <v>67</v>
      </c>
      <c r="W75" t="s">
        <v>66</v>
      </c>
      <c r="X75" t="s">
        <v>66</v>
      </c>
      <c r="Y75" t="s">
        <v>66</v>
      </c>
      <c r="Z75" t="s">
        <v>66</v>
      </c>
      <c r="AA75" t="s">
        <v>66</v>
      </c>
      <c r="AB75" t="s">
        <v>66</v>
      </c>
      <c r="AC75" t="s">
        <v>66</v>
      </c>
      <c r="AD75" s="2">
        <v>45942.618958333333</v>
      </c>
      <c r="AE75" t="s">
        <v>71</v>
      </c>
      <c r="AF75" t="s">
        <v>66</v>
      </c>
      <c r="AG75" t="s">
        <v>560</v>
      </c>
      <c r="AH75" t="s">
        <v>177</v>
      </c>
      <c r="AI75">
        <v>492099</v>
      </c>
      <c r="AJ75" t="s">
        <v>74</v>
      </c>
      <c r="AK75" t="s">
        <v>75</v>
      </c>
      <c r="AL75">
        <v>62042300</v>
      </c>
      <c r="AM75" s="2"/>
      <c r="AN75">
        <v>3600</v>
      </c>
      <c r="AO75" t="s">
        <v>561</v>
      </c>
      <c r="AP75" t="s">
        <v>562</v>
      </c>
      <c r="AQ75" t="s">
        <v>66</v>
      </c>
      <c r="AR75" t="s">
        <v>71</v>
      </c>
      <c r="AS75">
        <v>18</v>
      </c>
      <c r="AT75">
        <v>0</v>
      </c>
      <c r="AU75">
        <v>0</v>
      </c>
      <c r="AV75">
        <v>18</v>
      </c>
      <c r="AW75">
        <v>549.15300000000002</v>
      </c>
      <c r="AX75">
        <v>0</v>
      </c>
      <c r="AY75">
        <v>0</v>
      </c>
      <c r="AZ75">
        <v>549.15300000000002</v>
      </c>
      <c r="BA75" s="2"/>
      <c r="BB75">
        <v>0.85</v>
      </c>
      <c r="BC75" s="2">
        <v>45939.5</v>
      </c>
      <c r="BD75" s="1">
        <f>MarketPlace_Order_Report__2[[#This Row],[UnitPrice]]*MarketPlace_Order_Report__2[[#This Row],[OrderQty]]</f>
        <v>3600</v>
      </c>
      <c r="BE75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75" s="1">
        <f>MarketPlace_Order_Report__2[[#This Row],[Gross Amount (Before Tax)]]+MarketPlace_Order_Report__2[[#This Row],[Total GST Amount]]</f>
        <v>4149.1530000000002</v>
      </c>
    </row>
    <row r="76" spans="1:58">
      <c r="A76" t="s">
        <v>563</v>
      </c>
      <c r="B76" t="s">
        <v>564</v>
      </c>
      <c r="C76" t="s">
        <v>565</v>
      </c>
      <c r="D76" t="s">
        <v>566</v>
      </c>
      <c r="E76">
        <v>1</v>
      </c>
      <c r="F76" t="s">
        <v>1806</v>
      </c>
      <c r="G76">
        <v>1</v>
      </c>
      <c r="H76">
        <v>1</v>
      </c>
      <c r="I76">
        <v>4000</v>
      </c>
      <c r="J76">
        <v>3600</v>
      </c>
      <c r="K76">
        <v>0</v>
      </c>
      <c r="L76">
        <v>3600</v>
      </c>
      <c r="M76">
        <v>0</v>
      </c>
      <c r="N76" t="s">
        <v>63</v>
      </c>
      <c r="O76" s="2">
        <v>45937.655972222223</v>
      </c>
      <c r="P76" s="2">
        <v>45938.717442129629</v>
      </c>
      <c r="Q76" s="2">
        <v>45942.558437500003</v>
      </c>
      <c r="R76" t="s">
        <v>567</v>
      </c>
      <c r="S76" t="s">
        <v>65</v>
      </c>
      <c r="T76" s="2">
        <v>45937.717673611114</v>
      </c>
      <c r="U76" t="s">
        <v>66</v>
      </c>
      <c r="V76" t="s">
        <v>67</v>
      </c>
      <c r="W76" t="s">
        <v>66</v>
      </c>
      <c r="X76" t="s">
        <v>66</v>
      </c>
      <c r="Y76" t="s">
        <v>66</v>
      </c>
      <c r="Z76" t="s">
        <v>66</v>
      </c>
      <c r="AA76" t="s">
        <v>66</v>
      </c>
      <c r="AB76" t="s">
        <v>66</v>
      </c>
      <c r="AC76" t="s">
        <v>66</v>
      </c>
      <c r="AD76" s="2">
        <v>45942.559930555559</v>
      </c>
      <c r="AE76" t="s">
        <v>71</v>
      </c>
      <c r="AF76" t="s">
        <v>66</v>
      </c>
      <c r="AG76" t="s">
        <v>568</v>
      </c>
      <c r="AH76" t="s">
        <v>569</v>
      </c>
      <c r="AI76">
        <v>759147</v>
      </c>
      <c r="AJ76" t="s">
        <v>74</v>
      </c>
      <c r="AK76" t="s">
        <v>75</v>
      </c>
      <c r="AL76">
        <v>62042300</v>
      </c>
      <c r="AM76" s="2"/>
      <c r="AN76">
        <v>3600</v>
      </c>
      <c r="AO76" t="s">
        <v>570</v>
      </c>
      <c r="AP76" t="s">
        <v>66</v>
      </c>
      <c r="AQ76" t="s">
        <v>66</v>
      </c>
      <c r="AR76" t="s">
        <v>71</v>
      </c>
      <c r="AS76">
        <v>18</v>
      </c>
      <c r="AT76">
        <v>0</v>
      </c>
      <c r="AU76">
        <v>0</v>
      </c>
      <c r="AV76">
        <v>18</v>
      </c>
      <c r="AW76">
        <v>549.15300000000002</v>
      </c>
      <c r="AX76">
        <v>0</v>
      </c>
      <c r="AY76">
        <v>0</v>
      </c>
      <c r="AZ76">
        <v>549.15300000000002</v>
      </c>
      <c r="BA76" s="2"/>
      <c r="BB76">
        <v>0.85</v>
      </c>
      <c r="BC76" s="2">
        <v>45940.5</v>
      </c>
      <c r="BD76" s="1">
        <f>MarketPlace_Order_Report__2[[#This Row],[UnitPrice]]*MarketPlace_Order_Report__2[[#This Row],[OrderQty]]</f>
        <v>3600</v>
      </c>
      <c r="BE76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76" s="1">
        <f>MarketPlace_Order_Report__2[[#This Row],[Gross Amount (Before Tax)]]+MarketPlace_Order_Report__2[[#This Row],[Total GST Amount]]</f>
        <v>4149.1530000000002</v>
      </c>
    </row>
    <row r="77" spans="1:58">
      <c r="A77" t="s">
        <v>571</v>
      </c>
      <c r="B77" t="s">
        <v>572</v>
      </c>
      <c r="C77" t="s">
        <v>573</v>
      </c>
      <c r="D77" t="s">
        <v>574</v>
      </c>
      <c r="E77">
        <v>2</v>
      </c>
      <c r="F77" t="s">
        <v>62</v>
      </c>
      <c r="G77">
        <v>1</v>
      </c>
      <c r="H77">
        <v>1</v>
      </c>
      <c r="I77">
        <v>4000</v>
      </c>
      <c r="J77">
        <v>3600</v>
      </c>
      <c r="K77">
        <v>0</v>
      </c>
      <c r="L77">
        <v>3614.5749999999998</v>
      </c>
      <c r="M77">
        <v>14.574999999999999</v>
      </c>
      <c r="N77" t="s">
        <v>63</v>
      </c>
      <c r="O77" s="2">
        <v>45942.706701388888</v>
      </c>
      <c r="P77" s="2">
        <v>45944.741712962961</v>
      </c>
      <c r="Q77" s="2">
        <v>45948.507592592592</v>
      </c>
      <c r="R77" t="s">
        <v>575</v>
      </c>
      <c r="S77" t="s">
        <v>65</v>
      </c>
      <c r="T77" s="2">
        <v>45943.814479166664</v>
      </c>
      <c r="U77" t="s">
        <v>66</v>
      </c>
      <c r="V77" t="s">
        <v>67</v>
      </c>
      <c r="W77" t="s">
        <v>66</v>
      </c>
      <c r="X77" t="s">
        <v>66</v>
      </c>
      <c r="Y77" t="s">
        <v>576</v>
      </c>
      <c r="Z77" t="s">
        <v>69</v>
      </c>
      <c r="AA77" t="s">
        <v>175</v>
      </c>
      <c r="AB77" t="s">
        <v>66</v>
      </c>
      <c r="AC77" t="s">
        <v>66</v>
      </c>
      <c r="AD77" s="2">
        <v>45959.907002314816</v>
      </c>
      <c r="AE77" t="s">
        <v>71</v>
      </c>
      <c r="AF77" t="s">
        <v>66</v>
      </c>
      <c r="AG77" t="s">
        <v>577</v>
      </c>
      <c r="AH77" t="s">
        <v>569</v>
      </c>
      <c r="AI77">
        <v>770076</v>
      </c>
      <c r="AJ77" t="s">
        <v>74</v>
      </c>
      <c r="AK77" t="s">
        <v>75</v>
      </c>
      <c r="AL77">
        <v>62042300</v>
      </c>
      <c r="AM77" s="2"/>
      <c r="AN77">
        <v>3600</v>
      </c>
      <c r="AO77" t="s">
        <v>578</v>
      </c>
      <c r="AP77" t="s">
        <v>66</v>
      </c>
      <c r="AQ77" t="s">
        <v>66</v>
      </c>
      <c r="AR77" t="s">
        <v>71</v>
      </c>
      <c r="AS77">
        <v>18</v>
      </c>
      <c r="AT77">
        <v>0</v>
      </c>
      <c r="AU77">
        <v>0</v>
      </c>
      <c r="AV77">
        <v>18</v>
      </c>
      <c r="AW77">
        <v>549.15300000000002</v>
      </c>
      <c r="AX77">
        <v>0</v>
      </c>
      <c r="AY77">
        <v>0</v>
      </c>
      <c r="AZ77">
        <v>549.15300000000002</v>
      </c>
      <c r="BA77" s="2"/>
      <c r="BB77">
        <v>1.2</v>
      </c>
      <c r="BC77" s="2">
        <v>45945.5</v>
      </c>
      <c r="BD77" s="1">
        <f>MarketPlace_Order_Report__2[[#This Row],[UnitPrice]]*MarketPlace_Order_Report__2[[#This Row],[OrderQty]]</f>
        <v>3600</v>
      </c>
      <c r="BE77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77" s="1">
        <f>MarketPlace_Order_Report__2[[#This Row],[Gross Amount (Before Tax)]]+MarketPlace_Order_Report__2[[#This Row],[Total GST Amount]]</f>
        <v>4149.1530000000002</v>
      </c>
    </row>
    <row r="78" spans="1:58">
      <c r="A78" t="s">
        <v>579</v>
      </c>
      <c r="B78" t="s">
        <v>580</v>
      </c>
      <c r="C78" t="s">
        <v>581</v>
      </c>
      <c r="D78" t="s">
        <v>582</v>
      </c>
      <c r="E78">
        <v>1</v>
      </c>
      <c r="F78" t="s">
        <v>1806</v>
      </c>
      <c r="G78">
        <v>1</v>
      </c>
      <c r="H78">
        <v>1</v>
      </c>
      <c r="I78">
        <v>4000</v>
      </c>
      <c r="J78">
        <v>3600</v>
      </c>
      <c r="K78">
        <v>0</v>
      </c>
      <c r="L78">
        <v>3629</v>
      </c>
      <c r="M78">
        <v>29</v>
      </c>
      <c r="N78" t="s">
        <v>63</v>
      </c>
      <c r="O78" s="2">
        <v>45943.615289351852</v>
      </c>
      <c r="P78" s="2">
        <v>45944.738923611112</v>
      </c>
      <c r="Q78" s="2">
        <v>45947.510775462964</v>
      </c>
      <c r="R78" t="s">
        <v>583</v>
      </c>
      <c r="S78" t="s">
        <v>65</v>
      </c>
      <c r="T78" s="2">
        <v>45943.814467592594</v>
      </c>
      <c r="U78" t="s">
        <v>66</v>
      </c>
      <c r="V78" t="s">
        <v>67</v>
      </c>
      <c r="W78" t="s">
        <v>66</v>
      </c>
      <c r="X78" t="s">
        <v>66</v>
      </c>
      <c r="Y78" t="s">
        <v>66</v>
      </c>
      <c r="Z78" t="s">
        <v>66</v>
      </c>
      <c r="AA78" t="s">
        <v>66</v>
      </c>
      <c r="AB78" t="s">
        <v>66</v>
      </c>
      <c r="AC78" t="s">
        <v>66</v>
      </c>
      <c r="AD78" s="2">
        <v>45947.514930555553</v>
      </c>
      <c r="AE78" t="s">
        <v>71</v>
      </c>
      <c r="AF78" t="s">
        <v>66</v>
      </c>
      <c r="AG78" t="s">
        <v>232</v>
      </c>
      <c r="AH78" t="s">
        <v>139</v>
      </c>
      <c r="AI78">
        <v>273001</v>
      </c>
      <c r="AJ78" t="s">
        <v>74</v>
      </c>
      <c r="AK78" t="s">
        <v>75</v>
      </c>
      <c r="AL78">
        <v>62042300</v>
      </c>
      <c r="AM78" s="2"/>
      <c r="AN78">
        <v>3600</v>
      </c>
      <c r="AO78" t="s">
        <v>584</v>
      </c>
      <c r="AP78" t="s">
        <v>132</v>
      </c>
      <c r="AQ78" t="s">
        <v>66</v>
      </c>
      <c r="AR78" t="s">
        <v>71</v>
      </c>
      <c r="AS78">
        <v>18</v>
      </c>
      <c r="AT78">
        <v>0</v>
      </c>
      <c r="AU78">
        <v>0</v>
      </c>
      <c r="AV78">
        <v>18</v>
      </c>
      <c r="AW78">
        <v>549.15300000000002</v>
      </c>
      <c r="AX78">
        <v>0</v>
      </c>
      <c r="AY78">
        <v>0</v>
      </c>
      <c r="AZ78">
        <v>549.15300000000002</v>
      </c>
      <c r="BA78" s="2"/>
      <c r="BB78">
        <v>0.85</v>
      </c>
      <c r="BC78" s="2">
        <v>45946.5</v>
      </c>
      <c r="BD78" s="1">
        <f>MarketPlace_Order_Report__2[[#This Row],[UnitPrice]]*MarketPlace_Order_Report__2[[#This Row],[OrderQty]]</f>
        <v>3600</v>
      </c>
      <c r="BE78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78" s="1">
        <f>MarketPlace_Order_Report__2[[#This Row],[Gross Amount (Before Tax)]]+MarketPlace_Order_Report__2[[#This Row],[Total GST Amount]]</f>
        <v>4149.1530000000002</v>
      </c>
    </row>
    <row r="79" spans="1:58">
      <c r="A79" t="s">
        <v>585</v>
      </c>
      <c r="B79" t="s">
        <v>586</v>
      </c>
      <c r="C79" t="s">
        <v>581</v>
      </c>
      <c r="D79" t="s">
        <v>582</v>
      </c>
      <c r="E79">
        <v>4</v>
      </c>
      <c r="F79" t="s">
        <v>1806</v>
      </c>
      <c r="G79">
        <v>1</v>
      </c>
      <c r="H79">
        <v>1</v>
      </c>
      <c r="I79">
        <v>4000</v>
      </c>
      <c r="J79">
        <v>3600</v>
      </c>
      <c r="K79">
        <v>0</v>
      </c>
      <c r="L79">
        <v>3616.06</v>
      </c>
      <c r="M79">
        <v>16.059999999999999</v>
      </c>
      <c r="N79" t="s">
        <v>63</v>
      </c>
      <c r="O79" s="2">
        <v>45936.828553240739</v>
      </c>
      <c r="P79" s="2">
        <v>45938.71770833333</v>
      </c>
      <c r="Q79" s="2">
        <v>45941.76935185185</v>
      </c>
      <c r="R79" t="s">
        <v>587</v>
      </c>
      <c r="S79" t="s">
        <v>65</v>
      </c>
      <c r="T79" s="2">
        <v>45937.717673611114</v>
      </c>
      <c r="U79" t="s">
        <v>66</v>
      </c>
      <c r="V79" t="s">
        <v>67</v>
      </c>
      <c r="W79" t="s">
        <v>66</v>
      </c>
      <c r="X79" t="s">
        <v>66</v>
      </c>
      <c r="Y79" t="s">
        <v>66</v>
      </c>
      <c r="Z79" t="s">
        <v>66</v>
      </c>
      <c r="AA79" t="s">
        <v>66</v>
      </c>
      <c r="AB79" t="s">
        <v>66</v>
      </c>
      <c r="AC79" t="s">
        <v>66</v>
      </c>
      <c r="AD79" s="2">
        <v>45941.771793981483</v>
      </c>
      <c r="AE79" t="s">
        <v>71</v>
      </c>
      <c r="AF79" t="s">
        <v>66</v>
      </c>
      <c r="AG79" t="s">
        <v>588</v>
      </c>
      <c r="AH79" t="s">
        <v>440</v>
      </c>
      <c r="AI79">
        <v>122102</v>
      </c>
      <c r="AJ79" t="s">
        <v>74</v>
      </c>
      <c r="AK79" t="s">
        <v>75</v>
      </c>
      <c r="AL79">
        <v>62042300</v>
      </c>
      <c r="AM79" s="2"/>
      <c r="AN79">
        <v>3600</v>
      </c>
      <c r="AO79" t="s">
        <v>589</v>
      </c>
      <c r="AP79" t="s">
        <v>66</v>
      </c>
      <c r="AQ79" t="s">
        <v>325</v>
      </c>
      <c r="AR79" t="s">
        <v>71</v>
      </c>
      <c r="AS79">
        <v>18</v>
      </c>
      <c r="AT79">
        <v>0</v>
      </c>
      <c r="AU79">
        <v>0</v>
      </c>
      <c r="AV79">
        <v>18</v>
      </c>
      <c r="AW79">
        <v>549.15300000000002</v>
      </c>
      <c r="AX79">
        <v>0</v>
      </c>
      <c r="AY79">
        <v>0</v>
      </c>
      <c r="AZ79">
        <v>549.15300000000002</v>
      </c>
      <c r="BA79" s="2">
        <v>45937.62195601852</v>
      </c>
      <c r="BB79">
        <v>0.85</v>
      </c>
      <c r="BC79" s="2">
        <v>45940.5</v>
      </c>
      <c r="BD79" s="1">
        <f>MarketPlace_Order_Report__2[[#This Row],[UnitPrice]]*MarketPlace_Order_Report__2[[#This Row],[OrderQty]]</f>
        <v>3600</v>
      </c>
      <c r="BE79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79" s="1">
        <f>MarketPlace_Order_Report__2[[#This Row],[Gross Amount (Before Tax)]]+MarketPlace_Order_Report__2[[#This Row],[Total GST Amount]]</f>
        <v>4149.1530000000002</v>
      </c>
    </row>
    <row r="80" spans="1:58">
      <c r="A80" t="s">
        <v>368</v>
      </c>
      <c r="B80" t="s">
        <v>369</v>
      </c>
      <c r="C80" t="s">
        <v>581</v>
      </c>
      <c r="D80" t="s">
        <v>582</v>
      </c>
      <c r="E80">
        <v>31</v>
      </c>
      <c r="F80" t="s">
        <v>1806</v>
      </c>
      <c r="G80">
        <v>1</v>
      </c>
      <c r="H80">
        <v>1</v>
      </c>
      <c r="I80">
        <v>4000</v>
      </c>
      <c r="J80">
        <v>3600</v>
      </c>
      <c r="K80">
        <v>0</v>
      </c>
      <c r="L80">
        <v>3600</v>
      </c>
      <c r="M80">
        <v>0</v>
      </c>
      <c r="N80" t="s">
        <v>63</v>
      </c>
      <c r="O80" s="2">
        <v>45935.873217592591</v>
      </c>
      <c r="P80" s="2">
        <v>45937.725925925923</v>
      </c>
      <c r="Q80" s="2">
        <v>45940.739317129628</v>
      </c>
      <c r="R80" t="s">
        <v>372</v>
      </c>
      <c r="S80" t="s">
        <v>65</v>
      </c>
      <c r="T80" s="2">
        <v>45936.813321759262</v>
      </c>
      <c r="U80" t="s">
        <v>66</v>
      </c>
      <c r="V80" t="s">
        <v>67</v>
      </c>
      <c r="W80" t="s">
        <v>66</v>
      </c>
      <c r="X80" t="s">
        <v>66</v>
      </c>
      <c r="Y80" t="s">
        <v>66</v>
      </c>
      <c r="Z80" t="s">
        <v>66</v>
      </c>
      <c r="AA80" t="s">
        <v>66</v>
      </c>
      <c r="AB80" t="s">
        <v>66</v>
      </c>
      <c r="AC80" t="s">
        <v>66</v>
      </c>
      <c r="AD80" s="2">
        <v>45940.740300925929</v>
      </c>
      <c r="AE80" t="s">
        <v>71</v>
      </c>
      <c r="AF80" t="s">
        <v>66</v>
      </c>
      <c r="AG80" t="s">
        <v>374</v>
      </c>
      <c r="AH80" t="s">
        <v>91</v>
      </c>
      <c r="AI80">
        <v>575001</v>
      </c>
      <c r="AJ80" t="s">
        <v>74</v>
      </c>
      <c r="AK80" t="s">
        <v>75</v>
      </c>
      <c r="AL80">
        <v>62042300</v>
      </c>
      <c r="AM80" s="2"/>
      <c r="AN80">
        <v>3600</v>
      </c>
      <c r="AO80" t="s">
        <v>375</v>
      </c>
      <c r="AP80" t="s">
        <v>66</v>
      </c>
      <c r="AQ80" t="s">
        <v>66</v>
      </c>
      <c r="AR80" t="s">
        <v>71</v>
      </c>
      <c r="AS80">
        <v>18</v>
      </c>
      <c r="AT80">
        <v>0</v>
      </c>
      <c r="AU80">
        <v>0</v>
      </c>
      <c r="AV80">
        <v>18</v>
      </c>
      <c r="AW80">
        <v>549.15300000000002</v>
      </c>
      <c r="AX80">
        <v>0</v>
      </c>
      <c r="AY80">
        <v>0</v>
      </c>
      <c r="AZ80">
        <v>549.15300000000002</v>
      </c>
      <c r="BA80" s="2"/>
      <c r="BB80">
        <v>1.2</v>
      </c>
      <c r="BC80" s="2">
        <v>45938.5</v>
      </c>
      <c r="BD80" s="1">
        <f>MarketPlace_Order_Report__2[[#This Row],[UnitPrice]]*MarketPlace_Order_Report__2[[#This Row],[OrderQty]]</f>
        <v>3600</v>
      </c>
      <c r="BE80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80" s="1">
        <f>MarketPlace_Order_Report__2[[#This Row],[Gross Amount (Before Tax)]]+MarketPlace_Order_Report__2[[#This Row],[Total GST Amount]]</f>
        <v>4149.1530000000002</v>
      </c>
    </row>
    <row r="81" spans="1:58">
      <c r="A81" t="s">
        <v>590</v>
      </c>
      <c r="B81" t="s">
        <v>591</v>
      </c>
      <c r="C81" t="s">
        <v>581</v>
      </c>
      <c r="D81" t="s">
        <v>582</v>
      </c>
      <c r="E81">
        <v>1</v>
      </c>
      <c r="F81" t="s">
        <v>145</v>
      </c>
      <c r="G81">
        <v>1</v>
      </c>
      <c r="H81">
        <v>0</v>
      </c>
      <c r="I81">
        <v>4000</v>
      </c>
      <c r="J81">
        <v>3600</v>
      </c>
      <c r="K81">
        <v>0</v>
      </c>
      <c r="L81">
        <v>3649</v>
      </c>
      <c r="M81">
        <v>49</v>
      </c>
      <c r="N81" t="s">
        <v>99</v>
      </c>
      <c r="O81" s="2">
        <v>45935.469687500001</v>
      </c>
      <c r="P81" s="2"/>
      <c r="Q81" s="2"/>
      <c r="R81" t="s">
        <v>66</v>
      </c>
      <c r="S81" t="s">
        <v>89</v>
      </c>
      <c r="T81" s="2"/>
      <c r="U81" t="s">
        <v>323</v>
      </c>
      <c r="V81" t="s">
        <v>67</v>
      </c>
      <c r="W81" t="s">
        <v>324</v>
      </c>
      <c r="X81" t="s">
        <v>66</v>
      </c>
      <c r="Y81" t="s">
        <v>66</v>
      </c>
      <c r="Z81" t="s">
        <v>66</v>
      </c>
      <c r="AA81" t="s">
        <v>66</v>
      </c>
      <c r="AB81" t="s">
        <v>66</v>
      </c>
      <c r="AC81" t="s">
        <v>66</v>
      </c>
      <c r="AD81" s="2">
        <v>45935.687326388892</v>
      </c>
      <c r="AE81" t="s">
        <v>71</v>
      </c>
      <c r="AF81" t="s">
        <v>66</v>
      </c>
      <c r="AG81" t="s">
        <v>588</v>
      </c>
      <c r="AH81" t="s">
        <v>440</v>
      </c>
      <c r="AI81">
        <v>122102</v>
      </c>
      <c r="AJ81" t="s">
        <v>74</v>
      </c>
      <c r="AK81" t="s">
        <v>75</v>
      </c>
      <c r="AL81">
        <v>62042300</v>
      </c>
      <c r="AM81" s="2">
        <v>45935.687326388892</v>
      </c>
      <c r="AN81">
        <v>3600</v>
      </c>
      <c r="AO81" t="s">
        <v>66</v>
      </c>
      <c r="AP81" t="s">
        <v>132</v>
      </c>
      <c r="AQ81" t="s">
        <v>325</v>
      </c>
      <c r="AR81" t="s">
        <v>326</v>
      </c>
      <c r="AS81">
        <v>18</v>
      </c>
      <c r="AT81">
        <v>0</v>
      </c>
      <c r="AU81">
        <v>0</v>
      </c>
      <c r="AV81">
        <v>18</v>
      </c>
      <c r="AW81">
        <v>549.15300000000002</v>
      </c>
      <c r="AX81">
        <v>0</v>
      </c>
      <c r="AY81">
        <v>0</v>
      </c>
      <c r="AZ81">
        <v>549.15300000000002</v>
      </c>
      <c r="BA81" s="2"/>
      <c r="BC81" s="2">
        <v>45937.5</v>
      </c>
      <c r="BD81" s="1">
        <f>MarketPlace_Order_Report__2[[#This Row],[UnitPrice]]*MarketPlace_Order_Report__2[[#This Row],[OrderQty]]</f>
        <v>3600</v>
      </c>
      <c r="BE81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81" s="1">
        <f>MarketPlace_Order_Report__2[[#This Row],[Gross Amount (Before Tax)]]+MarketPlace_Order_Report__2[[#This Row],[Total GST Amount]]</f>
        <v>4149.1530000000002</v>
      </c>
    </row>
    <row r="82" spans="1:58">
      <c r="A82" t="s">
        <v>592</v>
      </c>
      <c r="B82" t="s">
        <v>593</v>
      </c>
      <c r="C82" t="s">
        <v>594</v>
      </c>
      <c r="D82" t="s">
        <v>595</v>
      </c>
      <c r="E82">
        <v>1</v>
      </c>
      <c r="F82" t="s">
        <v>145</v>
      </c>
      <c r="G82">
        <v>1</v>
      </c>
      <c r="H82">
        <v>0</v>
      </c>
      <c r="I82">
        <v>3000</v>
      </c>
      <c r="J82">
        <v>2700</v>
      </c>
      <c r="K82">
        <v>0</v>
      </c>
      <c r="L82">
        <v>2720</v>
      </c>
      <c r="M82">
        <v>20</v>
      </c>
      <c r="N82" t="s">
        <v>99</v>
      </c>
      <c r="O82" s="2">
        <v>45939.491307870368</v>
      </c>
      <c r="P82" s="2"/>
      <c r="Q82" s="2"/>
      <c r="R82" t="s">
        <v>66</v>
      </c>
      <c r="S82" t="s">
        <v>65</v>
      </c>
      <c r="T82" s="2"/>
      <c r="U82" t="s">
        <v>345</v>
      </c>
      <c r="V82" t="s">
        <v>67</v>
      </c>
      <c r="W82" t="s">
        <v>66</v>
      </c>
      <c r="X82" t="s">
        <v>66</v>
      </c>
      <c r="Y82" t="s">
        <v>66</v>
      </c>
      <c r="Z82" t="s">
        <v>66</v>
      </c>
      <c r="AA82" t="s">
        <v>66</v>
      </c>
      <c r="AB82" t="s">
        <v>66</v>
      </c>
      <c r="AC82" t="s">
        <v>66</v>
      </c>
      <c r="AD82" s="2">
        <v>45939.565474537034</v>
      </c>
      <c r="AE82" t="s">
        <v>71</v>
      </c>
      <c r="AF82" t="s">
        <v>66</v>
      </c>
      <c r="AG82" t="s">
        <v>596</v>
      </c>
      <c r="AH82" t="s">
        <v>91</v>
      </c>
      <c r="AI82">
        <v>570019</v>
      </c>
      <c r="AJ82" t="s">
        <v>74</v>
      </c>
      <c r="AK82" t="s">
        <v>75</v>
      </c>
      <c r="AL82">
        <v>62042300</v>
      </c>
      <c r="AM82" s="2">
        <v>45939.565474537034</v>
      </c>
      <c r="AN82">
        <v>2700</v>
      </c>
      <c r="AO82" t="s">
        <v>66</v>
      </c>
      <c r="AP82" t="s">
        <v>66</v>
      </c>
      <c r="AQ82" t="s">
        <v>66</v>
      </c>
      <c r="AR82" t="s">
        <v>71</v>
      </c>
      <c r="AS82">
        <v>18</v>
      </c>
      <c r="AT82">
        <v>0</v>
      </c>
      <c r="AU82">
        <v>0</v>
      </c>
      <c r="AV82">
        <v>18</v>
      </c>
      <c r="AW82">
        <v>411.86399999999998</v>
      </c>
      <c r="AX82">
        <v>0</v>
      </c>
      <c r="AY82">
        <v>0</v>
      </c>
      <c r="AZ82">
        <v>411.86399999999998</v>
      </c>
      <c r="BA82" s="2"/>
      <c r="BC82" s="2">
        <v>45941.5</v>
      </c>
      <c r="BD82" s="1">
        <f>MarketPlace_Order_Report__2[[#This Row],[UnitPrice]]*MarketPlace_Order_Report__2[[#This Row],[OrderQty]]</f>
        <v>2700</v>
      </c>
      <c r="BE82" s="1">
        <f>IFERROR(MarketPlace_Order_Report__2[[#This Row],[CGSTAmount]]+MarketPlace_Order_Report__2[[#This Row],[SGSTAmount]]+MarketPlace_Order_Report__2[[#This Row],[IGSTAmount]],MarketPlace_Order_Report__2[[#This Row],[TaxAmount]])</f>
        <v>411.86399999999998</v>
      </c>
      <c r="BF82" s="1">
        <f>MarketPlace_Order_Report__2[[#This Row],[Gross Amount (Before Tax)]]+MarketPlace_Order_Report__2[[#This Row],[Total GST Amount]]</f>
        <v>3111.864</v>
      </c>
    </row>
    <row r="83" spans="1:58">
      <c r="A83" t="s">
        <v>597</v>
      </c>
      <c r="B83" t="s">
        <v>598</v>
      </c>
      <c r="C83" t="s">
        <v>599</v>
      </c>
      <c r="D83" t="s">
        <v>600</v>
      </c>
      <c r="E83">
        <v>4</v>
      </c>
      <c r="F83" t="s">
        <v>1806</v>
      </c>
      <c r="G83">
        <v>1</v>
      </c>
      <c r="H83">
        <v>1</v>
      </c>
      <c r="I83">
        <v>4000</v>
      </c>
      <c r="J83">
        <v>3800</v>
      </c>
      <c r="K83">
        <v>0</v>
      </c>
      <c r="L83">
        <v>3808.03</v>
      </c>
      <c r="M83">
        <v>8.0299999999999994</v>
      </c>
      <c r="N83" t="s">
        <v>63</v>
      </c>
      <c r="O83" s="2">
        <v>45959.368321759262</v>
      </c>
      <c r="P83" s="2">
        <v>45959.704675925925</v>
      </c>
      <c r="Q83" s="2">
        <v>45961.526516203703</v>
      </c>
      <c r="R83" t="s">
        <v>601</v>
      </c>
      <c r="S83" t="s">
        <v>65</v>
      </c>
      <c r="T83" s="2">
        <v>45959.459155092591</v>
      </c>
      <c r="U83" t="s">
        <v>66</v>
      </c>
      <c r="V83" t="s">
        <v>67</v>
      </c>
      <c r="W83" t="s">
        <v>66</v>
      </c>
      <c r="X83" t="s">
        <v>66</v>
      </c>
      <c r="Y83" t="s">
        <v>66</v>
      </c>
      <c r="Z83" t="s">
        <v>66</v>
      </c>
      <c r="AA83" t="s">
        <v>66</v>
      </c>
      <c r="AB83" t="s">
        <v>66</v>
      </c>
      <c r="AC83" t="s">
        <v>66</v>
      </c>
      <c r="AD83" s="2">
        <v>45961.528715277775</v>
      </c>
      <c r="AE83" t="s">
        <v>71</v>
      </c>
      <c r="AF83" t="s">
        <v>66</v>
      </c>
      <c r="AG83" t="s">
        <v>602</v>
      </c>
      <c r="AH83" t="s">
        <v>603</v>
      </c>
      <c r="AI83">
        <v>781038</v>
      </c>
      <c r="AJ83" t="s">
        <v>74</v>
      </c>
      <c r="AK83" t="s">
        <v>75</v>
      </c>
      <c r="AL83">
        <v>62044220</v>
      </c>
      <c r="AM83" s="2"/>
      <c r="AN83">
        <v>3800</v>
      </c>
      <c r="AO83" t="s">
        <v>604</v>
      </c>
      <c r="AP83" t="s">
        <v>66</v>
      </c>
      <c r="AQ83" t="s">
        <v>66</v>
      </c>
      <c r="AR83" t="s">
        <v>71</v>
      </c>
      <c r="AS83">
        <v>18</v>
      </c>
      <c r="AT83">
        <v>0</v>
      </c>
      <c r="AU83">
        <v>0</v>
      </c>
      <c r="AV83">
        <v>18</v>
      </c>
      <c r="AW83">
        <v>579.66099999999994</v>
      </c>
      <c r="AX83">
        <v>0</v>
      </c>
      <c r="AY83">
        <v>0</v>
      </c>
      <c r="AZ83">
        <v>579.66099999999994</v>
      </c>
      <c r="BA83" s="2"/>
      <c r="BB83">
        <v>1.1000000000000001</v>
      </c>
      <c r="BC83" s="2">
        <v>45961.5</v>
      </c>
      <c r="BD83" s="1">
        <f>MarketPlace_Order_Report__2[[#This Row],[UnitPrice]]*MarketPlace_Order_Report__2[[#This Row],[OrderQty]]</f>
        <v>3800</v>
      </c>
      <c r="BE83" s="1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83" s="1">
        <f>MarketPlace_Order_Report__2[[#This Row],[Gross Amount (Before Tax)]]+MarketPlace_Order_Report__2[[#This Row],[Total GST Amount]]</f>
        <v>4379.6610000000001</v>
      </c>
    </row>
    <row r="84" spans="1:58">
      <c r="A84" t="s">
        <v>605</v>
      </c>
      <c r="B84" t="s">
        <v>606</v>
      </c>
      <c r="C84" t="s">
        <v>607</v>
      </c>
      <c r="D84" t="s">
        <v>608</v>
      </c>
      <c r="E84">
        <v>1</v>
      </c>
      <c r="F84" t="s">
        <v>62</v>
      </c>
      <c r="G84">
        <v>1</v>
      </c>
      <c r="H84">
        <v>1</v>
      </c>
      <c r="I84">
        <v>4000</v>
      </c>
      <c r="J84">
        <v>3800</v>
      </c>
      <c r="K84">
        <v>0</v>
      </c>
      <c r="L84">
        <v>3849</v>
      </c>
      <c r="M84">
        <v>49</v>
      </c>
      <c r="N84" t="s">
        <v>99</v>
      </c>
      <c r="O84" s="2">
        <v>45946.373414351852</v>
      </c>
      <c r="P84" s="2">
        <v>45948.728449074071</v>
      </c>
      <c r="Q84" s="2">
        <v>45952.608217592591</v>
      </c>
      <c r="R84" t="s">
        <v>609</v>
      </c>
      <c r="S84" t="s">
        <v>65</v>
      </c>
      <c r="T84" s="2">
        <v>45947.713888888888</v>
      </c>
      <c r="U84" t="s">
        <v>66</v>
      </c>
      <c r="V84" t="s">
        <v>67</v>
      </c>
      <c r="W84" t="s">
        <v>66</v>
      </c>
      <c r="X84" t="s">
        <v>66</v>
      </c>
      <c r="Y84" t="s">
        <v>610</v>
      </c>
      <c r="Z84" t="s">
        <v>69</v>
      </c>
      <c r="AA84" t="s">
        <v>130</v>
      </c>
      <c r="AB84" t="s">
        <v>66</v>
      </c>
      <c r="AC84" t="s">
        <v>66</v>
      </c>
      <c r="AD84" s="2">
        <v>45956.768819444442</v>
      </c>
      <c r="AE84" t="s">
        <v>71</v>
      </c>
      <c r="AF84" t="s">
        <v>66</v>
      </c>
      <c r="AG84" t="s">
        <v>114</v>
      </c>
      <c r="AH84" t="s">
        <v>115</v>
      </c>
      <c r="AI84">
        <v>110092</v>
      </c>
      <c r="AJ84" t="s">
        <v>74</v>
      </c>
      <c r="AK84" t="s">
        <v>75</v>
      </c>
      <c r="AL84">
        <v>62044220</v>
      </c>
      <c r="AM84" s="2"/>
      <c r="AN84">
        <v>3800</v>
      </c>
      <c r="AO84" t="s">
        <v>611</v>
      </c>
      <c r="AP84" t="s">
        <v>132</v>
      </c>
      <c r="AQ84" t="s">
        <v>66</v>
      </c>
      <c r="AR84" t="s">
        <v>71</v>
      </c>
      <c r="AS84">
        <v>18</v>
      </c>
      <c r="AT84">
        <v>0</v>
      </c>
      <c r="AU84">
        <v>0</v>
      </c>
      <c r="AV84">
        <v>18</v>
      </c>
      <c r="AW84">
        <v>579.66099999999994</v>
      </c>
      <c r="AX84">
        <v>0</v>
      </c>
      <c r="AY84">
        <v>0</v>
      </c>
      <c r="AZ84">
        <v>579.66099999999994</v>
      </c>
      <c r="BA84" s="2"/>
      <c r="BB84">
        <v>0.75</v>
      </c>
      <c r="BC84" s="2">
        <v>45948.5</v>
      </c>
      <c r="BD84" s="1">
        <f>MarketPlace_Order_Report__2[[#This Row],[UnitPrice]]*MarketPlace_Order_Report__2[[#This Row],[OrderQty]]</f>
        <v>3800</v>
      </c>
      <c r="BE84" s="1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84" s="1">
        <f>MarketPlace_Order_Report__2[[#This Row],[Gross Amount (Before Tax)]]+MarketPlace_Order_Report__2[[#This Row],[Total GST Amount]]</f>
        <v>4379.6610000000001</v>
      </c>
    </row>
    <row r="85" spans="1:58">
      <c r="A85" t="s">
        <v>612</v>
      </c>
      <c r="B85" t="s">
        <v>613</v>
      </c>
      <c r="C85" t="s">
        <v>614</v>
      </c>
      <c r="D85" t="s">
        <v>615</v>
      </c>
      <c r="E85">
        <v>1</v>
      </c>
      <c r="F85" t="s">
        <v>1806</v>
      </c>
      <c r="G85">
        <v>1</v>
      </c>
      <c r="H85">
        <v>1</v>
      </c>
      <c r="I85">
        <v>4000</v>
      </c>
      <c r="J85">
        <v>3800</v>
      </c>
      <c r="K85">
        <v>0</v>
      </c>
      <c r="L85">
        <v>3829</v>
      </c>
      <c r="M85">
        <v>29</v>
      </c>
      <c r="N85" t="s">
        <v>63</v>
      </c>
      <c r="O85" s="2">
        <v>45947.964398148149</v>
      </c>
      <c r="P85" s="2">
        <v>45954.732256944444</v>
      </c>
      <c r="Q85" s="2">
        <v>45959.600011574075</v>
      </c>
      <c r="R85" t="s">
        <v>616</v>
      </c>
      <c r="S85" t="s">
        <v>65</v>
      </c>
      <c r="T85" s="2">
        <v>45948.802071759259</v>
      </c>
      <c r="U85" t="s">
        <v>66</v>
      </c>
      <c r="V85" t="s">
        <v>67</v>
      </c>
      <c r="W85" t="s">
        <v>66</v>
      </c>
      <c r="X85" t="s">
        <v>66</v>
      </c>
      <c r="Y85" t="s">
        <v>66</v>
      </c>
      <c r="Z85" t="s">
        <v>66</v>
      </c>
      <c r="AA85" t="s">
        <v>66</v>
      </c>
      <c r="AB85" t="s">
        <v>66</v>
      </c>
      <c r="AC85" t="s">
        <v>66</v>
      </c>
      <c r="AD85" s="2">
        <v>45959.608703703707</v>
      </c>
      <c r="AE85" t="s">
        <v>71</v>
      </c>
      <c r="AF85" t="s">
        <v>66</v>
      </c>
      <c r="AG85" t="s">
        <v>617</v>
      </c>
      <c r="AH85" t="s">
        <v>279</v>
      </c>
      <c r="AI85">
        <v>140603</v>
      </c>
      <c r="AJ85" t="s">
        <v>74</v>
      </c>
      <c r="AK85" t="s">
        <v>75</v>
      </c>
      <c r="AL85">
        <v>62044220</v>
      </c>
      <c r="AM85" s="2"/>
      <c r="AN85">
        <v>3800</v>
      </c>
      <c r="AO85" t="s">
        <v>618</v>
      </c>
      <c r="AP85" t="s">
        <v>288</v>
      </c>
      <c r="AQ85" t="s">
        <v>66</v>
      </c>
      <c r="AR85" t="s">
        <v>71</v>
      </c>
      <c r="AS85">
        <v>18</v>
      </c>
      <c r="AT85">
        <v>0</v>
      </c>
      <c r="AU85">
        <v>0</v>
      </c>
      <c r="AV85">
        <v>18</v>
      </c>
      <c r="AW85">
        <v>579.66099999999994</v>
      </c>
      <c r="AX85">
        <v>0</v>
      </c>
      <c r="AY85">
        <v>0</v>
      </c>
      <c r="AZ85">
        <v>579.66099999999994</v>
      </c>
      <c r="BA85" s="2"/>
      <c r="BB85">
        <v>0.75</v>
      </c>
      <c r="BC85" s="2">
        <v>45950.5</v>
      </c>
      <c r="BD85" s="1">
        <f>MarketPlace_Order_Report__2[[#This Row],[UnitPrice]]*MarketPlace_Order_Report__2[[#This Row],[OrderQty]]</f>
        <v>3800</v>
      </c>
      <c r="BE85" s="1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85" s="1">
        <f>MarketPlace_Order_Report__2[[#This Row],[Gross Amount (Before Tax)]]+MarketPlace_Order_Report__2[[#This Row],[Total GST Amount]]</f>
        <v>4379.6610000000001</v>
      </c>
    </row>
    <row r="86" spans="1:58">
      <c r="A86" t="s">
        <v>619</v>
      </c>
      <c r="B86" t="s">
        <v>620</v>
      </c>
      <c r="C86" t="s">
        <v>621</v>
      </c>
      <c r="D86" t="s">
        <v>622</v>
      </c>
      <c r="E86">
        <v>1</v>
      </c>
      <c r="F86" t="s">
        <v>107</v>
      </c>
      <c r="G86">
        <v>1</v>
      </c>
      <c r="H86">
        <v>1</v>
      </c>
      <c r="I86">
        <v>4000</v>
      </c>
      <c r="J86">
        <v>3800</v>
      </c>
      <c r="K86">
        <v>0</v>
      </c>
      <c r="L86">
        <v>3849</v>
      </c>
      <c r="M86">
        <v>49</v>
      </c>
      <c r="N86" t="s">
        <v>99</v>
      </c>
      <c r="O86" s="2">
        <v>45952.694618055553</v>
      </c>
      <c r="P86" s="2">
        <v>45954.730578703704</v>
      </c>
      <c r="Q86" s="2"/>
      <c r="R86" t="s">
        <v>623</v>
      </c>
      <c r="S86" t="s">
        <v>65</v>
      </c>
      <c r="T86" s="2">
        <v>45954.500509259262</v>
      </c>
      <c r="U86" t="s">
        <v>66</v>
      </c>
      <c r="V86" t="s">
        <v>67</v>
      </c>
      <c r="W86" t="s">
        <v>66</v>
      </c>
      <c r="X86" t="s">
        <v>66</v>
      </c>
      <c r="Y86" t="s">
        <v>66</v>
      </c>
      <c r="Z86" t="s">
        <v>66</v>
      </c>
      <c r="AA86" t="s">
        <v>66</v>
      </c>
      <c r="AB86" t="s">
        <v>66</v>
      </c>
      <c r="AC86" t="s">
        <v>66</v>
      </c>
      <c r="AD86" s="2">
        <v>45961.480266203704</v>
      </c>
      <c r="AE86" t="s">
        <v>71</v>
      </c>
      <c r="AF86" t="s">
        <v>66</v>
      </c>
      <c r="AG86" t="s">
        <v>624</v>
      </c>
      <c r="AH86" t="s">
        <v>169</v>
      </c>
      <c r="AI86">
        <v>823000</v>
      </c>
      <c r="AJ86" t="s">
        <v>74</v>
      </c>
      <c r="AK86" t="s">
        <v>75</v>
      </c>
      <c r="AL86">
        <v>62042300</v>
      </c>
      <c r="AM86" s="2"/>
      <c r="AN86">
        <v>3800</v>
      </c>
      <c r="AO86" t="s">
        <v>625</v>
      </c>
      <c r="AP86" t="s">
        <v>66</v>
      </c>
      <c r="AQ86" t="s">
        <v>66</v>
      </c>
      <c r="AR86" t="s">
        <v>71</v>
      </c>
      <c r="AS86">
        <v>18</v>
      </c>
      <c r="AT86">
        <v>0</v>
      </c>
      <c r="AU86">
        <v>0</v>
      </c>
      <c r="AV86">
        <v>18</v>
      </c>
      <c r="AW86">
        <v>579.66099999999994</v>
      </c>
      <c r="AX86">
        <v>0</v>
      </c>
      <c r="AY86">
        <v>0</v>
      </c>
      <c r="AZ86">
        <v>579.66099999999994</v>
      </c>
      <c r="BA86" s="2"/>
      <c r="BB86">
        <v>0.85</v>
      </c>
      <c r="BC86" s="2">
        <v>45955.5</v>
      </c>
      <c r="BD86" s="1">
        <f>MarketPlace_Order_Report__2[[#This Row],[UnitPrice]]*MarketPlace_Order_Report__2[[#This Row],[OrderQty]]</f>
        <v>3800</v>
      </c>
      <c r="BE86" s="1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86" s="1">
        <f>MarketPlace_Order_Report__2[[#This Row],[Gross Amount (Before Tax)]]+MarketPlace_Order_Report__2[[#This Row],[Total GST Amount]]</f>
        <v>4379.6610000000001</v>
      </c>
    </row>
    <row r="87" spans="1:58">
      <c r="A87" t="s">
        <v>597</v>
      </c>
      <c r="B87" t="s">
        <v>598</v>
      </c>
      <c r="C87" t="s">
        <v>626</v>
      </c>
      <c r="D87" t="s">
        <v>627</v>
      </c>
      <c r="E87">
        <v>3</v>
      </c>
      <c r="F87" t="s">
        <v>1806</v>
      </c>
      <c r="G87">
        <v>1</v>
      </c>
      <c r="H87">
        <v>1</v>
      </c>
      <c r="I87">
        <v>4000</v>
      </c>
      <c r="J87">
        <v>3800</v>
      </c>
      <c r="K87">
        <v>0</v>
      </c>
      <c r="L87">
        <v>3808.03</v>
      </c>
      <c r="M87">
        <v>8.0299999999999994</v>
      </c>
      <c r="N87" t="s">
        <v>63</v>
      </c>
      <c r="O87" s="2">
        <v>45959.368321759262</v>
      </c>
      <c r="P87" s="2">
        <v>45959.704675925925</v>
      </c>
      <c r="Q87" s="2">
        <v>45961.526516203703</v>
      </c>
      <c r="R87" t="s">
        <v>601</v>
      </c>
      <c r="S87" t="s">
        <v>65</v>
      </c>
      <c r="T87" s="2">
        <v>45959.459155092591</v>
      </c>
      <c r="U87" t="s">
        <v>66</v>
      </c>
      <c r="V87" t="s">
        <v>67</v>
      </c>
      <c r="W87" t="s">
        <v>66</v>
      </c>
      <c r="X87" t="s">
        <v>66</v>
      </c>
      <c r="Y87" t="s">
        <v>66</v>
      </c>
      <c r="Z87" t="s">
        <v>66</v>
      </c>
      <c r="AA87" t="s">
        <v>66</v>
      </c>
      <c r="AB87" t="s">
        <v>66</v>
      </c>
      <c r="AC87" t="s">
        <v>66</v>
      </c>
      <c r="AD87" s="2">
        <v>45961.528715277775</v>
      </c>
      <c r="AE87" t="s">
        <v>71</v>
      </c>
      <c r="AF87" t="s">
        <v>66</v>
      </c>
      <c r="AG87" t="s">
        <v>602</v>
      </c>
      <c r="AH87" t="s">
        <v>603</v>
      </c>
      <c r="AI87">
        <v>781038</v>
      </c>
      <c r="AJ87" t="s">
        <v>74</v>
      </c>
      <c r="AK87" t="s">
        <v>75</v>
      </c>
      <c r="AL87">
        <v>62042300</v>
      </c>
      <c r="AM87" s="2"/>
      <c r="AN87">
        <v>3800</v>
      </c>
      <c r="AO87" t="s">
        <v>604</v>
      </c>
      <c r="AP87" t="s">
        <v>66</v>
      </c>
      <c r="AQ87" t="s">
        <v>66</v>
      </c>
      <c r="AR87" t="s">
        <v>71</v>
      </c>
      <c r="AS87">
        <v>18</v>
      </c>
      <c r="AT87">
        <v>0</v>
      </c>
      <c r="AU87">
        <v>0</v>
      </c>
      <c r="AV87">
        <v>18</v>
      </c>
      <c r="AW87">
        <v>579.66099999999994</v>
      </c>
      <c r="AX87">
        <v>0</v>
      </c>
      <c r="AY87">
        <v>0</v>
      </c>
      <c r="AZ87">
        <v>579.66099999999994</v>
      </c>
      <c r="BA87" s="2"/>
      <c r="BB87">
        <v>1.1000000000000001</v>
      </c>
      <c r="BC87" s="2">
        <v>45961.5</v>
      </c>
      <c r="BD87" s="1">
        <f>MarketPlace_Order_Report__2[[#This Row],[UnitPrice]]*MarketPlace_Order_Report__2[[#This Row],[OrderQty]]</f>
        <v>3800</v>
      </c>
      <c r="BE87" s="1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87" s="1">
        <f>MarketPlace_Order_Report__2[[#This Row],[Gross Amount (Before Tax)]]+MarketPlace_Order_Report__2[[#This Row],[Total GST Amount]]</f>
        <v>4379.6610000000001</v>
      </c>
    </row>
    <row r="88" spans="1:58">
      <c r="A88" t="s">
        <v>628</v>
      </c>
      <c r="B88" t="s">
        <v>629</v>
      </c>
      <c r="C88" t="s">
        <v>626</v>
      </c>
      <c r="D88" t="s">
        <v>627</v>
      </c>
      <c r="E88">
        <v>1</v>
      </c>
      <c r="F88" t="s">
        <v>228</v>
      </c>
      <c r="G88">
        <v>1</v>
      </c>
      <c r="H88">
        <v>1</v>
      </c>
      <c r="I88">
        <v>3750</v>
      </c>
      <c r="J88">
        <v>3563</v>
      </c>
      <c r="K88">
        <v>0</v>
      </c>
      <c r="L88">
        <v>3583</v>
      </c>
      <c r="M88">
        <v>20</v>
      </c>
      <c r="N88" t="s">
        <v>99</v>
      </c>
      <c r="O88" s="2">
        <v>45942.899826388886</v>
      </c>
      <c r="P88" s="2">
        <v>45944.738321759258</v>
      </c>
      <c r="Q88" s="2"/>
      <c r="R88" t="s">
        <v>630</v>
      </c>
      <c r="S88" t="s">
        <v>65</v>
      </c>
      <c r="T88" s="2">
        <v>45943.814467592594</v>
      </c>
      <c r="U88" t="s">
        <v>66</v>
      </c>
      <c r="V88" t="s">
        <v>67</v>
      </c>
      <c r="W88" t="s">
        <v>66</v>
      </c>
      <c r="X88" t="s">
        <v>66</v>
      </c>
      <c r="Y88" t="s">
        <v>631</v>
      </c>
      <c r="Z88" t="s">
        <v>231</v>
      </c>
      <c r="AA88" t="s">
        <v>175</v>
      </c>
      <c r="AB88" t="s">
        <v>66</v>
      </c>
      <c r="AC88" t="s">
        <v>66</v>
      </c>
      <c r="AD88" s="2">
        <v>45959.709016203706</v>
      </c>
      <c r="AE88" t="s">
        <v>71</v>
      </c>
      <c r="AF88" t="s">
        <v>66</v>
      </c>
      <c r="AG88" t="s">
        <v>624</v>
      </c>
      <c r="AH88" t="s">
        <v>169</v>
      </c>
      <c r="AI88">
        <v>823000</v>
      </c>
      <c r="AJ88" t="s">
        <v>74</v>
      </c>
      <c r="AK88" t="s">
        <v>75</v>
      </c>
      <c r="AL88">
        <v>62042300</v>
      </c>
      <c r="AM88" s="2"/>
      <c r="AN88">
        <v>3563</v>
      </c>
      <c r="AO88" t="s">
        <v>632</v>
      </c>
      <c r="AP88" t="s">
        <v>66</v>
      </c>
      <c r="AQ88" t="s">
        <v>66</v>
      </c>
      <c r="AR88" t="s">
        <v>71</v>
      </c>
      <c r="AS88">
        <v>18</v>
      </c>
      <c r="AT88">
        <v>0</v>
      </c>
      <c r="AU88">
        <v>0</v>
      </c>
      <c r="AV88">
        <v>18</v>
      </c>
      <c r="AW88">
        <v>543.50800000000004</v>
      </c>
      <c r="AX88">
        <v>0</v>
      </c>
      <c r="AY88">
        <v>0</v>
      </c>
      <c r="AZ88">
        <v>543.50800000000004</v>
      </c>
      <c r="BA88" s="2"/>
      <c r="BB88">
        <v>0.85</v>
      </c>
      <c r="BC88" s="2">
        <v>45945.5</v>
      </c>
      <c r="BD88" s="1">
        <f>MarketPlace_Order_Report__2[[#This Row],[UnitPrice]]*MarketPlace_Order_Report__2[[#This Row],[OrderQty]]</f>
        <v>3563</v>
      </c>
      <c r="BE88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88" s="1">
        <f>MarketPlace_Order_Report__2[[#This Row],[Gross Amount (Before Tax)]]+MarketPlace_Order_Report__2[[#This Row],[Total GST Amount]]</f>
        <v>4106.5079999999998</v>
      </c>
    </row>
    <row r="89" spans="1:58">
      <c r="A89" t="s">
        <v>633</v>
      </c>
      <c r="B89" t="s">
        <v>634</v>
      </c>
      <c r="C89" t="s">
        <v>635</v>
      </c>
      <c r="D89" t="s">
        <v>636</v>
      </c>
      <c r="E89">
        <v>1</v>
      </c>
      <c r="F89" t="s">
        <v>145</v>
      </c>
      <c r="G89">
        <v>1</v>
      </c>
      <c r="H89">
        <v>0</v>
      </c>
      <c r="I89">
        <v>4000</v>
      </c>
      <c r="J89">
        <v>3800</v>
      </c>
      <c r="K89">
        <v>0</v>
      </c>
      <c r="L89">
        <v>3820</v>
      </c>
      <c r="M89">
        <v>20</v>
      </c>
      <c r="N89" t="s">
        <v>99</v>
      </c>
      <c r="O89" s="2">
        <v>45949.859710648147</v>
      </c>
      <c r="P89" s="2"/>
      <c r="Q89" s="2"/>
      <c r="R89" t="s">
        <v>66</v>
      </c>
      <c r="S89" t="s">
        <v>155</v>
      </c>
      <c r="T89" s="2"/>
      <c r="U89" t="s">
        <v>147</v>
      </c>
      <c r="V89" t="s">
        <v>67</v>
      </c>
      <c r="W89" t="s">
        <v>66</v>
      </c>
      <c r="X89" t="s">
        <v>66</v>
      </c>
      <c r="Y89" t="s">
        <v>66</v>
      </c>
      <c r="Z89" t="s">
        <v>66</v>
      </c>
      <c r="AA89" t="s">
        <v>66</v>
      </c>
      <c r="AB89" t="s">
        <v>66</v>
      </c>
      <c r="AC89" t="s">
        <v>66</v>
      </c>
      <c r="AD89" s="2">
        <v>45952.882048611114</v>
      </c>
      <c r="AE89" t="s">
        <v>71</v>
      </c>
      <c r="AF89" t="s">
        <v>66</v>
      </c>
      <c r="AG89" t="s">
        <v>300</v>
      </c>
      <c r="AH89" t="s">
        <v>123</v>
      </c>
      <c r="AI89">
        <v>411047</v>
      </c>
      <c r="AJ89" t="s">
        <v>74</v>
      </c>
      <c r="AK89" t="s">
        <v>75</v>
      </c>
      <c r="AL89">
        <v>62042300</v>
      </c>
      <c r="AM89" s="2">
        <v>45952.882048611114</v>
      </c>
      <c r="AN89">
        <v>3800</v>
      </c>
      <c r="AO89" t="s">
        <v>66</v>
      </c>
      <c r="AP89" t="s">
        <v>465</v>
      </c>
      <c r="AQ89" t="s">
        <v>66</v>
      </c>
      <c r="AR89" t="s">
        <v>71</v>
      </c>
      <c r="AS89">
        <v>18</v>
      </c>
      <c r="AT89">
        <v>9</v>
      </c>
      <c r="AU89">
        <v>9</v>
      </c>
      <c r="AV89">
        <v>0</v>
      </c>
      <c r="AW89">
        <v>579.66099999999994</v>
      </c>
      <c r="AX89">
        <v>289.83100000000002</v>
      </c>
      <c r="AY89">
        <v>289.83100000000002</v>
      </c>
      <c r="AZ89">
        <v>0</v>
      </c>
      <c r="BA89" s="2"/>
      <c r="BC89" s="2">
        <v>45952.5</v>
      </c>
      <c r="BD89" s="1">
        <f>MarketPlace_Order_Report__2[[#This Row],[UnitPrice]]*MarketPlace_Order_Report__2[[#This Row],[OrderQty]]</f>
        <v>3800</v>
      </c>
      <c r="BE89" s="1">
        <f>IFERROR(MarketPlace_Order_Report__2[[#This Row],[CGSTAmount]]+MarketPlace_Order_Report__2[[#This Row],[SGSTAmount]]+MarketPlace_Order_Report__2[[#This Row],[IGSTAmount]],MarketPlace_Order_Report__2[[#This Row],[TaxAmount]])</f>
        <v>579.66200000000003</v>
      </c>
      <c r="BF89" s="1">
        <f>MarketPlace_Order_Report__2[[#This Row],[Gross Amount (Before Tax)]]+MarketPlace_Order_Report__2[[#This Row],[Total GST Amount]]</f>
        <v>4379.6620000000003</v>
      </c>
    </row>
    <row r="90" spans="1:58">
      <c r="A90" t="s">
        <v>637</v>
      </c>
      <c r="B90" t="s">
        <v>638</v>
      </c>
      <c r="C90" t="s">
        <v>639</v>
      </c>
      <c r="D90" t="s">
        <v>640</v>
      </c>
      <c r="E90">
        <v>1</v>
      </c>
      <c r="F90" t="s">
        <v>228</v>
      </c>
      <c r="G90">
        <v>1</v>
      </c>
      <c r="H90">
        <v>1</v>
      </c>
      <c r="I90">
        <v>3750</v>
      </c>
      <c r="J90">
        <v>3375</v>
      </c>
      <c r="K90">
        <v>0</v>
      </c>
      <c r="L90">
        <v>3424</v>
      </c>
      <c r="M90">
        <v>49</v>
      </c>
      <c r="N90" t="s">
        <v>99</v>
      </c>
      <c r="O90" s="2">
        <v>45935.963495370372</v>
      </c>
      <c r="P90" s="2">
        <v>45937.726122685184</v>
      </c>
      <c r="Q90" s="2"/>
      <c r="R90" t="s">
        <v>641</v>
      </c>
      <c r="S90" t="s">
        <v>65</v>
      </c>
      <c r="T90" s="2">
        <v>45936.813321759262</v>
      </c>
      <c r="U90" t="s">
        <v>66</v>
      </c>
      <c r="V90" t="s">
        <v>67</v>
      </c>
      <c r="W90" t="s">
        <v>66</v>
      </c>
      <c r="X90" t="s">
        <v>66</v>
      </c>
      <c r="Y90" t="s">
        <v>642</v>
      </c>
      <c r="Z90" t="s">
        <v>231</v>
      </c>
      <c r="AA90" t="s">
        <v>175</v>
      </c>
      <c r="AB90" t="s">
        <v>66</v>
      </c>
      <c r="AC90" t="s">
        <v>66</v>
      </c>
      <c r="AD90" s="2">
        <v>45947.861990740741</v>
      </c>
      <c r="AE90" t="s">
        <v>71</v>
      </c>
      <c r="AF90" t="s">
        <v>66</v>
      </c>
      <c r="AG90" t="s">
        <v>232</v>
      </c>
      <c r="AH90" t="s">
        <v>139</v>
      </c>
      <c r="AI90">
        <v>273015</v>
      </c>
      <c r="AJ90" t="s">
        <v>74</v>
      </c>
      <c r="AK90" t="s">
        <v>75</v>
      </c>
      <c r="AL90">
        <v>62042300</v>
      </c>
      <c r="AM90" s="2"/>
      <c r="AN90">
        <v>3375</v>
      </c>
      <c r="AO90" t="s">
        <v>643</v>
      </c>
      <c r="AP90" t="s">
        <v>132</v>
      </c>
      <c r="AQ90" t="s">
        <v>66</v>
      </c>
      <c r="AR90" t="s">
        <v>71</v>
      </c>
      <c r="AS90">
        <v>18</v>
      </c>
      <c r="AT90">
        <v>0</v>
      </c>
      <c r="AU90">
        <v>0</v>
      </c>
      <c r="AV90">
        <v>18</v>
      </c>
      <c r="AW90">
        <v>514.83100000000002</v>
      </c>
      <c r="AX90">
        <v>0</v>
      </c>
      <c r="AY90">
        <v>0</v>
      </c>
      <c r="AZ90">
        <v>514.83100000000002</v>
      </c>
      <c r="BA90" s="2"/>
      <c r="BB90">
        <v>0.85</v>
      </c>
      <c r="BC90" s="2">
        <v>45938.5</v>
      </c>
      <c r="BD90" s="1">
        <f>MarketPlace_Order_Report__2[[#This Row],[UnitPrice]]*MarketPlace_Order_Report__2[[#This Row],[OrderQty]]</f>
        <v>3375</v>
      </c>
      <c r="BE90" s="1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90" s="1">
        <f>MarketPlace_Order_Report__2[[#This Row],[Gross Amount (Before Tax)]]+MarketPlace_Order_Report__2[[#This Row],[Total GST Amount]]</f>
        <v>3889.8310000000001</v>
      </c>
    </row>
    <row r="91" spans="1:58">
      <c r="A91" t="s">
        <v>644</v>
      </c>
      <c r="B91" t="s">
        <v>645</v>
      </c>
      <c r="C91" t="s">
        <v>646</v>
      </c>
      <c r="D91" t="s">
        <v>647</v>
      </c>
      <c r="E91">
        <v>2</v>
      </c>
      <c r="F91" t="s">
        <v>62</v>
      </c>
      <c r="G91">
        <v>1</v>
      </c>
      <c r="H91">
        <v>1</v>
      </c>
      <c r="I91">
        <v>3750</v>
      </c>
      <c r="J91">
        <v>3375</v>
      </c>
      <c r="K91">
        <v>0</v>
      </c>
      <c r="L91">
        <v>3415.87</v>
      </c>
      <c r="M91">
        <v>40.869999999999997</v>
      </c>
      <c r="N91" t="s">
        <v>99</v>
      </c>
      <c r="O91" s="2">
        <v>45934.344583333332</v>
      </c>
      <c r="P91" s="2">
        <v>45936.714791666665</v>
      </c>
      <c r="Q91" s="2">
        <v>45939.661770833336</v>
      </c>
      <c r="R91" t="s">
        <v>648</v>
      </c>
      <c r="S91" t="s">
        <v>65</v>
      </c>
      <c r="T91" s="2">
        <v>45934.839085648149</v>
      </c>
      <c r="U91" t="s">
        <v>66</v>
      </c>
      <c r="V91" t="s">
        <v>67</v>
      </c>
      <c r="W91" t="s">
        <v>66</v>
      </c>
      <c r="X91" t="s">
        <v>66</v>
      </c>
      <c r="Y91" t="s">
        <v>649</v>
      </c>
      <c r="Z91" t="s">
        <v>69</v>
      </c>
      <c r="AA91" t="s">
        <v>175</v>
      </c>
      <c r="AB91" t="s">
        <v>66</v>
      </c>
      <c r="AC91" t="s">
        <v>66</v>
      </c>
      <c r="AD91" s="2">
        <v>45954.629421296297</v>
      </c>
      <c r="AE91" t="s">
        <v>71</v>
      </c>
      <c r="AF91" t="s">
        <v>66</v>
      </c>
      <c r="AG91" t="s">
        <v>232</v>
      </c>
      <c r="AH91" t="s">
        <v>139</v>
      </c>
      <c r="AI91">
        <v>273015</v>
      </c>
      <c r="AJ91" t="s">
        <v>74</v>
      </c>
      <c r="AK91" t="s">
        <v>75</v>
      </c>
      <c r="AL91">
        <v>62042300</v>
      </c>
      <c r="AM91" s="2"/>
      <c r="AN91">
        <v>3375</v>
      </c>
      <c r="AO91" t="s">
        <v>650</v>
      </c>
      <c r="AP91" t="s">
        <v>442</v>
      </c>
      <c r="AQ91" t="s">
        <v>66</v>
      </c>
      <c r="AR91" t="s">
        <v>71</v>
      </c>
      <c r="AS91">
        <v>18</v>
      </c>
      <c r="AT91">
        <v>0</v>
      </c>
      <c r="AU91">
        <v>0</v>
      </c>
      <c r="AV91">
        <v>18</v>
      </c>
      <c r="AW91">
        <v>514.83100000000002</v>
      </c>
      <c r="AX91">
        <v>0</v>
      </c>
      <c r="AY91">
        <v>0</v>
      </c>
      <c r="AZ91">
        <v>514.83100000000002</v>
      </c>
      <c r="BA91" s="2"/>
      <c r="BB91">
        <v>0.85</v>
      </c>
      <c r="BC91" s="2">
        <v>45936.5</v>
      </c>
      <c r="BD91" s="1">
        <f>MarketPlace_Order_Report__2[[#This Row],[UnitPrice]]*MarketPlace_Order_Report__2[[#This Row],[OrderQty]]</f>
        <v>3375</v>
      </c>
      <c r="BE91" s="1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91" s="1">
        <f>MarketPlace_Order_Report__2[[#This Row],[Gross Amount (Before Tax)]]+MarketPlace_Order_Report__2[[#This Row],[Total GST Amount]]</f>
        <v>3889.8310000000001</v>
      </c>
    </row>
    <row r="92" spans="1:58">
      <c r="A92" t="s">
        <v>651</v>
      </c>
      <c r="B92" t="s">
        <v>652</v>
      </c>
      <c r="C92" t="s">
        <v>653</v>
      </c>
      <c r="D92" t="s">
        <v>654</v>
      </c>
      <c r="E92">
        <v>1</v>
      </c>
      <c r="F92" t="s">
        <v>1806</v>
      </c>
      <c r="G92">
        <v>1</v>
      </c>
      <c r="H92">
        <v>1</v>
      </c>
      <c r="I92">
        <v>4000</v>
      </c>
      <c r="J92">
        <v>3800</v>
      </c>
      <c r="K92">
        <v>0</v>
      </c>
      <c r="L92">
        <v>3800</v>
      </c>
      <c r="M92">
        <v>0</v>
      </c>
      <c r="N92" t="s">
        <v>63</v>
      </c>
      <c r="O92" s="2">
        <v>45956.56077546296</v>
      </c>
      <c r="P92" s="2">
        <v>45958.714074074072</v>
      </c>
      <c r="Q92" s="2">
        <v>45960.647951388892</v>
      </c>
      <c r="R92" t="s">
        <v>655</v>
      </c>
      <c r="S92" t="s">
        <v>65</v>
      </c>
      <c r="T92" s="2">
        <v>45957.797627314816</v>
      </c>
      <c r="U92" t="s">
        <v>66</v>
      </c>
      <c r="V92" t="s">
        <v>67</v>
      </c>
      <c r="W92" t="s">
        <v>66</v>
      </c>
      <c r="X92" t="s">
        <v>66</v>
      </c>
      <c r="Y92" t="s">
        <v>66</v>
      </c>
      <c r="Z92" t="s">
        <v>66</v>
      </c>
      <c r="AA92" t="s">
        <v>66</v>
      </c>
      <c r="AB92" t="s">
        <v>66</v>
      </c>
      <c r="AC92" t="s">
        <v>66</v>
      </c>
      <c r="AD92" s="2">
        <v>45960.650069444448</v>
      </c>
      <c r="AE92" t="s">
        <v>71</v>
      </c>
      <c r="AF92" t="s">
        <v>66</v>
      </c>
      <c r="AG92" t="s">
        <v>90</v>
      </c>
      <c r="AH92" t="s">
        <v>91</v>
      </c>
      <c r="AI92">
        <v>560099</v>
      </c>
      <c r="AJ92" t="s">
        <v>74</v>
      </c>
      <c r="AK92" t="s">
        <v>75</v>
      </c>
      <c r="AL92">
        <v>62042300</v>
      </c>
      <c r="AM92" s="2"/>
      <c r="AN92">
        <v>3800</v>
      </c>
      <c r="AO92" t="s">
        <v>656</v>
      </c>
      <c r="AP92" t="s">
        <v>158</v>
      </c>
      <c r="AQ92" t="s">
        <v>66</v>
      </c>
      <c r="AR92" t="s">
        <v>71</v>
      </c>
      <c r="AS92">
        <v>18</v>
      </c>
      <c r="AT92">
        <v>0</v>
      </c>
      <c r="AU92">
        <v>0</v>
      </c>
      <c r="AV92">
        <v>18</v>
      </c>
      <c r="AW92">
        <v>579.66099999999994</v>
      </c>
      <c r="AX92">
        <v>0</v>
      </c>
      <c r="AY92">
        <v>0</v>
      </c>
      <c r="AZ92">
        <v>579.66099999999994</v>
      </c>
      <c r="BA92" s="2"/>
      <c r="BB92">
        <v>0.85</v>
      </c>
      <c r="BC92" s="2">
        <v>45959.5</v>
      </c>
      <c r="BD92" s="1">
        <f>MarketPlace_Order_Report__2[[#This Row],[UnitPrice]]*MarketPlace_Order_Report__2[[#This Row],[OrderQty]]</f>
        <v>3800</v>
      </c>
      <c r="BE92" s="1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92" s="1">
        <f>MarketPlace_Order_Report__2[[#This Row],[Gross Amount (Before Tax)]]+MarketPlace_Order_Report__2[[#This Row],[Total GST Amount]]</f>
        <v>4379.6610000000001</v>
      </c>
    </row>
    <row r="93" spans="1:58">
      <c r="A93" t="s">
        <v>657</v>
      </c>
      <c r="B93" t="s">
        <v>658</v>
      </c>
      <c r="C93" t="s">
        <v>659</v>
      </c>
      <c r="D93" t="s">
        <v>660</v>
      </c>
      <c r="E93">
        <v>2</v>
      </c>
      <c r="F93" t="s">
        <v>62</v>
      </c>
      <c r="G93">
        <v>1</v>
      </c>
      <c r="H93">
        <v>1</v>
      </c>
      <c r="I93">
        <v>3750</v>
      </c>
      <c r="J93">
        <v>3375</v>
      </c>
      <c r="K93">
        <v>0</v>
      </c>
      <c r="L93">
        <v>3440.08</v>
      </c>
      <c r="M93">
        <v>65.08</v>
      </c>
      <c r="N93" t="s">
        <v>63</v>
      </c>
      <c r="O93" s="2">
        <v>45937.611932870372</v>
      </c>
      <c r="P93" s="2">
        <v>45938.717928240738</v>
      </c>
      <c r="Q93" s="2">
        <v>45942.676064814812</v>
      </c>
      <c r="R93" t="s">
        <v>661</v>
      </c>
      <c r="S93" t="s">
        <v>65</v>
      </c>
      <c r="T93" s="2">
        <v>45937.716180555559</v>
      </c>
      <c r="U93" t="s">
        <v>66</v>
      </c>
      <c r="V93" t="s">
        <v>67</v>
      </c>
      <c r="W93" t="s">
        <v>66</v>
      </c>
      <c r="X93" t="s">
        <v>66</v>
      </c>
      <c r="Y93" t="s">
        <v>662</v>
      </c>
      <c r="Z93" t="s">
        <v>69</v>
      </c>
      <c r="AA93" t="s">
        <v>175</v>
      </c>
      <c r="AB93" t="s">
        <v>66</v>
      </c>
      <c r="AC93" t="s">
        <v>66</v>
      </c>
      <c r="AD93" s="2">
        <v>45959.750798611109</v>
      </c>
      <c r="AE93" t="s">
        <v>71</v>
      </c>
      <c r="AF93" t="s">
        <v>66</v>
      </c>
      <c r="AG93" t="s">
        <v>185</v>
      </c>
      <c r="AH93" t="s">
        <v>139</v>
      </c>
      <c r="AI93">
        <v>201301</v>
      </c>
      <c r="AJ93" t="s">
        <v>74</v>
      </c>
      <c r="AK93" t="s">
        <v>75</v>
      </c>
      <c r="AL93">
        <v>62042300</v>
      </c>
      <c r="AM93" s="2"/>
      <c r="AN93">
        <v>3375</v>
      </c>
      <c r="AO93" t="s">
        <v>663</v>
      </c>
      <c r="AP93" t="s">
        <v>66</v>
      </c>
      <c r="AQ93" t="s">
        <v>66</v>
      </c>
      <c r="AR93" t="s">
        <v>71</v>
      </c>
      <c r="AS93">
        <v>18</v>
      </c>
      <c r="AT93">
        <v>0</v>
      </c>
      <c r="AU93">
        <v>0</v>
      </c>
      <c r="AV93">
        <v>18</v>
      </c>
      <c r="AW93">
        <v>514.83100000000002</v>
      </c>
      <c r="AX93">
        <v>0</v>
      </c>
      <c r="AY93">
        <v>0</v>
      </c>
      <c r="AZ93">
        <v>514.83100000000002</v>
      </c>
      <c r="BA93" s="2"/>
      <c r="BB93">
        <v>0.85</v>
      </c>
      <c r="BC93" s="2">
        <v>45940.5</v>
      </c>
      <c r="BD93" s="1">
        <f>MarketPlace_Order_Report__2[[#This Row],[UnitPrice]]*MarketPlace_Order_Report__2[[#This Row],[OrderQty]]</f>
        <v>3375</v>
      </c>
      <c r="BE93" s="1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93" s="1">
        <f>MarketPlace_Order_Report__2[[#This Row],[Gross Amount (Before Tax)]]+MarketPlace_Order_Report__2[[#This Row],[Total GST Amount]]</f>
        <v>3889.8310000000001</v>
      </c>
    </row>
    <row r="94" spans="1:58">
      <c r="A94" t="s">
        <v>664</v>
      </c>
      <c r="B94" t="s">
        <v>665</v>
      </c>
      <c r="C94" t="s">
        <v>666</v>
      </c>
      <c r="D94" t="s">
        <v>667</v>
      </c>
      <c r="E94">
        <v>1</v>
      </c>
      <c r="F94" t="s">
        <v>62</v>
      </c>
      <c r="G94">
        <v>1</v>
      </c>
      <c r="H94">
        <v>1</v>
      </c>
      <c r="I94">
        <v>4750</v>
      </c>
      <c r="J94">
        <v>4275</v>
      </c>
      <c r="K94">
        <v>0</v>
      </c>
      <c r="L94">
        <v>4304</v>
      </c>
      <c r="M94">
        <v>29</v>
      </c>
      <c r="N94" t="s">
        <v>63</v>
      </c>
      <c r="O94" s="2">
        <v>45938.773969907408</v>
      </c>
      <c r="P94" s="2">
        <v>45940.731828703705</v>
      </c>
      <c r="Q94" s="2">
        <v>45947.807916666665</v>
      </c>
      <c r="R94" t="s">
        <v>668</v>
      </c>
      <c r="S94" t="s">
        <v>161</v>
      </c>
      <c r="T94" s="2">
        <v>45939.786874999998</v>
      </c>
      <c r="U94" t="s">
        <v>66</v>
      </c>
      <c r="V94" t="s">
        <v>67</v>
      </c>
      <c r="W94" t="s">
        <v>66</v>
      </c>
      <c r="X94" t="s">
        <v>66</v>
      </c>
      <c r="Y94" t="s">
        <v>669</v>
      </c>
      <c r="Z94" t="s">
        <v>69</v>
      </c>
      <c r="AA94" t="s">
        <v>70</v>
      </c>
      <c r="AB94" t="s">
        <v>66</v>
      </c>
      <c r="AC94" t="s">
        <v>66</v>
      </c>
      <c r="AD94" s="2">
        <v>45958.292604166665</v>
      </c>
      <c r="AE94" t="s">
        <v>71</v>
      </c>
      <c r="AF94" t="s">
        <v>66</v>
      </c>
      <c r="AG94" t="s">
        <v>670</v>
      </c>
      <c r="AH94" t="s">
        <v>383</v>
      </c>
      <c r="AI94">
        <v>484334</v>
      </c>
      <c r="AJ94" t="s">
        <v>74</v>
      </c>
      <c r="AK94" t="s">
        <v>75</v>
      </c>
      <c r="AL94">
        <v>62042300</v>
      </c>
      <c r="AM94" s="2"/>
      <c r="AN94">
        <v>4275</v>
      </c>
      <c r="AO94" t="s">
        <v>671</v>
      </c>
      <c r="AP94" t="s">
        <v>66</v>
      </c>
      <c r="AQ94" t="s">
        <v>66</v>
      </c>
      <c r="AR94" t="s">
        <v>71</v>
      </c>
      <c r="AS94">
        <v>18</v>
      </c>
      <c r="AT94">
        <v>0</v>
      </c>
      <c r="AU94">
        <v>0</v>
      </c>
      <c r="AV94">
        <v>18</v>
      </c>
      <c r="AW94">
        <v>652.11900000000003</v>
      </c>
      <c r="AX94">
        <v>0</v>
      </c>
      <c r="AY94">
        <v>0</v>
      </c>
      <c r="AZ94">
        <v>652.11900000000003</v>
      </c>
      <c r="BA94" s="2"/>
      <c r="BB94">
        <v>0.85</v>
      </c>
      <c r="BC94" s="2">
        <v>45941.5</v>
      </c>
      <c r="BD94" s="1">
        <f>MarketPlace_Order_Report__2[[#This Row],[UnitPrice]]*MarketPlace_Order_Report__2[[#This Row],[OrderQty]]</f>
        <v>4275</v>
      </c>
      <c r="BE94" s="1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94" s="1">
        <f>MarketPlace_Order_Report__2[[#This Row],[Gross Amount (Before Tax)]]+MarketPlace_Order_Report__2[[#This Row],[Total GST Amount]]</f>
        <v>4927.1189999999997</v>
      </c>
    </row>
    <row r="95" spans="1:58">
      <c r="A95" t="s">
        <v>672</v>
      </c>
      <c r="B95" t="s">
        <v>673</v>
      </c>
      <c r="C95" t="s">
        <v>674</v>
      </c>
      <c r="D95" t="s">
        <v>675</v>
      </c>
      <c r="E95">
        <v>1</v>
      </c>
      <c r="F95" t="s">
        <v>1806</v>
      </c>
      <c r="G95">
        <v>1</v>
      </c>
      <c r="H95">
        <v>1</v>
      </c>
      <c r="I95">
        <v>4000</v>
      </c>
      <c r="J95">
        <v>3600</v>
      </c>
      <c r="K95">
        <v>0</v>
      </c>
      <c r="L95">
        <v>3649</v>
      </c>
      <c r="M95">
        <v>49</v>
      </c>
      <c r="N95" t="s">
        <v>99</v>
      </c>
      <c r="O95" s="2">
        <v>45945.350729166668</v>
      </c>
      <c r="P95" s="2">
        <v>45946.732430555552</v>
      </c>
      <c r="Q95" s="2">
        <v>45952.811631944445</v>
      </c>
      <c r="R95" t="s">
        <v>676</v>
      </c>
      <c r="S95" t="s">
        <v>65</v>
      </c>
      <c r="T95" s="2">
        <v>45945.79928240741</v>
      </c>
      <c r="U95" t="s">
        <v>66</v>
      </c>
      <c r="V95" t="s">
        <v>67</v>
      </c>
      <c r="W95" t="s">
        <v>66</v>
      </c>
      <c r="X95" t="s">
        <v>66</v>
      </c>
      <c r="Y95" t="s">
        <v>66</v>
      </c>
      <c r="Z95" t="s">
        <v>66</v>
      </c>
      <c r="AA95" t="s">
        <v>66</v>
      </c>
      <c r="AB95" t="s">
        <v>66</v>
      </c>
      <c r="AC95" t="s">
        <v>66</v>
      </c>
      <c r="AD95" s="2">
        <v>45952.813310185185</v>
      </c>
      <c r="AE95" t="s">
        <v>71</v>
      </c>
      <c r="AF95" t="s">
        <v>66</v>
      </c>
      <c r="AG95" t="s">
        <v>617</v>
      </c>
      <c r="AH95" t="s">
        <v>279</v>
      </c>
      <c r="AI95">
        <v>140603</v>
      </c>
      <c r="AJ95" t="s">
        <v>74</v>
      </c>
      <c r="AK95" t="s">
        <v>75</v>
      </c>
      <c r="AL95">
        <v>62044220</v>
      </c>
      <c r="AM95" s="2"/>
      <c r="AN95">
        <v>3600</v>
      </c>
      <c r="AO95" t="s">
        <v>677</v>
      </c>
      <c r="AP95" t="s">
        <v>132</v>
      </c>
      <c r="AQ95" t="s">
        <v>66</v>
      </c>
      <c r="AR95" t="s">
        <v>71</v>
      </c>
      <c r="AS95">
        <v>18</v>
      </c>
      <c r="AT95">
        <v>0</v>
      </c>
      <c r="AU95">
        <v>0</v>
      </c>
      <c r="AV95">
        <v>18</v>
      </c>
      <c r="AW95">
        <v>549.15300000000002</v>
      </c>
      <c r="AX95">
        <v>0</v>
      </c>
      <c r="AY95">
        <v>0</v>
      </c>
      <c r="AZ95">
        <v>549.15300000000002</v>
      </c>
      <c r="BA95" s="2"/>
      <c r="BB95">
        <v>0.85</v>
      </c>
      <c r="BC95" s="2">
        <v>45947.5</v>
      </c>
      <c r="BD95" s="1">
        <f>MarketPlace_Order_Report__2[[#This Row],[UnitPrice]]*MarketPlace_Order_Report__2[[#This Row],[OrderQty]]</f>
        <v>3600</v>
      </c>
      <c r="BE95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95" s="1">
        <f>MarketPlace_Order_Report__2[[#This Row],[Gross Amount (Before Tax)]]+MarketPlace_Order_Report__2[[#This Row],[Total GST Amount]]</f>
        <v>4149.1530000000002</v>
      </c>
    </row>
    <row r="96" spans="1:58">
      <c r="A96" t="s">
        <v>678</v>
      </c>
      <c r="B96" t="s">
        <v>679</v>
      </c>
      <c r="C96" t="s">
        <v>680</v>
      </c>
      <c r="D96" t="s">
        <v>681</v>
      </c>
      <c r="E96">
        <v>1</v>
      </c>
      <c r="F96" t="s">
        <v>1806</v>
      </c>
      <c r="G96">
        <v>1</v>
      </c>
      <c r="H96">
        <v>1</v>
      </c>
      <c r="I96">
        <v>4000</v>
      </c>
      <c r="J96">
        <v>3600</v>
      </c>
      <c r="K96">
        <v>0</v>
      </c>
      <c r="L96">
        <v>3649</v>
      </c>
      <c r="M96">
        <v>49</v>
      </c>
      <c r="N96" t="s">
        <v>99</v>
      </c>
      <c r="O96" s="2">
        <v>45935.833240740743</v>
      </c>
      <c r="P96" s="2">
        <v>45937.619120370371</v>
      </c>
      <c r="Q96" s="2">
        <v>45944.752314814818</v>
      </c>
      <c r="R96" t="s">
        <v>682</v>
      </c>
      <c r="S96" t="s">
        <v>89</v>
      </c>
      <c r="T96" s="2">
        <v>45936.813321759262</v>
      </c>
      <c r="U96" t="s">
        <v>66</v>
      </c>
      <c r="V96" t="s">
        <v>67</v>
      </c>
      <c r="W96" t="s">
        <v>66</v>
      </c>
      <c r="X96" t="s">
        <v>66</v>
      </c>
      <c r="Y96" t="s">
        <v>66</v>
      </c>
      <c r="Z96" t="s">
        <v>66</v>
      </c>
      <c r="AA96" t="s">
        <v>66</v>
      </c>
      <c r="AB96" t="s">
        <v>66</v>
      </c>
      <c r="AC96" t="s">
        <v>66</v>
      </c>
      <c r="AD96" s="2">
        <v>45944.754386574074</v>
      </c>
      <c r="AE96" t="s">
        <v>71</v>
      </c>
      <c r="AF96" t="s">
        <v>66</v>
      </c>
      <c r="AG96" t="s">
        <v>457</v>
      </c>
      <c r="AH96" t="s">
        <v>139</v>
      </c>
      <c r="AI96">
        <v>201014</v>
      </c>
      <c r="AJ96" t="s">
        <v>74</v>
      </c>
      <c r="AK96" t="s">
        <v>75</v>
      </c>
      <c r="AL96">
        <v>62044220</v>
      </c>
      <c r="AM96" s="2"/>
      <c r="AN96">
        <v>3600</v>
      </c>
      <c r="AO96" t="s">
        <v>683</v>
      </c>
      <c r="AP96" t="s">
        <v>132</v>
      </c>
      <c r="AQ96" t="s">
        <v>66</v>
      </c>
      <c r="AR96" t="s">
        <v>71</v>
      </c>
      <c r="AS96">
        <v>18</v>
      </c>
      <c r="AT96">
        <v>0</v>
      </c>
      <c r="AU96">
        <v>0</v>
      </c>
      <c r="AV96">
        <v>18</v>
      </c>
      <c r="AW96">
        <v>549.15300000000002</v>
      </c>
      <c r="AX96">
        <v>0</v>
      </c>
      <c r="AY96">
        <v>0</v>
      </c>
      <c r="AZ96">
        <v>549.15300000000002</v>
      </c>
      <c r="BA96" s="2"/>
      <c r="BB96">
        <v>0.85</v>
      </c>
      <c r="BC96" s="2">
        <v>45938.5</v>
      </c>
      <c r="BD96" s="1">
        <f>MarketPlace_Order_Report__2[[#This Row],[UnitPrice]]*MarketPlace_Order_Report__2[[#This Row],[OrderQty]]</f>
        <v>3600</v>
      </c>
      <c r="BE96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96" s="1">
        <f>MarketPlace_Order_Report__2[[#This Row],[Gross Amount (Before Tax)]]+MarketPlace_Order_Report__2[[#This Row],[Total GST Amount]]</f>
        <v>4149.1530000000002</v>
      </c>
    </row>
    <row r="97" spans="1:58">
      <c r="A97" t="s">
        <v>684</v>
      </c>
      <c r="B97" t="s">
        <v>685</v>
      </c>
      <c r="C97" t="s">
        <v>686</v>
      </c>
      <c r="D97" t="s">
        <v>687</v>
      </c>
      <c r="E97">
        <v>1</v>
      </c>
      <c r="F97" t="s">
        <v>1806</v>
      </c>
      <c r="G97">
        <v>1</v>
      </c>
      <c r="H97">
        <v>1</v>
      </c>
      <c r="I97">
        <v>3750</v>
      </c>
      <c r="J97">
        <v>3563</v>
      </c>
      <c r="K97">
        <v>0</v>
      </c>
      <c r="L97">
        <v>3583</v>
      </c>
      <c r="M97">
        <v>20</v>
      </c>
      <c r="N97" t="s">
        <v>99</v>
      </c>
      <c r="O97" s="2">
        <v>45950.098726851851</v>
      </c>
      <c r="P97" s="2">
        <v>45954.731400462966</v>
      </c>
      <c r="Q97" s="2">
        <v>45961.519849537035</v>
      </c>
      <c r="R97" t="s">
        <v>688</v>
      </c>
      <c r="S97" t="s">
        <v>65</v>
      </c>
      <c r="T97" s="2">
        <v>45954.500509259262</v>
      </c>
      <c r="U97" t="s">
        <v>66</v>
      </c>
      <c r="V97" t="s">
        <v>67</v>
      </c>
      <c r="W97" t="s">
        <v>66</v>
      </c>
      <c r="X97" t="s">
        <v>66</v>
      </c>
      <c r="Y97" t="s">
        <v>66</v>
      </c>
      <c r="Z97" t="s">
        <v>66</v>
      </c>
      <c r="AA97" t="s">
        <v>66</v>
      </c>
      <c r="AB97" t="s">
        <v>66</v>
      </c>
      <c r="AC97" t="s">
        <v>66</v>
      </c>
      <c r="AD97" s="2">
        <v>45961.521782407406</v>
      </c>
      <c r="AE97" t="s">
        <v>71</v>
      </c>
      <c r="AF97" t="s">
        <v>66</v>
      </c>
      <c r="AG97" t="s">
        <v>346</v>
      </c>
      <c r="AH97" t="s">
        <v>139</v>
      </c>
      <c r="AI97">
        <v>284003</v>
      </c>
      <c r="AJ97" t="s">
        <v>74</v>
      </c>
      <c r="AK97" t="s">
        <v>75</v>
      </c>
      <c r="AL97">
        <v>62044220</v>
      </c>
      <c r="AM97" s="2"/>
      <c r="AN97">
        <v>3563</v>
      </c>
      <c r="AO97" t="s">
        <v>689</v>
      </c>
      <c r="AP97" t="s">
        <v>66</v>
      </c>
      <c r="AQ97" t="s">
        <v>66</v>
      </c>
      <c r="AR97" t="s">
        <v>71</v>
      </c>
      <c r="AS97">
        <v>18</v>
      </c>
      <c r="AT97">
        <v>0</v>
      </c>
      <c r="AU97">
        <v>0</v>
      </c>
      <c r="AV97">
        <v>18</v>
      </c>
      <c r="AW97">
        <v>543.50800000000004</v>
      </c>
      <c r="AX97">
        <v>0</v>
      </c>
      <c r="AY97">
        <v>0</v>
      </c>
      <c r="AZ97">
        <v>543.50800000000004</v>
      </c>
      <c r="BA97" s="2"/>
      <c r="BB97">
        <v>0.85</v>
      </c>
      <c r="BC97" s="2">
        <v>45952.5</v>
      </c>
      <c r="BD97" s="1">
        <f>MarketPlace_Order_Report__2[[#This Row],[UnitPrice]]*MarketPlace_Order_Report__2[[#This Row],[OrderQty]]</f>
        <v>3563</v>
      </c>
      <c r="BE97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97" s="1">
        <f>MarketPlace_Order_Report__2[[#This Row],[Gross Amount (Before Tax)]]+MarketPlace_Order_Report__2[[#This Row],[Total GST Amount]]</f>
        <v>4106.5079999999998</v>
      </c>
    </row>
    <row r="98" spans="1:58">
      <c r="A98" t="s">
        <v>94</v>
      </c>
      <c r="B98" t="s">
        <v>95</v>
      </c>
      <c r="C98" t="s">
        <v>690</v>
      </c>
      <c r="D98" t="s">
        <v>691</v>
      </c>
      <c r="E98">
        <v>1</v>
      </c>
      <c r="F98" t="s">
        <v>98</v>
      </c>
      <c r="G98">
        <v>1</v>
      </c>
      <c r="H98">
        <v>0</v>
      </c>
      <c r="I98">
        <v>3750</v>
      </c>
      <c r="J98">
        <v>3563</v>
      </c>
      <c r="K98">
        <v>0</v>
      </c>
      <c r="L98">
        <v>3587.373</v>
      </c>
      <c r="M98">
        <v>24.373000000000001</v>
      </c>
      <c r="N98" t="s">
        <v>99</v>
      </c>
      <c r="O98" s="2">
        <v>45959.998020833336</v>
      </c>
      <c r="P98" s="2"/>
      <c r="Q98" s="2"/>
      <c r="R98" t="s">
        <v>100</v>
      </c>
      <c r="S98" t="s">
        <v>65</v>
      </c>
      <c r="T98" s="2">
        <v>45961.517905092594</v>
      </c>
      <c r="U98" t="s">
        <v>66</v>
      </c>
      <c r="V98" t="s">
        <v>67</v>
      </c>
      <c r="W98" t="s">
        <v>66</v>
      </c>
      <c r="X98" t="s">
        <v>66</v>
      </c>
      <c r="Y98" t="s">
        <v>66</v>
      </c>
      <c r="Z98" t="s">
        <v>66</v>
      </c>
      <c r="AA98" t="s">
        <v>66</v>
      </c>
      <c r="AB98" t="s">
        <v>66</v>
      </c>
      <c r="AC98" t="s">
        <v>66</v>
      </c>
      <c r="AD98" s="2">
        <v>45961.517916666664</v>
      </c>
      <c r="AE98" t="s">
        <v>71</v>
      </c>
      <c r="AF98" t="s">
        <v>66</v>
      </c>
      <c r="AG98" t="s">
        <v>101</v>
      </c>
      <c r="AH98" t="s">
        <v>73</v>
      </c>
      <c r="AI98">
        <v>303702</v>
      </c>
      <c r="AJ98" t="s">
        <v>74</v>
      </c>
      <c r="AK98" t="s">
        <v>75</v>
      </c>
      <c r="AL98">
        <v>62044220</v>
      </c>
      <c r="AM98" s="2"/>
      <c r="AN98">
        <v>3563</v>
      </c>
      <c r="AO98" t="s">
        <v>102</v>
      </c>
      <c r="AP98" t="s">
        <v>66</v>
      </c>
      <c r="AQ98" t="s">
        <v>66</v>
      </c>
      <c r="AR98" t="s">
        <v>71</v>
      </c>
      <c r="AS98">
        <v>18</v>
      </c>
      <c r="AT98">
        <v>0</v>
      </c>
      <c r="AU98">
        <v>0</v>
      </c>
      <c r="AV98">
        <v>18</v>
      </c>
      <c r="AW98">
        <v>543.50800000000004</v>
      </c>
      <c r="AX98">
        <v>0</v>
      </c>
      <c r="AY98">
        <v>0</v>
      </c>
      <c r="AZ98">
        <v>543.50800000000004</v>
      </c>
      <c r="BA98" s="2"/>
      <c r="BB98">
        <v>1</v>
      </c>
      <c r="BC98" s="2">
        <v>45962.5</v>
      </c>
      <c r="BD98" s="1">
        <f>MarketPlace_Order_Report__2[[#This Row],[UnitPrice]]*MarketPlace_Order_Report__2[[#This Row],[OrderQty]]</f>
        <v>3563</v>
      </c>
      <c r="BE98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98" s="1">
        <f>MarketPlace_Order_Report__2[[#This Row],[Gross Amount (Before Tax)]]+MarketPlace_Order_Report__2[[#This Row],[Total GST Amount]]</f>
        <v>4106.5079999999998</v>
      </c>
    </row>
    <row r="99" spans="1:58">
      <c r="A99" t="s">
        <v>692</v>
      </c>
      <c r="B99" t="s">
        <v>693</v>
      </c>
      <c r="C99" t="s">
        <v>690</v>
      </c>
      <c r="D99" t="s">
        <v>691</v>
      </c>
      <c r="E99">
        <v>1</v>
      </c>
      <c r="F99" t="s">
        <v>1806</v>
      </c>
      <c r="G99">
        <v>1</v>
      </c>
      <c r="H99">
        <v>1</v>
      </c>
      <c r="I99">
        <v>3750</v>
      </c>
      <c r="J99">
        <v>3563</v>
      </c>
      <c r="K99">
        <v>0</v>
      </c>
      <c r="L99">
        <v>3583</v>
      </c>
      <c r="M99">
        <v>20</v>
      </c>
      <c r="N99" t="s">
        <v>99</v>
      </c>
      <c r="O99" s="2">
        <v>45950.633067129631</v>
      </c>
      <c r="P99" s="2">
        <v>45954.731192129628</v>
      </c>
      <c r="Q99" s="2">
        <v>45957.576956018522</v>
      </c>
      <c r="R99" t="s">
        <v>694</v>
      </c>
      <c r="S99" t="s">
        <v>65</v>
      </c>
      <c r="T99" s="2">
        <v>45954.500509259262</v>
      </c>
      <c r="U99" t="s">
        <v>66</v>
      </c>
      <c r="V99" t="s">
        <v>67</v>
      </c>
      <c r="W99" t="s">
        <v>66</v>
      </c>
      <c r="X99" t="s">
        <v>66</v>
      </c>
      <c r="Y99" t="s">
        <v>66</v>
      </c>
      <c r="Z99" t="s">
        <v>66</v>
      </c>
      <c r="AA99" t="s">
        <v>66</v>
      </c>
      <c r="AB99" t="s">
        <v>66</v>
      </c>
      <c r="AC99" t="s">
        <v>66</v>
      </c>
      <c r="AD99" s="2">
        <v>45957.577245370368</v>
      </c>
      <c r="AE99" t="s">
        <v>71</v>
      </c>
      <c r="AF99" t="s">
        <v>66</v>
      </c>
      <c r="AG99" t="s">
        <v>695</v>
      </c>
      <c r="AH99" t="s">
        <v>139</v>
      </c>
      <c r="AI99">
        <v>273403</v>
      </c>
      <c r="AJ99" t="s">
        <v>74</v>
      </c>
      <c r="AK99" t="s">
        <v>75</v>
      </c>
      <c r="AL99">
        <v>62044220</v>
      </c>
      <c r="AM99" s="2"/>
      <c r="AN99">
        <v>3563</v>
      </c>
      <c r="AO99" t="s">
        <v>696</v>
      </c>
      <c r="AP99" t="s">
        <v>66</v>
      </c>
      <c r="AQ99" t="s">
        <v>66</v>
      </c>
      <c r="AR99" t="s">
        <v>71</v>
      </c>
      <c r="AS99">
        <v>18</v>
      </c>
      <c r="AT99">
        <v>0</v>
      </c>
      <c r="AU99">
        <v>0</v>
      </c>
      <c r="AV99">
        <v>18</v>
      </c>
      <c r="AW99">
        <v>543.50800000000004</v>
      </c>
      <c r="AX99">
        <v>0</v>
      </c>
      <c r="AY99">
        <v>0</v>
      </c>
      <c r="AZ99">
        <v>543.50800000000004</v>
      </c>
      <c r="BA99" s="2"/>
      <c r="BB99">
        <v>0.75</v>
      </c>
      <c r="BC99" s="2">
        <v>45953.5</v>
      </c>
      <c r="BD99" s="1">
        <f>MarketPlace_Order_Report__2[[#This Row],[UnitPrice]]*MarketPlace_Order_Report__2[[#This Row],[OrderQty]]</f>
        <v>3563</v>
      </c>
      <c r="BE99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99" s="1">
        <f>MarketPlace_Order_Report__2[[#This Row],[Gross Amount (Before Tax)]]+MarketPlace_Order_Report__2[[#This Row],[Total GST Amount]]</f>
        <v>4106.5079999999998</v>
      </c>
    </row>
    <row r="100" spans="1:58">
      <c r="A100" t="s">
        <v>697</v>
      </c>
      <c r="B100" t="s">
        <v>698</v>
      </c>
      <c r="C100" t="s">
        <v>699</v>
      </c>
      <c r="D100" t="s">
        <v>700</v>
      </c>
      <c r="E100">
        <v>1</v>
      </c>
      <c r="F100" t="s">
        <v>1806</v>
      </c>
      <c r="G100">
        <v>1</v>
      </c>
      <c r="H100">
        <v>1</v>
      </c>
      <c r="I100">
        <v>3750</v>
      </c>
      <c r="J100">
        <v>3563</v>
      </c>
      <c r="K100">
        <v>0</v>
      </c>
      <c r="L100">
        <v>3587.5</v>
      </c>
      <c r="M100">
        <v>24.5</v>
      </c>
      <c r="N100" t="s">
        <v>99</v>
      </c>
      <c r="O100" s="2">
        <v>45935.6637962963</v>
      </c>
      <c r="P100" s="2">
        <v>45936.718564814815</v>
      </c>
      <c r="Q100" s="2">
        <v>45944.823495370372</v>
      </c>
      <c r="R100" t="s">
        <v>701</v>
      </c>
      <c r="S100" t="s">
        <v>65</v>
      </c>
      <c r="T100" s="2">
        <v>45935.742905092593</v>
      </c>
      <c r="U100" t="s">
        <v>66</v>
      </c>
      <c r="V100" t="s">
        <v>67</v>
      </c>
      <c r="W100" t="s">
        <v>66</v>
      </c>
      <c r="X100" t="s">
        <v>66</v>
      </c>
      <c r="Y100" t="s">
        <v>66</v>
      </c>
      <c r="Z100" t="s">
        <v>66</v>
      </c>
      <c r="AA100" t="s">
        <v>66</v>
      </c>
      <c r="AB100" t="s">
        <v>66</v>
      </c>
      <c r="AC100" t="s">
        <v>66</v>
      </c>
      <c r="AD100" s="2">
        <v>45944.823773148149</v>
      </c>
      <c r="AE100" t="s">
        <v>71</v>
      </c>
      <c r="AF100" t="s">
        <v>66</v>
      </c>
      <c r="AG100" t="s">
        <v>602</v>
      </c>
      <c r="AH100" t="s">
        <v>603</v>
      </c>
      <c r="AI100">
        <v>781005</v>
      </c>
      <c r="AJ100" t="s">
        <v>74</v>
      </c>
      <c r="AK100" t="s">
        <v>75</v>
      </c>
      <c r="AL100">
        <v>62044220</v>
      </c>
      <c r="AM100" s="2"/>
      <c r="AN100">
        <v>3563</v>
      </c>
      <c r="AO100" t="s">
        <v>702</v>
      </c>
      <c r="AP100" t="s">
        <v>66</v>
      </c>
      <c r="AQ100" t="s">
        <v>66</v>
      </c>
      <c r="AR100" t="s">
        <v>71</v>
      </c>
      <c r="AS100">
        <v>18</v>
      </c>
      <c r="AT100">
        <v>0</v>
      </c>
      <c r="AU100">
        <v>0</v>
      </c>
      <c r="AV100">
        <v>18</v>
      </c>
      <c r="AW100">
        <v>543.50800000000004</v>
      </c>
      <c r="AX100">
        <v>0</v>
      </c>
      <c r="AY100">
        <v>0</v>
      </c>
      <c r="AZ100">
        <v>543.50800000000004</v>
      </c>
      <c r="BA100" s="2"/>
      <c r="BB100">
        <v>1</v>
      </c>
      <c r="BC100" s="2">
        <v>45938.5</v>
      </c>
      <c r="BD100" s="1">
        <f>MarketPlace_Order_Report__2[[#This Row],[UnitPrice]]*MarketPlace_Order_Report__2[[#This Row],[OrderQty]]</f>
        <v>3563</v>
      </c>
      <c r="BE100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00" s="1">
        <f>MarketPlace_Order_Report__2[[#This Row],[Gross Amount (Before Tax)]]+MarketPlace_Order_Report__2[[#This Row],[Total GST Amount]]</f>
        <v>4106.5079999999998</v>
      </c>
    </row>
    <row r="101" spans="1:58">
      <c r="A101" t="s">
        <v>703</v>
      </c>
      <c r="B101" t="s">
        <v>704</v>
      </c>
      <c r="C101" t="s">
        <v>705</v>
      </c>
      <c r="D101" t="s">
        <v>706</v>
      </c>
      <c r="E101">
        <v>2</v>
      </c>
      <c r="F101" t="s">
        <v>1806</v>
      </c>
      <c r="G101">
        <v>1</v>
      </c>
      <c r="H101">
        <v>1</v>
      </c>
      <c r="I101">
        <v>3750</v>
      </c>
      <c r="J101">
        <v>3563</v>
      </c>
      <c r="K101">
        <v>0</v>
      </c>
      <c r="L101">
        <v>3571.15</v>
      </c>
      <c r="M101">
        <v>8.15</v>
      </c>
      <c r="N101" t="s">
        <v>99</v>
      </c>
      <c r="O101" s="2">
        <v>45936.709178240744</v>
      </c>
      <c r="P101" s="2">
        <v>45937.725439814814</v>
      </c>
      <c r="Q101" s="2">
        <v>45944.558981481481</v>
      </c>
      <c r="R101" t="s">
        <v>707</v>
      </c>
      <c r="S101" t="s">
        <v>65</v>
      </c>
      <c r="T101" s="2">
        <v>45936.813321759262</v>
      </c>
      <c r="U101" t="s">
        <v>66</v>
      </c>
      <c r="V101" t="s">
        <v>67</v>
      </c>
      <c r="W101" t="s">
        <v>66</v>
      </c>
      <c r="X101" t="s">
        <v>66</v>
      </c>
      <c r="Y101" t="s">
        <v>66</v>
      </c>
      <c r="Z101" t="s">
        <v>66</v>
      </c>
      <c r="AA101" t="s">
        <v>66</v>
      </c>
      <c r="AB101" t="s">
        <v>66</v>
      </c>
      <c r="AC101" t="s">
        <v>66</v>
      </c>
      <c r="AD101" s="2">
        <v>45944.559861111113</v>
      </c>
      <c r="AE101" t="s">
        <v>71</v>
      </c>
      <c r="AF101" t="s">
        <v>66</v>
      </c>
      <c r="AG101" t="s">
        <v>708</v>
      </c>
      <c r="AH101" t="s">
        <v>169</v>
      </c>
      <c r="AI101">
        <v>824101</v>
      </c>
      <c r="AJ101" t="s">
        <v>74</v>
      </c>
      <c r="AK101" t="s">
        <v>75</v>
      </c>
      <c r="AL101">
        <v>62044220</v>
      </c>
      <c r="AM101" s="2"/>
      <c r="AN101">
        <v>3563</v>
      </c>
      <c r="AO101" t="s">
        <v>709</v>
      </c>
      <c r="AP101" t="s">
        <v>66</v>
      </c>
      <c r="AQ101" t="s">
        <v>66</v>
      </c>
      <c r="AR101" t="s">
        <v>71</v>
      </c>
      <c r="AS101">
        <v>18</v>
      </c>
      <c r="AT101">
        <v>0</v>
      </c>
      <c r="AU101">
        <v>0</v>
      </c>
      <c r="AV101">
        <v>18</v>
      </c>
      <c r="AW101">
        <v>543.50800000000004</v>
      </c>
      <c r="AX101">
        <v>0</v>
      </c>
      <c r="AY101">
        <v>0</v>
      </c>
      <c r="AZ101">
        <v>543.50800000000004</v>
      </c>
      <c r="BA101" s="2"/>
      <c r="BB101">
        <v>0.75</v>
      </c>
      <c r="BC101" s="2">
        <v>45939.5</v>
      </c>
      <c r="BD101" s="1">
        <f>MarketPlace_Order_Report__2[[#This Row],[UnitPrice]]*MarketPlace_Order_Report__2[[#This Row],[OrderQty]]</f>
        <v>3563</v>
      </c>
      <c r="BE101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01" s="1">
        <f>MarketPlace_Order_Report__2[[#This Row],[Gross Amount (Before Tax)]]+MarketPlace_Order_Report__2[[#This Row],[Total GST Amount]]</f>
        <v>4106.5079999999998</v>
      </c>
    </row>
    <row r="102" spans="1:58">
      <c r="A102" t="s">
        <v>710</v>
      </c>
      <c r="B102" t="s">
        <v>711</v>
      </c>
      <c r="C102" t="s">
        <v>712</v>
      </c>
      <c r="D102" t="s">
        <v>713</v>
      </c>
      <c r="E102">
        <v>1</v>
      </c>
      <c r="F102" t="s">
        <v>1806</v>
      </c>
      <c r="G102">
        <v>1</v>
      </c>
      <c r="H102">
        <v>1</v>
      </c>
      <c r="I102">
        <v>3750</v>
      </c>
      <c r="J102">
        <v>3563</v>
      </c>
      <c r="K102">
        <v>0</v>
      </c>
      <c r="L102">
        <v>3592</v>
      </c>
      <c r="M102">
        <v>29</v>
      </c>
      <c r="N102" t="s">
        <v>63</v>
      </c>
      <c r="O102" s="2">
        <v>45953.003923611112</v>
      </c>
      <c r="P102" s="2">
        <v>45954.731122685182</v>
      </c>
      <c r="Q102" s="2">
        <v>45958.40047453704</v>
      </c>
      <c r="R102" t="s">
        <v>714</v>
      </c>
      <c r="S102" t="s">
        <v>65</v>
      </c>
      <c r="T102" s="2">
        <v>45954.500509259262</v>
      </c>
      <c r="U102" t="s">
        <v>66</v>
      </c>
      <c r="V102" t="s">
        <v>67</v>
      </c>
      <c r="W102" t="s">
        <v>66</v>
      </c>
      <c r="X102" t="s">
        <v>66</v>
      </c>
      <c r="Y102" t="s">
        <v>66</v>
      </c>
      <c r="Z102" t="s">
        <v>66</v>
      </c>
      <c r="AA102" t="s">
        <v>66</v>
      </c>
      <c r="AB102" t="s">
        <v>66</v>
      </c>
      <c r="AC102" t="s">
        <v>66</v>
      </c>
      <c r="AD102" s="2">
        <v>45958.403634259259</v>
      </c>
      <c r="AE102" t="s">
        <v>71</v>
      </c>
      <c r="AF102" t="s">
        <v>66</v>
      </c>
      <c r="AG102" t="s">
        <v>278</v>
      </c>
      <c r="AH102" t="s">
        <v>279</v>
      </c>
      <c r="AI102">
        <v>151001</v>
      </c>
      <c r="AJ102" t="s">
        <v>74</v>
      </c>
      <c r="AK102" t="s">
        <v>75</v>
      </c>
      <c r="AL102">
        <v>62044220</v>
      </c>
      <c r="AM102" s="2"/>
      <c r="AN102">
        <v>3563</v>
      </c>
      <c r="AO102" t="s">
        <v>715</v>
      </c>
      <c r="AP102" t="s">
        <v>125</v>
      </c>
      <c r="AQ102" t="s">
        <v>66</v>
      </c>
      <c r="AR102" t="s">
        <v>71</v>
      </c>
      <c r="AS102">
        <v>18</v>
      </c>
      <c r="AT102">
        <v>0</v>
      </c>
      <c r="AU102">
        <v>0</v>
      </c>
      <c r="AV102">
        <v>18</v>
      </c>
      <c r="AW102">
        <v>543.50800000000004</v>
      </c>
      <c r="AX102">
        <v>0</v>
      </c>
      <c r="AY102">
        <v>0</v>
      </c>
      <c r="AZ102">
        <v>543.50800000000004</v>
      </c>
      <c r="BA102" s="2"/>
      <c r="BB102">
        <v>0.75</v>
      </c>
      <c r="BC102" s="2">
        <v>45955.5</v>
      </c>
      <c r="BD102" s="1">
        <f>MarketPlace_Order_Report__2[[#This Row],[UnitPrice]]*MarketPlace_Order_Report__2[[#This Row],[OrderQty]]</f>
        <v>3563</v>
      </c>
      <c r="BE102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02" s="1">
        <f>MarketPlace_Order_Report__2[[#This Row],[Gross Amount (Before Tax)]]+MarketPlace_Order_Report__2[[#This Row],[Total GST Amount]]</f>
        <v>4106.5079999999998</v>
      </c>
    </row>
    <row r="103" spans="1:58">
      <c r="A103" t="s">
        <v>716</v>
      </c>
      <c r="B103" t="s">
        <v>717</v>
      </c>
      <c r="C103" t="s">
        <v>712</v>
      </c>
      <c r="D103" t="s">
        <v>713</v>
      </c>
      <c r="E103">
        <v>1</v>
      </c>
      <c r="F103" t="s">
        <v>107</v>
      </c>
      <c r="G103">
        <v>1</v>
      </c>
      <c r="H103">
        <v>1</v>
      </c>
      <c r="I103">
        <v>3750</v>
      </c>
      <c r="J103">
        <v>3563</v>
      </c>
      <c r="K103">
        <v>0</v>
      </c>
      <c r="L103">
        <v>3583</v>
      </c>
      <c r="M103">
        <v>20</v>
      </c>
      <c r="N103" t="s">
        <v>99</v>
      </c>
      <c r="O103" s="2">
        <v>45946.922442129631</v>
      </c>
      <c r="P103" s="2">
        <v>45948.728495370371</v>
      </c>
      <c r="Q103" s="2"/>
      <c r="R103" t="s">
        <v>718</v>
      </c>
      <c r="S103" t="s">
        <v>65</v>
      </c>
      <c r="T103" s="2">
        <v>45947.781412037039</v>
      </c>
      <c r="U103" t="s">
        <v>66</v>
      </c>
      <c r="V103" t="s">
        <v>67</v>
      </c>
      <c r="W103" t="s">
        <v>66</v>
      </c>
      <c r="X103" t="s">
        <v>66</v>
      </c>
      <c r="Y103" t="s">
        <v>719</v>
      </c>
      <c r="Z103" t="s">
        <v>231</v>
      </c>
      <c r="AA103" t="s">
        <v>130</v>
      </c>
      <c r="AB103" t="s">
        <v>66</v>
      </c>
      <c r="AC103" t="s">
        <v>66</v>
      </c>
      <c r="AD103" s="2">
        <v>45961.347962962966</v>
      </c>
      <c r="AE103" t="s">
        <v>71</v>
      </c>
      <c r="AF103" t="s">
        <v>66</v>
      </c>
      <c r="AG103" t="s">
        <v>720</v>
      </c>
      <c r="AH103" t="s">
        <v>603</v>
      </c>
      <c r="AI103">
        <v>783380</v>
      </c>
      <c r="AJ103" t="s">
        <v>74</v>
      </c>
      <c r="AK103" t="s">
        <v>75</v>
      </c>
      <c r="AL103">
        <v>62044220</v>
      </c>
      <c r="AM103" s="2"/>
      <c r="AN103">
        <v>3563</v>
      </c>
      <c r="AO103" t="s">
        <v>721</v>
      </c>
      <c r="AP103" t="s">
        <v>66</v>
      </c>
      <c r="AQ103" t="s">
        <v>66</v>
      </c>
      <c r="AR103" t="s">
        <v>71</v>
      </c>
      <c r="AS103">
        <v>18</v>
      </c>
      <c r="AT103">
        <v>0</v>
      </c>
      <c r="AU103">
        <v>0</v>
      </c>
      <c r="AV103">
        <v>18</v>
      </c>
      <c r="AW103">
        <v>543.50800000000004</v>
      </c>
      <c r="AX103">
        <v>0</v>
      </c>
      <c r="AY103">
        <v>0</v>
      </c>
      <c r="AZ103">
        <v>543.50800000000004</v>
      </c>
      <c r="BA103" s="2"/>
      <c r="BB103">
        <v>0.75</v>
      </c>
      <c r="BC103" s="2">
        <v>45949.5</v>
      </c>
      <c r="BD103" s="1">
        <f>MarketPlace_Order_Report__2[[#This Row],[UnitPrice]]*MarketPlace_Order_Report__2[[#This Row],[OrderQty]]</f>
        <v>3563</v>
      </c>
      <c r="BE103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03" s="1">
        <f>MarketPlace_Order_Report__2[[#This Row],[Gross Amount (Before Tax)]]+MarketPlace_Order_Report__2[[#This Row],[Total GST Amount]]</f>
        <v>4106.5079999999998</v>
      </c>
    </row>
    <row r="104" spans="1:58">
      <c r="A104" t="s">
        <v>722</v>
      </c>
      <c r="B104" t="s">
        <v>723</v>
      </c>
      <c r="C104" t="s">
        <v>712</v>
      </c>
      <c r="D104" t="s">
        <v>713</v>
      </c>
      <c r="E104">
        <v>1</v>
      </c>
      <c r="F104" t="s">
        <v>1806</v>
      </c>
      <c r="G104">
        <v>1</v>
      </c>
      <c r="H104">
        <v>1</v>
      </c>
      <c r="I104">
        <v>3750</v>
      </c>
      <c r="J104">
        <v>3563</v>
      </c>
      <c r="K104">
        <v>0</v>
      </c>
      <c r="L104">
        <v>3592</v>
      </c>
      <c r="M104">
        <v>29</v>
      </c>
      <c r="N104" t="s">
        <v>63</v>
      </c>
      <c r="O104" s="2">
        <v>45938.337858796294</v>
      </c>
      <c r="P104" s="2">
        <v>45939.734710648147</v>
      </c>
      <c r="Q104" s="2">
        <v>45942.61378472222</v>
      </c>
      <c r="R104" t="s">
        <v>724</v>
      </c>
      <c r="S104" t="s">
        <v>65</v>
      </c>
      <c r="T104" s="2">
        <v>45938.725810185184</v>
      </c>
      <c r="U104" t="s">
        <v>66</v>
      </c>
      <c r="V104" t="s">
        <v>67</v>
      </c>
      <c r="W104" t="s">
        <v>66</v>
      </c>
      <c r="X104" t="s">
        <v>66</v>
      </c>
      <c r="Y104" t="s">
        <v>66</v>
      </c>
      <c r="Z104" t="s">
        <v>66</v>
      </c>
      <c r="AA104" t="s">
        <v>66</v>
      </c>
      <c r="AB104" t="s">
        <v>66</v>
      </c>
      <c r="AC104" t="s">
        <v>66</v>
      </c>
      <c r="AD104" s="2">
        <v>45942.615486111114</v>
      </c>
      <c r="AE104" t="s">
        <v>71</v>
      </c>
      <c r="AF104" t="s">
        <v>66</v>
      </c>
      <c r="AG104" t="s">
        <v>617</v>
      </c>
      <c r="AH104" t="s">
        <v>279</v>
      </c>
      <c r="AI104">
        <v>140603</v>
      </c>
      <c r="AJ104" t="s">
        <v>74</v>
      </c>
      <c r="AK104" t="s">
        <v>75</v>
      </c>
      <c r="AL104">
        <v>62044220</v>
      </c>
      <c r="AM104" s="2"/>
      <c r="AN104">
        <v>3563</v>
      </c>
      <c r="AO104" t="s">
        <v>725</v>
      </c>
      <c r="AP104" t="s">
        <v>66</v>
      </c>
      <c r="AQ104" t="s">
        <v>66</v>
      </c>
      <c r="AR104" t="s">
        <v>71</v>
      </c>
      <c r="AS104">
        <v>18</v>
      </c>
      <c r="AT104">
        <v>0</v>
      </c>
      <c r="AU104">
        <v>0</v>
      </c>
      <c r="AV104">
        <v>18</v>
      </c>
      <c r="AW104">
        <v>543.50800000000004</v>
      </c>
      <c r="AX104">
        <v>0</v>
      </c>
      <c r="AY104">
        <v>0</v>
      </c>
      <c r="AZ104">
        <v>543.50800000000004</v>
      </c>
      <c r="BA104" s="2"/>
      <c r="BB104">
        <v>0.75</v>
      </c>
      <c r="BC104" s="2">
        <v>45940.5</v>
      </c>
      <c r="BD104" s="1">
        <f>MarketPlace_Order_Report__2[[#This Row],[UnitPrice]]*MarketPlace_Order_Report__2[[#This Row],[OrderQty]]</f>
        <v>3563</v>
      </c>
      <c r="BE104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04" s="1">
        <f>MarketPlace_Order_Report__2[[#This Row],[Gross Amount (Before Tax)]]+MarketPlace_Order_Report__2[[#This Row],[Total GST Amount]]</f>
        <v>4106.5079999999998</v>
      </c>
    </row>
    <row r="105" spans="1:58">
      <c r="A105" t="s">
        <v>726</v>
      </c>
      <c r="B105" t="s">
        <v>727</v>
      </c>
      <c r="C105" t="s">
        <v>728</v>
      </c>
      <c r="D105" t="s">
        <v>729</v>
      </c>
      <c r="E105">
        <v>1</v>
      </c>
      <c r="F105" t="s">
        <v>228</v>
      </c>
      <c r="G105">
        <v>1</v>
      </c>
      <c r="H105">
        <v>1</v>
      </c>
      <c r="I105">
        <v>3750</v>
      </c>
      <c r="J105">
        <v>3563</v>
      </c>
      <c r="K105">
        <v>0</v>
      </c>
      <c r="L105">
        <v>3612</v>
      </c>
      <c r="M105">
        <v>49</v>
      </c>
      <c r="N105" t="s">
        <v>99</v>
      </c>
      <c r="O105" s="2">
        <v>45941.636620370373</v>
      </c>
      <c r="P105" s="2">
        <v>45943.76185185185</v>
      </c>
      <c r="Q105" s="2"/>
      <c r="R105" t="s">
        <v>730</v>
      </c>
      <c r="S105" t="s">
        <v>65</v>
      </c>
      <c r="T105" s="2">
        <v>45941.806620370371</v>
      </c>
      <c r="U105" t="s">
        <v>66</v>
      </c>
      <c r="V105" t="s">
        <v>67</v>
      </c>
      <c r="W105" t="s">
        <v>66</v>
      </c>
      <c r="X105" t="s">
        <v>66</v>
      </c>
      <c r="Y105" t="s">
        <v>731</v>
      </c>
      <c r="Z105" t="s">
        <v>231</v>
      </c>
      <c r="AA105" t="s">
        <v>175</v>
      </c>
      <c r="AB105" t="s">
        <v>66</v>
      </c>
      <c r="AC105" t="s">
        <v>66</v>
      </c>
      <c r="AD105" s="2">
        <v>45957.886099537034</v>
      </c>
      <c r="AE105" t="s">
        <v>71</v>
      </c>
      <c r="AF105" t="s">
        <v>66</v>
      </c>
      <c r="AG105" t="s">
        <v>732</v>
      </c>
      <c r="AH105" t="s">
        <v>169</v>
      </c>
      <c r="AI105">
        <v>852129</v>
      </c>
      <c r="AJ105" t="s">
        <v>74</v>
      </c>
      <c r="AK105" t="s">
        <v>75</v>
      </c>
      <c r="AL105">
        <v>62044220</v>
      </c>
      <c r="AM105" s="2"/>
      <c r="AN105">
        <v>3563</v>
      </c>
      <c r="AO105" t="s">
        <v>733</v>
      </c>
      <c r="AP105" t="s">
        <v>66</v>
      </c>
      <c r="AQ105" t="s">
        <v>66</v>
      </c>
      <c r="AR105" t="s">
        <v>71</v>
      </c>
      <c r="AS105">
        <v>18</v>
      </c>
      <c r="AT105">
        <v>0</v>
      </c>
      <c r="AU105">
        <v>0</v>
      </c>
      <c r="AV105">
        <v>18</v>
      </c>
      <c r="AW105">
        <v>543.50800000000004</v>
      </c>
      <c r="AX105">
        <v>0</v>
      </c>
      <c r="AY105">
        <v>0</v>
      </c>
      <c r="AZ105">
        <v>543.50800000000004</v>
      </c>
      <c r="BA105" s="2"/>
      <c r="BB105">
        <v>0.75</v>
      </c>
      <c r="BC105" s="2">
        <v>45944.5</v>
      </c>
      <c r="BD105" s="1">
        <f>MarketPlace_Order_Report__2[[#This Row],[UnitPrice]]*MarketPlace_Order_Report__2[[#This Row],[OrderQty]]</f>
        <v>3563</v>
      </c>
      <c r="BE105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05" s="1">
        <f>MarketPlace_Order_Report__2[[#This Row],[Gross Amount (Before Tax)]]+MarketPlace_Order_Report__2[[#This Row],[Total GST Amount]]</f>
        <v>4106.5079999999998</v>
      </c>
    </row>
    <row r="106" spans="1:58">
      <c r="A106" t="s">
        <v>734</v>
      </c>
      <c r="B106" t="s">
        <v>735</v>
      </c>
      <c r="C106" t="s">
        <v>728</v>
      </c>
      <c r="D106" t="s">
        <v>729</v>
      </c>
      <c r="E106">
        <v>1</v>
      </c>
      <c r="F106" t="s">
        <v>228</v>
      </c>
      <c r="G106">
        <v>1</v>
      </c>
      <c r="H106">
        <v>1</v>
      </c>
      <c r="I106">
        <v>3750</v>
      </c>
      <c r="J106">
        <v>3563</v>
      </c>
      <c r="K106">
        <v>0</v>
      </c>
      <c r="L106">
        <v>3604.86</v>
      </c>
      <c r="M106">
        <v>41.86</v>
      </c>
      <c r="N106" t="s">
        <v>99</v>
      </c>
      <c r="O106" s="2">
        <v>45937.548703703702</v>
      </c>
      <c r="P106" s="2">
        <v>45938.717546296299</v>
      </c>
      <c r="Q106" s="2"/>
      <c r="R106" t="s">
        <v>736</v>
      </c>
      <c r="S106" t="s">
        <v>65</v>
      </c>
      <c r="T106" s="2">
        <v>45937.717673611114</v>
      </c>
      <c r="U106" t="s">
        <v>66</v>
      </c>
      <c r="V106" t="s">
        <v>67</v>
      </c>
      <c r="W106" t="s">
        <v>66</v>
      </c>
      <c r="X106" t="s">
        <v>66</v>
      </c>
      <c r="Y106" t="s">
        <v>737</v>
      </c>
      <c r="Z106" t="s">
        <v>231</v>
      </c>
      <c r="AA106" t="s">
        <v>175</v>
      </c>
      <c r="AB106" t="s">
        <v>66</v>
      </c>
      <c r="AC106" t="s">
        <v>66</v>
      </c>
      <c r="AD106" s="2">
        <v>45947.861990740741</v>
      </c>
      <c r="AE106" t="s">
        <v>71</v>
      </c>
      <c r="AF106" t="s">
        <v>66</v>
      </c>
      <c r="AG106" t="s">
        <v>457</v>
      </c>
      <c r="AH106" t="s">
        <v>139</v>
      </c>
      <c r="AI106">
        <v>201001</v>
      </c>
      <c r="AJ106" t="s">
        <v>74</v>
      </c>
      <c r="AK106" t="s">
        <v>75</v>
      </c>
      <c r="AL106">
        <v>62044220</v>
      </c>
      <c r="AM106" s="2"/>
      <c r="AN106">
        <v>3563</v>
      </c>
      <c r="AO106" t="s">
        <v>738</v>
      </c>
      <c r="AP106" t="s">
        <v>66</v>
      </c>
      <c r="AQ106" t="s">
        <v>66</v>
      </c>
      <c r="AR106" t="s">
        <v>71</v>
      </c>
      <c r="AS106">
        <v>18</v>
      </c>
      <c r="AT106">
        <v>0</v>
      </c>
      <c r="AU106">
        <v>0</v>
      </c>
      <c r="AV106">
        <v>18</v>
      </c>
      <c r="AW106">
        <v>543.50800000000004</v>
      </c>
      <c r="AX106">
        <v>0</v>
      </c>
      <c r="AY106">
        <v>0</v>
      </c>
      <c r="AZ106">
        <v>543.50800000000004</v>
      </c>
      <c r="BA106" s="2"/>
      <c r="BB106">
        <v>0.75</v>
      </c>
      <c r="BC106" s="2">
        <v>45940.5</v>
      </c>
      <c r="BD106" s="1">
        <f>MarketPlace_Order_Report__2[[#This Row],[UnitPrice]]*MarketPlace_Order_Report__2[[#This Row],[OrderQty]]</f>
        <v>3563</v>
      </c>
      <c r="BE106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06" s="1">
        <f>MarketPlace_Order_Report__2[[#This Row],[Gross Amount (Before Tax)]]+MarketPlace_Order_Report__2[[#This Row],[Total GST Amount]]</f>
        <v>4106.5079999999998</v>
      </c>
    </row>
    <row r="107" spans="1:58">
      <c r="A107" t="s">
        <v>739</v>
      </c>
      <c r="B107" t="s">
        <v>740</v>
      </c>
      <c r="C107" t="s">
        <v>741</v>
      </c>
      <c r="D107" t="s">
        <v>742</v>
      </c>
      <c r="E107">
        <v>3</v>
      </c>
      <c r="F107" t="s">
        <v>62</v>
      </c>
      <c r="G107">
        <v>1</v>
      </c>
      <c r="H107">
        <v>1</v>
      </c>
      <c r="I107">
        <v>3750</v>
      </c>
      <c r="J107">
        <v>3563</v>
      </c>
      <c r="K107">
        <v>0</v>
      </c>
      <c r="L107">
        <v>3596.16</v>
      </c>
      <c r="M107">
        <v>33.159999999999997</v>
      </c>
      <c r="N107" t="s">
        <v>63</v>
      </c>
      <c r="O107" s="2">
        <v>45952.96665509259</v>
      </c>
      <c r="P107" s="2">
        <v>45954.73196759259</v>
      </c>
      <c r="Q107" s="2">
        <v>45957.505833333336</v>
      </c>
      <c r="R107" t="s">
        <v>743</v>
      </c>
      <c r="S107" t="s">
        <v>65</v>
      </c>
      <c r="T107" s="2">
        <v>45954.500509259262</v>
      </c>
      <c r="U107" t="s">
        <v>66</v>
      </c>
      <c r="V107" t="s">
        <v>67</v>
      </c>
      <c r="W107" t="s">
        <v>66</v>
      </c>
      <c r="X107" t="s">
        <v>66</v>
      </c>
      <c r="Y107" t="s">
        <v>744</v>
      </c>
      <c r="Z107" t="s">
        <v>69</v>
      </c>
      <c r="AA107" t="s">
        <v>70</v>
      </c>
      <c r="AB107" t="s">
        <v>66</v>
      </c>
      <c r="AC107" t="s">
        <v>66</v>
      </c>
      <c r="AD107" s="2">
        <v>45961.413969907408</v>
      </c>
      <c r="AE107" t="s">
        <v>71</v>
      </c>
      <c r="AF107" t="s">
        <v>66</v>
      </c>
      <c r="AG107" t="s">
        <v>457</v>
      </c>
      <c r="AH107" t="s">
        <v>139</v>
      </c>
      <c r="AI107">
        <v>201001</v>
      </c>
      <c r="AJ107" t="s">
        <v>74</v>
      </c>
      <c r="AK107" t="s">
        <v>75</v>
      </c>
      <c r="AL107">
        <v>62044220</v>
      </c>
      <c r="AM107" s="2"/>
      <c r="AN107">
        <v>3563</v>
      </c>
      <c r="AO107" t="s">
        <v>745</v>
      </c>
      <c r="AP107" t="s">
        <v>125</v>
      </c>
      <c r="AQ107" t="s">
        <v>66</v>
      </c>
      <c r="AR107" t="s">
        <v>71</v>
      </c>
      <c r="AS107">
        <v>18</v>
      </c>
      <c r="AT107">
        <v>0</v>
      </c>
      <c r="AU107">
        <v>0</v>
      </c>
      <c r="AV107">
        <v>18</v>
      </c>
      <c r="AW107">
        <v>543.50800000000004</v>
      </c>
      <c r="AX107">
        <v>0</v>
      </c>
      <c r="AY107">
        <v>0</v>
      </c>
      <c r="AZ107">
        <v>543.50800000000004</v>
      </c>
      <c r="BA107" s="2"/>
      <c r="BB107">
        <v>0.75</v>
      </c>
      <c r="BC107" s="2">
        <v>45955.5</v>
      </c>
      <c r="BD107" s="1">
        <f>MarketPlace_Order_Report__2[[#This Row],[UnitPrice]]*MarketPlace_Order_Report__2[[#This Row],[OrderQty]]</f>
        <v>3563</v>
      </c>
      <c r="BE107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07" s="1">
        <f>MarketPlace_Order_Report__2[[#This Row],[Gross Amount (Before Tax)]]+MarketPlace_Order_Report__2[[#This Row],[Total GST Amount]]</f>
        <v>4106.5079999999998</v>
      </c>
    </row>
    <row r="108" spans="1:58">
      <c r="A108" t="s">
        <v>746</v>
      </c>
      <c r="B108" t="s">
        <v>747</v>
      </c>
      <c r="C108" t="s">
        <v>741</v>
      </c>
      <c r="D108" t="s">
        <v>742</v>
      </c>
      <c r="E108">
        <v>1</v>
      </c>
      <c r="F108" t="s">
        <v>62</v>
      </c>
      <c r="G108">
        <v>1</v>
      </c>
      <c r="H108">
        <v>1</v>
      </c>
      <c r="I108">
        <v>3750</v>
      </c>
      <c r="J108">
        <v>3563</v>
      </c>
      <c r="K108">
        <v>0</v>
      </c>
      <c r="L108">
        <v>3662</v>
      </c>
      <c r="M108">
        <v>99</v>
      </c>
      <c r="N108" t="s">
        <v>63</v>
      </c>
      <c r="O108" s="2">
        <v>45936.676979166667</v>
      </c>
      <c r="P108" s="2">
        <v>45937.726203703707</v>
      </c>
      <c r="Q108" s="2">
        <v>45941.784861111111</v>
      </c>
      <c r="R108" t="s">
        <v>748</v>
      </c>
      <c r="S108" t="s">
        <v>65</v>
      </c>
      <c r="T108" s="2">
        <v>45936.813321759262</v>
      </c>
      <c r="U108" t="s">
        <v>66</v>
      </c>
      <c r="V108" t="s">
        <v>67</v>
      </c>
      <c r="W108" t="s">
        <v>66</v>
      </c>
      <c r="X108" t="s">
        <v>66</v>
      </c>
      <c r="Y108" t="s">
        <v>749</v>
      </c>
      <c r="Z108" t="s">
        <v>69</v>
      </c>
      <c r="AA108" t="s">
        <v>175</v>
      </c>
      <c r="AB108" t="s">
        <v>66</v>
      </c>
      <c r="AC108" t="s">
        <v>66</v>
      </c>
      <c r="AD108" s="2">
        <v>45959.372465277775</v>
      </c>
      <c r="AE108" t="s">
        <v>71</v>
      </c>
      <c r="AF108" t="s">
        <v>66</v>
      </c>
      <c r="AG108" t="s">
        <v>114</v>
      </c>
      <c r="AH108" t="s">
        <v>115</v>
      </c>
      <c r="AI108">
        <v>110059</v>
      </c>
      <c r="AJ108" t="s">
        <v>74</v>
      </c>
      <c r="AK108" t="s">
        <v>75</v>
      </c>
      <c r="AL108">
        <v>62044220</v>
      </c>
      <c r="AM108" s="2"/>
      <c r="AN108">
        <v>3563</v>
      </c>
      <c r="AO108" t="s">
        <v>750</v>
      </c>
      <c r="AP108" t="s">
        <v>66</v>
      </c>
      <c r="AQ108" t="s">
        <v>66</v>
      </c>
      <c r="AR108" t="s">
        <v>71</v>
      </c>
      <c r="AS108">
        <v>18</v>
      </c>
      <c r="AT108">
        <v>0</v>
      </c>
      <c r="AU108">
        <v>0</v>
      </c>
      <c r="AV108">
        <v>18</v>
      </c>
      <c r="AW108">
        <v>543.50800000000004</v>
      </c>
      <c r="AX108">
        <v>0</v>
      </c>
      <c r="AY108">
        <v>0</v>
      </c>
      <c r="AZ108">
        <v>543.50800000000004</v>
      </c>
      <c r="BA108" s="2"/>
      <c r="BB108">
        <v>0.75</v>
      </c>
      <c r="BC108" s="2">
        <v>45939.5</v>
      </c>
      <c r="BD108" s="1">
        <f>MarketPlace_Order_Report__2[[#This Row],[UnitPrice]]*MarketPlace_Order_Report__2[[#This Row],[OrderQty]]</f>
        <v>3563</v>
      </c>
      <c r="BE108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08" s="1">
        <f>MarketPlace_Order_Report__2[[#This Row],[Gross Amount (Before Tax)]]+MarketPlace_Order_Report__2[[#This Row],[Total GST Amount]]</f>
        <v>4106.5079999999998</v>
      </c>
    </row>
    <row r="109" spans="1:58">
      <c r="A109" t="s">
        <v>751</v>
      </c>
      <c r="B109" t="s">
        <v>752</v>
      </c>
      <c r="C109" t="s">
        <v>753</v>
      </c>
      <c r="D109" t="s">
        <v>754</v>
      </c>
      <c r="E109">
        <v>1</v>
      </c>
      <c r="F109" t="s">
        <v>145</v>
      </c>
      <c r="G109">
        <v>1</v>
      </c>
      <c r="H109">
        <v>0</v>
      </c>
      <c r="I109">
        <v>3750</v>
      </c>
      <c r="J109">
        <v>3563</v>
      </c>
      <c r="K109">
        <v>0</v>
      </c>
      <c r="L109">
        <v>3612</v>
      </c>
      <c r="M109">
        <v>49</v>
      </c>
      <c r="N109" t="s">
        <v>99</v>
      </c>
      <c r="O109" s="2">
        <v>45944.294571759259</v>
      </c>
      <c r="P109" s="2"/>
      <c r="Q109" s="2"/>
      <c r="R109" t="s">
        <v>66</v>
      </c>
      <c r="S109" t="s">
        <v>65</v>
      </c>
      <c r="T109" s="2"/>
      <c r="U109" t="s">
        <v>147</v>
      </c>
      <c r="V109" t="s">
        <v>67</v>
      </c>
      <c r="W109" t="s">
        <v>66</v>
      </c>
      <c r="X109" t="s">
        <v>66</v>
      </c>
      <c r="Y109" t="s">
        <v>66</v>
      </c>
      <c r="Z109" t="s">
        <v>66</v>
      </c>
      <c r="AA109" t="s">
        <v>66</v>
      </c>
      <c r="AB109" t="s">
        <v>66</v>
      </c>
      <c r="AC109" t="s">
        <v>66</v>
      </c>
      <c r="AD109" s="2">
        <v>45944.393240740741</v>
      </c>
      <c r="AE109" t="s">
        <v>71</v>
      </c>
      <c r="AF109" t="s">
        <v>66</v>
      </c>
      <c r="AG109" t="s">
        <v>755</v>
      </c>
      <c r="AH109" t="s">
        <v>73</v>
      </c>
      <c r="AI109">
        <v>321607</v>
      </c>
      <c r="AJ109" t="s">
        <v>74</v>
      </c>
      <c r="AK109" t="s">
        <v>75</v>
      </c>
      <c r="AL109">
        <v>62044220</v>
      </c>
      <c r="AM109" s="2">
        <v>45944.393240740741</v>
      </c>
      <c r="AN109">
        <v>3563</v>
      </c>
      <c r="AO109" t="s">
        <v>66</v>
      </c>
      <c r="AP109" t="s">
        <v>132</v>
      </c>
      <c r="AQ109" t="s">
        <v>66</v>
      </c>
      <c r="AR109" t="s">
        <v>71</v>
      </c>
      <c r="AS109">
        <v>18</v>
      </c>
      <c r="AT109">
        <v>0</v>
      </c>
      <c r="AU109">
        <v>0</v>
      </c>
      <c r="AV109">
        <v>18</v>
      </c>
      <c r="AW109">
        <v>543.50800000000004</v>
      </c>
      <c r="AX109">
        <v>0</v>
      </c>
      <c r="AY109">
        <v>0</v>
      </c>
      <c r="AZ109">
        <v>543.50800000000004</v>
      </c>
      <c r="BA109" s="2"/>
      <c r="BC109" s="2">
        <v>45946.5</v>
      </c>
      <c r="BD109" s="1">
        <f>MarketPlace_Order_Report__2[[#This Row],[UnitPrice]]*MarketPlace_Order_Report__2[[#This Row],[OrderQty]]</f>
        <v>3563</v>
      </c>
      <c r="BE109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09" s="1">
        <f>MarketPlace_Order_Report__2[[#This Row],[Gross Amount (Before Tax)]]+MarketPlace_Order_Report__2[[#This Row],[Total GST Amount]]</f>
        <v>4106.5079999999998</v>
      </c>
    </row>
    <row r="110" spans="1:58">
      <c r="A110" t="s">
        <v>756</v>
      </c>
      <c r="B110" t="s">
        <v>757</v>
      </c>
      <c r="C110" t="s">
        <v>753</v>
      </c>
      <c r="D110" t="s">
        <v>754</v>
      </c>
      <c r="E110">
        <v>3</v>
      </c>
      <c r="F110" t="s">
        <v>1806</v>
      </c>
      <c r="G110">
        <v>1</v>
      </c>
      <c r="H110">
        <v>1</v>
      </c>
      <c r="I110">
        <v>3750</v>
      </c>
      <c r="J110">
        <v>3563</v>
      </c>
      <c r="K110">
        <v>0</v>
      </c>
      <c r="L110">
        <v>3600.78</v>
      </c>
      <c r="M110">
        <v>37.78</v>
      </c>
      <c r="N110" t="s">
        <v>99</v>
      </c>
      <c r="O110" s="2">
        <v>45942.915347222224</v>
      </c>
      <c r="P110" s="2">
        <v>45944.736319444448</v>
      </c>
      <c r="Q110" s="2">
        <v>45948.475069444445</v>
      </c>
      <c r="R110" t="s">
        <v>758</v>
      </c>
      <c r="S110" t="s">
        <v>161</v>
      </c>
      <c r="T110" s="2">
        <v>45943.813715277778</v>
      </c>
      <c r="U110" t="s">
        <v>66</v>
      </c>
      <c r="V110" t="s">
        <v>67</v>
      </c>
      <c r="W110" t="s">
        <v>66</v>
      </c>
      <c r="X110" t="s">
        <v>66</v>
      </c>
      <c r="Y110" t="s">
        <v>66</v>
      </c>
      <c r="Z110" t="s">
        <v>66</v>
      </c>
      <c r="AA110" t="s">
        <v>66</v>
      </c>
      <c r="AB110" t="s">
        <v>66</v>
      </c>
      <c r="AC110" t="s">
        <v>66</v>
      </c>
      <c r="AD110" s="2">
        <v>45948.476469907408</v>
      </c>
      <c r="AE110" t="s">
        <v>71</v>
      </c>
      <c r="AF110" t="s">
        <v>66</v>
      </c>
      <c r="AG110" t="s">
        <v>759</v>
      </c>
      <c r="AH110" t="s">
        <v>177</v>
      </c>
      <c r="AI110">
        <v>491665</v>
      </c>
      <c r="AJ110" t="s">
        <v>74</v>
      </c>
      <c r="AK110" t="s">
        <v>75</v>
      </c>
      <c r="AL110">
        <v>62044220</v>
      </c>
      <c r="AM110" s="2"/>
      <c r="AN110">
        <v>3563</v>
      </c>
      <c r="AO110" t="s">
        <v>760</v>
      </c>
      <c r="AP110" t="s">
        <v>66</v>
      </c>
      <c r="AQ110" t="s">
        <v>66</v>
      </c>
      <c r="AR110" t="s">
        <v>71</v>
      </c>
      <c r="AS110">
        <v>18</v>
      </c>
      <c r="AT110">
        <v>0</v>
      </c>
      <c r="AU110">
        <v>0</v>
      </c>
      <c r="AV110">
        <v>18</v>
      </c>
      <c r="AW110">
        <v>543.50800000000004</v>
      </c>
      <c r="AX110">
        <v>0</v>
      </c>
      <c r="AY110">
        <v>0</v>
      </c>
      <c r="AZ110">
        <v>543.50800000000004</v>
      </c>
      <c r="BA110" s="2"/>
      <c r="BB110">
        <v>0.75</v>
      </c>
      <c r="BC110" s="2">
        <v>45945.5</v>
      </c>
      <c r="BD110" s="1">
        <f>MarketPlace_Order_Report__2[[#This Row],[UnitPrice]]*MarketPlace_Order_Report__2[[#This Row],[OrderQty]]</f>
        <v>3563</v>
      </c>
      <c r="BE110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10" s="1">
        <f>MarketPlace_Order_Report__2[[#This Row],[Gross Amount (Before Tax)]]+MarketPlace_Order_Report__2[[#This Row],[Total GST Amount]]</f>
        <v>4106.5079999999998</v>
      </c>
    </row>
    <row r="111" spans="1:58">
      <c r="A111" t="s">
        <v>761</v>
      </c>
      <c r="B111" t="s">
        <v>762</v>
      </c>
      <c r="C111" t="s">
        <v>753</v>
      </c>
      <c r="D111" t="s">
        <v>754</v>
      </c>
      <c r="E111">
        <v>2</v>
      </c>
      <c r="F111" t="s">
        <v>62</v>
      </c>
      <c r="G111">
        <v>1</v>
      </c>
      <c r="H111">
        <v>1</v>
      </c>
      <c r="I111">
        <v>3750</v>
      </c>
      <c r="J111">
        <v>3563</v>
      </c>
      <c r="K111">
        <v>0</v>
      </c>
      <c r="L111">
        <v>3572.38</v>
      </c>
      <c r="M111">
        <v>9.3800000000000008</v>
      </c>
      <c r="N111" t="s">
        <v>63</v>
      </c>
      <c r="O111" s="2">
        <v>45942.356076388889</v>
      </c>
      <c r="P111" s="2">
        <v>45943.762800925928</v>
      </c>
      <c r="Q111" s="2">
        <v>45948.414409722223</v>
      </c>
      <c r="R111" t="s">
        <v>763</v>
      </c>
      <c r="S111" t="s">
        <v>65</v>
      </c>
      <c r="T111" s="2">
        <v>45942.661412037036</v>
      </c>
      <c r="U111" t="s">
        <v>66</v>
      </c>
      <c r="V111" t="s">
        <v>67</v>
      </c>
      <c r="W111" t="s">
        <v>66</v>
      </c>
      <c r="X111" t="s">
        <v>66</v>
      </c>
      <c r="Y111" t="s">
        <v>764</v>
      </c>
      <c r="Z111" t="s">
        <v>69</v>
      </c>
      <c r="AA111" t="s">
        <v>175</v>
      </c>
      <c r="AB111" t="s">
        <v>66</v>
      </c>
      <c r="AC111" t="s">
        <v>66</v>
      </c>
      <c r="AD111" s="2">
        <v>45959.62263888889</v>
      </c>
      <c r="AE111" t="s">
        <v>71</v>
      </c>
      <c r="AF111" t="s">
        <v>66</v>
      </c>
      <c r="AG111" t="s">
        <v>765</v>
      </c>
      <c r="AH111" t="s">
        <v>360</v>
      </c>
      <c r="AI111">
        <v>713303</v>
      </c>
      <c r="AJ111" t="s">
        <v>74</v>
      </c>
      <c r="AK111" t="s">
        <v>75</v>
      </c>
      <c r="AL111">
        <v>62044220</v>
      </c>
      <c r="AM111" s="2"/>
      <c r="AN111">
        <v>3563</v>
      </c>
      <c r="AO111" t="s">
        <v>766</v>
      </c>
      <c r="AP111" t="s">
        <v>353</v>
      </c>
      <c r="AQ111" t="s">
        <v>66</v>
      </c>
      <c r="AR111" t="s">
        <v>71</v>
      </c>
      <c r="AS111">
        <v>18</v>
      </c>
      <c r="AT111">
        <v>0</v>
      </c>
      <c r="AU111">
        <v>0</v>
      </c>
      <c r="AV111">
        <v>18</v>
      </c>
      <c r="AW111">
        <v>543.50800000000004</v>
      </c>
      <c r="AX111">
        <v>0</v>
      </c>
      <c r="AY111">
        <v>0</v>
      </c>
      <c r="AZ111">
        <v>543.50800000000004</v>
      </c>
      <c r="BA111" s="2"/>
      <c r="BB111">
        <v>1</v>
      </c>
      <c r="BC111" s="2">
        <v>45944.5</v>
      </c>
      <c r="BD111" s="1">
        <f>MarketPlace_Order_Report__2[[#This Row],[UnitPrice]]*MarketPlace_Order_Report__2[[#This Row],[OrderQty]]</f>
        <v>3563</v>
      </c>
      <c r="BE111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11" s="1">
        <f>MarketPlace_Order_Report__2[[#This Row],[Gross Amount (Before Tax)]]+MarketPlace_Order_Report__2[[#This Row],[Total GST Amount]]</f>
        <v>4106.5079999999998</v>
      </c>
    </row>
    <row r="112" spans="1:58">
      <c r="A112" t="s">
        <v>767</v>
      </c>
      <c r="B112" t="s">
        <v>768</v>
      </c>
      <c r="C112" t="s">
        <v>753</v>
      </c>
      <c r="D112" t="s">
        <v>754</v>
      </c>
      <c r="E112">
        <v>2</v>
      </c>
      <c r="F112" t="s">
        <v>62</v>
      </c>
      <c r="G112">
        <v>1</v>
      </c>
      <c r="H112">
        <v>1</v>
      </c>
      <c r="I112">
        <v>3750</v>
      </c>
      <c r="J112">
        <v>3563</v>
      </c>
      <c r="K112">
        <v>0</v>
      </c>
      <c r="L112">
        <v>3573.2719999999999</v>
      </c>
      <c r="M112">
        <v>10.272</v>
      </c>
      <c r="N112" t="s">
        <v>99</v>
      </c>
      <c r="O112" s="2">
        <v>45935.87568287037</v>
      </c>
      <c r="P112" s="2">
        <v>45937.725740740738</v>
      </c>
      <c r="Q112" s="2">
        <v>45943.449282407404</v>
      </c>
      <c r="R112" t="s">
        <v>769</v>
      </c>
      <c r="S112" t="s">
        <v>65</v>
      </c>
      <c r="T112" s="2">
        <v>45936.813321759262</v>
      </c>
      <c r="U112" t="s">
        <v>66</v>
      </c>
      <c r="V112" t="s">
        <v>67</v>
      </c>
      <c r="W112" t="s">
        <v>66</v>
      </c>
      <c r="X112" t="s">
        <v>66</v>
      </c>
      <c r="Y112" t="s">
        <v>770</v>
      </c>
      <c r="Z112" t="s">
        <v>69</v>
      </c>
      <c r="AA112" t="s">
        <v>175</v>
      </c>
      <c r="AB112" t="s">
        <v>66</v>
      </c>
      <c r="AC112" t="s">
        <v>66</v>
      </c>
      <c r="AD112" s="2">
        <v>45957.622395833336</v>
      </c>
      <c r="AE112" t="s">
        <v>71</v>
      </c>
      <c r="AF112" t="s">
        <v>66</v>
      </c>
      <c r="AG112" t="s">
        <v>771</v>
      </c>
      <c r="AH112" t="s">
        <v>73</v>
      </c>
      <c r="AI112">
        <v>307027</v>
      </c>
      <c r="AJ112" t="s">
        <v>74</v>
      </c>
      <c r="AK112" t="s">
        <v>75</v>
      </c>
      <c r="AL112">
        <v>62044220</v>
      </c>
      <c r="AM112" s="2"/>
      <c r="AN112">
        <v>3563</v>
      </c>
      <c r="AO112" t="s">
        <v>772</v>
      </c>
      <c r="AP112" t="s">
        <v>132</v>
      </c>
      <c r="AQ112" t="s">
        <v>66</v>
      </c>
      <c r="AR112" t="s">
        <v>71</v>
      </c>
      <c r="AS112">
        <v>18</v>
      </c>
      <c r="AT112">
        <v>0</v>
      </c>
      <c r="AU112">
        <v>0</v>
      </c>
      <c r="AV112">
        <v>18</v>
      </c>
      <c r="AW112">
        <v>543.50800000000004</v>
      </c>
      <c r="AX112">
        <v>0</v>
      </c>
      <c r="AY112">
        <v>0</v>
      </c>
      <c r="AZ112">
        <v>543.50800000000004</v>
      </c>
      <c r="BA112" s="2"/>
      <c r="BB112">
        <v>1</v>
      </c>
      <c r="BC112" s="2">
        <v>45938.5</v>
      </c>
      <c r="BD112" s="1">
        <f>MarketPlace_Order_Report__2[[#This Row],[UnitPrice]]*MarketPlace_Order_Report__2[[#This Row],[OrderQty]]</f>
        <v>3563</v>
      </c>
      <c r="BE112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12" s="1">
        <f>MarketPlace_Order_Report__2[[#This Row],[Gross Amount (Before Tax)]]+MarketPlace_Order_Report__2[[#This Row],[Total GST Amount]]</f>
        <v>4106.5079999999998</v>
      </c>
    </row>
    <row r="113" spans="1:58">
      <c r="A113" t="s">
        <v>773</v>
      </c>
      <c r="B113" t="s">
        <v>774</v>
      </c>
      <c r="C113" t="s">
        <v>753</v>
      </c>
      <c r="D113" t="s">
        <v>754</v>
      </c>
      <c r="E113">
        <v>1</v>
      </c>
      <c r="F113" t="s">
        <v>62</v>
      </c>
      <c r="G113">
        <v>1</v>
      </c>
      <c r="H113">
        <v>1</v>
      </c>
      <c r="I113">
        <v>3750</v>
      </c>
      <c r="J113">
        <v>3563</v>
      </c>
      <c r="K113">
        <v>0</v>
      </c>
      <c r="L113">
        <v>3592</v>
      </c>
      <c r="M113">
        <v>29</v>
      </c>
      <c r="N113" t="s">
        <v>63</v>
      </c>
      <c r="O113" s="2">
        <v>45935.827349537038</v>
      </c>
      <c r="P113" s="2">
        <v>45937.619120370371</v>
      </c>
      <c r="Q113" s="2">
        <v>45943.611597222225</v>
      </c>
      <c r="R113" t="s">
        <v>775</v>
      </c>
      <c r="S113" t="s">
        <v>89</v>
      </c>
      <c r="T113" s="2">
        <v>45936.813321759262</v>
      </c>
      <c r="U113" t="s">
        <v>66</v>
      </c>
      <c r="V113" t="s">
        <v>67</v>
      </c>
      <c r="W113" t="s">
        <v>66</v>
      </c>
      <c r="X113" t="s">
        <v>66</v>
      </c>
      <c r="Y113" t="s">
        <v>776</v>
      </c>
      <c r="Z113" t="s">
        <v>69</v>
      </c>
      <c r="AA113" t="s">
        <v>175</v>
      </c>
      <c r="AB113" t="s">
        <v>66</v>
      </c>
      <c r="AC113" t="s">
        <v>66</v>
      </c>
      <c r="AD113" s="2">
        <v>45954.629421296297</v>
      </c>
      <c r="AE113" t="s">
        <v>71</v>
      </c>
      <c r="AF113" t="s">
        <v>66</v>
      </c>
      <c r="AG113" t="s">
        <v>90</v>
      </c>
      <c r="AH113" t="s">
        <v>91</v>
      </c>
      <c r="AI113">
        <v>560087</v>
      </c>
      <c r="AJ113" t="s">
        <v>74</v>
      </c>
      <c r="AK113" t="s">
        <v>75</v>
      </c>
      <c r="AL113">
        <v>62044220</v>
      </c>
      <c r="AM113" s="2"/>
      <c r="AN113">
        <v>3563</v>
      </c>
      <c r="AO113" t="s">
        <v>777</v>
      </c>
      <c r="AP113" t="s">
        <v>132</v>
      </c>
      <c r="AQ113" t="s">
        <v>66</v>
      </c>
      <c r="AR113" t="s">
        <v>71</v>
      </c>
      <c r="AS113">
        <v>18</v>
      </c>
      <c r="AT113">
        <v>0</v>
      </c>
      <c r="AU113">
        <v>0</v>
      </c>
      <c r="AV113">
        <v>18</v>
      </c>
      <c r="AW113">
        <v>543.50800000000004</v>
      </c>
      <c r="AX113">
        <v>0</v>
      </c>
      <c r="AY113">
        <v>0</v>
      </c>
      <c r="AZ113">
        <v>543.50800000000004</v>
      </c>
      <c r="BA113" s="2"/>
      <c r="BB113">
        <v>0.75</v>
      </c>
      <c r="BC113" s="2">
        <v>45938.5</v>
      </c>
      <c r="BD113" s="1">
        <f>MarketPlace_Order_Report__2[[#This Row],[UnitPrice]]*MarketPlace_Order_Report__2[[#This Row],[OrderQty]]</f>
        <v>3563</v>
      </c>
      <c r="BE113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13" s="1">
        <f>MarketPlace_Order_Report__2[[#This Row],[Gross Amount (Before Tax)]]+MarketPlace_Order_Report__2[[#This Row],[Total GST Amount]]</f>
        <v>4106.5079999999998</v>
      </c>
    </row>
    <row r="114" spans="1:58">
      <c r="A114" t="s">
        <v>778</v>
      </c>
      <c r="B114" t="s">
        <v>779</v>
      </c>
      <c r="C114" t="s">
        <v>780</v>
      </c>
      <c r="D114" t="s">
        <v>781</v>
      </c>
      <c r="E114">
        <v>1</v>
      </c>
      <c r="F114" t="s">
        <v>1806</v>
      </c>
      <c r="G114">
        <v>1</v>
      </c>
      <c r="H114">
        <v>1</v>
      </c>
      <c r="I114">
        <v>3750</v>
      </c>
      <c r="J114">
        <v>3563</v>
      </c>
      <c r="K114">
        <v>0</v>
      </c>
      <c r="L114">
        <v>3621.53</v>
      </c>
      <c r="M114">
        <v>58.53</v>
      </c>
      <c r="N114" t="s">
        <v>63</v>
      </c>
      <c r="O114" s="2">
        <v>45951.034479166665</v>
      </c>
      <c r="P114" s="2">
        <v>45954.73133101852</v>
      </c>
      <c r="Q114" s="2">
        <v>45958.585069444445</v>
      </c>
      <c r="R114" t="s">
        <v>782</v>
      </c>
      <c r="S114" t="s">
        <v>65</v>
      </c>
      <c r="T114" s="2">
        <v>45954.500509259262</v>
      </c>
      <c r="U114" t="s">
        <v>66</v>
      </c>
      <c r="V114" t="s">
        <v>67</v>
      </c>
      <c r="W114" t="s">
        <v>66</v>
      </c>
      <c r="X114" t="s">
        <v>66</v>
      </c>
      <c r="Y114" t="s">
        <v>66</v>
      </c>
      <c r="Z114" t="s">
        <v>66</v>
      </c>
      <c r="AA114" t="s">
        <v>66</v>
      </c>
      <c r="AB114" t="s">
        <v>66</v>
      </c>
      <c r="AC114" t="s">
        <v>66</v>
      </c>
      <c r="AD114" s="2">
        <v>45958.587523148148</v>
      </c>
      <c r="AE114" t="s">
        <v>71</v>
      </c>
      <c r="AF114" t="s">
        <v>66</v>
      </c>
      <c r="AG114" t="s">
        <v>783</v>
      </c>
      <c r="AH114" t="s">
        <v>279</v>
      </c>
      <c r="AI114">
        <v>140401</v>
      </c>
      <c r="AJ114" t="s">
        <v>74</v>
      </c>
      <c r="AK114" t="s">
        <v>75</v>
      </c>
      <c r="AL114">
        <v>62044220</v>
      </c>
      <c r="AM114" s="2"/>
      <c r="AN114">
        <v>3563</v>
      </c>
      <c r="AO114" t="s">
        <v>784</v>
      </c>
      <c r="AP114" t="s">
        <v>66</v>
      </c>
      <c r="AQ114" t="s">
        <v>66</v>
      </c>
      <c r="AR114" t="s">
        <v>71</v>
      </c>
      <c r="AS114">
        <v>18</v>
      </c>
      <c r="AT114">
        <v>0</v>
      </c>
      <c r="AU114">
        <v>0</v>
      </c>
      <c r="AV114">
        <v>18</v>
      </c>
      <c r="AW114">
        <v>543.50800000000004</v>
      </c>
      <c r="AX114">
        <v>0</v>
      </c>
      <c r="AY114">
        <v>0</v>
      </c>
      <c r="AZ114">
        <v>543.50800000000004</v>
      </c>
      <c r="BA114" s="2"/>
      <c r="BB114">
        <v>0.75</v>
      </c>
      <c r="BC114" s="2">
        <v>45953.5</v>
      </c>
      <c r="BD114" s="1">
        <f>MarketPlace_Order_Report__2[[#This Row],[UnitPrice]]*MarketPlace_Order_Report__2[[#This Row],[OrderQty]]</f>
        <v>3563</v>
      </c>
      <c r="BE114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14" s="1">
        <f>MarketPlace_Order_Report__2[[#This Row],[Gross Amount (Before Tax)]]+MarketPlace_Order_Report__2[[#This Row],[Total GST Amount]]</f>
        <v>4106.5079999999998</v>
      </c>
    </row>
    <row r="115" spans="1:58">
      <c r="A115" t="s">
        <v>761</v>
      </c>
      <c r="B115" t="s">
        <v>762</v>
      </c>
      <c r="C115" t="s">
        <v>780</v>
      </c>
      <c r="D115" t="s">
        <v>781</v>
      </c>
      <c r="E115">
        <v>1</v>
      </c>
      <c r="F115" t="s">
        <v>1806</v>
      </c>
      <c r="G115">
        <v>1</v>
      </c>
      <c r="H115">
        <v>1</v>
      </c>
      <c r="I115">
        <v>3750</v>
      </c>
      <c r="J115">
        <v>3563</v>
      </c>
      <c r="K115">
        <v>0</v>
      </c>
      <c r="L115">
        <v>3572.38</v>
      </c>
      <c r="M115">
        <v>9.3800000000000008</v>
      </c>
      <c r="N115" t="s">
        <v>63</v>
      </c>
      <c r="O115" s="2">
        <v>45942.356076388889</v>
      </c>
      <c r="P115" s="2">
        <v>45943.762800925928</v>
      </c>
      <c r="Q115" s="2">
        <v>45948.414409722223</v>
      </c>
      <c r="R115" t="s">
        <v>763</v>
      </c>
      <c r="S115" t="s">
        <v>65</v>
      </c>
      <c r="T115" s="2">
        <v>45942.661412037036</v>
      </c>
      <c r="U115" t="s">
        <v>66</v>
      </c>
      <c r="V115" t="s">
        <v>67</v>
      </c>
      <c r="W115" t="s">
        <v>66</v>
      </c>
      <c r="X115" t="s">
        <v>66</v>
      </c>
      <c r="Y115" t="s">
        <v>66</v>
      </c>
      <c r="Z115" t="s">
        <v>66</v>
      </c>
      <c r="AA115" t="s">
        <v>66</v>
      </c>
      <c r="AB115" t="s">
        <v>66</v>
      </c>
      <c r="AC115" t="s">
        <v>66</v>
      </c>
      <c r="AD115" s="2">
        <v>45948.417592592596</v>
      </c>
      <c r="AE115" t="s">
        <v>71</v>
      </c>
      <c r="AF115" t="s">
        <v>66</v>
      </c>
      <c r="AG115" t="s">
        <v>765</v>
      </c>
      <c r="AH115" t="s">
        <v>360</v>
      </c>
      <c r="AI115">
        <v>713303</v>
      </c>
      <c r="AJ115" t="s">
        <v>74</v>
      </c>
      <c r="AK115" t="s">
        <v>75</v>
      </c>
      <c r="AL115">
        <v>62044220</v>
      </c>
      <c r="AM115" s="2"/>
      <c r="AN115">
        <v>3563</v>
      </c>
      <c r="AO115" t="s">
        <v>766</v>
      </c>
      <c r="AP115" t="s">
        <v>353</v>
      </c>
      <c r="AQ115" t="s">
        <v>66</v>
      </c>
      <c r="AR115" t="s">
        <v>71</v>
      </c>
      <c r="AS115">
        <v>18</v>
      </c>
      <c r="AT115">
        <v>0</v>
      </c>
      <c r="AU115">
        <v>0</v>
      </c>
      <c r="AV115">
        <v>18</v>
      </c>
      <c r="AW115">
        <v>543.50800000000004</v>
      </c>
      <c r="AX115">
        <v>0</v>
      </c>
      <c r="AY115">
        <v>0</v>
      </c>
      <c r="AZ115">
        <v>543.50800000000004</v>
      </c>
      <c r="BA115" s="2"/>
      <c r="BB115">
        <v>1</v>
      </c>
      <c r="BC115" s="2">
        <v>45944.5</v>
      </c>
      <c r="BD115" s="1">
        <f>MarketPlace_Order_Report__2[[#This Row],[UnitPrice]]*MarketPlace_Order_Report__2[[#This Row],[OrderQty]]</f>
        <v>3563</v>
      </c>
      <c r="BE115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15" s="1">
        <f>MarketPlace_Order_Report__2[[#This Row],[Gross Amount (Before Tax)]]+MarketPlace_Order_Report__2[[#This Row],[Total GST Amount]]</f>
        <v>4106.5079999999998</v>
      </c>
    </row>
    <row r="116" spans="1:58">
      <c r="A116" t="s">
        <v>785</v>
      </c>
      <c r="B116" t="s">
        <v>786</v>
      </c>
      <c r="C116" t="s">
        <v>780</v>
      </c>
      <c r="D116" t="s">
        <v>781</v>
      </c>
      <c r="E116">
        <v>2</v>
      </c>
      <c r="F116" t="s">
        <v>145</v>
      </c>
      <c r="G116">
        <v>1</v>
      </c>
      <c r="H116">
        <v>0</v>
      </c>
      <c r="I116">
        <v>3750</v>
      </c>
      <c r="J116">
        <v>3563</v>
      </c>
      <c r="K116">
        <v>0</v>
      </c>
      <c r="L116">
        <v>3608.8</v>
      </c>
      <c r="M116">
        <v>45.8</v>
      </c>
      <c r="N116" t="s">
        <v>99</v>
      </c>
      <c r="O116" s="2">
        <v>45942.028935185182</v>
      </c>
      <c r="P116" s="2"/>
      <c r="Q116" s="2"/>
      <c r="R116" t="s">
        <v>66</v>
      </c>
      <c r="S116" t="s">
        <v>65</v>
      </c>
      <c r="T116" s="2"/>
      <c r="U116" t="s">
        <v>787</v>
      </c>
      <c r="V116" t="s">
        <v>67</v>
      </c>
      <c r="W116" t="s">
        <v>66</v>
      </c>
      <c r="X116" t="s">
        <v>66</v>
      </c>
      <c r="Y116" t="s">
        <v>66</v>
      </c>
      <c r="Z116" t="s">
        <v>66</v>
      </c>
      <c r="AA116" t="s">
        <v>66</v>
      </c>
      <c r="AB116" t="s">
        <v>66</v>
      </c>
      <c r="AC116" t="s">
        <v>66</v>
      </c>
      <c r="AD116" s="2">
        <v>45942.347569444442</v>
      </c>
      <c r="AE116" t="s">
        <v>71</v>
      </c>
      <c r="AF116" t="s">
        <v>66</v>
      </c>
      <c r="AG116" t="s">
        <v>765</v>
      </c>
      <c r="AH116" t="s">
        <v>360</v>
      </c>
      <c r="AI116">
        <v>713303</v>
      </c>
      <c r="AJ116" t="s">
        <v>74</v>
      </c>
      <c r="AK116" t="s">
        <v>75</v>
      </c>
      <c r="AL116">
        <v>62044220</v>
      </c>
      <c r="AM116" s="2">
        <v>45942.347569444442</v>
      </c>
      <c r="AN116">
        <v>3563</v>
      </c>
      <c r="AO116" t="s">
        <v>66</v>
      </c>
      <c r="AP116" t="s">
        <v>243</v>
      </c>
      <c r="AQ116" t="s">
        <v>66</v>
      </c>
      <c r="AR116" t="s">
        <v>71</v>
      </c>
      <c r="AS116">
        <v>18</v>
      </c>
      <c r="AT116">
        <v>0</v>
      </c>
      <c r="AU116">
        <v>0</v>
      </c>
      <c r="AV116">
        <v>18</v>
      </c>
      <c r="AW116">
        <v>543.50800000000004</v>
      </c>
      <c r="AX116">
        <v>0</v>
      </c>
      <c r="AY116">
        <v>0</v>
      </c>
      <c r="AZ116">
        <v>543.50800000000004</v>
      </c>
      <c r="BA116" s="2"/>
      <c r="BC116" s="2">
        <v>45944.5</v>
      </c>
      <c r="BD116" s="1">
        <f>MarketPlace_Order_Report__2[[#This Row],[UnitPrice]]*MarketPlace_Order_Report__2[[#This Row],[OrderQty]]</f>
        <v>3563</v>
      </c>
      <c r="BE116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16" s="1">
        <f>MarketPlace_Order_Report__2[[#This Row],[Gross Amount (Before Tax)]]+MarketPlace_Order_Report__2[[#This Row],[Total GST Amount]]</f>
        <v>4106.5079999999998</v>
      </c>
    </row>
    <row r="117" spans="1:58">
      <c r="A117" t="s">
        <v>788</v>
      </c>
      <c r="B117" t="s">
        <v>789</v>
      </c>
      <c r="C117" t="s">
        <v>790</v>
      </c>
      <c r="D117" t="s">
        <v>791</v>
      </c>
      <c r="E117">
        <v>1</v>
      </c>
      <c r="F117" t="s">
        <v>1806</v>
      </c>
      <c r="G117">
        <v>1</v>
      </c>
      <c r="H117">
        <v>1</v>
      </c>
      <c r="I117">
        <v>3750</v>
      </c>
      <c r="J117">
        <v>3563</v>
      </c>
      <c r="K117">
        <v>0</v>
      </c>
      <c r="L117">
        <v>3592</v>
      </c>
      <c r="M117">
        <v>29</v>
      </c>
      <c r="N117" t="s">
        <v>63</v>
      </c>
      <c r="O117" s="2">
        <v>45940.440289351849</v>
      </c>
      <c r="P117" s="2">
        <v>45941.746516203704</v>
      </c>
      <c r="Q117" s="2">
        <v>45946.571446759262</v>
      </c>
      <c r="R117" t="s">
        <v>792</v>
      </c>
      <c r="S117" t="s">
        <v>65</v>
      </c>
      <c r="T117" s="2">
        <v>45940.816203703704</v>
      </c>
      <c r="U117" t="s">
        <v>66</v>
      </c>
      <c r="V117" t="s">
        <v>67</v>
      </c>
      <c r="W117" t="s">
        <v>66</v>
      </c>
      <c r="X117" t="s">
        <v>66</v>
      </c>
      <c r="Y117" t="s">
        <v>66</v>
      </c>
      <c r="Z117" t="s">
        <v>66</v>
      </c>
      <c r="AA117" t="s">
        <v>66</v>
      </c>
      <c r="AB117" t="s">
        <v>66</v>
      </c>
      <c r="AC117" t="s">
        <v>66</v>
      </c>
      <c r="AD117" s="2">
        <v>45946.573773148149</v>
      </c>
      <c r="AE117" t="s">
        <v>71</v>
      </c>
      <c r="AF117" t="s">
        <v>66</v>
      </c>
      <c r="AG117" t="s">
        <v>793</v>
      </c>
      <c r="AH117" t="s">
        <v>794</v>
      </c>
      <c r="AI117">
        <v>533003</v>
      </c>
      <c r="AJ117" t="s">
        <v>74</v>
      </c>
      <c r="AK117" t="s">
        <v>75</v>
      </c>
      <c r="AL117">
        <v>62044220</v>
      </c>
      <c r="AM117" s="2"/>
      <c r="AN117">
        <v>3563</v>
      </c>
      <c r="AO117" t="s">
        <v>795</v>
      </c>
      <c r="AP117" t="s">
        <v>187</v>
      </c>
      <c r="AQ117" t="s">
        <v>66</v>
      </c>
      <c r="AR117" t="s">
        <v>71</v>
      </c>
      <c r="AS117">
        <v>18</v>
      </c>
      <c r="AT117">
        <v>0</v>
      </c>
      <c r="AU117">
        <v>0</v>
      </c>
      <c r="AV117">
        <v>18</v>
      </c>
      <c r="AW117">
        <v>543.50800000000004</v>
      </c>
      <c r="AX117">
        <v>0</v>
      </c>
      <c r="AY117">
        <v>0</v>
      </c>
      <c r="AZ117">
        <v>543.50800000000004</v>
      </c>
      <c r="BA117" s="2"/>
      <c r="BB117">
        <v>0.75</v>
      </c>
      <c r="BC117" s="2">
        <v>45942.5</v>
      </c>
      <c r="BD117" s="1">
        <f>MarketPlace_Order_Report__2[[#This Row],[UnitPrice]]*MarketPlace_Order_Report__2[[#This Row],[OrderQty]]</f>
        <v>3563</v>
      </c>
      <c r="BE117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17" s="1">
        <f>MarketPlace_Order_Report__2[[#This Row],[Gross Amount (Before Tax)]]+MarketPlace_Order_Report__2[[#This Row],[Total GST Amount]]</f>
        <v>4106.5079999999998</v>
      </c>
    </row>
    <row r="118" spans="1:58">
      <c r="A118" t="s">
        <v>697</v>
      </c>
      <c r="B118" t="s">
        <v>698</v>
      </c>
      <c r="C118" t="s">
        <v>790</v>
      </c>
      <c r="D118" t="s">
        <v>791</v>
      </c>
      <c r="E118">
        <v>2</v>
      </c>
      <c r="F118" t="s">
        <v>1806</v>
      </c>
      <c r="G118">
        <v>1</v>
      </c>
      <c r="H118">
        <v>1</v>
      </c>
      <c r="I118">
        <v>3750</v>
      </c>
      <c r="J118">
        <v>3563</v>
      </c>
      <c r="K118">
        <v>0</v>
      </c>
      <c r="L118">
        <v>3587.5</v>
      </c>
      <c r="M118">
        <v>24.5</v>
      </c>
      <c r="N118" t="s">
        <v>99</v>
      </c>
      <c r="O118" s="2">
        <v>45935.6637962963</v>
      </c>
      <c r="P118" s="2">
        <v>45936.718564814815</v>
      </c>
      <c r="Q118" s="2">
        <v>45944.823495370372</v>
      </c>
      <c r="R118" t="s">
        <v>701</v>
      </c>
      <c r="S118" t="s">
        <v>65</v>
      </c>
      <c r="T118" s="2">
        <v>45935.742905092593</v>
      </c>
      <c r="U118" t="s">
        <v>66</v>
      </c>
      <c r="V118" t="s">
        <v>67</v>
      </c>
      <c r="W118" t="s">
        <v>66</v>
      </c>
      <c r="X118" t="s">
        <v>66</v>
      </c>
      <c r="Y118" t="s">
        <v>66</v>
      </c>
      <c r="Z118" t="s">
        <v>66</v>
      </c>
      <c r="AA118" t="s">
        <v>66</v>
      </c>
      <c r="AB118" t="s">
        <v>66</v>
      </c>
      <c r="AC118" t="s">
        <v>66</v>
      </c>
      <c r="AD118" s="2">
        <v>45944.823773148149</v>
      </c>
      <c r="AE118" t="s">
        <v>71</v>
      </c>
      <c r="AF118" t="s">
        <v>66</v>
      </c>
      <c r="AG118" t="s">
        <v>602</v>
      </c>
      <c r="AH118" t="s">
        <v>603</v>
      </c>
      <c r="AI118">
        <v>781005</v>
      </c>
      <c r="AJ118" t="s">
        <v>74</v>
      </c>
      <c r="AK118" t="s">
        <v>75</v>
      </c>
      <c r="AL118">
        <v>62044220</v>
      </c>
      <c r="AM118" s="2"/>
      <c r="AN118">
        <v>3563</v>
      </c>
      <c r="AO118" t="s">
        <v>702</v>
      </c>
      <c r="AP118" t="s">
        <v>66</v>
      </c>
      <c r="AQ118" t="s">
        <v>66</v>
      </c>
      <c r="AR118" t="s">
        <v>71</v>
      </c>
      <c r="AS118">
        <v>18</v>
      </c>
      <c r="AT118">
        <v>0</v>
      </c>
      <c r="AU118">
        <v>0</v>
      </c>
      <c r="AV118">
        <v>18</v>
      </c>
      <c r="AW118">
        <v>543.50800000000004</v>
      </c>
      <c r="AX118">
        <v>0</v>
      </c>
      <c r="AY118">
        <v>0</v>
      </c>
      <c r="AZ118">
        <v>543.50800000000004</v>
      </c>
      <c r="BA118" s="2"/>
      <c r="BB118">
        <v>1</v>
      </c>
      <c r="BC118" s="2">
        <v>45938.5</v>
      </c>
      <c r="BD118" s="1">
        <f>MarketPlace_Order_Report__2[[#This Row],[UnitPrice]]*MarketPlace_Order_Report__2[[#This Row],[OrderQty]]</f>
        <v>3563</v>
      </c>
      <c r="BE118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18" s="1">
        <f>MarketPlace_Order_Report__2[[#This Row],[Gross Amount (Before Tax)]]+MarketPlace_Order_Report__2[[#This Row],[Total GST Amount]]</f>
        <v>4106.5079999999998</v>
      </c>
    </row>
    <row r="119" spans="1:58">
      <c r="A119" t="s">
        <v>796</v>
      </c>
      <c r="B119" t="s">
        <v>797</v>
      </c>
      <c r="C119" t="s">
        <v>798</v>
      </c>
      <c r="D119" t="s">
        <v>799</v>
      </c>
      <c r="E119">
        <v>1</v>
      </c>
      <c r="F119" t="s">
        <v>107</v>
      </c>
      <c r="G119">
        <v>1</v>
      </c>
      <c r="H119">
        <v>1</v>
      </c>
      <c r="I119">
        <v>4000</v>
      </c>
      <c r="J119">
        <v>3600</v>
      </c>
      <c r="K119">
        <v>0</v>
      </c>
      <c r="L119">
        <v>3629</v>
      </c>
      <c r="M119">
        <v>29</v>
      </c>
      <c r="N119" t="s">
        <v>63</v>
      </c>
      <c r="O119" s="2">
        <v>45959.674872685187</v>
      </c>
      <c r="P119" s="2">
        <v>45960.624340277776</v>
      </c>
      <c r="Q119" s="2"/>
      <c r="R119" t="s">
        <v>800</v>
      </c>
      <c r="S119" t="s">
        <v>89</v>
      </c>
      <c r="T119" s="2">
        <v>45959.790451388886</v>
      </c>
      <c r="U119" t="s">
        <v>66</v>
      </c>
      <c r="V119" t="s">
        <v>67</v>
      </c>
      <c r="W119" t="s">
        <v>66</v>
      </c>
      <c r="X119" t="s">
        <v>66</v>
      </c>
      <c r="Y119" t="s">
        <v>66</v>
      </c>
      <c r="Z119" t="s">
        <v>66</v>
      </c>
      <c r="AA119" t="s">
        <v>66</v>
      </c>
      <c r="AB119" t="s">
        <v>66</v>
      </c>
      <c r="AC119" t="s">
        <v>66</v>
      </c>
      <c r="AD119" s="2">
        <v>45961.26462962963</v>
      </c>
      <c r="AE119" t="s">
        <v>71</v>
      </c>
      <c r="AF119" t="s">
        <v>66</v>
      </c>
      <c r="AG119" t="s">
        <v>90</v>
      </c>
      <c r="AH119" t="s">
        <v>91</v>
      </c>
      <c r="AI119">
        <v>560078</v>
      </c>
      <c r="AJ119" t="s">
        <v>74</v>
      </c>
      <c r="AK119" t="s">
        <v>75</v>
      </c>
      <c r="AL119">
        <v>62044220</v>
      </c>
      <c r="AM119" s="2"/>
      <c r="AN119">
        <v>3600</v>
      </c>
      <c r="AO119" t="s">
        <v>801</v>
      </c>
      <c r="AP119" t="s">
        <v>66</v>
      </c>
      <c r="AQ119" t="s">
        <v>66</v>
      </c>
      <c r="AR119" t="s">
        <v>71</v>
      </c>
      <c r="AS119">
        <v>18</v>
      </c>
      <c r="AT119">
        <v>0</v>
      </c>
      <c r="AU119">
        <v>0</v>
      </c>
      <c r="AV119">
        <v>18</v>
      </c>
      <c r="AW119">
        <v>549.15300000000002</v>
      </c>
      <c r="AX119">
        <v>0</v>
      </c>
      <c r="AY119">
        <v>0</v>
      </c>
      <c r="AZ119">
        <v>549.15300000000002</v>
      </c>
      <c r="BA119" s="2"/>
      <c r="BB119">
        <v>0.75</v>
      </c>
      <c r="BC119" s="2">
        <v>45962.5</v>
      </c>
      <c r="BD119" s="1">
        <f>MarketPlace_Order_Report__2[[#This Row],[UnitPrice]]*MarketPlace_Order_Report__2[[#This Row],[OrderQty]]</f>
        <v>3600</v>
      </c>
      <c r="BE119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19" s="1">
        <f>MarketPlace_Order_Report__2[[#This Row],[Gross Amount (Before Tax)]]+MarketPlace_Order_Report__2[[#This Row],[Total GST Amount]]</f>
        <v>4149.1530000000002</v>
      </c>
    </row>
    <row r="120" spans="1:58">
      <c r="A120" t="s">
        <v>802</v>
      </c>
      <c r="B120" t="s">
        <v>803</v>
      </c>
      <c r="C120" t="s">
        <v>798</v>
      </c>
      <c r="D120" t="s">
        <v>799</v>
      </c>
      <c r="E120">
        <v>1</v>
      </c>
      <c r="F120" t="s">
        <v>1806</v>
      </c>
      <c r="G120">
        <v>1</v>
      </c>
      <c r="H120">
        <v>1</v>
      </c>
      <c r="I120">
        <v>4000</v>
      </c>
      <c r="J120">
        <v>3600</v>
      </c>
      <c r="K120">
        <v>0</v>
      </c>
      <c r="L120">
        <v>3613.04</v>
      </c>
      <c r="M120">
        <v>13.04</v>
      </c>
      <c r="N120" t="s">
        <v>63</v>
      </c>
      <c r="O120" s="2">
        <v>45938.837500000001</v>
      </c>
      <c r="P120" s="2">
        <v>45940.731122685182</v>
      </c>
      <c r="Q120" s="2">
        <v>45942.617002314815</v>
      </c>
      <c r="R120" t="s">
        <v>804</v>
      </c>
      <c r="S120" t="s">
        <v>161</v>
      </c>
      <c r="T120" s="2">
        <v>45939.786319444444</v>
      </c>
      <c r="U120" t="s">
        <v>66</v>
      </c>
      <c r="V120" t="s">
        <v>67</v>
      </c>
      <c r="W120" t="s">
        <v>66</v>
      </c>
      <c r="X120" t="s">
        <v>66</v>
      </c>
      <c r="Y120" t="s">
        <v>66</v>
      </c>
      <c r="Z120" t="s">
        <v>66</v>
      </c>
      <c r="AA120" t="s">
        <v>66</v>
      </c>
      <c r="AB120" t="s">
        <v>66</v>
      </c>
      <c r="AC120" t="s">
        <v>66</v>
      </c>
      <c r="AD120" s="2">
        <v>45942.618958333333</v>
      </c>
      <c r="AE120" t="s">
        <v>71</v>
      </c>
      <c r="AF120" t="s">
        <v>66</v>
      </c>
      <c r="AG120" t="s">
        <v>259</v>
      </c>
      <c r="AH120" t="s">
        <v>123</v>
      </c>
      <c r="AI120">
        <v>400060</v>
      </c>
      <c r="AJ120" t="s">
        <v>74</v>
      </c>
      <c r="AK120" t="s">
        <v>75</v>
      </c>
      <c r="AL120">
        <v>62044220</v>
      </c>
      <c r="AM120" s="2"/>
      <c r="AN120">
        <v>3600</v>
      </c>
      <c r="AO120" t="s">
        <v>805</v>
      </c>
      <c r="AP120" t="s">
        <v>806</v>
      </c>
      <c r="AQ120" t="s">
        <v>66</v>
      </c>
      <c r="AR120" t="s">
        <v>71</v>
      </c>
      <c r="AS120">
        <v>18</v>
      </c>
      <c r="AT120">
        <v>9</v>
      </c>
      <c r="AU120">
        <v>9</v>
      </c>
      <c r="AV120">
        <v>0</v>
      </c>
      <c r="AW120">
        <v>549.15300000000002</v>
      </c>
      <c r="AX120">
        <v>274.577</v>
      </c>
      <c r="AY120">
        <v>274.577</v>
      </c>
      <c r="AZ120">
        <v>0</v>
      </c>
      <c r="BA120" s="2"/>
      <c r="BB120">
        <v>0.75</v>
      </c>
      <c r="BC120" s="2">
        <v>45941.5</v>
      </c>
      <c r="BD120" s="1">
        <f>MarketPlace_Order_Report__2[[#This Row],[UnitPrice]]*MarketPlace_Order_Report__2[[#This Row],[OrderQty]]</f>
        <v>3600</v>
      </c>
      <c r="BE120" s="1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120" s="1">
        <f>MarketPlace_Order_Report__2[[#This Row],[Gross Amount (Before Tax)]]+MarketPlace_Order_Report__2[[#This Row],[Total GST Amount]]</f>
        <v>4149.1540000000005</v>
      </c>
    </row>
    <row r="121" spans="1:58">
      <c r="A121" t="s">
        <v>807</v>
      </c>
      <c r="B121" t="s">
        <v>808</v>
      </c>
      <c r="C121" t="s">
        <v>809</v>
      </c>
      <c r="D121" t="s">
        <v>810</v>
      </c>
      <c r="E121">
        <v>1</v>
      </c>
      <c r="F121" t="s">
        <v>1806</v>
      </c>
      <c r="G121">
        <v>1</v>
      </c>
      <c r="H121">
        <v>1</v>
      </c>
      <c r="I121">
        <v>4000</v>
      </c>
      <c r="J121">
        <v>3600</v>
      </c>
      <c r="K121">
        <v>0</v>
      </c>
      <c r="L121">
        <v>3629</v>
      </c>
      <c r="M121">
        <v>29</v>
      </c>
      <c r="N121" t="s">
        <v>63</v>
      </c>
      <c r="O121" s="2">
        <v>45941.30878472222</v>
      </c>
      <c r="P121" s="2">
        <v>45941.746793981481</v>
      </c>
      <c r="Q121" s="2">
        <v>45943.650752314818</v>
      </c>
      <c r="R121" t="s">
        <v>811</v>
      </c>
      <c r="S121" t="s">
        <v>65</v>
      </c>
      <c r="T121" s="2">
        <v>45941.595370370371</v>
      </c>
      <c r="U121" t="s">
        <v>66</v>
      </c>
      <c r="V121" t="s">
        <v>67</v>
      </c>
      <c r="W121" t="s">
        <v>66</v>
      </c>
      <c r="X121" t="s">
        <v>66</v>
      </c>
      <c r="Y121" t="s">
        <v>66</v>
      </c>
      <c r="Z121" t="s">
        <v>66</v>
      </c>
      <c r="AA121" t="s">
        <v>66</v>
      </c>
      <c r="AB121" t="s">
        <v>66</v>
      </c>
      <c r="AC121" t="s">
        <v>66</v>
      </c>
      <c r="AD121" s="2">
        <v>45943.653923611113</v>
      </c>
      <c r="AE121" t="s">
        <v>71</v>
      </c>
      <c r="AF121" t="s">
        <v>66</v>
      </c>
      <c r="AG121" t="s">
        <v>90</v>
      </c>
      <c r="AH121" t="s">
        <v>91</v>
      </c>
      <c r="AI121">
        <v>560103</v>
      </c>
      <c r="AJ121" t="s">
        <v>74</v>
      </c>
      <c r="AK121" t="s">
        <v>75</v>
      </c>
      <c r="AL121">
        <v>62044220</v>
      </c>
      <c r="AM121" s="2"/>
      <c r="AN121">
        <v>3600</v>
      </c>
      <c r="AO121" t="s">
        <v>812</v>
      </c>
      <c r="AP121" t="s">
        <v>66</v>
      </c>
      <c r="AQ121" t="s">
        <v>66</v>
      </c>
      <c r="AR121" t="s">
        <v>71</v>
      </c>
      <c r="AS121">
        <v>18</v>
      </c>
      <c r="AT121">
        <v>0</v>
      </c>
      <c r="AU121">
        <v>0</v>
      </c>
      <c r="AV121">
        <v>18</v>
      </c>
      <c r="AW121">
        <v>549.15300000000002</v>
      </c>
      <c r="AX121">
        <v>0</v>
      </c>
      <c r="AY121">
        <v>0</v>
      </c>
      <c r="AZ121">
        <v>549.15300000000002</v>
      </c>
      <c r="BA121" s="2"/>
      <c r="BB121">
        <v>0.75</v>
      </c>
      <c r="BC121" s="2">
        <v>45943.5</v>
      </c>
      <c r="BD121" s="1">
        <f>MarketPlace_Order_Report__2[[#This Row],[UnitPrice]]*MarketPlace_Order_Report__2[[#This Row],[OrderQty]]</f>
        <v>3600</v>
      </c>
      <c r="BE121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21" s="1">
        <f>MarketPlace_Order_Report__2[[#This Row],[Gross Amount (Before Tax)]]+MarketPlace_Order_Report__2[[#This Row],[Total GST Amount]]</f>
        <v>4149.1530000000002</v>
      </c>
    </row>
    <row r="122" spans="1:58">
      <c r="A122" t="s">
        <v>813</v>
      </c>
      <c r="B122" t="s">
        <v>814</v>
      </c>
      <c r="C122" t="s">
        <v>815</v>
      </c>
      <c r="D122" t="s">
        <v>816</v>
      </c>
      <c r="E122">
        <v>4</v>
      </c>
      <c r="F122" t="s">
        <v>228</v>
      </c>
      <c r="G122">
        <v>1</v>
      </c>
      <c r="H122">
        <v>1</v>
      </c>
      <c r="I122">
        <v>4000</v>
      </c>
      <c r="J122">
        <v>3600</v>
      </c>
      <c r="K122">
        <v>0</v>
      </c>
      <c r="L122">
        <v>3624.77</v>
      </c>
      <c r="M122">
        <v>24.77</v>
      </c>
      <c r="N122" t="s">
        <v>99</v>
      </c>
      <c r="O122" s="2">
        <v>45941.648206018515</v>
      </c>
      <c r="P122" s="2">
        <v>45943.762662037036</v>
      </c>
      <c r="Q122" s="2"/>
      <c r="R122" t="s">
        <v>817</v>
      </c>
      <c r="S122" t="s">
        <v>65</v>
      </c>
      <c r="T122" s="2">
        <v>45941.806620370371</v>
      </c>
      <c r="U122" t="s">
        <v>66</v>
      </c>
      <c r="V122" t="s">
        <v>67</v>
      </c>
      <c r="W122" t="s">
        <v>66</v>
      </c>
      <c r="X122" t="s">
        <v>66</v>
      </c>
      <c r="Y122" t="s">
        <v>818</v>
      </c>
      <c r="Z122" t="s">
        <v>231</v>
      </c>
      <c r="AA122" t="s">
        <v>175</v>
      </c>
      <c r="AB122" t="s">
        <v>66</v>
      </c>
      <c r="AC122" t="s">
        <v>66</v>
      </c>
      <c r="AD122" s="2">
        <v>45958.868807870371</v>
      </c>
      <c r="AE122" t="s">
        <v>71</v>
      </c>
      <c r="AF122" t="s">
        <v>66</v>
      </c>
      <c r="AG122" t="s">
        <v>602</v>
      </c>
      <c r="AH122" t="s">
        <v>603</v>
      </c>
      <c r="AI122">
        <v>781011</v>
      </c>
      <c r="AJ122" t="s">
        <v>74</v>
      </c>
      <c r="AK122" t="s">
        <v>75</v>
      </c>
      <c r="AL122">
        <v>62044220</v>
      </c>
      <c r="AM122" s="2"/>
      <c r="AN122">
        <v>3600</v>
      </c>
      <c r="AO122" t="s">
        <v>819</v>
      </c>
      <c r="AP122" t="s">
        <v>66</v>
      </c>
      <c r="AQ122" t="s">
        <v>66</v>
      </c>
      <c r="AR122" t="s">
        <v>71</v>
      </c>
      <c r="AS122">
        <v>18</v>
      </c>
      <c r="AT122">
        <v>0</v>
      </c>
      <c r="AU122">
        <v>0</v>
      </c>
      <c r="AV122">
        <v>18</v>
      </c>
      <c r="AW122">
        <v>549.15300000000002</v>
      </c>
      <c r="AX122">
        <v>0</v>
      </c>
      <c r="AY122">
        <v>0</v>
      </c>
      <c r="AZ122">
        <v>549.15300000000002</v>
      </c>
      <c r="BA122" s="2"/>
      <c r="BB122">
        <v>0.75</v>
      </c>
      <c r="BC122" s="2">
        <v>45944.5</v>
      </c>
      <c r="BD122" s="1">
        <f>MarketPlace_Order_Report__2[[#This Row],[UnitPrice]]*MarketPlace_Order_Report__2[[#This Row],[OrderQty]]</f>
        <v>3600</v>
      </c>
      <c r="BE122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22" s="1">
        <f>MarketPlace_Order_Report__2[[#This Row],[Gross Amount (Before Tax)]]+MarketPlace_Order_Report__2[[#This Row],[Total GST Amount]]</f>
        <v>4149.1530000000002</v>
      </c>
    </row>
    <row r="123" spans="1:58">
      <c r="A123" t="s">
        <v>820</v>
      </c>
      <c r="B123" t="s">
        <v>821</v>
      </c>
      <c r="C123" t="s">
        <v>822</v>
      </c>
      <c r="D123" t="s">
        <v>823</v>
      </c>
      <c r="E123">
        <v>2</v>
      </c>
      <c r="F123" t="s">
        <v>98</v>
      </c>
      <c r="G123">
        <v>1</v>
      </c>
      <c r="H123">
        <v>0</v>
      </c>
      <c r="I123">
        <v>4000</v>
      </c>
      <c r="J123">
        <v>3600</v>
      </c>
      <c r="K123">
        <v>0</v>
      </c>
      <c r="L123">
        <v>3600</v>
      </c>
      <c r="M123">
        <v>0</v>
      </c>
      <c r="N123" t="s">
        <v>63</v>
      </c>
      <c r="O123" s="2">
        <v>45949.849259259259</v>
      </c>
      <c r="P123" s="2"/>
      <c r="Q123" s="2"/>
      <c r="R123" t="s">
        <v>824</v>
      </c>
      <c r="S123" t="s">
        <v>89</v>
      </c>
      <c r="T123" s="2">
        <v>45961.517905092594</v>
      </c>
      <c r="U123" t="s">
        <v>66</v>
      </c>
      <c r="V123" t="s">
        <v>67</v>
      </c>
      <c r="W123" t="s">
        <v>66</v>
      </c>
      <c r="X123" t="s">
        <v>66</v>
      </c>
      <c r="Y123" t="s">
        <v>66</v>
      </c>
      <c r="Z123" t="s">
        <v>66</v>
      </c>
      <c r="AA123" t="s">
        <v>66</v>
      </c>
      <c r="AB123" t="s">
        <v>66</v>
      </c>
      <c r="AC123" t="s">
        <v>66</v>
      </c>
      <c r="AD123" s="2">
        <v>45961.517905092594</v>
      </c>
      <c r="AE123" t="s">
        <v>71</v>
      </c>
      <c r="AF123" t="s">
        <v>66</v>
      </c>
      <c r="AG123" t="s">
        <v>825</v>
      </c>
      <c r="AH123" t="s">
        <v>123</v>
      </c>
      <c r="AI123">
        <v>415001</v>
      </c>
      <c r="AJ123" t="s">
        <v>74</v>
      </c>
      <c r="AK123" t="s">
        <v>75</v>
      </c>
      <c r="AL123">
        <v>62044220</v>
      </c>
      <c r="AM123" s="2"/>
      <c r="AN123">
        <v>3600</v>
      </c>
      <c r="AO123" t="s">
        <v>826</v>
      </c>
      <c r="AP123" t="s">
        <v>66</v>
      </c>
      <c r="AQ123" t="s">
        <v>827</v>
      </c>
      <c r="AR123" t="s">
        <v>71</v>
      </c>
      <c r="AS123">
        <v>18</v>
      </c>
      <c r="AT123">
        <v>9</v>
      </c>
      <c r="AU123">
        <v>9</v>
      </c>
      <c r="AV123">
        <v>0</v>
      </c>
      <c r="AW123">
        <v>549.15300000000002</v>
      </c>
      <c r="AX123">
        <v>274.577</v>
      </c>
      <c r="AY123">
        <v>274.577</v>
      </c>
      <c r="AZ123">
        <v>0</v>
      </c>
      <c r="BA123" s="2"/>
      <c r="BB123">
        <v>0.75</v>
      </c>
      <c r="BC123" s="2">
        <v>45962.5</v>
      </c>
      <c r="BD123" s="1">
        <f>MarketPlace_Order_Report__2[[#This Row],[UnitPrice]]*MarketPlace_Order_Report__2[[#This Row],[OrderQty]]</f>
        <v>3600</v>
      </c>
      <c r="BE123" s="1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123" s="1">
        <f>MarketPlace_Order_Report__2[[#This Row],[Gross Amount (Before Tax)]]+MarketPlace_Order_Report__2[[#This Row],[Total GST Amount]]</f>
        <v>4149.1540000000005</v>
      </c>
    </row>
    <row r="124" spans="1:58">
      <c r="A124" t="s">
        <v>828</v>
      </c>
      <c r="B124" t="s">
        <v>829</v>
      </c>
      <c r="C124" t="s">
        <v>822</v>
      </c>
      <c r="D124" t="s">
        <v>823</v>
      </c>
      <c r="E124">
        <v>1</v>
      </c>
      <c r="F124" t="s">
        <v>62</v>
      </c>
      <c r="G124">
        <v>1</v>
      </c>
      <c r="H124">
        <v>1</v>
      </c>
      <c r="I124">
        <v>4000</v>
      </c>
      <c r="J124">
        <v>3600</v>
      </c>
      <c r="K124">
        <v>0</v>
      </c>
      <c r="L124">
        <v>3649</v>
      </c>
      <c r="M124">
        <v>49</v>
      </c>
      <c r="N124" t="s">
        <v>99</v>
      </c>
      <c r="O124" s="2">
        <v>45943.920231481483</v>
      </c>
      <c r="P124" s="2">
        <v>45945.759398148148</v>
      </c>
      <c r="Q124" s="2">
        <v>45948.753622685188</v>
      </c>
      <c r="R124" t="s">
        <v>830</v>
      </c>
      <c r="S124" t="s">
        <v>65</v>
      </c>
      <c r="T124" s="2">
        <v>45944.808067129627</v>
      </c>
      <c r="U124" t="s">
        <v>66</v>
      </c>
      <c r="V124" t="s">
        <v>67</v>
      </c>
      <c r="W124" t="s">
        <v>66</v>
      </c>
      <c r="X124" t="s">
        <v>66</v>
      </c>
      <c r="Y124" t="s">
        <v>831</v>
      </c>
      <c r="Z124" t="s">
        <v>69</v>
      </c>
      <c r="AA124" t="s">
        <v>70</v>
      </c>
      <c r="AB124" t="s">
        <v>66</v>
      </c>
      <c r="AC124" t="s">
        <v>66</v>
      </c>
      <c r="AD124" s="2">
        <v>45956.278807870367</v>
      </c>
      <c r="AE124" t="s">
        <v>71</v>
      </c>
      <c r="AF124" t="s">
        <v>66</v>
      </c>
      <c r="AG124" t="s">
        <v>90</v>
      </c>
      <c r="AH124" t="s">
        <v>91</v>
      </c>
      <c r="AI124">
        <v>560002</v>
      </c>
      <c r="AJ124" t="s">
        <v>74</v>
      </c>
      <c r="AK124" t="s">
        <v>75</v>
      </c>
      <c r="AL124">
        <v>62044220</v>
      </c>
      <c r="AM124" s="2"/>
      <c r="AN124">
        <v>3600</v>
      </c>
      <c r="AO124" t="s">
        <v>832</v>
      </c>
      <c r="AP124" t="s">
        <v>132</v>
      </c>
      <c r="AQ124" t="s">
        <v>66</v>
      </c>
      <c r="AR124" t="s">
        <v>71</v>
      </c>
      <c r="AS124">
        <v>18</v>
      </c>
      <c r="AT124">
        <v>0</v>
      </c>
      <c r="AU124">
        <v>0</v>
      </c>
      <c r="AV124">
        <v>18</v>
      </c>
      <c r="AW124">
        <v>549.15300000000002</v>
      </c>
      <c r="AX124">
        <v>0</v>
      </c>
      <c r="AY124">
        <v>0</v>
      </c>
      <c r="AZ124">
        <v>549.15300000000002</v>
      </c>
      <c r="BA124" s="2"/>
      <c r="BB124">
        <v>0.75</v>
      </c>
      <c r="BC124" s="2">
        <v>45946.5</v>
      </c>
      <c r="BD124" s="1">
        <f>MarketPlace_Order_Report__2[[#This Row],[UnitPrice]]*MarketPlace_Order_Report__2[[#This Row],[OrderQty]]</f>
        <v>3600</v>
      </c>
      <c r="BE124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24" s="1">
        <f>MarketPlace_Order_Report__2[[#This Row],[Gross Amount (Before Tax)]]+MarketPlace_Order_Report__2[[#This Row],[Total GST Amount]]</f>
        <v>4149.1530000000002</v>
      </c>
    </row>
    <row r="125" spans="1:58">
      <c r="A125" t="s">
        <v>833</v>
      </c>
      <c r="B125" t="s">
        <v>834</v>
      </c>
      <c r="C125" t="s">
        <v>822</v>
      </c>
      <c r="D125" t="s">
        <v>823</v>
      </c>
      <c r="E125">
        <v>3</v>
      </c>
      <c r="F125" t="s">
        <v>62</v>
      </c>
      <c r="G125">
        <v>1</v>
      </c>
      <c r="H125">
        <v>1</v>
      </c>
      <c r="I125">
        <v>4000</v>
      </c>
      <c r="J125">
        <v>3600</v>
      </c>
      <c r="K125">
        <v>0</v>
      </c>
      <c r="L125">
        <v>3600</v>
      </c>
      <c r="M125">
        <v>0</v>
      </c>
      <c r="N125" t="s">
        <v>63</v>
      </c>
      <c r="O125" s="2">
        <v>45935.807152777779</v>
      </c>
      <c r="P125" s="2">
        <v>45937.619120370371</v>
      </c>
      <c r="Q125" s="2">
        <v>45944.615937499999</v>
      </c>
      <c r="R125" t="s">
        <v>835</v>
      </c>
      <c r="S125" t="s">
        <v>89</v>
      </c>
      <c r="T125" s="2">
        <v>45936.813321759262</v>
      </c>
      <c r="U125" t="s">
        <v>66</v>
      </c>
      <c r="V125" t="s">
        <v>67</v>
      </c>
      <c r="W125" t="s">
        <v>66</v>
      </c>
      <c r="X125" t="s">
        <v>66</v>
      </c>
      <c r="Y125" t="s">
        <v>836</v>
      </c>
      <c r="Z125" t="s">
        <v>69</v>
      </c>
      <c r="AA125" t="s">
        <v>70</v>
      </c>
      <c r="AB125" t="s">
        <v>66</v>
      </c>
      <c r="AC125" t="s">
        <v>66</v>
      </c>
      <c r="AD125" s="2">
        <v>45956.264918981484</v>
      </c>
      <c r="AE125" t="s">
        <v>71</v>
      </c>
      <c r="AF125" t="s">
        <v>66</v>
      </c>
      <c r="AG125" t="s">
        <v>185</v>
      </c>
      <c r="AH125" t="s">
        <v>139</v>
      </c>
      <c r="AI125">
        <v>201310</v>
      </c>
      <c r="AJ125" t="s">
        <v>74</v>
      </c>
      <c r="AK125" t="s">
        <v>75</v>
      </c>
      <c r="AL125">
        <v>62044220</v>
      </c>
      <c r="AM125" s="2"/>
      <c r="AN125">
        <v>3600</v>
      </c>
      <c r="AO125" t="s">
        <v>837</v>
      </c>
      <c r="AP125" t="s">
        <v>66</v>
      </c>
      <c r="AQ125" t="s">
        <v>66</v>
      </c>
      <c r="AR125" t="s">
        <v>71</v>
      </c>
      <c r="AS125">
        <v>18</v>
      </c>
      <c r="AT125">
        <v>0</v>
      </c>
      <c r="AU125">
        <v>0</v>
      </c>
      <c r="AV125">
        <v>18</v>
      </c>
      <c r="AW125">
        <v>549.15300000000002</v>
      </c>
      <c r="AX125">
        <v>0</v>
      </c>
      <c r="AY125">
        <v>0</v>
      </c>
      <c r="AZ125">
        <v>549.15300000000002</v>
      </c>
      <c r="BA125" s="2"/>
      <c r="BB125">
        <v>0.75</v>
      </c>
      <c r="BC125" s="2">
        <v>45938.5</v>
      </c>
      <c r="BD125" s="1">
        <f>MarketPlace_Order_Report__2[[#This Row],[UnitPrice]]*MarketPlace_Order_Report__2[[#This Row],[OrderQty]]</f>
        <v>3600</v>
      </c>
      <c r="BE125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25" s="1">
        <f>MarketPlace_Order_Report__2[[#This Row],[Gross Amount (Before Tax)]]+MarketPlace_Order_Report__2[[#This Row],[Total GST Amount]]</f>
        <v>4149.1530000000002</v>
      </c>
    </row>
    <row r="126" spans="1:58">
      <c r="A126" t="s">
        <v>838</v>
      </c>
      <c r="B126" t="s">
        <v>839</v>
      </c>
      <c r="C126" t="s">
        <v>822</v>
      </c>
      <c r="D126" t="s">
        <v>823</v>
      </c>
      <c r="E126">
        <v>1</v>
      </c>
      <c r="F126" t="s">
        <v>145</v>
      </c>
      <c r="G126">
        <v>1</v>
      </c>
      <c r="H126">
        <v>0</v>
      </c>
      <c r="I126">
        <v>4000</v>
      </c>
      <c r="J126">
        <v>3600</v>
      </c>
      <c r="K126">
        <v>0</v>
      </c>
      <c r="L126">
        <v>3620</v>
      </c>
      <c r="M126">
        <v>20</v>
      </c>
      <c r="N126" t="s">
        <v>99</v>
      </c>
      <c r="O126" s="2">
        <v>45932.543726851851</v>
      </c>
      <c r="P126" s="2"/>
      <c r="Q126" s="2"/>
      <c r="R126" t="s">
        <v>66</v>
      </c>
      <c r="S126" t="s">
        <v>65</v>
      </c>
      <c r="T126" s="2"/>
      <c r="U126" t="s">
        <v>147</v>
      </c>
      <c r="V126" t="s">
        <v>67</v>
      </c>
      <c r="W126" t="s">
        <v>66</v>
      </c>
      <c r="X126" t="s">
        <v>66</v>
      </c>
      <c r="Y126" t="s">
        <v>66</v>
      </c>
      <c r="Z126" t="s">
        <v>66</v>
      </c>
      <c r="AA126" t="s">
        <v>66</v>
      </c>
      <c r="AB126" t="s">
        <v>66</v>
      </c>
      <c r="AC126" t="s">
        <v>66</v>
      </c>
      <c r="AD126" s="2">
        <v>45933.428912037038</v>
      </c>
      <c r="AE126" t="s">
        <v>71</v>
      </c>
      <c r="AF126" t="s">
        <v>66</v>
      </c>
      <c r="AG126" t="s">
        <v>840</v>
      </c>
      <c r="AH126" t="s">
        <v>569</v>
      </c>
      <c r="AI126">
        <v>769012</v>
      </c>
      <c r="AJ126" t="s">
        <v>74</v>
      </c>
      <c r="AK126" t="s">
        <v>75</v>
      </c>
      <c r="AL126">
        <v>62044220</v>
      </c>
      <c r="AM126" s="2">
        <v>45933.428912037038</v>
      </c>
      <c r="AN126">
        <v>3600</v>
      </c>
      <c r="AO126" t="s">
        <v>66</v>
      </c>
      <c r="AP126" t="s">
        <v>66</v>
      </c>
      <c r="AQ126" t="s">
        <v>66</v>
      </c>
      <c r="AR126" t="s">
        <v>71</v>
      </c>
      <c r="AS126">
        <v>18</v>
      </c>
      <c r="AT126">
        <v>0</v>
      </c>
      <c r="AU126">
        <v>0</v>
      </c>
      <c r="AV126">
        <v>18</v>
      </c>
      <c r="AW126">
        <v>549.15300000000002</v>
      </c>
      <c r="AX126">
        <v>0</v>
      </c>
      <c r="AY126">
        <v>0</v>
      </c>
      <c r="AZ126">
        <v>549.15300000000002</v>
      </c>
      <c r="BA126" s="2"/>
      <c r="BC126" s="2">
        <v>45935.5</v>
      </c>
      <c r="BD126" s="1">
        <f>MarketPlace_Order_Report__2[[#This Row],[UnitPrice]]*MarketPlace_Order_Report__2[[#This Row],[OrderQty]]</f>
        <v>3600</v>
      </c>
      <c r="BE126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26" s="1">
        <f>MarketPlace_Order_Report__2[[#This Row],[Gross Amount (Before Tax)]]+MarketPlace_Order_Report__2[[#This Row],[Total GST Amount]]</f>
        <v>4149.1530000000002</v>
      </c>
    </row>
    <row r="127" spans="1:58">
      <c r="A127" t="s">
        <v>841</v>
      </c>
      <c r="B127" t="s">
        <v>842</v>
      </c>
      <c r="C127" t="s">
        <v>843</v>
      </c>
      <c r="D127" t="s">
        <v>844</v>
      </c>
      <c r="E127">
        <v>2</v>
      </c>
      <c r="F127" t="s">
        <v>62</v>
      </c>
      <c r="G127">
        <v>1</v>
      </c>
      <c r="H127">
        <v>1</v>
      </c>
      <c r="I127">
        <v>4000</v>
      </c>
      <c r="J127">
        <v>3600</v>
      </c>
      <c r="K127">
        <v>0</v>
      </c>
      <c r="L127">
        <v>3622.03</v>
      </c>
      <c r="M127">
        <v>22.03</v>
      </c>
      <c r="N127" t="s">
        <v>63</v>
      </c>
      <c r="O127" s="2">
        <v>45944.607233796298</v>
      </c>
      <c r="P127" s="2">
        <v>45945.760289351849</v>
      </c>
      <c r="Q127" s="2">
        <v>45948.582476851851</v>
      </c>
      <c r="R127" t="s">
        <v>845</v>
      </c>
      <c r="S127" t="s">
        <v>161</v>
      </c>
      <c r="T127" s="2">
        <v>45944.808067129627</v>
      </c>
      <c r="U127" t="s">
        <v>66</v>
      </c>
      <c r="V127" t="s">
        <v>67</v>
      </c>
      <c r="W127" t="s">
        <v>66</v>
      </c>
      <c r="X127" t="s">
        <v>66</v>
      </c>
      <c r="Y127" t="s">
        <v>846</v>
      </c>
      <c r="Z127" t="s">
        <v>69</v>
      </c>
      <c r="AA127" t="s">
        <v>70</v>
      </c>
      <c r="AB127" t="s">
        <v>66</v>
      </c>
      <c r="AC127" t="s">
        <v>66</v>
      </c>
      <c r="AD127" s="2">
        <v>45961.539189814815</v>
      </c>
      <c r="AE127" t="s">
        <v>71</v>
      </c>
      <c r="AF127" t="s">
        <v>66</v>
      </c>
      <c r="AG127" t="s">
        <v>825</v>
      </c>
      <c r="AH127" t="s">
        <v>123</v>
      </c>
      <c r="AI127">
        <v>415001</v>
      </c>
      <c r="AJ127" t="s">
        <v>74</v>
      </c>
      <c r="AK127" t="s">
        <v>75</v>
      </c>
      <c r="AL127">
        <v>62044220</v>
      </c>
      <c r="AM127" s="2"/>
      <c r="AN127">
        <v>3600</v>
      </c>
      <c r="AO127" t="s">
        <v>847</v>
      </c>
      <c r="AP127" t="s">
        <v>66</v>
      </c>
      <c r="AQ127" t="s">
        <v>325</v>
      </c>
      <c r="AR127" t="s">
        <v>71</v>
      </c>
      <c r="AS127">
        <v>18</v>
      </c>
      <c r="AT127">
        <v>9</v>
      </c>
      <c r="AU127">
        <v>9</v>
      </c>
      <c r="AV127">
        <v>0</v>
      </c>
      <c r="AW127">
        <v>549.15300000000002</v>
      </c>
      <c r="AX127">
        <v>274.577</v>
      </c>
      <c r="AY127">
        <v>274.577</v>
      </c>
      <c r="AZ127">
        <v>0</v>
      </c>
      <c r="BA127" s="2">
        <v>45944.787465277775</v>
      </c>
      <c r="BB127">
        <v>0.75</v>
      </c>
      <c r="BC127" s="2">
        <v>45947.5</v>
      </c>
      <c r="BD127" s="1">
        <f>MarketPlace_Order_Report__2[[#This Row],[UnitPrice]]*MarketPlace_Order_Report__2[[#This Row],[OrderQty]]</f>
        <v>3600</v>
      </c>
      <c r="BE127" s="1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127" s="1">
        <f>MarketPlace_Order_Report__2[[#This Row],[Gross Amount (Before Tax)]]+MarketPlace_Order_Report__2[[#This Row],[Total GST Amount]]</f>
        <v>4149.1540000000005</v>
      </c>
    </row>
    <row r="128" spans="1:58">
      <c r="A128" t="s">
        <v>848</v>
      </c>
      <c r="B128" t="s">
        <v>849</v>
      </c>
      <c r="C128" t="s">
        <v>843</v>
      </c>
      <c r="D128" t="s">
        <v>844</v>
      </c>
      <c r="E128">
        <v>1</v>
      </c>
      <c r="F128" t="s">
        <v>1806</v>
      </c>
      <c r="G128">
        <v>1</v>
      </c>
      <c r="H128">
        <v>1</v>
      </c>
      <c r="I128">
        <v>4000</v>
      </c>
      <c r="J128">
        <v>3600</v>
      </c>
      <c r="K128">
        <v>0</v>
      </c>
      <c r="L128">
        <v>3629</v>
      </c>
      <c r="M128">
        <v>29</v>
      </c>
      <c r="N128" t="s">
        <v>63</v>
      </c>
      <c r="O128" s="2">
        <v>45941.901053240741</v>
      </c>
      <c r="P128" s="2">
        <v>45943.762777777774</v>
      </c>
      <c r="Q128" s="2">
        <v>45946.551689814813</v>
      </c>
      <c r="R128" t="s">
        <v>850</v>
      </c>
      <c r="S128" t="s">
        <v>65</v>
      </c>
      <c r="T128" s="2">
        <v>45942.661412037036</v>
      </c>
      <c r="U128" t="s">
        <v>66</v>
      </c>
      <c r="V128" t="s">
        <v>67</v>
      </c>
      <c r="W128" t="s">
        <v>66</v>
      </c>
      <c r="X128" t="s">
        <v>66</v>
      </c>
      <c r="Y128" t="s">
        <v>66</v>
      </c>
      <c r="Z128" t="s">
        <v>66</v>
      </c>
      <c r="AA128" t="s">
        <v>66</v>
      </c>
      <c r="AB128" t="s">
        <v>66</v>
      </c>
      <c r="AC128" t="s">
        <v>66</v>
      </c>
      <c r="AD128" s="2">
        <v>45946.55641203704</v>
      </c>
      <c r="AE128" t="s">
        <v>71</v>
      </c>
      <c r="AF128" t="s">
        <v>66</v>
      </c>
      <c r="AG128" t="s">
        <v>222</v>
      </c>
      <c r="AH128" t="s">
        <v>73</v>
      </c>
      <c r="AI128">
        <v>302021</v>
      </c>
      <c r="AJ128" t="s">
        <v>74</v>
      </c>
      <c r="AK128" t="s">
        <v>75</v>
      </c>
      <c r="AL128">
        <v>62044220</v>
      </c>
      <c r="AM128" s="2"/>
      <c r="AN128">
        <v>3600</v>
      </c>
      <c r="AO128" t="s">
        <v>851</v>
      </c>
      <c r="AP128" t="s">
        <v>132</v>
      </c>
      <c r="AQ128" t="s">
        <v>66</v>
      </c>
      <c r="AR128" t="s">
        <v>71</v>
      </c>
      <c r="AS128">
        <v>18</v>
      </c>
      <c r="AT128">
        <v>0</v>
      </c>
      <c r="AU128">
        <v>0</v>
      </c>
      <c r="AV128">
        <v>18</v>
      </c>
      <c r="AW128">
        <v>549.15300000000002</v>
      </c>
      <c r="AX128">
        <v>0</v>
      </c>
      <c r="AY128">
        <v>0</v>
      </c>
      <c r="AZ128">
        <v>549.15300000000002</v>
      </c>
      <c r="BA128" s="2"/>
      <c r="BB128">
        <v>0.75</v>
      </c>
      <c r="BC128" s="2">
        <v>45944.5</v>
      </c>
      <c r="BD128" s="1">
        <f>MarketPlace_Order_Report__2[[#This Row],[UnitPrice]]*MarketPlace_Order_Report__2[[#This Row],[OrderQty]]</f>
        <v>3600</v>
      </c>
      <c r="BE128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28" s="1">
        <f>MarketPlace_Order_Report__2[[#This Row],[Gross Amount (Before Tax)]]+MarketPlace_Order_Report__2[[#This Row],[Total GST Amount]]</f>
        <v>4149.1530000000002</v>
      </c>
    </row>
    <row r="129" spans="1:58">
      <c r="A129" t="s">
        <v>852</v>
      </c>
      <c r="B129" t="s">
        <v>853</v>
      </c>
      <c r="C129" t="s">
        <v>843</v>
      </c>
      <c r="D129" t="s">
        <v>844</v>
      </c>
      <c r="E129">
        <v>1</v>
      </c>
      <c r="F129" t="s">
        <v>145</v>
      </c>
      <c r="G129">
        <v>1</v>
      </c>
      <c r="H129">
        <v>0</v>
      </c>
      <c r="I129">
        <v>4000</v>
      </c>
      <c r="J129">
        <v>3600</v>
      </c>
      <c r="K129">
        <v>0</v>
      </c>
      <c r="L129">
        <v>3629</v>
      </c>
      <c r="M129">
        <v>29</v>
      </c>
      <c r="N129" t="s">
        <v>63</v>
      </c>
      <c r="O129" s="2">
        <v>45940.929212962961</v>
      </c>
      <c r="P129" s="2"/>
      <c r="Q129" s="2"/>
      <c r="R129" t="s">
        <v>66</v>
      </c>
      <c r="S129" t="s">
        <v>161</v>
      </c>
      <c r="T129" s="2"/>
      <c r="U129" t="s">
        <v>854</v>
      </c>
      <c r="V129" t="s">
        <v>67</v>
      </c>
      <c r="W129" t="s">
        <v>66</v>
      </c>
      <c r="X129" t="s">
        <v>66</v>
      </c>
      <c r="Y129" t="s">
        <v>66</v>
      </c>
      <c r="Z129" t="s">
        <v>66</v>
      </c>
      <c r="AA129" t="s">
        <v>66</v>
      </c>
      <c r="AB129" t="s">
        <v>66</v>
      </c>
      <c r="AC129" t="s">
        <v>66</v>
      </c>
      <c r="AD129" s="2">
        <v>45940.935636574075</v>
      </c>
      <c r="AE129" t="s">
        <v>71</v>
      </c>
      <c r="AF129" t="s">
        <v>66</v>
      </c>
      <c r="AG129" t="s">
        <v>825</v>
      </c>
      <c r="AH129" t="s">
        <v>123</v>
      </c>
      <c r="AI129">
        <v>415001</v>
      </c>
      <c r="AJ129" t="s">
        <v>74</v>
      </c>
      <c r="AK129" t="s">
        <v>75</v>
      </c>
      <c r="AL129">
        <v>62044220</v>
      </c>
      <c r="AM129" s="2">
        <v>45940.935636574075</v>
      </c>
      <c r="AN129">
        <v>3600</v>
      </c>
      <c r="AO129" t="s">
        <v>66</v>
      </c>
      <c r="AP129" t="s">
        <v>66</v>
      </c>
      <c r="AQ129" t="s">
        <v>325</v>
      </c>
      <c r="AR129" t="s">
        <v>326</v>
      </c>
      <c r="AS129">
        <v>18</v>
      </c>
      <c r="AT129">
        <v>9</v>
      </c>
      <c r="AU129">
        <v>9</v>
      </c>
      <c r="AV129">
        <v>0</v>
      </c>
      <c r="AW129">
        <v>549.15300000000002</v>
      </c>
      <c r="AX129">
        <v>274.577</v>
      </c>
      <c r="AY129">
        <v>274.577</v>
      </c>
      <c r="AZ129">
        <v>0</v>
      </c>
      <c r="BA129" s="2"/>
      <c r="BC129" s="2">
        <v>45943.5</v>
      </c>
      <c r="BD129" s="1">
        <f>MarketPlace_Order_Report__2[[#This Row],[UnitPrice]]*MarketPlace_Order_Report__2[[#This Row],[OrderQty]]</f>
        <v>3600</v>
      </c>
      <c r="BE129" s="1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129" s="1">
        <f>MarketPlace_Order_Report__2[[#This Row],[Gross Amount (Before Tax)]]+MarketPlace_Order_Report__2[[#This Row],[Total GST Amount]]</f>
        <v>4149.1540000000005</v>
      </c>
    </row>
    <row r="130" spans="1:58">
      <c r="A130" t="s">
        <v>855</v>
      </c>
      <c r="B130" t="s">
        <v>856</v>
      </c>
      <c r="C130" t="s">
        <v>843</v>
      </c>
      <c r="D130" t="s">
        <v>844</v>
      </c>
      <c r="E130">
        <v>1</v>
      </c>
      <c r="F130" t="s">
        <v>1806</v>
      </c>
      <c r="G130">
        <v>1</v>
      </c>
      <c r="H130">
        <v>1</v>
      </c>
      <c r="I130">
        <v>4000</v>
      </c>
      <c r="J130">
        <v>3600</v>
      </c>
      <c r="K130">
        <v>0</v>
      </c>
      <c r="L130">
        <v>3629</v>
      </c>
      <c r="M130">
        <v>29</v>
      </c>
      <c r="N130" t="s">
        <v>63</v>
      </c>
      <c r="O130" s="2">
        <v>45940.892916666664</v>
      </c>
      <c r="P130" s="2">
        <v>45941.748553240737</v>
      </c>
      <c r="Q130" s="2">
        <v>45944.451504629629</v>
      </c>
      <c r="R130" t="s">
        <v>857</v>
      </c>
      <c r="S130" t="s">
        <v>65</v>
      </c>
      <c r="T130" s="2">
        <v>45941.595370370371</v>
      </c>
      <c r="U130" t="s">
        <v>66</v>
      </c>
      <c r="V130" t="s">
        <v>67</v>
      </c>
      <c r="W130" t="s">
        <v>66</v>
      </c>
      <c r="X130" t="s">
        <v>66</v>
      </c>
      <c r="Y130" t="s">
        <v>66</v>
      </c>
      <c r="Z130" t="s">
        <v>66</v>
      </c>
      <c r="AA130" t="s">
        <v>66</v>
      </c>
      <c r="AB130" t="s">
        <v>66</v>
      </c>
      <c r="AC130" t="s">
        <v>66</v>
      </c>
      <c r="AD130" s="2">
        <v>45944.452037037037</v>
      </c>
      <c r="AE130" t="s">
        <v>71</v>
      </c>
      <c r="AF130" t="s">
        <v>66</v>
      </c>
      <c r="AG130" t="s">
        <v>114</v>
      </c>
      <c r="AH130" t="s">
        <v>115</v>
      </c>
      <c r="AI130">
        <v>110075</v>
      </c>
      <c r="AJ130" t="s">
        <v>74</v>
      </c>
      <c r="AK130" t="s">
        <v>75</v>
      </c>
      <c r="AL130">
        <v>62044220</v>
      </c>
      <c r="AM130" s="2"/>
      <c r="AN130">
        <v>3600</v>
      </c>
      <c r="AO130" t="s">
        <v>858</v>
      </c>
      <c r="AP130" t="s">
        <v>187</v>
      </c>
      <c r="AQ130" t="s">
        <v>66</v>
      </c>
      <c r="AR130" t="s">
        <v>71</v>
      </c>
      <c r="AS130">
        <v>18</v>
      </c>
      <c r="AT130">
        <v>0</v>
      </c>
      <c r="AU130">
        <v>0</v>
      </c>
      <c r="AV130">
        <v>18</v>
      </c>
      <c r="AW130">
        <v>549.15300000000002</v>
      </c>
      <c r="AX130">
        <v>0</v>
      </c>
      <c r="AY130">
        <v>0</v>
      </c>
      <c r="AZ130">
        <v>549.15300000000002</v>
      </c>
      <c r="BA130" s="2"/>
      <c r="BB130">
        <v>0.75</v>
      </c>
      <c r="BC130" s="2">
        <v>45943.5</v>
      </c>
      <c r="BD130" s="1">
        <f>MarketPlace_Order_Report__2[[#This Row],[UnitPrice]]*MarketPlace_Order_Report__2[[#This Row],[OrderQty]]</f>
        <v>3600</v>
      </c>
      <c r="BE130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30" s="1">
        <f>MarketPlace_Order_Report__2[[#This Row],[Gross Amount (Before Tax)]]+MarketPlace_Order_Report__2[[#This Row],[Total GST Amount]]</f>
        <v>4149.1530000000002</v>
      </c>
    </row>
    <row r="131" spans="1:58">
      <c r="A131" t="s">
        <v>859</v>
      </c>
      <c r="B131" t="s">
        <v>860</v>
      </c>
      <c r="C131" t="s">
        <v>843</v>
      </c>
      <c r="D131" t="s">
        <v>844</v>
      </c>
      <c r="E131">
        <v>1</v>
      </c>
      <c r="F131" t="s">
        <v>1806</v>
      </c>
      <c r="G131">
        <v>1</v>
      </c>
      <c r="H131">
        <v>1</v>
      </c>
      <c r="I131">
        <v>4000</v>
      </c>
      <c r="J131">
        <v>3600</v>
      </c>
      <c r="K131">
        <v>0</v>
      </c>
      <c r="L131">
        <v>3629</v>
      </c>
      <c r="M131">
        <v>29</v>
      </c>
      <c r="N131" t="s">
        <v>63</v>
      </c>
      <c r="O131" s="2">
        <v>45938.427245370367</v>
      </c>
      <c r="P131" s="2">
        <v>45939.734525462962</v>
      </c>
      <c r="Q131" s="2">
        <v>45941.834421296298</v>
      </c>
      <c r="R131" t="s">
        <v>861</v>
      </c>
      <c r="S131" t="s">
        <v>161</v>
      </c>
      <c r="T131" s="2">
        <v>45938.725810185184</v>
      </c>
      <c r="U131" t="s">
        <v>66</v>
      </c>
      <c r="V131" t="s">
        <v>67</v>
      </c>
      <c r="W131" t="s">
        <v>66</v>
      </c>
      <c r="X131" t="s">
        <v>66</v>
      </c>
      <c r="Y131" t="s">
        <v>66</v>
      </c>
      <c r="Z131" t="s">
        <v>66</v>
      </c>
      <c r="AA131" t="s">
        <v>66</v>
      </c>
      <c r="AB131" t="s">
        <v>66</v>
      </c>
      <c r="AC131" t="s">
        <v>66</v>
      </c>
      <c r="AD131" s="2">
        <v>45941.837754629632</v>
      </c>
      <c r="AE131" t="s">
        <v>71</v>
      </c>
      <c r="AF131" t="s">
        <v>66</v>
      </c>
      <c r="AG131" t="s">
        <v>300</v>
      </c>
      <c r="AH131" t="s">
        <v>123</v>
      </c>
      <c r="AI131">
        <v>411045</v>
      </c>
      <c r="AJ131" t="s">
        <v>74</v>
      </c>
      <c r="AK131" t="s">
        <v>75</v>
      </c>
      <c r="AL131">
        <v>62044220</v>
      </c>
      <c r="AM131" s="2"/>
      <c r="AN131">
        <v>3600</v>
      </c>
      <c r="AO131" t="s">
        <v>862</v>
      </c>
      <c r="AP131" t="s">
        <v>93</v>
      </c>
      <c r="AQ131" t="s">
        <v>66</v>
      </c>
      <c r="AR131" t="s">
        <v>71</v>
      </c>
      <c r="AS131">
        <v>18</v>
      </c>
      <c r="AT131">
        <v>9</v>
      </c>
      <c r="AU131">
        <v>9</v>
      </c>
      <c r="AV131">
        <v>0</v>
      </c>
      <c r="AW131">
        <v>549.15300000000002</v>
      </c>
      <c r="AX131">
        <v>274.577</v>
      </c>
      <c r="AY131">
        <v>274.577</v>
      </c>
      <c r="AZ131">
        <v>0</v>
      </c>
      <c r="BA131" s="2"/>
      <c r="BB131">
        <v>0.75</v>
      </c>
      <c r="BC131" s="2">
        <v>45940.5</v>
      </c>
      <c r="BD131" s="1">
        <f>MarketPlace_Order_Report__2[[#This Row],[UnitPrice]]*MarketPlace_Order_Report__2[[#This Row],[OrderQty]]</f>
        <v>3600</v>
      </c>
      <c r="BE131" s="1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131" s="1">
        <f>MarketPlace_Order_Report__2[[#This Row],[Gross Amount (Before Tax)]]+MarketPlace_Order_Report__2[[#This Row],[Total GST Amount]]</f>
        <v>4149.1540000000005</v>
      </c>
    </row>
    <row r="132" spans="1:58">
      <c r="A132" t="s">
        <v>863</v>
      </c>
      <c r="B132" t="s">
        <v>864</v>
      </c>
      <c r="C132" t="s">
        <v>865</v>
      </c>
      <c r="D132" t="s">
        <v>866</v>
      </c>
      <c r="E132">
        <v>1</v>
      </c>
      <c r="F132" t="s">
        <v>62</v>
      </c>
      <c r="G132">
        <v>1</v>
      </c>
      <c r="H132">
        <v>1</v>
      </c>
      <c r="I132">
        <v>4000</v>
      </c>
      <c r="J132">
        <v>3600</v>
      </c>
      <c r="K132">
        <v>0</v>
      </c>
      <c r="L132">
        <v>3629</v>
      </c>
      <c r="M132">
        <v>29</v>
      </c>
      <c r="N132" t="s">
        <v>63</v>
      </c>
      <c r="O132" s="2">
        <v>45943.513310185182</v>
      </c>
      <c r="P132" s="2">
        <v>45944.740057870367</v>
      </c>
      <c r="Q132" s="2">
        <v>45946.642118055555</v>
      </c>
      <c r="R132" t="s">
        <v>867</v>
      </c>
      <c r="S132" t="s">
        <v>65</v>
      </c>
      <c r="T132" s="2">
        <v>45943.814467592594</v>
      </c>
      <c r="U132" t="s">
        <v>66</v>
      </c>
      <c r="V132" t="s">
        <v>67</v>
      </c>
      <c r="W132" t="s">
        <v>66</v>
      </c>
      <c r="X132" t="s">
        <v>66</v>
      </c>
      <c r="Y132" t="s">
        <v>868</v>
      </c>
      <c r="Z132" t="s">
        <v>69</v>
      </c>
      <c r="AA132" t="s">
        <v>175</v>
      </c>
      <c r="AB132" t="s">
        <v>66</v>
      </c>
      <c r="AC132" t="s">
        <v>66</v>
      </c>
      <c r="AD132" s="2">
        <v>45959.532256944447</v>
      </c>
      <c r="AE132" t="s">
        <v>71</v>
      </c>
      <c r="AF132" t="s">
        <v>66</v>
      </c>
      <c r="AG132" t="s">
        <v>588</v>
      </c>
      <c r="AH132" t="s">
        <v>440</v>
      </c>
      <c r="AI132">
        <v>122018</v>
      </c>
      <c r="AJ132" t="s">
        <v>74</v>
      </c>
      <c r="AK132" t="s">
        <v>75</v>
      </c>
      <c r="AL132">
        <v>62044220</v>
      </c>
      <c r="AM132" s="2"/>
      <c r="AN132">
        <v>3600</v>
      </c>
      <c r="AO132" t="s">
        <v>869</v>
      </c>
      <c r="AP132" t="s">
        <v>132</v>
      </c>
      <c r="AQ132" t="s">
        <v>66</v>
      </c>
      <c r="AR132" t="s">
        <v>71</v>
      </c>
      <c r="AS132">
        <v>18</v>
      </c>
      <c r="AT132">
        <v>0</v>
      </c>
      <c r="AU132">
        <v>0</v>
      </c>
      <c r="AV132">
        <v>18</v>
      </c>
      <c r="AW132">
        <v>549.15300000000002</v>
      </c>
      <c r="AX132">
        <v>0</v>
      </c>
      <c r="AY132">
        <v>0</v>
      </c>
      <c r="AZ132">
        <v>549.15300000000002</v>
      </c>
      <c r="BA132" s="2"/>
      <c r="BB132">
        <v>0.75</v>
      </c>
      <c r="BC132" s="2">
        <v>45946.5</v>
      </c>
      <c r="BD132" s="1">
        <f>MarketPlace_Order_Report__2[[#This Row],[UnitPrice]]*MarketPlace_Order_Report__2[[#This Row],[OrderQty]]</f>
        <v>3600</v>
      </c>
      <c r="BE132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32" s="1">
        <f>MarketPlace_Order_Report__2[[#This Row],[Gross Amount (Before Tax)]]+MarketPlace_Order_Report__2[[#This Row],[Total GST Amount]]</f>
        <v>4149.1530000000002</v>
      </c>
    </row>
    <row r="133" spans="1:58">
      <c r="A133" t="s">
        <v>870</v>
      </c>
      <c r="B133" t="s">
        <v>871</v>
      </c>
      <c r="C133" t="s">
        <v>872</v>
      </c>
      <c r="D133" t="s">
        <v>873</v>
      </c>
      <c r="E133">
        <v>3</v>
      </c>
      <c r="F133" t="s">
        <v>1806</v>
      </c>
      <c r="G133">
        <v>1</v>
      </c>
      <c r="H133">
        <v>1</v>
      </c>
      <c r="I133">
        <v>4000</v>
      </c>
      <c r="J133">
        <v>3600</v>
      </c>
      <c r="K133">
        <v>0</v>
      </c>
      <c r="L133">
        <v>3608.92</v>
      </c>
      <c r="M133">
        <v>8.92</v>
      </c>
      <c r="N133" t="s">
        <v>63</v>
      </c>
      <c r="O133" s="2">
        <v>45935.755219907405</v>
      </c>
      <c r="P133" s="2">
        <v>45937.726018518515</v>
      </c>
      <c r="Q133" s="2">
        <v>45939.71769675926</v>
      </c>
      <c r="R133" t="s">
        <v>874</v>
      </c>
      <c r="S133" t="s">
        <v>161</v>
      </c>
      <c r="T133" s="2">
        <v>45936.813321759262</v>
      </c>
      <c r="U133" t="s">
        <v>66</v>
      </c>
      <c r="V133" t="s">
        <v>67</v>
      </c>
      <c r="W133" t="s">
        <v>66</v>
      </c>
      <c r="X133" t="s">
        <v>66</v>
      </c>
      <c r="Y133" t="s">
        <v>66</v>
      </c>
      <c r="Z133" t="s">
        <v>66</v>
      </c>
      <c r="AA133" t="s">
        <v>66</v>
      </c>
      <c r="AB133" t="s">
        <v>66</v>
      </c>
      <c r="AC133" t="s">
        <v>66</v>
      </c>
      <c r="AD133" s="2">
        <v>45939.719537037039</v>
      </c>
      <c r="AE133" t="s">
        <v>71</v>
      </c>
      <c r="AF133" t="s">
        <v>66</v>
      </c>
      <c r="AG133" t="s">
        <v>259</v>
      </c>
      <c r="AH133" t="s">
        <v>123</v>
      </c>
      <c r="AI133">
        <v>401107</v>
      </c>
      <c r="AJ133" t="s">
        <v>74</v>
      </c>
      <c r="AK133" t="s">
        <v>75</v>
      </c>
      <c r="AL133">
        <v>62044220</v>
      </c>
      <c r="AM133" s="2"/>
      <c r="AN133">
        <v>3600</v>
      </c>
      <c r="AO133" t="s">
        <v>875</v>
      </c>
      <c r="AP133" t="s">
        <v>132</v>
      </c>
      <c r="AQ133" t="s">
        <v>66</v>
      </c>
      <c r="AR133" t="s">
        <v>71</v>
      </c>
      <c r="AS133">
        <v>18</v>
      </c>
      <c r="AT133">
        <v>9</v>
      </c>
      <c r="AU133">
        <v>9</v>
      </c>
      <c r="AV133">
        <v>0</v>
      </c>
      <c r="AW133">
        <v>549.15300000000002</v>
      </c>
      <c r="AX133">
        <v>274.577</v>
      </c>
      <c r="AY133">
        <v>274.577</v>
      </c>
      <c r="AZ133">
        <v>0</v>
      </c>
      <c r="BA133" s="2"/>
      <c r="BB133">
        <v>0.75</v>
      </c>
      <c r="BC133" s="2">
        <v>45938.5</v>
      </c>
      <c r="BD133" s="1">
        <f>MarketPlace_Order_Report__2[[#This Row],[UnitPrice]]*MarketPlace_Order_Report__2[[#This Row],[OrderQty]]</f>
        <v>3600</v>
      </c>
      <c r="BE133" s="1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133" s="1">
        <f>MarketPlace_Order_Report__2[[#This Row],[Gross Amount (Before Tax)]]+MarketPlace_Order_Report__2[[#This Row],[Total GST Amount]]</f>
        <v>4149.1540000000005</v>
      </c>
    </row>
    <row r="134" spans="1:58">
      <c r="A134" t="s">
        <v>876</v>
      </c>
      <c r="B134" t="s">
        <v>877</v>
      </c>
      <c r="C134" t="s">
        <v>878</v>
      </c>
      <c r="D134" t="s">
        <v>879</v>
      </c>
      <c r="E134">
        <v>1</v>
      </c>
      <c r="F134" t="s">
        <v>1806</v>
      </c>
      <c r="G134">
        <v>1</v>
      </c>
      <c r="H134">
        <v>1</v>
      </c>
      <c r="I134">
        <v>4000</v>
      </c>
      <c r="J134">
        <v>3600</v>
      </c>
      <c r="K134">
        <v>0</v>
      </c>
      <c r="L134">
        <v>3610.3229999999999</v>
      </c>
      <c r="M134">
        <v>10.323</v>
      </c>
      <c r="N134" t="s">
        <v>99</v>
      </c>
      <c r="O134" s="2">
        <v>45944.744768518518</v>
      </c>
      <c r="P134" s="2">
        <v>45945.759652777779</v>
      </c>
      <c r="Q134" s="2">
        <v>45948.659861111111</v>
      </c>
      <c r="R134" t="s">
        <v>880</v>
      </c>
      <c r="S134" t="s">
        <v>65</v>
      </c>
      <c r="T134" s="2">
        <v>45944.808067129627</v>
      </c>
      <c r="U134" t="s">
        <v>66</v>
      </c>
      <c r="V134" t="s">
        <v>67</v>
      </c>
      <c r="W134" t="s">
        <v>66</v>
      </c>
      <c r="X134" t="s">
        <v>66</v>
      </c>
      <c r="Y134" t="s">
        <v>66</v>
      </c>
      <c r="Z134" t="s">
        <v>66</v>
      </c>
      <c r="AA134" t="s">
        <v>66</v>
      </c>
      <c r="AB134" t="s">
        <v>66</v>
      </c>
      <c r="AC134" t="s">
        <v>66</v>
      </c>
      <c r="AD134" s="2">
        <v>45948.660636574074</v>
      </c>
      <c r="AE134" t="s">
        <v>71</v>
      </c>
      <c r="AF134" t="s">
        <v>66</v>
      </c>
      <c r="AG134" t="s">
        <v>185</v>
      </c>
      <c r="AH134" t="s">
        <v>139</v>
      </c>
      <c r="AI134">
        <v>201301</v>
      </c>
      <c r="AJ134" t="s">
        <v>74</v>
      </c>
      <c r="AK134" t="s">
        <v>75</v>
      </c>
      <c r="AL134">
        <v>62044220</v>
      </c>
      <c r="AM134" s="2"/>
      <c r="AN134">
        <v>3600</v>
      </c>
      <c r="AO134" t="s">
        <v>881</v>
      </c>
      <c r="AP134" t="s">
        <v>882</v>
      </c>
      <c r="AQ134" t="s">
        <v>66</v>
      </c>
      <c r="AR134" t="s">
        <v>71</v>
      </c>
      <c r="AS134">
        <v>18</v>
      </c>
      <c r="AT134">
        <v>0</v>
      </c>
      <c r="AU134">
        <v>0</v>
      </c>
      <c r="AV134">
        <v>18</v>
      </c>
      <c r="AW134">
        <v>549.15300000000002</v>
      </c>
      <c r="AX134">
        <v>0</v>
      </c>
      <c r="AY134">
        <v>0</v>
      </c>
      <c r="AZ134">
        <v>549.15300000000002</v>
      </c>
      <c r="BA134" s="2"/>
      <c r="BB134">
        <v>1</v>
      </c>
      <c r="BC134" s="2">
        <v>45947.5</v>
      </c>
      <c r="BD134" s="1">
        <f>MarketPlace_Order_Report__2[[#This Row],[UnitPrice]]*MarketPlace_Order_Report__2[[#This Row],[OrderQty]]</f>
        <v>3600</v>
      </c>
      <c r="BE134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34" s="1">
        <f>MarketPlace_Order_Report__2[[#This Row],[Gross Amount (Before Tax)]]+MarketPlace_Order_Report__2[[#This Row],[Total GST Amount]]</f>
        <v>4149.1530000000002</v>
      </c>
    </row>
    <row r="135" spans="1:58">
      <c r="A135" t="s">
        <v>883</v>
      </c>
      <c r="B135" t="s">
        <v>884</v>
      </c>
      <c r="C135" t="s">
        <v>885</v>
      </c>
      <c r="D135" t="s">
        <v>886</v>
      </c>
      <c r="E135">
        <v>1</v>
      </c>
      <c r="F135" t="s">
        <v>62</v>
      </c>
      <c r="G135">
        <v>1</v>
      </c>
      <c r="H135">
        <v>1</v>
      </c>
      <c r="I135">
        <v>3500</v>
      </c>
      <c r="J135">
        <v>3150</v>
      </c>
      <c r="K135">
        <v>0</v>
      </c>
      <c r="L135">
        <v>3249</v>
      </c>
      <c r="M135">
        <v>99</v>
      </c>
      <c r="N135" t="s">
        <v>63</v>
      </c>
      <c r="O135" s="2">
        <v>45940.828935185185</v>
      </c>
      <c r="P135" s="2">
        <v>45941.747233796297</v>
      </c>
      <c r="Q135" s="2">
        <v>45944.552164351851</v>
      </c>
      <c r="R135" t="s">
        <v>887</v>
      </c>
      <c r="S135" t="s">
        <v>161</v>
      </c>
      <c r="T135" s="2">
        <v>45941.595370370371</v>
      </c>
      <c r="U135" t="s">
        <v>66</v>
      </c>
      <c r="V135" t="s">
        <v>67</v>
      </c>
      <c r="W135" t="s">
        <v>66</v>
      </c>
      <c r="X135" t="s">
        <v>66</v>
      </c>
      <c r="Y135" t="s">
        <v>888</v>
      </c>
      <c r="Z135" t="s">
        <v>69</v>
      </c>
      <c r="AA135" t="s">
        <v>175</v>
      </c>
      <c r="AB135" t="s">
        <v>66</v>
      </c>
      <c r="AC135" t="s">
        <v>66</v>
      </c>
      <c r="AD135" s="2">
        <v>45958.625763888886</v>
      </c>
      <c r="AE135" t="s">
        <v>71</v>
      </c>
      <c r="AF135" t="s">
        <v>66</v>
      </c>
      <c r="AG135" t="s">
        <v>259</v>
      </c>
      <c r="AH135" t="s">
        <v>123</v>
      </c>
      <c r="AI135">
        <v>400104</v>
      </c>
      <c r="AJ135" t="s">
        <v>74</v>
      </c>
      <c r="AK135" t="s">
        <v>75</v>
      </c>
      <c r="AL135">
        <v>62044220</v>
      </c>
      <c r="AM135" s="2"/>
      <c r="AN135">
        <v>3150</v>
      </c>
      <c r="AO135" t="s">
        <v>889</v>
      </c>
      <c r="AP135" t="s">
        <v>187</v>
      </c>
      <c r="AQ135" t="s">
        <v>66</v>
      </c>
      <c r="AR135" t="s">
        <v>71</v>
      </c>
      <c r="AS135">
        <v>18</v>
      </c>
      <c r="AT135">
        <v>9</v>
      </c>
      <c r="AU135">
        <v>9</v>
      </c>
      <c r="AV135">
        <v>0</v>
      </c>
      <c r="AW135">
        <v>480.50799999999998</v>
      </c>
      <c r="AX135">
        <v>240.25399999999999</v>
      </c>
      <c r="AY135">
        <v>240.25399999999999</v>
      </c>
      <c r="AZ135">
        <v>0</v>
      </c>
      <c r="BA135" s="2"/>
      <c r="BB135">
        <v>0.75</v>
      </c>
      <c r="BC135" s="2">
        <v>45943.5</v>
      </c>
      <c r="BD135" s="1">
        <f>MarketPlace_Order_Report__2[[#This Row],[UnitPrice]]*MarketPlace_Order_Report__2[[#This Row],[OrderQty]]</f>
        <v>3150</v>
      </c>
      <c r="BE135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35" s="1">
        <f>MarketPlace_Order_Report__2[[#This Row],[Gross Amount (Before Tax)]]+MarketPlace_Order_Report__2[[#This Row],[Total GST Amount]]</f>
        <v>3630.5079999999998</v>
      </c>
    </row>
    <row r="136" spans="1:58">
      <c r="A136" t="s">
        <v>890</v>
      </c>
      <c r="B136" t="s">
        <v>891</v>
      </c>
      <c r="C136" t="s">
        <v>885</v>
      </c>
      <c r="D136" t="s">
        <v>886</v>
      </c>
      <c r="E136">
        <v>1</v>
      </c>
      <c r="F136" t="s">
        <v>62</v>
      </c>
      <c r="G136">
        <v>1</v>
      </c>
      <c r="H136">
        <v>1</v>
      </c>
      <c r="I136">
        <v>3500</v>
      </c>
      <c r="J136">
        <v>3150</v>
      </c>
      <c r="K136">
        <v>0</v>
      </c>
      <c r="L136">
        <v>3199</v>
      </c>
      <c r="M136">
        <v>49</v>
      </c>
      <c r="N136" t="s">
        <v>99</v>
      </c>
      <c r="O136" s="2">
        <v>45939.49900462963</v>
      </c>
      <c r="P136" s="2">
        <v>45940.730787037035</v>
      </c>
      <c r="Q136" s="2">
        <v>45946.545960648145</v>
      </c>
      <c r="R136" t="s">
        <v>892</v>
      </c>
      <c r="S136" t="s">
        <v>161</v>
      </c>
      <c r="T136" s="2">
        <v>45939.786319444444</v>
      </c>
      <c r="U136" t="s">
        <v>66</v>
      </c>
      <c r="V136" t="s">
        <v>67</v>
      </c>
      <c r="W136" t="s">
        <v>66</v>
      </c>
      <c r="X136" t="s">
        <v>66</v>
      </c>
      <c r="Y136" t="s">
        <v>893</v>
      </c>
      <c r="Z136" t="s">
        <v>69</v>
      </c>
      <c r="AA136" t="s">
        <v>175</v>
      </c>
      <c r="AB136" t="s">
        <v>66</v>
      </c>
      <c r="AC136" t="s">
        <v>66</v>
      </c>
      <c r="AD136" s="2">
        <v>45959.62263888889</v>
      </c>
      <c r="AE136" t="s">
        <v>71</v>
      </c>
      <c r="AF136" t="s">
        <v>66</v>
      </c>
      <c r="AG136" t="s">
        <v>894</v>
      </c>
      <c r="AH136" t="s">
        <v>383</v>
      </c>
      <c r="AI136">
        <v>474001</v>
      </c>
      <c r="AJ136" t="s">
        <v>74</v>
      </c>
      <c r="AK136" t="s">
        <v>75</v>
      </c>
      <c r="AL136">
        <v>62044220</v>
      </c>
      <c r="AM136" s="2"/>
      <c r="AN136">
        <v>3150</v>
      </c>
      <c r="AO136" t="s">
        <v>895</v>
      </c>
      <c r="AP136" t="s">
        <v>451</v>
      </c>
      <c r="AQ136" t="s">
        <v>66</v>
      </c>
      <c r="AR136" t="s">
        <v>71</v>
      </c>
      <c r="AS136">
        <v>18</v>
      </c>
      <c r="AT136">
        <v>0</v>
      </c>
      <c r="AU136">
        <v>0</v>
      </c>
      <c r="AV136">
        <v>18</v>
      </c>
      <c r="AW136">
        <v>480.50799999999998</v>
      </c>
      <c r="AX136">
        <v>0</v>
      </c>
      <c r="AY136">
        <v>0</v>
      </c>
      <c r="AZ136">
        <v>480.50799999999998</v>
      </c>
      <c r="BA136" s="2"/>
      <c r="BB136">
        <v>0.75</v>
      </c>
      <c r="BC136" s="2">
        <v>45941.5</v>
      </c>
      <c r="BD136" s="1">
        <f>MarketPlace_Order_Report__2[[#This Row],[UnitPrice]]*MarketPlace_Order_Report__2[[#This Row],[OrderQty]]</f>
        <v>3150</v>
      </c>
      <c r="BE136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36" s="1">
        <f>MarketPlace_Order_Report__2[[#This Row],[Gross Amount (Before Tax)]]+MarketPlace_Order_Report__2[[#This Row],[Total GST Amount]]</f>
        <v>3630.5079999999998</v>
      </c>
    </row>
    <row r="137" spans="1:58">
      <c r="A137" t="s">
        <v>896</v>
      </c>
      <c r="B137" t="s">
        <v>897</v>
      </c>
      <c r="C137" t="s">
        <v>885</v>
      </c>
      <c r="D137" t="s">
        <v>886</v>
      </c>
      <c r="E137">
        <v>1</v>
      </c>
      <c r="F137" t="s">
        <v>62</v>
      </c>
      <c r="G137">
        <v>1</v>
      </c>
      <c r="H137">
        <v>1</v>
      </c>
      <c r="I137">
        <v>3500</v>
      </c>
      <c r="J137">
        <v>3150</v>
      </c>
      <c r="K137">
        <v>0</v>
      </c>
      <c r="L137">
        <v>3165.54</v>
      </c>
      <c r="M137">
        <v>15.54</v>
      </c>
      <c r="N137" t="s">
        <v>63</v>
      </c>
      <c r="O137" s="2">
        <v>45938.870983796296</v>
      </c>
      <c r="P137" s="2">
        <v>45940.73065972222</v>
      </c>
      <c r="Q137" s="2">
        <v>45948.729930555557</v>
      </c>
      <c r="R137" t="s">
        <v>898</v>
      </c>
      <c r="S137" t="s">
        <v>65</v>
      </c>
      <c r="T137" s="2">
        <v>45939.786319444444</v>
      </c>
      <c r="U137" t="s">
        <v>66</v>
      </c>
      <c r="V137" t="s">
        <v>67</v>
      </c>
      <c r="W137" t="s">
        <v>66</v>
      </c>
      <c r="X137" t="s">
        <v>66</v>
      </c>
      <c r="Y137" t="s">
        <v>899</v>
      </c>
      <c r="Z137" t="s">
        <v>69</v>
      </c>
      <c r="AA137" t="s">
        <v>70</v>
      </c>
      <c r="AB137" t="s">
        <v>66</v>
      </c>
      <c r="AC137" t="s">
        <v>66</v>
      </c>
      <c r="AD137" s="2">
        <v>45961.49423611111</v>
      </c>
      <c r="AE137" t="s">
        <v>71</v>
      </c>
      <c r="AF137" t="s">
        <v>66</v>
      </c>
      <c r="AG137" t="s">
        <v>900</v>
      </c>
      <c r="AH137" t="s">
        <v>139</v>
      </c>
      <c r="AI137">
        <v>281306</v>
      </c>
      <c r="AJ137" t="s">
        <v>74</v>
      </c>
      <c r="AK137" t="s">
        <v>75</v>
      </c>
      <c r="AL137">
        <v>62044220</v>
      </c>
      <c r="AM137" s="2"/>
      <c r="AN137">
        <v>3150</v>
      </c>
      <c r="AO137" t="s">
        <v>901</v>
      </c>
      <c r="AP137" t="s">
        <v>806</v>
      </c>
      <c r="AQ137" t="s">
        <v>66</v>
      </c>
      <c r="AR137" t="s">
        <v>71</v>
      </c>
      <c r="AS137">
        <v>18</v>
      </c>
      <c r="AT137">
        <v>0</v>
      </c>
      <c r="AU137">
        <v>0</v>
      </c>
      <c r="AV137">
        <v>18</v>
      </c>
      <c r="AW137">
        <v>480.50799999999998</v>
      </c>
      <c r="AX137">
        <v>0</v>
      </c>
      <c r="AY137">
        <v>0</v>
      </c>
      <c r="AZ137">
        <v>480.50799999999998</v>
      </c>
      <c r="BA137" s="2"/>
      <c r="BB137">
        <v>0.75</v>
      </c>
      <c r="BC137" s="2">
        <v>45941.5</v>
      </c>
      <c r="BD137" s="1">
        <f>MarketPlace_Order_Report__2[[#This Row],[UnitPrice]]*MarketPlace_Order_Report__2[[#This Row],[OrderQty]]</f>
        <v>3150</v>
      </c>
      <c r="BE137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37" s="1">
        <f>MarketPlace_Order_Report__2[[#This Row],[Gross Amount (Before Tax)]]+MarketPlace_Order_Report__2[[#This Row],[Total GST Amount]]</f>
        <v>3630.5079999999998</v>
      </c>
    </row>
    <row r="138" spans="1:58">
      <c r="A138" t="s">
        <v>902</v>
      </c>
      <c r="B138" t="s">
        <v>903</v>
      </c>
      <c r="C138" t="s">
        <v>885</v>
      </c>
      <c r="D138" t="s">
        <v>886</v>
      </c>
      <c r="E138">
        <v>1</v>
      </c>
      <c r="F138" t="s">
        <v>1806</v>
      </c>
      <c r="G138">
        <v>1</v>
      </c>
      <c r="H138">
        <v>1</v>
      </c>
      <c r="I138">
        <v>3500</v>
      </c>
      <c r="J138">
        <v>3150</v>
      </c>
      <c r="K138">
        <v>0</v>
      </c>
      <c r="L138">
        <v>3179</v>
      </c>
      <c r="M138">
        <v>29</v>
      </c>
      <c r="N138" t="s">
        <v>63</v>
      </c>
      <c r="O138" s="2">
        <v>45936.64439814815</v>
      </c>
      <c r="P138" s="2">
        <v>45941.748287037037</v>
      </c>
      <c r="Q138" s="2">
        <v>45945.628506944442</v>
      </c>
      <c r="R138" t="s">
        <v>904</v>
      </c>
      <c r="S138" t="s">
        <v>65</v>
      </c>
      <c r="T138" s="2">
        <v>45936.813321759262</v>
      </c>
      <c r="U138" t="s">
        <v>66</v>
      </c>
      <c r="V138" t="s">
        <v>67</v>
      </c>
      <c r="W138" t="s">
        <v>66</v>
      </c>
      <c r="X138" t="s">
        <v>66</v>
      </c>
      <c r="Y138" t="s">
        <v>66</v>
      </c>
      <c r="Z138" t="s">
        <v>66</v>
      </c>
      <c r="AA138" t="s">
        <v>66</v>
      </c>
      <c r="AB138" t="s">
        <v>66</v>
      </c>
      <c r="AC138" t="s">
        <v>66</v>
      </c>
      <c r="AD138" s="2">
        <v>45945.629374999997</v>
      </c>
      <c r="AE138" t="s">
        <v>71</v>
      </c>
      <c r="AF138" t="s">
        <v>66</v>
      </c>
      <c r="AG138" t="s">
        <v>905</v>
      </c>
      <c r="AH138" t="s">
        <v>906</v>
      </c>
      <c r="AI138">
        <v>831005</v>
      </c>
      <c r="AJ138" t="s">
        <v>74</v>
      </c>
      <c r="AK138" t="s">
        <v>75</v>
      </c>
      <c r="AL138">
        <v>62044220</v>
      </c>
      <c r="AM138" s="2"/>
      <c r="AN138">
        <v>3150</v>
      </c>
      <c r="AO138" t="s">
        <v>907</v>
      </c>
      <c r="AP138" t="s">
        <v>66</v>
      </c>
      <c r="AQ138" t="s">
        <v>66</v>
      </c>
      <c r="AR138" t="s">
        <v>71</v>
      </c>
      <c r="AS138">
        <v>18</v>
      </c>
      <c r="AT138">
        <v>0</v>
      </c>
      <c r="AU138">
        <v>0</v>
      </c>
      <c r="AV138">
        <v>18</v>
      </c>
      <c r="AW138">
        <v>480.50799999999998</v>
      </c>
      <c r="AX138">
        <v>0</v>
      </c>
      <c r="AY138">
        <v>0</v>
      </c>
      <c r="AZ138">
        <v>480.50799999999998</v>
      </c>
      <c r="BA138" s="2"/>
      <c r="BB138">
        <v>0.75</v>
      </c>
      <c r="BC138" s="2">
        <v>45939.5</v>
      </c>
      <c r="BD138" s="1">
        <f>MarketPlace_Order_Report__2[[#This Row],[UnitPrice]]*MarketPlace_Order_Report__2[[#This Row],[OrderQty]]</f>
        <v>3150</v>
      </c>
      <c r="BE138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38" s="1">
        <f>MarketPlace_Order_Report__2[[#This Row],[Gross Amount (Before Tax)]]+MarketPlace_Order_Report__2[[#This Row],[Total GST Amount]]</f>
        <v>3630.5079999999998</v>
      </c>
    </row>
    <row r="139" spans="1:58">
      <c r="A139" t="s">
        <v>908</v>
      </c>
      <c r="B139" t="s">
        <v>909</v>
      </c>
      <c r="C139" t="s">
        <v>910</v>
      </c>
      <c r="D139" t="s">
        <v>911</v>
      </c>
      <c r="E139">
        <v>1</v>
      </c>
      <c r="F139" t="s">
        <v>1806</v>
      </c>
      <c r="G139">
        <v>1</v>
      </c>
      <c r="H139">
        <v>1</v>
      </c>
      <c r="I139">
        <v>3500</v>
      </c>
      <c r="J139">
        <v>3150</v>
      </c>
      <c r="K139">
        <v>0</v>
      </c>
      <c r="L139">
        <v>3199</v>
      </c>
      <c r="M139">
        <v>49</v>
      </c>
      <c r="N139" t="s">
        <v>99</v>
      </c>
      <c r="O139" s="2">
        <v>45934.516770833332</v>
      </c>
      <c r="P139" s="2">
        <v>45936.641296296293</v>
      </c>
      <c r="Q139" s="2">
        <v>45942.80300925926</v>
      </c>
      <c r="R139" t="s">
        <v>912</v>
      </c>
      <c r="S139" t="s">
        <v>89</v>
      </c>
      <c r="T139" s="2">
        <v>45934.839085648149</v>
      </c>
      <c r="U139" t="s">
        <v>66</v>
      </c>
      <c r="V139" t="s">
        <v>67</v>
      </c>
      <c r="W139" t="s">
        <v>66</v>
      </c>
      <c r="X139" t="s">
        <v>66</v>
      </c>
      <c r="Y139" t="s">
        <v>66</v>
      </c>
      <c r="Z139" t="s">
        <v>66</v>
      </c>
      <c r="AA139" t="s">
        <v>66</v>
      </c>
      <c r="AB139" t="s">
        <v>66</v>
      </c>
      <c r="AC139" t="s">
        <v>66</v>
      </c>
      <c r="AD139" s="2">
        <v>45942.80641203704</v>
      </c>
      <c r="AE139" t="s">
        <v>71</v>
      </c>
      <c r="AF139" t="s">
        <v>66</v>
      </c>
      <c r="AG139" t="s">
        <v>913</v>
      </c>
      <c r="AH139" t="s">
        <v>169</v>
      </c>
      <c r="AI139">
        <v>800003</v>
      </c>
      <c r="AJ139" t="s">
        <v>74</v>
      </c>
      <c r="AK139" t="s">
        <v>75</v>
      </c>
      <c r="AL139">
        <v>62044220</v>
      </c>
      <c r="AM139" s="2"/>
      <c r="AN139">
        <v>3150</v>
      </c>
      <c r="AO139" t="s">
        <v>914</v>
      </c>
      <c r="AP139" t="s">
        <v>915</v>
      </c>
      <c r="AQ139" t="s">
        <v>66</v>
      </c>
      <c r="AR139" t="s">
        <v>71</v>
      </c>
      <c r="AS139">
        <v>18</v>
      </c>
      <c r="AT139">
        <v>0</v>
      </c>
      <c r="AU139">
        <v>0</v>
      </c>
      <c r="AV139">
        <v>18</v>
      </c>
      <c r="AW139">
        <v>480.50799999999998</v>
      </c>
      <c r="AX139">
        <v>0</v>
      </c>
      <c r="AY139">
        <v>0</v>
      </c>
      <c r="AZ139">
        <v>480.50799999999998</v>
      </c>
      <c r="BA139" s="2"/>
      <c r="BB139">
        <v>0.75</v>
      </c>
      <c r="BC139" s="2">
        <v>45937.5</v>
      </c>
      <c r="BD139" s="1">
        <f>MarketPlace_Order_Report__2[[#This Row],[UnitPrice]]*MarketPlace_Order_Report__2[[#This Row],[OrderQty]]</f>
        <v>3150</v>
      </c>
      <c r="BE139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39" s="1">
        <f>MarketPlace_Order_Report__2[[#This Row],[Gross Amount (Before Tax)]]+MarketPlace_Order_Report__2[[#This Row],[Total GST Amount]]</f>
        <v>3630.5079999999998</v>
      </c>
    </row>
    <row r="140" spans="1:58">
      <c r="A140" t="s">
        <v>916</v>
      </c>
      <c r="B140" t="s">
        <v>917</v>
      </c>
      <c r="C140" t="s">
        <v>910</v>
      </c>
      <c r="D140" t="s">
        <v>911</v>
      </c>
      <c r="E140">
        <v>4</v>
      </c>
      <c r="F140" t="s">
        <v>257</v>
      </c>
      <c r="G140">
        <v>1</v>
      </c>
      <c r="H140">
        <v>1</v>
      </c>
      <c r="I140">
        <v>3500</v>
      </c>
      <c r="J140">
        <v>3150</v>
      </c>
      <c r="K140">
        <v>0</v>
      </c>
      <c r="L140">
        <v>3156.7530000000002</v>
      </c>
      <c r="M140">
        <v>6.7530000000000001</v>
      </c>
      <c r="N140" t="s">
        <v>63</v>
      </c>
      <c r="O140" s="2">
        <v>45933.581516203703</v>
      </c>
      <c r="P140" s="2">
        <v>45934.620092592595</v>
      </c>
      <c r="Q140" s="2"/>
      <c r="R140" t="s">
        <v>918</v>
      </c>
      <c r="S140" t="s">
        <v>89</v>
      </c>
      <c r="T140" s="2">
        <v>45933.815833333334</v>
      </c>
      <c r="U140" t="s">
        <v>66</v>
      </c>
      <c r="V140" t="s">
        <v>67</v>
      </c>
      <c r="W140" t="s">
        <v>66</v>
      </c>
      <c r="X140" t="s">
        <v>66</v>
      </c>
      <c r="Y140" t="s">
        <v>66</v>
      </c>
      <c r="Z140" t="s">
        <v>66</v>
      </c>
      <c r="AA140" t="s">
        <v>66</v>
      </c>
      <c r="AB140" t="s">
        <v>66</v>
      </c>
      <c r="AC140" t="s">
        <v>66</v>
      </c>
      <c r="AD140" s="2">
        <v>45948.046018518522</v>
      </c>
      <c r="AE140" t="s">
        <v>71</v>
      </c>
      <c r="AF140" t="s">
        <v>66</v>
      </c>
      <c r="AG140" t="s">
        <v>919</v>
      </c>
      <c r="AH140" t="s">
        <v>123</v>
      </c>
      <c r="AI140">
        <v>440017</v>
      </c>
      <c r="AJ140" t="s">
        <v>74</v>
      </c>
      <c r="AK140" t="s">
        <v>75</v>
      </c>
      <c r="AL140">
        <v>62044220</v>
      </c>
      <c r="AM140" s="2"/>
      <c r="AN140">
        <v>3150</v>
      </c>
      <c r="AO140" t="s">
        <v>920</v>
      </c>
      <c r="AP140" t="s">
        <v>451</v>
      </c>
      <c r="AQ140" t="s">
        <v>66</v>
      </c>
      <c r="AR140" t="s">
        <v>71</v>
      </c>
      <c r="AS140">
        <v>18</v>
      </c>
      <c r="AT140">
        <v>9</v>
      </c>
      <c r="AU140">
        <v>9</v>
      </c>
      <c r="AV140">
        <v>0</v>
      </c>
      <c r="AW140">
        <v>480.50799999999998</v>
      </c>
      <c r="AX140">
        <v>240.25399999999999</v>
      </c>
      <c r="AY140">
        <v>240.25399999999999</v>
      </c>
      <c r="AZ140">
        <v>0</v>
      </c>
      <c r="BA140" s="2"/>
      <c r="BB140">
        <v>1.1000000000000001</v>
      </c>
      <c r="BC140" s="2">
        <v>45936.5</v>
      </c>
      <c r="BD140" s="1">
        <f>MarketPlace_Order_Report__2[[#This Row],[UnitPrice]]*MarketPlace_Order_Report__2[[#This Row],[OrderQty]]</f>
        <v>3150</v>
      </c>
      <c r="BE140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40" s="1">
        <f>MarketPlace_Order_Report__2[[#This Row],[Gross Amount (Before Tax)]]+MarketPlace_Order_Report__2[[#This Row],[Total GST Amount]]</f>
        <v>3630.5079999999998</v>
      </c>
    </row>
    <row r="141" spans="1:58">
      <c r="A141" t="s">
        <v>921</v>
      </c>
      <c r="B141" t="s">
        <v>922</v>
      </c>
      <c r="C141" t="s">
        <v>923</v>
      </c>
      <c r="D141" t="s">
        <v>924</v>
      </c>
      <c r="E141">
        <v>1</v>
      </c>
      <c r="F141" t="s">
        <v>1806</v>
      </c>
      <c r="G141">
        <v>1</v>
      </c>
      <c r="H141">
        <v>1</v>
      </c>
      <c r="I141">
        <v>3500</v>
      </c>
      <c r="J141">
        <v>3150</v>
      </c>
      <c r="K141">
        <v>0</v>
      </c>
      <c r="L141">
        <v>3170</v>
      </c>
      <c r="M141">
        <v>20</v>
      </c>
      <c r="N141" t="s">
        <v>99</v>
      </c>
      <c r="O141" s="2">
        <v>45936.367928240739</v>
      </c>
      <c r="P141" s="2">
        <v>45937.726076388892</v>
      </c>
      <c r="Q141" s="2">
        <v>45943.550532407404</v>
      </c>
      <c r="R141" t="s">
        <v>925</v>
      </c>
      <c r="S141" t="s">
        <v>65</v>
      </c>
      <c r="T141" s="2">
        <v>45936.813321759262</v>
      </c>
      <c r="U141" t="s">
        <v>66</v>
      </c>
      <c r="V141" t="s">
        <v>67</v>
      </c>
      <c r="W141" t="s">
        <v>66</v>
      </c>
      <c r="X141" t="s">
        <v>66</v>
      </c>
      <c r="Y141" t="s">
        <v>66</v>
      </c>
      <c r="Z141" t="s">
        <v>66</v>
      </c>
      <c r="AA141" t="s">
        <v>66</v>
      </c>
      <c r="AB141" t="s">
        <v>66</v>
      </c>
      <c r="AC141" t="s">
        <v>66</v>
      </c>
      <c r="AD141" s="2">
        <v>45943.552939814814</v>
      </c>
      <c r="AE141" t="s">
        <v>71</v>
      </c>
      <c r="AF141" t="s">
        <v>66</v>
      </c>
      <c r="AG141" t="s">
        <v>926</v>
      </c>
      <c r="AH141" t="s">
        <v>906</v>
      </c>
      <c r="AI141">
        <v>827013</v>
      </c>
      <c r="AJ141" t="s">
        <v>74</v>
      </c>
      <c r="AK141" t="s">
        <v>75</v>
      </c>
      <c r="AL141">
        <v>62044220</v>
      </c>
      <c r="AM141" s="2"/>
      <c r="AN141">
        <v>3150</v>
      </c>
      <c r="AO141" t="s">
        <v>927</v>
      </c>
      <c r="AP141" t="s">
        <v>77</v>
      </c>
      <c r="AQ141" t="s">
        <v>66</v>
      </c>
      <c r="AR141" t="s">
        <v>71</v>
      </c>
      <c r="AS141">
        <v>18</v>
      </c>
      <c r="AT141">
        <v>0</v>
      </c>
      <c r="AU141">
        <v>0</v>
      </c>
      <c r="AV141">
        <v>18</v>
      </c>
      <c r="AW141">
        <v>480.50799999999998</v>
      </c>
      <c r="AX141">
        <v>0</v>
      </c>
      <c r="AY141">
        <v>0</v>
      </c>
      <c r="AZ141">
        <v>480.50799999999998</v>
      </c>
      <c r="BA141" s="2"/>
      <c r="BB141">
        <v>0.75</v>
      </c>
      <c r="BC141" s="2">
        <v>45938.5</v>
      </c>
      <c r="BD141" s="1">
        <f>MarketPlace_Order_Report__2[[#This Row],[UnitPrice]]*MarketPlace_Order_Report__2[[#This Row],[OrderQty]]</f>
        <v>3150</v>
      </c>
      <c r="BE141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41" s="1">
        <f>MarketPlace_Order_Report__2[[#This Row],[Gross Amount (Before Tax)]]+MarketPlace_Order_Report__2[[#This Row],[Total GST Amount]]</f>
        <v>3630.5079999999998</v>
      </c>
    </row>
    <row r="142" spans="1:58">
      <c r="A142" t="s">
        <v>928</v>
      </c>
      <c r="B142" t="s">
        <v>929</v>
      </c>
      <c r="C142" t="s">
        <v>923</v>
      </c>
      <c r="D142" t="s">
        <v>924</v>
      </c>
      <c r="E142">
        <v>1</v>
      </c>
      <c r="F142" t="s">
        <v>1806</v>
      </c>
      <c r="G142">
        <v>1</v>
      </c>
      <c r="H142">
        <v>1</v>
      </c>
      <c r="I142">
        <v>3500</v>
      </c>
      <c r="J142">
        <v>3150</v>
      </c>
      <c r="K142">
        <v>0</v>
      </c>
      <c r="L142">
        <v>3199</v>
      </c>
      <c r="M142">
        <v>49</v>
      </c>
      <c r="N142" t="s">
        <v>99</v>
      </c>
      <c r="O142" s="2">
        <v>45934.94222222222</v>
      </c>
      <c r="P142" s="2">
        <v>45936.717974537038</v>
      </c>
      <c r="Q142" s="2">
        <v>45939.604317129626</v>
      </c>
      <c r="R142" t="s">
        <v>930</v>
      </c>
      <c r="S142" t="s">
        <v>65</v>
      </c>
      <c r="T142" s="2">
        <v>45935.742905092593</v>
      </c>
      <c r="U142" t="s">
        <v>66</v>
      </c>
      <c r="V142" t="s">
        <v>67</v>
      </c>
      <c r="W142" t="s">
        <v>66</v>
      </c>
      <c r="X142" t="s">
        <v>66</v>
      </c>
      <c r="Y142" t="s">
        <v>66</v>
      </c>
      <c r="Z142" t="s">
        <v>66</v>
      </c>
      <c r="AA142" t="s">
        <v>66</v>
      </c>
      <c r="AB142" t="s">
        <v>66</v>
      </c>
      <c r="AC142" t="s">
        <v>66</v>
      </c>
      <c r="AD142" s="2">
        <v>45939.605092592596</v>
      </c>
      <c r="AE142" t="s">
        <v>71</v>
      </c>
      <c r="AF142" t="s">
        <v>66</v>
      </c>
      <c r="AG142" t="s">
        <v>931</v>
      </c>
      <c r="AH142" t="s">
        <v>906</v>
      </c>
      <c r="AI142">
        <v>834009</v>
      </c>
      <c r="AJ142" t="s">
        <v>74</v>
      </c>
      <c r="AK142" t="s">
        <v>75</v>
      </c>
      <c r="AL142">
        <v>62044220</v>
      </c>
      <c r="AM142" s="2"/>
      <c r="AN142">
        <v>3150</v>
      </c>
      <c r="AO142" t="s">
        <v>932</v>
      </c>
      <c r="AP142" t="s">
        <v>915</v>
      </c>
      <c r="AQ142" t="s">
        <v>66</v>
      </c>
      <c r="AR142" t="s">
        <v>71</v>
      </c>
      <c r="AS142">
        <v>18</v>
      </c>
      <c r="AT142">
        <v>0</v>
      </c>
      <c r="AU142">
        <v>0</v>
      </c>
      <c r="AV142">
        <v>18</v>
      </c>
      <c r="AW142">
        <v>480.50799999999998</v>
      </c>
      <c r="AX142">
        <v>0</v>
      </c>
      <c r="AY142">
        <v>0</v>
      </c>
      <c r="AZ142">
        <v>480.50799999999998</v>
      </c>
      <c r="BA142" s="2"/>
      <c r="BB142">
        <v>0.75</v>
      </c>
      <c r="BC142" s="2">
        <v>45937.5</v>
      </c>
      <c r="BD142" s="1">
        <f>MarketPlace_Order_Report__2[[#This Row],[UnitPrice]]*MarketPlace_Order_Report__2[[#This Row],[OrderQty]]</f>
        <v>3150</v>
      </c>
      <c r="BE142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42" s="1">
        <f>MarketPlace_Order_Report__2[[#This Row],[Gross Amount (Before Tax)]]+MarketPlace_Order_Report__2[[#This Row],[Total GST Amount]]</f>
        <v>3630.5079999999998</v>
      </c>
    </row>
    <row r="143" spans="1:58">
      <c r="A143" t="s">
        <v>933</v>
      </c>
      <c r="B143" t="s">
        <v>934</v>
      </c>
      <c r="C143" t="s">
        <v>935</v>
      </c>
      <c r="D143" t="s">
        <v>936</v>
      </c>
      <c r="E143">
        <v>1</v>
      </c>
      <c r="F143" t="s">
        <v>107</v>
      </c>
      <c r="G143">
        <v>1</v>
      </c>
      <c r="H143">
        <v>1</v>
      </c>
      <c r="I143">
        <v>3500</v>
      </c>
      <c r="J143">
        <v>3150</v>
      </c>
      <c r="K143">
        <v>0</v>
      </c>
      <c r="L143">
        <v>3199</v>
      </c>
      <c r="M143">
        <v>49</v>
      </c>
      <c r="N143" t="s">
        <v>99</v>
      </c>
      <c r="O143" s="2">
        <v>45948.926655092589</v>
      </c>
      <c r="P143" s="2">
        <v>45954.730821759258</v>
      </c>
      <c r="Q143" s="2"/>
      <c r="R143" t="s">
        <v>937</v>
      </c>
      <c r="S143" t="s">
        <v>65</v>
      </c>
      <c r="T143" s="2">
        <v>45949.555543981478</v>
      </c>
      <c r="U143" t="s">
        <v>66</v>
      </c>
      <c r="V143" t="s">
        <v>67</v>
      </c>
      <c r="W143" t="s">
        <v>66</v>
      </c>
      <c r="X143" t="s">
        <v>66</v>
      </c>
      <c r="Y143" t="s">
        <v>938</v>
      </c>
      <c r="Z143" t="s">
        <v>231</v>
      </c>
      <c r="AA143" t="s">
        <v>130</v>
      </c>
      <c r="AB143" t="s">
        <v>66</v>
      </c>
      <c r="AC143" t="s">
        <v>66</v>
      </c>
      <c r="AD143" s="2">
        <v>45961.365324074075</v>
      </c>
      <c r="AE143" t="s">
        <v>71</v>
      </c>
      <c r="AF143" t="s">
        <v>66</v>
      </c>
      <c r="AG143" t="s">
        <v>939</v>
      </c>
      <c r="AH143" t="s">
        <v>139</v>
      </c>
      <c r="AI143">
        <v>246761</v>
      </c>
      <c r="AJ143" t="s">
        <v>74</v>
      </c>
      <c r="AK143" t="s">
        <v>75</v>
      </c>
      <c r="AL143">
        <v>62044220</v>
      </c>
      <c r="AM143" s="2"/>
      <c r="AN143">
        <v>3150</v>
      </c>
      <c r="AO143" t="s">
        <v>940</v>
      </c>
      <c r="AP143" t="s">
        <v>66</v>
      </c>
      <c r="AQ143" t="s">
        <v>66</v>
      </c>
      <c r="AR143" t="s">
        <v>71</v>
      </c>
      <c r="AS143">
        <v>18</v>
      </c>
      <c r="AT143">
        <v>0</v>
      </c>
      <c r="AU143">
        <v>0</v>
      </c>
      <c r="AV143">
        <v>18</v>
      </c>
      <c r="AW143">
        <v>480.50799999999998</v>
      </c>
      <c r="AX143">
        <v>0</v>
      </c>
      <c r="AY143">
        <v>0</v>
      </c>
      <c r="AZ143">
        <v>480.50799999999998</v>
      </c>
      <c r="BA143" s="2"/>
      <c r="BB143">
        <v>0.75</v>
      </c>
      <c r="BC143" s="2">
        <v>45951.5</v>
      </c>
      <c r="BD143" s="1">
        <f>MarketPlace_Order_Report__2[[#This Row],[UnitPrice]]*MarketPlace_Order_Report__2[[#This Row],[OrderQty]]</f>
        <v>3150</v>
      </c>
      <c r="BE143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43" s="1">
        <f>MarketPlace_Order_Report__2[[#This Row],[Gross Amount (Before Tax)]]+MarketPlace_Order_Report__2[[#This Row],[Total GST Amount]]</f>
        <v>3630.5079999999998</v>
      </c>
    </row>
    <row r="144" spans="1:58">
      <c r="A144" t="s">
        <v>941</v>
      </c>
      <c r="B144" t="s">
        <v>942</v>
      </c>
      <c r="C144" t="s">
        <v>935</v>
      </c>
      <c r="D144" t="s">
        <v>936</v>
      </c>
      <c r="E144">
        <v>1</v>
      </c>
      <c r="F144" t="s">
        <v>1806</v>
      </c>
      <c r="G144">
        <v>1</v>
      </c>
      <c r="H144">
        <v>1</v>
      </c>
      <c r="I144">
        <v>3500</v>
      </c>
      <c r="J144">
        <v>3150</v>
      </c>
      <c r="K144">
        <v>0</v>
      </c>
      <c r="L144">
        <v>3166.3</v>
      </c>
      <c r="M144">
        <v>16.3</v>
      </c>
      <c r="N144" t="s">
        <v>99</v>
      </c>
      <c r="O144" s="2">
        <v>45938.81459490741</v>
      </c>
      <c r="P144" s="2">
        <v>45945.760381944441</v>
      </c>
      <c r="Q144" s="2">
        <v>45953.672175925924</v>
      </c>
      <c r="R144" t="s">
        <v>943</v>
      </c>
      <c r="S144" t="s">
        <v>65</v>
      </c>
      <c r="T144" s="2">
        <v>45939.786168981482</v>
      </c>
      <c r="U144" t="s">
        <v>66</v>
      </c>
      <c r="V144" t="s">
        <v>67</v>
      </c>
      <c r="W144" t="s">
        <v>66</v>
      </c>
      <c r="X144" t="s">
        <v>66</v>
      </c>
      <c r="Y144" t="s">
        <v>66</v>
      </c>
      <c r="Z144" t="s">
        <v>66</v>
      </c>
      <c r="AA144" t="s">
        <v>66</v>
      </c>
      <c r="AB144" t="s">
        <v>66</v>
      </c>
      <c r="AC144" t="s">
        <v>66</v>
      </c>
      <c r="AD144" s="2">
        <v>45953.674513888887</v>
      </c>
      <c r="AE144" t="s">
        <v>71</v>
      </c>
      <c r="AF144" t="s">
        <v>66</v>
      </c>
      <c r="AG144" t="s">
        <v>913</v>
      </c>
      <c r="AH144" t="s">
        <v>169</v>
      </c>
      <c r="AI144">
        <v>801503</v>
      </c>
      <c r="AJ144" t="s">
        <v>74</v>
      </c>
      <c r="AK144" t="s">
        <v>75</v>
      </c>
      <c r="AL144">
        <v>62044220</v>
      </c>
      <c r="AM144" s="2"/>
      <c r="AN144">
        <v>3150</v>
      </c>
      <c r="AO144" t="s">
        <v>944</v>
      </c>
      <c r="AP144" t="s">
        <v>66</v>
      </c>
      <c r="AQ144" t="s">
        <v>66</v>
      </c>
      <c r="AR144" t="s">
        <v>71</v>
      </c>
      <c r="AS144">
        <v>18</v>
      </c>
      <c r="AT144">
        <v>0</v>
      </c>
      <c r="AU144">
        <v>0</v>
      </c>
      <c r="AV144">
        <v>18</v>
      </c>
      <c r="AW144">
        <v>480.50799999999998</v>
      </c>
      <c r="AX144">
        <v>0</v>
      </c>
      <c r="AY144">
        <v>0</v>
      </c>
      <c r="AZ144">
        <v>480.50799999999998</v>
      </c>
      <c r="BA144" s="2"/>
      <c r="BB144">
        <v>0.75</v>
      </c>
      <c r="BC144" s="2">
        <v>45941.5</v>
      </c>
      <c r="BD144" s="1">
        <f>MarketPlace_Order_Report__2[[#This Row],[UnitPrice]]*MarketPlace_Order_Report__2[[#This Row],[OrderQty]]</f>
        <v>3150</v>
      </c>
      <c r="BE144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44" s="1">
        <f>MarketPlace_Order_Report__2[[#This Row],[Gross Amount (Before Tax)]]+MarketPlace_Order_Report__2[[#This Row],[Total GST Amount]]</f>
        <v>3630.5079999999998</v>
      </c>
    </row>
    <row r="145" spans="1:58">
      <c r="A145" t="s">
        <v>945</v>
      </c>
      <c r="B145" t="s">
        <v>946</v>
      </c>
      <c r="C145" t="s">
        <v>947</v>
      </c>
      <c r="D145" t="s">
        <v>948</v>
      </c>
      <c r="E145">
        <v>1</v>
      </c>
      <c r="F145" t="s">
        <v>1806</v>
      </c>
      <c r="G145">
        <v>1</v>
      </c>
      <c r="H145">
        <v>1</v>
      </c>
      <c r="I145">
        <v>3500</v>
      </c>
      <c r="J145">
        <v>3150</v>
      </c>
      <c r="K145">
        <v>0</v>
      </c>
      <c r="L145">
        <v>3199</v>
      </c>
      <c r="M145">
        <v>49</v>
      </c>
      <c r="N145" t="s">
        <v>99</v>
      </c>
      <c r="O145" s="2">
        <v>45934.654282407406</v>
      </c>
      <c r="P145" s="2">
        <v>45936.641296296293</v>
      </c>
      <c r="Q145" s="2">
        <v>45941.682037037041</v>
      </c>
      <c r="R145" t="s">
        <v>949</v>
      </c>
      <c r="S145" t="s">
        <v>89</v>
      </c>
      <c r="T145" s="2">
        <v>45934.839085648149</v>
      </c>
      <c r="U145" t="s">
        <v>66</v>
      </c>
      <c r="V145" t="s">
        <v>67</v>
      </c>
      <c r="W145" t="s">
        <v>66</v>
      </c>
      <c r="X145" t="s">
        <v>66</v>
      </c>
      <c r="Y145" t="s">
        <v>66</v>
      </c>
      <c r="Z145" t="s">
        <v>66</v>
      </c>
      <c r="AA145" t="s">
        <v>66</v>
      </c>
      <c r="AB145" t="s">
        <v>66</v>
      </c>
      <c r="AC145" t="s">
        <v>66</v>
      </c>
      <c r="AD145" s="2">
        <v>45941.684699074074</v>
      </c>
      <c r="AE145" t="s">
        <v>71</v>
      </c>
      <c r="AF145" t="s">
        <v>66</v>
      </c>
      <c r="AG145" t="s">
        <v>950</v>
      </c>
      <c r="AH145" t="s">
        <v>123</v>
      </c>
      <c r="AI145">
        <v>442905</v>
      </c>
      <c r="AJ145" t="s">
        <v>74</v>
      </c>
      <c r="AK145" t="s">
        <v>75</v>
      </c>
      <c r="AL145">
        <v>62044220</v>
      </c>
      <c r="AM145" s="2"/>
      <c r="AN145">
        <v>3150</v>
      </c>
      <c r="AO145" t="s">
        <v>951</v>
      </c>
      <c r="AP145" t="s">
        <v>66</v>
      </c>
      <c r="AQ145" t="s">
        <v>66</v>
      </c>
      <c r="AR145" t="s">
        <v>71</v>
      </c>
      <c r="AS145">
        <v>18</v>
      </c>
      <c r="AT145">
        <v>9</v>
      </c>
      <c r="AU145">
        <v>9</v>
      </c>
      <c r="AV145">
        <v>0</v>
      </c>
      <c r="AW145">
        <v>480.50799999999998</v>
      </c>
      <c r="AX145">
        <v>240.25399999999999</v>
      </c>
      <c r="AY145">
        <v>240.25399999999999</v>
      </c>
      <c r="AZ145">
        <v>0</v>
      </c>
      <c r="BA145" s="2"/>
      <c r="BB145">
        <v>0.75</v>
      </c>
      <c r="BC145" s="2">
        <v>45937.5</v>
      </c>
      <c r="BD145" s="1">
        <f>MarketPlace_Order_Report__2[[#This Row],[UnitPrice]]*MarketPlace_Order_Report__2[[#This Row],[OrderQty]]</f>
        <v>3150</v>
      </c>
      <c r="BE145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45" s="1">
        <f>MarketPlace_Order_Report__2[[#This Row],[Gross Amount (Before Tax)]]+MarketPlace_Order_Report__2[[#This Row],[Total GST Amount]]</f>
        <v>3630.5079999999998</v>
      </c>
    </row>
    <row r="146" spans="1:58">
      <c r="A146" t="s">
        <v>952</v>
      </c>
      <c r="B146" t="s">
        <v>953</v>
      </c>
      <c r="C146" t="s">
        <v>947</v>
      </c>
      <c r="D146" t="s">
        <v>948</v>
      </c>
      <c r="E146">
        <v>20</v>
      </c>
      <c r="F146" t="s">
        <v>257</v>
      </c>
      <c r="G146">
        <v>1</v>
      </c>
      <c r="H146">
        <v>1</v>
      </c>
      <c r="I146">
        <v>3500</v>
      </c>
      <c r="J146">
        <v>3150</v>
      </c>
      <c r="K146">
        <v>0</v>
      </c>
      <c r="L146">
        <v>3150</v>
      </c>
      <c r="M146">
        <v>0</v>
      </c>
      <c r="N146" t="s">
        <v>63</v>
      </c>
      <c r="O146" s="2">
        <v>45933.803703703707</v>
      </c>
      <c r="P146" s="2">
        <v>45934.620092592595</v>
      </c>
      <c r="Q146" s="2"/>
      <c r="R146" t="s">
        <v>954</v>
      </c>
      <c r="S146" t="s">
        <v>89</v>
      </c>
      <c r="T146" s="2">
        <v>45933.820567129631</v>
      </c>
      <c r="U146" t="s">
        <v>66</v>
      </c>
      <c r="V146" t="s">
        <v>67</v>
      </c>
      <c r="W146" t="s">
        <v>66</v>
      </c>
      <c r="X146" t="s">
        <v>66</v>
      </c>
      <c r="Y146" t="s">
        <v>66</v>
      </c>
      <c r="Z146" t="s">
        <v>66</v>
      </c>
      <c r="AA146" t="s">
        <v>66</v>
      </c>
      <c r="AB146" t="s">
        <v>66</v>
      </c>
      <c r="AC146" t="s">
        <v>66</v>
      </c>
      <c r="AD146" s="2">
        <v>45948.046018518522</v>
      </c>
      <c r="AE146" t="s">
        <v>71</v>
      </c>
      <c r="AF146" t="s">
        <v>66</v>
      </c>
      <c r="AG146" t="s">
        <v>478</v>
      </c>
      <c r="AH146" t="s">
        <v>383</v>
      </c>
      <c r="AI146">
        <v>452010</v>
      </c>
      <c r="AJ146" t="s">
        <v>74</v>
      </c>
      <c r="AK146" t="s">
        <v>75</v>
      </c>
      <c r="AL146">
        <v>62044220</v>
      </c>
      <c r="AM146" s="2"/>
      <c r="AN146">
        <v>3150</v>
      </c>
      <c r="AO146" t="s">
        <v>955</v>
      </c>
      <c r="AP146" t="s">
        <v>66</v>
      </c>
      <c r="AQ146" t="s">
        <v>66</v>
      </c>
      <c r="AR146" t="s">
        <v>71</v>
      </c>
      <c r="AS146">
        <v>18</v>
      </c>
      <c r="AT146">
        <v>0</v>
      </c>
      <c r="AU146">
        <v>0</v>
      </c>
      <c r="AV146">
        <v>18</v>
      </c>
      <c r="AW146">
        <v>480.50799999999998</v>
      </c>
      <c r="AX146">
        <v>0</v>
      </c>
      <c r="AY146">
        <v>0</v>
      </c>
      <c r="AZ146">
        <v>480.50799999999998</v>
      </c>
      <c r="BA146" s="2"/>
      <c r="BB146">
        <v>0.75</v>
      </c>
      <c r="BC146" s="2">
        <v>45936.5</v>
      </c>
      <c r="BD146" s="1">
        <f>MarketPlace_Order_Report__2[[#This Row],[UnitPrice]]*MarketPlace_Order_Report__2[[#This Row],[OrderQty]]</f>
        <v>3150</v>
      </c>
      <c r="BE146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46" s="1">
        <f>MarketPlace_Order_Report__2[[#This Row],[Gross Amount (Before Tax)]]+MarketPlace_Order_Report__2[[#This Row],[Total GST Amount]]</f>
        <v>3630.5079999999998</v>
      </c>
    </row>
    <row r="147" spans="1:58">
      <c r="A147" t="s">
        <v>956</v>
      </c>
      <c r="B147" t="s">
        <v>957</v>
      </c>
      <c r="C147" t="s">
        <v>947</v>
      </c>
      <c r="D147" t="s">
        <v>948</v>
      </c>
      <c r="E147">
        <v>1</v>
      </c>
      <c r="F147" t="s">
        <v>62</v>
      </c>
      <c r="G147">
        <v>1</v>
      </c>
      <c r="H147">
        <v>1</v>
      </c>
      <c r="I147">
        <v>3500</v>
      </c>
      <c r="J147">
        <v>3150</v>
      </c>
      <c r="K147">
        <v>0</v>
      </c>
      <c r="L147">
        <v>3199</v>
      </c>
      <c r="M147">
        <v>49</v>
      </c>
      <c r="N147" t="s">
        <v>99</v>
      </c>
      <c r="O147" s="2">
        <v>45933.008043981485</v>
      </c>
      <c r="P147" s="2">
        <v>45934.720821759256</v>
      </c>
      <c r="Q147" s="2">
        <v>45938.783715277779</v>
      </c>
      <c r="R147" t="s">
        <v>958</v>
      </c>
      <c r="S147" t="s">
        <v>65</v>
      </c>
      <c r="T147" s="2">
        <v>45933.815833333334</v>
      </c>
      <c r="U147" t="s">
        <v>66</v>
      </c>
      <c r="V147" t="s">
        <v>67</v>
      </c>
      <c r="W147" t="s">
        <v>66</v>
      </c>
      <c r="X147" t="s">
        <v>66</v>
      </c>
      <c r="Y147" t="s">
        <v>959</v>
      </c>
      <c r="Z147" t="s">
        <v>69</v>
      </c>
      <c r="AA147" t="s">
        <v>175</v>
      </c>
      <c r="AB147" t="s">
        <v>66</v>
      </c>
      <c r="AC147" t="s">
        <v>66</v>
      </c>
      <c r="AD147" s="2">
        <v>45959.539166666669</v>
      </c>
      <c r="AE147" t="s">
        <v>71</v>
      </c>
      <c r="AF147" t="s">
        <v>66</v>
      </c>
      <c r="AG147" t="s">
        <v>960</v>
      </c>
      <c r="AH147" t="s">
        <v>961</v>
      </c>
      <c r="AI147">
        <v>190011</v>
      </c>
      <c r="AJ147" t="s">
        <v>74</v>
      </c>
      <c r="AK147" t="s">
        <v>75</v>
      </c>
      <c r="AL147">
        <v>62044220</v>
      </c>
      <c r="AM147" s="2"/>
      <c r="AN147">
        <v>3150</v>
      </c>
      <c r="AO147" t="s">
        <v>962</v>
      </c>
      <c r="AP147" t="s">
        <v>963</v>
      </c>
      <c r="AQ147" t="s">
        <v>964</v>
      </c>
      <c r="AR147" t="s">
        <v>71</v>
      </c>
      <c r="AS147">
        <v>18</v>
      </c>
      <c r="AT147">
        <v>0</v>
      </c>
      <c r="AU147">
        <v>0</v>
      </c>
      <c r="AV147">
        <v>18</v>
      </c>
      <c r="AW147">
        <v>480.50799999999998</v>
      </c>
      <c r="AX147">
        <v>0</v>
      </c>
      <c r="AY147">
        <v>0</v>
      </c>
      <c r="AZ147">
        <v>480.50799999999998</v>
      </c>
      <c r="BA147" s="2">
        <v>45933.602152777778</v>
      </c>
      <c r="BB147">
        <v>0.75</v>
      </c>
      <c r="BC147" s="2">
        <v>45936.5</v>
      </c>
      <c r="BD147" s="1">
        <f>MarketPlace_Order_Report__2[[#This Row],[UnitPrice]]*MarketPlace_Order_Report__2[[#This Row],[OrderQty]]</f>
        <v>3150</v>
      </c>
      <c r="BE147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47" s="1">
        <f>MarketPlace_Order_Report__2[[#This Row],[Gross Amount (Before Tax)]]+MarketPlace_Order_Report__2[[#This Row],[Total GST Amount]]</f>
        <v>3630.5079999999998</v>
      </c>
    </row>
    <row r="148" spans="1:58">
      <c r="A148" t="s">
        <v>965</v>
      </c>
      <c r="B148" t="s">
        <v>966</v>
      </c>
      <c r="C148" t="s">
        <v>967</v>
      </c>
      <c r="D148" t="s">
        <v>968</v>
      </c>
      <c r="E148">
        <v>1</v>
      </c>
      <c r="F148" t="s">
        <v>62</v>
      </c>
      <c r="G148">
        <v>1</v>
      </c>
      <c r="H148">
        <v>1</v>
      </c>
      <c r="I148">
        <v>3500</v>
      </c>
      <c r="J148">
        <v>3150</v>
      </c>
      <c r="K148">
        <v>0</v>
      </c>
      <c r="L148">
        <v>3199</v>
      </c>
      <c r="M148">
        <v>49</v>
      </c>
      <c r="N148" t="s">
        <v>99</v>
      </c>
      <c r="O148" s="2">
        <v>45934.435474537036</v>
      </c>
      <c r="P148" s="2">
        <v>45936.714490740742</v>
      </c>
      <c r="Q148" s="2">
        <v>45944.748854166668</v>
      </c>
      <c r="R148" t="s">
        <v>969</v>
      </c>
      <c r="S148" t="s">
        <v>65</v>
      </c>
      <c r="T148" s="2">
        <v>45934.839085648149</v>
      </c>
      <c r="U148" t="s">
        <v>66</v>
      </c>
      <c r="V148" t="s">
        <v>67</v>
      </c>
      <c r="W148" t="s">
        <v>66</v>
      </c>
      <c r="X148" t="s">
        <v>66</v>
      </c>
      <c r="Y148" t="s">
        <v>970</v>
      </c>
      <c r="Z148" t="s">
        <v>69</v>
      </c>
      <c r="AA148" t="s">
        <v>175</v>
      </c>
      <c r="AB148" t="s">
        <v>66</v>
      </c>
      <c r="AC148" t="s">
        <v>66</v>
      </c>
      <c r="AD148" s="2">
        <v>45958.823692129627</v>
      </c>
      <c r="AE148" t="s">
        <v>71</v>
      </c>
      <c r="AF148" t="s">
        <v>66</v>
      </c>
      <c r="AG148" t="s">
        <v>971</v>
      </c>
      <c r="AH148" t="s">
        <v>603</v>
      </c>
      <c r="AI148">
        <v>786003</v>
      </c>
      <c r="AJ148" t="s">
        <v>74</v>
      </c>
      <c r="AK148" t="s">
        <v>75</v>
      </c>
      <c r="AL148">
        <v>62044220</v>
      </c>
      <c r="AM148" s="2"/>
      <c r="AN148">
        <v>3150</v>
      </c>
      <c r="AO148" t="s">
        <v>972</v>
      </c>
      <c r="AP148" t="s">
        <v>66</v>
      </c>
      <c r="AQ148" t="s">
        <v>66</v>
      </c>
      <c r="AR148" t="s">
        <v>71</v>
      </c>
      <c r="AS148">
        <v>18</v>
      </c>
      <c r="AT148">
        <v>0</v>
      </c>
      <c r="AU148">
        <v>0</v>
      </c>
      <c r="AV148">
        <v>18</v>
      </c>
      <c r="AW148">
        <v>480.50799999999998</v>
      </c>
      <c r="AX148">
        <v>0</v>
      </c>
      <c r="AY148">
        <v>0</v>
      </c>
      <c r="AZ148">
        <v>480.50799999999998</v>
      </c>
      <c r="BA148" s="2"/>
      <c r="BB148">
        <v>0.75</v>
      </c>
      <c r="BC148" s="2">
        <v>45936.5</v>
      </c>
      <c r="BD148" s="1">
        <f>MarketPlace_Order_Report__2[[#This Row],[UnitPrice]]*MarketPlace_Order_Report__2[[#This Row],[OrderQty]]</f>
        <v>3150</v>
      </c>
      <c r="BE148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48" s="1">
        <f>MarketPlace_Order_Report__2[[#This Row],[Gross Amount (Before Tax)]]+MarketPlace_Order_Report__2[[#This Row],[Total GST Amount]]</f>
        <v>3630.5079999999998</v>
      </c>
    </row>
    <row r="149" spans="1:58">
      <c r="A149" t="s">
        <v>973</v>
      </c>
      <c r="B149" t="s">
        <v>974</v>
      </c>
      <c r="C149" t="s">
        <v>967</v>
      </c>
      <c r="D149" t="s">
        <v>968</v>
      </c>
      <c r="E149">
        <v>1</v>
      </c>
      <c r="F149" t="s">
        <v>1806</v>
      </c>
      <c r="G149">
        <v>1</v>
      </c>
      <c r="H149">
        <v>1</v>
      </c>
      <c r="I149">
        <v>3500</v>
      </c>
      <c r="J149">
        <v>3150</v>
      </c>
      <c r="K149">
        <v>0</v>
      </c>
      <c r="L149">
        <v>3170</v>
      </c>
      <c r="M149">
        <v>20</v>
      </c>
      <c r="N149" t="s">
        <v>99</v>
      </c>
      <c r="O149" s="2">
        <v>45933.694861111115</v>
      </c>
      <c r="P149" s="2">
        <v>45934.721412037034</v>
      </c>
      <c r="Q149" s="2">
        <v>45937.518171296295</v>
      </c>
      <c r="R149" t="s">
        <v>975</v>
      </c>
      <c r="S149" t="s">
        <v>65</v>
      </c>
      <c r="T149" s="2">
        <v>45933.815821759257</v>
      </c>
      <c r="U149" t="s">
        <v>66</v>
      </c>
      <c r="V149" t="s">
        <v>67</v>
      </c>
      <c r="W149" t="s">
        <v>66</v>
      </c>
      <c r="X149" t="s">
        <v>66</v>
      </c>
      <c r="Y149" t="s">
        <v>66</v>
      </c>
      <c r="Z149" t="s">
        <v>66</v>
      </c>
      <c r="AA149" t="s">
        <v>66</v>
      </c>
      <c r="AB149" t="s">
        <v>66</v>
      </c>
      <c r="AC149" t="s">
        <v>66</v>
      </c>
      <c r="AD149" s="2">
        <v>45937.524930555555</v>
      </c>
      <c r="AE149" t="s">
        <v>71</v>
      </c>
      <c r="AF149" t="s">
        <v>66</v>
      </c>
      <c r="AG149" t="s">
        <v>976</v>
      </c>
      <c r="AH149" t="s">
        <v>440</v>
      </c>
      <c r="AI149">
        <v>132001</v>
      </c>
      <c r="AJ149" t="s">
        <v>74</v>
      </c>
      <c r="AK149" t="s">
        <v>75</v>
      </c>
      <c r="AL149">
        <v>62044220</v>
      </c>
      <c r="AM149" s="2"/>
      <c r="AN149">
        <v>3150</v>
      </c>
      <c r="AO149" t="s">
        <v>977</v>
      </c>
      <c r="AP149" t="s">
        <v>77</v>
      </c>
      <c r="AQ149" t="s">
        <v>66</v>
      </c>
      <c r="AR149" t="s">
        <v>71</v>
      </c>
      <c r="AS149">
        <v>18</v>
      </c>
      <c r="AT149">
        <v>0</v>
      </c>
      <c r="AU149">
        <v>0</v>
      </c>
      <c r="AV149">
        <v>18</v>
      </c>
      <c r="AW149">
        <v>480.50799999999998</v>
      </c>
      <c r="AX149">
        <v>0</v>
      </c>
      <c r="AY149">
        <v>0</v>
      </c>
      <c r="AZ149">
        <v>480.50799999999998</v>
      </c>
      <c r="BA149" s="2"/>
      <c r="BB149">
        <v>0.75</v>
      </c>
      <c r="BC149" s="2">
        <v>45936.5</v>
      </c>
      <c r="BD149" s="1">
        <f>MarketPlace_Order_Report__2[[#This Row],[UnitPrice]]*MarketPlace_Order_Report__2[[#This Row],[OrderQty]]</f>
        <v>3150</v>
      </c>
      <c r="BE149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49" s="1">
        <f>MarketPlace_Order_Report__2[[#This Row],[Gross Amount (Before Tax)]]+MarketPlace_Order_Report__2[[#This Row],[Total GST Amount]]</f>
        <v>3630.5079999999998</v>
      </c>
    </row>
    <row r="150" spans="1:58">
      <c r="A150" t="s">
        <v>978</v>
      </c>
      <c r="B150" t="s">
        <v>979</v>
      </c>
      <c r="C150" t="s">
        <v>967</v>
      </c>
      <c r="D150" t="s">
        <v>968</v>
      </c>
      <c r="E150">
        <v>1</v>
      </c>
      <c r="F150" t="s">
        <v>257</v>
      </c>
      <c r="G150">
        <v>1</v>
      </c>
      <c r="H150">
        <v>1</v>
      </c>
      <c r="I150">
        <v>3500</v>
      </c>
      <c r="J150">
        <v>3150</v>
      </c>
      <c r="K150">
        <v>0</v>
      </c>
      <c r="L150">
        <v>3179</v>
      </c>
      <c r="M150">
        <v>29</v>
      </c>
      <c r="N150" t="s">
        <v>63</v>
      </c>
      <c r="O150" s="2">
        <v>45932.9846412037</v>
      </c>
      <c r="P150" s="2">
        <v>45934.620092592595</v>
      </c>
      <c r="Q150" s="2"/>
      <c r="R150" t="s">
        <v>980</v>
      </c>
      <c r="S150" t="s">
        <v>89</v>
      </c>
      <c r="T150" s="2">
        <v>45933.815833333334</v>
      </c>
      <c r="U150" t="s">
        <v>66</v>
      </c>
      <c r="V150" t="s">
        <v>67</v>
      </c>
      <c r="W150" t="s">
        <v>66</v>
      </c>
      <c r="X150" t="s">
        <v>66</v>
      </c>
      <c r="Y150" t="s">
        <v>66</v>
      </c>
      <c r="Z150" t="s">
        <v>66</v>
      </c>
      <c r="AA150" t="s">
        <v>66</v>
      </c>
      <c r="AB150" t="s">
        <v>66</v>
      </c>
      <c r="AC150" t="s">
        <v>66</v>
      </c>
      <c r="AD150" s="2">
        <v>45937.771793981483</v>
      </c>
      <c r="AE150" t="s">
        <v>71</v>
      </c>
      <c r="AF150" t="s">
        <v>66</v>
      </c>
      <c r="AG150" t="s">
        <v>981</v>
      </c>
      <c r="AH150" t="s">
        <v>123</v>
      </c>
      <c r="AI150">
        <v>421306</v>
      </c>
      <c r="AJ150" t="s">
        <v>74</v>
      </c>
      <c r="AK150" t="s">
        <v>75</v>
      </c>
      <c r="AL150">
        <v>62044220</v>
      </c>
      <c r="AM150" s="2"/>
      <c r="AN150">
        <v>3150</v>
      </c>
      <c r="AO150" t="s">
        <v>982</v>
      </c>
      <c r="AP150" t="s">
        <v>66</v>
      </c>
      <c r="AQ150" t="s">
        <v>66</v>
      </c>
      <c r="AR150" t="s">
        <v>71</v>
      </c>
      <c r="AS150">
        <v>18</v>
      </c>
      <c r="AT150">
        <v>9</v>
      </c>
      <c r="AU150">
        <v>9</v>
      </c>
      <c r="AV150">
        <v>0</v>
      </c>
      <c r="AW150">
        <v>480.50799999999998</v>
      </c>
      <c r="AX150">
        <v>240.25399999999999</v>
      </c>
      <c r="AY150">
        <v>240.25399999999999</v>
      </c>
      <c r="AZ150">
        <v>0</v>
      </c>
      <c r="BA150" s="2"/>
      <c r="BB150">
        <v>0.75</v>
      </c>
      <c r="BC150" s="2">
        <v>45935.5</v>
      </c>
      <c r="BD150" s="1">
        <f>MarketPlace_Order_Report__2[[#This Row],[UnitPrice]]*MarketPlace_Order_Report__2[[#This Row],[OrderQty]]</f>
        <v>3150</v>
      </c>
      <c r="BE150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50" s="1">
        <f>MarketPlace_Order_Report__2[[#This Row],[Gross Amount (Before Tax)]]+MarketPlace_Order_Report__2[[#This Row],[Total GST Amount]]</f>
        <v>3630.5079999999998</v>
      </c>
    </row>
    <row r="151" spans="1:58">
      <c r="A151" t="s">
        <v>983</v>
      </c>
      <c r="B151" t="s">
        <v>984</v>
      </c>
      <c r="C151" t="s">
        <v>967</v>
      </c>
      <c r="D151" t="s">
        <v>968</v>
      </c>
      <c r="E151">
        <v>1</v>
      </c>
      <c r="F151" t="s">
        <v>145</v>
      </c>
      <c r="G151">
        <v>1</v>
      </c>
      <c r="H151">
        <v>0</v>
      </c>
      <c r="I151">
        <v>3500</v>
      </c>
      <c r="J151">
        <v>3150</v>
      </c>
      <c r="K151">
        <v>0</v>
      </c>
      <c r="L151">
        <v>3199</v>
      </c>
      <c r="M151">
        <v>49</v>
      </c>
      <c r="N151" t="s">
        <v>99</v>
      </c>
      <c r="O151" s="2">
        <v>45932.956006944441</v>
      </c>
      <c r="P151" s="2"/>
      <c r="Q151" s="2"/>
      <c r="R151" t="s">
        <v>66</v>
      </c>
      <c r="S151" t="s">
        <v>65</v>
      </c>
      <c r="T151" s="2"/>
      <c r="U151" t="s">
        <v>345</v>
      </c>
      <c r="V151" t="s">
        <v>67</v>
      </c>
      <c r="W151" t="s">
        <v>66</v>
      </c>
      <c r="X151" t="s">
        <v>66</v>
      </c>
      <c r="Y151" t="s">
        <v>66</v>
      </c>
      <c r="Z151" t="s">
        <v>66</v>
      </c>
      <c r="AA151" t="s">
        <v>66</v>
      </c>
      <c r="AB151" t="s">
        <v>66</v>
      </c>
      <c r="AC151" t="s">
        <v>66</v>
      </c>
      <c r="AD151" s="2">
        <v>45932.958067129628</v>
      </c>
      <c r="AE151" t="s">
        <v>71</v>
      </c>
      <c r="AF151" t="s">
        <v>66</v>
      </c>
      <c r="AG151" t="s">
        <v>985</v>
      </c>
      <c r="AH151" t="s">
        <v>169</v>
      </c>
      <c r="AI151">
        <v>841428</v>
      </c>
      <c r="AJ151" t="s">
        <v>74</v>
      </c>
      <c r="AK151" t="s">
        <v>75</v>
      </c>
      <c r="AL151">
        <v>62044220</v>
      </c>
      <c r="AM151" s="2">
        <v>45932.958067129628</v>
      </c>
      <c r="AN151">
        <v>3150</v>
      </c>
      <c r="AO151" t="s">
        <v>66</v>
      </c>
      <c r="AP151" t="s">
        <v>986</v>
      </c>
      <c r="AQ151" t="s">
        <v>66</v>
      </c>
      <c r="AR151" t="s">
        <v>71</v>
      </c>
      <c r="AS151">
        <v>18</v>
      </c>
      <c r="AT151">
        <v>0</v>
      </c>
      <c r="AU151">
        <v>0</v>
      </c>
      <c r="AV151">
        <v>18</v>
      </c>
      <c r="AW151">
        <v>480.50799999999998</v>
      </c>
      <c r="AX151">
        <v>0</v>
      </c>
      <c r="AY151">
        <v>0</v>
      </c>
      <c r="AZ151">
        <v>480.50799999999998</v>
      </c>
      <c r="BA151" s="2"/>
      <c r="BC151" s="2">
        <v>45935.5</v>
      </c>
      <c r="BD151" s="1">
        <f>MarketPlace_Order_Report__2[[#This Row],[UnitPrice]]*MarketPlace_Order_Report__2[[#This Row],[OrderQty]]</f>
        <v>3150</v>
      </c>
      <c r="BE151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51" s="1">
        <f>MarketPlace_Order_Report__2[[#This Row],[Gross Amount (Before Tax)]]+MarketPlace_Order_Report__2[[#This Row],[Total GST Amount]]</f>
        <v>3630.5079999999998</v>
      </c>
    </row>
    <row r="152" spans="1:58">
      <c r="A152" t="s">
        <v>987</v>
      </c>
      <c r="B152" t="s">
        <v>988</v>
      </c>
      <c r="C152" t="s">
        <v>989</v>
      </c>
      <c r="D152" t="s">
        <v>990</v>
      </c>
      <c r="E152">
        <v>1</v>
      </c>
      <c r="F152" t="s">
        <v>145</v>
      </c>
      <c r="G152">
        <v>1</v>
      </c>
      <c r="H152">
        <v>0</v>
      </c>
      <c r="I152">
        <v>3500</v>
      </c>
      <c r="J152">
        <v>3150</v>
      </c>
      <c r="K152">
        <v>0</v>
      </c>
      <c r="L152">
        <v>3150</v>
      </c>
      <c r="M152">
        <v>0</v>
      </c>
      <c r="N152" t="s">
        <v>63</v>
      </c>
      <c r="O152" s="2">
        <v>45936.326828703706</v>
      </c>
      <c r="P152" s="2"/>
      <c r="Q152" s="2"/>
      <c r="R152" t="s">
        <v>66</v>
      </c>
      <c r="S152" t="s">
        <v>161</v>
      </c>
      <c r="T152" s="2"/>
      <c r="U152" t="s">
        <v>209</v>
      </c>
      <c r="V152" t="s">
        <v>67</v>
      </c>
      <c r="W152" t="s">
        <v>66</v>
      </c>
      <c r="X152" t="s">
        <v>66</v>
      </c>
      <c r="Y152" t="s">
        <v>66</v>
      </c>
      <c r="Z152" t="s">
        <v>66</v>
      </c>
      <c r="AA152" t="s">
        <v>66</v>
      </c>
      <c r="AB152" t="s">
        <v>66</v>
      </c>
      <c r="AC152" t="s">
        <v>66</v>
      </c>
      <c r="AD152" s="2">
        <v>45936.328888888886</v>
      </c>
      <c r="AE152" t="s">
        <v>71</v>
      </c>
      <c r="AF152" t="s">
        <v>66</v>
      </c>
      <c r="AG152" t="s">
        <v>259</v>
      </c>
      <c r="AH152" t="s">
        <v>123</v>
      </c>
      <c r="AI152">
        <v>400072</v>
      </c>
      <c r="AJ152" t="s">
        <v>74</v>
      </c>
      <c r="AK152" t="s">
        <v>75</v>
      </c>
      <c r="AL152">
        <v>62044220</v>
      </c>
      <c r="AM152" s="2">
        <v>45936.328888888886</v>
      </c>
      <c r="AN152">
        <v>3150</v>
      </c>
      <c r="AO152" t="s">
        <v>66</v>
      </c>
      <c r="AP152" t="s">
        <v>77</v>
      </c>
      <c r="AQ152" t="s">
        <v>66</v>
      </c>
      <c r="AR152" t="s">
        <v>71</v>
      </c>
      <c r="AS152">
        <v>18</v>
      </c>
      <c r="AT152">
        <v>9</v>
      </c>
      <c r="AU152">
        <v>9</v>
      </c>
      <c r="AV152">
        <v>0</v>
      </c>
      <c r="AW152">
        <v>480.50799999999998</v>
      </c>
      <c r="AX152">
        <v>240.25399999999999</v>
      </c>
      <c r="AY152">
        <v>240.25399999999999</v>
      </c>
      <c r="AZ152">
        <v>0</v>
      </c>
      <c r="BA152" s="2"/>
      <c r="BC152" s="2">
        <v>45938.5</v>
      </c>
      <c r="BD152" s="1">
        <f>MarketPlace_Order_Report__2[[#This Row],[UnitPrice]]*MarketPlace_Order_Report__2[[#This Row],[OrderQty]]</f>
        <v>3150</v>
      </c>
      <c r="BE152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52" s="1">
        <f>MarketPlace_Order_Report__2[[#This Row],[Gross Amount (Before Tax)]]+MarketPlace_Order_Report__2[[#This Row],[Total GST Amount]]</f>
        <v>3630.5079999999998</v>
      </c>
    </row>
    <row r="153" spans="1:58">
      <c r="A153" t="s">
        <v>991</v>
      </c>
      <c r="B153" t="s">
        <v>992</v>
      </c>
      <c r="C153" t="s">
        <v>989</v>
      </c>
      <c r="D153" t="s">
        <v>990</v>
      </c>
      <c r="E153">
        <v>2</v>
      </c>
      <c r="F153" t="s">
        <v>1806</v>
      </c>
      <c r="G153">
        <v>1</v>
      </c>
      <c r="H153">
        <v>1</v>
      </c>
      <c r="I153">
        <v>3500</v>
      </c>
      <c r="J153">
        <v>3150</v>
      </c>
      <c r="K153">
        <v>0</v>
      </c>
      <c r="L153">
        <v>3170.95</v>
      </c>
      <c r="M153">
        <v>20.95</v>
      </c>
      <c r="N153" t="s">
        <v>99</v>
      </c>
      <c r="O153" s="2">
        <v>45934.950810185182</v>
      </c>
      <c r="P153" s="2">
        <v>45936.717997685184</v>
      </c>
      <c r="Q153" s="2">
        <v>45940.443252314813</v>
      </c>
      <c r="R153" t="s">
        <v>993</v>
      </c>
      <c r="S153" t="s">
        <v>65</v>
      </c>
      <c r="T153" s="2">
        <v>45935.742905092593</v>
      </c>
      <c r="U153" t="s">
        <v>66</v>
      </c>
      <c r="V153" t="s">
        <v>67</v>
      </c>
      <c r="W153" t="s">
        <v>66</v>
      </c>
      <c r="X153" t="s">
        <v>66</v>
      </c>
      <c r="Y153" t="s">
        <v>66</v>
      </c>
      <c r="Z153" t="s">
        <v>66</v>
      </c>
      <c r="AA153" t="s">
        <v>66</v>
      </c>
      <c r="AB153" t="s">
        <v>66</v>
      </c>
      <c r="AC153" t="s">
        <v>66</v>
      </c>
      <c r="AD153" s="2">
        <v>45940.445324074077</v>
      </c>
      <c r="AE153" t="s">
        <v>71</v>
      </c>
      <c r="AF153" t="s">
        <v>66</v>
      </c>
      <c r="AG153" t="s">
        <v>994</v>
      </c>
      <c r="AH153" t="s">
        <v>139</v>
      </c>
      <c r="AI153">
        <v>272201</v>
      </c>
      <c r="AJ153" t="s">
        <v>74</v>
      </c>
      <c r="AK153" t="s">
        <v>75</v>
      </c>
      <c r="AL153">
        <v>62044220</v>
      </c>
      <c r="AM153" s="2"/>
      <c r="AN153">
        <v>3150</v>
      </c>
      <c r="AO153" t="s">
        <v>995</v>
      </c>
      <c r="AP153" t="s">
        <v>66</v>
      </c>
      <c r="AQ153" t="s">
        <v>66</v>
      </c>
      <c r="AR153" t="s">
        <v>71</v>
      </c>
      <c r="AS153">
        <v>18</v>
      </c>
      <c r="AT153">
        <v>0</v>
      </c>
      <c r="AU153">
        <v>0</v>
      </c>
      <c r="AV153">
        <v>18</v>
      </c>
      <c r="AW153">
        <v>480.50799999999998</v>
      </c>
      <c r="AX153">
        <v>0</v>
      </c>
      <c r="AY153">
        <v>0</v>
      </c>
      <c r="AZ153">
        <v>480.50799999999998</v>
      </c>
      <c r="BA153" s="2"/>
      <c r="BB153">
        <v>0.75</v>
      </c>
      <c r="BC153" s="2">
        <v>45937.5</v>
      </c>
      <c r="BD153" s="1">
        <f>MarketPlace_Order_Report__2[[#This Row],[UnitPrice]]*MarketPlace_Order_Report__2[[#This Row],[OrderQty]]</f>
        <v>3150</v>
      </c>
      <c r="BE153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53" s="1">
        <f>MarketPlace_Order_Report__2[[#This Row],[Gross Amount (Before Tax)]]+MarketPlace_Order_Report__2[[#This Row],[Total GST Amount]]</f>
        <v>3630.5079999999998</v>
      </c>
    </row>
    <row r="154" spans="1:58">
      <c r="A154" t="s">
        <v>996</v>
      </c>
      <c r="B154" t="s">
        <v>997</v>
      </c>
      <c r="C154" t="s">
        <v>989</v>
      </c>
      <c r="D154" t="s">
        <v>990</v>
      </c>
      <c r="E154">
        <v>2</v>
      </c>
      <c r="F154" t="s">
        <v>257</v>
      </c>
      <c r="G154">
        <v>1</v>
      </c>
      <c r="H154">
        <v>1</v>
      </c>
      <c r="I154">
        <v>3500</v>
      </c>
      <c r="J154">
        <v>3150</v>
      </c>
      <c r="K154">
        <v>0</v>
      </c>
      <c r="L154">
        <v>3169.77</v>
      </c>
      <c r="M154">
        <v>19.77</v>
      </c>
      <c r="N154" t="s">
        <v>63</v>
      </c>
      <c r="O154" s="2">
        <v>45933.516215277778</v>
      </c>
      <c r="P154" s="2">
        <v>45934.620092592595</v>
      </c>
      <c r="Q154" s="2"/>
      <c r="R154" t="s">
        <v>998</v>
      </c>
      <c r="S154" t="s">
        <v>89</v>
      </c>
      <c r="T154" s="2">
        <v>45933.815844907411</v>
      </c>
      <c r="U154" t="s">
        <v>66</v>
      </c>
      <c r="V154" t="s">
        <v>67</v>
      </c>
      <c r="W154" t="s">
        <v>66</v>
      </c>
      <c r="X154" t="s">
        <v>66</v>
      </c>
      <c r="Y154" t="s">
        <v>66</v>
      </c>
      <c r="Z154" t="s">
        <v>66</v>
      </c>
      <c r="AA154" t="s">
        <v>66</v>
      </c>
      <c r="AB154" t="s">
        <v>66</v>
      </c>
      <c r="AC154" t="s">
        <v>66</v>
      </c>
      <c r="AD154" s="2">
        <v>45948.042546296296</v>
      </c>
      <c r="AE154" t="s">
        <v>71</v>
      </c>
      <c r="AF154" t="s">
        <v>66</v>
      </c>
      <c r="AG154" t="s">
        <v>457</v>
      </c>
      <c r="AH154" t="s">
        <v>139</v>
      </c>
      <c r="AI154">
        <v>201014</v>
      </c>
      <c r="AJ154" t="s">
        <v>74</v>
      </c>
      <c r="AK154" t="s">
        <v>75</v>
      </c>
      <c r="AL154">
        <v>62044220</v>
      </c>
      <c r="AM154" s="2"/>
      <c r="AN154">
        <v>3150</v>
      </c>
      <c r="AO154" t="s">
        <v>999</v>
      </c>
      <c r="AP154" t="s">
        <v>288</v>
      </c>
      <c r="AQ154" t="s">
        <v>66</v>
      </c>
      <c r="AR154" t="s">
        <v>71</v>
      </c>
      <c r="AS154">
        <v>18</v>
      </c>
      <c r="AT154">
        <v>0</v>
      </c>
      <c r="AU154">
        <v>0</v>
      </c>
      <c r="AV154">
        <v>18</v>
      </c>
      <c r="AW154">
        <v>480.50799999999998</v>
      </c>
      <c r="AX154">
        <v>0</v>
      </c>
      <c r="AY154">
        <v>0</v>
      </c>
      <c r="AZ154">
        <v>480.50799999999998</v>
      </c>
      <c r="BA154" s="2"/>
      <c r="BB154">
        <v>0.75</v>
      </c>
      <c r="BC154" s="2">
        <v>45936.5</v>
      </c>
      <c r="BD154" s="1">
        <f>MarketPlace_Order_Report__2[[#This Row],[UnitPrice]]*MarketPlace_Order_Report__2[[#This Row],[OrderQty]]</f>
        <v>3150</v>
      </c>
      <c r="BE154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54" s="1">
        <f>MarketPlace_Order_Report__2[[#This Row],[Gross Amount (Before Tax)]]+MarketPlace_Order_Report__2[[#This Row],[Total GST Amount]]</f>
        <v>3630.5079999999998</v>
      </c>
    </row>
    <row r="155" spans="1:58">
      <c r="A155" t="s">
        <v>1000</v>
      </c>
      <c r="B155" t="s">
        <v>1001</v>
      </c>
      <c r="C155" t="s">
        <v>989</v>
      </c>
      <c r="D155" t="s">
        <v>990</v>
      </c>
      <c r="E155">
        <v>1</v>
      </c>
      <c r="F155" t="s">
        <v>62</v>
      </c>
      <c r="G155">
        <v>1</v>
      </c>
      <c r="H155">
        <v>1</v>
      </c>
      <c r="I155">
        <v>3500</v>
      </c>
      <c r="J155">
        <v>3150</v>
      </c>
      <c r="K155">
        <v>0</v>
      </c>
      <c r="L155">
        <v>3179</v>
      </c>
      <c r="M155">
        <v>29</v>
      </c>
      <c r="N155" t="s">
        <v>63</v>
      </c>
      <c r="O155" s="2">
        <v>45931.969178240739</v>
      </c>
      <c r="P155" s="2">
        <v>45933.728136574071</v>
      </c>
      <c r="Q155" s="2">
        <v>45936.764953703707</v>
      </c>
      <c r="R155" t="s">
        <v>1002</v>
      </c>
      <c r="S155" t="s">
        <v>65</v>
      </c>
      <c r="T155" s="2">
        <v>45933.535081018519</v>
      </c>
      <c r="U155" t="s">
        <v>66</v>
      </c>
      <c r="V155" t="s">
        <v>67</v>
      </c>
      <c r="W155" t="s">
        <v>66</v>
      </c>
      <c r="X155" t="s">
        <v>66</v>
      </c>
      <c r="Y155" t="s">
        <v>1003</v>
      </c>
      <c r="Z155" t="s">
        <v>69</v>
      </c>
      <c r="AA155" t="s">
        <v>175</v>
      </c>
      <c r="AB155" t="s">
        <v>66</v>
      </c>
      <c r="AC155" t="s">
        <v>66</v>
      </c>
      <c r="AD155" s="2">
        <v>45954.636273148149</v>
      </c>
      <c r="AE155" t="s">
        <v>71</v>
      </c>
      <c r="AF155" t="s">
        <v>66</v>
      </c>
      <c r="AG155" t="s">
        <v>1004</v>
      </c>
      <c r="AH155" t="s">
        <v>139</v>
      </c>
      <c r="AI155">
        <v>226021</v>
      </c>
      <c r="AJ155" t="s">
        <v>74</v>
      </c>
      <c r="AK155" t="s">
        <v>75</v>
      </c>
      <c r="AL155">
        <v>62044220</v>
      </c>
      <c r="AM155" s="2"/>
      <c r="AN155">
        <v>3150</v>
      </c>
      <c r="AO155" t="s">
        <v>1005</v>
      </c>
      <c r="AP155" t="s">
        <v>442</v>
      </c>
      <c r="AQ155" t="s">
        <v>66</v>
      </c>
      <c r="AR155" t="s">
        <v>71</v>
      </c>
      <c r="AS155">
        <v>18</v>
      </c>
      <c r="AT155">
        <v>0</v>
      </c>
      <c r="AU155">
        <v>0</v>
      </c>
      <c r="AV155">
        <v>18</v>
      </c>
      <c r="AW155">
        <v>480.50799999999998</v>
      </c>
      <c r="AX155">
        <v>0</v>
      </c>
      <c r="AY155">
        <v>0</v>
      </c>
      <c r="AZ155">
        <v>480.50799999999998</v>
      </c>
      <c r="BA155" s="2"/>
      <c r="BB155">
        <v>0.75</v>
      </c>
      <c r="BC155" s="2">
        <v>45934.5</v>
      </c>
      <c r="BD155" s="1">
        <f>MarketPlace_Order_Report__2[[#This Row],[UnitPrice]]*MarketPlace_Order_Report__2[[#This Row],[OrderQty]]</f>
        <v>3150</v>
      </c>
      <c r="BE155" s="1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BF155" s="1">
        <f>MarketPlace_Order_Report__2[[#This Row],[Gross Amount (Before Tax)]]+MarketPlace_Order_Report__2[[#This Row],[Total GST Amount]]</f>
        <v>3630.5079999999998</v>
      </c>
    </row>
    <row r="156" spans="1:58">
      <c r="A156" t="s">
        <v>1006</v>
      </c>
      <c r="B156" t="s">
        <v>1007</v>
      </c>
      <c r="C156" t="s">
        <v>1008</v>
      </c>
      <c r="D156" t="s">
        <v>1009</v>
      </c>
      <c r="E156">
        <v>1</v>
      </c>
      <c r="F156" t="s">
        <v>1806</v>
      </c>
      <c r="G156">
        <v>1</v>
      </c>
      <c r="H156">
        <v>1</v>
      </c>
      <c r="I156">
        <v>4000</v>
      </c>
      <c r="J156">
        <v>3600</v>
      </c>
      <c r="K156">
        <v>0</v>
      </c>
      <c r="L156">
        <v>3649</v>
      </c>
      <c r="M156">
        <v>49</v>
      </c>
      <c r="N156" t="s">
        <v>99</v>
      </c>
      <c r="O156" s="2">
        <v>45935.864560185182</v>
      </c>
      <c r="P156" s="2">
        <v>45937.725856481484</v>
      </c>
      <c r="Q156" s="2">
        <v>45941.61141203704</v>
      </c>
      <c r="R156" t="s">
        <v>1010</v>
      </c>
      <c r="S156" t="s">
        <v>65</v>
      </c>
      <c r="T156" s="2">
        <v>45936.813321759262</v>
      </c>
      <c r="U156" t="s">
        <v>66</v>
      </c>
      <c r="V156" t="s">
        <v>67</v>
      </c>
      <c r="W156" t="s">
        <v>66</v>
      </c>
      <c r="X156" t="s">
        <v>66</v>
      </c>
      <c r="Y156" t="s">
        <v>66</v>
      </c>
      <c r="Z156" t="s">
        <v>66</v>
      </c>
      <c r="AA156" t="s">
        <v>66</v>
      </c>
      <c r="AB156" t="s">
        <v>66</v>
      </c>
      <c r="AC156" t="s">
        <v>66</v>
      </c>
      <c r="AD156" s="2">
        <v>45941.61215277778</v>
      </c>
      <c r="AE156" t="s">
        <v>71</v>
      </c>
      <c r="AF156" t="s">
        <v>66</v>
      </c>
      <c r="AG156" t="s">
        <v>960</v>
      </c>
      <c r="AH156" t="s">
        <v>961</v>
      </c>
      <c r="AI156">
        <v>190011</v>
      </c>
      <c r="AJ156" t="s">
        <v>74</v>
      </c>
      <c r="AK156" t="s">
        <v>75</v>
      </c>
      <c r="AL156">
        <v>62044220</v>
      </c>
      <c r="AM156" s="2"/>
      <c r="AN156">
        <v>3600</v>
      </c>
      <c r="AO156" t="s">
        <v>1011</v>
      </c>
      <c r="AP156" t="s">
        <v>132</v>
      </c>
      <c r="AQ156" t="s">
        <v>964</v>
      </c>
      <c r="AR156" t="s">
        <v>71</v>
      </c>
      <c r="AS156">
        <v>18</v>
      </c>
      <c r="AT156">
        <v>0</v>
      </c>
      <c r="AU156">
        <v>0</v>
      </c>
      <c r="AV156">
        <v>18</v>
      </c>
      <c r="AW156">
        <v>549.15300000000002</v>
      </c>
      <c r="AX156">
        <v>0</v>
      </c>
      <c r="AY156">
        <v>0</v>
      </c>
      <c r="AZ156">
        <v>549.15300000000002</v>
      </c>
      <c r="BA156" s="2">
        <v>45936.602812500001</v>
      </c>
      <c r="BB156">
        <v>0.75</v>
      </c>
      <c r="BC156" s="2">
        <v>45939.5</v>
      </c>
      <c r="BD156" s="1">
        <f>MarketPlace_Order_Report__2[[#This Row],[UnitPrice]]*MarketPlace_Order_Report__2[[#This Row],[OrderQty]]</f>
        <v>3600</v>
      </c>
      <c r="BE156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56" s="1">
        <f>MarketPlace_Order_Report__2[[#This Row],[Gross Amount (Before Tax)]]+MarketPlace_Order_Report__2[[#This Row],[Total GST Amount]]</f>
        <v>4149.1530000000002</v>
      </c>
    </row>
    <row r="157" spans="1:58">
      <c r="A157" t="s">
        <v>1012</v>
      </c>
      <c r="B157" t="s">
        <v>1013</v>
      </c>
      <c r="C157" t="s">
        <v>1014</v>
      </c>
      <c r="D157" t="s">
        <v>1015</v>
      </c>
      <c r="E157">
        <v>4</v>
      </c>
      <c r="F157" t="s">
        <v>62</v>
      </c>
      <c r="G157">
        <v>1</v>
      </c>
      <c r="H157">
        <v>1</v>
      </c>
      <c r="I157">
        <v>2000</v>
      </c>
      <c r="J157">
        <v>1600</v>
      </c>
      <c r="K157">
        <v>0</v>
      </c>
      <c r="L157">
        <v>1613.8</v>
      </c>
      <c r="M157">
        <v>13.8</v>
      </c>
      <c r="N157" t="s">
        <v>99</v>
      </c>
      <c r="O157" s="2">
        <v>45934.006076388891</v>
      </c>
      <c r="P157" s="2">
        <v>45936.714317129627</v>
      </c>
      <c r="Q157" s="2">
        <v>45940.74796296296</v>
      </c>
      <c r="R157" t="s">
        <v>1016</v>
      </c>
      <c r="S157" t="s">
        <v>161</v>
      </c>
      <c r="T157" s="2">
        <v>45934.839085648149</v>
      </c>
      <c r="U157" t="s">
        <v>66</v>
      </c>
      <c r="V157" t="s">
        <v>67</v>
      </c>
      <c r="W157" t="s">
        <v>66</v>
      </c>
      <c r="X157" t="s">
        <v>66</v>
      </c>
      <c r="Y157" t="s">
        <v>1017</v>
      </c>
      <c r="Z157" t="s">
        <v>69</v>
      </c>
      <c r="AA157" t="s">
        <v>175</v>
      </c>
      <c r="AB157" t="s">
        <v>66</v>
      </c>
      <c r="AC157" t="s">
        <v>66</v>
      </c>
      <c r="AD157" s="2">
        <v>45948.823819444442</v>
      </c>
      <c r="AE157" t="s">
        <v>71</v>
      </c>
      <c r="AF157" t="s">
        <v>66</v>
      </c>
      <c r="AG157" t="s">
        <v>259</v>
      </c>
      <c r="AH157" t="s">
        <v>123</v>
      </c>
      <c r="AI157">
        <v>400049</v>
      </c>
      <c r="AJ157" t="s">
        <v>74</v>
      </c>
      <c r="AK157" t="s">
        <v>75</v>
      </c>
      <c r="AL157">
        <v>62044220</v>
      </c>
      <c r="AM157" s="2"/>
      <c r="AN157">
        <v>1600</v>
      </c>
      <c r="AO157" t="s">
        <v>1018</v>
      </c>
      <c r="AP157" t="s">
        <v>66</v>
      </c>
      <c r="AQ157" t="s">
        <v>66</v>
      </c>
      <c r="AR157" t="s">
        <v>71</v>
      </c>
      <c r="AS157">
        <v>5</v>
      </c>
      <c r="AT157">
        <v>2.5</v>
      </c>
      <c r="AU157">
        <v>2.5</v>
      </c>
      <c r="AV157">
        <v>0</v>
      </c>
      <c r="AW157">
        <v>76.19</v>
      </c>
      <c r="AX157">
        <v>38.094999999999999</v>
      </c>
      <c r="AY157">
        <v>38.094999999999999</v>
      </c>
      <c r="AZ157">
        <v>0</v>
      </c>
      <c r="BA157" s="2"/>
      <c r="BB157">
        <v>0.75</v>
      </c>
      <c r="BC157" s="2">
        <v>45936.5</v>
      </c>
      <c r="BD157" s="1">
        <f>MarketPlace_Order_Report__2[[#This Row],[UnitPrice]]*MarketPlace_Order_Report__2[[#This Row],[OrderQty]]</f>
        <v>1600</v>
      </c>
      <c r="BE157" s="1">
        <f>IFERROR(MarketPlace_Order_Report__2[[#This Row],[CGSTAmount]]+MarketPlace_Order_Report__2[[#This Row],[SGSTAmount]]+MarketPlace_Order_Report__2[[#This Row],[IGSTAmount]],MarketPlace_Order_Report__2[[#This Row],[TaxAmount]])</f>
        <v>76.19</v>
      </c>
      <c r="BF157" s="1">
        <f>MarketPlace_Order_Report__2[[#This Row],[Gross Amount (Before Tax)]]+MarketPlace_Order_Report__2[[#This Row],[Total GST Amount]]</f>
        <v>1676.19</v>
      </c>
    </row>
    <row r="158" spans="1:58">
      <c r="A158" t="s">
        <v>1019</v>
      </c>
      <c r="B158" t="s">
        <v>1020</v>
      </c>
      <c r="C158" t="s">
        <v>1021</v>
      </c>
      <c r="D158" t="s">
        <v>1022</v>
      </c>
      <c r="E158">
        <v>1</v>
      </c>
      <c r="F158" t="s">
        <v>62</v>
      </c>
      <c r="G158">
        <v>1</v>
      </c>
      <c r="H158">
        <v>1</v>
      </c>
      <c r="I158">
        <v>2000</v>
      </c>
      <c r="J158">
        <v>1600</v>
      </c>
      <c r="K158">
        <v>0</v>
      </c>
      <c r="L158">
        <v>1600</v>
      </c>
      <c r="M158">
        <v>0</v>
      </c>
      <c r="N158" t="s">
        <v>63</v>
      </c>
      <c r="O158" s="2">
        <v>45935.474363425928</v>
      </c>
      <c r="P158" s="2">
        <v>45936.777083333334</v>
      </c>
      <c r="Q158" s="2">
        <v>45938.386111111111</v>
      </c>
      <c r="R158" t="s">
        <v>1023</v>
      </c>
      <c r="S158" t="s">
        <v>146</v>
      </c>
      <c r="T158" s="2">
        <v>45935.742905092593</v>
      </c>
      <c r="U158" t="s">
        <v>66</v>
      </c>
      <c r="V158" t="s">
        <v>67</v>
      </c>
      <c r="W158" t="s">
        <v>66</v>
      </c>
      <c r="X158" t="s">
        <v>66</v>
      </c>
      <c r="Y158" t="s">
        <v>1024</v>
      </c>
      <c r="Z158" t="s">
        <v>69</v>
      </c>
      <c r="AA158" t="s">
        <v>175</v>
      </c>
      <c r="AB158" t="s">
        <v>66</v>
      </c>
      <c r="AC158" t="s">
        <v>66</v>
      </c>
      <c r="AD158" s="2">
        <v>45946.608541666668</v>
      </c>
      <c r="AE158" t="s">
        <v>71</v>
      </c>
      <c r="AF158" t="s">
        <v>66</v>
      </c>
      <c r="AG158" t="s">
        <v>148</v>
      </c>
      <c r="AH158" t="s">
        <v>149</v>
      </c>
      <c r="AI158">
        <v>500068</v>
      </c>
      <c r="AJ158" t="s">
        <v>74</v>
      </c>
      <c r="AK158" t="s">
        <v>75</v>
      </c>
      <c r="AL158">
        <v>62044220</v>
      </c>
      <c r="AM158" s="2"/>
      <c r="AN158">
        <v>1600</v>
      </c>
      <c r="AO158" t="s">
        <v>1025</v>
      </c>
      <c r="AP158" t="s">
        <v>132</v>
      </c>
      <c r="AQ158" t="s">
        <v>66</v>
      </c>
      <c r="AR158" t="s">
        <v>71</v>
      </c>
      <c r="AS158">
        <v>5</v>
      </c>
      <c r="AT158">
        <v>0</v>
      </c>
      <c r="AU158">
        <v>0</v>
      </c>
      <c r="AV158">
        <v>5</v>
      </c>
      <c r="AW158">
        <v>76.19</v>
      </c>
      <c r="AX158">
        <v>0</v>
      </c>
      <c r="AY158">
        <v>0</v>
      </c>
      <c r="AZ158">
        <v>76.19</v>
      </c>
      <c r="BA158" s="2"/>
      <c r="BB158">
        <v>0.75</v>
      </c>
      <c r="BC158" s="2">
        <v>45937.5</v>
      </c>
      <c r="BD158" s="1">
        <f>MarketPlace_Order_Report__2[[#This Row],[UnitPrice]]*MarketPlace_Order_Report__2[[#This Row],[OrderQty]]</f>
        <v>1600</v>
      </c>
      <c r="BE158" s="1">
        <f>IFERROR(MarketPlace_Order_Report__2[[#This Row],[CGSTAmount]]+MarketPlace_Order_Report__2[[#This Row],[SGSTAmount]]+MarketPlace_Order_Report__2[[#This Row],[IGSTAmount]],MarketPlace_Order_Report__2[[#This Row],[TaxAmount]])</f>
        <v>76.19</v>
      </c>
      <c r="BF158" s="1">
        <f>MarketPlace_Order_Report__2[[#This Row],[Gross Amount (Before Tax)]]+MarketPlace_Order_Report__2[[#This Row],[Total GST Amount]]</f>
        <v>1676.19</v>
      </c>
    </row>
    <row r="159" spans="1:58">
      <c r="A159" t="s">
        <v>1026</v>
      </c>
      <c r="B159" t="s">
        <v>1027</v>
      </c>
      <c r="C159" t="s">
        <v>1028</v>
      </c>
      <c r="D159" t="s">
        <v>1029</v>
      </c>
      <c r="E159">
        <v>1</v>
      </c>
      <c r="F159" t="s">
        <v>1806</v>
      </c>
      <c r="G159">
        <v>1</v>
      </c>
      <c r="H159">
        <v>1</v>
      </c>
      <c r="I159">
        <v>4000</v>
      </c>
      <c r="J159">
        <v>3600</v>
      </c>
      <c r="K159">
        <v>0</v>
      </c>
      <c r="L159">
        <v>3600</v>
      </c>
      <c r="M159">
        <v>0</v>
      </c>
      <c r="N159" t="s">
        <v>63</v>
      </c>
      <c r="O159" s="2">
        <v>45947.369687500002</v>
      </c>
      <c r="P159" s="2">
        <v>45948.728368055556</v>
      </c>
      <c r="Q159" s="2">
        <v>45955.460138888891</v>
      </c>
      <c r="R159" t="s">
        <v>1030</v>
      </c>
      <c r="S159" t="s">
        <v>65</v>
      </c>
      <c r="T159" s="2">
        <v>45947.783541666664</v>
      </c>
      <c r="U159" t="s">
        <v>66</v>
      </c>
      <c r="V159" t="s">
        <v>67</v>
      </c>
      <c r="W159" t="s">
        <v>66</v>
      </c>
      <c r="X159" t="s">
        <v>66</v>
      </c>
      <c r="Y159" t="s">
        <v>66</v>
      </c>
      <c r="Z159" t="s">
        <v>66</v>
      </c>
      <c r="AA159" t="s">
        <v>66</v>
      </c>
      <c r="AB159" t="s">
        <v>66</v>
      </c>
      <c r="AC159" t="s">
        <v>66</v>
      </c>
      <c r="AD159" s="2">
        <v>45955.462696759256</v>
      </c>
      <c r="AE159" t="s">
        <v>71</v>
      </c>
      <c r="AF159" t="s">
        <v>66</v>
      </c>
      <c r="AG159" t="s">
        <v>90</v>
      </c>
      <c r="AH159" t="s">
        <v>91</v>
      </c>
      <c r="AI159">
        <v>560103</v>
      </c>
      <c r="AJ159" t="s">
        <v>74</v>
      </c>
      <c r="AK159" t="s">
        <v>75</v>
      </c>
      <c r="AL159">
        <v>62044220</v>
      </c>
      <c r="AM159" s="2"/>
      <c r="AN159">
        <v>3600</v>
      </c>
      <c r="AO159" t="s">
        <v>1031</v>
      </c>
      <c r="AP159" t="s">
        <v>1032</v>
      </c>
      <c r="AQ159" t="s">
        <v>66</v>
      </c>
      <c r="AR159" t="s">
        <v>71</v>
      </c>
      <c r="AS159">
        <v>18</v>
      </c>
      <c r="AT159">
        <v>0</v>
      </c>
      <c r="AU159">
        <v>0</v>
      </c>
      <c r="AV159">
        <v>18</v>
      </c>
      <c r="AW159">
        <v>549.15300000000002</v>
      </c>
      <c r="AX159">
        <v>0</v>
      </c>
      <c r="AY159">
        <v>0</v>
      </c>
      <c r="AZ159">
        <v>549.15300000000002</v>
      </c>
      <c r="BA159" s="2"/>
      <c r="BB159">
        <v>1.1000000000000001</v>
      </c>
      <c r="BC159" s="2">
        <v>45949.5</v>
      </c>
      <c r="BD159" s="1">
        <f>MarketPlace_Order_Report__2[[#This Row],[UnitPrice]]*MarketPlace_Order_Report__2[[#This Row],[OrderQty]]</f>
        <v>3600</v>
      </c>
      <c r="BE159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59" s="1">
        <f>MarketPlace_Order_Report__2[[#This Row],[Gross Amount (Before Tax)]]+MarketPlace_Order_Report__2[[#This Row],[Total GST Amount]]</f>
        <v>4149.1530000000002</v>
      </c>
    </row>
    <row r="160" spans="1:58">
      <c r="A160" t="s">
        <v>1033</v>
      </c>
      <c r="B160" t="s">
        <v>1034</v>
      </c>
      <c r="C160" t="s">
        <v>1035</v>
      </c>
      <c r="D160" t="s">
        <v>1036</v>
      </c>
      <c r="E160">
        <v>1</v>
      </c>
      <c r="F160" t="s">
        <v>1806</v>
      </c>
      <c r="G160">
        <v>1</v>
      </c>
      <c r="H160">
        <v>1</v>
      </c>
      <c r="I160">
        <v>3750</v>
      </c>
      <c r="J160">
        <v>3375</v>
      </c>
      <c r="K160">
        <v>0</v>
      </c>
      <c r="L160">
        <v>3404</v>
      </c>
      <c r="M160">
        <v>29</v>
      </c>
      <c r="N160" t="s">
        <v>63</v>
      </c>
      <c r="O160" s="2">
        <v>45957.28465277778</v>
      </c>
      <c r="P160" s="2">
        <v>45958.714942129627</v>
      </c>
      <c r="Q160" s="2">
        <v>45960.577118055553</v>
      </c>
      <c r="R160" t="s">
        <v>1037</v>
      </c>
      <c r="S160" t="s">
        <v>65</v>
      </c>
      <c r="T160" s="2">
        <v>45957.797627314816</v>
      </c>
      <c r="U160" t="s">
        <v>66</v>
      </c>
      <c r="V160" t="s">
        <v>67</v>
      </c>
      <c r="W160" t="s">
        <v>66</v>
      </c>
      <c r="X160" t="s">
        <v>66</v>
      </c>
      <c r="Y160" t="s">
        <v>66</v>
      </c>
      <c r="Z160" t="s">
        <v>66</v>
      </c>
      <c r="AA160" t="s">
        <v>66</v>
      </c>
      <c r="AB160" t="s">
        <v>66</v>
      </c>
      <c r="AC160" t="s">
        <v>66</v>
      </c>
      <c r="AD160" s="2">
        <v>45960.590983796297</v>
      </c>
      <c r="AE160" t="s">
        <v>71</v>
      </c>
      <c r="AF160" t="s">
        <v>66</v>
      </c>
      <c r="AG160" t="s">
        <v>395</v>
      </c>
      <c r="AH160" t="s">
        <v>251</v>
      </c>
      <c r="AI160">
        <v>600100</v>
      </c>
      <c r="AJ160" t="s">
        <v>74</v>
      </c>
      <c r="AK160" t="s">
        <v>75</v>
      </c>
      <c r="AL160">
        <v>62044220</v>
      </c>
      <c r="AM160" s="2"/>
      <c r="AN160">
        <v>3375</v>
      </c>
      <c r="AO160" t="s">
        <v>1038</v>
      </c>
      <c r="AP160" t="s">
        <v>66</v>
      </c>
      <c r="AQ160" t="s">
        <v>66</v>
      </c>
      <c r="AR160" t="s">
        <v>71</v>
      </c>
      <c r="AS160">
        <v>18</v>
      </c>
      <c r="AT160">
        <v>0</v>
      </c>
      <c r="AU160">
        <v>0</v>
      </c>
      <c r="AV160">
        <v>18</v>
      </c>
      <c r="AW160">
        <v>514.83100000000002</v>
      </c>
      <c r="AX160">
        <v>0</v>
      </c>
      <c r="AY160">
        <v>0</v>
      </c>
      <c r="AZ160">
        <v>514.83100000000002</v>
      </c>
      <c r="BA160" s="2"/>
      <c r="BB160">
        <v>0.75</v>
      </c>
      <c r="BC160" s="2">
        <v>45959.5</v>
      </c>
      <c r="BD160" s="1">
        <f>MarketPlace_Order_Report__2[[#This Row],[UnitPrice]]*MarketPlace_Order_Report__2[[#This Row],[OrderQty]]</f>
        <v>3375</v>
      </c>
      <c r="BE160" s="1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160" s="1">
        <f>MarketPlace_Order_Report__2[[#This Row],[Gross Amount (Before Tax)]]+MarketPlace_Order_Report__2[[#This Row],[Total GST Amount]]</f>
        <v>3889.8310000000001</v>
      </c>
    </row>
    <row r="161" spans="1:58">
      <c r="A161" t="s">
        <v>1039</v>
      </c>
      <c r="B161" t="s">
        <v>1040</v>
      </c>
      <c r="C161" t="s">
        <v>1041</v>
      </c>
      <c r="D161" t="s">
        <v>1042</v>
      </c>
      <c r="E161">
        <v>1</v>
      </c>
      <c r="F161" t="s">
        <v>1806</v>
      </c>
      <c r="G161">
        <v>1</v>
      </c>
      <c r="H161">
        <v>1</v>
      </c>
      <c r="I161">
        <v>3750</v>
      </c>
      <c r="J161">
        <v>3375</v>
      </c>
      <c r="K161">
        <v>0</v>
      </c>
      <c r="L161">
        <v>3375</v>
      </c>
      <c r="M161">
        <v>0</v>
      </c>
      <c r="N161" t="s">
        <v>63</v>
      </c>
      <c r="O161" s="2">
        <v>45957.437928240739</v>
      </c>
      <c r="P161" s="2">
        <v>45958.714375000003</v>
      </c>
      <c r="Q161" s="2">
        <v>45960.458587962959</v>
      </c>
      <c r="R161" t="s">
        <v>1043</v>
      </c>
      <c r="S161" t="s">
        <v>65</v>
      </c>
      <c r="T161" s="2">
        <v>45957.797627314816</v>
      </c>
      <c r="U161" t="s">
        <v>66</v>
      </c>
      <c r="V161" t="s">
        <v>67</v>
      </c>
      <c r="W161" t="s">
        <v>66</v>
      </c>
      <c r="X161" t="s">
        <v>66</v>
      </c>
      <c r="Y161" t="s">
        <v>66</v>
      </c>
      <c r="Z161" t="s">
        <v>66</v>
      </c>
      <c r="AA161" t="s">
        <v>66</v>
      </c>
      <c r="AB161" t="s">
        <v>66</v>
      </c>
      <c r="AC161" t="s">
        <v>66</v>
      </c>
      <c r="AD161" s="2">
        <v>45960.462569444448</v>
      </c>
      <c r="AE161" t="s">
        <v>71</v>
      </c>
      <c r="AF161" t="s">
        <v>66</v>
      </c>
      <c r="AG161" t="s">
        <v>359</v>
      </c>
      <c r="AH161" t="s">
        <v>360</v>
      </c>
      <c r="AI161">
        <v>700048</v>
      </c>
      <c r="AJ161" t="s">
        <v>74</v>
      </c>
      <c r="AK161" t="s">
        <v>75</v>
      </c>
      <c r="AL161">
        <v>62044220</v>
      </c>
      <c r="AM161" s="2"/>
      <c r="AN161">
        <v>3375</v>
      </c>
      <c r="AO161" t="s">
        <v>1044</v>
      </c>
      <c r="AP161" t="s">
        <v>66</v>
      </c>
      <c r="AQ161" t="s">
        <v>66</v>
      </c>
      <c r="AR161" t="s">
        <v>71</v>
      </c>
      <c r="AS161">
        <v>18</v>
      </c>
      <c r="AT161">
        <v>0</v>
      </c>
      <c r="AU161">
        <v>0</v>
      </c>
      <c r="AV161">
        <v>18</v>
      </c>
      <c r="AW161">
        <v>514.83100000000002</v>
      </c>
      <c r="AX161">
        <v>0</v>
      </c>
      <c r="AY161">
        <v>0</v>
      </c>
      <c r="AZ161">
        <v>514.83100000000002</v>
      </c>
      <c r="BA161" s="2"/>
      <c r="BB161">
        <v>0.75</v>
      </c>
      <c r="BC161" s="2">
        <v>45959.5</v>
      </c>
      <c r="BD161" s="1">
        <f>MarketPlace_Order_Report__2[[#This Row],[UnitPrice]]*MarketPlace_Order_Report__2[[#This Row],[OrderQty]]</f>
        <v>3375</v>
      </c>
      <c r="BE161" s="1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161" s="1">
        <f>MarketPlace_Order_Report__2[[#This Row],[Gross Amount (Before Tax)]]+MarketPlace_Order_Report__2[[#This Row],[Total GST Amount]]</f>
        <v>3889.8310000000001</v>
      </c>
    </row>
    <row r="162" spans="1:58">
      <c r="A162" t="s">
        <v>1045</v>
      </c>
      <c r="B162" t="s">
        <v>1046</v>
      </c>
      <c r="C162" t="s">
        <v>1047</v>
      </c>
      <c r="D162" t="s">
        <v>1048</v>
      </c>
      <c r="E162">
        <v>2</v>
      </c>
      <c r="F162" t="s">
        <v>107</v>
      </c>
      <c r="G162">
        <v>1</v>
      </c>
      <c r="H162">
        <v>1</v>
      </c>
      <c r="I162">
        <v>3750</v>
      </c>
      <c r="J162">
        <v>3375</v>
      </c>
      <c r="K162">
        <v>0</v>
      </c>
      <c r="L162">
        <v>3382.252</v>
      </c>
      <c r="M162">
        <v>7.2519999999999998</v>
      </c>
      <c r="N162" t="s">
        <v>63</v>
      </c>
      <c r="O162" s="2">
        <v>45958.034259259257</v>
      </c>
      <c r="P162" s="2">
        <v>45958.715937499997</v>
      </c>
      <c r="Q162" s="2"/>
      <c r="R162" t="s">
        <v>1049</v>
      </c>
      <c r="S162" t="s">
        <v>65</v>
      </c>
      <c r="T162" s="2">
        <v>45958.543113425927</v>
      </c>
      <c r="U162" t="s">
        <v>66</v>
      </c>
      <c r="V162" t="s">
        <v>67</v>
      </c>
      <c r="W162" t="s">
        <v>66</v>
      </c>
      <c r="X162" t="s">
        <v>66</v>
      </c>
      <c r="Y162" t="s">
        <v>66</v>
      </c>
      <c r="Z162" t="s">
        <v>66</v>
      </c>
      <c r="AA162" t="s">
        <v>66</v>
      </c>
      <c r="AB162" t="s">
        <v>66</v>
      </c>
      <c r="AC162" t="s">
        <v>66</v>
      </c>
      <c r="AD162" s="2">
        <v>45961.553020833337</v>
      </c>
      <c r="AE162" t="s">
        <v>71</v>
      </c>
      <c r="AF162" t="s">
        <v>66</v>
      </c>
      <c r="AG162" t="s">
        <v>1050</v>
      </c>
      <c r="AH162" t="s">
        <v>279</v>
      </c>
      <c r="AI162">
        <v>144602</v>
      </c>
      <c r="AJ162" t="s">
        <v>74</v>
      </c>
      <c r="AK162" t="s">
        <v>75</v>
      </c>
      <c r="AL162">
        <v>62044220</v>
      </c>
      <c r="AM162" s="2"/>
      <c r="AN162">
        <v>3375</v>
      </c>
      <c r="AO162" t="s">
        <v>1051</v>
      </c>
      <c r="AP162" t="s">
        <v>66</v>
      </c>
      <c r="AQ162" t="s">
        <v>66</v>
      </c>
      <c r="AR162" t="s">
        <v>71</v>
      </c>
      <c r="AS162">
        <v>18</v>
      </c>
      <c r="AT162">
        <v>0</v>
      </c>
      <c r="AU162">
        <v>0</v>
      </c>
      <c r="AV162">
        <v>18</v>
      </c>
      <c r="AW162">
        <v>514.83100000000002</v>
      </c>
      <c r="AX162">
        <v>0</v>
      </c>
      <c r="AY162">
        <v>0</v>
      </c>
      <c r="AZ162">
        <v>514.83100000000002</v>
      </c>
      <c r="BA162" s="2"/>
      <c r="BB162">
        <v>1.1000000000000001</v>
      </c>
      <c r="BC162" s="2">
        <v>45960.5</v>
      </c>
      <c r="BD162" s="1">
        <f>MarketPlace_Order_Report__2[[#This Row],[UnitPrice]]*MarketPlace_Order_Report__2[[#This Row],[OrderQty]]</f>
        <v>3375</v>
      </c>
      <c r="BE162" s="1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162" s="1">
        <f>MarketPlace_Order_Report__2[[#This Row],[Gross Amount (Before Tax)]]+MarketPlace_Order_Report__2[[#This Row],[Total GST Amount]]</f>
        <v>3889.8310000000001</v>
      </c>
    </row>
    <row r="163" spans="1:58">
      <c r="A163" t="s">
        <v>1052</v>
      </c>
      <c r="B163" t="s">
        <v>1053</v>
      </c>
      <c r="C163" t="s">
        <v>1054</v>
      </c>
      <c r="D163" t="s">
        <v>1055</v>
      </c>
      <c r="E163">
        <v>1</v>
      </c>
      <c r="F163" t="s">
        <v>1806</v>
      </c>
      <c r="G163">
        <v>1</v>
      </c>
      <c r="H163">
        <v>1</v>
      </c>
      <c r="I163">
        <v>3750</v>
      </c>
      <c r="J163">
        <v>3375</v>
      </c>
      <c r="K163">
        <v>0</v>
      </c>
      <c r="L163">
        <v>3395</v>
      </c>
      <c r="M163">
        <v>20</v>
      </c>
      <c r="N163" t="s">
        <v>99</v>
      </c>
      <c r="O163" s="2">
        <v>45954.096979166665</v>
      </c>
      <c r="P163" s="2">
        <v>45954.73097222222</v>
      </c>
      <c r="Q163" s="2">
        <v>45959.529398148145</v>
      </c>
      <c r="R163" t="s">
        <v>1056</v>
      </c>
      <c r="S163" t="s">
        <v>65</v>
      </c>
      <c r="T163" s="2">
        <v>45954.500509259262</v>
      </c>
      <c r="U163" t="s">
        <v>66</v>
      </c>
      <c r="V163" t="s">
        <v>67</v>
      </c>
      <c r="W163" t="s">
        <v>66</v>
      </c>
      <c r="X163" t="s">
        <v>66</v>
      </c>
      <c r="Y163" t="s">
        <v>66</v>
      </c>
      <c r="Z163" t="s">
        <v>66</v>
      </c>
      <c r="AA163" t="s">
        <v>66</v>
      </c>
      <c r="AB163" t="s">
        <v>66</v>
      </c>
      <c r="AC163" t="s">
        <v>66</v>
      </c>
      <c r="AD163" s="2">
        <v>45959.556481481479</v>
      </c>
      <c r="AE163" t="s">
        <v>71</v>
      </c>
      <c r="AF163" t="s">
        <v>66</v>
      </c>
      <c r="AG163" t="s">
        <v>1057</v>
      </c>
      <c r="AH163" t="s">
        <v>149</v>
      </c>
      <c r="AI163">
        <v>503001</v>
      </c>
      <c r="AJ163" t="s">
        <v>74</v>
      </c>
      <c r="AK163" t="s">
        <v>75</v>
      </c>
      <c r="AL163">
        <v>62044220</v>
      </c>
      <c r="AM163" s="2"/>
      <c r="AN163">
        <v>3375</v>
      </c>
      <c r="AO163" t="s">
        <v>1058</v>
      </c>
      <c r="AP163" t="s">
        <v>1059</v>
      </c>
      <c r="AQ163" t="s">
        <v>66</v>
      </c>
      <c r="AR163" t="s">
        <v>71</v>
      </c>
      <c r="AS163">
        <v>18</v>
      </c>
      <c r="AT163">
        <v>0</v>
      </c>
      <c r="AU163">
        <v>0</v>
      </c>
      <c r="AV163">
        <v>18</v>
      </c>
      <c r="AW163">
        <v>514.83100000000002</v>
      </c>
      <c r="AX163">
        <v>0</v>
      </c>
      <c r="AY163">
        <v>0</v>
      </c>
      <c r="AZ163">
        <v>514.83100000000002</v>
      </c>
      <c r="BA163" s="2"/>
      <c r="BB163">
        <v>0.75</v>
      </c>
      <c r="BC163" s="2">
        <v>45956.5</v>
      </c>
      <c r="BD163" s="1">
        <f>MarketPlace_Order_Report__2[[#This Row],[UnitPrice]]*MarketPlace_Order_Report__2[[#This Row],[OrderQty]]</f>
        <v>3375</v>
      </c>
      <c r="BE163" s="1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163" s="1">
        <f>MarketPlace_Order_Report__2[[#This Row],[Gross Amount (Before Tax)]]+MarketPlace_Order_Report__2[[#This Row],[Total GST Amount]]</f>
        <v>3889.8310000000001</v>
      </c>
    </row>
    <row r="164" spans="1:58">
      <c r="A164" t="s">
        <v>1060</v>
      </c>
      <c r="B164" t="s">
        <v>1061</v>
      </c>
      <c r="C164" t="s">
        <v>1062</v>
      </c>
      <c r="D164" t="s">
        <v>1063</v>
      </c>
      <c r="E164">
        <v>1</v>
      </c>
      <c r="F164" t="s">
        <v>1806</v>
      </c>
      <c r="G164">
        <v>1</v>
      </c>
      <c r="H164">
        <v>1</v>
      </c>
      <c r="I164">
        <v>3750</v>
      </c>
      <c r="J164">
        <v>3375</v>
      </c>
      <c r="K164">
        <v>0</v>
      </c>
      <c r="L164">
        <v>3404</v>
      </c>
      <c r="M164">
        <v>29</v>
      </c>
      <c r="N164" t="s">
        <v>63</v>
      </c>
      <c r="O164" s="2">
        <v>45940.687847222223</v>
      </c>
      <c r="P164" s="2">
        <v>45941.746886574074</v>
      </c>
      <c r="Q164" s="2">
        <v>45943.543715277781</v>
      </c>
      <c r="R164" t="s">
        <v>1064</v>
      </c>
      <c r="S164" t="s">
        <v>161</v>
      </c>
      <c r="T164" s="2">
        <v>45940.816203703704</v>
      </c>
      <c r="U164" t="s">
        <v>66</v>
      </c>
      <c r="V164" t="s">
        <v>67</v>
      </c>
      <c r="W164" t="s">
        <v>66</v>
      </c>
      <c r="X164" t="s">
        <v>66</v>
      </c>
      <c r="Y164" t="s">
        <v>66</v>
      </c>
      <c r="Z164" t="s">
        <v>66</v>
      </c>
      <c r="AA164" t="s">
        <v>66</v>
      </c>
      <c r="AB164" t="s">
        <v>66</v>
      </c>
      <c r="AC164" t="s">
        <v>66</v>
      </c>
      <c r="AD164" s="2">
        <v>45943.545995370368</v>
      </c>
      <c r="AE164" t="s">
        <v>71</v>
      </c>
      <c r="AF164" t="s">
        <v>66</v>
      </c>
      <c r="AG164" t="s">
        <v>259</v>
      </c>
      <c r="AH164" t="s">
        <v>123</v>
      </c>
      <c r="AI164">
        <v>400050</v>
      </c>
      <c r="AJ164" t="s">
        <v>74</v>
      </c>
      <c r="AK164" t="s">
        <v>75</v>
      </c>
      <c r="AL164">
        <v>62044220</v>
      </c>
      <c r="AM164" s="2"/>
      <c r="AN164">
        <v>3375</v>
      </c>
      <c r="AO164" t="s">
        <v>1065</v>
      </c>
      <c r="AP164" t="s">
        <v>187</v>
      </c>
      <c r="AQ164" t="s">
        <v>66</v>
      </c>
      <c r="AR164" t="s">
        <v>71</v>
      </c>
      <c r="AS164">
        <v>18</v>
      </c>
      <c r="AT164">
        <v>9</v>
      </c>
      <c r="AU164">
        <v>9</v>
      </c>
      <c r="AV164">
        <v>0</v>
      </c>
      <c r="AW164">
        <v>514.83100000000002</v>
      </c>
      <c r="AX164">
        <v>257.416</v>
      </c>
      <c r="AY164">
        <v>257.416</v>
      </c>
      <c r="AZ164">
        <v>0</v>
      </c>
      <c r="BA164" s="2"/>
      <c r="BB164">
        <v>0.75</v>
      </c>
      <c r="BC164" s="2">
        <v>45943.5</v>
      </c>
      <c r="BD164" s="1">
        <f>MarketPlace_Order_Report__2[[#This Row],[UnitPrice]]*MarketPlace_Order_Report__2[[#This Row],[OrderQty]]</f>
        <v>3375</v>
      </c>
      <c r="BE164" s="1">
        <f>IFERROR(MarketPlace_Order_Report__2[[#This Row],[CGSTAmount]]+MarketPlace_Order_Report__2[[#This Row],[SGSTAmount]]+MarketPlace_Order_Report__2[[#This Row],[IGSTAmount]],MarketPlace_Order_Report__2[[#This Row],[TaxAmount]])</f>
        <v>514.83199999999999</v>
      </c>
      <c r="BF164" s="1">
        <f>MarketPlace_Order_Report__2[[#This Row],[Gross Amount (Before Tax)]]+MarketPlace_Order_Report__2[[#This Row],[Total GST Amount]]</f>
        <v>3889.8319999999999</v>
      </c>
    </row>
    <row r="165" spans="1:58">
      <c r="A165" t="s">
        <v>876</v>
      </c>
      <c r="B165" t="s">
        <v>877</v>
      </c>
      <c r="C165" t="s">
        <v>1066</v>
      </c>
      <c r="D165" t="s">
        <v>1067</v>
      </c>
      <c r="E165">
        <v>2</v>
      </c>
      <c r="F165" t="s">
        <v>1806</v>
      </c>
      <c r="G165">
        <v>1</v>
      </c>
      <c r="H165">
        <v>1</v>
      </c>
      <c r="I165">
        <v>3750</v>
      </c>
      <c r="J165">
        <v>3375</v>
      </c>
      <c r="K165">
        <v>0</v>
      </c>
      <c r="L165">
        <v>3384.6770000000001</v>
      </c>
      <c r="M165">
        <v>9.6769999999999996</v>
      </c>
      <c r="N165" t="s">
        <v>99</v>
      </c>
      <c r="O165" s="2">
        <v>45944.744768518518</v>
      </c>
      <c r="P165" s="2">
        <v>45945.759652777779</v>
      </c>
      <c r="Q165" s="2">
        <v>45948.659861111111</v>
      </c>
      <c r="R165" t="s">
        <v>880</v>
      </c>
      <c r="S165" t="s">
        <v>65</v>
      </c>
      <c r="T165" s="2">
        <v>45944.808067129627</v>
      </c>
      <c r="U165" t="s">
        <v>66</v>
      </c>
      <c r="V165" t="s">
        <v>67</v>
      </c>
      <c r="W165" t="s">
        <v>66</v>
      </c>
      <c r="X165" t="s">
        <v>66</v>
      </c>
      <c r="Y165" t="s">
        <v>66</v>
      </c>
      <c r="Z165" t="s">
        <v>66</v>
      </c>
      <c r="AA165" t="s">
        <v>66</v>
      </c>
      <c r="AB165" t="s">
        <v>66</v>
      </c>
      <c r="AC165" t="s">
        <v>66</v>
      </c>
      <c r="AD165" s="2">
        <v>45948.660636574074</v>
      </c>
      <c r="AE165" t="s">
        <v>71</v>
      </c>
      <c r="AF165" t="s">
        <v>66</v>
      </c>
      <c r="AG165" t="s">
        <v>185</v>
      </c>
      <c r="AH165" t="s">
        <v>139</v>
      </c>
      <c r="AI165">
        <v>201301</v>
      </c>
      <c r="AJ165" t="s">
        <v>74</v>
      </c>
      <c r="AK165" t="s">
        <v>75</v>
      </c>
      <c r="AL165">
        <v>62044220</v>
      </c>
      <c r="AM165" s="2"/>
      <c r="AN165">
        <v>3375</v>
      </c>
      <c r="AO165" t="s">
        <v>881</v>
      </c>
      <c r="AP165" t="s">
        <v>882</v>
      </c>
      <c r="AQ165" t="s">
        <v>66</v>
      </c>
      <c r="AR165" t="s">
        <v>71</v>
      </c>
      <c r="AS165">
        <v>18</v>
      </c>
      <c r="AT165">
        <v>0</v>
      </c>
      <c r="AU165">
        <v>0</v>
      </c>
      <c r="AV165">
        <v>18</v>
      </c>
      <c r="AW165">
        <v>514.83100000000002</v>
      </c>
      <c r="AX165">
        <v>0</v>
      </c>
      <c r="AY165">
        <v>0</v>
      </c>
      <c r="AZ165">
        <v>514.83100000000002</v>
      </c>
      <c r="BA165" s="2"/>
      <c r="BB165">
        <v>1</v>
      </c>
      <c r="BC165" s="2">
        <v>45947.5</v>
      </c>
      <c r="BD165" s="1">
        <f>MarketPlace_Order_Report__2[[#This Row],[UnitPrice]]*MarketPlace_Order_Report__2[[#This Row],[OrderQty]]</f>
        <v>3375</v>
      </c>
      <c r="BE165" s="1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165" s="1">
        <f>MarketPlace_Order_Report__2[[#This Row],[Gross Amount (Before Tax)]]+MarketPlace_Order_Report__2[[#This Row],[Total GST Amount]]</f>
        <v>3889.8310000000001</v>
      </c>
    </row>
    <row r="166" spans="1:58">
      <c r="A166" t="s">
        <v>1068</v>
      </c>
      <c r="B166" t="s">
        <v>1069</v>
      </c>
      <c r="C166" t="s">
        <v>1066</v>
      </c>
      <c r="D166" t="s">
        <v>1067</v>
      </c>
      <c r="E166">
        <v>1</v>
      </c>
      <c r="F166" t="s">
        <v>1806</v>
      </c>
      <c r="G166">
        <v>1</v>
      </c>
      <c r="H166">
        <v>1</v>
      </c>
      <c r="I166">
        <v>3750</v>
      </c>
      <c r="J166">
        <v>3375</v>
      </c>
      <c r="K166">
        <v>0</v>
      </c>
      <c r="L166">
        <v>3494</v>
      </c>
      <c r="M166">
        <v>119</v>
      </c>
      <c r="N166" t="s">
        <v>99</v>
      </c>
      <c r="O166" s="2">
        <v>45942.757361111115</v>
      </c>
      <c r="P166" s="2">
        <v>45944.737060185187</v>
      </c>
      <c r="Q166" s="2">
        <v>45947.710266203707</v>
      </c>
      <c r="R166" t="s">
        <v>1070</v>
      </c>
      <c r="S166" t="s">
        <v>161</v>
      </c>
      <c r="T166" s="2">
        <v>45943.813715277778</v>
      </c>
      <c r="U166" t="s">
        <v>66</v>
      </c>
      <c r="V166" t="s">
        <v>67</v>
      </c>
      <c r="W166" t="s">
        <v>66</v>
      </c>
      <c r="X166" t="s">
        <v>66</v>
      </c>
      <c r="Y166" t="s">
        <v>66</v>
      </c>
      <c r="Z166" t="s">
        <v>66</v>
      </c>
      <c r="AA166" t="s">
        <v>66</v>
      </c>
      <c r="AB166" t="s">
        <v>66</v>
      </c>
      <c r="AC166" t="s">
        <v>66</v>
      </c>
      <c r="AD166" s="2">
        <v>45947.712789351855</v>
      </c>
      <c r="AE166" t="s">
        <v>71</v>
      </c>
      <c r="AF166" t="s">
        <v>66</v>
      </c>
      <c r="AG166" t="s">
        <v>1071</v>
      </c>
      <c r="AH166" t="s">
        <v>383</v>
      </c>
      <c r="AI166">
        <v>457001</v>
      </c>
      <c r="AJ166" t="s">
        <v>74</v>
      </c>
      <c r="AK166" t="s">
        <v>75</v>
      </c>
      <c r="AL166">
        <v>62044220</v>
      </c>
      <c r="AM166" s="2"/>
      <c r="AN166">
        <v>3375</v>
      </c>
      <c r="AO166" t="s">
        <v>1072</v>
      </c>
      <c r="AP166" t="s">
        <v>66</v>
      </c>
      <c r="AQ166" t="s">
        <v>66</v>
      </c>
      <c r="AR166" t="s">
        <v>71</v>
      </c>
      <c r="AS166">
        <v>18</v>
      </c>
      <c r="AT166">
        <v>0</v>
      </c>
      <c r="AU166">
        <v>0</v>
      </c>
      <c r="AV166">
        <v>18</v>
      </c>
      <c r="AW166">
        <v>514.83100000000002</v>
      </c>
      <c r="AX166">
        <v>0</v>
      </c>
      <c r="AY166">
        <v>0</v>
      </c>
      <c r="AZ166">
        <v>514.83100000000002</v>
      </c>
      <c r="BA166" s="2"/>
      <c r="BB166">
        <v>0.75</v>
      </c>
      <c r="BC166" s="2">
        <v>45945.5</v>
      </c>
      <c r="BD166" s="1">
        <f>MarketPlace_Order_Report__2[[#This Row],[UnitPrice]]*MarketPlace_Order_Report__2[[#This Row],[OrderQty]]</f>
        <v>3375</v>
      </c>
      <c r="BE166" s="1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166" s="1">
        <f>MarketPlace_Order_Report__2[[#This Row],[Gross Amount (Before Tax)]]+MarketPlace_Order_Report__2[[#This Row],[Total GST Amount]]</f>
        <v>3889.8310000000001</v>
      </c>
    </row>
    <row r="167" spans="1:58">
      <c r="A167" t="s">
        <v>1073</v>
      </c>
      <c r="B167" t="s">
        <v>1074</v>
      </c>
      <c r="C167" t="s">
        <v>1075</v>
      </c>
      <c r="D167" t="s">
        <v>1076</v>
      </c>
      <c r="E167">
        <v>1</v>
      </c>
      <c r="F167" t="s">
        <v>62</v>
      </c>
      <c r="G167">
        <v>1</v>
      </c>
      <c r="H167">
        <v>1</v>
      </c>
      <c r="I167">
        <v>3750</v>
      </c>
      <c r="J167">
        <v>3375</v>
      </c>
      <c r="K167">
        <v>0</v>
      </c>
      <c r="L167">
        <v>3404</v>
      </c>
      <c r="M167">
        <v>29</v>
      </c>
      <c r="N167" t="s">
        <v>63</v>
      </c>
      <c r="O167" s="2">
        <v>45942.710219907407</v>
      </c>
      <c r="P167" s="2">
        <v>45944.735995370371</v>
      </c>
      <c r="Q167" s="2">
        <v>45945.734490740739</v>
      </c>
      <c r="R167" t="s">
        <v>1077</v>
      </c>
      <c r="S167" t="s">
        <v>161</v>
      </c>
      <c r="T167" s="2">
        <v>45943.814467592594</v>
      </c>
      <c r="U167" t="s">
        <v>66</v>
      </c>
      <c r="V167" t="s">
        <v>67</v>
      </c>
      <c r="W167" t="s">
        <v>66</v>
      </c>
      <c r="X167" t="s">
        <v>66</v>
      </c>
      <c r="Y167" t="s">
        <v>1078</v>
      </c>
      <c r="Z167" t="s">
        <v>69</v>
      </c>
      <c r="AA167" t="s">
        <v>70</v>
      </c>
      <c r="AB167" t="s">
        <v>66</v>
      </c>
      <c r="AC167" t="s">
        <v>66</v>
      </c>
      <c r="AD167" s="2">
        <v>45961.49423611111</v>
      </c>
      <c r="AE167" t="s">
        <v>71</v>
      </c>
      <c r="AF167" t="s">
        <v>66</v>
      </c>
      <c r="AG167" t="s">
        <v>259</v>
      </c>
      <c r="AH167" t="s">
        <v>123</v>
      </c>
      <c r="AI167">
        <v>400094</v>
      </c>
      <c r="AJ167" t="s">
        <v>74</v>
      </c>
      <c r="AK167" t="s">
        <v>75</v>
      </c>
      <c r="AL167">
        <v>62044220</v>
      </c>
      <c r="AM167" s="2"/>
      <c r="AN167">
        <v>3375</v>
      </c>
      <c r="AO167" t="s">
        <v>1079</v>
      </c>
      <c r="AP167" t="s">
        <v>243</v>
      </c>
      <c r="AQ167" t="s">
        <v>66</v>
      </c>
      <c r="AR167" t="s">
        <v>71</v>
      </c>
      <c r="AS167">
        <v>18</v>
      </c>
      <c r="AT167">
        <v>9</v>
      </c>
      <c r="AU167">
        <v>9</v>
      </c>
      <c r="AV167">
        <v>0</v>
      </c>
      <c r="AW167">
        <v>514.83100000000002</v>
      </c>
      <c r="AX167">
        <v>257.416</v>
      </c>
      <c r="AY167">
        <v>257.416</v>
      </c>
      <c r="AZ167">
        <v>0</v>
      </c>
      <c r="BA167" s="2"/>
      <c r="BB167">
        <v>0.75</v>
      </c>
      <c r="BC167" s="2">
        <v>45945.5</v>
      </c>
      <c r="BD167" s="1">
        <f>MarketPlace_Order_Report__2[[#This Row],[UnitPrice]]*MarketPlace_Order_Report__2[[#This Row],[OrderQty]]</f>
        <v>3375</v>
      </c>
      <c r="BE167" s="1">
        <f>IFERROR(MarketPlace_Order_Report__2[[#This Row],[CGSTAmount]]+MarketPlace_Order_Report__2[[#This Row],[SGSTAmount]]+MarketPlace_Order_Report__2[[#This Row],[IGSTAmount]],MarketPlace_Order_Report__2[[#This Row],[TaxAmount]])</f>
        <v>514.83199999999999</v>
      </c>
      <c r="BF167" s="1">
        <f>MarketPlace_Order_Report__2[[#This Row],[Gross Amount (Before Tax)]]+MarketPlace_Order_Report__2[[#This Row],[Total GST Amount]]</f>
        <v>3889.8319999999999</v>
      </c>
    </row>
    <row r="168" spans="1:58">
      <c r="A168" t="s">
        <v>1080</v>
      </c>
      <c r="B168" t="s">
        <v>1081</v>
      </c>
      <c r="C168" t="s">
        <v>1075</v>
      </c>
      <c r="D168" t="s">
        <v>1076</v>
      </c>
      <c r="E168">
        <v>2</v>
      </c>
      <c r="F168" t="s">
        <v>1806</v>
      </c>
      <c r="G168">
        <v>1</v>
      </c>
      <c r="H168">
        <v>1</v>
      </c>
      <c r="I168">
        <v>3750</v>
      </c>
      <c r="J168">
        <v>3375</v>
      </c>
      <c r="K168">
        <v>0</v>
      </c>
      <c r="L168">
        <v>3382.36</v>
      </c>
      <c r="M168">
        <v>7.36</v>
      </c>
      <c r="N168" t="s">
        <v>63</v>
      </c>
      <c r="O168" s="2">
        <v>45941.963761574072</v>
      </c>
      <c r="P168" s="2">
        <v>45943.779166666667</v>
      </c>
      <c r="Q168" s="2">
        <v>45945.498611111114</v>
      </c>
      <c r="R168" t="s">
        <v>1082</v>
      </c>
      <c r="S168" t="s">
        <v>146</v>
      </c>
      <c r="T168" s="2">
        <v>45942.661412037036</v>
      </c>
      <c r="U168" t="s">
        <v>66</v>
      </c>
      <c r="V168" t="s">
        <v>67</v>
      </c>
      <c r="W168" t="s">
        <v>66</v>
      </c>
      <c r="X168" t="s">
        <v>66</v>
      </c>
      <c r="Y168" t="s">
        <v>66</v>
      </c>
      <c r="Z168" t="s">
        <v>66</v>
      </c>
      <c r="AA168" t="s">
        <v>66</v>
      </c>
      <c r="AB168" t="s">
        <v>66</v>
      </c>
      <c r="AC168" t="s">
        <v>66</v>
      </c>
      <c r="AD168" s="2">
        <v>45945.504328703704</v>
      </c>
      <c r="AE168" t="s">
        <v>71</v>
      </c>
      <c r="AF168" t="s">
        <v>66</v>
      </c>
      <c r="AG168" t="s">
        <v>148</v>
      </c>
      <c r="AH168" t="s">
        <v>149</v>
      </c>
      <c r="AI168">
        <v>500032</v>
      </c>
      <c r="AJ168" t="s">
        <v>74</v>
      </c>
      <c r="AK168" t="s">
        <v>75</v>
      </c>
      <c r="AL168">
        <v>62044220</v>
      </c>
      <c r="AM168" s="2"/>
      <c r="AN168">
        <v>3375</v>
      </c>
      <c r="AO168" t="s">
        <v>1083</v>
      </c>
      <c r="AP168" t="s">
        <v>66</v>
      </c>
      <c r="AQ168" t="s">
        <v>66</v>
      </c>
      <c r="AR168" t="s">
        <v>71</v>
      </c>
      <c r="AS168">
        <v>18</v>
      </c>
      <c r="AT168">
        <v>0</v>
      </c>
      <c r="AU168">
        <v>0</v>
      </c>
      <c r="AV168">
        <v>18</v>
      </c>
      <c r="AW168">
        <v>514.83100000000002</v>
      </c>
      <c r="AX168">
        <v>0</v>
      </c>
      <c r="AY168">
        <v>0</v>
      </c>
      <c r="AZ168">
        <v>514.83100000000002</v>
      </c>
      <c r="BA168" s="2"/>
      <c r="BB168">
        <v>1.1000000000000001</v>
      </c>
      <c r="BC168" s="2">
        <v>45944.5</v>
      </c>
      <c r="BD168" s="1">
        <f>MarketPlace_Order_Report__2[[#This Row],[UnitPrice]]*MarketPlace_Order_Report__2[[#This Row],[OrderQty]]</f>
        <v>3375</v>
      </c>
      <c r="BE168" s="1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BF168" s="1">
        <f>MarketPlace_Order_Report__2[[#This Row],[Gross Amount (Before Tax)]]+MarketPlace_Order_Report__2[[#This Row],[Total GST Amount]]</f>
        <v>3889.8310000000001</v>
      </c>
    </row>
    <row r="169" spans="1:58">
      <c r="A169" t="s">
        <v>1084</v>
      </c>
      <c r="B169" t="s">
        <v>1085</v>
      </c>
      <c r="C169" t="s">
        <v>1086</v>
      </c>
      <c r="D169" t="s">
        <v>1087</v>
      </c>
      <c r="E169">
        <v>1</v>
      </c>
      <c r="F169" t="s">
        <v>145</v>
      </c>
      <c r="G169">
        <v>1</v>
      </c>
      <c r="H169">
        <v>0</v>
      </c>
      <c r="I169">
        <v>4000</v>
      </c>
      <c r="J169">
        <v>3600</v>
      </c>
      <c r="K169">
        <v>0</v>
      </c>
      <c r="L169">
        <v>3649</v>
      </c>
      <c r="M169">
        <v>49</v>
      </c>
      <c r="N169" t="s">
        <v>99</v>
      </c>
      <c r="O169" s="2">
        <v>45942.868495370371</v>
      </c>
      <c r="P169" s="2"/>
      <c r="Q169" s="2"/>
      <c r="R169" t="s">
        <v>66</v>
      </c>
      <c r="S169" t="s">
        <v>65</v>
      </c>
      <c r="T169" s="2"/>
      <c r="U169" t="s">
        <v>147</v>
      </c>
      <c r="V169" t="s">
        <v>67</v>
      </c>
      <c r="W169" t="s">
        <v>66</v>
      </c>
      <c r="X169" t="s">
        <v>66</v>
      </c>
      <c r="Y169" t="s">
        <v>66</v>
      </c>
      <c r="Z169" t="s">
        <v>66</v>
      </c>
      <c r="AA169" t="s">
        <v>66</v>
      </c>
      <c r="AB169" t="s">
        <v>66</v>
      </c>
      <c r="AC169" t="s">
        <v>66</v>
      </c>
      <c r="AD169" s="2">
        <v>45942.869189814817</v>
      </c>
      <c r="AE169" t="s">
        <v>71</v>
      </c>
      <c r="AF169" t="s">
        <v>66</v>
      </c>
      <c r="AG169" t="s">
        <v>185</v>
      </c>
      <c r="AH169" t="s">
        <v>139</v>
      </c>
      <c r="AI169">
        <v>201305</v>
      </c>
      <c r="AJ169" t="s">
        <v>74</v>
      </c>
      <c r="AK169" t="s">
        <v>75</v>
      </c>
      <c r="AL169">
        <v>62044220</v>
      </c>
      <c r="AM169" s="2">
        <v>45942.869189814817</v>
      </c>
      <c r="AN169">
        <v>3600</v>
      </c>
      <c r="AO169" t="s">
        <v>66</v>
      </c>
      <c r="AP169" t="s">
        <v>243</v>
      </c>
      <c r="AQ169" t="s">
        <v>66</v>
      </c>
      <c r="AR169" t="s">
        <v>71</v>
      </c>
      <c r="AS169">
        <v>18</v>
      </c>
      <c r="AT169">
        <v>0</v>
      </c>
      <c r="AU169">
        <v>0</v>
      </c>
      <c r="AV169">
        <v>18</v>
      </c>
      <c r="AW169">
        <v>549.15300000000002</v>
      </c>
      <c r="AX169">
        <v>0</v>
      </c>
      <c r="AY169">
        <v>0</v>
      </c>
      <c r="AZ169">
        <v>549.15300000000002</v>
      </c>
      <c r="BA169" s="2"/>
      <c r="BC169" s="2">
        <v>45945.5</v>
      </c>
      <c r="BD169" s="1">
        <f>MarketPlace_Order_Report__2[[#This Row],[UnitPrice]]*MarketPlace_Order_Report__2[[#This Row],[OrderQty]]</f>
        <v>3600</v>
      </c>
      <c r="BE169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69" s="1">
        <f>MarketPlace_Order_Report__2[[#This Row],[Gross Amount (Before Tax)]]+MarketPlace_Order_Report__2[[#This Row],[Total GST Amount]]</f>
        <v>4149.1530000000002</v>
      </c>
    </row>
    <row r="170" spans="1:58">
      <c r="A170" t="s">
        <v>1088</v>
      </c>
      <c r="B170" t="s">
        <v>1089</v>
      </c>
      <c r="C170" t="s">
        <v>1090</v>
      </c>
      <c r="D170" t="s">
        <v>1091</v>
      </c>
      <c r="E170">
        <v>1</v>
      </c>
      <c r="F170" t="s">
        <v>62</v>
      </c>
      <c r="G170">
        <v>1</v>
      </c>
      <c r="H170">
        <v>1</v>
      </c>
      <c r="I170">
        <v>4000</v>
      </c>
      <c r="J170">
        <v>3600</v>
      </c>
      <c r="K170">
        <v>0</v>
      </c>
      <c r="L170">
        <v>3629</v>
      </c>
      <c r="M170">
        <v>29</v>
      </c>
      <c r="N170" t="s">
        <v>63</v>
      </c>
      <c r="O170" s="2">
        <v>45942.508506944447</v>
      </c>
      <c r="P170" s="2">
        <v>45943.762141203704</v>
      </c>
      <c r="Q170" s="2">
        <v>45954.665972222225</v>
      </c>
      <c r="R170" t="s">
        <v>1092</v>
      </c>
      <c r="S170" t="s">
        <v>65</v>
      </c>
      <c r="T170" s="2">
        <v>45942.661412037036</v>
      </c>
      <c r="U170" t="s">
        <v>66</v>
      </c>
      <c r="V170" t="s">
        <v>67</v>
      </c>
      <c r="W170" t="s">
        <v>66</v>
      </c>
      <c r="X170" t="s">
        <v>66</v>
      </c>
      <c r="Y170" t="s">
        <v>1093</v>
      </c>
      <c r="Z170" t="s">
        <v>69</v>
      </c>
      <c r="AA170" t="s">
        <v>70</v>
      </c>
      <c r="AB170" t="s">
        <v>66</v>
      </c>
      <c r="AC170" t="s">
        <v>66</v>
      </c>
      <c r="AD170" s="2">
        <v>45959.202314814815</v>
      </c>
      <c r="AE170" t="s">
        <v>71</v>
      </c>
      <c r="AF170" t="s">
        <v>66</v>
      </c>
      <c r="AG170" t="s">
        <v>1094</v>
      </c>
      <c r="AH170" t="s">
        <v>1095</v>
      </c>
      <c r="AI170">
        <v>249407</v>
      </c>
      <c r="AJ170" t="s">
        <v>74</v>
      </c>
      <c r="AK170" t="s">
        <v>75</v>
      </c>
      <c r="AL170">
        <v>62044220</v>
      </c>
      <c r="AM170" s="2"/>
      <c r="AN170">
        <v>3600</v>
      </c>
      <c r="AO170" t="s">
        <v>1096</v>
      </c>
      <c r="AP170" t="s">
        <v>66</v>
      </c>
      <c r="AQ170" t="s">
        <v>66</v>
      </c>
      <c r="AR170" t="s">
        <v>71</v>
      </c>
      <c r="AS170">
        <v>18</v>
      </c>
      <c r="AT170">
        <v>0</v>
      </c>
      <c r="AU170">
        <v>0</v>
      </c>
      <c r="AV170">
        <v>18</v>
      </c>
      <c r="AW170">
        <v>549.15300000000002</v>
      </c>
      <c r="AX170">
        <v>0</v>
      </c>
      <c r="AY170">
        <v>0</v>
      </c>
      <c r="AZ170">
        <v>549.15300000000002</v>
      </c>
      <c r="BA170" s="2"/>
      <c r="BB170">
        <v>0.85</v>
      </c>
      <c r="BC170" s="2">
        <v>45945.5</v>
      </c>
      <c r="BD170" s="1">
        <f>MarketPlace_Order_Report__2[[#This Row],[UnitPrice]]*MarketPlace_Order_Report__2[[#This Row],[OrderQty]]</f>
        <v>3600</v>
      </c>
      <c r="BE170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70" s="1">
        <f>MarketPlace_Order_Report__2[[#This Row],[Gross Amount (Before Tax)]]+MarketPlace_Order_Report__2[[#This Row],[Total GST Amount]]</f>
        <v>4149.1530000000002</v>
      </c>
    </row>
    <row r="171" spans="1:58">
      <c r="A171" t="s">
        <v>1097</v>
      </c>
      <c r="B171" t="s">
        <v>1098</v>
      </c>
      <c r="C171" t="s">
        <v>1099</v>
      </c>
      <c r="D171" t="s">
        <v>1100</v>
      </c>
      <c r="E171">
        <v>1</v>
      </c>
      <c r="F171" t="s">
        <v>62</v>
      </c>
      <c r="G171">
        <v>1</v>
      </c>
      <c r="H171">
        <v>1</v>
      </c>
      <c r="I171">
        <v>4000</v>
      </c>
      <c r="J171">
        <v>3600</v>
      </c>
      <c r="K171">
        <v>0</v>
      </c>
      <c r="L171">
        <v>3629</v>
      </c>
      <c r="M171">
        <v>29</v>
      </c>
      <c r="N171" t="s">
        <v>63</v>
      </c>
      <c r="O171" s="2">
        <v>45943.931400462963</v>
      </c>
      <c r="P171" s="2">
        <v>45945.759837962964</v>
      </c>
      <c r="Q171" s="2">
        <v>45948.56931712963</v>
      </c>
      <c r="R171" t="s">
        <v>1101</v>
      </c>
      <c r="S171" t="s">
        <v>65</v>
      </c>
      <c r="T171" s="2">
        <v>45944.808067129627</v>
      </c>
      <c r="U171" t="s">
        <v>66</v>
      </c>
      <c r="V171" t="s">
        <v>67</v>
      </c>
      <c r="W171" t="s">
        <v>66</v>
      </c>
      <c r="X171" t="s">
        <v>66</v>
      </c>
      <c r="Y171" t="s">
        <v>1102</v>
      </c>
      <c r="Z171" t="s">
        <v>69</v>
      </c>
      <c r="AA171" t="s">
        <v>175</v>
      </c>
      <c r="AB171" t="s">
        <v>66</v>
      </c>
      <c r="AC171" t="s">
        <v>66</v>
      </c>
      <c r="AD171" s="2">
        <v>45957.622395833336</v>
      </c>
      <c r="AE171" t="s">
        <v>71</v>
      </c>
      <c r="AF171" t="s">
        <v>66</v>
      </c>
      <c r="AG171" t="s">
        <v>90</v>
      </c>
      <c r="AH171" t="s">
        <v>91</v>
      </c>
      <c r="AI171">
        <v>560068</v>
      </c>
      <c r="AJ171" t="s">
        <v>74</v>
      </c>
      <c r="AK171" t="s">
        <v>75</v>
      </c>
      <c r="AL171">
        <v>62044220</v>
      </c>
      <c r="AM171" s="2"/>
      <c r="AN171">
        <v>3600</v>
      </c>
      <c r="AO171" t="s">
        <v>1103</v>
      </c>
      <c r="AP171" t="s">
        <v>1104</v>
      </c>
      <c r="AQ171" t="s">
        <v>66</v>
      </c>
      <c r="AR171" t="s">
        <v>71</v>
      </c>
      <c r="AS171">
        <v>18</v>
      </c>
      <c r="AT171">
        <v>0</v>
      </c>
      <c r="AU171">
        <v>0</v>
      </c>
      <c r="AV171">
        <v>18</v>
      </c>
      <c r="AW171">
        <v>549.15300000000002</v>
      </c>
      <c r="AX171">
        <v>0</v>
      </c>
      <c r="AY171">
        <v>0</v>
      </c>
      <c r="AZ171">
        <v>549.15300000000002</v>
      </c>
      <c r="BA171" s="2"/>
      <c r="BB171">
        <v>0.85</v>
      </c>
      <c r="BC171" s="2">
        <v>45946.5</v>
      </c>
      <c r="BD171" s="1">
        <f>MarketPlace_Order_Report__2[[#This Row],[UnitPrice]]*MarketPlace_Order_Report__2[[#This Row],[OrderQty]]</f>
        <v>3600</v>
      </c>
      <c r="BE171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171" s="1">
        <f>MarketPlace_Order_Report__2[[#This Row],[Gross Amount (Before Tax)]]+MarketPlace_Order_Report__2[[#This Row],[Total GST Amount]]</f>
        <v>4149.1530000000002</v>
      </c>
    </row>
    <row r="172" spans="1:58">
      <c r="A172" t="s">
        <v>1105</v>
      </c>
      <c r="B172" t="s">
        <v>1106</v>
      </c>
      <c r="C172" t="s">
        <v>1107</v>
      </c>
      <c r="D172" t="s">
        <v>1108</v>
      </c>
      <c r="E172">
        <v>1</v>
      </c>
      <c r="F172" t="s">
        <v>1806</v>
      </c>
      <c r="G172">
        <v>1</v>
      </c>
      <c r="H172">
        <v>1</v>
      </c>
      <c r="I172">
        <v>4250</v>
      </c>
      <c r="J172">
        <v>3825</v>
      </c>
      <c r="K172">
        <v>0</v>
      </c>
      <c r="L172">
        <v>3845</v>
      </c>
      <c r="M172">
        <v>20</v>
      </c>
      <c r="N172" t="s">
        <v>99</v>
      </c>
      <c r="O172" s="2">
        <v>45941.654317129629</v>
      </c>
      <c r="P172" s="2">
        <v>45943.761944444443</v>
      </c>
      <c r="Q172" s="2">
        <v>45948.676979166667</v>
      </c>
      <c r="R172" t="s">
        <v>1109</v>
      </c>
      <c r="S172" t="s">
        <v>65</v>
      </c>
      <c r="T172" s="2">
        <v>45941.806620370371</v>
      </c>
      <c r="U172" t="s">
        <v>66</v>
      </c>
      <c r="V172" t="s">
        <v>67</v>
      </c>
      <c r="W172" t="s">
        <v>66</v>
      </c>
      <c r="X172" t="s">
        <v>66</v>
      </c>
      <c r="Y172" t="s">
        <v>66</v>
      </c>
      <c r="Z172" t="s">
        <v>66</v>
      </c>
      <c r="AA172" t="s">
        <v>66</v>
      </c>
      <c r="AB172" t="s">
        <v>66</v>
      </c>
      <c r="AC172" t="s">
        <v>66</v>
      </c>
      <c r="AD172" s="2">
        <v>45948.678020833337</v>
      </c>
      <c r="AE172" t="s">
        <v>71</v>
      </c>
      <c r="AF172" t="s">
        <v>66</v>
      </c>
      <c r="AG172" t="s">
        <v>617</v>
      </c>
      <c r="AH172" t="s">
        <v>279</v>
      </c>
      <c r="AI172">
        <v>140603</v>
      </c>
      <c r="AJ172" t="s">
        <v>74</v>
      </c>
      <c r="AK172" t="s">
        <v>75</v>
      </c>
      <c r="AL172">
        <v>62044220</v>
      </c>
      <c r="AM172" s="2"/>
      <c r="AN172">
        <v>3825</v>
      </c>
      <c r="AO172" t="s">
        <v>1110</v>
      </c>
      <c r="AP172" t="s">
        <v>158</v>
      </c>
      <c r="AQ172" t="s">
        <v>66</v>
      </c>
      <c r="AR172" t="s">
        <v>71</v>
      </c>
      <c r="AS172">
        <v>18</v>
      </c>
      <c r="AT172">
        <v>0</v>
      </c>
      <c r="AU172">
        <v>0</v>
      </c>
      <c r="AV172">
        <v>18</v>
      </c>
      <c r="AW172">
        <v>583.47500000000002</v>
      </c>
      <c r="AX172">
        <v>0</v>
      </c>
      <c r="AY172">
        <v>0</v>
      </c>
      <c r="AZ172">
        <v>583.47500000000002</v>
      </c>
      <c r="BA172" s="2"/>
      <c r="BB172">
        <v>0.75</v>
      </c>
      <c r="BC172" s="2">
        <v>45944.5</v>
      </c>
      <c r="BD172" s="1">
        <f>MarketPlace_Order_Report__2[[#This Row],[UnitPrice]]*MarketPlace_Order_Report__2[[#This Row],[OrderQty]]</f>
        <v>3825</v>
      </c>
      <c r="BE172" s="1">
        <f>IFERROR(MarketPlace_Order_Report__2[[#This Row],[CGSTAmount]]+MarketPlace_Order_Report__2[[#This Row],[SGSTAmount]]+MarketPlace_Order_Report__2[[#This Row],[IGSTAmount]],MarketPlace_Order_Report__2[[#This Row],[TaxAmount]])</f>
        <v>583.47500000000002</v>
      </c>
      <c r="BF172" s="1">
        <f>MarketPlace_Order_Report__2[[#This Row],[Gross Amount (Before Tax)]]+MarketPlace_Order_Report__2[[#This Row],[Total GST Amount]]</f>
        <v>4408.4750000000004</v>
      </c>
    </row>
    <row r="173" spans="1:58">
      <c r="A173" t="s">
        <v>1026</v>
      </c>
      <c r="B173" t="s">
        <v>1027</v>
      </c>
      <c r="C173" t="s">
        <v>1111</v>
      </c>
      <c r="D173" t="s">
        <v>1112</v>
      </c>
      <c r="E173">
        <v>2</v>
      </c>
      <c r="F173" t="s">
        <v>1806</v>
      </c>
      <c r="G173">
        <v>1</v>
      </c>
      <c r="H173">
        <v>1</v>
      </c>
      <c r="I173">
        <v>4250</v>
      </c>
      <c r="J173">
        <v>3825</v>
      </c>
      <c r="K173">
        <v>0</v>
      </c>
      <c r="L173">
        <v>3825</v>
      </c>
      <c r="M173">
        <v>0</v>
      </c>
      <c r="N173" t="s">
        <v>63</v>
      </c>
      <c r="O173" s="2">
        <v>45947.369687500002</v>
      </c>
      <c r="P173" s="2">
        <v>45948.728368055556</v>
      </c>
      <c r="Q173" s="2">
        <v>45955.460138888891</v>
      </c>
      <c r="R173" t="s">
        <v>1030</v>
      </c>
      <c r="S173" t="s">
        <v>65</v>
      </c>
      <c r="T173" s="2">
        <v>45947.783541666664</v>
      </c>
      <c r="U173" t="s">
        <v>66</v>
      </c>
      <c r="V173" t="s">
        <v>67</v>
      </c>
      <c r="W173" t="s">
        <v>66</v>
      </c>
      <c r="X173" t="s">
        <v>66</v>
      </c>
      <c r="Y173" t="s">
        <v>66</v>
      </c>
      <c r="Z173" t="s">
        <v>66</v>
      </c>
      <c r="AA173" t="s">
        <v>66</v>
      </c>
      <c r="AB173" t="s">
        <v>66</v>
      </c>
      <c r="AC173" t="s">
        <v>66</v>
      </c>
      <c r="AD173" s="2">
        <v>45955.462696759256</v>
      </c>
      <c r="AE173" t="s">
        <v>71</v>
      </c>
      <c r="AF173" t="s">
        <v>66</v>
      </c>
      <c r="AG173" t="s">
        <v>90</v>
      </c>
      <c r="AH173" t="s">
        <v>91</v>
      </c>
      <c r="AI173">
        <v>560103</v>
      </c>
      <c r="AJ173" t="s">
        <v>74</v>
      </c>
      <c r="AK173" t="s">
        <v>75</v>
      </c>
      <c r="AL173">
        <v>62044220</v>
      </c>
      <c r="AM173" s="2"/>
      <c r="AN173">
        <v>3825</v>
      </c>
      <c r="AO173" t="s">
        <v>1031</v>
      </c>
      <c r="AP173" t="s">
        <v>1032</v>
      </c>
      <c r="AQ173" t="s">
        <v>66</v>
      </c>
      <c r="AR173" t="s">
        <v>71</v>
      </c>
      <c r="AS173">
        <v>18</v>
      </c>
      <c r="AT173">
        <v>0</v>
      </c>
      <c r="AU173">
        <v>0</v>
      </c>
      <c r="AV173">
        <v>18</v>
      </c>
      <c r="AW173">
        <v>583.47500000000002</v>
      </c>
      <c r="AX173">
        <v>0</v>
      </c>
      <c r="AY173">
        <v>0</v>
      </c>
      <c r="AZ173">
        <v>583.47500000000002</v>
      </c>
      <c r="BA173" s="2"/>
      <c r="BB173">
        <v>1.1000000000000001</v>
      </c>
      <c r="BC173" s="2">
        <v>45949.5</v>
      </c>
      <c r="BD173" s="1">
        <f>MarketPlace_Order_Report__2[[#This Row],[UnitPrice]]*MarketPlace_Order_Report__2[[#This Row],[OrderQty]]</f>
        <v>3825</v>
      </c>
      <c r="BE173" s="1">
        <f>IFERROR(MarketPlace_Order_Report__2[[#This Row],[CGSTAmount]]+MarketPlace_Order_Report__2[[#This Row],[SGSTAmount]]+MarketPlace_Order_Report__2[[#This Row],[IGSTAmount]],MarketPlace_Order_Report__2[[#This Row],[TaxAmount]])</f>
        <v>583.47500000000002</v>
      </c>
      <c r="BF173" s="1">
        <f>MarketPlace_Order_Report__2[[#This Row],[Gross Amount (Before Tax)]]+MarketPlace_Order_Report__2[[#This Row],[Total GST Amount]]</f>
        <v>4408.4750000000004</v>
      </c>
    </row>
    <row r="174" spans="1:58">
      <c r="A174" t="s">
        <v>1113</v>
      </c>
      <c r="B174" t="s">
        <v>1114</v>
      </c>
      <c r="C174" t="s">
        <v>1115</v>
      </c>
      <c r="D174" t="s">
        <v>1116</v>
      </c>
      <c r="E174">
        <v>1</v>
      </c>
      <c r="F174" t="s">
        <v>1806</v>
      </c>
      <c r="G174">
        <v>1</v>
      </c>
      <c r="H174">
        <v>1</v>
      </c>
      <c r="I174">
        <v>3500</v>
      </c>
      <c r="J174">
        <v>3325</v>
      </c>
      <c r="K174">
        <v>0</v>
      </c>
      <c r="L174">
        <v>3374</v>
      </c>
      <c r="M174">
        <v>49</v>
      </c>
      <c r="N174" t="s">
        <v>99</v>
      </c>
      <c r="O174" s="2">
        <v>45943.004884259259</v>
      </c>
      <c r="P174" s="2">
        <v>45944.73609953704</v>
      </c>
      <c r="Q174" s="2">
        <v>45946.494675925926</v>
      </c>
      <c r="R174" t="s">
        <v>1117</v>
      </c>
      <c r="S174" t="s">
        <v>161</v>
      </c>
      <c r="T174" s="2">
        <v>45943.814467592594</v>
      </c>
      <c r="U174" t="s">
        <v>66</v>
      </c>
      <c r="V174" t="s">
        <v>67</v>
      </c>
      <c r="W174" t="s">
        <v>66</v>
      </c>
      <c r="X174" t="s">
        <v>66</v>
      </c>
      <c r="Y174" t="s">
        <v>66</v>
      </c>
      <c r="Z174" t="s">
        <v>66</v>
      </c>
      <c r="AA174" t="s">
        <v>66</v>
      </c>
      <c r="AB174" t="s">
        <v>66</v>
      </c>
      <c r="AC174" t="s">
        <v>66</v>
      </c>
      <c r="AD174" s="2">
        <v>45946.511342592596</v>
      </c>
      <c r="AE174" t="s">
        <v>71</v>
      </c>
      <c r="AF174" t="s">
        <v>66</v>
      </c>
      <c r="AG174" t="s">
        <v>259</v>
      </c>
      <c r="AH174" t="s">
        <v>123</v>
      </c>
      <c r="AI174">
        <v>400080</v>
      </c>
      <c r="AJ174" t="s">
        <v>74</v>
      </c>
      <c r="AK174" t="s">
        <v>75</v>
      </c>
      <c r="AL174">
        <v>62044220</v>
      </c>
      <c r="AM174" s="2"/>
      <c r="AN174">
        <v>3325</v>
      </c>
      <c r="AO174" t="s">
        <v>1118</v>
      </c>
      <c r="AP174" t="s">
        <v>66</v>
      </c>
      <c r="AQ174" t="s">
        <v>66</v>
      </c>
      <c r="AR174" t="s">
        <v>71</v>
      </c>
      <c r="AS174">
        <v>18</v>
      </c>
      <c r="AT174">
        <v>9</v>
      </c>
      <c r="AU174">
        <v>9</v>
      </c>
      <c r="AV174">
        <v>0</v>
      </c>
      <c r="AW174">
        <v>507.20299999999997</v>
      </c>
      <c r="AX174">
        <v>253.602</v>
      </c>
      <c r="AY174">
        <v>253.602</v>
      </c>
      <c r="AZ174">
        <v>0</v>
      </c>
      <c r="BA174" s="2"/>
      <c r="BB174">
        <v>0.85</v>
      </c>
      <c r="BC174" s="2">
        <v>45945.5</v>
      </c>
      <c r="BD174" s="1">
        <f>MarketPlace_Order_Report__2[[#This Row],[UnitPrice]]*MarketPlace_Order_Report__2[[#This Row],[OrderQty]]</f>
        <v>3325</v>
      </c>
      <c r="BE174" s="1">
        <f>IFERROR(MarketPlace_Order_Report__2[[#This Row],[CGSTAmount]]+MarketPlace_Order_Report__2[[#This Row],[SGSTAmount]]+MarketPlace_Order_Report__2[[#This Row],[IGSTAmount]],MarketPlace_Order_Report__2[[#This Row],[TaxAmount]])</f>
        <v>507.20400000000001</v>
      </c>
      <c r="BF174" s="1">
        <f>MarketPlace_Order_Report__2[[#This Row],[Gross Amount (Before Tax)]]+MarketPlace_Order_Report__2[[#This Row],[Total GST Amount]]</f>
        <v>3832.2040000000002</v>
      </c>
    </row>
    <row r="175" spans="1:58">
      <c r="A175" t="s">
        <v>1119</v>
      </c>
      <c r="B175" t="s">
        <v>1120</v>
      </c>
      <c r="C175" t="s">
        <v>1121</v>
      </c>
      <c r="D175" t="s">
        <v>1122</v>
      </c>
      <c r="E175">
        <v>1</v>
      </c>
      <c r="F175" t="s">
        <v>1806</v>
      </c>
      <c r="G175">
        <v>1</v>
      </c>
      <c r="H175">
        <v>1</v>
      </c>
      <c r="I175">
        <v>3500</v>
      </c>
      <c r="J175">
        <v>3500</v>
      </c>
      <c r="K175">
        <v>0</v>
      </c>
      <c r="L175">
        <v>3508.39</v>
      </c>
      <c r="M175">
        <v>8.39</v>
      </c>
      <c r="N175" t="s">
        <v>63</v>
      </c>
      <c r="O175" s="2">
        <v>45936.398622685185</v>
      </c>
      <c r="P175" s="2">
        <v>45937.725578703707</v>
      </c>
      <c r="Q175" s="2">
        <v>45940.535590277781</v>
      </c>
      <c r="R175" t="s">
        <v>1123</v>
      </c>
      <c r="S175" t="s">
        <v>65</v>
      </c>
      <c r="T175" s="2">
        <v>45936.813321759262</v>
      </c>
      <c r="U175" t="s">
        <v>66</v>
      </c>
      <c r="V175" t="s">
        <v>67</v>
      </c>
      <c r="W175" t="s">
        <v>66</v>
      </c>
      <c r="X175" t="s">
        <v>66</v>
      </c>
      <c r="Y175" t="s">
        <v>66</v>
      </c>
      <c r="Z175" t="s">
        <v>66</v>
      </c>
      <c r="AA175" t="s">
        <v>66</v>
      </c>
      <c r="AB175" t="s">
        <v>66</v>
      </c>
      <c r="AC175" t="s">
        <v>66</v>
      </c>
      <c r="AD175" s="2">
        <v>45940.545671296299</v>
      </c>
      <c r="AE175" t="s">
        <v>71</v>
      </c>
      <c r="AF175" t="s">
        <v>66</v>
      </c>
      <c r="AG175" t="s">
        <v>90</v>
      </c>
      <c r="AH175" t="s">
        <v>91</v>
      </c>
      <c r="AI175">
        <v>560045</v>
      </c>
      <c r="AJ175" t="s">
        <v>74</v>
      </c>
      <c r="AK175" t="s">
        <v>75</v>
      </c>
      <c r="AL175">
        <v>62044220</v>
      </c>
      <c r="AM175" s="2"/>
      <c r="AN175">
        <v>3500</v>
      </c>
      <c r="AO175" t="s">
        <v>1124</v>
      </c>
      <c r="AP175" t="s">
        <v>66</v>
      </c>
      <c r="AQ175" t="s">
        <v>66</v>
      </c>
      <c r="AR175" t="s">
        <v>71</v>
      </c>
      <c r="AS175">
        <v>18</v>
      </c>
      <c r="AT175">
        <v>0</v>
      </c>
      <c r="AU175">
        <v>0</v>
      </c>
      <c r="AV175">
        <v>18</v>
      </c>
      <c r="AW175">
        <v>533.89800000000002</v>
      </c>
      <c r="AX175">
        <v>0</v>
      </c>
      <c r="AY175">
        <v>0</v>
      </c>
      <c r="AZ175">
        <v>533.89800000000002</v>
      </c>
      <c r="BA175" s="2"/>
      <c r="BB175">
        <v>0.85</v>
      </c>
      <c r="BC175" s="2">
        <v>45938.5</v>
      </c>
      <c r="BD175" s="1">
        <f>MarketPlace_Order_Report__2[[#This Row],[UnitPrice]]*MarketPlace_Order_Report__2[[#This Row],[OrderQty]]</f>
        <v>3500</v>
      </c>
      <c r="BE175" s="1">
        <f>IFERROR(MarketPlace_Order_Report__2[[#This Row],[CGSTAmount]]+MarketPlace_Order_Report__2[[#This Row],[SGSTAmount]]+MarketPlace_Order_Report__2[[#This Row],[IGSTAmount]],MarketPlace_Order_Report__2[[#This Row],[TaxAmount]])</f>
        <v>533.89800000000002</v>
      </c>
      <c r="BF175" s="1">
        <f>MarketPlace_Order_Report__2[[#This Row],[Gross Amount (Before Tax)]]+MarketPlace_Order_Report__2[[#This Row],[Total GST Amount]]</f>
        <v>4033.8980000000001</v>
      </c>
    </row>
    <row r="176" spans="1:58">
      <c r="A176" t="s">
        <v>1125</v>
      </c>
      <c r="B176" t="s">
        <v>1126</v>
      </c>
      <c r="C176" t="s">
        <v>1127</v>
      </c>
      <c r="D176" t="s">
        <v>1128</v>
      </c>
      <c r="E176">
        <v>2</v>
      </c>
      <c r="F176" t="s">
        <v>1806</v>
      </c>
      <c r="G176">
        <v>1</v>
      </c>
      <c r="H176">
        <v>1</v>
      </c>
      <c r="I176">
        <v>3500</v>
      </c>
      <c r="J176">
        <v>3325</v>
      </c>
      <c r="K176">
        <v>0</v>
      </c>
      <c r="L176">
        <v>3343.82</v>
      </c>
      <c r="M176">
        <v>18.82</v>
      </c>
      <c r="N176" t="s">
        <v>63</v>
      </c>
      <c r="O176" s="2">
        <v>45953.961736111109</v>
      </c>
      <c r="P176" s="2">
        <v>45954.65902777778</v>
      </c>
      <c r="Q176" s="2">
        <v>45956.488194444442</v>
      </c>
      <c r="R176" t="s">
        <v>1129</v>
      </c>
      <c r="S176" t="s">
        <v>146</v>
      </c>
      <c r="T176" s="2">
        <v>45954.500509259262</v>
      </c>
      <c r="U176" t="s">
        <v>66</v>
      </c>
      <c r="V176" t="s">
        <v>67</v>
      </c>
      <c r="W176" t="s">
        <v>66</v>
      </c>
      <c r="X176" t="s">
        <v>66</v>
      </c>
      <c r="Y176" t="s">
        <v>66</v>
      </c>
      <c r="Z176" t="s">
        <v>66</v>
      </c>
      <c r="AA176" t="s">
        <v>66</v>
      </c>
      <c r="AB176" t="s">
        <v>66</v>
      </c>
      <c r="AC176" t="s">
        <v>66</v>
      </c>
      <c r="AD176" s="2">
        <v>45956.493831018517</v>
      </c>
      <c r="AE176" t="s">
        <v>71</v>
      </c>
      <c r="AF176" t="s">
        <v>66</v>
      </c>
      <c r="AG176" t="s">
        <v>148</v>
      </c>
      <c r="AH176" t="s">
        <v>149</v>
      </c>
      <c r="AI176">
        <v>500038</v>
      </c>
      <c r="AJ176" t="s">
        <v>74</v>
      </c>
      <c r="AK176" t="s">
        <v>75</v>
      </c>
      <c r="AL176">
        <v>62044220</v>
      </c>
      <c r="AM176" s="2"/>
      <c r="AN176">
        <v>3325</v>
      </c>
      <c r="AO176" t="s">
        <v>1130</v>
      </c>
      <c r="AP176" t="s">
        <v>1131</v>
      </c>
      <c r="AQ176" t="s">
        <v>66</v>
      </c>
      <c r="AR176" t="s">
        <v>71</v>
      </c>
      <c r="AS176">
        <v>18</v>
      </c>
      <c r="AT176">
        <v>0</v>
      </c>
      <c r="AU176">
        <v>0</v>
      </c>
      <c r="AV176">
        <v>18</v>
      </c>
      <c r="AW176">
        <v>507.20299999999997</v>
      </c>
      <c r="AX176">
        <v>0</v>
      </c>
      <c r="AY176">
        <v>0</v>
      </c>
      <c r="AZ176">
        <v>507.20299999999997</v>
      </c>
      <c r="BA176" s="2"/>
      <c r="BB176">
        <v>0.85</v>
      </c>
      <c r="BC176" s="2">
        <v>45956.5</v>
      </c>
      <c r="BD176" s="1">
        <f>MarketPlace_Order_Report__2[[#This Row],[UnitPrice]]*MarketPlace_Order_Report__2[[#This Row],[OrderQty]]</f>
        <v>3325</v>
      </c>
      <c r="BE176" s="1">
        <f>IFERROR(MarketPlace_Order_Report__2[[#This Row],[CGSTAmount]]+MarketPlace_Order_Report__2[[#This Row],[SGSTAmount]]+MarketPlace_Order_Report__2[[#This Row],[IGSTAmount]],MarketPlace_Order_Report__2[[#This Row],[TaxAmount]])</f>
        <v>507.20299999999997</v>
      </c>
      <c r="BF176" s="1">
        <f>MarketPlace_Order_Report__2[[#This Row],[Gross Amount (Before Tax)]]+MarketPlace_Order_Report__2[[#This Row],[Total GST Amount]]</f>
        <v>3832.203</v>
      </c>
    </row>
    <row r="177" spans="1:58">
      <c r="A177" t="s">
        <v>1132</v>
      </c>
      <c r="B177" t="s">
        <v>1133</v>
      </c>
      <c r="C177" t="s">
        <v>1134</v>
      </c>
      <c r="D177" t="s">
        <v>1135</v>
      </c>
      <c r="E177">
        <v>7</v>
      </c>
      <c r="F177" t="s">
        <v>62</v>
      </c>
      <c r="G177">
        <v>1</v>
      </c>
      <c r="H177">
        <v>1</v>
      </c>
      <c r="I177">
        <v>3500</v>
      </c>
      <c r="J177">
        <v>3325</v>
      </c>
      <c r="K177">
        <v>0</v>
      </c>
      <c r="L177">
        <v>3334.52</v>
      </c>
      <c r="M177">
        <v>9.52</v>
      </c>
      <c r="N177" t="s">
        <v>63</v>
      </c>
      <c r="O177" s="2">
        <v>45954.311932870369</v>
      </c>
      <c r="P177" s="2">
        <v>45954.731724537036</v>
      </c>
      <c r="Q177" s="2">
        <v>45958.729594907411</v>
      </c>
      <c r="R177" t="s">
        <v>1136</v>
      </c>
      <c r="S177" t="s">
        <v>65</v>
      </c>
      <c r="T177" s="2">
        <v>45954.500509259262</v>
      </c>
      <c r="U177" t="s">
        <v>66</v>
      </c>
      <c r="V177" t="s">
        <v>67</v>
      </c>
      <c r="W177" t="s">
        <v>66</v>
      </c>
      <c r="X177" t="s">
        <v>66</v>
      </c>
      <c r="Y177" t="s">
        <v>1137</v>
      </c>
      <c r="Z177" t="s">
        <v>69</v>
      </c>
      <c r="AA177" t="s">
        <v>70</v>
      </c>
      <c r="AB177" t="s">
        <v>66</v>
      </c>
      <c r="AC177" t="s">
        <v>66</v>
      </c>
      <c r="AD177" s="2">
        <v>45960.618807870371</v>
      </c>
      <c r="AE177" t="s">
        <v>71</v>
      </c>
      <c r="AF177" t="s">
        <v>66</v>
      </c>
      <c r="AG177" t="s">
        <v>359</v>
      </c>
      <c r="AH177" t="s">
        <v>360</v>
      </c>
      <c r="AI177">
        <v>700099</v>
      </c>
      <c r="AJ177" t="s">
        <v>74</v>
      </c>
      <c r="AK177" t="s">
        <v>75</v>
      </c>
      <c r="AL177">
        <v>62044220</v>
      </c>
      <c r="AM177" s="2"/>
      <c r="AN177">
        <v>3325</v>
      </c>
      <c r="AO177" t="s">
        <v>1138</v>
      </c>
      <c r="AP177" t="s">
        <v>1139</v>
      </c>
      <c r="AQ177" t="s">
        <v>66</v>
      </c>
      <c r="AR177" t="s">
        <v>71</v>
      </c>
      <c r="AS177">
        <v>18</v>
      </c>
      <c r="AT177">
        <v>0</v>
      </c>
      <c r="AU177">
        <v>0</v>
      </c>
      <c r="AV177">
        <v>18</v>
      </c>
      <c r="AW177">
        <v>507.20299999999997</v>
      </c>
      <c r="AX177">
        <v>0</v>
      </c>
      <c r="AY177">
        <v>0</v>
      </c>
      <c r="AZ177">
        <v>507.20299999999997</v>
      </c>
      <c r="BA177" s="2"/>
      <c r="BB177">
        <v>0.85</v>
      </c>
      <c r="BC177" s="2">
        <v>45956.5</v>
      </c>
      <c r="BD177" s="1">
        <f>MarketPlace_Order_Report__2[[#This Row],[UnitPrice]]*MarketPlace_Order_Report__2[[#This Row],[OrderQty]]</f>
        <v>3325</v>
      </c>
      <c r="BE177" s="1">
        <f>IFERROR(MarketPlace_Order_Report__2[[#This Row],[CGSTAmount]]+MarketPlace_Order_Report__2[[#This Row],[SGSTAmount]]+MarketPlace_Order_Report__2[[#This Row],[IGSTAmount]],MarketPlace_Order_Report__2[[#This Row],[TaxAmount]])</f>
        <v>507.20299999999997</v>
      </c>
      <c r="BF177" s="1">
        <f>MarketPlace_Order_Report__2[[#This Row],[Gross Amount (Before Tax)]]+MarketPlace_Order_Report__2[[#This Row],[Total GST Amount]]</f>
        <v>3832.203</v>
      </c>
    </row>
    <row r="178" spans="1:58">
      <c r="A178" t="s">
        <v>1140</v>
      </c>
      <c r="B178" t="s">
        <v>1141</v>
      </c>
      <c r="C178" t="s">
        <v>1142</v>
      </c>
      <c r="D178" t="s">
        <v>1143</v>
      </c>
      <c r="E178">
        <v>1</v>
      </c>
      <c r="F178" t="s">
        <v>1806</v>
      </c>
      <c r="G178">
        <v>1</v>
      </c>
      <c r="H178">
        <v>1</v>
      </c>
      <c r="I178">
        <v>3000</v>
      </c>
      <c r="J178">
        <v>2850</v>
      </c>
      <c r="K178">
        <v>0</v>
      </c>
      <c r="L178">
        <v>2850</v>
      </c>
      <c r="M178">
        <v>0</v>
      </c>
      <c r="N178" t="s">
        <v>63</v>
      </c>
      <c r="O178" s="2">
        <v>45937.594467592593</v>
      </c>
      <c r="P178" s="2">
        <v>45938.718101851853</v>
      </c>
      <c r="Q178" s="2">
        <v>45941.488356481481</v>
      </c>
      <c r="R178" t="s">
        <v>1144</v>
      </c>
      <c r="S178" t="s">
        <v>161</v>
      </c>
      <c r="T178" s="2">
        <v>45937.717673611114</v>
      </c>
      <c r="U178" t="s">
        <v>66</v>
      </c>
      <c r="V178" t="s">
        <v>67</v>
      </c>
      <c r="W178" t="s">
        <v>66</v>
      </c>
      <c r="X178" t="s">
        <v>66</v>
      </c>
      <c r="Y178" t="s">
        <v>66</v>
      </c>
      <c r="Z178" t="s">
        <v>66</v>
      </c>
      <c r="AA178" t="s">
        <v>66</v>
      </c>
      <c r="AB178" t="s">
        <v>66</v>
      </c>
      <c r="AC178" t="s">
        <v>66</v>
      </c>
      <c r="AD178" s="2">
        <v>45941.490671296298</v>
      </c>
      <c r="AE178" t="s">
        <v>71</v>
      </c>
      <c r="AF178" t="s">
        <v>66</v>
      </c>
      <c r="AG178" t="s">
        <v>919</v>
      </c>
      <c r="AH178" t="s">
        <v>123</v>
      </c>
      <c r="AI178">
        <v>441111</v>
      </c>
      <c r="AJ178" t="s">
        <v>74</v>
      </c>
      <c r="AK178" t="s">
        <v>75</v>
      </c>
      <c r="AL178">
        <v>62044220</v>
      </c>
      <c r="AM178" s="2"/>
      <c r="AN178">
        <v>2850</v>
      </c>
      <c r="AO178" t="s">
        <v>1145</v>
      </c>
      <c r="AP178" t="s">
        <v>77</v>
      </c>
      <c r="AQ178" t="s">
        <v>66</v>
      </c>
      <c r="AR178" t="s">
        <v>71</v>
      </c>
      <c r="AS178">
        <v>18</v>
      </c>
      <c r="AT178">
        <v>9</v>
      </c>
      <c r="AU178">
        <v>9</v>
      </c>
      <c r="AV178">
        <v>0</v>
      </c>
      <c r="AW178">
        <v>434.74599999999998</v>
      </c>
      <c r="AX178">
        <v>217.37299999999999</v>
      </c>
      <c r="AY178">
        <v>217.37299999999999</v>
      </c>
      <c r="AZ178">
        <v>0</v>
      </c>
      <c r="BA178" s="2"/>
      <c r="BB178">
        <v>0.85</v>
      </c>
      <c r="BC178" s="2">
        <v>45940.5</v>
      </c>
      <c r="BD178" s="1">
        <f>MarketPlace_Order_Report__2[[#This Row],[UnitPrice]]*MarketPlace_Order_Report__2[[#This Row],[OrderQty]]</f>
        <v>2850</v>
      </c>
      <c r="BE178" s="1">
        <f>IFERROR(MarketPlace_Order_Report__2[[#This Row],[CGSTAmount]]+MarketPlace_Order_Report__2[[#This Row],[SGSTAmount]]+MarketPlace_Order_Report__2[[#This Row],[IGSTAmount]],MarketPlace_Order_Report__2[[#This Row],[TaxAmount]])</f>
        <v>434.74599999999998</v>
      </c>
      <c r="BF178" s="1">
        <f>MarketPlace_Order_Report__2[[#This Row],[Gross Amount (Before Tax)]]+MarketPlace_Order_Report__2[[#This Row],[Total GST Amount]]</f>
        <v>3284.7460000000001</v>
      </c>
    </row>
    <row r="179" spans="1:58">
      <c r="A179" t="s">
        <v>1146</v>
      </c>
      <c r="B179" t="s">
        <v>1147</v>
      </c>
      <c r="C179" t="s">
        <v>1148</v>
      </c>
      <c r="D179" t="s">
        <v>1149</v>
      </c>
      <c r="E179">
        <v>5</v>
      </c>
      <c r="F179" t="s">
        <v>228</v>
      </c>
      <c r="G179">
        <v>1</v>
      </c>
      <c r="H179">
        <v>1</v>
      </c>
      <c r="I179">
        <v>3000</v>
      </c>
      <c r="J179">
        <v>2850</v>
      </c>
      <c r="K179">
        <v>0</v>
      </c>
      <c r="L179">
        <v>2876.47</v>
      </c>
      <c r="M179">
        <v>26.47</v>
      </c>
      <c r="N179" t="s">
        <v>99</v>
      </c>
      <c r="O179" s="2">
        <v>45942.217731481483</v>
      </c>
      <c r="P179" s="2">
        <v>45943.762395833335</v>
      </c>
      <c r="Q179" s="2"/>
      <c r="R179" t="s">
        <v>1150</v>
      </c>
      <c r="S179" t="s">
        <v>65</v>
      </c>
      <c r="T179" s="2">
        <v>45942.661412037036</v>
      </c>
      <c r="U179" t="s">
        <v>66</v>
      </c>
      <c r="V179" t="s">
        <v>67</v>
      </c>
      <c r="W179" t="s">
        <v>66</v>
      </c>
      <c r="X179" t="s">
        <v>66</v>
      </c>
      <c r="Y179" t="s">
        <v>1151</v>
      </c>
      <c r="Z179" t="s">
        <v>231</v>
      </c>
      <c r="AA179" t="s">
        <v>175</v>
      </c>
      <c r="AB179" t="s">
        <v>66</v>
      </c>
      <c r="AC179" t="s">
        <v>66</v>
      </c>
      <c r="AD179" s="2">
        <v>45958.868807870371</v>
      </c>
      <c r="AE179" t="s">
        <v>71</v>
      </c>
      <c r="AF179" t="s">
        <v>66</v>
      </c>
      <c r="AG179" t="s">
        <v>457</v>
      </c>
      <c r="AH179" t="s">
        <v>139</v>
      </c>
      <c r="AI179">
        <v>201013</v>
      </c>
      <c r="AJ179" t="s">
        <v>74</v>
      </c>
      <c r="AK179" t="s">
        <v>75</v>
      </c>
      <c r="AL179">
        <v>62044220</v>
      </c>
      <c r="AM179" s="2"/>
      <c r="AN179">
        <v>2850</v>
      </c>
      <c r="AO179" t="s">
        <v>1152</v>
      </c>
      <c r="AP179" t="s">
        <v>353</v>
      </c>
      <c r="AQ179" t="s">
        <v>66</v>
      </c>
      <c r="AR179" t="s">
        <v>71</v>
      </c>
      <c r="AS179">
        <v>18</v>
      </c>
      <c r="AT179">
        <v>0</v>
      </c>
      <c r="AU179">
        <v>0</v>
      </c>
      <c r="AV179">
        <v>18</v>
      </c>
      <c r="AW179">
        <v>434.74599999999998</v>
      </c>
      <c r="AX179">
        <v>0</v>
      </c>
      <c r="AY179">
        <v>0</v>
      </c>
      <c r="AZ179">
        <v>434.74599999999998</v>
      </c>
      <c r="BA179" s="2"/>
      <c r="BB179">
        <v>1.2</v>
      </c>
      <c r="BC179" s="2">
        <v>45944.5</v>
      </c>
      <c r="BD179" s="1">
        <f>MarketPlace_Order_Report__2[[#This Row],[UnitPrice]]*MarketPlace_Order_Report__2[[#This Row],[OrderQty]]</f>
        <v>2850</v>
      </c>
      <c r="BE179" s="1">
        <f>IFERROR(MarketPlace_Order_Report__2[[#This Row],[CGSTAmount]]+MarketPlace_Order_Report__2[[#This Row],[SGSTAmount]]+MarketPlace_Order_Report__2[[#This Row],[IGSTAmount]],MarketPlace_Order_Report__2[[#This Row],[TaxAmount]])</f>
        <v>434.74599999999998</v>
      </c>
      <c r="BF179" s="1">
        <f>MarketPlace_Order_Report__2[[#This Row],[Gross Amount (Before Tax)]]+MarketPlace_Order_Report__2[[#This Row],[Total GST Amount]]</f>
        <v>3284.7460000000001</v>
      </c>
    </row>
    <row r="180" spans="1:58">
      <c r="A180" t="s">
        <v>1153</v>
      </c>
      <c r="B180" t="s">
        <v>1154</v>
      </c>
      <c r="C180" t="s">
        <v>1155</v>
      </c>
      <c r="D180" t="s">
        <v>1156</v>
      </c>
      <c r="E180">
        <v>1</v>
      </c>
      <c r="F180" t="s">
        <v>1806</v>
      </c>
      <c r="G180">
        <v>1</v>
      </c>
      <c r="H180">
        <v>1</v>
      </c>
      <c r="I180">
        <v>3000</v>
      </c>
      <c r="J180">
        <v>2850</v>
      </c>
      <c r="K180">
        <v>0</v>
      </c>
      <c r="L180">
        <v>2899</v>
      </c>
      <c r="M180">
        <v>49</v>
      </c>
      <c r="N180" t="s">
        <v>99</v>
      </c>
      <c r="O180" s="2">
        <v>45942.382974537039</v>
      </c>
      <c r="P180" s="2">
        <v>45943.762615740743</v>
      </c>
      <c r="Q180" s="2">
        <v>45945.530046296299</v>
      </c>
      <c r="R180" t="s">
        <v>1157</v>
      </c>
      <c r="S180" t="s">
        <v>161</v>
      </c>
      <c r="T180" s="2">
        <v>45942.661412037036</v>
      </c>
      <c r="U180" t="s">
        <v>66</v>
      </c>
      <c r="V180" t="s">
        <v>67</v>
      </c>
      <c r="W180" t="s">
        <v>66</v>
      </c>
      <c r="X180" t="s">
        <v>66</v>
      </c>
      <c r="Y180" t="s">
        <v>66</v>
      </c>
      <c r="Z180" t="s">
        <v>66</v>
      </c>
      <c r="AA180" t="s">
        <v>66</v>
      </c>
      <c r="AB180" t="s">
        <v>66</v>
      </c>
      <c r="AC180" t="s">
        <v>66</v>
      </c>
      <c r="AD180" s="2">
        <v>45945.532152777778</v>
      </c>
      <c r="AE180" t="s">
        <v>71</v>
      </c>
      <c r="AF180" t="s">
        <v>66</v>
      </c>
      <c r="AG180" t="s">
        <v>259</v>
      </c>
      <c r="AH180" t="s">
        <v>123</v>
      </c>
      <c r="AI180">
        <v>400097</v>
      </c>
      <c r="AJ180" t="s">
        <v>74</v>
      </c>
      <c r="AK180" t="s">
        <v>75</v>
      </c>
      <c r="AL180">
        <v>62044220</v>
      </c>
      <c r="AM180" s="2"/>
      <c r="AN180">
        <v>2850</v>
      </c>
      <c r="AO180" t="s">
        <v>1158</v>
      </c>
      <c r="AP180" t="s">
        <v>66</v>
      </c>
      <c r="AQ180" t="s">
        <v>66</v>
      </c>
      <c r="AR180" t="s">
        <v>71</v>
      </c>
      <c r="AS180">
        <v>18</v>
      </c>
      <c r="AT180">
        <v>9</v>
      </c>
      <c r="AU180">
        <v>9</v>
      </c>
      <c r="AV180">
        <v>0</v>
      </c>
      <c r="AW180">
        <v>434.74599999999998</v>
      </c>
      <c r="AX180">
        <v>217.37299999999999</v>
      </c>
      <c r="AY180">
        <v>217.37299999999999</v>
      </c>
      <c r="AZ180">
        <v>0</v>
      </c>
      <c r="BA180" s="2"/>
      <c r="BB180">
        <v>0.85</v>
      </c>
      <c r="BC180" s="2">
        <v>45944.5</v>
      </c>
      <c r="BD180" s="1">
        <f>MarketPlace_Order_Report__2[[#This Row],[UnitPrice]]*MarketPlace_Order_Report__2[[#This Row],[OrderQty]]</f>
        <v>2850</v>
      </c>
      <c r="BE180" s="1">
        <f>IFERROR(MarketPlace_Order_Report__2[[#This Row],[CGSTAmount]]+MarketPlace_Order_Report__2[[#This Row],[SGSTAmount]]+MarketPlace_Order_Report__2[[#This Row],[IGSTAmount]],MarketPlace_Order_Report__2[[#This Row],[TaxAmount]])</f>
        <v>434.74599999999998</v>
      </c>
      <c r="BF180" s="1">
        <f>MarketPlace_Order_Report__2[[#This Row],[Gross Amount (Before Tax)]]+MarketPlace_Order_Report__2[[#This Row],[Total GST Amount]]</f>
        <v>3284.7460000000001</v>
      </c>
    </row>
    <row r="181" spans="1:58">
      <c r="A181" t="s">
        <v>1146</v>
      </c>
      <c r="B181" t="s">
        <v>1147</v>
      </c>
      <c r="C181" t="s">
        <v>1159</v>
      </c>
      <c r="D181" t="s">
        <v>1160</v>
      </c>
      <c r="E181">
        <v>4</v>
      </c>
      <c r="F181" t="s">
        <v>228</v>
      </c>
      <c r="G181">
        <v>1</v>
      </c>
      <c r="H181">
        <v>1</v>
      </c>
      <c r="I181">
        <v>3000</v>
      </c>
      <c r="J181">
        <v>2850</v>
      </c>
      <c r="K181">
        <v>0</v>
      </c>
      <c r="L181">
        <v>2876.47</v>
      </c>
      <c r="M181">
        <v>26.47</v>
      </c>
      <c r="N181" t="s">
        <v>99</v>
      </c>
      <c r="O181" s="2">
        <v>45942.217731481483</v>
      </c>
      <c r="P181" s="2">
        <v>45943.762395833335</v>
      </c>
      <c r="Q181" s="2"/>
      <c r="R181" t="s">
        <v>1150</v>
      </c>
      <c r="S181" t="s">
        <v>65</v>
      </c>
      <c r="T181" s="2">
        <v>45942.661412037036</v>
      </c>
      <c r="U181" t="s">
        <v>66</v>
      </c>
      <c r="V181" t="s">
        <v>67</v>
      </c>
      <c r="W181" t="s">
        <v>66</v>
      </c>
      <c r="X181" t="s">
        <v>66</v>
      </c>
      <c r="Y181" t="s">
        <v>1151</v>
      </c>
      <c r="Z181" t="s">
        <v>231</v>
      </c>
      <c r="AA181" t="s">
        <v>175</v>
      </c>
      <c r="AB181" t="s">
        <v>66</v>
      </c>
      <c r="AC181" t="s">
        <v>66</v>
      </c>
      <c r="AD181" s="2">
        <v>45958.868807870371</v>
      </c>
      <c r="AE181" t="s">
        <v>71</v>
      </c>
      <c r="AF181" t="s">
        <v>66</v>
      </c>
      <c r="AG181" t="s">
        <v>457</v>
      </c>
      <c r="AH181" t="s">
        <v>139</v>
      </c>
      <c r="AI181">
        <v>201013</v>
      </c>
      <c r="AJ181" t="s">
        <v>74</v>
      </c>
      <c r="AK181" t="s">
        <v>75</v>
      </c>
      <c r="AL181">
        <v>62044220</v>
      </c>
      <c r="AM181" s="2"/>
      <c r="AN181">
        <v>2850</v>
      </c>
      <c r="AO181" t="s">
        <v>1152</v>
      </c>
      <c r="AP181" t="s">
        <v>353</v>
      </c>
      <c r="AQ181" t="s">
        <v>66</v>
      </c>
      <c r="AR181" t="s">
        <v>71</v>
      </c>
      <c r="AS181">
        <v>18</v>
      </c>
      <c r="AT181">
        <v>0</v>
      </c>
      <c r="AU181">
        <v>0</v>
      </c>
      <c r="AV181">
        <v>18</v>
      </c>
      <c r="AW181">
        <v>434.74599999999998</v>
      </c>
      <c r="AX181">
        <v>0</v>
      </c>
      <c r="AY181">
        <v>0</v>
      </c>
      <c r="AZ181">
        <v>434.74599999999998</v>
      </c>
      <c r="BA181" s="2"/>
      <c r="BB181">
        <v>1.2</v>
      </c>
      <c r="BC181" s="2">
        <v>45944.5</v>
      </c>
      <c r="BD181" s="1">
        <f>MarketPlace_Order_Report__2[[#This Row],[UnitPrice]]*MarketPlace_Order_Report__2[[#This Row],[OrderQty]]</f>
        <v>2850</v>
      </c>
      <c r="BE181" s="1">
        <f>IFERROR(MarketPlace_Order_Report__2[[#This Row],[CGSTAmount]]+MarketPlace_Order_Report__2[[#This Row],[SGSTAmount]]+MarketPlace_Order_Report__2[[#This Row],[IGSTAmount]],MarketPlace_Order_Report__2[[#This Row],[TaxAmount]])</f>
        <v>434.74599999999998</v>
      </c>
      <c r="BF181" s="1">
        <f>MarketPlace_Order_Report__2[[#This Row],[Gross Amount (Before Tax)]]+MarketPlace_Order_Report__2[[#This Row],[Total GST Amount]]</f>
        <v>3284.7460000000001</v>
      </c>
    </row>
    <row r="182" spans="1:58">
      <c r="A182" t="s">
        <v>1161</v>
      </c>
      <c r="B182" t="s">
        <v>1162</v>
      </c>
      <c r="C182" t="s">
        <v>1163</v>
      </c>
      <c r="D182" t="s">
        <v>1164</v>
      </c>
      <c r="E182">
        <v>1</v>
      </c>
      <c r="F182" t="s">
        <v>107</v>
      </c>
      <c r="G182">
        <v>1</v>
      </c>
      <c r="H182">
        <v>1</v>
      </c>
      <c r="I182">
        <v>4000</v>
      </c>
      <c r="J182">
        <v>3800</v>
      </c>
      <c r="K182">
        <v>0</v>
      </c>
      <c r="L182">
        <v>3899</v>
      </c>
      <c r="M182">
        <v>99</v>
      </c>
      <c r="N182" t="s">
        <v>63</v>
      </c>
      <c r="O182" s="2">
        <v>45958.471307870372</v>
      </c>
      <c r="P182" s="2">
        <v>45958.715428240743</v>
      </c>
      <c r="Q182" s="2"/>
      <c r="R182" t="s">
        <v>1165</v>
      </c>
      <c r="S182" t="s">
        <v>65</v>
      </c>
      <c r="T182" s="2">
        <v>45958.543113425927</v>
      </c>
      <c r="U182" t="s">
        <v>66</v>
      </c>
      <c r="V182" t="s">
        <v>67</v>
      </c>
      <c r="W182" t="s">
        <v>66</v>
      </c>
      <c r="X182" t="s">
        <v>66</v>
      </c>
      <c r="Y182" t="s">
        <v>66</v>
      </c>
      <c r="Z182" t="s">
        <v>66</v>
      </c>
      <c r="AA182" t="s">
        <v>66</v>
      </c>
      <c r="AB182" t="s">
        <v>66</v>
      </c>
      <c r="AC182" t="s">
        <v>66</v>
      </c>
      <c r="AD182" s="2">
        <v>45961.53565972222</v>
      </c>
      <c r="AE182" t="s">
        <v>71</v>
      </c>
      <c r="AF182" t="s">
        <v>66</v>
      </c>
      <c r="AG182" t="s">
        <v>114</v>
      </c>
      <c r="AH182" t="s">
        <v>115</v>
      </c>
      <c r="AI182">
        <v>110016</v>
      </c>
      <c r="AJ182" t="s">
        <v>74</v>
      </c>
      <c r="AK182" t="s">
        <v>75</v>
      </c>
      <c r="AL182">
        <v>62044220</v>
      </c>
      <c r="AM182" s="2"/>
      <c r="AN182">
        <v>3800</v>
      </c>
      <c r="AO182" t="s">
        <v>1166</v>
      </c>
      <c r="AP182" t="s">
        <v>66</v>
      </c>
      <c r="AQ182" t="s">
        <v>66</v>
      </c>
      <c r="AR182" t="s">
        <v>71</v>
      </c>
      <c r="AS182">
        <v>18</v>
      </c>
      <c r="AT182">
        <v>0</v>
      </c>
      <c r="AU182">
        <v>0</v>
      </c>
      <c r="AV182">
        <v>18</v>
      </c>
      <c r="AW182">
        <v>579.66099999999994</v>
      </c>
      <c r="AX182">
        <v>0</v>
      </c>
      <c r="AY182">
        <v>0</v>
      </c>
      <c r="AZ182">
        <v>579.66099999999994</v>
      </c>
      <c r="BA182" s="2"/>
      <c r="BB182">
        <v>0.85</v>
      </c>
      <c r="BC182" s="2">
        <v>45960.5</v>
      </c>
      <c r="BD182" s="1">
        <f>MarketPlace_Order_Report__2[[#This Row],[UnitPrice]]*MarketPlace_Order_Report__2[[#This Row],[OrderQty]]</f>
        <v>3800</v>
      </c>
      <c r="BE182" s="1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182" s="1">
        <f>MarketPlace_Order_Report__2[[#This Row],[Gross Amount (Before Tax)]]+MarketPlace_Order_Report__2[[#This Row],[Total GST Amount]]</f>
        <v>4379.6610000000001</v>
      </c>
    </row>
    <row r="183" spans="1:58">
      <c r="A183" t="s">
        <v>1167</v>
      </c>
      <c r="B183" t="s">
        <v>1168</v>
      </c>
      <c r="C183" t="s">
        <v>1169</v>
      </c>
      <c r="D183" t="s">
        <v>1170</v>
      </c>
      <c r="E183">
        <v>1</v>
      </c>
      <c r="F183" t="s">
        <v>107</v>
      </c>
      <c r="G183">
        <v>1</v>
      </c>
      <c r="H183">
        <v>1</v>
      </c>
      <c r="I183">
        <v>4000</v>
      </c>
      <c r="J183">
        <v>3800</v>
      </c>
      <c r="K183">
        <v>0</v>
      </c>
      <c r="L183">
        <v>3800</v>
      </c>
      <c r="M183">
        <v>0</v>
      </c>
      <c r="N183" t="s">
        <v>63</v>
      </c>
      <c r="O183" s="2">
        <v>45948.437986111108</v>
      </c>
      <c r="P183" s="2">
        <v>45954.732418981483</v>
      </c>
      <c r="Q183" s="2"/>
      <c r="R183" t="s">
        <v>1171</v>
      </c>
      <c r="S183" t="s">
        <v>65</v>
      </c>
      <c r="T183" s="2">
        <v>45948.802071759259</v>
      </c>
      <c r="U183" t="s">
        <v>66</v>
      </c>
      <c r="V183" t="s">
        <v>67</v>
      </c>
      <c r="W183" t="s">
        <v>66</v>
      </c>
      <c r="X183" t="s">
        <v>66</v>
      </c>
      <c r="Y183" t="s">
        <v>66</v>
      </c>
      <c r="Z183" t="s">
        <v>66</v>
      </c>
      <c r="AA183" t="s">
        <v>66</v>
      </c>
      <c r="AB183" t="s">
        <v>66</v>
      </c>
      <c r="AC183" t="s">
        <v>66</v>
      </c>
      <c r="AD183" s="2">
        <v>45961.448819444442</v>
      </c>
      <c r="AE183" t="s">
        <v>71</v>
      </c>
      <c r="AF183" t="s">
        <v>66</v>
      </c>
      <c r="AG183" t="s">
        <v>1172</v>
      </c>
      <c r="AH183" t="s">
        <v>73</v>
      </c>
      <c r="AI183">
        <v>322241</v>
      </c>
      <c r="AJ183" t="s">
        <v>74</v>
      </c>
      <c r="AK183" t="s">
        <v>75</v>
      </c>
      <c r="AL183">
        <v>62044220</v>
      </c>
      <c r="AM183" s="2"/>
      <c r="AN183">
        <v>3800</v>
      </c>
      <c r="AO183" t="s">
        <v>1173</v>
      </c>
      <c r="AP183" t="s">
        <v>465</v>
      </c>
      <c r="AQ183" t="s">
        <v>66</v>
      </c>
      <c r="AR183" t="s">
        <v>71</v>
      </c>
      <c r="AS183">
        <v>18</v>
      </c>
      <c r="AT183">
        <v>0</v>
      </c>
      <c r="AU183">
        <v>0</v>
      </c>
      <c r="AV183">
        <v>18</v>
      </c>
      <c r="AW183">
        <v>579.66099999999994</v>
      </c>
      <c r="AX183">
        <v>0</v>
      </c>
      <c r="AY183">
        <v>0</v>
      </c>
      <c r="AZ183">
        <v>579.66099999999994</v>
      </c>
      <c r="BA183" s="2"/>
      <c r="BB183">
        <v>0.85</v>
      </c>
      <c r="BC183" s="2">
        <v>45950.5</v>
      </c>
      <c r="BD183" s="1">
        <f>MarketPlace_Order_Report__2[[#This Row],[UnitPrice]]*MarketPlace_Order_Report__2[[#This Row],[OrderQty]]</f>
        <v>3800</v>
      </c>
      <c r="BE183" s="1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183" s="1">
        <f>MarketPlace_Order_Report__2[[#This Row],[Gross Amount (Before Tax)]]+MarketPlace_Order_Report__2[[#This Row],[Total GST Amount]]</f>
        <v>4379.6610000000001</v>
      </c>
    </row>
    <row r="184" spans="1:58">
      <c r="A184" t="s">
        <v>1174</v>
      </c>
      <c r="B184" t="s">
        <v>1175</v>
      </c>
      <c r="C184" t="s">
        <v>1176</v>
      </c>
      <c r="D184" t="s">
        <v>1177</v>
      </c>
      <c r="E184">
        <v>1</v>
      </c>
      <c r="F184" t="s">
        <v>1806</v>
      </c>
      <c r="G184">
        <v>1</v>
      </c>
      <c r="H184">
        <v>1</v>
      </c>
      <c r="I184">
        <v>4000</v>
      </c>
      <c r="J184">
        <v>3800</v>
      </c>
      <c r="K184">
        <v>0</v>
      </c>
      <c r="L184">
        <v>3800</v>
      </c>
      <c r="M184">
        <v>0</v>
      </c>
      <c r="N184" t="s">
        <v>63</v>
      </c>
      <c r="O184" s="2">
        <v>45944.7425</v>
      </c>
      <c r="P184" s="2">
        <v>45945.759745370371</v>
      </c>
      <c r="Q184" s="2">
        <v>45947.509027777778</v>
      </c>
      <c r="R184" t="s">
        <v>1178</v>
      </c>
      <c r="S184" t="s">
        <v>161</v>
      </c>
      <c r="T184" s="2">
        <v>45944.808067129627</v>
      </c>
      <c r="U184" t="s">
        <v>66</v>
      </c>
      <c r="V184" t="s">
        <v>67</v>
      </c>
      <c r="W184" t="s">
        <v>66</v>
      </c>
      <c r="X184" t="s">
        <v>66</v>
      </c>
      <c r="Y184" t="s">
        <v>66</v>
      </c>
      <c r="Z184" t="s">
        <v>66</v>
      </c>
      <c r="AA184" t="s">
        <v>66</v>
      </c>
      <c r="AB184" t="s">
        <v>66</v>
      </c>
      <c r="AC184" t="s">
        <v>66</v>
      </c>
      <c r="AD184" s="2">
        <v>45947.514907407407</v>
      </c>
      <c r="AE184" t="s">
        <v>71</v>
      </c>
      <c r="AF184" t="s">
        <v>66</v>
      </c>
      <c r="AG184" t="s">
        <v>259</v>
      </c>
      <c r="AH184" t="s">
        <v>123</v>
      </c>
      <c r="AI184">
        <v>400097</v>
      </c>
      <c r="AJ184" t="s">
        <v>74</v>
      </c>
      <c r="AK184" t="s">
        <v>75</v>
      </c>
      <c r="AL184">
        <v>62044220</v>
      </c>
      <c r="AM184" s="2"/>
      <c r="AN184">
        <v>3800</v>
      </c>
      <c r="AO184" t="s">
        <v>1179</v>
      </c>
      <c r="AP184" t="s">
        <v>132</v>
      </c>
      <c r="AQ184" t="s">
        <v>66</v>
      </c>
      <c r="AR184" t="s">
        <v>71</v>
      </c>
      <c r="AS184">
        <v>18</v>
      </c>
      <c r="AT184">
        <v>9</v>
      </c>
      <c r="AU184">
        <v>9</v>
      </c>
      <c r="AV184">
        <v>0</v>
      </c>
      <c r="AW184">
        <v>579.66099999999994</v>
      </c>
      <c r="AX184">
        <v>289.83100000000002</v>
      </c>
      <c r="AY184">
        <v>289.83100000000002</v>
      </c>
      <c r="AZ184">
        <v>0</v>
      </c>
      <c r="BA184" s="2"/>
      <c r="BB184">
        <v>0.85</v>
      </c>
      <c r="BC184" s="2">
        <v>45947.5</v>
      </c>
      <c r="BD184" s="1">
        <f>MarketPlace_Order_Report__2[[#This Row],[UnitPrice]]*MarketPlace_Order_Report__2[[#This Row],[OrderQty]]</f>
        <v>3800</v>
      </c>
      <c r="BE184" s="1">
        <f>IFERROR(MarketPlace_Order_Report__2[[#This Row],[CGSTAmount]]+MarketPlace_Order_Report__2[[#This Row],[SGSTAmount]]+MarketPlace_Order_Report__2[[#This Row],[IGSTAmount]],MarketPlace_Order_Report__2[[#This Row],[TaxAmount]])</f>
        <v>579.66200000000003</v>
      </c>
      <c r="BF184" s="1">
        <f>MarketPlace_Order_Report__2[[#This Row],[Gross Amount (Before Tax)]]+MarketPlace_Order_Report__2[[#This Row],[Total GST Amount]]</f>
        <v>4379.6620000000003</v>
      </c>
    </row>
    <row r="185" spans="1:58">
      <c r="A185" t="s">
        <v>1180</v>
      </c>
      <c r="B185" t="s">
        <v>1181</v>
      </c>
      <c r="C185" t="s">
        <v>1176</v>
      </c>
      <c r="D185" t="s">
        <v>1177</v>
      </c>
      <c r="E185">
        <v>1</v>
      </c>
      <c r="F185" t="s">
        <v>1806</v>
      </c>
      <c r="G185">
        <v>1</v>
      </c>
      <c r="H185">
        <v>1</v>
      </c>
      <c r="I185">
        <v>4000</v>
      </c>
      <c r="J185">
        <v>3800</v>
      </c>
      <c r="K185">
        <v>0</v>
      </c>
      <c r="L185">
        <v>3829</v>
      </c>
      <c r="M185">
        <v>29</v>
      </c>
      <c r="N185" t="s">
        <v>63</v>
      </c>
      <c r="O185" s="2">
        <v>45944.387743055559</v>
      </c>
      <c r="P185" s="2">
        <v>45945.760208333333</v>
      </c>
      <c r="Q185" s="2">
        <v>45948.482986111114</v>
      </c>
      <c r="R185" t="s">
        <v>1182</v>
      </c>
      <c r="S185" t="s">
        <v>161</v>
      </c>
      <c r="T185" s="2">
        <v>45944.808067129627</v>
      </c>
      <c r="U185" t="s">
        <v>66</v>
      </c>
      <c r="V185" t="s">
        <v>67</v>
      </c>
      <c r="W185" t="s">
        <v>66</v>
      </c>
      <c r="X185" t="s">
        <v>66</v>
      </c>
      <c r="Y185" t="s">
        <v>66</v>
      </c>
      <c r="Z185" t="s">
        <v>66</v>
      </c>
      <c r="AA185" t="s">
        <v>66</v>
      </c>
      <c r="AB185" t="s">
        <v>66</v>
      </c>
      <c r="AC185" t="s">
        <v>66</v>
      </c>
      <c r="AD185" s="2">
        <v>45948.483437499999</v>
      </c>
      <c r="AE185" t="s">
        <v>71</v>
      </c>
      <c r="AF185" t="s">
        <v>66</v>
      </c>
      <c r="AG185" t="s">
        <v>300</v>
      </c>
      <c r="AH185" t="s">
        <v>123</v>
      </c>
      <c r="AI185">
        <v>411058</v>
      </c>
      <c r="AJ185" t="s">
        <v>74</v>
      </c>
      <c r="AK185" t="s">
        <v>75</v>
      </c>
      <c r="AL185">
        <v>62044220</v>
      </c>
      <c r="AM185" s="2"/>
      <c r="AN185">
        <v>3800</v>
      </c>
      <c r="AO185" t="s">
        <v>1183</v>
      </c>
      <c r="AP185" t="s">
        <v>132</v>
      </c>
      <c r="AQ185" t="s">
        <v>66</v>
      </c>
      <c r="AR185" t="s">
        <v>71</v>
      </c>
      <c r="AS185">
        <v>18</v>
      </c>
      <c r="AT185">
        <v>9</v>
      </c>
      <c r="AU185">
        <v>9</v>
      </c>
      <c r="AV185">
        <v>0</v>
      </c>
      <c r="AW185">
        <v>579.66099999999994</v>
      </c>
      <c r="AX185">
        <v>289.83100000000002</v>
      </c>
      <c r="AY185">
        <v>289.83100000000002</v>
      </c>
      <c r="AZ185">
        <v>0</v>
      </c>
      <c r="BA185" s="2"/>
      <c r="BB185">
        <v>0.85</v>
      </c>
      <c r="BC185" s="2">
        <v>45946.5</v>
      </c>
      <c r="BD185" s="1">
        <f>MarketPlace_Order_Report__2[[#This Row],[UnitPrice]]*MarketPlace_Order_Report__2[[#This Row],[OrderQty]]</f>
        <v>3800</v>
      </c>
      <c r="BE185" s="1">
        <f>IFERROR(MarketPlace_Order_Report__2[[#This Row],[CGSTAmount]]+MarketPlace_Order_Report__2[[#This Row],[SGSTAmount]]+MarketPlace_Order_Report__2[[#This Row],[IGSTAmount]],MarketPlace_Order_Report__2[[#This Row],[TaxAmount]])</f>
        <v>579.66200000000003</v>
      </c>
      <c r="BF185" s="1">
        <f>MarketPlace_Order_Report__2[[#This Row],[Gross Amount (Before Tax)]]+MarketPlace_Order_Report__2[[#This Row],[Total GST Amount]]</f>
        <v>4379.6620000000003</v>
      </c>
    </row>
    <row r="186" spans="1:58">
      <c r="A186" t="s">
        <v>1184</v>
      </c>
      <c r="B186" t="s">
        <v>1185</v>
      </c>
      <c r="C186" t="s">
        <v>1176</v>
      </c>
      <c r="D186" t="s">
        <v>1177</v>
      </c>
      <c r="E186">
        <v>1</v>
      </c>
      <c r="F186" t="s">
        <v>62</v>
      </c>
      <c r="G186">
        <v>1</v>
      </c>
      <c r="H186">
        <v>1</v>
      </c>
      <c r="I186">
        <v>3500</v>
      </c>
      <c r="J186">
        <v>3325</v>
      </c>
      <c r="K186">
        <v>0</v>
      </c>
      <c r="L186">
        <v>3335.19</v>
      </c>
      <c r="M186">
        <v>10.19</v>
      </c>
      <c r="N186" t="s">
        <v>63</v>
      </c>
      <c r="O186" s="2">
        <v>45941.568414351852</v>
      </c>
      <c r="P186" s="2">
        <v>45941.746944444443</v>
      </c>
      <c r="Q186" s="2">
        <v>45943.796076388891</v>
      </c>
      <c r="R186" t="s">
        <v>1186</v>
      </c>
      <c r="S186" t="s">
        <v>65</v>
      </c>
      <c r="T186" s="2">
        <v>45941.595370370371</v>
      </c>
      <c r="U186" t="s">
        <v>66</v>
      </c>
      <c r="V186" t="s">
        <v>67</v>
      </c>
      <c r="W186" t="s">
        <v>66</v>
      </c>
      <c r="X186" t="s">
        <v>66</v>
      </c>
      <c r="Y186" t="s">
        <v>1187</v>
      </c>
      <c r="Z186" t="s">
        <v>69</v>
      </c>
      <c r="AA186" t="s">
        <v>175</v>
      </c>
      <c r="AB186" t="s">
        <v>66</v>
      </c>
      <c r="AC186" t="s">
        <v>66</v>
      </c>
      <c r="AD186" s="2">
        <v>45954.629421296297</v>
      </c>
      <c r="AE186" t="s">
        <v>71</v>
      </c>
      <c r="AF186" t="s">
        <v>66</v>
      </c>
      <c r="AG186" t="s">
        <v>148</v>
      </c>
      <c r="AH186" t="s">
        <v>149</v>
      </c>
      <c r="AI186">
        <v>500008</v>
      </c>
      <c r="AJ186" t="s">
        <v>74</v>
      </c>
      <c r="AK186" t="s">
        <v>75</v>
      </c>
      <c r="AL186">
        <v>62044220</v>
      </c>
      <c r="AM186" s="2"/>
      <c r="AN186">
        <v>3325</v>
      </c>
      <c r="AO186" t="s">
        <v>1188</v>
      </c>
      <c r="AP186" t="s">
        <v>132</v>
      </c>
      <c r="AQ186" t="s">
        <v>66</v>
      </c>
      <c r="AR186" t="s">
        <v>71</v>
      </c>
      <c r="AS186">
        <v>18</v>
      </c>
      <c r="AT186">
        <v>0</v>
      </c>
      <c r="AU186">
        <v>0</v>
      </c>
      <c r="AV186">
        <v>18</v>
      </c>
      <c r="AW186">
        <v>507.20299999999997</v>
      </c>
      <c r="AX186">
        <v>0</v>
      </c>
      <c r="AY186">
        <v>0</v>
      </c>
      <c r="AZ186">
        <v>507.20299999999997</v>
      </c>
      <c r="BA186" s="2"/>
      <c r="BB186">
        <v>0.85</v>
      </c>
      <c r="BC186" s="2">
        <v>45944.5</v>
      </c>
      <c r="BD186" s="1">
        <f>MarketPlace_Order_Report__2[[#This Row],[UnitPrice]]*MarketPlace_Order_Report__2[[#This Row],[OrderQty]]</f>
        <v>3325</v>
      </c>
      <c r="BE186" s="1">
        <f>IFERROR(MarketPlace_Order_Report__2[[#This Row],[CGSTAmount]]+MarketPlace_Order_Report__2[[#This Row],[SGSTAmount]]+MarketPlace_Order_Report__2[[#This Row],[IGSTAmount]],MarketPlace_Order_Report__2[[#This Row],[TaxAmount]])</f>
        <v>507.20299999999997</v>
      </c>
      <c r="BF186" s="1">
        <f>MarketPlace_Order_Report__2[[#This Row],[Gross Amount (Before Tax)]]+MarketPlace_Order_Report__2[[#This Row],[Total GST Amount]]</f>
        <v>3832.203</v>
      </c>
    </row>
    <row r="187" spans="1:58">
      <c r="A187" t="s">
        <v>1189</v>
      </c>
      <c r="B187" t="s">
        <v>1190</v>
      </c>
      <c r="C187" t="s">
        <v>1191</v>
      </c>
      <c r="D187" t="s">
        <v>1192</v>
      </c>
      <c r="E187">
        <v>1</v>
      </c>
      <c r="F187" t="s">
        <v>1806</v>
      </c>
      <c r="G187">
        <v>1</v>
      </c>
      <c r="H187">
        <v>1</v>
      </c>
      <c r="I187">
        <v>3500</v>
      </c>
      <c r="J187">
        <v>3325</v>
      </c>
      <c r="K187">
        <v>0</v>
      </c>
      <c r="L187">
        <v>3325</v>
      </c>
      <c r="M187">
        <v>0</v>
      </c>
      <c r="N187" t="s">
        <v>63</v>
      </c>
      <c r="O187" s="2">
        <v>45942.951273148145</v>
      </c>
      <c r="P187" s="2">
        <v>45944.669444444444</v>
      </c>
      <c r="Q187" s="2">
        <v>45947.51458333333</v>
      </c>
      <c r="R187" t="s">
        <v>1193</v>
      </c>
      <c r="S187" t="s">
        <v>146</v>
      </c>
      <c r="T187" s="2">
        <v>45943.813715277778</v>
      </c>
      <c r="U187" t="s">
        <v>66</v>
      </c>
      <c r="V187" t="s">
        <v>67</v>
      </c>
      <c r="W187" t="s">
        <v>66</v>
      </c>
      <c r="X187" t="s">
        <v>66</v>
      </c>
      <c r="Y187" t="s">
        <v>66</v>
      </c>
      <c r="Z187" t="s">
        <v>66</v>
      </c>
      <c r="AA187" t="s">
        <v>66</v>
      </c>
      <c r="AB187" t="s">
        <v>66</v>
      </c>
      <c r="AC187" t="s">
        <v>66</v>
      </c>
      <c r="AD187" s="2">
        <v>45947.521840277775</v>
      </c>
      <c r="AE187" t="s">
        <v>71</v>
      </c>
      <c r="AF187" t="s">
        <v>66</v>
      </c>
      <c r="AG187" t="s">
        <v>395</v>
      </c>
      <c r="AH187" t="s">
        <v>251</v>
      </c>
      <c r="AI187">
        <v>600004</v>
      </c>
      <c r="AJ187" t="s">
        <v>74</v>
      </c>
      <c r="AK187" t="s">
        <v>75</v>
      </c>
      <c r="AL187">
        <v>62044220</v>
      </c>
      <c r="AM187" s="2"/>
      <c r="AN187">
        <v>3325</v>
      </c>
      <c r="AO187" t="s">
        <v>1194</v>
      </c>
      <c r="AP187" t="s">
        <v>66</v>
      </c>
      <c r="AQ187" t="s">
        <v>66</v>
      </c>
      <c r="AR187" t="s">
        <v>71</v>
      </c>
      <c r="AS187">
        <v>18</v>
      </c>
      <c r="AT187">
        <v>0</v>
      </c>
      <c r="AU187">
        <v>0</v>
      </c>
      <c r="AV187">
        <v>18</v>
      </c>
      <c r="AW187">
        <v>507.20299999999997</v>
      </c>
      <c r="AX187">
        <v>0</v>
      </c>
      <c r="AY187">
        <v>0</v>
      </c>
      <c r="AZ187">
        <v>507.20299999999997</v>
      </c>
      <c r="BA187" s="2"/>
      <c r="BB187">
        <v>0.85</v>
      </c>
      <c r="BC187" s="2">
        <v>45945.5</v>
      </c>
      <c r="BD187" s="1">
        <f>MarketPlace_Order_Report__2[[#This Row],[UnitPrice]]*MarketPlace_Order_Report__2[[#This Row],[OrderQty]]</f>
        <v>3325</v>
      </c>
      <c r="BE187" s="1">
        <f>IFERROR(MarketPlace_Order_Report__2[[#This Row],[CGSTAmount]]+MarketPlace_Order_Report__2[[#This Row],[SGSTAmount]]+MarketPlace_Order_Report__2[[#This Row],[IGSTAmount]],MarketPlace_Order_Report__2[[#This Row],[TaxAmount]])</f>
        <v>507.20299999999997</v>
      </c>
      <c r="BF187" s="1">
        <f>MarketPlace_Order_Report__2[[#This Row],[Gross Amount (Before Tax)]]+MarketPlace_Order_Report__2[[#This Row],[Total GST Amount]]</f>
        <v>3832.203</v>
      </c>
    </row>
    <row r="188" spans="1:58">
      <c r="A188" t="s">
        <v>1195</v>
      </c>
      <c r="B188" t="s">
        <v>1196</v>
      </c>
      <c r="C188" t="s">
        <v>1197</v>
      </c>
      <c r="D188" t="s">
        <v>1198</v>
      </c>
      <c r="E188">
        <v>2</v>
      </c>
      <c r="F188" t="s">
        <v>62</v>
      </c>
      <c r="G188">
        <v>1</v>
      </c>
      <c r="H188">
        <v>1</v>
      </c>
      <c r="I188">
        <v>4000</v>
      </c>
      <c r="J188">
        <v>3800</v>
      </c>
      <c r="K188">
        <v>0</v>
      </c>
      <c r="L188">
        <v>3800</v>
      </c>
      <c r="M188">
        <v>0</v>
      </c>
      <c r="N188" t="s">
        <v>63</v>
      </c>
      <c r="O188" s="2">
        <v>45944.052129629628</v>
      </c>
      <c r="P188" s="2">
        <v>45945.759456018517</v>
      </c>
      <c r="Q188" s="2">
        <v>45948.423981481479</v>
      </c>
      <c r="R188" t="s">
        <v>1199</v>
      </c>
      <c r="S188" t="s">
        <v>65</v>
      </c>
      <c r="T188" s="2">
        <v>45944.808067129627</v>
      </c>
      <c r="U188" t="s">
        <v>66</v>
      </c>
      <c r="V188" t="s">
        <v>67</v>
      </c>
      <c r="W188" t="s">
        <v>66</v>
      </c>
      <c r="X188" t="s">
        <v>66</v>
      </c>
      <c r="Y188" t="s">
        <v>1200</v>
      </c>
      <c r="Z188" t="s">
        <v>69</v>
      </c>
      <c r="AA188" t="s">
        <v>175</v>
      </c>
      <c r="AB188" t="s">
        <v>66</v>
      </c>
      <c r="AC188" t="s">
        <v>66</v>
      </c>
      <c r="AD188" s="2">
        <v>45958.868842592594</v>
      </c>
      <c r="AE188" t="s">
        <v>71</v>
      </c>
      <c r="AF188" t="s">
        <v>66</v>
      </c>
      <c r="AG188" t="s">
        <v>185</v>
      </c>
      <c r="AH188" t="s">
        <v>139</v>
      </c>
      <c r="AI188">
        <v>201308</v>
      </c>
      <c r="AJ188" t="s">
        <v>74</v>
      </c>
      <c r="AK188" t="s">
        <v>75</v>
      </c>
      <c r="AL188">
        <v>62044220</v>
      </c>
      <c r="AM188" s="2"/>
      <c r="AN188">
        <v>3800</v>
      </c>
      <c r="AO188" t="s">
        <v>1201</v>
      </c>
      <c r="AP188" t="s">
        <v>882</v>
      </c>
      <c r="AQ188" t="s">
        <v>66</v>
      </c>
      <c r="AR188" t="s">
        <v>71</v>
      </c>
      <c r="AS188">
        <v>18</v>
      </c>
      <c r="AT188">
        <v>0</v>
      </c>
      <c r="AU188">
        <v>0</v>
      </c>
      <c r="AV188">
        <v>18</v>
      </c>
      <c r="AW188">
        <v>579.66099999999994</v>
      </c>
      <c r="AX188">
        <v>0</v>
      </c>
      <c r="AY188">
        <v>0</v>
      </c>
      <c r="AZ188">
        <v>579.66099999999994</v>
      </c>
      <c r="BA188" s="2"/>
      <c r="BB188">
        <v>0.85</v>
      </c>
      <c r="BC188" s="2">
        <v>45946.5</v>
      </c>
      <c r="BD188" s="1">
        <f>MarketPlace_Order_Report__2[[#This Row],[UnitPrice]]*MarketPlace_Order_Report__2[[#This Row],[OrderQty]]</f>
        <v>3800</v>
      </c>
      <c r="BE188" s="1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188" s="1">
        <f>MarketPlace_Order_Report__2[[#This Row],[Gross Amount (Before Tax)]]+MarketPlace_Order_Report__2[[#This Row],[Total GST Amount]]</f>
        <v>4379.6610000000001</v>
      </c>
    </row>
    <row r="189" spans="1:58">
      <c r="A189" t="s">
        <v>571</v>
      </c>
      <c r="B189" t="s">
        <v>572</v>
      </c>
      <c r="C189" t="s">
        <v>1197</v>
      </c>
      <c r="D189" t="s">
        <v>1198</v>
      </c>
      <c r="E189">
        <v>1</v>
      </c>
      <c r="F189" t="s">
        <v>1806</v>
      </c>
      <c r="G189">
        <v>1</v>
      </c>
      <c r="H189">
        <v>1</v>
      </c>
      <c r="I189">
        <v>3750</v>
      </c>
      <c r="J189">
        <v>3563</v>
      </c>
      <c r="K189">
        <v>0</v>
      </c>
      <c r="L189">
        <v>3577.4250000000002</v>
      </c>
      <c r="M189">
        <v>14.425000000000001</v>
      </c>
      <c r="N189" t="s">
        <v>63</v>
      </c>
      <c r="O189" s="2">
        <v>45942.706701388888</v>
      </c>
      <c r="P189" s="2">
        <v>45944.741712962961</v>
      </c>
      <c r="Q189" s="2">
        <v>45948.507592592592</v>
      </c>
      <c r="R189" t="s">
        <v>575</v>
      </c>
      <c r="S189" t="s">
        <v>65</v>
      </c>
      <c r="T189" s="2">
        <v>45943.814479166664</v>
      </c>
      <c r="U189" t="s">
        <v>66</v>
      </c>
      <c r="V189" t="s">
        <v>67</v>
      </c>
      <c r="W189" t="s">
        <v>66</v>
      </c>
      <c r="X189" t="s">
        <v>66</v>
      </c>
      <c r="Y189" t="s">
        <v>66</v>
      </c>
      <c r="Z189" t="s">
        <v>66</v>
      </c>
      <c r="AA189" t="s">
        <v>66</v>
      </c>
      <c r="AB189" t="s">
        <v>66</v>
      </c>
      <c r="AC189" t="s">
        <v>66</v>
      </c>
      <c r="AD189" s="2">
        <v>45948.51494212963</v>
      </c>
      <c r="AE189" t="s">
        <v>71</v>
      </c>
      <c r="AF189" t="s">
        <v>66</v>
      </c>
      <c r="AG189" t="s">
        <v>577</v>
      </c>
      <c r="AH189" t="s">
        <v>569</v>
      </c>
      <c r="AI189">
        <v>770076</v>
      </c>
      <c r="AJ189" t="s">
        <v>74</v>
      </c>
      <c r="AK189" t="s">
        <v>75</v>
      </c>
      <c r="AL189">
        <v>62044220</v>
      </c>
      <c r="AM189" s="2"/>
      <c r="AN189">
        <v>3563</v>
      </c>
      <c r="AO189" t="s">
        <v>578</v>
      </c>
      <c r="AP189" t="s">
        <v>66</v>
      </c>
      <c r="AQ189" t="s">
        <v>66</v>
      </c>
      <c r="AR189" t="s">
        <v>71</v>
      </c>
      <c r="AS189">
        <v>18</v>
      </c>
      <c r="AT189">
        <v>0</v>
      </c>
      <c r="AU189">
        <v>0</v>
      </c>
      <c r="AV189">
        <v>18</v>
      </c>
      <c r="AW189">
        <v>543.50800000000004</v>
      </c>
      <c r="AX189">
        <v>0</v>
      </c>
      <c r="AY189">
        <v>0</v>
      </c>
      <c r="AZ189">
        <v>543.50800000000004</v>
      </c>
      <c r="BA189" s="2"/>
      <c r="BB189">
        <v>1.2</v>
      </c>
      <c r="BC189" s="2">
        <v>45945.5</v>
      </c>
      <c r="BD189" s="1">
        <f>MarketPlace_Order_Report__2[[#This Row],[UnitPrice]]*MarketPlace_Order_Report__2[[#This Row],[OrderQty]]</f>
        <v>3563</v>
      </c>
      <c r="BE189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89" s="1">
        <f>MarketPlace_Order_Report__2[[#This Row],[Gross Amount (Before Tax)]]+MarketPlace_Order_Report__2[[#This Row],[Total GST Amount]]</f>
        <v>4106.5079999999998</v>
      </c>
    </row>
    <row r="190" spans="1:58">
      <c r="A190" t="s">
        <v>1202</v>
      </c>
      <c r="B190" t="s">
        <v>1203</v>
      </c>
      <c r="C190" t="s">
        <v>1204</v>
      </c>
      <c r="D190" t="s">
        <v>1205</v>
      </c>
      <c r="E190">
        <v>1</v>
      </c>
      <c r="F190" t="s">
        <v>145</v>
      </c>
      <c r="G190">
        <v>1</v>
      </c>
      <c r="H190">
        <v>0</v>
      </c>
      <c r="I190">
        <v>4000</v>
      </c>
      <c r="J190">
        <v>3800</v>
      </c>
      <c r="K190">
        <v>0</v>
      </c>
      <c r="L190">
        <v>3871.88</v>
      </c>
      <c r="M190">
        <v>71.88</v>
      </c>
      <c r="N190" t="s">
        <v>99</v>
      </c>
      <c r="O190" s="2">
        <v>45944.111967592595</v>
      </c>
      <c r="P190" s="2"/>
      <c r="Q190" s="2"/>
      <c r="R190" t="s">
        <v>66</v>
      </c>
      <c r="S190" t="s">
        <v>161</v>
      </c>
      <c r="T190" s="2"/>
      <c r="U190" t="s">
        <v>1206</v>
      </c>
      <c r="V190" t="s">
        <v>67</v>
      </c>
      <c r="W190" t="s">
        <v>1207</v>
      </c>
      <c r="X190" t="s">
        <v>66</v>
      </c>
      <c r="Y190" t="s">
        <v>66</v>
      </c>
      <c r="Z190" t="s">
        <v>66</v>
      </c>
      <c r="AA190" t="s">
        <v>66</v>
      </c>
      <c r="AB190" t="s">
        <v>66</v>
      </c>
      <c r="AC190" t="s">
        <v>66</v>
      </c>
      <c r="AD190" s="2">
        <v>45944.572291666664</v>
      </c>
      <c r="AE190" t="s">
        <v>71</v>
      </c>
      <c r="AF190" t="s">
        <v>66</v>
      </c>
      <c r="AG190" t="s">
        <v>1208</v>
      </c>
      <c r="AH190" t="s">
        <v>194</v>
      </c>
      <c r="AI190">
        <v>360575</v>
      </c>
      <c r="AJ190" t="s">
        <v>74</v>
      </c>
      <c r="AK190" t="s">
        <v>75</v>
      </c>
      <c r="AL190">
        <v>62044220</v>
      </c>
      <c r="AM190" s="2">
        <v>45944.572291666664</v>
      </c>
      <c r="AN190">
        <v>3800</v>
      </c>
      <c r="AO190" t="s">
        <v>66</v>
      </c>
      <c r="AP190" t="s">
        <v>66</v>
      </c>
      <c r="AQ190" t="s">
        <v>1209</v>
      </c>
      <c r="AR190" t="s">
        <v>326</v>
      </c>
      <c r="AS190">
        <v>18</v>
      </c>
      <c r="AT190">
        <v>0</v>
      </c>
      <c r="AU190">
        <v>0</v>
      </c>
      <c r="AV190">
        <v>18</v>
      </c>
      <c r="AW190">
        <v>579.66099999999994</v>
      </c>
      <c r="AX190">
        <v>0</v>
      </c>
      <c r="AY190">
        <v>0</v>
      </c>
      <c r="AZ190">
        <v>579.66099999999994</v>
      </c>
      <c r="BA190" s="2"/>
      <c r="BC190" s="2">
        <v>45946.5</v>
      </c>
      <c r="BD190" s="1">
        <f>MarketPlace_Order_Report__2[[#This Row],[UnitPrice]]*MarketPlace_Order_Report__2[[#This Row],[OrderQty]]</f>
        <v>3800</v>
      </c>
      <c r="BE190" s="1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190" s="1">
        <f>MarketPlace_Order_Report__2[[#This Row],[Gross Amount (Before Tax)]]+MarketPlace_Order_Report__2[[#This Row],[Total GST Amount]]</f>
        <v>4379.6610000000001</v>
      </c>
    </row>
    <row r="191" spans="1:58">
      <c r="A191" t="s">
        <v>1210</v>
      </c>
      <c r="B191" t="s">
        <v>1211</v>
      </c>
      <c r="C191" t="s">
        <v>1204</v>
      </c>
      <c r="D191" t="s">
        <v>1205</v>
      </c>
      <c r="E191">
        <v>1</v>
      </c>
      <c r="F191" t="s">
        <v>1806</v>
      </c>
      <c r="G191">
        <v>1</v>
      </c>
      <c r="H191">
        <v>1</v>
      </c>
      <c r="I191">
        <v>3750</v>
      </c>
      <c r="J191">
        <v>3563</v>
      </c>
      <c r="K191">
        <v>0</v>
      </c>
      <c r="L191">
        <v>3581.84</v>
      </c>
      <c r="M191">
        <v>18.84</v>
      </c>
      <c r="N191" t="s">
        <v>63</v>
      </c>
      <c r="O191" s="2">
        <v>45939.61210648148</v>
      </c>
      <c r="P191" s="2">
        <v>45940.730856481481</v>
      </c>
      <c r="Q191" s="2">
        <v>45944.521643518521</v>
      </c>
      <c r="R191" t="s">
        <v>1212</v>
      </c>
      <c r="S191" t="s">
        <v>161</v>
      </c>
      <c r="T191" s="2">
        <v>45939.786319444444</v>
      </c>
      <c r="U191" t="s">
        <v>66</v>
      </c>
      <c r="V191" t="s">
        <v>67</v>
      </c>
      <c r="W191" t="s">
        <v>66</v>
      </c>
      <c r="X191" t="s">
        <v>66</v>
      </c>
      <c r="Y191" t="s">
        <v>66</v>
      </c>
      <c r="Z191" t="s">
        <v>66</v>
      </c>
      <c r="AA191" t="s">
        <v>66</v>
      </c>
      <c r="AB191" t="s">
        <v>66</v>
      </c>
      <c r="AC191" t="s">
        <v>66</v>
      </c>
      <c r="AD191" s="2">
        <v>45944.532094907408</v>
      </c>
      <c r="AE191" t="s">
        <v>71</v>
      </c>
      <c r="AF191" t="s">
        <v>66</v>
      </c>
      <c r="AG191" t="s">
        <v>241</v>
      </c>
      <c r="AH191" t="s">
        <v>123</v>
      </c>
      <c r="AI191">
        <v>416008</v>
      </c>
      <c r="AJ191" t="s">
        <v>74</v>
      </c>
      <c r="AK191" t="s">
        <v>75</v>
      </c>
      <c r="AL191">
        <v>62044220</v>
      </c>
      <c r="AM191" s="2"/>
      <c r="AN191">
        <v>3563</v>
      </c>
      <c r="AO191" t="s">
        <v>1213</v>
      </c>
      <c r="AP191" t="s">
        <v>66</v>
      </c>
      <c r="AQ191" t="s">
        <v>66</v>
      </c>
      <c r="AR191" t="s">
        <v>71</v>
      </c>
      <c r="AS191">
        <v>18</v>
      </c>
      <c r="AT191">
        <v>9</v>
      </c>
      <c r="AU191">
        <v>9</v>
      </c>
      <c r="AV191">
        <v>0</v>
      </c>
      <c r="AW191">
        <v>543.50800000000004</v>
      </c>
      <c r="AX191">
        <v>271.75400000000002</v>
      </c>
      <c r="AY191">
        <v>271.75400000000002</v>
      </c>
      <c r="AZ191">
        <v>0</v>
      </c>
      <c r="BA191" s="2"/>
      <c r="BB191">
        <v>0.85</v>
      </c>
      <c r="BC191" s="2">
        <v>45942.5</v>
      </c>
      <c r="BD191" s="1">
        <f>MarketPlace_Order_Report__2[[#This Row],[UnitPrice]]*MarketPlace_Order_Report__2[[#This Row],[OrderQty]]</f>
        <v>3563</v>
      </c>
      <c r="BE191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91" s="1">
        <f>MarketPlace_Order_Report__2[[#This Row],[Gross Amount (Before Tax)]]+MarketPlace_Order_Report__2[[#This Row],[Total GST Amount]]</f>
        <v>4106.5079999999998</v>
      </c>
    </row>
    <row r="192" spans="1:58">
      <c r="A192" t="s">
        <v>1214</v>
      </c>
      <c r="B192" t="s">
        <v>1215</v>
      </c>
      <c r="C192" t="s">
        <v>1216</v>
      </c>
      <c r="D192" t="s">
        <v>1217</v>
      </c>
      <c r="E192">
        <v>1</v>
      </c>
      <c r="F192" t="s">
        <v>62</v>
      </c>
      <c r="G192">
        <v>1</v>
      </c>
      <c r="H192">
        <v>1</v>
      </c>
      <c r="I192">
        <v>4000</v>
      </c>
      <c r="J192">
        <v>3800</v>
      </c>
      <c r="K192">
        <v>0</v>
      </c>
      <c r="L192">
        <v>3919</v>
      </c>
      <c r="M192">
        <v>119</v>
      </c>
      <c r="N192" t="s">
        <v>99</v>
      </c>
      <c r="O192" s="2">
        <v>45944.659571759257</v>
      </c>
      <c r="P192" s="2">
        <v>45945.759317129632</v>
      </c>
      <c r="Q192" s="2">
        <v>45949.764664351853</v>
      </c>
      <c r="R192" t="s">
        <v>1218</v>
      </c>
      <c r="S192" t="s">
        <v>161</v>
      </c>
      <c r="T192" s="2">
        <v>45944.808067129627</v>
      </c>
      <c r="U192" t="s">
        <v>66</v>
      </c>
      <c r="V192" t="s">
        <v>67</v>
      </c>
      <c r="W192" t="s">
        <v>66</v>
      </c>
      <c r="X192" t="s">
        <v>66</v>
      </c>
      <c r="Y192" t="s">
        <v>1219</v>
      </c>
      <c r="Z192" t="s">
        <v>69</v>
      </c>
      <c r="AA192" t="s">
        <v>175</v>
      </c>
      <c r="AB192" t="s">
        <v>66</v>
      </c>
      <c r="AC192" t="s">
        <v>66</v>
      </c>
      <c r="AD192" s="2">
        <v>45959.709085648145</v>
      </c>
      <c r="AE192" t="s">
        <v>71</v>
      </c>
      <c r="AF192" t="s">
        <v>66</v>
      </c>
      <c r="AG192" t="s">
        <v>1208</v>
      </c>
      <c r="AH192" t="s">
        <v>194</v>
      </c>
      <c r="AI192">
        <v>360575</v>
      </c>
      <c r="AJ192" t="s">
        <v>74</v>
      </c>
      <c r="AK192" t="s">
        <v>75</v>
      </c>
      <c r="AL192">
        <v>62044220</v>
      </c>
      <c r="AM192" s="2"/>
      <c r="AN192">
        <v>3800</v>
      </c>
      <c r="AO192" t="s">
        <v>1220</v>
      </c>
      <c r="AP192" t="s">
        <v>66</v>
      </c>
      <c r="AQ192" t="s">
        <v>66</v>
      </c>
      <c r="AR192" t="s">
        <v>71</v>
      </c>
      <c r="AS192">
        <v>18</v>
      </c>
      <c r="AT192">
        <v>0</v>
      </c>
      <c r="AU192">
        <v>0</v>
      </c>
      <c r="AV192">
        <v>18</v>
      </c>
      <c r="AW192">
        <v>579.66099999999994</v>
      </c>
      <c r="AX192">
        <v>0</v>
      </c>
      <c r="AY192">
        <v>0</v>
      </c>
      <c r="AZ192">
        <v>579.66099999999994</v>
      </c>
      <c r="BA192" s="2"/>
      <c r="BB192">
        <v>0.85</v>
      </c>
      <c r="BC192" s="2">
        <v>45947.5</v>
      </c>
      <c r="BD192" s="1">
        <f>MarketPlace_Order_Report__2[[#This Row],[UnitPrice]]*MarketPlace_Order_Report__2[[#This Row],[OrderQty]]</f>
        <v>3800</v>
      </c>
      <c r="BE192" s="1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192" s="1">
        <f>MarketPlace_Order_Report__2[[#This Row],[Gross Amount (Before Tax)]]+MarketPlace_Order_Report__2[[#This Row],[Total GST Amount]]</f>
        <v>4379.6610000000001</v>
      </c>
    </row>
    <row r="193" spans="1:58">
      <c r="A193" t="s">
        <v>1221</v>
      </c>
      <c r="B193" t="s">
        <v>1222</v>
      </c>
      <c r="C193" t="s">
        <v>1223</v>
      </c>
      <c r="D193" t="s">
        <v>1224</v>
      </c>
      <c r="E193">
        <v>1</v>
      </c>
      <c r="F193" t="s">
        <v>107</v>
      </c>
      <c r="G193">
        <v>1</v>
      </c>
      <c r="H193">
        <v>1</v>
      </c>
      <c r="I193">
        <v>4000</v>
      </c>
      <c r="J193">
        <v>3800</v>
      </c>
      <c r="K193">
        <v>0</v>
      </c>
      <c r="L193">
        <v>3849</v>
      </c>
      <c r="M193">
        <v>49</v>
      </c>
      <c r="N193" t="s">
        <v>99</v>
      </c>
      <c r="O193" s="2">
        <v>45947.981689814813</v>
      </c>
      <c r="P193" s="2">
        <v>45954.731064814812</v>
      </c>
      <c r="Q193" s="2"/>
      <c r="R193" t="s">
        <v>1225</v>
      </c>
      <c r="S193" t="s">
        <v>65</v>
      </c>
      <c r="T193" s="2">
        <v>45948.802071759259</v>
      </c>
      <c r="U193" t="s">
        <v>66</v>
      </c>
      <c r="V193" t="s">
        <v>67</v>
      </c>
      <c r="W193" t="s">
        <v>66</v>
      </c>
      <c r="X193" t="s">
        <v>66</v>
      </c>
      <c r="Y193" t="s">
        <v>66</v>
      </c>
      <c r="Z193" t="s">
        <v>66</v>
      </c>
      <c r="AA193" t="s">
        <v>66</v>
      </c>
      <c r="AB193" t="s">
        <v>66</v>
      </c>
      <c r="AC193" t="s">
        <v>66</v>
      </c>
      <c r="AD193" s="2">
        <v>45961.26116898148</v>
      </c>
      <c r="AE193" t="s">
        <v>71</v>
      </c>
      <c r="AF193" t="s">
        <v>66</v>
      </c>
      <c r="AG193" t="s">
        <v>1226</v>
      </c>
      <c r="AH193" t="s">
        <v>139</v>
      </c>
      <c r="AI193">
        <v>275101</v>
      </c>
      <c r="AJ193" t="s">
        <v>74</v>
      </c>
      <c r="AK193" t="s">
        <v>75</v>
      </c>
      <c r="AL193">
        <v>62044220</v>
      </c>
      <c r="AM193" s="2"/>
      <c r="AN193">
        <v>3800</v>
      </c>
      <c r="AO193" t="s">
        <v>1227</v>
      </c>
      <c r="AP193" t="s">
        <v>288</v>
      </c>
      <c r="AQ193" t="s">
        <v>66</v>
      </c>
      <c r="AR193" t="s">
        <v>71</v>
      </c>
      <c r="AS193">
        <v>18</v>
      </c>
      <c r="AT193">
        <v>0</v>
      </c>
      <c r="AU193">
        <v>0</v>
      </c>
      <c r="AV193">
        <v>18</v>
      </c>
      <c r="AW193">
        <v>579.66099999999994</v>
      </c>
      <c r="AX193">
        <v>0</v>
      </c>
      <c r="AY193">
        <v>0</v>
      </c>
      <c r="AZ193">
        <v>579.66099999999994</v>
      </c>
      <c r="BA193" s="2"/>
      <c r="BB193">
        <v>0.85</v>
      </c>
      <c r="BC193" s="2">
        <v>45950.5</v>
      </c>
      <c r="BD193" s="1">
        <f>MarketPlace_Order_Report__2[[#This Row],[UnitPrice]]*MarketPlace_Order_Report__2[[#This Row],[OrderQty]]</f>
        <v>3800</v>
      </c>
      <c r="BE193" s="1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193" s="1">
        <f>MarketPlace_Order_Report__2[[#This Row],[Gross Amount (Before Tax)]]+MarketPlace_Order_Report__2[[#This Row],[Total GST Amount]]</f>
        <v>4379.6610000000001</v>
      </c>
    </row>
    <row r="194" spans="1:58">
      <c r="A194" t="s">
        <v>1080</v>
      </c>
      <c r="B194" t="s">
        <v>1081</v>
      </c>
      <c r="C194" t="s">
        <v>1223</v>
      </c>
      <c r="D194" t="s">
        <v>1224</v>
      </c>
      <c r="E194">
        <v>4</v>
      </c>
      <c r="F194" t="s">
        <v>62</v>
      </c>
      <c r="G194">
        <v>1</v>
      </c>
      <c r="H194">
        <v>1</v>
      </c>
      <c r="I194">
        <v>3750</v>
      </c>
      <c r="J194">
        <v>3563</v>
      </c>
      <c r="K194">
        <v>0</v>
      </c>
      <c r="L194">
        <v>3570.77</v>
      </c>
      <c r="M194">
        <v>7.77</v>
      </c>
      <c r="N194" t="s">
        <v>63</v>
      </c>
      <c r="O194" s="2">
        <v>45941.963761574072</v>
      </c>
      <c r="P194" s="2">
        <v>45943.779166666667</v>
      </c>
      <c r="Q194" s="2">
        <v>45945.498611111114</v>
      </c>
      <c r="R194" t="s">
        <v>1082</v>
      </c>
      <c r="S194" t="s">
        <v>146</v>
      </c>
      <c r="T194" s="2">
        <v>45942.661412037036</v>
      </c>
      <c r="U194" t="s">
        <v>66</v>
      </c>
      <c r="V194" t="s">
        <v>67</v>
      </c>
      <c r="W194" t="s">
        <v>66</v>
      </c>
      <c r="X194" t="s">
        <v>66</v>
      </c>
      <c r="Y194" t="s">
        <v>1228</v>
      </c>
      <c r="Z194" t="s">
        <v>69</v>
      </c>
      <c r="AA194" t="s">
        <v>175</v>
      </c>
      <c r="AB194" t="s">
        <v>66</v>
      </c>
      <c r="AC194" t="s">
        <v>66</v>
      </c>
      <c r="AD194" s="2">
        <v>45954.629421296297</v>
      </c>
      <c r="AE194" t="s">
        <v>71</v>
      </c>
      <c r="AF194" t="s">
        <v>66</v>
      </c>
      <c r="AG194" t="s">
        <v>148</v>
      </c>
      <c r="AH194" t="s">
        <v>149</v>
      </c>
      <c r="AI194">
        <v>500032</v>
      </c>
      <c r="AJ194" t="s">
        <v>74</v>
      </c>
      <c r="AK194" t="s">
        <v>75</v>
      </c>
      <c r="AL194">
        <v>62044220</v>
      </c>
      <c r="AM194" s="2"/>
      <c r="AN194">
        <v>3563</v>
      </c>
      <c r="AO194" t="s">
        <v>1083</v>
      </c>
      <c r="AP194" t="s">
        <v>66</v>
      </c>
      <c r="AQ194" t="s">
        <v>66</v>
      </c>
      <c r="AR194" t="s">
        <v>71</v>
      </c>
      <c r="AS194">
        <v>18</v>
      </c>
      <c r="AT194">
        <v>0</v>
      </c>
      <c r="AU194">
        <v>0</v>
      </c>
      <c r="AV194">
        <v>18</v>
      </c>
      <c r="AW194">
        <v>543.50800000000004</v>
      </c>
      <c r="AX194">
        <v>0</v>
      </c>
      <c r="AY194">
        <v>0</v>
      </c>
      <c r="AZ194">
        <v>543.50800000000004</v>
      </c>
      <c r="BA194" s="2"/>
      <c r="BB194">
        <v>1.1000000000000001</v>
      </c>
      <c r="BC194" s="2">
        <v>45944.5</v>
      </c>
      <c r="BD194" s="1">
        <f>MarketPlace_Order_Report__2[[#This Row],[UnitPrice]]*MarketPlace_Order_Report__2[[#This Row],[OrderQty]]</f>
        <v>3563</v>
      </c>
      <c r="BE194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94" s="1">
        <f>MarketPlace_Order_Report__2[[#This Row],[Gross Amount (Before Tax)]]+MarketPlace_Order_Report__2[[#This Row],[Total GST Amount]]</f>
        <v>4106.5079999999998</v>
      </c>
    </row>
    <row r="195" spans="1:58">
      <c r="A195" t="s">
        <v>1229</v>
      </c>
      <c r="B195" t="s">
        <v>1230</v>
      </c>
      <c r="C195" t="s">
        <v>1223</v>
      </c>
      <c r="D195" t="s">
        <v>1224</v>
      </c>
      <c r="E195">
        <v>1</v>
      </c>
      <c r="F195" t="s">
        <v>1806</v>
      </c>
      <c r="G195">
        <v>1</v>
      </c>
      <c r="H195">
        <v>1</v>
      </c>
      <c r="I195">
        <v>3750</v>
      </c>
      <c r="J195">
        <v>3563</v>
      </c>
      <c r="K195">
        <v>0</v>
      </c>
      <c r="L195">
        <v>3588.43</v>
      </c>
      <c r="M195">
        <v>25.43</v>
      </c>
      <c r="N195" t="s">
        <v>63</v>
      </c>
      <c r="O195" s="2">
        <v>45941.690416666665</v>
      </c>
      <c r="P195" s="2">
        <v>45943.761493055557</v>
      </c>
      <c r="Q195" s="2">
        <v>45946.591678240744</v>
      </c>
      <c r="R195" t="s">
        <v>1231</v>
      </c>
      <c r="S195" t="s">
        <v>65</v>
      </c>
      <c r="T195" s="2">
        <v>45941.806631944448</v>
      </c>
      <c r="U195" t="s">
        <v>66</v>
      </c>
      <c r="V195" t="s">
        <v>67</v>
      </c>
      <c r="W195" t="s">
        <v>66</v>
      </c>
      <c r="X195" t="s">
        <v>66</v>
      </c>
      <c r="Y195" t="s">
        <v>66</v>
      </c>
      <c r="Z195" t="s">
        <v>66</v>
      </c>
      <c r="AA195" t="s">
        <v>66</v>
      </c>
      <c r="AB195" t="s">
        <v>66</v>
      </c>
      <c r="AC195" t="s">
        <v>66</v>
      </c>
      <c r="AD195" s="2">
        <v>45946.594606481478</v>
      </c>
      <c r="AE195" t="s">
        <v>71</v>
      </c>
      <c r="AF195" t="s">
        <v>66</v>
      </c>
      <c r="AG195" t="s">
        <v>90</v>
      </c>
      <c r="AH195" t="s">
        <v>91</v>
      </c>
      <c r="AI195">
        <v>560087</v>
      </c>
      <c r="AJ195" t="s">
        <v>74</v>
      </c>
      <c r="AK195" t="s">
        <v>75</v>
      </c>
      <c r="AL195">
        <v>62044220</v>
      </c>
      <c r="AM195" s="2"/>
      <c r="AN195">
        <v>3563</v>
      </c>
      <c r="AO195" t="s">
        <v>1232</v>
      </c>
      <c r="AP195" t="s">
        <v>66</v>
      </c>
      <c r="AQ195" t="s">
        <v>66</v>
      </c>
      <c r="AR195" t="s">
        <v>71</v>
      </c>
      <c r="AS195">
        <v>18</v>
      </c>
      <c r="AT195">
        <v>0</v>
      </c>
      <c r="AU195">
        <v>0</v>
      </c>
      <c r="AV195">
        <v>18</v>
      </c>
      <c r="AW195">
        <v>543.50800000000004</v>
      </c>
      <c r="AX195">
        <v>0</v>
      </c>
      <c r="AY195">
        <v>0</v>
      </c>
      <c r="AZ195">
        <v>543.50800000000004</v>
      </c>
      <c r="BA195" s="2"/>
      <c r="BB195">
        <v>0.85</v>
      </c>
      <c r="BC195" s="2">
        <v>45944.5</v>
      </c>
      <c r="BD195" s="1">
        <f>MarketPlace_Order_Report__2[[#This Row],[UnitPrice]]*MarketPlace_Order_Report__2[[#This Row],[OrderQty]]</f>
        <v>3563</v>
      </c>
      <c r="BE195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95" s="1">
        <f>MarketPlace_Order_Report__2[[#This Row],[Gross Amount (Before Tax)]]+MarketPlace_Order_Report__2[[#This Row],[Total GST Amount]]</f>
        <v>4106.5079999999998</v>
      </c>
    </row>
    <row r="196" spans="1:58">
      <c r="A196" t="s">
        <v>1233</v>
      </c>
      <c r="B196" t="s">
        <v>1234</v>
      </c>
      <c r="C196" t="s">
        <v>1223</v>
      </c>
      <c r="D196" t="s">
        <v>1224</v>
      </c>
      <c r="E196">
        <v>1</v>
      </c>
      <c r="F196" t="s">
        <v>1806</v>
      </c>
      <c r="G196">
        <v>1</v>
      </c>
      <c r="H196">
        <v>1</v>
      </c>
      <c r="I196">
        <v>3750</v>
      </c>
      <c r="J196">
        <v>3563</v>
      </c>
      <c r="K196">
        <v>0</v>
      </c>
      <c r="L196">
        <v>3573.67</v>
      </c>
      <c r="M196">
        <v>10.67</v>
      </c>
      <c r="N196" t="s">
        <v>63</v>
      </c>
      <c r="O196" s="2">
        <v>45936.924502314818</v>
      </c>
      <c r="P196" s="2">
        <v>45938.718634259261</v>
      </c>
      <c r="Q196" s="2">
        <v>45943.448159722226</v>
      </c>
      <c r="R196" t="s">
        <v>1235</v>
      </c>
      <c r="S196" t="s">
        <v>65</v>
      </c>
      <c r="T196" s="2">
        <v>45937.716180555559</v>
      </c>
      <c r="U196" t="s">
        <v>66</v>
      </c>
      <c r="V196" t="s">
        <v>67</v>
      </c>
      <c r="W196" t="s">
        <v>66</v>
      </c>
      <c r="X196" t="s">
        <v>66</v>
      </c>
      <c r="Y196" t="s">
        <v>66</v>
      </c>
      <c r="Z196" t="s">
        <v>66</v>
      </c>
      <c r="AA196" t="s">
        <v>66</v>
      </c>
      <c r="AB196" t="s">
        <v>66</v>
      </c>
      <c r="AC196" t="s">
        <v>66</v>
      </c>
      <c r="AD196" s="2">
        <v>45943.448564814818</v>
      </c>
      <c r="AE196" t="s">
        <v>71</v>
      </c>
      <c r="AF196" t="s">
        <v>66</v>
      </c>
      <c r="AG196" t="s">
        <v>931</v>
      </c>
      <c r="AH196" t="s">
        <v>906</v>
      </c>
      <c r="AI196">
        <v>834008</v>
      </c>
      <c r="AJ196" t="s">
        <v>74</v>
      </c>
      <c r="AK196" t="s">
        <v>75</v>
      </c>
      <c r="AL196">
        <v>62044220</v>
      </c>
      <c r="AM196" s="2"/>
      <c r="AN196">
        <v>3563</v>
      </c>
      <c r="AO196" t="s">
        <v>1236</v>
      </c>
      <c r="AP196" t="s">
        <v>66</v>
      </c>
      <c r="AQ196" t="s">
        <v>66</v>
      </c>
      <c r="AR196" t="s">
        <v>71</v>
      </c>
      <c r="AS196">
        <v>18</v>
      </c>
      <c r="AT196">
        <v>0</v>
      </c>
      <c r="AU196">
        <v>0</v>
      </c>
      <c r="AV196">
        <v>18</v>
      </c>
      <c r="AW196">
        <v>543.50800000000004</v>
      </c>
      <c r="AX196">
        <v>0</v>
      </c>
      <c r="AY196">
        <v>0</v>
      </c>
      <c r="AZ196">
        <v>543.50800000000004</v>
      </c>
      <c r="BA196" s="2"/>
      <c r="BB196">
        <v>0.85</v>
      </c>
      <c r="BC196" s="2">
        <v>45939.5</v>
      </c>
      <c r="BD196" s="1">
        <f>MarketPlace_Order_Report__2[[#This Row],[UnitPrice]]*MarketPlace_Order_Report__2[[#This Row],[OrderQty]]</f>
        <v>3563</v>
      </c>
      <c r="BE196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196" s="1">
        <f>MarketPlace_Order_Report__2[[#This Row],[Gross Amount (Before Tax)]]+MarketPlace_Order_Report__2[[#This Row],[Total GST Amount]]</f>
        <v>4106.5079999999998</v>
      </c>
    </row>
    <row r="197" spans="1:58">
      <c r="A197" t="s">
        <v>1237</v>
      </c>
      <c r="B197" t="s">
        <v>1238</v>
      </c>
      <c r="C197" t="s">
        <v>1239</v>
      </c>
      <c r="D197" t="s">
        <v>1240</v>
      </c>
      <c r="E197">
        <v>6</v>
      </c>
      <c r="F197" t="s">
        <v>1806</v>
      </c>
      <c r="G197">
        <v>1</v>
      </c>
      <c r="H197">
        <v>1</v>
      </c>
      <c r="I197">
        <v>2500</v>
      </c>
      <c r="J197">
        <v>2000</v>
      </c>
      <c r="K197">
        <v>0</v>
      </c>
      <c r="L197">
        <v>2009.729</v>
      </c>
      <c r="M197">
        <v>9.7289999999999992</v>
      </c>
      <c r="N197" t="s">
        <v>99</v>
      </c>
      <c r="O197" s="2">
        <v>45956.966944444444</v>
      </c>
      <c r="P197" s="2">
        <v>45958.713831018518</v>
      </c>
      <c r="Q197" s="2">
        <v>45960.610729166663</v>
      </c>
      <c r="R197" t="s">
        <v>1241</v>
      </c>
      <c r="S197" t="s">
        <v>65</v>
      </c>
      <c r="T197" s="2">
        <v>45957.797627314816</v>
      </c>
      <c r="U197" t="s">
        <v>66</v>
      </c>
      <c r="V197" t="s">
        <v>1242</v>
      </c>
      <c r="W197" t="s">
        <v>66</v>
      </c>
      <c r="X197" t="s">
        <v>66</v>
      </c>
      <c r="Y197" t="s">
        <v>66</v>
      </c>
      <c r="Z197" t="s">
        <v>66</v>
      </c>
      <c r="AA197" t="s">
        <v>66</v>
      </c>
      <c r="AB197" t="s">
        <v>66</v>
      </c>
      <c r="AC197" t="s">
        <v>66</v>
      </c>
      <c r="AD197" s="2">
        <v>45960.611817129633</v>
      </c>
      <c r="AE197" t="s">
        <v>71</v>
      </c>
      <c r="AF197" t="s">
        <v>66</v>
      </c>
      <c r="AG197" t="s">
        <v>359</v>
      </c>
      <c r="AH197" t="s">
        <v>360</v>
      </c>
      <c r="AI197">
        <v>700016</v>
      </c>
      <c r="AJ197" t="s">
        <v>74</v>
      </c>
      <c r="AK197" t="s">
        <v>75</v>
      </c>
      <c r="AL197">
        <v>62042300</v>
      </c>
      <c r="AM197" s="2"/>
      <c r="AN197">
        <v>2000</v>
      </c>
      <c r="AO197" t="s">
        <v>1243</v>
      </c>
      <c r="AP197" t="s">
        <v>66</v>
      </c>
      <c r="AQ197" t="s">
        <v>66</v>
      </c>
      <c r="AR197" t="s">
        <v>71</v>
      </c>
      <c r="AS197">
        <v>5</v>
      </c>
      <c r="AT197">
        <v>0</v>
      </c>
      <c r="AU197">
        <v>0</v>
      </c>
      <c r="AV197">
        <v>5</v>
      </c>
      <c r="AW197">
        <v>95.238</v>
      </c>
      <c r="AX197">
        <v>0</v>
      </c>
      <c r="AY197">
        <v>0</v>
      </c>
      <c r="AZ197">
        <v>95.238</v>
      </c>
      <c r="BA197" s="2"/>
      <c r="BB197">
        <v>1</v>
      </c>
      <c r="BC197" s="2">
        <v>45959.5</v>
      </c>
      <c r="BD197" s="1">
        <f>MarketPlace_Order_Report__2[[#This Row],[UnitPrice]]*MarketPlace_Order_Report__2[[#This Row],[OrderQty]]</f>
        <v>2000</v>
      </c>
      <c r="BE197" s="1">
        <f>IFERROR(MarketPlace_Order_Report__2[[#This Row],[CGSTAmount]]+MarketPlace_Order_Report__2[[#This Row],[SGSTAmount]]+MarketPlace_Order_Report__2[[#This Row],[IGSTAmount]],MarketPlace_Order_Report__2[[#This Row],[TaxAmount]])</f>
        <v>95.238</v>
      </c>
      <c r="BF197" s="1">
        <f>MarketPlace_Order_Report__2[[#This Row],[Gross Amount (Before Tax)]]+MarketPlace_Order_Report__2[[#This Row],[Total GST Amount]]</f>
        <v>2095.2379999999998</v>
      </c>
    </row>
    <row r="198" spans="1:58">
      <c r="A198" t="s">
        <v>1244</v>
      </c>
      <c r="B198" t="s">
        <v>1245</v>
      </c>
      <c r="C198" t="s">
        <v>1246</v>
      </c>
      <c r="D198" t="s">
        <v>1247</v>
      </c>
      <c r="E198">
        <v>1</v>
      </c>
      <c r="F198" t="s">
        <v>1806</v>
      </c>
      <c r="G198">
        <v>1</v>
      </c>
      <c r="H198">
        <v>1</v>
      </c>
      <c r="I198">
        <v>2500</v>
      </c>
      <c r="J198">
        <v>2000</v>
      </c>
      <c r="K198">
        <v>0</v>
      </c>
      <c r="L198">
        <v>2049</v>
      </c>
      <c r="M198">
        <v>49</v>
      </c>
      <c r="N198" t="s">
        <v>99</v>
      </c>
      <c r="O198" s="2">
        <v>45937.72078703704</v>
      </c>
      <c r="P198" s="2">
        <v>45939.734861111108</v>
      </c>
      <c r="Q198" s="2">
        <v>45942.792314814818</v>
      </c>
      <c r="R198" t="s">
        <v>1248</v>
      </c>
      <c r="S198" t="s">
        <v>65</v>
      </c>
      <c r="T198" s="2">
        <v>45938.725810185184</v>
      </c>
      <c r="U198" t="s">
        <v>66</v>
      </c>
      <c r="V198" t="s">
        <v>1242</v>
      </c>
      <c r="W198" t="s">
        <v>66</v>
      </c>
      <c r="X198" t="s">
        <v>66</v>
      </c>
      <c r="Y198" t="s">
        <v>66</v>
      </c>
      <c r="Z198" t="s">
        <v>66</v>
      </c>
      <c r="AA198" t="s">
        <v>66</v>
      </c>
      <c r="AB198" t="s">
        <v>66</v>
      </c>
      <c r="AC198" t="s">
        <v>66</v>
      </c>
      <c r="AD198" s="2">
        <v>45942.795995370368</v>
      </c>
      <c r="AE198" t="s">
        <v>71</v>
      </c>
      <c r="AF198" t="s">
        <v>66</v>
      </c>
      <c r="AG198" t="s">
        <v>185</v>
      </c>
      <c r="AH198" t="s">
        <v>139</v>
      </c>
      <c r="AI198">
        <v>201306</v>
      </c>
      <c r="AJ198" t="s">
        <v>74</v>
      </c>
      <c r="AK198" t="s">
        <v>75</v>
      </c>
      <c r="AL198">
        <v>62042300</v>
      </c>
      <c r="AM198" s="2"/>
      <c r="AN198">
        <v>2000</v>
      </c>
      <c r="AO198" t="s">
        <v>1249</v>
      </c>
      <c r="AP198" t="s">
        <v>66</v>
      </c>
      <c r="AQ198" t="s">
        <v>66</v>
      </c>
      <c r="AR198" t="s">
        <v>71</v>
      </c>
      <c r="AS198">
        <v>5</v>
      </c>
      <c r="AT198">
        <v>0</v>
      </c>
      <c r="AU198">
        <v>0</v>
      </c>
      <c r="AV198">
        <v>5</v>
      </c>
      <c r="AW198">
        <v>95.238</v>
      </c>
      <c r="AX198">
        <v>0</v>
      </c>
      <c r="AY198">
        <v>0</v>
      </c>
      <c r="AZ198">
        <v>95.238</v>
      </c>
      <c r="BA198" s="2"/>
      <c r="BB198">
        <v>0.75</v>
      </c>
      <c r="BC198" s="2">
        <v>45940.5</v>
      </c>
      <c r="BD198" s="1">
        <f>MarketPlace_Order_Report__2[[#This Row],[UnitPrice]]*MarketPlace_Order_Report__2[[#This Row],[OrderQty]]</f>
        <v>2000</v>
      </c>
      <c r="BE198" s="1">
        <f>IFERROR(MarketPlace_Order_Report__2[[#This Row],[CGSTAmount]]+MarketPlace_Order_Report__2[[#This Row],[SGSTAmount]]+MarketPlace_Order_Report__2[[#This Row],[IGSTAmount]],MarketPlace_Order_Report__2[[#This Row],[TaxAmount]])</f>
        <v>95.238</v>
      </c>
      <c r="BF198" s="1">
        <f>MarketPlace_Order_Report__2[[#This Row],[Gross Amount (Before Tax)]]+MarketPlace_Order_Report__2[[#This Row],[Total GST Amount]]</f>
        <v>2095.2379999999998</v>
      </c>
    </row>
    <row r="199" spans="1:58">
      <c r="A199" t="s">
        <v>1250</v>
      </c>
      <c r="B199" t="s">
        <v>1251</v>
      </c>
      <c r="C199" t="s">
        <v>1252</v>
      </c>
      <c r="D199" t="s">
        <v>1253</v>
      </c>
      <c r="E199">
        <v>1</v>
      </c>
      <c r="F199" t="s">
        <v>62</v>
      </c>
      <c r="G199">
        <v>1</v>
      </c>
      <c r="H199">
        <v>1</v>
      </c>
      <c r="I199">
        <v>2500</v>
      </c>
      <c r="J199">
        <v>2000</v>
      </c>
      <c r="K199">
        <v>0</v>
      </c>
      <c r="L199">
        <v>2014.88</v>
      </c>
      <c r="M199">
        <v>14.88</v>
      </c>
      <c r="N199" t="s">
        <v>63</v>
      </c>
      <c r="O199" s="2">
        <v>45940.633252314816</v>
      </c>
      <c r="P199" s="2">
        <v>45941.747187499997</v>
      </c>
      <c r="Q199" s="2">
        <v>45945.525648148148</v>
      </c>
      <c r="R199" t="s">
        <v>1254</v>
      </c>
      <c r="S199" t="s">
        <v>65</v>
      </c>
      <c r="T199" s="2">
        <v>45940.816203703704</v>
      </c>
      <c r="U199" t="s">
        <v>66</v>
      </c>
      <c r="V199" t="s">
        <v>1242</v>
      </c>
      <c r="W199" t="s">
        <v>66</v>
      </c>
      <c r="X199" t="s">
        <v>66</v>
      </c>
      <c r="Y199" t="s">
        <v>1255</v>
      </c>
      <c r="Z199" t="s">
        <v>69</v>
      </c>
      <c r="AA199" t="s">
        <v>175</v>
      </c>
      <c r="AB199" t="s">
        <v>66</v>
      </c>
      <c r="AC199" t="s">
        <v>66</v>
      </c>
      <c r="AD199" s="2">
        <v>45957.622395833336</v>
      </c>
      <c r="AE199" t="s">
        <v>71</v>
      </c>
      <c r="AF199" t="s">
        <v>66</v>
      </c>
      <c r="AG199" t="s">
        <v>1256</v>
      </c>
      <c r="AH199" t="s">
        <v>360</v>
      </c>
      <c r="AI199">
        <v>721212</v>
      </c>
      <c r="AJ199" t="s">
        <v>74</v>
      </c>
      <c r="AK199" t="s">
        <v>75</v>
      </c>
      <c r="AL199">
        <v>62042300</v>
      </c>
      <c r="AM199" s="2"/>
      <c r="AN199">
        <v>2000</v>
      </c>
      <c r="AO199" t="s">
        <v>1257</v>
      </c>
      <c r="AP199" t="s">
        <v>93</v>
      </c>
      <c r="AQ199" t="s">
        <v>66</v>
      </c>
      <c r="AR199" t="s">
        <v>71</v>
      </c>
      <c r="AS199">
        <v>5</v>
      </c>
      <c r="AT199">
        <v>0</v>
      </c>
      <c r="AU199">
        <v>0</v>
      </c>
      <c r="AV199">
        <v>5</v>
      </c>
      <c r="AW199">
        <v>95.238</v>
      </c>
      <c r="AX199">
        <v>0</v>
      </c>
      <c r="AY199">
        <v>0</v>
      </c>
      <c r="AZ199">
        <v>95.238</v>
      </c>
      <c r="BA199" s="2"/>
      <c r="BB199">
        <v>0.75</v>
      </c>
      <c r="BC199" s="2">
        <v>45943.5</v>
      </c>
      <c r="BD199" s="1">
        <f>MarketPlace_Order_Report__2[[#This Row],[UnitPrice]]*MarketPlace_Order_Report__2[[#This Row],[OrderQty]]</f>
        <v>2000</v>
      </c>
      <c r="BE199" s="1">
        <f>IFERROR(MarketPlace_Order_Report__2[[#This Row],[CGSTAmount]]+MarketPlace_Order_Report__2[[#This Row],[SGSTAmount]]+MarketPlace_Order_Report__2[[#This Row],[IGSTAmount]],MarketPlace_Order_Report__2[[#This Row],[TaxAmount]])</f>
        <v>95.238</v>
      </c>
      <c r="BF199" s="1">
        <f>MarketPlace_Order_Report__2[[#This Row],[Gross Amount (Before Tax)]]+MarketPlace_Order_Report__2[[#This Row],[Total GST Amount]]</f>
        <v>2095.2379999999998</v>
      </c>
    </row>
    <row r="200" spans="1:58">
      <c r="A200" t="s">
        <v>1258</v>
      </c>
      <c r="B200" t="s">
        <v>1259</v>
      </c>
      <c r="C200" t="s">
        <v>1260</v>
      </c>
      <c r="D200" t="s">
        <v>1261</v>
      </c>
      <c r="E200">
        <v>4</v>
      </c>
      <c r="F200" t="s">
        <v>1806</v>
      </c>
      <c r="G200">
        <v>1</v>
      </c>
      <c r="H200">
        <v>1</v>
      </c>
      <c r="I200">
        <v>2500</v>
      </c>
      <c r="J200">
        <v>2000</v>
      </c>
      <c r="K200">
        <v>0</v>
      </c>
      <c r="L200">
        <v>2010.38</v>
      </c>
      <c r="M200">
        <v>10.38</v>
      </c>
      <c r="N200" t="s">
        <v>63</v>
      </c>
      <c r="O200" s="2">
        <v>45956.781458333331</v>
      </c>
      <c r="P200" s="2">
        <v>45958.715277777781</v>
      </c>
      <c r="Q200" s="2">
        <v>45960.408182870371</v>
      </c>
      <c r="R200" t="s">
        <v>1262</v>
      </c>
      <c r="S200" t="s">
        <v>65</v>
      </c>
      <c r="T200" s="2">
        <v>45957.797627314816</v>
      </c>
      <c r="U200" t="s">
        <v>66</v>
      </c>
      <c r="V200" t="s">
        <v>1242</v>
      </c>
      <c r="W200" t="s">
        <v>66</v>
      </c>
      <c r="X200" t="s">
        <v>66</v>
      </c>
      <c r="Y200" t="s">
        <v>66</v>
      </c>
      <c r="Z200" t="s">
        <v>66</v>
      </c>
      <c r="AA200" t="s">
        <v>66</v>
      </c>
      <c r="AB200" t="s">
        <v>66</v>
      </c>
      <c r="AC200" t="s">
        <v>66</v>
      </c>
      <c r="AD200" s="2">
        <v>45960.410578703704</v>
      </c>
      <c r="AE200" t="s">
        <v>71</v>
      </c>
      <c r="AF200" t="s">
        <v>66</v>
      </c>
      <c r="AG200" t="s">
        <v>185</v>
      </c>
      <c r="AH200" t="s">
        <v>139</v>
      </c>
      <c r="AI200">
        <v>201304</v>
      </c>
      <c r="AJ200" t="s">
        <v>74</v>
      </c>
      <c r="AK200" t="s">
        <v>75</v>
      </c>
      <c r="AL200">
        <v>62042300</v>
      </c>
      <c r="AM200" s="2"/>
      <c r="AN200">
        <v>2000</v>
      </c>
      <c r="AO200" t="s">
        <v>1263</v>
      </c>
      <c r="AP200" t="s">
        <v>1264</v>
      </c>
      <c r="AQ200" t="s">
        <v>66</v>
      </c>
      <c r="AR200" t="s">
        <v>71</v>
      </c>
      <c r="AS200">
        <v>5</v>
      </c>
      <c r="AT200">
        <v>0</v>
      </c>
      <c r="AU200">
        <v>0</v>
      </c>
      <c r="AV200">
        <v>5</v>
      </c>
      <c r="AW200">
        <v>95.238</v>
      </c>
      <c r="AX200">
        <v>0</v>
      </c>
      <c r="AY200">
        <v>0</v>
      </c>
      <c r="AZ200">
        <v>95.238</v>
      </c>
      <c r="BA200" s="2"/>
      <c r="BB200">
        <v>0.75</v>
      </c>
      <c r="BC200" s="2">
        <v>45959.5</v>
      </c>
      <c r="BD200" s="1">
        <f>MarketPlace_Order_Report__2[[#This Row],[UnitPrice]]*MarketPlace_Order_Report__2[[#This Row],[OrderQty]]</f>
        <v>2000</v>
      </c>
      <c r="BE200" s="1">
        <f>IFERROR(MarketPlace_Order_Report__2[[#This Row],[CGSTAmount]]+MarketPlace_Order_Report__2[[#This Row],[SGSTAmount]]+MarketPlace_Order_Report__2[[#This Row],[IGSTAmount]],MarketPlace_Order_Report__2[[#This Row],[TaxAmount]])</f>
        <v>95.238</v>
      </c>
      <c r="BF200" s="1">
        <f>MarketPlace_Order_Report__2[[#This Row],[Gross Amount (Before Tax)]]+MarketPlace_Order_Report__2[[#This Row],[Total GST Amount]]</f>
        <v>2095.2379999999998</v>
      </c>
    </row>
    <row r="201" spans="1:58">
      <c r="A201" t="s">
        <v>1265</v>
      </c>
      <c r="B201" t="s">
        <v>1266</v>
      </c>
      <c r="C201" t="s">
        <v>1267</v>
      </c>
      <c r="D201" t="s">
        <v>1268</v>
      </c>
      <c r="E201">
        <v>1</v>
      </c>
      <c r="F201" t="s">
        <v>1806</v>
      </c>
      <c r="G201">
        <v>1</v>
      </c>
      <c r="H201">
        <v>1</v>
      </c>
      <c r="I201">
        <v>2750</v>
      </c>
      <c r="J201">
        <v>2200</v>
      </c>
      <c r="K201">
        <v>0</v>
      </c>
      <c r="L201">
        <v>2207.123</v>
      </c>
      <c r="M201">
        <v>7.1230000000000002</v>
      </c>
      <c r="N201" t="s">
        <v>63</v>
      </c>
      <c r="O201" s="2">
        <v>45944.980706018519</v>
      </c>
      <c r="P201" s="2">
        <v>45946.732488425929</v>
      </c>
      <c r="Q201" s="2">
        <v>45950.417916666665</v>
      </c>
      <c r="R201" t="s">
        <v>1269</v>
      </c>
      <c r="S201" t="s">
        <v>65</v>
      </c>
      <c r="T201" s="2">
        <v>45945.799224537041</v>
      </c>
      <c r="U201" t="s">
        <v>66</v>
      </c>
      <c r="V201" t="s">
        <v>1242</v>
      </c>
      <c r="W201" t="s">
        <v>66</v>
      </c>
      <c r="X201" t="s">
        <v>66</v>
      </c>
      <c r="Y201" t="s">
        <v>66</v>
      </c>
      <c r="Z201" t="s">
        <v>66</v>
      </c>
      <c r="AA201" t="s">
        <v>66</v>
      </c>
      <c r="AB201" t="s">
        <v>66</v>
      </c>
      <c r="AC201" t="s">
        <v>66</v>
      </c>
      <c r="AD201" s="2">
        <v>45950.421030092592</v>
      </c>
      <c r="AE201" t="s">
        <v>71</v>
      </c>
      <c r="AF201" t="s">
        <v>66</v>
      </c>
      <c r="AG201" t="s">
        <v>138</v>
      </c>
      <c r="AH201" t="s">
        <v>139</v>
      </c>
      <c r="AI201">
        <v>211013</v>
      </c>
      <c r="AJ201" t="s">
        <v>74</v>
      </c>
      <c r="AK201" t="s">
        <v>75</v>
      </c>
      <c r="AL201">
        <v>62042300</v>
      </c>
      <c r="AM201" s="2"/>
      <c r="AN201">
        <v>2200</v>
      </c>
      <c r="AO201" t="s">
        <v>1270</v>
      </c>
      <c r="AP201" t="s">
        <v>353</v>
      </c>
      <c r="AQ201" t="s">
        <v>66</v>
      </c>
      <c r="AR201" t="s">
        <v>71</v>
      </c>
      <c r="AS201">
        <v>5</v>
      </c>
      <c r="AT201">
        <v>0</v>
      </c>
      <c r="AU201">
        <v>0</v>
      </c>
      <c r="AV201">
        <v>5</v>
      </c>
      <c r="AW201">
        <v>104.762</v>
      </c>
      <c r="AX201">
        <v>0</v>
      </c>
      <c r="AY201">
        <v>0</v>
      </c>
      <c r="AZ201">
        <v>104.762</v>
      </c>
      <c r="BA201" s="2"/>
      <c r="BB201">
        <v>1.35</v>
      </c>
      <c r="BC201" s="2">
        <v>45947.5</v>
      </c>
      <c r="BD201" s="1">
        <f>MarketPlace_Order_Report__2[[#This Row],[UnitPrice]]*MarketPlace_Order_Report__2[[#This Row],[OrderQty]]</f>
        <v>2200</v>
      </c>
      <c r="BE201" s="1">
        <f>IFERROR(MarketPlace_Order_Report__2[[#This Row],[CGSTAmount]]+MarketPlace_Order_Report__2[[#This Row],[SGSTAmount]]+MarketPlace_Order_Report__2[[#This Row],[IGSTAmount]],MarketPlace_Order_Report__2[[#This Row],[TaxAmount]])</f>
        <v>104.762</v>
      </c>
      <c r="BF201" s="1">
        <f>MarketPlace_Order_Report__2[[#This Row],[Gross Amount (Before Tax)]]+MarketPlace_Order_Report__2[[#This Row],[Total GST Amount]]</f>
        <v>2304.7620000000002</v>
      </c>
    </row>
    <row r="202" spans="1:58">
      <c r="A202" t="s">
        <v>1271</v>
      </c>
      <c r="B202" t="s">
        <v>1272</v>
      </c>
      <c r="C202" t="s">
        <v>1273</v>
      </c>
      <c r="D202" t="s">
        <v>1274</v>
      </c>
      <c r="E202">
        <v>1</v>
      </c>
      <c r="F202" t="s">
        <v>62</v>
      </c>
      <c r="G202">
        <v>1</v>
      </c>
      <c r="H202">
        <v>1</v>
      </c>
      <c r="I202">
        <v>3250</v>
      </c>
      <c r="J202">
        <v>2275</v>
      </c>
      <c r="K202">
        <v>0</v>
      </c>
      <c r="L202">
        <v>2304</v>
      </c>
      <c r="M202">
        <v>29</v>
      </c>
      <c r="N202" t="s">
        <v>63</v>
      </c>
      <c r="O202" s="2">
        <v>45934.392164351855</v>
      </c>
      <c r="P202" s="2">
        <v>45936.714375000003</v>
      </c>
      <c r="Q202" s="2">
        <v>45939.804212962961</v>
      </c>
      <c r="R202" t="s">
        <v>1275</v>
      </c>
      <c r="S202" t="s">
        <v>65</v>
      </c>
      <c r="T202" s="2">
        <v>45934.839085648149</v>
      </c>
      <c r="U202" t="s">
        <v>66</v>
      </c>
      <c r="V202" t="s">
        <v>1242</v>
      </c>
      <c r="W202" t="s">
        <v>66</v>
      </c>
      <c r="X202" t="s">
        <v>66</v>
      </c>
      <c r="Y202" t="s">
        <v>1276</v>
      </c>
      <c r="Z202" t="s">
        <v>69</v>
      </c>
      <c r="AA202" t="s">
        <v>175</v>
      </c>
      <c r="AB202" t="s">
        <v>66</v>
      </c>
      <c r="AC202" t="s">
        <v>66</v>
      </c>
      <c r="AD202" s="2">
        <v>45954.629421296297</v>
      </c>
      <c r="AE202" t="s">
        <v>71</v>
      </c>
      <c r="AF202" t="s">
        <v>66</v>
      </c>
      <c r="AG202" t="s">
        <v>588</v>
      </c>
      <c r="AH202" t="s">
        <v>440</v>
      </c>
      <c r="AI202">
        <v>122001</v>
      </c>
      <c r="AJ202" t="s">
        <v>74</v>
      </c>
      <c r="AK202" t="s">
        <v>75</v>
      </c>
      <c r="AL202">
        <v>62042300</v>
      </c>
      <c r="AM202" s="2"/>
      <c r="AN202">
        <v>2275</v>
      </c>
      <c r="AO202" t="s">
        <v>1277</v>
      </c>
      <c r="AP202" t="s">
        <v>915</v>
      </c>
      <c r="AQ202" t="s">
        <v>66</v>
      </c>
      <c r="AR202" t="s">
        <v>71</v>
      </c>
      <c r="AS202">
        <v>5</v>
      </c>
      <c r="AT202">
        <v>0</v>
      </c>
      <c r="AU202">
        <v>0</v>
      </c>
      <c r="AV202">
        <v>5</v>
      </c>
      <c r="AW202">
        <v>108.333</v>
      </c>
      <c r="AX202">
        <v>0</v>
      </c>
      <c r="AY202">
        <v>0</v>
      </c>
      <c r="AZ202">
        <v>108.333</v>
      </c>
      <c r="BA202" s="2"/>
      <c r="BB202">
        <v>0.75</v>
      </c>
      <c r="BC202" s="2">
        <v>45936.5</v>
      </c>
      <c r="BD202" s="1">
        <f>MarketPlace_Order_Report__2[[#This Row],[UnitPrice]]*MarketPlace_Order_Report__2[[#This Row],[OrderQty]]</f>
        <v>2275</v>
      </c>
      <c r="BE202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02" s="1">
        <f>MarketPlace_Order_Report__2[[#This Row],[Gross Amount (Before Tax)]]+MarketPlace_Order_Report__2[[#This Row],[Total GST Amount]]</f>
        <v>2383.3330000000001</v>
      </c>
    </row>
    <row r="203" spans="1:58">
      <c r="A203" t="s">
        <v>1278</v>
      </c>
      <c r="B203" t="s">
        <v>1279</v>
      </c>
      <c r="C203" t="s">
        <v>1280</v>
      </c>
      <c r="D203" t="s">
        <v>1281</v>
      </c>
      <c r="E203">
        <v>1</v>
      </c>
      <c r="F203" t="s">
        <v>145</v>
      </c>
      <c r="G203">
        <v>1</v>
      </c>
      <c r="H203">
        <v>0</v>
      </c>
      <c r="I203">
        <v>3250</v>
      </c>
      <c r="J203">
        <v>2275</v>
      </c>
      <c r="K203">
        <v>0</v>
      </c>
      <c r="L203">
        <v>2324</v>
      </c>
      <c r="M203">
        <v>49</v>
      </c>
      <c r="N203" t="s">
        <v>99</v>
      </c>
      <c r="O203" s="2">
        <v>45955.979016203702</v>
      </c>
      <c r="P203" s="2"/>
      <c r="Q203" s="2"/>
      <c r="R203" t="s">
        <v>66</v>
      </c>
      <c r="S203" t="s">
        <v>65</v>
      </c>
      <c r="T203" s="2"/>
      <c r="U203" t="s">
        <v>345</v>
      </c>
      <c r="V203" t="s">
        <v>1242</v>
      </c>
      <c r="W203" t="s">
        <v>66</v>
      </c>
      <c r="X203" t="s">
        <v>66</v>
      </c>
      <c r="Y203" t="s">
        <v>66</v>
      </c>
      <c r="Z203" t="s">
        <v>66</v>
      </c>
      <c r="AA203" t="s">
        <v>66</v>
      </c>
      <c r="AB203" t="s">
        <v>66</v>
      </c>
      <c r="AC203" t="s">
        <v>66</v>
      </c>
      <c r="AD203" s="2">
        <v>45955.981921296298</v>
      </c>
      <c r="AE203" t="s">
        <v>71</v>
      </c>
      <c r="AF203" t="s">
        <v>66</v>
      </c>
      <c r="AG203" t="s">
        <v>114</v>
      </c>
      <c r="AH203" t="s">
        <v>115</v>
      </c>
      <c r="AI203">
        <v>110085</v>
      </c>
      <c r="AJ203" t="s">
        <v>74</v>
      </c>
      <c r="AK203" t="s">
        <v>75</v>
      </c>
      <c r="AL203">
        <v>62042300</v>
      </c>
      <c r="AM203" s="2">
        <v>45955.981921296298</v>
      </c>
      <c r="AN203">
        <v>2275</v>
      </c>
      <c r="AO203" t="s">
        <v>66</v>
      </c>
      <c r="AP203" t="s">
        <v>1282</v>
      </c>
      <c r="AQ203" t="s">
        <v>66</v>
      </c>
      <c r="AR203" t="s">
        <v>71</v>
      </c>
      <c r="AS203">
        <v>5</v>
      </c>
      <c r="AT203">
        <v>0</v>
      </c>
      <c r="AU203">
        <v>0</v>
      </c>
      <c r="AV203">
        <v>5</v>
      </c>
      <c r="AW203">
        <v>108.333</v>
      </c>
      <c r="AX203">
        <v>0</v>
      </c>
      <c r="AY203">
        <v>0</v>
      </c>
      <c r="AZ203">
        <v>108.333</v>
      </c>
      <c r="BA203" s="2"/>
      <c r="BC203" s="2">
        <v>45958.5</v>
      </c>
      <c r="BD203" s="1">
        <f>MarketPlace_Order_Report__2[[#This Row],[UnitPrice]]*MarketPlace_Order_Report__2[[#This Row],[OrderQty]]</f>
        <v>2275</v>
      </c>
      <c r="BE203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03" s="1">
        <f>MarketPlace_Order_Report__2[[#This Row],[Gross Amount (Before Tax)]]+MarketPlace_Order_Report__2[[#This Row],[Total GST Amount]]</f>
        <v>2383.3330000000001</v>
      </c>
    </row>
    <row r="204" spans="1:58">
      <c r="A204" t="s">
        <v>1283</v>
      </c>
      <c r="B204" t="s">
        <v>1284</v>
      </c>
      <c r="C204" t="s">
        <v>1285</v>
      </c>
      <c r="D204" t="s">
        <v>1286</v>
      </c>
      <c r="E204">
        <v>1</v>
      </c>
      <c r="F204" t="s">
        <v>1806</v>
      </c>
      <c r="G204">
        <v>1</v>
      </c>
      <c r="H204">
        <v>1</v>
      </c>
      <c r="I204">
        <v>3250</v>
      </c>
      <c r="J204">
        <v>2275</v>
      </c>
      <c r="K204">
        <v>0</v>
      </c>
      <c r="L204">
        <v>2324</v>
      </c>
      <c r="M204">
        <v>49</v>
      </c>
      <c r="N204" t="s">
        <v>99</v>
      </c>
      <c r="O204" s="2">
        <v>45945.935381944444</v>
      </c>
      <c r="P204" s="2">
        <v>45948.728159722225</v>
      </c>
      <c r="Q204" s="2">
        <v>45954.66202546296</v>
      </c>
      <c r="R204" t="s">
        <v>1287</v>
      </c>
      <c r="S204" t="s">
        <v>65</v>
      </c>
      <c r="T204" s="2">
        <v>45947.713750000003</v>
      </c>
      <c r="U204" t="s">
        <v>66</v>
      </c>
      <c r="V204" t="s">
        <v>1242</v>
      </c>
      <c r="W204" t="s">
        <v>66</v>
      </c>
      <c r="X204" t="s">
        <v>66</v>
      </c>
      <c r="Y204" t="s">
        <v>66</v>
      </c>
      <c r="Z204" t="s">
        <v>66</v>
      </c>
      <c r="AA204" t="s">
        <v>66</v>
      </c>
      <c r="AB204" t="s">
        <v>66</v>
      </c>
      <c r="AC204" t="s">
        <v>66</v>
      </c>
      <c r="AD204" s="2">
        <v>45954.663958333331</v>
      </c>
      <c r="AE204" t="s">
        <v>71</v>
      </c>
      <c r="AF204" t="s">
        <v>66</v>
      </c>
      <c r="AG204" t="s">
        <v>1288</v>
      </c>
      <c r="AH204" t="s">
        <v>139</v>
      </c>
      <c r="AI204">
        <v>277124</v>
      </c>
      <c r="AJ204" t="s">
        <v>74</v>
      </c>
      <c r="AK204" t="s">
        <v>75</v>
      </c>
      <c r="AL204">
        <v>62042300</v>
      </c>
      <c r="AM204" s="2"/>
      <c r="AN204">
        <v>2275</v>
      </c>
      <c r="AO204" t="s">
        <v>1289</v>
      </c>
      <c r="AP204" t="s">
        <v>1104</v>
      </c>
      <c r="AQ204" t="s">
        <v>66</v>
      </c>
      <c r="AR204" t="s">
        <v>71</v>
      </c>
      <c r="AS204">
        <v>5</v>
      </c>
      <c r="AT204">
        <v>0</v>
      </c>
      <c r="AU204">
        <v>0</v>
      </c>
      <c r="AV204">
        <v>5</v>
      </c>
      <c r="AW204">
        <v>108.333</v>
      </c>
      <c r="AX204">
        <v>0</v>
      </c>
      <c r="AY204">
        <v>0</v>
      </c>
      <c r="AZ204">
        <v>108.333</v>
      </c>
      <c r="BA204" s="2"/>
      <c r="BB204">
        <v>0.75</v>
      </c>
      <c r="BC204" s="2">
        <v>45948.5</v>
      </c>
      <c r="BD204" s="1">
        <f>MarketPlace_Order_Report__2[[#This Row],[UnitPrice]]*MarketPlace_Order_Report__2[[#This Row],[OrderQty]]</f>
        <v>2275</v>
      </c>
      <c r="BE204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04" s="1">
        <f>MarketPlace_Order_Report__2[[#This Row],[Gross Amount (Before Tax)]]+MarketPlace_Order_Report__2[[#This Row],[Total GST Amount]]</f>
        <v>2383.3330000000001</v>
      </c>
    </row>
    <row r="205" spans="1:58">
      <c r="A205" t="s">
        <v>1290</v>
      </c>
      <c r="B205" t="s">
        <v>1291</v>
      </c>
      <c r="C205" t="s">
        <v>1292</v>
      </c>
      <c r="D205" t="s">
        <v>1293</v>
      </c>
      <c r="E205">
        <v>1</v>
      </c>
      <c r="F205" t="s">
        <v>1806</v>
      </c>
      <c r="G205">
        <v>1</v>
      </c>
      <c r="H205">
        <v>1</v>
      </c>
      <c r="I205">
        <v>2500</v>
      </c>
      <c r="J205">
        <v>2000</v>
      </c>
      <c r="K205">
        <v>0</v>
      </c>
      <c r="L205">
        <v>2029</v>
      </c>
      <c r="M205">
        <v>29</v>
      </c>
      <c r="N205" t="s">
        <v>63</v>
      </c>
      <c r="O205" s="2">
        <v>45955.326643518521</v>
      </c>
      <c r="P205" s="2">
        <v>45957.661805555559</v>
      </c>
      <c r="Q205" s="2">
        <v>45959.833333333336</v>
      </c>
      <c r="R205" t="s">
        <v>1294</v>
      </c>
      <c r="S205" t="s">
        <v>146</v>
      </c>
      <c r="T205" s="2">
        <v>45955.747372685182</v>
      </c>
      <c r="U205" t="s">
        <v>66</v>
      </c>
      <c r="V205" t="s">
        <v>1242</v>
      </c>
      <c r="W205" t="s">
        <v>66</v>
      </c>
      <c r="X205" t="s">
        <v>66</v>
      </c>
      <c r="Y205" t="s">
        <v>66</v>
      </c>
      <c r="Z205" t="s">
        <v>66</v>
      </c>
      <c r="AA205" t="s">
        <v>66</v>
      </c>
      <c r="AB205" t="s">
        <v>66</v>
      </c>
      <c r="AC205" t="s">
        <v>66</v>
      </c>
      <c r="AD205" s="2">
        <v>45959.837500000001</v>
      </c>
      <c r="AE205" t="s">
        <v>71</v>
      </c>
      <c r="AF205" t="s">
        <v>66</v>
      </c>
      <c r="AG205" t="s">
        <v>148</v>
      </c>
      <c r="AH205" t="s">
        <v>149</v>
      </c>
      <c r="AI205">
        <v>500032</v>
      </c>
      <c r="AJ205" t="s">
        <v>74</v>
      </c>
      <c r="AK205" t="s">
        <v>75</v>
      </c>
      <c r="AL205">
        <v>62042300</v>
      </c>
      <c r="AM205" s="2"/>
      <c r="AN205">
        <v>2000</v>
      </c>
      <c r="AO205" t="s">
        <v>1295</v>
      </c>
      <c r="AP205" t="s">
        <v>1296</v>
      </c>
      <c r="AQ205" t="s">
        <v>66</v>
      </c>
      <c r="AR205" t="s">
        <v>71</v>
      </c>
      <c r="AS205">
        <v>5</v>
      </c>
      <c r="AT205">
        <v>0</v>
      </c>
      <c r="AU205">
        <v>0</v>
      </c>
      <c r="AV205">
        <v>5</v>
      </c>
      <c r="AW205">
        <v>95.238</v>
      </c>
      <c r="AX205">
        <v>0</v>
      </c>
      <c r="AY205">
        <v>0</v>
      </c>
      <c r="AZ205">
        <v>95.238</v>
      </c>
      <c r="BA205" s="2"/>
      <c r="BB205">
        <v>0.75</v>
      </c>
      <c r="BC205" s="2">
        <v>45957.5</v>
      </c>
      <c r="BD205" s="1">
        <f>MarketPlace_Order_Report__2[[#This Row],[UnitPrice]]*MarketPlace_Order_Report__2[[#This Row],[OrderQty]]</f>
        <v>2000</v>
      </c>
      <c r="BE205" s="1">
        <f>IFERROR(MarketPlace_Order_Report__2[[#This Row],[CGSTAmount]]+MarketPlace_Order_Report__2[[#This Row],[SGSTAmount]]+MarketPlace_Order_Report__2[[#This Row],[IGSTAmount]],MarketPlace_Order_Report__2[[#This Row],[TaxAmount]])</f>
        <v>95.238</v>
      </c>
      <c r="BF205" s="1">
        <f>MarketPlace_Order_Report__2[[#This Row],[Gross Amount (Before Tax)]]+MarketPlace_Order_Report__2[[#This Row],[Total GST Amount]]</f>
        <v>2095.2379999999998</v>
      </c>
    </row>
    <row r="206" spans="1:58">
      <c r="A206" t="s">
        <v>1237</v>
      </c>
      <c r="B206" t="s">
        <v>1238</v>
      </c>
      <c r="C206" t="s">
        <v>1297</v>
      </c>
      <c r="D206" t="s">
        <v>1298</v>
      </c>
      <c r="E206">
        <v>5</v>
      </c>
      <c r="F206" t="s">
        <v>1806</v>
      </c>
      <c r="G206">
        <v>1</v>
      </c>
      <c r="H206">
        <v>1</v>
      </c>
      <c r="I206">
        <v>2750</v>
      </c>
      <c r="J206">
        <v>2200</v>
      </c>
      <c r="K206">
        <v>0</v>
      </c>
      <c r="L206">
        <v>2210.701</v>
      </c>
      <c r="M206">
        <v>10.701000000000001</v>
      </c>
      <c r="N206" t="s">
        <v>99</v>
      </c>
      <c r="O206" s="2">
        <v>45956.966944444444</v>
      </c>
      <c r="P206" s="2">
        <v>45958.713831018518</v>
      </c>
      <c r="Q206" s="2">
        <v>45960.610729166663</v>
      </c>
      <c r="R206" t="s">
        <v>1241</v>
      </c>
      <c r="S206" t="s">
        <v>65</v>
      </c>
      <c r="T206" s="2">
        <v>45957.797627314816</v>
      </c>
      <c r="U206" t="s">
        <v>66</v>
      </c>
      <c r="V206" t="s">
        <v>1242</v>
      </c>
      <c r="W206" t="s">
        <v>66</v>
      </c>
      <c r="X206" t="s">
        <v>66</v>
      </c>
      <c r="Y206" t="s">
        <v>66</v>
      </c>
      <c r="Z206" t="s">
        <v>66</v>
      </c>
      <c r="AA206" t="s">
        <v>66</v>
      </c>
      <c r="AB206" t="s">
        <v>66</v>
      </c>
      <c r="AC206" t="s">
        <v>66</v>
      </c>
      <c r="AD206" s="2">
        <v>45960.611817129633</v>
      </c>
      <c r="AE206" t="s">
        <v>71</v>
      </c>
      <c r="AF206" t="s">
        <v>66</v>
      </c>
      <c r="AG206" t="s">
        <v>359</v>
      </c>
      <c r="AH206" t="s">
        <v>360</v>
      </c>
      <c r="AI206">
        <v>700016</v>
      </c>
      <c r="AJ206" t="s">
        <v>74</v>
      </c>
      <c r="AK206" t="s">
        <v>75</v>
      </c>
      <c r="AL206">
        <v>62042300</v>
      </c>
      <c r="AM206" s="2"/>
      <c r="AN206">
        <v>2200</v>
      </c>
      <c r="AO206" t="s">
        <v>1243</v>
      </c>
      <c r="AP206" t="s">
        <v>66</v>
      </c>
      <c r="AQ206" t="s">
        <v>66</v>
      </c>
      <c r="AR206" t="s">
        <v>71</v>
      </c>
      <c r="AS206">
        <v>5</v>
      </c>
      <c r="AT206">
        <v>0</v>
      </c>
      <c r="AU206">
        <v>0</v>
      </c>
      <c r="AV206">
        <v>5</v>
      </c>
      <c r="AW206">
        <v>104.762</v>
      </c>
      <c r="AX206">
        <v>0</v>
      </c>
      <c r="AY206">
        <v>0</v>
      </c>
      <c r="AZ206">
        <v>104.762</v>
      </c>
      <c r="BA206" s="2"/>
      <c r="BB206">
        <v>1</v>
      </c>
      <c r="BC206" s="2">
        <v>45959.5</v>
      </c>
      <c r="BD206" s="1">
        <f>MarketPlace_Order_Report__2[[#This Row],[UnitPrice]]*MarketPlace_Order_Report__2[[#This Row],[OrderQty]]</f>
        <v>2200</v>
      </c>
      <c r="BE206" s="1">
        <f>IFERROR(MarketPlace_Order_Report__2[[#This Row],[CGSTAmount]]+MarketPlace_Order_Report__2[[#This Row],[SGSTAmount]]+MarketPlace_Order_Report__2[[#This Row],[IGSTAmount]],MarketPlace_Order_Report__2[[#This Row],[TaxAmount]])</f>
        <v>104.762</v>
      </c>
      <c r="BF206" s="1">
        <f>MarketPlace_Order_Report__2[[#This Row],[Gross Amount (Before Tax)]]+MarketPlace_Order_Report__2[[#This Row],[Total GST Amount]]</f>
        <v>2304.7620000000002</v>
      </c>
    </row>
    <row r="207" spans="1:58">
      <c r="A207" t="s">
        <v>1299</v>
      </c>
      <c r="B207" t="s">
        <v>1300</v>
      </c>
      <c r="C207" t="s">
        <v>1301</v>
      </c>
      <c r="D207" t="s">
        <v>1302</v>
      </c>
      <c r="E207">
        <v>1</v>
      </c>
      <c r="F207" t="s">
        <v>62</v>
      </c>
      <c r="G207">
        <v>1</v>
      </c>
      <c r="H207">
        <v>1</v>
      </c>
      <c r="I207">
        <v>3250</v>
      </c>
      <c r="J207">
        <v>2275</v>
      </c>
      <c r="K207">
        <v>0</v>
      </c>
      <c r="L207">
        <v>2275</v>
      </c>
      <c r="M207">
        <v>0</v>
      </c>
      <c r="N207" t="s">
        <v>63</v>
      </c>
      <c r="O207" s="2">
        <v>45954.461736111109</v>
      </c>
      <c r="P207" s="2">
        <v>45954.731493055559</v>
      </c>
      <c r="Q207" s="2">
        <v>45957.547037037039</v>
      </c>
      <c r="R207" t="s">
        <v>1303</v>
      </c>
      <c r="S207" t="s">
        <v>65</v>
      </c>
      <c r="T207" s="2">
        <v>45954.500509259262</v>
      </c>
      <c r="U207" t="s">
        <v>66</v>
      </c>
      <c r="V207" t="s">
        <v>1242</v>
      </c>
      <c r="W207" t="s">
        <v>66</v>
      </c>
      <c r="X207" t="s">
        <v>66</v>
      </c>
      <c r="Y207" t="s">
        <v>1304</v>
      </c>
      <c r="Z207" t="s">
        <v>69</v>
      </c>
      <c r="AA207" t="s">
        <v>70</v>
      </c>
      <c r="AB207" t="s">
        <v>66</v>
      </c>
      <c r="AC207" t="s">
        <v>66</v>
      </c>
      <c r="AD207" s="2">
        <v>45961.389675925922</v>
      </c>
      <c r="AE207" t="s">
        <v>71</v>
      </c>
      <c r="AF207" t="s">
        <v>66</v>
      </c>
      <c r="AG207" t="s">
        <v>1305</v>
      </c>
      <c r="AH207" t="s">
        <v>440</v>
      </c>
      <c r="AI207">
        <v>121101</v>
      </c>
      <c r="AJ207" t="s">
        <v>74</v>
      </c>
      <c r="AK207" t="s">
        <v>75</v>
      </c>
      <c r="AL207">
        <v>62044220</v>
      </c>
      <c r="AM207" s="2"/>
      <c r="AN207">
        <v>2275</v>
      </c>
      <c r="AO207" t="s">
        <v>1306</v>
      </c>
      <c r="AP207" t="s">
        <v>158</v>
      </c>
      <c r="AQ207" t="s">
        <v>66</v>
      </c>
      <c r="AR207" t="s">
        <v>71</v>
      </c>
      <c r="AS207">
        <v>5</v>
      </c>
      <c r="AT207">
        <v>0</v>
      </c>
      <c r="AU207">
        <v>0</v>
      </c>
      <c r="AV207">
        <v>5</v>
      </c>
      <c r="AW207">
        <v>108.333</v>
      </c>
      <c r="AX207">
        <v>0</v>
      </c>
      <c r="AY207">
        <v>0</v>
      </c>
      <c r="AZ207">
        <v>108.333</v>
      </c>
      <c r="BA207" s="2"/>
      <c r="BB207">
        <v>0.75</v>
      </c>
      <c r="BC207" s="2">
        <v>45956.5</v>
      </c>
      <c r="BD207" s="1">
        <f>MarketPlace_Order_Report__2[[#This Row],[UnitPrice]]*MarketPlace_Order_Report__2[[#This Row],[OrderQty]]</f>
        <v>2275</v>
      </c>
      <c r="BE207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07" s="1">
        <f>MarketPlace_Order_Report__2[[#This Row],[Gross Amount (Before Tax)]]+MarketPlace_Order_Report__2[[#This Row],[Total GST Amount]]</f>
        <v>2383.3330000000001</v>
      </c>
    </row>
    <row r="208" spans="1:58">
      <c r="A208" t="s">
        <v>1307</v>
      </c>
      <c r="B208" t="s">
        <v>1308</v>
      </c>
      <c r="C208" t="s">
        <v>1309</v>
      </c>
      <c r="D208" t="s">
        <v>1310</v>
      </c>
      <c r="E208">
        <v>1</v>
      </c>
      <c r="F208" t="s">
        <v>1806</v>
      </c>
      <c r="G208">
        <v>1</v>
      </c>
      <c r="H208">
        <v>1</v>
      </c>
      <c r="I208">
        <v>3000</v>
      </c>
      <c r="J208">
        <v>2100</v>
      </c>
      <c r="K208">
        <v>0</v>
      </c>
      <c r="L208">
        <v>2149</v>
      </c>
      <c r="M208">
        <v>49</v>
      </c>
      <c r="N208" t="s">
        <v>99</v>
      </c>
      <c r="O208" s="2">
        <v>45933.357268518521</v>
      </c>
      <c r="P208" s="2">
        <v>45934.720925925925</v>
      </c>
      <c r="Q208" s="2">
        <v>45939.488946759258</v>
      </c>
      <c r="R208" t="s">
        <v>1311</v>
      </c>
      <c r="S208" t="s">
        <v>65</v>
      </c>
      <c r="T208" s="2">
        <v>45933.815833333334</v>
      </c>
      <c r="U208" t="s">
        <v>66</v>
      </c>
      <c r="V208" t="s">
        <v>1242</v>
      </c>
      <c r="W208" t="s">
        <v>66</v>
      </c>
      <c r="X208" t="s">
        <v>66</v>
      </c>
      <c r="Y208" t="s">
        <v>66</v>
      </c>
      <c r="Z208" t="s">
        <v>66</v>
      </c>
      <c r="AA208" t="s">
        <v>66</v>
      </c>
      <c r="AB208" t="s">
        <v>66</v>
      </c>
      <c r="AC208" t="s">
        <v>66</v>
      </c>
      <c r="AD208" s="2">
        <v>45939.500752314816</v>
      </c>
      <c r="AE208" t="s">
        <v>71</v>
      </c>
      <c r="AF208" t="s">
        <v>66</v>
      </c>
      <c r="AG208" t="s">
        <v>1312</v>
      </c>
      <c r="AH208" t="s">
        <v>279</v>
      </c>
      <c r="AI208">
        <v>143001</v>
      </c>
      <c r="AJ208" t="s">
        <v>74</v>
      </c>
      <c r="AK208" t="s">
        <v>75</v>
      </c>
      <c r="AL208">
        <v>62042300</v>
      </c>
      <c r="AM208" s="2"/>
      <c r="AN208">
        <v>2100</v>
      </c>
      <c r="AO208" t="s">
        <v>1313</v>
      </c>
      <c r="AP208" t="s">
        <v>66</v>
      </c>
      <c r="AQ208" t="s">
        <v>66</v>
      </c>
      <c r="AR208" t="s">
        <v>71</v>
      </c>
      <c r="AS208">
        <v>5</v>
      </c>
      <c r="AT208">
        <v>0</v>
      </c>
      <c r="AU208">
        <v>0</v>
      </c>
      <c r="AV208">
        <v>5</v>
      </c>
      <c r="AW208">
        <v>100</v>
      </c>
      <c r="AX208">
        <v>0</v>
      </c>
      <c r="AY208">
        <v>0</v>
      </c>
      <c r="AZ208">
        <v>100</v>
      </c>
      <c r="BA208" s="2"/>
      <c r="BB208">
        <v>0.75</v>
      </c>
      <c r="BC208" s="2">
        <v>45935.5</v>
      </c>
      <c r="BD208" s="1">
        <f>MarketPlace_Order_Report__2[[#This Row],[UnitPrice]]*MarketPlace_Order_Report__2[[#This Row],[OrderQty]]</f>
        <v>2100</v>
      </c>
      <c r="BE208" s="1">
        <f>IFERROR(MarketPlace_Order_Report__2[[#This Row],[CGSTAmount]]+MarketPlace_Order_Report__2[[#This Row],[SGSTAmount]]+MarketPlace_Order_Report__2[[#This Row],[IGSTAmount]],MarketPlace_Order_Report__2[[#This Row],[TaxAmount]])</f>
        <v>100</v>
      </c>
      <c r="BF208" s="1">
        <f>MarketPlace_Order_Report__2[[#This Row],[Gross Amount (Before Tax)]]+MarketPlace_Order_Report__2[[#This Row],[Total GST Amount]]</f>
        <v>2200</v>
      </c>
    </row>
    <row r="209" spans="1:58">
      <c r="A209" t="s">
        <v>1314</v>
      </c>
      <c r="B209" t="s">
        <v>1315</v>
      </c>
      <c r="C209" t="s">
        <v>1316</v>
      </c>
      <c r="D209" t="s">
        <v>1317</v>
      </c>
      <c r="E209">
        <v>1</v>
      </c>
      <c r="F209" t="s">
        <v>107</v>
      </c>
      <c r="G209">
        <v>1</v>
      </c>
      <c r="H209">
        <v>1</v>
      </c>
      <c r="I209">
        <v>3000</v>
      </c>
      <c r="J209">
        <v>2100</v>
      </c>
      <c r="K209">
        <v>0</v>
      </c>
      <c r="L209">
        <v>2149</v>
      </c>
      <c r="M209">
        <v>49</v>
      </c>
      <c r="N209" t="s">
        <v>99</v>
      </c>
      <c r="O209" s="2">
        <v>45956.922337962962</v>
      </c>
      <c r="P209" s="2">
        <v>45958.715185185189</v>
      </c>
      <c r="Q209" s="2"/>
      <c r="R209" t="s">
        <v>1318</v>
      </c>
      <c r="S209" t="s">
        <v>65</v>
      </c>
      <c r="T209" s="2">
        <v>45957.797627314816</v>
      </c>
      <c r="U209" t="s">
        <v>66</v>
      </c>
      <c r="V209" t="s">
        <v>1242</v>
      </c>
      <c r="W209" t="s">
        <v>66</v>
      </c>
      <c r="X209" t="s">
        <v>66</v>
      </c>
      <c r="Y209" t="s">
        <v>66</v>
      </c>
      <c r="Z209" t="s">
        <v>66</v>
      </c>
      <c r="AA209" t="s">
        <v>66</v>
      </c>
      <c r="AB209" t="s">
        <v>66</v>
      </c>
      <c r="AC209" t="s">
        <v>66</v>
      </c>
      <c r="AD209" s="2">
        <v>45961.511365740742</v>
      </c>
      <c r="AE209" t="s">
        <v>71</v>
      </c>
      <c r="AF209" t="s">
        <v>66</v>
      </c>
      <c r="AG209" t="s">
        <v>1319</v>
      </c>
      <c r="AH209" t="s">
        <v>73</v>
      </c>
      <c r="AI209">
        <v>305624</v>
      </c>
      <c r="AJ209" t="s">
        <v>74</v>
      </c>
      <c r="AK209" t="s">
        <v>75</v>
      </c>
      <c r="AL209">
        <v>62042300</v>
      </c>
      <c r="AM209" s="2"/>
      <c r="AN209">
        <v>2100</v>
      </c>
      <c r="AO209" t="s">
        <v>1320</v>
      </c>
      <c r="AP209" t="s">
        <v>66</v>
      </c>
      <c r="AQ209" t="s">
        <v>66</v>
      </c>
      <c r="AR209" t="s">
        <v>71</v>
      </c>
      <c r="AS209">
        <v>5</v>
      </c>
      <c r="AT209">
        <v>0</v>
      </c>
      <c r="AU209">
        <v>0</v>
      </c>
      <c r="AV209">
        <v>5</v>
      </c>
      <c r="AW209">
        <v>100</v>
      </c>
      <c r="AX209">
        <v>0</v>
      </c>
      <c r="AY209">
        <v>0</v>
      </c>
      <c r="AZ209">
        <v>100</v>
      </c>
      <c r="BA209" s="2"/>
      <c r="BB209">
        <v>0.75</v>
      </c>
      <c r="BC209" s="2">
        <v>45959.5</v>
      </c>
      <c r="BD209" s="1">
        <f>MarketPlace_Order_Report__2[[#This Row],[UnitPrice]]*MarketPlace_Order_Report__2[[#This Row],[OrderQty]]</f>
        <v>2100</v>
      </c>
      <c r="BE209" s="1">
        <f>IFERROR(MarketPlace_Order_Report__2[[#This Row],[CGSTAmount]]+MarketPlace_Order_Report__2[[#This Row],[SGSTAmount]]+MarketPlace_Order_Report__2[[#This Row],[IGSTAmount]],MarketPlace_Order_Report__2[[#This Row],[TaxAmount]])</f>
        <v>100</v>
      </c>
      <c r="BF209" s="1">
        <f>MarketPlace_Order_Report__2[[#This Row],[Gross Amount (Before Tax)]]+MarketPlace_Order_Report__2[[#This Row],[Total GST Amount]]</f>
        <v>2200</v>
      </c>
    </row>
    <row r="210" spans="1:58">
      <c r="A210" t="s">
        <v>1321</v>
      </c>
      <c r="B210" t="s">
        <v>1322</v>
      </c>
      <c r="C210" t="s">
        <v>1323</v>
      </c>
      <c r="D210" t="s">
        <v>1324</v>
      </c>
      <c r="E210">
        <v>1</v>
      </c>
      <c r="F210" t="s">
        <v>62</v>
      </c>
      <c r="G210">
        <v>1</v>
      </c>
      <c r="H210">
        <v>1</v>
      </c>
      <c r="I210">
        <v>3250</v>
      </c>
      <c r="J210">
        <v>2275</v>
      </c>
      <c r="K210">
        <v>0</v>
      </c>
      <c r="L210">
        <v>2304</v>
      </c>
      <c r="M210">
        <v>29</v>
      </c>
      <c r="N210" t="s">
        <v>63</v>
      </c>
      <c r="O210" s="2">
        <v>45934.373541666668</v>
      </c>
      <c r="P210" s="2">
        <v>45936.714432870373</v>
      </c>
      <c r="Q210" s="2">
        <v>45940.728090277778</v>
      </c>
      <c r="R210" t="s">
        <v>1325</v>
      </c>
      <c r="S210" t="s">
        <v>65</v>
      </c>
      <c r="T210" s="2">
        <v>45934.839085648149</v>
      </c>
      <c r="U210" t="s">
        <v>66</v>
      </c>
      <c r="V210" t="s">
        <v>1242</v>
      </c>
      <c r="W210" t="s">
        <v>66</v>
      </c>
      <c r="X210" t="s">
        <v>66</v>
      </c>
      <c r="Y210" t="s">
        <v>1326</v>
      </c>
      <c r="Z210" t="s">
        <v>69</v>
      </c>
      <c r="AA210" t="s">
        <v>70</v>
      </c>
      <c r="AB210" t="s">
        <v>66</v>
      </c>
      <c r="AC210" t="s">
        <v>66</v>
      </c>
      <c r="AD210" s="2">
        <v>45960.486932870372</v>
      </c>
      <c r="AE210" t="s">
        <v>71</v>
      </c>
      <c r="AF210" t="s">
        <v>66</v>
      </c>
      <c r="AG210" t="s">
        <v>1327</v>
      </c>
      <c r="AH210" t="s">
        <v>569</v>
      </c>
      <c r="AI210">
        <v>768028</v>
      </c>
      <c r="AJ210" t="s">
        <v>74</v>
      </c>
      <c r="AK210" t="s">
        <v>75</v>
      </c>
      <c r="AL210">
        <v>62042300</v>
      </c>
      <c r="AM210" s="2"/>
      <c r="AN210">
        <v>2275</v>
      </c>
      <c r="AO210" t="s">
        <v>1328</v>
      </c>
      <c r="AP210" t="s">
        <v>66</v>
      </c>
      <c r="AQ210" t="s">
        <v>66</v>
      </c>
      <c r="AR210" t="s">
        <v>71</v>
      </c>
      <c r="AS210">
        <v>5</v>
      </c>
      <c r="AT210">
        <v>0</v>
      </c>
      <c r="AU210">
        <v>0</v>
      </c>
      <c r="AV210">
        <v>5</v>
      </c>
      <c r="AW210">
        <v>108.333</v>
      </c>
      <c r="AX210">
        <v>0</v>
      </c>
      <c r="AY210">
        <v>0</v>
      </c>
      <c r="AZ210">
        <v>108.333</v>
      </c>
      <c r="BA210" s="2"/>
      <c r="BB210">
        <v>0.75</v>
      </c>
      <c r="BC210" s="2">
        <v>45936.5</v>
      </c>
      <c r="BD210" s="1">
        <f>MarketPlace_Order_Report__2[[#This Row],[UnitPrice]]*MarketPlace_Order_Report__2[[#This Row],[OrderQty]]</f>
        <v>2275</v>
      </c>
      <c r="BE210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10" s="1">
        <f>MarketPlace_Order_Report__2[[#This Row],[Gross Amount (Before Tax)]]+MarketPlace_Order_Report__2[[#This Row],[Total GST Amount]]</f>
        <v>2383.3330000000001</v>
      </c>
    </row>
    <row r="211" spans="1:58">
      <c r="A211" t="s">
        <v>1329</v>
      </c>
      <c r="B211" t="s">
        <v>1330</v>
      </c>
      <c r="C211" t="s">
        <v>1331</v>
      </c>
      <c r="D211" t="s">
        <v>1332</v>
      </c>
      <c r="E211">
        <v>1</v>
      </c>
      <c r="F211" t="s">
        <v>145</v>
      </c>
      <c r="G211">
        <v>1</v>
      </c>
      <c r="H211">
        <v>0</v>
      </c>
      <c r="I211">
        <v>3250</v>
      </c>
      <c r="J211">
        <v>2275</v>
      </c>
      <c r="K211">
        <v>0</v>
      </c>
      <c r="L211">
        <v>2295</v>
      </c>
      <c r="M211">
        <v>20</v>
      </c>
      <c r="N211" t="s">
        <v>99</v>
      </c>
      <c r="O211" s="2">
        <v>45955.971979166665</v>
      </c>
      <c r="P211" s="2"/>
      <c r="Q211" s="2"/>
      <c r="R211" t="s">
        <v>66</v>
      </c>
      <c r="S211" t="s">
        <v>65</v>
      </c>
      <c r="T211" s="2"/>
      <c r="U211" t="s">
        <v>1333</v>
      </c>
      <c r="V211" t="s">
        <v>1242</v>
      </c>
      <c r="W211" t="s">
        <v>66</v>
      </c>
      <c r="X211" t="s">
        <v>66</v>
      </c>
      <c r="Y211" t="s">
        <v>66</v>
      </c>
      <c r="Z211" t="s">
        <v>66</v>
      </c>
      <c r="AA211" t="s">
        <v>66</v>
      </c>
      <c r="AB211" t="s">
        <v>66</v>
      </c>
      <c r="AC211" t="s">
        <v>66</v>
      </c>
      <c r="AD211" s="2">
        <v>45955.977071759262</v>
      </c>
      <c r="AE211" t="s">
        <v>71</v>
      </c>
      <c r="AF211" t="s">
        <v>66</v>
      </c>
      <c r="AG211" t="s">
        <v>114</v>
      </c>
      <c r="AH211" t="s">
        <v>115</v>
      </c>
      <c r="AI211">
        <v>110085</v>
      </c>
      <c r="AJ211" t="s">
        <v>74</v>
      </c>
      <c r="AK211" t="s">
        <v>75</v>
      </c>
      <c r="AL211">
        <v>62042300</v>
      </c>
      <c r="AM211" s="2">
        <v>45955.977071759262</v>
      </c>
      <c r="AN211">
        <v>2275</v>
      </c>
      <c r="AO211" t="s">
        <v>66</v>
      </c>
      <c r="AP211" t="s">
        <v>1282</v>
      </c>
      <c r="AQ211" t="s">
        <v>66</v>
      </c>
      <c r="AR211" t="s">
        <v>71</v>
      </c>
      <c r="AS211">
        <v>5</v>
      </c>
      <c r="AT211">
        <v>0</v>
      </c>
      <c r="AU211">
        <v>0</v>
      </c>
      <c r="AV211">
        <v>5</v>
      </c>
      <c r="AW211">
        <v>108.333</v>
      </c>
      <c r="AX211">
        <v>0</v>
      </c>
      <c r="AY211">
        <v>0</v>
      </c>
      <c r="AZ211">
        <v>108.333</v>
      </c>
      <c r="BA211" s="2"/>
      <c r="BC211" s="2">
        <v>45958.5</v>
      </c>
      <c r="BD211" s="1">
        <f>MarketPlace_Order_Report__2[[#This Row],[UnitPrice]]*MarketPlace_Order_Report__2[[#This Row],[OrderQty]]</f>
        <v>2275</v>
      </c>
      <c r="BE211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11" s="1">
        <f>MarketPlace_Order_Report__2[[#This Row],[Gross Amount (Before Tax)]]+MarketPlace_Order_Report__2[[#This Row],[Total GST Amount]]</f>
        <v>2383.3330000000001</v>
      </c>
    </row>
    <row r="212" spans="1:58">
      <c r="A212" t="s">
        <v>1334</v>
      </c>
      <c r="B212" t="s">
        <v>1335</v>
      </c>
      <c r="C212" t="s">
        <v>1331</v>
      </c>
      <c r="D212" t="s">
        <v>1332</v>
      </c>
      <c r="E212">
        <v>1</v>
      </c>
      <c r="F212" t="s">
        <v>62</v>
      </c>
      <c r="G212">
        <v>1</v>
      </c>
      <c r="H212">
        <v>1</v>
      </c>
      <c r="I212">
        <v>3250</v>
      </c>
      <c r="J212">
        <v>2275</v>
      </c>
      <c r="K212">
        <v>0</v>
      </c>
      <c r="L212">
        <v>2298.35</v>
      </c>
      <c r="M212">
        <v>23.35</v>
      </c>
      <c r="N212" t="s">
        <v>99</v>
      </c>
      <c r="O212" s="2">
        <v>45952.640497685185</v>
      </c>
      <c r="P212" s="2">
        <v>45954.73064814815</v>
      </c>
      <c r="Q212" s="2">
        <v>45958.660034722219</v>
      </c>
      <c r="R212" t="s">
        <v>1336</v>
      </c>
      <c r="S212" t="s">
        <v>65</v>
      </c>
      <c r="T212" s="2">
        <v>45954.500509259262</v>
      </c>
      <c r="U212" t="s">
        <v>66</v>
      </c>
      <c r="V212" t="s">
        <v>1242</v>
      </c>
      <c r="W212" t="s">
        <v>66</v>
      </c>
      <c r="X212" t="s">
        <v>66</v>
      </c>
      <c r="Y212" t="s">
        <v>1337</v>
      </c>
      <c r="Z212" t="s">
        <v>69</v>
      </c>
      <c r="AA212" t="s">
        <v>70</v>
      </c>
      <c r="AB212" t="s">
        <v>66</v>
      </c>
      <c r="AC212" t="s">
        <v>66</v>
      </c>
      <c r="AD212" s="2">
        <v>45961.560011574074</v>
      </c>
      <c r="AE212" t="s">
        <v>71</v>
      </c>
      <c r="AF212" t="s">
        <v>66</v>
      </c>
      <c r="AG212" t="s">
        <v>1338</v>
      </c>
      <c r="AH212" t="s">
        <v>139</v>
      </c>
      <c r="AI212">
        <v>243503</v>
      </c>
      <c r="AJ212" t="s">
        <v>74</v>
      </c>
      <c r="AK212" t="s">
        <v>75</v>
      </c>
      <c r="AL212">
        <v>62042300</v>
      </c>
      <c r="AM212" s="2"/>
      <c r="AN212">
        <v>2275</v>
      </c>
      <c r="AO212" t="s">
        <v>1339</v>
      </c>
      <c r="AP212" t="s">
        <v>66</v>
      </c>
      <c r="AQ212" t="s">
        <v>66</v>
      </c>
      <c r="AR212" t="s">
        <v>71</v>
      </c>
      <c r="AS212">
        <v>5</v>
      </c>
      <c r="AT212">
        <v>0</v>
      </c>
      <c r="AU212">
        <v>0</v>
      </c>
      <c r="AV212">
        <v>5</v>
      </c>
      <c r="AW212">
        <v>108.333</v>
      </c>
      <c r="AX212">
        <v>0</v>
      </c>
      <c r="AY212">
        <v>0</v>
      </c>
      <c r="AZ212">
        <v>108.333</v>
      </c>
      <c r="BA212" s="2"/>
      <c r="BB212">
        <v>0.75</v>
      </c>
      <c r="BC212" s="2">
        <v>45955.5</v>
      </c>
      <c r="BD212" s="1">
        <f>MarketPlace_Order_Report__2[[#This Row],[UnitPrice]]*MarketPlace_Order_Report__2[[#This Row],[OrderQty]]</f>
        <v>2275</v>
      </c>
      <c r="BE212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12" s="1">
        <f>MarketPlace_Order_Report__2[[#This Row],[Gross Amount (Before Tax)]]+MarketPlace_Order_Report__2[[#This Row],[Total GST Amount]]</f>
        <v>2383.3330000000001</v>
      </c>
    </row>
    <row r="213" spans="1:58">
      <c r="A213" t="s">
        <v>1340</v>
      </c>
      <c r="B213" t="s">
        <v>1341</v>
      </c>
      <c r="C213" t="s">
        <v>1342</v>
      </c>
      <c r="D213" t="s">
        <v>1343</v>
      </c>
      <c r="E213">
        <v>1</v>
      </c>
      <c r="F213" t="s">
        <v>62</v>
      </c>
      <c r="G213">
        <v>1</v>
      </c>
      <c r="H213">
        <v>1</v>
      </c>
      <c r="I213">
        <v>3250</v>
      </c>
      <c r="J213">
        <v>2275</v>
      </c>
      <c r="K213">
        <v>0</v>
      </c>
      <c r="L213">
        <v>2295</v>
      </c>
      <c r="M213">
        <v>20</v>
      </c>
      <c r="N213" t="s">
        <v>99</v>
      </c>
      <c r="O213" s="2">
        <v>45949.540625000001</v>
      </c>
      <c r="P213" s="2">
        <v>45954.65902777778</v>
      </c>
      <c r="Q213" s="2">
        <v>45956.615277777775</v>
      </c>
      <c r="R213" t="s">
        <v>1344</v>
      </c>
      <c r="S213" t="s">
        <v>146</v>
      </c>
      <c r="T213" s="2">
        <v>45949.555543981478</v>
      </c>
      <c r="U213" t="s">
        <v>66</v>
      </c>
      <c r="V213" t="s">
        <v>1242</v>
      </c>
      <c r="W213" t="s">
        <v>66</v>
      </c>
      <c r="X213" t="s">
        <v>66</v>
      </c>
      <c r="Y213" t="s">
        <v>1345</v>
      </c>
      <c r="Z213" t="s">
        <v>69</v>
      </c>
      <c r="AA213" t="s">
        <v>70</v>
      </c>
      <c r="AB213" t="s">
        <v>66</v>
      </c>
      <c r="AC213" t="s">
        <v>66</v>
      </c>
      <c r="AD213" s="2">
        <v>45961.518368055556</v>
      </c>
      <c r="AE213" t="s">
        <v>71</v>
      </c>
      <c r="AF213" t="s">
        <v>66</v>
      </c>
      <c r="AG213" t="s">
        <v>148</v>
      </c>
      <c r="AH213" t="s">
        <v>149</v>
      </c>
      <c r="AI213">
        <v>500018</v>
      </c>
      <c r="AJ213" t="s">
        <v>74</v>
      </c>
      <c r="AK213" t="s">
        <v>75</v>
      </c>
      <c r="AL213">
        <v>62042300</v>
      </c>
      <c r="AM213" s="2"/>
      <c r="AN213">
        <v>2275</v>
      </c>
      <c r="AO213" t="s">
        <v>1346</v>
      </c>
      <c r="AP213" t="s">
        <v>66</v>
      </c>
      <c r="AQ213" t="s">
        <v>66</v>
      </c>
      <c r="AR213" t="s">
        <v>71</v>
      </c>
      <c r="AS213">
        <v>5</v>
      </c>
      <c r="AT213">
        <v>0</v>
      </c>
      <c r="AU213">
        <v>0</v>
      </c>
      <c r="AV213">
        <v>5</v>
      </c>
      <c r="AW213">
        <v>108.333</v>
      </c>
      <c r="AX213">
        <v>0</v>
      </c>
      <c r="AY213">
        <v>0</v>
      </c>
      <c r="AZ213">
        <v>108.333</v>
      </c>
      <c r="BA213" s="2"/>
      <c r="BB213">
        <v>0.75</v>
      </c>
      <c r="BC213" s="2">
        <v>45952.5</v>
      </c>
      <c r="BD213" s="1">
        <f>MarketPlace_Order_Report__2[[#This Row],[UnitPrice]]*MarketPlace_Order_Report__2[[#This Row],[OrderQty]]</f>
        <v>2275</v>
      </c>
      <c r="BE213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13" s="1">
        <f>MarketPlace_Order_Report__2[[#This Row],[Gross Amount (Before Tax)]]+MarketPlace_Order_Report__2[[#This Row],[Total GST Amount]]</f>
        <v>2383.3330000000001</v>
      </c>
    </row>
    <row r="214" spans="1:58">
      <c r="A214" t="s">
        <v>767</v>
      </c>
      <c r="B214" t="s">
        <v>768</v>
      </c>
      <c r="C214" t="s">
        <v>1342</v>
      </c>
      <c r="D214" t="s">
        <v>1343</v>
      </c>
      <c r="E214">
        <v>3</v>
      </c>
      <c r="F214" t="s">
        <v>1806</v>
      </c>
      <c r="G214">
        <v>1</v>
      </c>
      <c r="H214">
        <v>1</v>
      </c>
      <c r="I214">
        <v>3250</v>
      </c>
      <c r="J214">
        <v>2275</v>
      </c>
      <c r="K214">
        <v>0</v>
      </c>
      <c r="L214">
        <v>2281.558</v>
      </c>
      <c r="M214">
        <v>6.5579999999999998</v>
      </c>
      <c r="N214" t="s">
        <v>99</v>
      </c>
      <c r="O214" s="2">
        <v>45935.87568287037</v>
      </c>
      <c r="P214" s="2">
        <v>45937.725740740738</v>
      </c>
      <c r="Q214" s="2">
        <v>45943.449282407404</v>
      </c>
      <c r="R214" t="s">
        <v>769</v>
      </c>
      <c r="S214" t="s">
        <v>65</v>
      </c>
      <c r="T214" s="2">
        <v>45936.813321759262</v>
      </c>
      <c r="U214" t="s">
        <v>66</v>
      </c>
      <c r="V214" t="s">
        <v>1242</v>
      </c>
      <c r="W214" t="s">
        <v>66</v>
      </c>
      <c r="X214" t="s">
        <v>66</v>
      </c>
      <c r="Y214" t="s">
        <v>66</v>
      </c>
      <c r="Z214" t="s">
        <v>66</v>
      </c>
      <c r="AA214" t="s">
        <v>66</v>
      </c>
      <c r="AB214" t="s">
        <v>66</v>
      </c>
      <c r="AC214" t="s">
        <v>66</v>
      </c>
      <c r="AD214" s="2">
        <v>45943.452037037037</v>
      </c>
      <c r="AE214" t="s">
        <v>71</v>
      </c>
      <c r="AF214" t="s">
        <v>66</v>
      </c>
      <c r="AG214" t="s">
        <v>771</v>
      </c>
      <c r="AH214" t="s">
        <v>73</v>
      </c>
      <c r="AI214">
        <v>307027</v>
      </c>
      <c r="AJ214" t="s">
        <v>74</v>
      </c>
      <c r="AK214" t="s">
        <v>75</v>
      </c>
      <c r="AL214">
        <v>62042300</v>
      </c>
      <c r="AM214" s="2"/>
      <c r="AN214">
        <v>2275</v>
      </c>
      <c r="AO214" t="s">
        <v>772</v>
      </c>
      <c r="AP214" t="s">
        <v>132</v>
      </c>
      <c r="AQ214" t="s">
        <v>66</v>
      </c>
      <c r="AR214" t="s">
        <v>71</v>
      </c>
      <c r="AS214">
        <v>5</v>
      </c>
      <c r="AT214">
        <v>0</v>
      </c>
      <c r="AU214">
        <v>0</v>
      </c>
      <c r="AV214">
        <v>5</v>
      </c>
      <c r="AW214">
        <v>108.333</v>
      </c>
      <c r="AX214">
        <v>0</v>
      </c>
      <c r="AY214">
        <v>0</v>
      </c>
      <c r="AZ214">
        <v>108.333</v>
      </c>
      <c r="BA214" s="2"/>
      <c r="BB214">
        <v>1</v>
      </c>
      <c r="BC214" s="2">
        <v>45938.5</v>
      </c>
      <c r="BD214" s="1">
        <f>MarketPlace_Order_Report__2[[#This Row],[UnitPrice]]*MarketPlace_Order_Report__2[[#This Row],[OrderQty]]</f>
        <v>2275</v>
      </c>
      <c r="BE214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14" s="1">
        <f>MarketPlace_Order_Report__2[[#This Row],[Gross Amount (Before Tax)]]+MarketPlace_Order_Report__2[[#This Row],[Total GST Amount]]</f>
        <v>2383.3330000000001</v>
      </c>
    </row>
    <row r="215" spans="1:58">
      <c r="A215" t="s">
        <v>1347</v>
      </c>
      <c r="B215" t="s">
        <v>1348</v>
      </c>
      <c r="C215" t="s">
        <v>1349</v>
      </c>
      <c r="D215" t="s">
        <v>1350</v>
      </c>
      <c r="E215">
        <v>1</v>
      </c>
      <c r="F215" t="s">
        <v>107</v>
      </c>
      <c r="G215">
        <v>1</v>
      </c>
      <c r="H215">
        <v>1</v>
      </c>
      <c r="I215">
        <v>3250</v>
      </c>
      <c r="J215">
        <v>2275</v>
      </c>
      <c r="K215">
        <v>0</v>
      </c>
      <c r="L215">
        <v>2275</v>
      </c>
      <c r="M215">
        <v>0</v>
      </c>
      <c r="N215" t="s">
        <v>63</v>
      </c>
      <c r="O215" s="2">
        <v>45958.419050925928</v>
      </c>
      <c r="P215" s="2">
        <v>45959.621898148151</v>
      </c>
      <c r="Q215" s="2"/>
      <c r="R215" t="s">
        <v>1351</v>
      </c>
      <c r="S215" t="s">
        <v>89</v>
      </c>
      <c r="T215" s="2">
        <v>45959.459155092591</v>
      </c>
      <c r="U215" t="s">
        <v>66</v>
      </c>
      <c r="V215" t="s">
        <v>1242</v>
      </c>
      <c r="W215" t="s">
        <v>66</v>
      </c>
      <c r="X215" t="s">
        <v>66</v>
      </c>
      <c r="Y215" t="s">
        <v>66</v>
      </c>
      <c r="Z215" t="s">
        <v>66</v>
      </c>
      <c r="AA215" t="s">
        <v>66</v>
      </c>
      <c r="AB215" t="s">
        <v>66</v>
      </c>
      <c r="AC215" t="s">
        <v>66</v>
      </c>
      <c r="AD215" s="2">
        <v>45960.549884259257</v>
      </c>
      <c r="AE215" t="s">
        <v>71</v>
      </c>
      <c r="AF215" t="s">
        <v>66</v>
      </c>
      <c r="AG215" t="s">
        <v>148</v>
      </c>
      <c r="AH215" t="s">
        <v>149</v>
      </c>
      <c r="AI215">
        <v>500018</v>
      </c>
      <c r="AJ215" t="s">
        <v>74</v>
      </c>
      <c r="AK215" t="s">
        <v>75</v>
      </c>
      <c r="AL215">
        <v>62042300</v>
      </c>
      <c r="AM215" s="2"/>
      <c r="AN215">
        <v>2275</v>
      </c>
      <c r="AO215" t="s">
        <v>1352</v>
      </c>
      <c r="AP215" t="s">
        <v>66</v>
      </c>
      <c r="AQ215" t="s">
        <v>827</v>
      </c>
      <c r="AR215" t="s">
        <v>71</v>
      </c>
      <c r="AS215">
        <v>5</v>
      </c>
      <c r="AT215">
        <v>0</v>
      </c>
      <c r="AU215">
        <v>0</v>
      </c>
      <c r="AV215">
        <v>5</v>
      </c>
      <c r="AW215">
        <v>108.333</v>
      </c>
      <c r="AX215">
        <v>0</v>
      </c>
      <c r="AY215">
        <v>0</v>
      </c>
      <c r="AZ215">
        <v>108.333</v>
      </c>
      <c r="BA215" s="2"/>
      <c r="BB215">
        <v>0.75</v>
      </c>
      <c r="BC215" s="2">
        <v>45961.5</v>
      </c>
      <c r="BD215" s="1">
        <f>MarketPlace_Order_Report__2[[#This Row],[UnitPrice]]*MarketPlace_Order_Report__2[[#This Row],[OrderQty]]</f>
        <v>2275</v>
      </c>
      <c r="BE215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15" s="1">
        <f>MarketPlace_Order_Report__2[[#This Row],[Gross Amount (Before Tax)]]+MarketPlace_Order_Report__2[[#This Row],[Total GST Amount]]</f>
        <v>2383.3330000000001</v>
      </c>
    </row>
    <row r="216" spans="1:58">
      <c r="A216" t="s">
        <v>1353</v>
      </c>
      <c r="B216" t="s">
        <v>1354</v>
      </c>
      <c r="C216" t="s">
        <v>1349</v>
      </c>
      <c r="D216" t="s">
        <v>1350</v>
      </c>
      <c r="E216">
        <v>1</v>
      </c>
      <c r="F216" t="s">
        <v>1806</v>
      </c>
      <c r="G216">
        <v>1</v>
      </c>
      <c r="H216">
        <v>1</v>
      </c>
      <c r="I216">
        <v>3250</v>
      </c>
      <c r="J216">
        <v>2275</v>
      </c>
      <c r="K216">
        <v>0</v>
      </c>
      <c r="L216">
        <v>2282.21</v>
      </c>
      <c r="M216">
        <v>7.21</v>
      </c>
      <c r="N216" t="s">
        <v>63</v>
      </c>
      <c r="O216" s="2">
        <v>45956.938680555555</v>
      </c>
      <c r="P216" s="2">
        <v>45958.663888888892</v>
      </c>
      <c r="Q216" s="2">
        <v>45960.467361111114</v>
      </c>
      <c r="R216" t="s">
        <v>1355</v>
      </c>
      <c r="S216" t="s">
        <v>146</v>
      </c>
      <c r="T216" s="2">
        <v>45957.797627314816</v>
      </c>
      <c r="U216" t="s">
        <v>66</v>
      </c>
      <c r="V216" t="s">
        <v>1242</v>
      </c>
      <c r="W216" t="s">
        <v>66</v>
      </c>
      <c r="X216" t="s">
        <v>66</v>
      </c>
      <c r="Y216" t="s">
        <v>66</v>
      </c>
      <c r="Z216" t="s">
        <v>66</v>
      </c>
      <c r="AA216" t="s">
        <v>66</v>
      </c>
      <c r="AB216" t="s">
        <v>66</v>
      </c>
      <c r="AC216" t="s">
        <v>66</v>
      </c>
      <c r="AD216" s="2">
        <v>45960.472974537035</v>
      </c>
      <c r="AE216" t="s">
        <v>71</v>
      </c>
      <c r="AF216" t="s">
        <v>66</v>
      </c>
      <c r="AG216" t="s">
        <v>148</v>
      </c>
      <c r="AH216" t="s">
        <v>149</v>
      </c>
      <c r="AI216">
        <v>500049</v>
      </c>
      <c r="AJ216" t="s">
        <v>74</v>
      </c>
      <c r="AK216" t="s">
        <v>75</v>
      </c>
      <c r="AL216">
        <v>62042300</v>
      </c>
      <c r="AM216" s="2"/>
      <c r="AN216">
        <v>2275</v>
      </c>
      <c r="AO216" t="s">
        <v>1356</v>
      </c>
      <c r="AP216" t="s">
        <v>1357</v>
      </c>
      <c r="AQ216" t="s">
        <v>66</v>
      </c>
      <c r="AR216" t="s">
        <v>71</v>
      </c>
      <c r="AS216">
        <v>5</v>
      </c>
      <c r="AT216">
        <v>0</v>
      </c>
      <c r="AU216">
        <v>0</v>
      </c>
      <c r="AV216">
        <v>5</v>
      </c>
      <c r="AW216">
        <v>108.333</v>
      </c>
      <c r="AX216">
        <v>0</v>
      </c>
      <c r="AY216">
        <v>0</v>
      </c>
      <c r="AZ216">
        <v>108.333</v>
      </c>
      <c r="BA216" s="2"/>
      <c r="BB216">
        <v>0.75</v>
      </c>
      <c r="BC216" s="2">
        <v>45959.5</v>
      </c>
      <c r="BD216" s="1">
        <f>MarketPlace_Order_Report__2[[#This Row],[UnitPrice]]*MarketPlace_Order_Report__2[[#This Row],[OrderQty]]</f>
        <v>2275</v>
      </c>
      <c r="BE216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16" s="1">
        <f>MarketPlace_Order_Report__2[[#This Row],[Gross Amount (Before Tax)]]+MarketPlace_Order_Report__2[[#This Row],[Total GST Amount]]</f>
        <v>2383.3330000000001</v>
      </c>
    </row>
    <row r="217" spans="1:58">
      <c r="A217" t="s">
        <v>1358</v>
      </c>
      <c r="B217" t="s">
        <v>1359</v>
      </c>
      <c r="C217" t="s">
        <v>1349</v>
      </c>
      <c r="D217" t="s">
        <v>1350</v>
      </c>
      <c r="E217">
        <v>1</v>
      </c>
      <c r="F217" t="s">
        <v>107</v>
      </c>
      <c r="G217">
        <v>1</v>
      </c>
      <c r="H217">
        <v>1</v>
      </c>
      <c r="I217">
        <v>3250</v>
      </c>
      <c r="J217">
        <v>2275</v>
      </c>
      <c r="K217">
        <v>0</v>
      </c>
      <c r="L217">
        <v>2304</v>
      </c>
      <c r="M217">
        <v>29</v>
      </c>
      <c r="N217" t="s">
        <v>63</v>
      </c>
      <c r="O217" s="2">
        <v>45955.842152777775</v>
      </c>
      <c r="P217" s="2">
        <v>45958.715046296296</v>
      </c>
      <c r="Q217" s="2"/>
      <c r="R217" t="s">
        <v>1360</v>
      </c>
      <c r="S217" t="s">
        <v>65</v>
      </c>
      <c r="T217" s="2">
        <v>45957.797627314816</v>
      </c>
      <c r="U217" t="s">
        <v>66</v>
      </c>
      <c r="V217" t="s">
        <v>1242</v>
      </c>
      <c r="W217" t="s">
        <v>66</v>
      </c>
      <c r="X217" t="s">
        <v>66</v>
      </c>
      <c r="Y217" t="s">
        <v>66</v>
      </c>
      <c r="Z217" t="s">
        <v>66</v>
      </c>
      <c r="AA217" t="s">
        <v>66</v>
      </c>
      <c r="AB217" t="s">
        <v>66</v>
      </c>
      <c r="AC217" t="s">
        <v>66</v>
      </c>
      <c r="AD217" s="2">
        <v>45961.528715277775</v>
      </c>
      <c r="AE217" t="s">
        <v>71</v>
      </c>
      <c r="AF217" t="s">
        <v>66</v>
      </c>
      <c r="AG217" t="s">
        <v>90</v>
      </c>
      <c r="AH217" t="s">
        <v>91</v>
      </c>
      <c r="AI217">
        <v>560048</v>
      </c>
      <c r="AJ217" t="s">
        <v>74</v>
      </c>
      <c r="AK217" t="s">
        <v>75</v>
      </c>
      <c r="AL217">
        <v>62042300</v>
      </c>
      <c r="AM217" s="2"/>
      <c r="AN217">
        <v>2275</v>
      </c>
      <c r="AO217" t="s">
        <v>1361</v>
      </c>
      <c r="AP217" t="s">
        <v>93</v>
      </c>
      <c r="AQ217" t="s">
        <v>66</v>
      </c>
      <c r="AR217" t="s">
        <v>71</v>
      </c>
      <c r="AS217">
        <v>5</v>
      </c>
      <c r="AT217">
        <v>0</v>
      </c>
      <c r="AU217">
        <v>0</v>
      </c>
      <c r="AV217">
        <v>5</v>
      </c>
      <c r="AW217">
        <v>108.333</v>
      </c>
      <c r="AX217">
        <v>0</v>
      </c>
      <c r="AY217">
        <v>0</v>
      </c>
      <c r="AZ217">
        <v>108.333</v>
      </c>
      <c r="BA217" s="2"/>
      <c r="BB217">
        <v>0.75</v>
      </c>
      <c r="BC217" s="2">
        <v>45958.5</v>
      </c>
      <c r="BD217" s="1">
        <f>MarketPlace_Order_Report__2[[#This Row],[UnitPrice]]*MarketPlace_Order_Report__2[[#This Row],[OrderQty]]</f>
        <v>2275</v>
      </c>
      <c r="BE217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17" s="1">
        <f>MarketPlace_Order_Report__2[[#This Row],[Gross Amount (Before Tax)]]+MarketPlace_Order_Report__2[[#This Row],[Total GST Amount]]</f>
        <v>2383.3330000000001</v>
      </c>
    </row>
    <row r="218" spans="1:58">
      <c r="A218" t="s">
        <v>1362</v>
      </c>
      <c r="B218" t="s">
        <v>1363</v>
      </c>
      <c r="C218" t="s">
        <v>1349</v>
      </c>
      <c r="D218" t="s">
        <v>1350</v>
      </c>
      <c r="E218">
        <v>1</v>
      </c>
      <c r="F218" t="s">
        <v>1806</v>
      </c>
      <c r="G218">
        <v>1</v>
      </c>
      <c r="H218">
        <v>1</v>
      </c>
      <c r="I218">
        <v>3250</v>
      </c>
      <c r="J218">
        <v>2275</v>
      </c>
      <c r="K218">
        <v>0</v>
      </c>
      <c r="L218">
        <v>2304</v>
      </c>
      <c r="M218">
        <v>29</v>
      </c>
      <c r="N218" t="s">
        <v>63</v>
      </c>
      <c r="O218" s="2">
        <v>45952.995358796295</v>
      </c>
      <c r="P218" s="2">
        <v>45954.732037037036</v>
      </c>
      <c r="Q218" s="2">
        <v>45956.73810185185</v>
      </c>
      <c r="R218" t="s">
        <v>1364</v>
      </c>
      <c r="S218" t="s">
        <v>65</v>
      </c>
      <c r="T218" s="2">
        <v>45954.500509259262</v>
      </c>
      <c r="U218" t="s">
        <v>66</v>
      </c>
      <c r="V218" t="s">
        <v>1242</v>
      </c>
      <c r="W218" t="s">
        <v>66</v>
      </c>
      <c r="X218" t="s">
        <v>66</v>
      </c>
      <c r="Y218" t="s">
        <v>66</v>
      </c>
      <c r="Z218" t="s">
        <v>66</v>
      </c>
      <c r="AA218" t="s">
        <v>66</v>
      </c>
      <c r="AB218" t="s">
        <v>66</v>
      </c>
      <c r="AC218" t="s">
        <v>66</v>
      </c>
      <c r="AD218" s="2">
        <v>45956.740659722222</v>
      </c>
      <c r="AE218" t="s">
        <v>71</v>
      </c>
      <c r="AF218" t="s">
        <v>66</v>
      </c>
      <c r="AG218" t="s">
        <v>439</v>
      </c>
      <c r="AH218" t="s">
        <v>440</v>
      </c>
      <c r="AI218">
        <v>122001</v>
      </c>
      <c r="AJ218" t="s">
        <v>74</v>
      </c>
      <c r="AK218" t="s">
        <v>75</v>
      </c>
      <c r="AL218">
        <v>62042300</v>
      </c>
      <c r="AM218" s="2"/>
      <c r="AN218">
        <v>2275</v>
      </c>
      <c r="AO218" t="s">
        <v>1365</v>
      </c>
      <c r="AP218" t="s">
        <v>125</v>
      </c>
      <c r="AQ218" t="s">
        <v>66</v>
      </c>
      <c r="AR218" t="s">
        <v>71</v>
      </c>
      <c r="AS218">
        <v>5</v>
      </c>
      <c r="AT218">
        <v>0</v>
      </c>
      <c r="AU218">
        <v>0</v>
      </c>
      <c r="AV218">
        <v>5</v>
      </c>
      <c r="AW218">
        <v>108.333</v>
      </c>
      <c r="AX218">
        <v>0</v>
      </c>
      <c r="AY218">
        <v>0</v>
      </c>
      <c r="AZ218">
        <v>108.333</v>
      </c>
      <c r="BA218" s="2"/>
      <c r="BB218">
        <v>0.75</v>
      </c>
      <c r="BC218" s="2">
        <v>45955.5</v>
      </c>
      <c r="BD218" s="1">
        <f>MarketPlace_Order_Report__2[[#This Row],[UnitPrice]]*MarketPlace_Order_Report__2[[#This Row],[OrderQty]]</f>
        <v>2275</v>
      </c>
      <c r="BE218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18" s="1">
        <f>MarketPlace_Order_Report__2[[#This Row],[Gross Amount (Before Tax)]]+MarketPlace_Order_Report__2[[#This Row],[Total GST Amount]]</f>
        <v>2383.3330000000001</v>
      </c>
    </row>
    <row r="219" spans="1:58">
      <c r="A219" t="s">
        <v>1366</v>
      </c>
      <c r="B219" t="s">
        <v>1367</v>
      </c>
      <c r="C219" t="s">
        <v>1349</v>
      </c>
      <c r="D219" t="s">
        <v>1350</v>
      </c>
      <c r="E219">
        <v>1</v>
      </c>
      <c r="F219" t="s">
        <v>257</v>
      </c>
      <c r="G219">
        <v>1</v>
      </c>
      <c r="H219">
        <v>1</v>
      </c>
      <c r="I219">
        <v>3250</v>
      </c>
      <c r="J219">
        <v>2275</v>
      </c>
      <c r="K219">
        <v>0</v>
      </c>
      <c r="L219">
        <v>2304</v>
      </c>
      <c r="M219">
        <v>29</v>
      </c>
      <c r="N219" t="s">
        <v>63</v>
      </c>
      <c r="O219" s="2">
        <v>45933.678993055553</v>
      </c>
      <c r="P219" s="2">
        <v>45934.620092592595</v>
      </c>
      <c r="Q219" s="2"/>
      <c r="R219" t="s">
        <v>1368</v>
      </c>
      <c r="S219" t="s">
        <v>89</v>
      </c>
      <c r="T219" s="2">
        <v>45933.815833333334</v>
      </c>
      <c r="U219" t="s">
        <v>66</v>
      </c>
      <c r="V219" t="s">
        <v>1242</v>
      </c>
      <c r="W219" t="s">
        <v>66</v>
      </c>
      <c r="X219" t="s">
        <v>66</v>
      </c>
      <c r="Y219" t="s">
        <v>1369</v>
      </c>
      <c r="Z219" t="s">
        <v>231</v>
      </c>
      <c r="AA219" t="s">
        <v>130</v>
      </c>
      <c r="AB219" t="s">
        <v>66</v>
      </c>
      <c r="AC219" t="s">
        <v>66</v>
      </c>
      <c r="AD219" s="2">
        <v>45948.046018518522</v>
      </c>
      <c r="AE219" t="s">
        <v>71</v>
      </c>
      <c r="AF219" t="s">
        <v>66</v>
      </c>
      <c r="AG219" t="s">
        <v>439</v>
      </c>
      <c r="AH219" t="s">
        <v>440</v>
      </c>
      <c r="AI219">
        <v>122003</v>
      </c>
      <c r="AJ219" t="s">
        <v>74</v>
      </c>
      <c r="AK219" t="s">
        <v>75</v>
      </c>
      <c r="AL219">
        <v>62042300</v>
      </c>
      <c r="AM219" s="2"/>
      <c r="AN219">
        <v>2275</v>
      </c>
      <c r="AO219" t="s">
        <v>1370</v>
      </c>
      <c r="AP219" t="s">
        <v>288</v>
      </c>
      <c r="AQ219" t="s">
        <v>66</v>
      </c>
      <c r="AR219" t="s">
        <v>71</v>
      </c>
      <c r="AS219">
        <v>5</v>
      </c>
      <c r="AT219">
        <v>0</v>
      </c>
      <c r="AU219">
        <v>0</v>
      </c>
      <c r="AV219">
        <v>5</v>
      </c>
      <c r="AW219">
        <v>108.333</v>
      </c>
      <c r="AX219">
        <v>0</v>
      </c>
      <c r="AY219">
        <v>0</v>
      </c>
      <c r="AZ219">
        <v>108.333</v>
      </c>
      <c r="BA219" s="2"/>
      <c r="BB219">
        <v>0.75</v>
      </c>
      <c r="BC219" s="2">
        <v>45936.5</v>
      </c>
      <c r="BD219" s="1">
        <f>MarketPlace_Order_Report__2[[#This Row],[UnitPrice]]*MarketPlace_Order_Report__2[[#This Row],[OrderQty]]</f>
        <v>2275</v>
      </c>
      <c r="BE219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19" s="1">
        <f>MarketPlace_Order_Report__2[[#This Row],[Gross Amount (Before Tax)]]+MarketPlace_Order_Report__2[[#This Row],[Total GST Amount]]</f>
        <v>2383.3330000000001</v>
      </c>
    </row>
    <row r="220" spans="1:58">
      <c r="A220" t="s">
        <v>1371</v>
      </c>
      <c r="B220" t="s">
        <v>1372</v>
      </c>
      <c r="C220" t="s">
        <v>1373</v>
      </c>
      <c r="D220" t="s">
        <v>1374</v>
      </c>
      <c r="E220">
        <v>1</v>
      </c>
      <c r="F220" t="s">
        <v>62</v>
      </c>
      <c r="G220">
        <v>1</v>
      </c>
      <c r="H220">
        <v>1</v>
      </c>
      <c r="I220">
        <v>3250</v>
      </c>
      <c r="J220">
        <v>2275</v>
      </c>
      <c r="K220">
        <v>0</v>
      </c>
      <c r="L220">
        <v>2278.2399999999998</v>
      </c>
      <c r="M220">
        <v>3.24</v>
      </c>
      <c r="N220" t="s">
        <v>63</v>
      </c>
      <c r="O220" s="2">
        <v>45952.503437500003</v>
      </c>
      <c r="P220" s="2">
        <v>45954.73164351852</v>
      </c>
      <c r="Q220" s="2">
        <v>45956.628333333334</v>
      </c>
      <c r="R220" t="s">
        <v>1375</v>
      </c>
      <c r="S220" t="s">
        <v>65</v>
      </c>
      <c r="T220" s="2">
        <v>45954.500509259262</v>
      </c>
      <c r="U220" t="s">
        <v>66</v>
      </c>
      <c r="V220" t="s">
        <v>1242</v>
      </c>
      <c r="W220" t="s">
        <v>66</v>
      </c>
      <c r="X220" t="s">
        <v>66</v>
      </c>
      <c r="Y220" t="s">
        <v>1376</v>
      </c>
      <c r="Z220" t="s">
        <v>69</v>
      </c>
      <c r="AA220" t="s">
        <v>70</v>
      </c>
      <c r="AB220" t="s">
        <v>66</v>
      </c>
      <c r="AC220" t="s">
        <v>66</v>
      </c>
      <c r="AD220" s="2">
        <v>45960.740370370368</v>
      </c>
      <c r="AE220" t="s">
        <v>71</v>
      </c>
      <c r="AF220" t="s">
        <v>66</v>
      </c>
      <c r="AG220" t="s">
        <v>90</v>
      </c>
      <c r="AH220" t="s">
        <v>91</v>
      </c>
      <c r="AI220">
        <v>560045</v>
      </c>
      <c r="AJ220" t="s">
        <v>74</v>
      </c>
      <c r="AK220" t="s">
        <v>75</v>
      </c>
      <c r="AL220">
        <v>62042300</v>
      </c>
      <c r="AM220" s="2"/>
      <c r="AN220">
        <v>2275</v>
      </c>
      <c r="AO220" t="s">
        <v>1377</v>
      </c>
      <c r="AP220" t="s">
        <v>93</v>
      </c>
      <c r="AQ220" t="s">
        <v>66</v>
      </c>
      <c r="AR220" t="s">
        <v>71</v>
      </c>
      <c r="AS220">
        <v>5</v>
      </c>
      <c r="AT220">
        <v>0</v>
      </c>
      <c r="AU220">
        <v>0</v>
      </c>
      <c r="AV220">
        <v>5</v>
      </c>
      <c r="AW220">
        <v>108.333</v>
      </c>
      <c r="AX220">
        <v>0</v>
      </c>
      <c r="AY220">
        <v>0</v>
      </c>
      <c r="AZ220">
        <v>108.333</v>
      </c>
      <c r="BA220" s="2"/>
      <c r="BB220">
        <v>0.75</v>
      </c>
      <c r="BC220" s="2">
        <v>45955.5</v>
      </c>
      <c r="BD220" s="1">
        <f>MarketPlace_Order_Report__2[[#This Row],[UnitPrice]]*MarketPlace_Order_Report__2[[#This Row],[OrderQty]]</f>
        <v>2275</v>
      </c>
      <c r="BE220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20" s="1">
        <f>MarketPlace_Order_Report__2[[#This Row],[Gross Amount (Before Tax)]]+MarketPlace_Order_Report__2[[#This Row],[Total GST Amount]]</f>
        <v>2383.3330000000001</v>
      </c>
    </row>
    <row r="221" spans="1:58">
      <c r="A221" t="s">
        <v>1378</v>
      </c>
      <c r="B221" t="s">
        <v>1379</v>
      </c>
      <c r="C221" t="s">
        <v>1373</v>
      </c>
      <c r="D221" t="s">
        <v>1374</v>
      </c>
      <c r="E221">
        <v>1</v>
      </c>
      <c r="F221" t="s">
        <v>62</v>
      </c>
      <c r="G221">
        <v>1</v>
      </c>
      <c r="H221">
        <v>1</v>
      </c>
      <c r="I221">
        <v>3250</v>
      </c>
      <c r="J221">
        <v>2275</v>
      </c>
      <c r="K221">
        <v>0</v>
      </c>
      <c r="L221">
        <v>2304</v>
      </c>
      <c r="M221">
        <v>29</v>
      </c>
      <c r="N221" t="s">
        <v>63</v>
      </c>
      <c r="O221" s="2">
        <v>45947.331747685188</v>
      </c>
      <c r="P221" s="2">
        <v>45948.728206018517</v>
      </c>
      <c r="Q221" s="2">
        <v>45951.695937500001</v>
      </c>
      <c r="R221" t="s">
        <v>1380</v>
      </c>
      <c r="S221" t="s">
        <v>65</v>
      </c>
      <c r="T221" s="2">
        <v>45947.781585648147</v>
      </c>
      <c r="U221" t="s">
        <v>66</v>
      </c>
      <c r="V221" t="s">
        <v>1242</v>
      </c>
      <c r="W221" t="s">
        <v>66</v>
      </c>
      <c r="X221" t="s">
        <v>66</v>
      </c>
      <c r="Y221" t="s">
        <v>1381</v>
      </c>
      <c r="Z221" t="s">
        <v>69</v>
      </c>
      <c r="AA221" t="s">
        <v>175</v>
      </c>
      <c r="AB221" t="s">
        <v>66</v>
      </c>
      <c r="AC221" t="s">
        <v>66</v>
      </c>
      <c r="AD221" s="2">
        <v>45959.806284722225</v>
      </c>
      <c r="AE221" t="s">
        <v>71</v>
      </c>
      <c r="AF221" t="s">
        <v>66</v>
      </c>
      <c r="AG221" t="s">
        <v>90</v>
      </c>
      <c r="AH221" t="s">
        <v>91</v>
      </c>
      <c r="AI221">
        <v>560100</v>
      </c>
      <c r="AJ221" t="s">
        <v>74</v>
      </c>
      <c r="AK221" t="s">
        <v>75</v>
      </c>
      <c r="AL221">
        <v>62042300</v>
      </c>
      <c r="AM221" s="2"/>
      <c r="AN221">
        <v>2275</v>
      </c>
      <c r="AO221" t="s">
        <v>1382</v>
      </c>
      <c r="AP221" t="s">
        <v>93</v>
      </c>
      <c r="AQ221" t="s">
        <v>66</v>
      </c>
      <c r="AR221" t="s">
        <v>71</v>
      </c>
      <c r="AS221">
        <v>5</v>
      </c>
      <c r="AT221">
        <v>0</v>
      </c>
      <c r="AU221">
        <v>0</v>
      </c>
      <c r="AV221">
        <v>5</v>
      </c>
      <c r="AW221">
        <v>108.333</v>
      </c>
      <c r="AX221">
        <v>0</v>
      </c>
      <c r="AY221">
        <v>0</v>
      </c>
      <c r="AZ221">
        <v>108.333</v>
      </c>
      <c r="BA221" s="2"/>
      <c r="BB221">
        <v>0.75</v>
      </c>
      <c r="BC221" s="2">
        <v>45949.5</v>
      </c>
      <c r="BD221" s="1">
        <f>MarketPlace_Order_Report__2[[#This Row],[UnitPrice]]*MarketPlace_Order_Report__2[[#This Row],[OrderQty]]</f>
        <v>2275</v>
      </c>
      <c r="BE221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21" s="1">
        <f>MarketPlace_Order_Report__2[[#This Row],[Gross Amount (Before Tax)]]+MarketPlace_Order_Report__2[[#This Row],[Total GST Amount]]</f>
        <v>2383.3330000000001</v>
      </c>
    </row>
    <row r="222" spans="1:58">
      <c r="A222" t="s">
        <v>1383</v>
      </c>
      <c r="B222" t="s">
        <v>1384</v>
      </c>
      <c r="C222" t="s">
        <v>1373</v>
      </c>
      <c r="D222" t="s">
        <v>1374</v>
      </c>
      <c r="E222">
        <v>1</v>
      </c>
      <c r="F222" t="s">
        <v>1806</v>
      </c>
      <c r="G222">
        <v>1</v>
      </c>
      <c r="H222">
        <v>1</v>
      </c>
      <c r="I222">
        <v>3250</v>
      </c>
      <c r="J222">
        <v>2275</v>
      </c>
      <c r="K222">
        <v>0</v>
      </c>
      <c r="L222">
        <v>2288.88</v>
      </c>
      <c r="M222">
        <v>13.88</v>
      </c>
      <c r="N222" t="s">
        <v>63</v>
      </c>
      <c r="O222" s="2">
        <v>45943.420787037037</v>
      </c>
      <c r="P222" s="2">
        <v>45944.738541666666</v>
      </c>
      <c r="Q222" s="2">
        <v>45949.571469907409</v>
      </c>
      <c r="R222" t="s">
        <v>1385</v>
      </c>
      <c r="S222" t="s">
        <v>65</v>
      </c>
      <c r="T222" s="2">
        <v>45943.814467592594</v>
      </c>
      <c r="U222" t="s">
        <v>66</v>
      </c>
      <c r="V222" t="s">
        <v>1242</v>
      </c>
      <c r="W222" t="s">
        <v>66</v>
      </c>
      <c r="X222" t="s">
        <v>66</v>
      </c>
      <c r="Y222" t="s">
        <v>66</v>
      </c>
      <c r="Z222" t="s">
        <v>66</v>
      </c>
      <c r="AA222" t="s">
        <v>66</v>
      </c>
      <c r="AB222" t="s">
        <v>66</v>
      </c>
      <c r="AC222" t="s">
        <v>66</v>
      </c>
      <c r="AD222" s="2">
        <v>45949.573750000003</v>
      </c>
      <c r="AE222" t="s">
        <v>71</v>
      </c>
      <c r="AF222" t="s">
        <v>66</v>
      </c>
      <c r="AG222" t="s">
        <v>1386</v>
      </c>
      <c r="AH222" t="s">
        <v>139</v>
      </c>
      <c r="AI222">
        <v>231001</v>
      </c>
      <c r="AJ222" t="s">
        <v>74</v>
      </c>
      <c r="AK222" t="s">
        <v>75</v>
      </c>
      <c r="AL222">
        <v>62042300</v>
      </c>
      <c r="AM222" s="2"/>
      <c r="AN222">
        <v>2275</v>
      </c>
      <c r="AO222" t="s">
        <v>1387</v>
      </c>
      <c r="AP222" t="s">
        <v>132</v>
      </c>
      <c r="AQ222" t="s">
        <v>66</v>
      </c>
      <c r="AR222" t="s">
        <v>71</v>
      </c>
      <c r="AS222">
        <v>5</v>
      </c>
      <c r="AT222">
        <v>0</v>
      </c>
      <c r="AU222">
        <v>0</v>
      </c>
      <c r="AV222">
        <v>5</v>
      </c>
      <c r="AW222">
        <v>108.333</v>
      </c>
      <c r="AX222">
        <v>0</v>
      </c>
      <c r="AY222">
        <v>0</v>
      </c>
      <c r="AZ222">
        <v>108.333</v>
      </c>
      <c r="BA222" s="2"/>
      <c r="BB222">
        <v>0.75</v>
      </c>
      <c r="BC222" s="2">
        <v>45945.5</v>
      </c>
      <c r="BD222" s="1">
        <f>MarketPlace_Order_Report__2[[#This Row],[UnitPrice]]*MarketPlace_Order_Report__2[[#This Row],[OrderQty]]</f>
        <v>2275</v>
      </c>
      <c r="BE222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22" s="1">
        <f>MarketPlace_Order_Report__2[[#This Row],[Gross Amount (Before Tax)]]+MarketPlace_Order_Report__2[[#This Row],[Total GST Amount]]</f>
        <v>2383.3330000000001</v>
      </c>
    </row>
    <row r="223" spans="1:58">
      <c r="A223" t="s">
        <v>1388</v>
      </c>
      <c r="B223" t="s">
        <v>1389</v>
      </c>
      <c r="C223" t="s">
        <v>1390</v>
      </c>
      <c r="D223" t="s">
        <v>1391</v>
      </c>
      <c r="E223">
        <v>1</v>
      </c>
      <c r="F223" t="s">
        <v>228</v>
      </c>
      <c r="G223">
        <v>1</v>
      </c>
      <c r="H223">
        <v>1</v>
      </c>
      <c r="I223">
        <v>3250</v>
      </c>
      <c r="J223">
        <v>2275</v>
      </c>
      <c r="K223">
        <v>0</v>
      </c>
      <c r="L223">
        <v>2301.2199999999998</v>
      </c>
      <c r="M223">
        <v>26.22</v>
      </c>
      <c r="N223" t="s">
        <v>99</v>
      </c>
      <c r="O223" s="2">
        <v>45942.498252314814</v>
      </c>
      <c r="P223" s="2">
        <v>45943.762060185189</v>
      </c>
      <c r="Q223" s="2"/>
      <c r="R223" t="s">
        <v>1392</v>
      </c>
      <c r="S223" t="s">
        <v>65</v>
      </c>
      <c r="T223" s="2">
        <v>45942.661412037036</v>
      </c>
      <c r="U223" t="s">
        <v>66</v>
      </c>
      <c r="V223" t="s">
        <v>1242</v>
      </c>
      <c r="W223" t="s">
        <v>66</v>
      </c>
      <c r="X223" t="s">
        <v>66</v>
      </c>
      <c r="Y223" t="s">
        <v>1393</v>
      </c>
      <c r="Z223" t="s">
        <v>231</v>
      </c>
      <c r="AA223" t="s">
        <v>175</v>
      </c>
      <c r="AB223" t="s">
        <v>66</v>
      </c>
      <c r="AC223" t="s">
        <v>66</v>
      </c>
      <c r="AD223" s="2">
        <v>45955.879201388889</v>
      </c>
      <c r="AE223" t="s">
        <v>71</v>
      </c>
      <c r="AF223" t="s">
        <v>66</v>
      </c>
      <c r="AG223" t="s">
        <v>1394</v>
      </c>
      <c r="AH223" t="s">
        <v>440</v>
      </c>
      <c r="AI223">
        <v>135002</v>
      </c>
      <c r="AJ223" t="s">
        <v>74</v>
      </c>
      <c r="AK223" t="s">
        <v>75</v>
      </c>
      <c r="AL223">
        <v>62042300</v>
      </c>
      <c r="AM223" s="2"/>
      <c r="AN223">
        <v>2275</v>
      </c>
      <c r="AO223" t="s">
        <v>1395</v>
      </c>
      <c r="AP223" t="s">
        <v>243</v>
      </c>
      <c r="AQ223" t="s">
        <v>66</v>
      </c>
      <c r="AR223" t="s">
        <v>71</v>
      </c>
      <c r="AS223">
        <v>5</v>
      </c>
      <c r="AT223">
        <v>0</v>
      </c>
      <c r="AU223">
        <v>0</v>
      </c>
      <c r="AV223">
        <v>5</v>
      </c>
      <c r="AW223">
        <v>108.333</v>
      </c>
      <c r="AX223">
        <v>0</v>
      </c>
      <c r="AY223">
        <v>0</v>
      </c>
      <c r="AZ223">
        <v>108.333</v>
      </c>
      <c r="BA223" s="2"/>
      <c r="BB223">
        <v>0.75</v>
      </c>
      <c r="BC223" s="2">
        <v>45944.5</v>
      </c>
      <c r="BD223" s="1">
        <f>MarketPlace_Order_Report__2[[#This Row],[UnitPrice]]*MarketPlace_Order_Report__2[[#This Row],[OrderQty]]</f>
        <v>2275</v>
      </c>
      <c r="BE223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23" s="1">
        <f>MarketPlace_Order_Report__2[[#This Row],[Gross Amount (Before Tax)]]+MarketPlace_Order_Report__2[[#This Row],[Total GST Amount]]</f>
        <v>2383.3330000000001</v>
      </c>
    </row>
    <row r="224" spans="1:58">
      <c r="A224" t="s">
        <v>1396</v>
      </c>
      <c r="B224" t="s">
        <v>1397</v>
      </c>
      <c r="C224" t="s">
        <v>1390</v>
      </c>
      <c r="D224" t="s">
        <v>1391</v>
      </c>
      <c r="E224">
        <v>1</v>
      </c>
      <c r="F224" t="s">
        <v>1806</v>
      </c>
      <c r="G224">
        <v>1</v>
      </c>
      <c r="H224">
        <v>1</v>
      </c>
      <c r="I224">
        <v>3250</v>
      </c>
      <c r="J224">
        <v>2275</v>
      </c>
      <c r="K224">
        <v>0</v>
      </c>
      <c r="L224">
        <v>2324</v>
      </c>
      <c r="M224">
        <v>49</v>
      </c>
      <c r="N224" t="s">
        <v>99</v>
      </c>
      <c r="O224" s="2">
        <v>45940.715613425928</v>
      </c>
      <c r="P224" s="2">
        <v>45941.748483796298</v>
      </c>
      <c r="Q224" s="2">
        <v>45947.54146990741</v>
      </c>
      <c r="R224" t="s">
        <v>1398</v>
      </c>
      <c r="S224" t="s">
        <v>65</v>
      </c>
      <c r="T224" s="2">
        <v>45940.816203703704</v>
      </c>
      <c r="U224" t="s">
        <v>66</v>
      </c>
      <c r="V224" t="s">
        <v>1242</v>
      </c>
      <c r="W224" t="s">
        <v>66</v>
      </c>
      <c r="X224" t="s">
        <v>66</v>
      </c>
      <c r="Y224" t="s">
        <v>66</v>
      </c>
      <c r="Z224" t="s">
        <v>66</v>
      </c>
      <c r="AA224" t="s">
        <v>66</v>
      </c>
      <c r="AB224" t="s">
        <v>66</v>
      </c>
      <c r="AC224" t="s">
        <v>66</v>
      </c>
      <c r="AD224" s="2">
        <v>45947.542673611111</v>
      </c>
      <c r="AE224" t="s">
        <v>71</v>
      </c>
      <c r="AF224" t="s">
        <v>66</v>
      </c>
      <c r="AG224" t="s">
        <v>1399</v>
      </c>
      <c r="AH224" t="s">
        <v>139</v>
      </c>
      <c r="AI224">
        <v>271801</v>
      </c>
      <c r="AJ224" t="s">
        <v>74</v>
      </c>
      <c r="AK224" t="s">
        <v>75</v>
      </c>
      <c r="AL224">
        <v>62042300</v>
      </c>
      <c r="AM224" s="2"/>
      <c r="AN224">
        <v>2275</v>
      </c>
      <c r="AO224" t="s">
        <v>1400</v>
      </c>
      <c r="AP224" t="s">
        <v>66</v>
      </c>
      <c r="AQ224" t="s">
        <v>66</v>
      </c>
      <c r="AR224" t="s">
        <v>71</v>
      </c>
      <c r="AS224">
        <v>5</v>
      </c>
      <c r="AT224">
        <v>0</v>
      </c>
      <c r="AU224">
        <v>0</v>
      </c>
      <c r="AV224">
        <v>5</v>
      </c>
      <c r="AW224">
        <v>108.333</v>
      </c>
      <c r="AX224">
        <v>0</v>
      </c>
      <c r="AY224">
        <v>0</v>
      </c>
      <c r="AZ224">
        <v>108.333</v>
      </c>
      <c r="BA224" s="2"/>
      <c r="BB224">
        <v>0.75</v>
      </c>
      <c r="BC224" s="2">
        <v>45943.5</v>
      </c>
      <c r="BD224" s="1">
        <f>MarketPlace_Order_Report__2[[#This Row],[UnitPrice]]*MarketPlace_Order_Report__2[[#This Row],[OrderQty]]</f>
        <v>2275</v>
      </c>
      <c r="BE224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24" s="1">
        <f>MarketPlace_Order_Report__2[[#This Row],[Gross Amount (Before Tax)]]+MarketPlace_Order_Report__2[[#This Row],[Total GST Amount]]</f>
        <v>2383.3330000000001</v>
      </c>
    </row>
    <row r="225" spans="1:58">
      <c r="A225" t="s">
        <v>1401</v>
      </c>
      <c r="B225" t="s">
        <v>1402</v>
      </c>
      <c r="C225" t="s">
        <v>1390</v>
      </c>
      <c r="D225" t="s">
        <v>1391</v>
      </c>
      <c r="E225">
        <v>6</v>
      </c>
      <c r="F225" t="s">
        <v>62</v>
      </c>
      <c r="G225">
        <v>1</v>
      </c>
      <c r="H225">
        <v>1</v>
      </c>
      <c r="I225">
        <v>3250</v>
      </c>
      <c r="J225">
        <v>2275</v>
      </c>
      <c r="K225">
        <v>0</v>
      </c>
      <c r="L225">
        <v>2280.16</v>
      </c>
      <c r="M225">
        <v>5.16</v>
      </c>
      <c r="N225" t="s">
        <v>63</v>
      </c>
      <c r="O225" s="2">
        <v>45940.442673611113</v>
      </c>
      <c r="P225" s="2">
        <v>45941.748877314814</v>
      </c>
      <c r="Q225" s="2">
        <v>45943.897777777776</v>
      </c>
      <c r="R225" t="s">
        <v>1403</v>
      </c>
      <c r="S225" t="s">
        <v>65</v>
      </c>
      <c r="T225" s="2">
        <v>45940.816203703704</v>
      </c>
      <c r="U225" t="s">
        <v>66</v>
      </c>
      <c r="V225" t="s">
        <v>1242</v>
      </c>
      <c r="W225" t="s">
        <v>66</v>
      </c>
      <c r="X225" t="s">
        <v>66</v>
      </c>
      <c r="Y225" t="s">
        <v>1404</v>
      </c>
      <c r="Z225" t="s">
        <v>69</v>
      </c>
      <c r="AA225" t="s">
        <v>175</v>
      </c>
      <c r="AB225" t="s">
        <v>66</v>
      </c>
      <c r="AC225" t="s">
        <v>66</v>
      </c>
      <c r="AD225" s="2">
        <v>45960.045995370368</v>
      </c>
      <c r="AE225" t="s">
        <v>71</v>
      </c>
      <c r="AF225" t="s">
        <v>66</v>
      </c>
      <c r="AG225" t="s">
        <v>90</v>
      </c>
      <c r="AH225" t="s">
        <v>91</v>
      </c>
      <c r="AI225">
        <v>560063</v>
      </c>
      <c r="AJ225" t="s">
        <v>74</v>
      </c>
      <c r="AK225" t="s">
        <v>75</v>
      </c>
      <c r="AL225">
        <v>62042300</v>
      </c>
      <c r="AM225" s="2"/>
      <c r="AN225">
        <v>2275</v>
      </c>
      <c r="AO225" t="s">
        <v>1405</v>
      </c>
      <c r="AP225" t="s">
        <v>66</v>
      </c>
      <c r="AQ225" t="s">
        <v>66</v>
      </c>
      <c r="AR225" t="s">
        <v>71</v>
      </c>
      <c r="AS225">
        <v>5</v>
      </c>
      <c r="AT225">
        <v>0</v>
      </c>
      <c r="AU225">
        <v>0</v>
      </c>
      <c r="AV225">
        <v>5</v>
      </c>
      <c r="AW225">
        <v>108.333</v>
      </c>
      <c r="AX225">
        <v>0</v>
      </c>
      <c r="AY225">
        <v>0</v>
      </c>
      <c r="AZ225">
        <v>108.333</v>
      </c>
      <c r="BA225" s="2"/>
      <c r="BB225">
        <v>0.75</v>
      </c>
      <c r="BC225" s="2">
        <v>45942.5</v>
      </c>
      <c r="BD225" s="1">
        <f>MarketPlace_Order_Report__2[[#This Row],[UnitPrice]]*MarketPlace_Order_Report__2[[#This Row],[OrderQty]]</f>
        <v>2275</v>
      </c>
      <c r="BE225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25" s="1">
        <f>MarketPlace_Order_Report__2[[#This Row],[Gross Amount (Before Tax)]]+MarketPlace_Order_Report__2[[#This Row],[Total GST Amount]]</f>
        <v>2383.3330000000001</v>
      </c>
    </row>
    <row r="226" spans="1:58">
      <c r="A226" t="s">
        <v>1406</v>
      </c>
      <c r="B226" t="s">
        <v>1407</v>
      </c>
      <c r="C226" t="s">
        <v>1408</v>
      </c>
      <c r="D226" t="s">
        <v>1409</v>
      </c>
      <c r="E226">
        <v>1</v>
      </c>
      <c r="F226" t="s">
        <v>107</v>
      </c>
      <c r="G226">
        <v>1</v>
      </c>
      <c r="H226">
        <v>1</v>
      </c>
      <c r="I226">
        <v>3250</v>
      </c>
      <c r="J226">
        <v>2275</v>
      </c>
      <c r="K226">
        <v>0</v>
      </c>
      <c r="L226">
        <v>2324</v>
      </c>
      <c r="M226">
        <v>49</v>
      </c>
      <c r="N226" t="s">
        <v>99</v>
      </c>
      <c r="O226" s="2">
        <v>45956.976122685184</v>
      </c>
      <c r="P226" s="2">
        <v>45958.714814814812</v>
      </c>
      <c r="Q226" s="2"/>
      <c r="R226" t="s">
        <v>1410</v>
      </c>
      <c r="S226" t="s">
        <v>65</v>
      </c>
      <c r="T226" s="2">
        <v>45957.797627314816</v>
      </c>
      <c r="U226" t="s">
        <v>66</v>
      </c>
      <c r="V226" t="s">
        <v>1242</v>
      </c>
      <c r="W226" t="s">
        <v>66</v>
      </c>
      <c r="X226" t="s">
        <v>66</v>
      </c>
      <c r="Y226" t="s">
        <v>66</v>
      </c>
      <c r="Z226" t="s">
        <v>66</v>
      </c>
      <c r="AA226" t="s">
        <v>66</v>
      </c>
      <c r="AB226" t="s">
        <v>66</v>
      </c>
      <c r="AC226" t="s">
        <v>66</v>
      </c>
      <c r="AD226" s="2">
        <v>45961.344490740739</v>
      </c>
      <c r="AE226" t="s">
        <v>71</v>
      </c>
      <c r="AF226" t="s">
        <v>66</v>
      </c>
      <c r="AG226" t="s">
        <v>114</v>
      </c>
      <c r="AH226" t="s">
        <v>115</v>
      </c>
      <c r="AI226">
        <v>110085</v>
      </c>
      <c r="AJ226" t="s">
        <v>74</v>
      </c>
      <c r="AK226" t="s">
        <v>75</v>
      </c>
      <c r="AL226">
        <v>62044220</v>
      </c>
      <c r="AM226" s="2"/>
      <c r="AN226">
        <v>2275</v>
      </c>
      <c r="AO226" t="s">
        <v>1411</v>
      </c>
      <c r="AP226" t="s">
        <v>1264</v>
      </c>
      <c r="AQ226" t="s">
        <v>66</v>
      </c>
      <c r="AR226" t="s">
        <v>71</v>
      </c>
      <c r="AS226">
        <v>5</v>
      </c>
      <c r="AT226">
        <v>0</v>
      </c>
      <c r="AU226">
        <v>0</v>
      </c>
      <c r="AV226">
        <v>5</v>
      </c>
      <c r="AW226">
        <v>108.333</v>
      </c>
      <c r="AX226">
        <v>0</v>
      </c>
      <c r="AY226">
        <v>0</v>
      </c>
      <c r="AZ226">
        <v>108.333</v>
      </c>
      <c r="BA226" s="2"/>
      <c r="BB226">
        <v>0.75</v>
      </c>
      <c r="BC226" s="2">
        <v>45959.5</v>
      </c>
      <c r="BD226" s="1">
        <f>MarketPlace_Order_Report__2[[#This Row],[UnitPrice]]*MarketPlace_Order_Report__2[[#This Row],[OrderQty]]</f>
        <v>2275</v>
      </c>
      <c r="BE226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26" s="1">
        <f>MarketPlace_Order_Report__2[[#This Row],[Gross Amount (Before Tax)]]+MarketPlace_Order_Report__2[[#This Row],[Total GST Amount]]</f>
        <v>2383.3330000000001</v>
      </c>
    </row>
    <row r="227" spans="1:58">
      <c r="A227" t="s">
        <v>1412</v>
      </c>
      <c r="B227" t="s">
        <v>1413</v>
      </c>
      <c r="C227" t="s">
        <v>1414</v>
      </c>
      <c r="D227" t="s">
        <v>1415</v>
      </c>
      <c r="E227">
        <v>1</v>
      </c>
      <c r="F227" t="s">
        <v>145</v>
      </c>
      <c r="G227">
        <v>1</v>
      </c>
      <c r="H227">
        <v>0</v>
      </c>
      <c r="I227">
        <v>3250</v>
      </c>
      <c r="J227">
        <v>2275</v>
      </c>
      <c r="K227">
        <v>0</v>
      </c>
      <c r="L227">
        <v>2324</v>
      </c>
      <c r="M227">
        <v>49</v>
      </c>
      <c r="N227" t="s">
        <v>99</v>
      </c>
      <c r="O227" s="2">
        <v>45955.980810185189</v>
      </c>
      <c r="P227" s="2"/>
      <c r="Q227" s="2"/>
      <c r="R227" t="s">
        <v>66</v>
      </c>
      <c r="S227" t="s">
        <v>65</v>
      </c>
      <c r="T227" s="2"/>
      <c r="U227" t="s">
        <v>1333</v>
      </c>
      <c r="V227" t="s">
        <v>1242</v>
      </c>
      <c r="W227" t="s">
        <v>66</v>
      </c>
      <c r="X227" t="s">
        <v>66</v>
      </c>
      <c r="Y227" t="s">
        <v>66</v>
      </c>
      <c r="Z227" t="s">
        <v>66</v>
      </c>
      <c r="AA227" t="s">
        <v>66</v>
      </c>
      <c r="AB227" t="s">
        <v>66</v>
      </c>
      <c r="AC227" t="s">
        <v>66</v>
      </c>
      <c r="AD227" s="2">
        <v>45955.983657407407</v>
      </c>
      <c r="AE227" t="s">
        <v>71</v>
      </c>
      <c r="AF227" t="s">
        <v>66</v>
      </c>
      <c r="AG227" t="s">
        <v>114</v>
      </c>
      <c r="AH227" t="s">
        <v>115</v>
      </c>
      <c r="AI227">
        <v>110085</v>
      </c>
      <c r="AJ227" t="s">
        <v>74</v>
      </c>
      <c r="AK227" t="s">
        <v>75</v>
      </c>
      <c r="AL227">
        <v>62044220</v>
      </c>
      <c r="AM227" s="2">
        <v>45955.983657407407</v>
      </c>
      <c r="AN227">
        <v>2275</v>
      </c>
      <c r="AO227" t="s">
        <v>66</v>
      </c>
      <c r="AP227" t="s">
        <v>1282</v>
      </c>
      <c r="AQ227" t="s">
        <v>66</v>
      </c>
      <c r="AR227" t="s">
        <v>71</v>
      </c>
      <c r="AS227">
        <v>5</v>
      </c>
      <c r="AT227">
        <v>0</v>
      </c>
      <c r="AU227">
        <v>0</v>
      </c>
      <c r="AV227">
        <v>5</v>
      </c>
      <c r="AW227">
        <v>108.333</v>
      </c>
      <c r="AX227">
        <v>0</v>
      </c>
      <c r="AY227">
        <v>0</v>
      </c>
      <c r="AZ227">
        <v>108.333</v>
      </c>
      <c r="BA227" s="2"/>
      <c r="BC227" s="2">
        <v>45958.5</v>
      </c>
      <c r="BD227" s="1">
        <f>MarketPlace_Order_Report__2[[#This Row],[UnitPrice]]*MarketPlace_Order_Report__2[[#This Row],[OrderQty]]</f>
        <v>2275</v>
      </c>
      <c r="BE227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27" s="1">
        <f>MarketPlace_Order_Report__2[[#This Row],[Gross Amount (Before Tax)]]+MarketPlace_Order_Report__2[[#This Row],[Total GST Amount]]</f>
        <v>2383.3330000000001</v>
      </c>
    </row>
    <row r="228" spans="1:58">
      <c r="A228" t="s">
        <v>1416</v>
      </c>
      <c r="B228" t="s">
        <v>1417</v>
      </c>
      <c r="C228" t="s">
        <v>1418</v>
      </c>
      <c r="D228" t="s">
        <v>1419</v>
      </c>
      <c r="E228">
        <v>5</v>
      </c>
      <c r="F228" t="s">
        <v>62</v>
      </c>
      <c r="G228">
        <v>1</v>
      </c>
      <c r="H228">
        <v>1</v>
      </c>
      <c r="I228">
        <v>2800</v>
      </c>
      <c r="J228">
        <v>2240</v>
      </c>
      <c r="K228">
        <v>0</v>
      </c>
      <c r="L228">
        <v>2240</v>
      </c>
      <c r="M228">
        <v>0</v>
      </c>
      <c r="N228" t="s">
        <v>63</v>
      </c>
      <c r="O228" s="2">
        <v>45934.566446759258</v>
      </c>
      <c r="P228" s="2">
        <v>45936.641296296293</v>
      </c>
      <c r="Q228" s="2">
        <v>45940.452951388892</v>
      </c>
      <c r="R228" t="s">
        <v>1420</v>
      </c>
      <c r="S228" t="s">
        <v>89</v>
      </c>
      <c r="T228" s="2">
        <v>45934.839085648149</v>
      </c>
      <c r="U228" t="s">
        <v>66</v>
      </c>
      <c r="V228" t="s">
        <v>1242</v>
      </c>
      <c r="W228" t="s">
        <v>66</v>
      </c>
      <c r="X228" t="s">
        <v>66</v>
      </c>
      <c r="Y228" t="s">
        <v>1421</v>
      </c>
      <c r="Z228" t="s">
        <v>69</v>
      </c>
      <c r="AA228" t="s">
        <v>175</v>
      </c>
      <c r="AB228" t="s">
        <v>66</v>
      </c>
      <c r="AC228" t="s">
        <v>66</v>
      </c>
      <c r="AD228" s="2">
        <v>45957.622395833336</v>
      </c>
      <c r="AE228" t="s">
        <v>71</v>
      </c>
      <c r="AF228" t="s">
        <v>66</v>
      </c>
      <c r="AG228" t="s">
        <v>588</v>
      </c>
      <c r="AH228" t="s">
        <v>440</v>
      </c>
      <c r="AI228">
        <v>122003</v>
      </c>
      <c r="AJ228" t="s">
        <v>74</v>
      </c>
      <c r="AK228" t="s">
        <v>75</v>
      </c>
      <c r="AL228">
        <v>62042300</v>
      </c>
      <c r="AM228" s="2"/>
      <c r="AN228">
        <v>2240</v>
      </c>
      <c r="AO228" t="s">
        <v>1422</v>
      </c>
      <c r="AP228" t="s">
        <v>66</v>
      </c>
      <c r="AQ228" t="s">
        <v>66</v>
      </c>
      <c r="AR228" t="s">
        <v>71</v>
      </c>
      <c r="AS228">
        <v>5</v>
      </c>
      <c r="AT228">
        <v>0</v>
      </c>
      <c r="AU228">
        <v>0</v>
      </c>
      <c r="AV228">
        <v>5</v>
      </c>
      <c r="AW228">
        <v>106.667</v>
      </c>
      <c r="AX228">
        <v>0</v>
      </c>
      <c r="AY228">
        <v>0</v>
      </c>
      <c r="AZ228">
        <v>106.667</v>
      </c>
      <c r="BA228" s="2"/>
      <c r="BB228">
        <v>0.75</v>
      </c>
      <c r="BC228" s="2">
        <v>45937.5</v>
      </c>
      <c r="BD228" s="1">
        <f>MarketPlace_Order_Report__2[[#This Row],[UnitPrice]]*MarketPlace_Order_Report__2[[#This Row],[OrderQty]]</f>
        <v>2240</v>
      </c>
      <c r="BE228" s="1">
        <f>IFERROR(MarketPlace_Order_Report__2[[#This Row],[CGSTAmount]]+MarketPlace_Order_Report__2[[#This Row],[SGSTAmount]]+MarketPlace_Order_Report__2[[#This Row],[IGSTAmount]],MarketPlace_Order_Report__2[[#This Row],[TaxAmount]])</f>
        <v>106.667</v>
      </c>
      <c r="BF228" s="1">
        <f>MarketPlace_Order_Report__2[[#This Row],[Gross Amount (Before Tax)]]+MarketPlace_Order_Report__2[[#This Row],[Total GST Amount]]</f>
        <v>2346.6669999999999</v>
      </c>
    </row>
    <row r="229" spans="1:58">
      <c r="A229" t="s">
        <v>1423</v>
      </c>
      <c r="B229" t="s">
        <v>1424</v>
      </c>
      <c r="C229" t="s">
        <v>1425</v>
      </c>
      <c r="D229" t="s">
        <v>1426</v>
      </c>
      <c r="E229">
        <v>6</v>
      </c>
      <c r="F229" t="s">
        <v>62</v>
      </c>
      <c r="G229">
        <v>1</v>
      </c>
      <c r="H229">
        <v>1</v>
      </c>
      <c r="I229">
        <v>2800</v>
      </c>
      <c r="J229">
        <v>2240</v>
      </c>
      <c r="K229">
        <v>0</v>
      </c>
      <c r="L229">
        <v>2242.9920000000002</v>
      </c>
      <c r="M229">
        <v>2.992</v>
      </c>
      <c r="N229" t="s">
        <v>63</v>
      </c>
      <c r="O229" s="2">
        <v>45949.293773148151</v>
      </c>
      <c r="P229" s="2">
        <v>45954.732164351852</v>
      </c>
      <c r="Q229" s="2">
        <v>45959.416296296295</v>
      </c>
      <c r="R229" t="s">
        <v>1427</v>
      </c>
      <c r="S229" t="s">
        <v>65</v>
      </c>
      <c r="T229" s="2">
        <v>45949.555543981478</v>
      </c>
      <c r="U229" t="s">
        <v>66</v>
      </c>
      <c r="V229" t="s">
        <v>1242</v>
      </c>
      <c r="W229" t="s">
        <v>66</v>
      </c>
      <c r="X229" t="s">
        <v>66</v>
      </c>
      <c r="Y229" t="s">
        <v>1428</v>
      </c>
      <c r="Z229" t="s">
        <v>69</v>
      </c>
      <c r="AA229" t="s">
        <v>70</v>
      </c>
      <c r="AB229" t="s">
        <v>66</v>
      </c>
      <c r="AC229" t="s">
        <v>66</v>
      </c>
      <c r="AD229" s="2">
        <v>45961.490763888891</v>
      </c>
      <c r="AE229" t="s">
        <v>71</v>
      </c>
      <c r="AF229" t="s">
        <v>66</v>
      </c>
      <c r="AG229" t="s">
        <v>90</v>
      </c>
      <c r="AH229" t="s">
        <v>91</v>
      </c>
      <c r="AI229">
        <v>560100</v>
      </c>
      <c r="AJ229" t="s">
        <v>74</v>
      </c>
      <c r="AK229" t="s">
        <v>75</v>
      </c>
      <c r="AL229">
        <v>62042300</v>
      </c>
      <c r="AM229" s="2"/>
      <c r="AN229">
        <v>2240</v>
      </c>
      <c r="AO229" t="s">
        <v>1429</v>
      </c>
      <c r="AP229" t="s">
        <v>66</v>
      </c>
      <c r="AQ229" t="s">
        <v>66</v>
      </c>
      <c r="AR229" t="s">
        <v>71</v>
      </c>
      <c r="AS229">
        <v>5</v>
      </c>
      <c r="AT229">
        <v>0</v>
      </c>
      <c r="AU229">
        <v>0</v>
      </c>
      <c r="AV229">
        <v>5</v>
      </c>
      <c r="AW229">
        <v>106.667</v>
      </c>
      <c r="AX229">
        <v>0</v>
      </c>
      <c r="AY229">
        <v>0</v>
      </c>
      <c r="AZ229">
        <v>106.667</v>
      </c>
      <c r="BA229" s="2"/>
      <c r="BB229">
        <v>1</v>
      </c>
      <c r="BC229" s="2">
        <v>45951.5</v>
      </c>
      <c r="BD229" s="1">
        <f>MarketPlace_Order_Report__2[[#This Row],[UnitPrice]]*MarketPlace_Order_Report__2[[#This Row],[OrderQty]]</f>
        <v>2240</v>
      </c>
      <c r="BE229" s="1">
        <f>IFERROR(MarketPlace_Order_Report__2[[#This Row],[CGSTAmount]]+MarketPlace_Order_Report__2[[#This Row],[SGSTAmount]]+MarketPlace_Order_Report__2[[#This Row],[IGSTAmount]],MarketPlace_Order_Report__2[[#This Row],[TaxAmount]])</f>
        <v>106.667</v>
      </c>
      <c r="BF229" s="1">
        <f>MarketPlace_Order_Report__2[[#This Row],[Gross Amount (Before Tax)]]+MarketPlace_Order_Report__2[[#This Row],[Total GST Amount]]</f>
        <v>2346.6669999999999</v>
      </c>
    </row>
    <row r="230" spans="1:58">
      <c r="A230" t="s">
        <v>1430</v>
      </c>
      <c r="B230" t="s">
        <v>1431</v>
      </c>
      <c r="C230" t="s">
        <v>1432</v>
      </c>
      <c r="D230" t="s">
        <v>1433</v>
      </c>
      <c r="E230">
        <v>1</v>
      </c>
      <c r="F230" t="s">
        <v>1806</v>
      </c>
      <c r="G230">
        <v>1</v>
      </c>
      <c r="H230">
        <v>1</v>
      </c>
      <c r="I230">
        <v>2800</v>
      </c>
      <c r="J230">
        <v>2240</v>
      </c>
      <c r="K230">
        <v>0</v>
      </c>
      <c r="L230">
        <v>2240</v>
      </c>
      <c r="M230">
        <v>0</v>
      </c>
      <c r="N230" t="s">
        <v>63</v>
      </c>
      <c r="O230" s="2">
        <v>45942.412743055553</v>
      </c>
      <c r="P230" s="2">
        <v>45943.762696759259</v>
      </c>
      <c r="Q230" s="2">
        <v>45948.580729166664</v>
      </c>
      <c r="R230" t="s">
        <v>1434</v>
      </c>
      <c r="S230" t="s">
        <v>161</v>
      </c>
      <c r="T230" s="2">
        <v>45942.661412037036</v>
      </c>
      <c r="U230" t="s">
        <v>66</v>
      </c>
      <c r="V230" t="s">
        <v>1242</v>
      </c>
      <c r="W230" t="s">
        <v>66</v>
      </c>
      <c r="X230" t="s">
        <v>66</v>
      </c>
      <c r="Y230" t="s">
        <v>66</v>
      </c>
      <c r="Z230" t="s">
        <v>66</v>
      </c>
      <c r="AA230" t="s">
        <v>66</v>
      </c>
      <c r="AB230" t="s">
        <v>66</v>
      </c>
      <c r="AC230" t="s">
        <v>66</v>
      </c>
      <c r="AD230" s="2">
        <v>45948.584374999999</v>
      </c>
      <c r="AE230" t="s">
        <v>71</v>
      </c>
      <c r="AF230" t="s">
        <v>66</v>
      </c>
      <c r="AG230" t="s">
        <v>1435</v>
      </c>
      <c r="AH230" t="s">
        <v>123</v>
      </c>
      <c r="AI230">
        <v>445001</v>
      </c>
      <c r="AJ230" t="s">
        <v>74</v>
      </c>
      <c r="AK230" t="s">
        <v>75</v>
      </c>
      <c r="AL230">
        <v>62042300</v>
      </c>
      <c r="AM230" s="2"/>
      <c r="AN230">
        <v>2240</v>
      </c>
      <c r="AO230" t="s">
        <v>1436</v>
      </c>
      <c r="AP230" t="s">
        <v>243</v>
      </c>
      <c r="AQ230" t="s">
        <v>66</v>
      </c>
      <c r="AR230" t="s">
        <v>71</v>
      </c>
      <c r="AS230">
        <v>5</v>
      </c>
      <c r="AT230">
        <v>2.5</v>
      </c>
      <c r="AU230">
        <v>2.5</v>
      </c>
      <c r="AV230">
        <v>0</v>
      </c>
      <c r="AW230">
        <v>106.667</v>
      </c>
      <c r="AX230">
        <v>53.334000000000003</v>
      </c>
      <c r="AY230">
        <v>53.334000000000003</v>
      </c>
      <c r="AZ230">
        <v>0</v>
      </c>
      <c r="BA230" s="2"/>
      <c r="BB230">
        <v>0.75</v>
      </c>
      <c r="BC230" s="2">
        <v>45944.5</v>
      </c>
      <c r="BD230" s="1">
        <f>MarketPlace_Order_Report__2[[#This Row],[UnitPrice]]*MarketPlace_Order_Report__2[[#This Row],[OrderQty]]</f>
        <v>2240</v>
      </c>
      <c r="BE230" s="1">
        <f>IFERROR(MarketPlace_Order_Report__2[[#This Row],[CGSTAmount]]+MarketPlace_Order_Report__2[[#This Row],[SGSTAmount]]+MarketPlace_Order_Report__2[[#This Row],[IGSTAmount]],MarketPlace_Order_Report__2[[#This Row],[TaxAmount]])</f>
        <v>106.66800000000001</v>
      </c>
      <c r="BF230" s="1">
        <f>MarketPlace_Order_Report__2[[#This Row],[Gross Amount (Before Tax)]]+MarketPlace_Order_Report__2[[#This Row],[Total GST Amount]]</f>
        <v>2346.6680000000001</v>
      </c>
    </row>
    <row r="231" spans="1:58">
      <c r="A231" t="s">
        <v>1437</v>
      </c>
      <c r="B231" t="s">
        <v>1438</v>
      </c>
      <c r="C231" t="s">
        <v>1439</v>
      </c>
      <c r="D231" t="s">
        <v>1440</v>
      </c>
      <c r="E231">
        <v>1</v>
      </c>
      <c r="F231" t="s">
        <v>257</v>
      </c>
      <c r="G231">
        <v>1</v>
      </c>
      <c r="H231">
        <v>1</v>
      </c>
      <c r="I231">
        <v>2800</v>
      </c>
      <c r="J231">
        <v>2240</v>
      </c>
      <c r="K231">
        <v>0</v>
      </c>
      <c r="L231">
        <v>2289</v>
      </c>
      <c r="M231">
        <v>49</v>
      </c>
      <c r="N231" t="s">
        <v>99</v>
      </c>
      <c r="O231" s="2">
        <v>45933.392696759256</v>
      </c>
      <c r="P231" s="2">
        <v>45934.620092592595</v>
      </c>
      <c r="Q231" s="2"/>
      <c r="R231" t="s">
        <v>1441</v>
      </c>
      <c r="S231" t="s">
        <v>89</v>
      </c>
      <c r="T231" s="2">
        <v>45933.815833333334</v>
      </c>
      <c r="U231" t="s">
        <v>66</v>
      </c>
      <c r="V231" t="s">
        <v>1242</v>
      </c>
      <c r="W231" t="s">
        <v>66</v>
      </c>
      <c r="X231" t="s">
        <v>66</v>
      </c>
      <c r="Y231" t="s">
        <v>66</v>
      </c>
      <c r="Z231" t="s">
        <v>66</v>
      </c>
      <c r="AA231" t="s">
        <v>66</v>
      </c>
      <c r="AB231" t="s">
        <v>66</v>
      </c>
      <c r="AC231" t="s">
        <v>66</v>
      </c>
      <c r="AD231" s="2">
        <v>45948.042546296296</v>
      </c>
      <c r="AE231" t="s">
        <v>71</v>
      </c>
      <c r="AF231" t="s">
        <v>66</v>
      </c>
      <c r="AG231" t="s">
        <v>300</v>
      </c>
      <c r="AH231" t="s">
        <v>123</v>
      </c>
      <c r="AI231">
        <v>411014</v>
      </c>
      <c r="AJ231" t="s">
        <v>74</v>
      </c>
      <c r="AK231" t="s">
        <v>75</v>
      </c>
      <c r="AL231">
        <v>62042300</v>
      </c>
      <c r="AM231" s="2"/>
      <c r="AN231">
        <v>2240</v>
      </c>
      <c r="AO231" t="s">
        <v>1442</v>
      </c>
      <c r="AP231" t="s">
        <v>986</v>
      </c>
      <c r="AQ231" t="s">
        <v>66</v>
      </c>
      <c r="AR231" t="s">
        <v>71</v>
      </c>
      <c r="AS231">
        <v>5</v>
      </c>
      <c r="AT231">
        <v>2.5</v>
      </c>
      <c r="AU231">
        <v>2.5</v>
      </c>
      <c r="AV231">
        <v>0</v>
      </c>
      <c r="AW231">
        <v>106.667</v>
      </c>
      <c r="AX231">
        <v>53.334000000000003</v>
      </c>
      <c r="AY231">
        <v>53.334000000000003</v>
      </c>
      <c r="AZ231">
        <v>0</v>
      </c>
      <c r="BA231" s="2"/>
      <c r="BB231">
        <v>0.75</v>
      </c>
      <c r="BC231" s="2">
        <v>45935.5</v>
      </c>
      <c r="BD231" s="1">
        <f>MarketPlace_Order_Report__2[[#This Row],[UnitPrice]]*MarketPlace_Order_Report__2[[#This Row],[OrderQty]]</f>
        <v>2240</v>
      </c>
      <c r="BE231" s="1">
        <f>IFERROR(MarketPlace_Order_Report__2[[#This Row],[CGSTAmount]]+MarketPlace_Order_Report__2[[#This Row],[SGSTAmount]]+MarketPlace_Order_Report__2[[#This Row],[IGSTAmount]],MarketPlace_Order_Report__2[[#This Row],[TaxAmount]])</f>
        <v>106.66800000000001</v>
      </c>
      <c r="BF231" s="1">
        <f>MarketPlace_Order_Report__2[[#This Row],[Gross Amount (Before Tax)]]+MarketPlace_Order_Report__2[[#This Row],[Total GST Amount]]</f>
        <v>2346.6680000000001</v>
      </c>
    </row>
    <row r="232" spans="1:58">
      <c r="A232" t="s">
        <v>1443</v>
      </c>
      <c r="B232" t="s">
        <v>1444</v>
      </c>
      <c r="C232" t="s">
        <v>1445</v>
      </c>
      <c r="D232" t="s">
        <v>1446</v>
      </c>
      <c r="E232">
        <v>1</v>
      </c>
      <c r="F232" t="s">
        <v>1806</v>
      </c>
      <c r="G232">
        <v>1</v>
      </c>
      <c r="H232">
        <v>1</v>
      </c>
      <c r="I232">
        <v>3000</v>
      </c>
      <c r="J232">
        <v>2100</v>
      </c>
      <c r="K232">
        <v>0</v>
      </c>
      <c r="L232">
        <v>2129</v>
      </c>
      <c r="M232">
        <v>29</v>
      </c>
      <c r="N232" t="s">
        <v>63</v>
      </c>
      <c r="O232" s="2">
        <v>45942.405543981484</v>
      </c>
      <c r="P232" s="2">
        <v>45943.762557870374</v>
      </c>
      <c r="Q232" s="2">
        <v>45948.731620370374</v>
      </c>
      <c r="R232" t="s">
        <v>1447</v>
      </c>
      <c r="S232" t="s">
        <v>65</v>
      </c>
      <c r="T232" s="2">
        <v>45942.661412037036</v>
      </c>
      <c r="U232" t="s">
        <v>66</v>
      </c>
      <c r="V232" t="s">
        <v>1242</v>
      </c>
      <c r="W232" t="s">
        <v>66</v>
      </c>
      <c r="X232" t="s">
        <v>66</v>
      </c>
      <c r="Y232" t="s">
        <v>66</v>
      </c>
      <c r="Z232" t="s">
        <v>66</v>
      </c>
      <c r="AA232" t="s">
        <v>66</v>
      </c>
      <c r="AB232" t="s">
        <v>66</v>
      </c>
      <c r="AC232" t="s">
        <v>66</v>
      </c>
      <c r="AD232" s="2">
        <v>45948.733541666668</v>
      </c>
      <c r="AE232" t="s">
        <v>71</v>
      </c>
      <c r="AF232" t="s">
        <v>66</v>
      </c>
      <c r="AG232" t="s">
        <v>1448</v>
      </c>
      <c r="AH232" t="s">
        <v>73</v>
      </c>
      <c r="AI232">
        <v>325004</v>
      </c>
      <c r="AJ232" t="s">
        <v>74</v>
      </c>
      <c r="AK232" t="s">
        <v>75</v>
      </c>
      <c r="AL232">
        <v>62042300</v>
      </c>
      <c r="AM232" s="2"/>
      <c r="AN232">
        <v>2100</v>
      </c>
      <c r="AO232" t="s">
        <v>1449</v>
      </c>
      <c r="AP232" t="s">
        <v>243</v>
      </c>
      <c r="AQ232" t="s">
        <v>66</v>
      </c>
      <c r="AR232" t="s">
        <v>71</v>
      </c>
      <c r="AS232">
        <v>5</v>
      </c>
      <c r="AT232">
        <v>0</v>
      </c>
      <c r="AU232">
        <v>0</v>
      </c>
      <c r="AV232">
        <v>5</v>
      </c>
      <c r="AW232">
        <v>100</v>
      </c>
      <c r="AX232">
        <v>0</v>
      </c>
      <c r="AY232">
        <v>0</v>
      </c>
      <c r="AZ232">
        <v>100</v>
      </c>
      <c r="BA232" s="2"/>
      <c r="BB232">
        <v>0.75</v>
      </c>
      <c r="BC232" s="2">
        <v>45944.5</v>
      </c>
      <c r="BD232" s="1">
        <f>MarketPlace_Order_Report__2[[#This Row],[UnitPrice]]*MarketPlace_Order_Report__2[[#This Row],[OrderQty]]</f>
        <v>2100</v>
      </c>
      <c r="BE232" s="1">
        <f>IFERROR(MarketPlace_Order_Report__2[[#This Row],[CGSTAmount]]+MarketPlace_Order_Report__2[[#This Row],[SGSTAmount]]+MarketPlace_Order_Report__2[[#This Row],[IGSTAmount]],MarketPlace_Order_Report__2[[#This Row],[TaxAmount]])</f>
        <v>100</v>
      </c>
      <c r="BF232" s="1">
        <f>MarketPlace_Order_Report__2[[#This Row],[Gross Amount (Before Tax)]]+MarketPlace_Order_Report__2[[#This Row],[Total GST Amount]]</f>
        <v>2200</v>
      </c>
    </row>
    <row r="233" spans="1:58">
      <c r="A233" t="s">
        <v>1450</v>
      </c>
      <c r="B233" t="s">
        <v>1451</v>
      </c>
      <c r="C233" t="s">
        <v>1452</v>
      </c>
      <c r="D233" t="s">
        <v>1453</v>
      </c>
      <c r="E233">
        <v>1</v>
      </c>
      <c r="F233" t="s">
        <v>1806</v>
      </c>
      <c r="G233">
        <v>1</v>
      </c>
      <c r="H233">
        <v>1</v>
      </c>
      <c r="I233">
        <v>3000</v>
      </c>
      <c r="J233">
        <v>2100</v>
      </c>
      <c r="K233">
        <v>0</v>
      </c>
      <c r="L233">
        <v>2149</v>
      </c>
      <c r="M233">
        <v>49</v>
      </c>
      <c r="N233" t="s">
        <v>99</v>
      </c>
      <c r="O233" s="2">
        <v>45953.874374999999</v>
      </c>
      <c r="P233" s="2">
        <v>45954.731261574074</v>
      </c>
      <c r="Q233" s="2">
        <v>45956.51152777778</v>
      </c>
      <c r="R233" t="s">
        <v>1454</v>
      </c>
      <c r="S233" t="s">
        <v>65</v>
      </c>
      <c r="T233" s="2">
        <v>45954.500509259262</v>
      </c>
      <c r="U233" t="s">
        <v>66</v>
      </c>
      <c r="V233" t="s">
        <v>1242</v>
      </c>
      <c r="W233" t="s">
        <v>66</v>
      </c>
      <c r="X233" t="s">
        <v>66</v>
      </c>
      <c r="Y233" t="s">
        <v>66</v>
      </c>
      <c r="Z233" t="s">
        <v>66</v>
      </c>
      <c r="AA233" t="s">
        <v>66</v>
      </c>
      <c r="AB233" t="s">
        <v>66</v>
      </c>
      <c r="AC233" t="s">
        <v>66</v>
      </c>
      <c r="AD233" s="2">
        <v>45956.514884259261</v>
      </c>
      <c r="AE233" t="s">
        <v>71</v>
      </c>
      <c r="AF233" t="s">
        <v>66</v>
      </c>
      <c r="AG233" t="s">
        <v>1455</v>
      </c>
      <c r="AH233" t="s">
        <v>794</v>
      </c>
      <c r="AI233">
        <v>530007</v>
      </c>
      <c r="AJ233" t="s">
        <v>74</v>
      </c>
      <c r="AK233" t="s">
        <v>75</v>
      </c>
      <c r="AL233">
        <v>62042300</v>
      </c>
      <c r="AM233" s="2"/>
      <c r="AN233">
        <v>2100</v>
      </c>
      <c r="AO233" t="s">
        <v>1456</v>
      </c>
      <c r="AP233" t="s">
        <v>66</v>
      </c>
      <c r="AQ233" t="s">
        <v>66</v>
      </c>
      <c r="AR233" t="s">
        <v>71</v>
      </c>
      <c r="AS233">
        <v>5</v>
      </c>
      <c r="AT233">
        <v>0</v>
      </c>
      <c r="AU233">
        <v>0</v>
      </c>
      <c r="AV233">
        <v>5</v>
      </c>
      <c r="AW233">
        <v>100</v>
      </c>
      <c r="AX233">
        <v>0</v>
      </c>
      <c r="AY233">
        <v>0</v>
      </c>
      <c r="AZ233">
        <v>100</v>
      </c>
      <c r="BA233" s="2"/>
      <c r="BB233">
        <v>0.75</v>
      </c>
      <c r="BC233" s="2">
        <v>45956.5</v>
      </c>
      <c r="BD233" s="1">
        <f>MarketPlace_Order_Report__2[[#This Row],[UnitPrice]]*MarketPlace_Order_Report__2[[#This Row],[OrderQty]]</f>
        <v>2100</v>
      </c>
      <c r="BE233" s="1">
        <f>IFERROR(MarketPlace_Order_Report__2[[#This Row],[CGSTAmount]]+MarketPlace_Order_Report__2[[#This Row],[SGSTAmount]]+MarketPlace_Order_Report__2[[#This Row],[IGSTAmount]],MarketPlace_Order_Report__2[[#This Row],[TaxAmount]])</f>
        <v>100</v>
      </c>
      <c r="BF233" s="1">
        <f>MarketPlace_Order_Report__2[[#This Row],[Gross Amount (Before Tax)]]+MarketPlace_Order_Report__2[[#This Row],[Total GST Amount]]</f>
        <v>2200</v>
      </c>
    </row>
    <row r="234" spans="1:58">
      <c r="A234" t="s">
        <v>1457</v>
      </c>
      <c r="B234" t="s">
        <v>1458</v>
      </c>
      <c r="C234" t="s">
        <v>1459</v>
      </c>
      <c r="D234" t="s">
        <v>1460</v>
      </c>
      <c r="E234">
        <v>1</v>
      </c>
      <c r="F234" t="s">
        <v>1806</v>
      </c>
      <c r="G234">
        <v>1</v>
      </c>
      <c r="H234">
        <v>1</v>
      </c>
      <c r="I234">
        <v>3250</v>
      </c>
      <c r="J234">
        <v>2275</v>
      </c>
      <c r="K234">
        <v>0</v>
      </c>
      <c r="L234">
        <v>2275</v>
      </c>
      <c r="M234">
        <v>0</v>
      </c>
      <c r="N234" t="s">
        <v>63</v>
      </c>
      <c r="O234" s="2">
        <v>45954.440509259257</v>
      </c>
      <c r="P234" s="2">
        <v>45954.762499999997</v>
      </c>
      <c r="Q234" s="2">
        <v>45956.581944444442</v>
      </c>
      <c r="R234" t="s">
        <v>1461</v>
      </c>
      <c r="S234" t="s">
        <v>155</v>
      </c>
      <c r="T234" s="2">
        <v>45954.500509259262</v>
      </c>
      <c r="U234" t="s">
        <v>66</v>
      </c>
      <c r="V234" t="s">
        <v>1242</v>
      </c>
      <c r="W234" t="s">
        <v>66</v>
      </c>
      <c r="X234" t="s">
        <v>66</v>
      </c>
      <c r="Y234" t="s">
        <v>66</v>
      </c>
      <c r="Z234" t="s">
        <v>66</v>
      </c>
      <c r="AA234" t="s">
        <v>66</v>
      </c>
      <c r="AB234" t="s">
        <v>66</v>
      </c>
      <c r="AC234" t="s">
        <v>66</v>
      </c>
      <c r="AD234" s="2">
        <v>45956.879270833335</v>
      </c>
      <c r="AE234" t="s">
        <v>71</v>
      </c>
      <c r="AF234" t="s">
        <v>66</v>
      </c>
      <c r="AG234" t="s">
        <v>300</v>
      </c>
      <c r="AH234" t="s">
        <v>123</v>
      </c>
      <c r="AI234">
        <v>411001</v>
      </c>
      <c r="AJ234" t="s">
        <v>74</v>
      </c>
      <c r="AK234" t="s">
        <v>75</v>
      </c>
      <c r="AL234">
        <v>62044220</v>
      </c>
      <c r="AM234" s="2"/>
      <c r="AN234">
        <v>2275</v>
      </c>
      <c r="AO234" t="s">
        <v>1462</v>
      </c>
      <c r="AP234" t="s">
        <v>158</v>
      </c>
      <c r="AQ234" t="s">
        <v>66</v>
      </c>
      <c r="AR234" t="s">
        <v>71</v>
      </c>
      <c r="AS234">
        <v>5</v>
      </c>
      <c r="AT234">
        <v>2.5</v>
      </c>
      <c r="AU234">
        <v>2.5</v>
      </c>
      <c r="AV234">
        <v>0</v>
      </c>
      <c r="AW234">
        <v>108.333</v>
      </c>
      <c r="AX234">
        <v>54.167000000000002</v>
      </c>
      <c r="AY234">
        <v>54.167000000000002</v>
      </c>
      <c r="AZ234">
        <v>0</v>
      </c>
      <c r="BA234" s="2"/>
      <c r="BB234">
        <v>0.75</v>
      </c>
      <c r="BC234" s="2">
        <v>45956.5</v>
      </c>
      <c r="BD234" s="1">
        <f>MarketPlace_Order_Report__2[[#This Row],[UnitPrice]]*MarketPlace_Order_Report__2[[#This Row],[OrderQty]]</f>
        <v>2275</v>
      </c>
      <c r="BE234" s="1">
        <f>IFERROR(MarketPlace_Order_Report__2[[#This Row],[CGSTAmount]]+MarketPlace_Order_Report__2[[#This Row],[SGSTAmount]]+MarketPlace_Order_Report__2[[#This Row],[IGSTAmount]],MarketPlace_Order_Report__2[[#This Row],[TaxAmount]])</f>
        <v>108.334</v>
      </c>
      <c r="BF234" s="1">
        <f>MarketPlace_Order_Report__2[[#This Row],[Gross Amount (Before Tax)]]+MarketPlace_Order_Report__2[[#This Row],[Total GST Amount]]</f>
        <v>2383.3339999999998</v>
      </c>
    </row>
    <row r="235" spans="1:58">
      <c r="A235" t="s">
        <v>1463</v>
      </c>
      <c r="B235" t="s">
        <v>1464</v>
      </c>
      <c r="C235" t="s">
        <v>1459</v>
      </c>
      <c r="D235" t="s">
        <v>1460</v>
      </c>
      <c r="E235">
        <v>1</v>
      </c>
      <c r="F235" t="s">
        <v>228</v>
      </c>
      <c r="G235">
        <v>1</v>
      </c>
      <c r="H235">
        <v>1</v>
      </c>
      <c r="I235">
        <v>3250</v>
      </c>
      <c r="J235">
        <v>2275</v>
      </c>
      <c r="K235">
        <v>0</v>
      </c>
      <c r="L235">
        <v>2295</v>
      </c>
      <c r="M235">
        <v>20</v>
      </c>
      <c r="N235" t="s">
        <v>99</v>
      </c>
      <c r="O235" s="2">
        <v>45937.352164351854</v>
      </c>
      <c r="P235" s="2">
        <v>45938.718287037038</v>
      </c>
      <c r="Q235" s="2"/>
      <c r="R235" t="s">
        <v>1465</v>
      </c>
      <c r="S235" t="s">
        <v>65</v>
      </c>
      <c r="T235" s="2">
        <v>45937.717673611114</v>
      </c>
      <c r="U235" t="s">
        <v>66</v>
      </c>
      <c r="V235" t="s">
        <v>1242</v>
      </c>
      <c r="W235" t="s">
        <v>66</v>
      </c>
      <c r="X235" t="s">
        <v>66</v>
      </c>
      <c r="Y235" t="s">
        <v>1466</v>
      </c>
      <c r="Z235" t="s">
        <v>231</v>
      </c>
      <c r="AA235" t="s">
        <v>175</v>
      </c>
      <c r="AB235" t="s">
        <v>66</v>
      </c>
      <c r="AC235" t="s">
        <v>66</v>
      </c>
      <c r="AD235" s="2">
        <v>45955.879201388889</v>
      </c>
      <c r="AE235" t="s">
        <v>71</v>
      </c>
      <c r="AF235" t="s">
        <v>66</v>
      </c>
      <c r="AG235" t="s">
        <v>1467</v>
      </c>
      <c r="AH235" t="s">
        <v>569</v>
      </c>
      <c r="AI235">
        <v>759122</v>
      </c>
      <c r="AJ235" t="s">
        <v>74</v>
      </c>
      <c r="AK235" t="s">
        <v>75</v>
      </c>
      <c r="AL235">
        <v>62044220</v>
      </c>
      <c r="AM235" s="2"/>
      <c r="AN235">
        <v>2275</v>
      </c>
      <c r="AO235" t="s">
        <v>1468</v>
      </c>
      <c r="AP235" t="s">
        <v>77</v>
      </c>
      <c r="AQ235" t="s">
        <v>66</v>
      </c>
      <c r="AR235" t="s">
        <v>71</v>
      </c>
      <c r="AS235">
        <v>5</v>
      </c>
      <c r="AT235">
        <v>0</v>
      </c>
      <c r="AU235">
        <v>0</v>
      </c>
      <c r="AV235">
        <v>5</v>
      </c>
      <c r="AW235">
        <v>108.333</v>
      </c>
      <c r="AX235">
        <v>0</v>
      </c>
      <c r="AY235">
        <v>0</v>
      </c>
      <c r="AZ235">
        <v>108.333</v>
      </c>
      <c r="BA235" s="2"/>
      <c r="BB235">
        <v>0.75</v>
      </c>
      <c r="BC235" s="2">
        <v>45939.5</v>
      </c>
      <c r="BD235" s="1">
        <f>MarketPlace_Order_Report__2[[#This Row],[UnitPrice]]*MarketPlace_Order_Report__2[[#This Row],[OrderQty]]</f>
        <v>2275</v>
      </c>
      <c r="BE235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35" s="1">
        <f>MarketPlace_Order_Report__2[[#This Row],[Gross Amount (Before Tax)]]+MarketPlace_Order_Report__2[[#This Row],[Total GST Amount]]</f>
        <v>2383.3330000000001</v>
      </c>
    </row>
    <row r="236" spans="1:58">
      <c r="A236" t="s">
        <v>1469</v>
      </c>
      <c r="B236" t="s">
        <v>1470</v>
      </c>
      <c r="C236" t="s">
        <v>1471</v>
      </c>
      <c r="D236" t="s">
        <v>1472</v>
      </c>
      <c r="E236">
        <v>1</v>
      </c>
      <c r="F236" t="s">
        <v>62</v>
      </c>
      <c r="G236">
        <v>1</v>
      </c>
      <c r="H236">
        <v>1</v>
      </c>
      <c r="I236">
        <v>3000</v>
      </c>
      <c r="J236">
        <v>2100</v>
      </c>
      <c r="K236">
        <v>0</v>
      </c>
      <c r="L236">
        <v>2149</v>
      </c>
      <c r="M236">
        <v>49</v>
      </c>
      <c r="N236" t="s">
        <v>99</v>
      </c>
      <c r="O236" s="2">
        <v>45936.992349537039</v>
      </c>
      <c r="P236" s="2">
        <v>45938.718414351853</v>
      </c>
      <c r="Q236" s="2">
        <v>45944.456678240742</v>
      </c>
      <c r="R236" t="s">
        <v>1473</v>
      </c>
      <c r="S236" t="s">
        <v>65</v>
      </c>
      <c r="T236" s="2">
        <v>45937.717673611114</v>
      </c>
      <c r="U236" t="s">
        <v>66</v>
      </c>
      <c r="V236" t="s">
        <v>1242</v>
      </c>
      <c r="W236" t="s">
        <v>66</v>
      </c>
      <c r="X236" t="s">
        <v>66</v>
      </c>
      <c r="Y236" t="s">
        <v>1474</v>
      </c>
      <c r="Z236" t="s">
        <v>69</v>
      </c>
      <c r="AA236" t="s">
        <v>175</v>
      </c>
      <c r="AB236" t="s">
        <v>66</v>
      </c>
      <c r="AC236" t="s">
        <v>66</v>
      </c>
      <c r="AD236" s="2">
        <v>45960.136446759258</v>
      </c>
      <c r="AE236" t="s">
        <v>71</v>
      </c>
      <c r="AF236" t="s">
        <v>66</v>
      </c>
      <c r="AG236" t="s">
        <v>1475</v>
      </c>
      <c r="AH236" t="s">
        <v>139</v>
      </c>
      <c r="AI236">
        <v>242221</v>
      </c>
      <c r="AJ236" t="s">
        <v>74</v>
      </c>
      <c r="AK236" t="s">
        <v>75</v>
      </c>
      <c r="AL236">
        <v>62044220</v>
      </c>
      <c r="AM236" s="2"/>
      <c r="AN236">
        <v>2100</v>
      </c>
      <c r="AO236" t="s">
        <v>1476</v>
      </c>
      <c r="AP236" t="s">
        <v>93</v>
      </c>
      <c r="AQ236" t="s">
        <v>66</v>
      </c>
      <c r="AR236" t="s">
        <v>71</v>
      </c>
      <c r="AS236">
        <v>5</v>
      </c>
      <c r="AT236">
        <v>0</v>
      </c>
      <c r="AU236">
        <v>0</v>
      </c>
      <c r="AV236">
        <v>5</v>
      </c>
      <c r="AW236">
        <v>100</v>
      </c>
      <c r="AX236">
        <v>0</v>
      </c>
      <c r="AY236">
        <v>0</v>
      </c>
      <c r="AZ236">
        <v>100</v>
      </c>
      <c r="BA236" s="2"/>
      <c r="BB236">
        <v>0.85</v>
      </c>
      <c r="BC236" s="2">
        <v>45939.5</v>
      </c>
      <c r="BD236" s="1">
        <f>MarketPlace_Order_Report__2[[#This Row],[UnitPrice]]*MarketPlace_Order_Report__2[[#This Row],[OrderQty]]</f>
        <v>2100</v>
      </c>
      <c r="BE236" s="1">
        <f>IFERROR(MarketPlace_Order_Report__2[[#This Row],[CGSTAmount]]+MarketPlace_Order_Report__2[[#This Row],[SGSTAmount]]+MarketPlace_Order_Report__2[[#This Row],[IGSTAmount]],MarketPlace_Order_Report__2[[#This Row],[TaxAmount]])</f>
        <v>100</v>
      </c>
      <c r="BF236" s="1">
        <f>MarketPlace_Order_Report__2[[#This Row],[Gross Amount (Before Tax)]]+MarketPlace_Order_Report__2[[#This Row],[Total GST Amount]]</f>
        <v>2200</v>
      </c>
    </row>
    <row r="237" spans="1:58">
      <c r="A237" t="s">
        <v>1265</v>
      </c>
      <c r="B237" t="s">
        <v>1266</v>
      </c>
      <c r="C237" t="s">
        <v>1477</v>
      </c>
      <c r="D237" t="s">
        <v>1478</v>
      </c>
      <c r="E237">
        <v>4</v>
      </c>
      <c r="F237" t="s">
        <v>1806</v>
      </c>
      <c r="G237">
        <v>1</v>
      </c>
      <c r="H237">
        <v>1</v>
      </c>
      <c r="I237">
        <v>3000</v>
      </c>
      <c r="J237">
        <v>2100</v>
      </c>
      <c r="K237">
        <v>0</v>
      </c>
      <c r="L237">
        <v>2106.799</v>
      </c>
      <c r="M237">
        <v>6.7990000000000004</v>
      </c>
      <c r="N237" t="s">
        <v>63</v>
      </c>
      <c r="O237" s="2">
        <v>45944.980706018519</v>
      </c>
      <c r="P237" s="2">
        <v>45946.732488425929</v>
      </c>
      <c r="Q237" s="2">
        <v>45950.417916666665</v>
      </c>
      <c r="R237" t="s">
        <v>1269</v>
      </c>
      <c r="S237" t="s">
        <v>65</v>
      </c>
      <c r="T237" s="2">
        <v>45945.799224537041</v>
      </c>
      <c r="U237" t="s">
        <v>66</v>
      </c>
      <c r="V237" t="s">
        <v>1242</v>
      </c>
      <c r="W237" t="s">
        <v>66</v>
      </c>
      <c r="X237" t="s">
        <v>66</v>
      </c>
      <c r="Y237" t="s">
        <v>66</v>
      </c>
      <c r="Z237" t="s">
        <v>66</v>
      </c>
      <c r="AA237" t="s">
        <v>66</v>
      </c>
      <c r="AB237" t="s">
        <v>66</v>
      </c>
      <c r="AC237" t="s">
        <v>66</v>
      </c>
      <c r="AD237" s="2">
        <v>45950.421030092592</v>
      </c>
      <c r="AE237" t="s">
        <v>71</v>
      </c>
      <c r="AF237" t="s">
        <v>66</v>
      </c>
      <c r="AG237" t="s">
        <v>138</v>
      </c>
      <c r="AH237" t="s">
        <v>139</v>
      </c>
      <c r="AI237">
        <v>211013</v>
      </c>
      <c r="AJ237" t="s">
        <v>74</v>
      </c>
      <c r="AK237" t="s">
        <v>75</v>
      </c>
      <c r="AL237">
        <v>62044220</v>
      </c>
      <c r="AM237" s="2"/>
      <c r="AN237">
        <v>2100</v>
      </c>
      <c r="AO237" t="s">
        <v>1270</v>
      </c>
      <c r="AP237" t="s">
        <v>353</v>
      </c>
      <c r="AQ237" t="s">
        <v>66</v>
      </c>
      <c r="AR237" t="s">
        <v>71</v>
      </c>
      <c r="AS237">
        <v>5</v>
      </c>
      <c r="AT237">
        <v>0</v>
      </c>
      <c r="AU237">
        <v>0</v>
      </c>
      <c r="AV237">
        <v>5</v>
      </c>
      <c r="AW237">
        <v>100</v>
      </c>
      <c r="AX237">
        <v>0</v>
      </c>
      <c r="AY237">
        <v>0</v>
      </c>
      <c r="AZ237">
        <v>100</v>
      </c>
      <c r="BA237" s="2"/>
      <c r="BB237">
        <v>1.35</v>
      </c>
      <c r="BC237" s="2">
        <v>45947.5</v>
      </c>
      <c r="BD237" s="1">
        <f>MarketPlace_Order_Report__2[[#This Row],[UnitPrice]]*MarketPlace_Order_Report__2[[#This Row],[OrderQty]]</f>
        <v>2100</v>
      </c>
      <c r="BE237" s="1">
        <f>IFERROR(MarketPlace_Order_Report__2[[#This Row],[CGSTAmount]]+MarketPlace_Order_Report__2[[#This Row],[SGSTAmount]]+MarketPlace_Order_Report__2[[#This Row],[IGSTAmount]],MarketPlace_Order_Report__2[[#This Row],[TaxAmount]])</f>
        <v>100</v>
      </c>
      <c r="BF237" s="1">
        <f>MarketPlace_Order_Report__2[[#This Row],[Gross Amount (Before Tax)]]+MarketPlace_Order_Report__2[[#This Row],[Total GST Amount]]</f>
        <v>2200</v>
      </c>
    </row>
    <row r="238" spans="1:58">
      <c r="A238" t="s">
        <v>1423</v>
      </c>
      <c r="B238" t="s">
        <v>1424</v>
      </c>
      <c r="C238" t="s">
        <v>1479</v>
      </c>
      <c r="D238" t="s">
        <v>1480</v>
      </c>
      <c r="E238">
        <v>7</v>
      </c>
      <c r="F238" t="s">
        <v>62</v>
      </c>
      <c r="G238">
        <v>1</v>
      </c>
      <c r="H238">
        <v>1</v>
      </c>
      <c r="I238">
        <v>3250</v>
      </c>
      <c r="J238">
        <v>2275</v>
      </c>
      <c r="K238">
        <v>0</v>
      </c>
      <c r="L238">
        <v>2278.038</v>
      </c>
      <c r="M238">
        <v>3.0379999999999998</v>
      </c>
      <c r="N238" t="s">
        <v>63</v>
      </c>
      <c r="O238" s="2">
        <v>45949.293773148151</v>
      </c>
      <c r="P238" s="2">
        <v>45954.732164351852</v>
      </c>
      <c r="Q238" s="2">
        <v>45959.416296296295</v>
      </c>
      <c r="R238" t="s">
        <v>1427</v>
      </c>
      <c r="S238" t="s">
        <v>65</v>
      </c>
      <c r="T238" s="2">
        <v>45949.555543981478</v>
      </c>
      <c r="U238" t="s">
        <v>66</v>
      </c>
      <c r="V238" t="s">
        <v>1242</v>
      </c>
      <c r="W238" t="s">
        <v>66</v>
      </c>
      <c r="X238" t="s">
        <v>66</v>
      </c>
      <c r="Y238" t="s">
        <v>1481</v>
      </c>
      <c r="Z238" t="s">
        <v>69</v>
      </c>
      <c r="AA238" t="s">
        <v>70</v>
      </c>
      <c r="AB238" t="s">
        <v>66</v>
      </c>
      <c r="AC238" t="s">
        <v>66</v>
      </c>
      <c r="AD238" s="2">
        <v>45961.490763888891</v>
      </c>
      <c r="AE238" t="s">
        <v>71</v>
      </c>
      <c r="AF238" t="s">
        <v>66</v>
      </c>
      <c r="AG238" t="s">
        <v>90</v>
      </c>
      <c r="AH238" t="s">
        <v>91</v>
      </c>
      <c r="AI238">
        <v>560100</v>
      </c>
      <c r="AJ238" t="s">
        <v>74</v>
      </c>
      <c r="AK238" t="s">
        <v>75</v>
      </c>
      <c r="AL238">
        <v>62042300</v>
      </c>
      <c r="AM238" s="2"/>
      <c r="AN238">
        <v>2275</v>
      </c>
      <c r="AO238" t="s">
        <v>1429</v>
      </c>
      <c r="AP238" t="s">
        <v>66</v>
      </c>
      <c r="AQ238" t="s">
        <v>66</v>
      </c>
      <c r="AR238" t="s">
        <v>71</v>
      </c>
      <c r="AS238">
        <v>5</v>
      </c>
      <c r="AT238">
        <v>0</v>
      </c>
      <c r="AU238">
        <v>0</v>
      </c>
      <c r="AV238">
        <v>5</v>
      </c>
      <c r="AW238">
        <v>108.333</v>
      </c>
      <c r="AX238">
        <v>0</v>
      </c>
      <c r="AY238">
        <v>0</v>
      </c>
      <c r="AZ238">
        <v>108.333</v>
      </c>
      <c r="BA238" s="2"/>
      <c r="BB238">
        <v>1</v>
      </c>
      <c r="BC238" s="2">
        <v>45951.5</v>
      </c>
      <c r="BD238" s="1">
        <f>MarketPlace_Order_Report__2[[#This Row],[UnitPrice]]*MarketPlace_Order_Report__2[[#This Row],[OrderQty]]</f>
        <v>2275</v>
      </c>
      <c r="BE238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38" s="1">
        <f>MarketPlace_Order_Report__2[[#This Row],[Gross Amount (Before Tax)]]+MarketPlace_Order_Report__2[[#This Row],[Total GST Amount]]</f>
        <v>2383.3330000000001</v>
      </c>
    </row>
    <row r="239" spans="1:58">
      <c r="A239" t="s">
        <v>1482</v>
      </c>
      <c r="B239" t="s">
        <v>1483</v>
      </c>
      <c r="C239" t="s">
        <v>1484</v>
      </c>
      <c r="D239" t="s">
        <v>1485</v>
      </c>
      <c r="E239">
        <v>1</v>
      </c>
      <c r="F239" t="s">
        <v>1806</v>
      </c>
      <c r="G239">
        <v>1</v>
      </c>
      <c r="H239">
        <v>1</v>
      </c>
      <c r="I239">
        <v>3250</v>
      </c>
      <c r="J239">
        <v>2275</v>
      </c>
      <c r="K239">
        <v>0</v>
      </c>
      <c r="L239">
        <v>2324</v>
      </c>
      <c r="M239">
        <v>49</v>
      </c>
      <c r="N239" t="s">
        <v>99</v>
      </c>
      <c r="O239" s="2">
        <v>45935.430891203701</v>
      </c>
      <c r="P239" s="2">
        <v>45936.7190162037</v>
      </c>
      <c r="Q239" s="2">
        <v>45947.681203703702</v>
      </c>
      <c r="R239" t="s">
        <v>1486</v>
      </c>
      <c r="S239" t="s">
        <v>65</v>
      </c>
      <c r="T239" s="2">
        <v>45935.742905092593</v>
      </c>
      <c r="U239" t="s">
        <v>66</v>
      </c>
      <c r="V239" t="s">
        <v>1242</v>
      </c>
      <c r="W239" t="s">
        <v>66</v>
      </c>
      <c r="X239" t="s">
        <v>66</v>
      </c>
      <c r="Y239" t="s">
        <v>66</v>
      </c>
      <c r="Z239" t="s">
        <v>66</v>
      </c>
      <c r="AA239" t="s">
        <v>66</v>
      </c>
      <c r="AB239" t="s">
        <v>66</v>
      </c>
      <c r="AC239" t="s">
        <v>66</v>
      </c>
      <c r="AD239" s="2">
        <v>45947.681539351855</v>
      </c>
      <c r="AE239" t="s">
        <v>71</v>
      </c>
      <c r="AF239" t="s">
        <v>66</v>
      </c>
      <c r="AG239" t="s">
        <v>1487</v>
      </c>
      <c r="AH239" t="s">
        <v>169</v>
      </c>
      <c r="AI239">
        <v>811201</v>
      </c>
      <c r="AJ239" t="s">
        <v>74</v>
      </c>
      <c r="AK239" t="s">
        <v>75</v>
      </c>
      <c r="AL239">
        <v>62042300</v>
      </c>
      <c r="AM239" s="2"/>
      <c r="AN239">
        <v>2275</v>
      </c>
      <c r="AO239" t="s">
        <v>1488</v>
      </c>
      <c r="AP239" t="s">
        <v>66</v>
      </c>
      <c r="AQ239" t="s">
        <v>66</v>
      </c>
      <c r="AR239" t="s">
        <v>71</v>
      </c>
      <c r="AS239">
        <v>5</v>
      </c>
      <c r="AT239">
        <v>0</v>
      </c>
      <c r="AU239">
        <v>0</v>
      </c>
      <c r="AV239">
        <v>5</v>
      </c>
      <c r="AW239">
        <v>108.333</v>
      </c>
      <c r="AX239">
        <v>0</v>
      </c>
      <c r="AY239">
        <v>0</v>
      </c>
      <c r="AZ239">
        <v>108.333</v>
      </c>
      <c r="BA239" s="2"/>
      <c r="BB239">
        <v>0.75</v>
      </c>
      <c r="BC239" s="2">
        <v>45937.5</v>
      </c>
      <c r="BD239" s="1">
        <f>MarketPlace_Order_Report__2[[#This Row],[UnitPrice]]*MarketPlace_Order_Report__2[[#This Row],[OrderQty]]</f>
        <v>2275</v>
      </c>
      <c r="BE239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39" s="1">
        <f>MarketPlace_Order_Report__2[[#This Row],[Gross Amount (Before Tax)]]+MarketPlace_Order_Report__2[[#This Row],[Total GST Amount]]</f>
        <v>2383.3330000000001</v>
      </c>
    </row>
    <row r="240" spans="1:58">
      <c r="A240" t="s">
        <v>1489</v>
      </c>
      <c r="B240" t="s">
        <v>1490</v>
      </c>
      <c r="C240" t="s">
        <v>1491</v>
      </c>
      <c r="D240" t="s">
        <v>1492</v>
      </c>
      <c r="E240">
        <v>1</v>
      </c>
      <c r="F240" t="s">
        <v>1806</v>
      </c>
      <c r="G240">
        <v>1</v>
      </c>
      <c r="H240">
        <v>1</v>
      </c>
      <c r="I240">
        <v>3250</v>
      </c>
      <c r="J240">
        <v>2275</v>
      </c>
      <c r="K240">
        <v>0</v>
      </c>
      <c r="L240">
        <v>2304</v>
      </c>
      <c r="M240">
        <v>29</v>
      </c>
      <c r="N240" t="s">
        <v>63</v>
      </c>
      <c r="O240" s="2">
        <v>45951.879872685182</v>
      </c>
      <c r="P240" s="2">
        <v>45954.730497685188</v>
      </c>
      <c r="Q240" s="2">
        <v>45957.525138888886</v>
      </c>
      <c r="R240" t="s">
        <v>1493</v>
      </c>
      <c r="S240" t="s">
        <v>65</v>
      </c>
      <c r="T240" s="2">
        <v>45954.500509259262</v>
      </c>
      <c r="U240" t="s">
        <v>66</v>
      </c>
      <c r="V240" t="s">
        <v>1242</v>
      </c>
      <c r="W240" t="s">
        <v>66</v>
      </c>
      <c r="X240" t="s">
        <v>66</v>
      </c>
      <c r="Y240" t="s">
        <v>66</v>
      </c>
      <c r="Z240" t="s">
        <v>66</v>
      </c>
      <c r="AA240" t="s">
        <v>66</v>
      </c>
      <c r="AB240" t="s">
        <v>66</v>
      </c>
      <c r="AC240" t="s">
        <v>66</v>
      </c>
      <c r="AD240" s="2">
        <v>45957.528553240743</v>
      </c>
      <c r="AE240" t="s">
        <v>71</v>
      </c>
      <c r="AF240" t="s">
        <v>66</v>
      </c>
      <c r="AG240" t="s">
        <v>1494</v>
      </c>
      <c r="AH240" t="s">
        <v>91</v>
      </c>
      <c r="AI240">
        <v>560067</v>
      </c>
      <c r="AJ240" t="s">
        <v>74</v>
      </c>
      <c r="AK240" t="s">
        <v>75</v>
      </c>
      <c r="AL240">
        <v>62042300</v>
      </c>
      <c r="AM240" s="2"/>
      <c r="AN240">
        <v>2275</v>
      </c>
      <c r="AO240" t="s">
        <v>1495</v>
      </c>
      <c r="AP240" t="s">
        <v>125</v>
      </c>
      <c r="AQ240" t="s">
        <v>66</v>
      </c>
      <c r="AR240" t="s">
        <v>71</v>
      </c>
      <c r="AS240">
        <v>5</v>
      </c>
      <c r="AT240">
        <v>0</v>
      </c>
      <c r="AU240">
        <v>0</v>
      </c>
      <c r="AV240">
        <v>5</v>
      </c>
      <c r="AW240">
        <v>108.333</v>
      </c>
      <c r="AX240">
        <v>0</v>
      </c>
      <c r="AY240">
        <v>0</v>
      </c>
      <c r="AZ240">
        <v>108.333</v>
      </c>
      <c r="BA240" s="2"/>
      <c r="BB240">
        <v>0.75</v>
      </c>
      <c r="BC240" s="2">
        <v>45954.5</v>
      </c>
      <c r="BD240" s="1">
        <f>MarketPlace_Order_Report__2[[#This Row],[UnitPrice]]*MarketPlace_Order_Report__2[[#This Row],[OrderQty]]</f>
        <v>2275</v>
      </c>
      <c r="BE240" s="1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BF240" s="1">
        <f>MarketPlace_Order_Report__2[[#This Row],[Gross Amount (Before Tax)]]+MarketPlace_Order_Report__2[[#This Row],[Total GST Amount]]</f>
        <v>2383.3330000000001</v>
      </c>
    </row>
    <row r="241" spans="1:58">
      <c r="A241" t="s">
        <v>1265</v>
      </c>
      <c r="B241" t="s">
        <v>1266</v>
      </c>
      <c r="C241" t="s">
        <v>1496</v>
      </c>
      <c r="D241" t="s">
        <v>1497</v>
      </c>
      <c r="E241">
        <v>3</v>
      </c>
      <c r="F241" t="s">
        <v>1806</v>
      </c>
      <c r="G241">
        <v>1</v>
      </c>
      <c r="H241">
        <v>1</v>
      </c>
      <c r="I241">
        <v>3000</v>
      </c>
      <c r="J241">
        <v>2100</v>
      </c>
      <c r="K241">
        <v>0</v>
      </c>
      <c r="L241">
        <v>2106.799</v>
      </c>
      <c r="M241">
        <v>6.7990000000000004</v>
      </c>
      <c r="N241" t="s">
        <v>63</v>
      </c>
      <c r="O241" s="2">
        <v>45944.980706018519</v>
      </c>
      <c r="P241" s="2">
        <v>45946.732488425929</v>
      </c>
      <c r="Q241" s="2">
        <v>45950.417916666665</v>
      </c>
      <c r="R241" t="s">
        <v>1269</v>
      </c>
      <c r="S241" t="s">
        <v>65</v>
      </c>
      <c r="T241" s="2">
        <v>45945.799224537041</v>
      </c>
      <c r="U241" t="s">
        <v>66</v>
      </c>
      <c r="V241" t="s">
        <v>1242</v>
      </c>
      <c r="W241" t="s">
        <v>66</v>
      </c>
      <c r="X241" t="s">
        <v>66</v>
      </c>
      <c r="Y241" t="s">
        <v>66</v>
      </c>
      <c r="Z241" t="s">
        <v>66</v>
      </c>
      <c r="AA241" t="s">
        <v>66</v>
      </c>
      <c r="AB241" t="s">
        <v>66</v>
      </c>
      <c r="AC241" t="s">
        <v>66</v>
      </c>
      <c r="AD241" s="2">
        <v>45950.421030092592</v>
      </c>
      <c r="AE241" t="s">
        <v>71</v>
      </c>
      <c r="AF241" t="s">
        <v>66</v>
      </c>
      <c r="AG241" t="s">
        <v>138</v>
      </c>
      <c r="AH241" t="s">
        <v>139</v>
      </c>
      <c r="AI241">
        <v>211013</v>
      </c>
      <c r="AJ241" t="s">
        <v>74</v>
      </c>
      <c r="AK241" t="s">
        <v>75</v>
      </c>
      <c r="AL241">
        <v>62044220</v>
      </c>
      <c r="AM241" s="2"/>
      <c r="AN241">
        <v>2100</v>
      </c>
      <c r="AO241" t="s">
        <v>1270</v>
      </c>
      <c r="AP241" t="s">
        <v>353</v>
      </c>
      <c r="AQ241" t="s">
        <v>66</v>
      </c>
      <c r="AR241" t="s">
        <v>71</v>
      </c>
      <c r="AS241">
        <v>5</v>
      </c>
      <c r="AT241">
        <v>0</v>
      </c>
      <c r="AU241">
        <v>0</v>
      </c>
      <c r="AV241">
        <v>5</v>
      </c>
      <c r="AW241">
        <v>100</v>
      </c>
      <c r="AX241">
        <v>0</v>
      </c>
      <c r="AY241">
        <v>0</v>
      </c>
      <c r="AZ241">
        <v>100</v>
      </c>
      <c r="BA241" s="2"/>
      <c r="BB241">
        <v>1.35</v>
      </c>
      <c r="BC241" s="2">
        <v>45947.5</v>
      </c>
      <c r="BD241" s="1">
        <f>MarketPlace_Order_Report__2[[#This Row],[UnitPrice]]*MarketPlace_Order_Report__2[[#This Row],[OrderQty]]</f>
        <v>2100</v>
      </c>
      <c r="BE241" s="1">
        <f>IFERROR(MarketPlace_Order_Report__2[[#This Row],[CGSTAmount]]+MarketPlace_Order_Report__2[[#This Row],[SGSTAmount]]+MarketPlace_Order_Report__2[[#This Row],[IGSTAmount]],MarketPlace_Order_Report__2[[#This Row],[TaxAmount]])</f>
        <v>100</v>
      </c>
      <c r="BF241" s="1">
        <f>MarketPlace_Order_Report__2[[#This Row],[Gross Amount (Before Tax)]]+MarketPlace_Order_Report__2[[#This Row],[Total GST Amount]]</f>
        <v>2200</v>
      </c>
    </row>
    <row r="242" spans="1:58">
      <c r="A242" t="s">
        <v>1498</v>
      </c>
      <c r="B242" t="s">
        <v>1499</v>
      </c>
      <c r="C242" t="s">
        <v>1500</v>
      </c>
      <c r="D242" t="s">
        <v>1501</v>
      </c>
      <c r="E242">
        <v>1</v>
      </c>
      <c r="F242" t="s">
        <v>145</v>
      </c>
      <c r="G242">
        <v>1</v>
      </c>
      <c r="H242">
        <v>0</v>
      </c>
      <c r="I242">
        <v>5000</v>
      </c>
      <c r="J242">
        <v>4000</v>
      </c>
      <c r="K242">
        <v>0</v>
      </c>
      <c r="L242">
        <v>4020</v>
      </c>
      <c r="M242">
        <v>20</v>
      </c>
      <c r="N242" t="s">
        <v>99</v>
      </c>
      <c r="O242" s="2">
        <v>45937.831909722219</v>
      </c>
      <c r="P242" s="2"/>
      <c r="Q242" s="2"/>
      <c r="R242" t="s">
        <v>66</v>
      </c>
      <c r="S242" t="s">
        <v>65</v>
      </c>
      <c r="T242" s="2"/>
      <c r="U242" t="s">
        <v>854</v>
      </c>
      <c r="V242" t="s">
        <v>1502</v>
      </c>
      <c r="W242" t="s">
        <v>66</v>
      </c>
      <c r="X242" t="s">
        <v>66</v>
      </c>
      <c r="Y242" t="s">
        <v>66</v>
      </c>
      <c r="Z242" t="s">
        <v>66</v>
      </c>
      <c r="AA242" t="s">
        <v>66</v>
      </c>
      <c r="AB242" t="s">
        <v>66</v>
      </c>
      <c r="AC242" t="s">
        <v>66</v>
      </c>
      <c r="AD242" s="2">
        <v>45937.838449074072</v>
      </c>
      <c r="AE242" t="s">
        <v>71</v>
      </c>
      <c r="AF242" t="s">
        <v>66</v>
      </c>
      <c r="AG242" t="s">
        <v>1503</v>
      </c>
      <c r="AH242" t="s">
        <v>139</v>
      </c>
      <c r="AI242">
        <v>210205</v>
      </c>
      <c r="AJ242" t="s">
        <v>74</v>
      </c>
      <c r="AK242" t="s">
        <v>75</v>
      </c>
      <c r="AL242">
        <v>62044220</v>
      </c>
      <c r="AM242" s="2">
        <v>45937.838449074072</v>
      </c>
      <c r="AN242">
        <v>4000</v>
      </c>
      <c r="AO242" t="s">
        <v>66</v>
      </c>
      <c r="AP242" t="s">
        <v>66</v>
      </c>
      <c r="AQ242" t="s">
        <v>66</v>
      </c>
      <c r="AR242" t="s">
        <v>71</v>
      </c>
      <c r="AS242">
        <v>18</v>
      </c>
      <c r="AT242">
        <v>0</v>
      </c>
      <c r="AU242">
        <v>0</v>
      </c>
      <c r="AV242">
        <v>18</v>
      </c>
      <c r="AW242">
        <v>610.16899999999998</v>
      </c>
      <c r="AX242">
        <v>0</v>
      </c>
      <c r="AY242">
        <v>0</v>
      </c>
      <c r="AZ242">
        <v>610.16899999999998</v>
      </c>
      <c r="BA242" s="2"/>
      <c r="BC242" s="2">
        <v>45940.5</v>
      </c>
      <c r="BD242" s="1">
        <f>MarketPlace_Order_Report__2[[#This Row],[UnitPrice]]*MarketPlace_Order_Report__2[[#This Row],[OrderQty]]</f>
        <v>4000</v>
      </c>
      <c r="BE242" s="1">
        <f>IFERROR(MarketPlace_Order_Report__2[[#This Row],[CGSTAmount]]+MarketPlace_Order_Report__2[[#This Row],[SGSTAmount]]+MarketPlace_Order_Report__2[[#This Row],[IGSTAmount]],MarketPlace_Order_Report__2[[#This Row],[TaxAmount]])</f>
        <v>610.16899999999998</v>
      </c>
      <c r="BF242" s="1">
        <f>MarketPlace_Order_Report__2[[#This Row],[Gross Amount (Before Tax)]]+MarketPlace_Order_Report__2[[#This Row],[Total GST Amount]]</f>
        <v>4610.1689999999999</v>
      </c>
    </row>
    <row r="243" spans="1:58">
      <c r="A243" t="s">
        <v>1504</v>
      </c>
      <c r="B243" t="s">
        <v>1505</v>
      </c>
      <c r="C243" t="s">
        <v>1506</v>
      </c>
      <c r="D243" t="s">
        <v>1507</v>
      </c>
      <c r="E243">
        <v>1</v>
      </c>
      <c r="F243" t="s">
        <v>1806</v>
      </c>
      <c r="G243">
        <v>1</v>
      </c>
      <c r="H243">
        <v>1</v>
      </c>
      <c r="I243">
        <v>4750</v>
      </c>
      <c r="J243">
        <v>3800</v>
      </c>
      <c r="K243">
        <v>0</v>
      </c>
      <c r="L243">
        <v>3829</v>
      </c>
      <c r="M243">
        <v>29</v>
      </c>
      <c r="N243" t="s">
        <v>63</v>
      </c>
      <c r="O243" s="2">
        <v>45954.684340277781</v>
      </c>
      <c r="P243" s="2">
        <v>45957.661805555559</v>
      </c>
      <c r="Q243" s="2">
        <v>45959.385416666664</v>
      </c>
      <c r="R243" t="s">
        <v>1508</v>
      </c>
      <c r="S243" t="s">
        <v>146</v>
      </c>
      <c r="T243" s="2">
        <v>45955.747372685182</v>
      </c>
      <c r="U243" t="s">
        <v>66</v>
      </c>
      <c r="V243" t="s">
        <v>1502</v>
      </c>
      <c r="W243" t="s">
        <v>66</v>
      </c>
      <c r="X243" t="s">
        <v>66</v>
      </c>
      <c r="Y243" t="s">
        <v>66</v>
      </c>
      <c r="Z243" t="s">
        <v>66</v>
      </c>
      <c r="AA243" t="s">
        <v>66</v>
      </c>
      <c r="AB243" t="s">
        <v>66</v>
      </c>
      <c r="AC243" t="s">
        <v>66</v>
      </c>
      <c r="AD243" s="2">
        <v>45959.389791666668</v>
      </c>
      <c r="AE243" t="s">
        <v>71</v>
      </c>
      <c r="AF243" t="s">
        <v>66</v>
      </c>
      <c r="AG243" t="s">
        <v>395</v>
      </c>
      <c r="AH243" t="s">
        <v>251</v>
      </c>
      <c r="AI243">
        <v>600092</v>
      </c>
      <c r="AJ243" t="s">
        <v>74</v>
      </c>
      <c r="AK243" t="s">
        <v>75</v>
      </c>
      <c r="AL243">
        <v>62044220</v>
      </c>
      <c r="AM243" s="2"/>
      <c r="AN243">
        <v>3800</v>
      </c>
      <c r="AO243" t="s">
        <v>1509</v>
      </c>
      <c r="AP243" t="s">
        <v>125</v>
      </c>
      <c r="AQ243" t="s">
        <v>66</v>
      </c>
      <c r="AR243" t="s">
        <v>71</v>
      </c>
      <c r="AS243">
        <v>18</v>
      </c>
      <c r="AT243">
        <v>0</v>
      </c>
      <c r="AU243">
        <v>0</v>
      </c>
      <c r="AV243">
        <v>18</v>
      </c>
      <c r="AW243">
        <v>579.66099999999994</v>
      </c>
      <c r="AX243">
        <v>0</v>
      </c>
      <c r="AY243">
        <v>0</v>
      </c>
      <c r="AZ243">
        <v>579.66099999999994</v>
      </c>
      <c r="BA243" s="2"/>
      <c r="BB243">
        <v>0.85</v>
      </c>
      <c r="BC243" s="2">
        <v>45957.5</v>
      </c>
      <c r="BD243" s="1">
        <f>MarketPlace_Order_Report__2[[#This Row],[UnitPrice]]*MarketPlace_Order_Report__2[[#This Row],[OrderQty]]</f>
        <v>3800</v>
      </c>
      <c r="BE243" s="1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243" s="1">
        <f>MarketPlace_Order_Report__2[[#This Row],[Gross Amount (Before Tax)]]+MarketPlace_Order_Report__2[[#This Row],[Total GST Amount]]</f>
        <v>4379.6610000000001</v>
      </c>
    </row>
    <row r="244" spans="1:58">
      <c r="A244" t="s">
        <v>1510</v>
      </c>
      <c r="B244" t="s">
        <v>1511</v>
      </c>
      <c r="C244" t="s">
        <v>1512</v>
      </c>
      <c r="D244" t="s">
        <v>1513</v>
      </c>
      <c r="E244">
        <v>1</v>
      </c>
      <c r="F244" t="s">
        <v>1806</v>
      </c>
      <c r="G244">
        <v>1</v>
      </c>
      <c r="H244">
        <v>1</v>
      </c>
      <c r="I244">
        <v>5000</v>
      </c>
      <c r="J244">
        <v>4500</v>
      </c>
      <c r="K244">
        <v>0</v>
      </c>
      <c r="L244">
        <v>4520</v>
      </c>
      <c r="M244">
        <v>20</v>
      </c>
      <c r="N244" t="s">
        <v>99</v>
      </c>
      <c r="O244" s="2">
        <v>45943.002002314817</v>
      </c>
      <c r="P244" s="2">
        <v>45944.737696759257</v>
      </c>
      <c r="Q244" s="2">
        <v>45946.494398148148</v>
      </c>
      <c r="R244" t="s">
        <v>1514</v>
      </c>
      <c r="S244" t="s">
        <v>161</v>
      </c>
      <c r="T244" s="2">
        <v>45943.814467592594</v>
      </c>
      <c r="U244" t="s">
        <v>66</v>
      </c>
      <c r="V244" t="s">
        <v>1502</v>
      </c>
      <c r="W244" t="s">
        <v>66</v>
      </c>
      <c r="X244" t="s">
        <v>66</v>
      </c>
      <c r="Y244" t="s">
        <v>66</v>
      </c>
      <c r="Z244" t="s">
        <v>66</v>
      </c>
      <c r="AA244" t="s">
        <v>66</v>
      </c>
      <c r="AB244" t="s">
        <v>66</v>
      </c>
      <c r="AC244" t="s">
        <v>66</v>
      </c>
      <c r="AD244" s="2">
        <v>45946.511342592596</v>
      </c>
      <c r="AE244" t="s">
        <v>71</v>
      </c>
      <c r="AF244" t="s">
        <v>66</v>
      </c>
      <c r="AG244" t="s">
        <v>259</v>
      </c>
      <c r="AH244" t="s">
        <v>123</v>
      </c>
      <c r="AI244">
        <v>400080</v>
      </c>
      <c r="AJ244" t="s">
        <v>74</v>
      </c>
      <c r="AK244" t="s">
        <v>75</v>
      </c>
      <c r="AL244">
        <v>62044220</v>
      </c>
      <c r="AM244" s="2"/>
      <c r="AN244">
        <v>4500</v>
      </c>
      <c r="AO244" t="s">
        <v>1515</v>
      </c>
      <c r="AP244" t="s">
        <v>243</v>
      </c>
      <c r="AQ244" t="s">
        <v>66</v>
      </c>
      <c r="AR244" t="s">
        <v>71</v>
      </c>
      <c r="AS244">
        <v>18</v>
      </c>
      <c r="AT244">
        <v>9</v>
      </c>
      <c r="AU244">
        <v>9</v>
      </c>
      <c r="AV244">
        <v>0</v>
      </c>
      <c r="AW244">
        <v>686.44100000000003</v>
      </c>
      <c r="AX244">
        <v>343.221</v>
      </c>
      <c r="AY244">
        <v>343.221</v>
      </c>
      <c r="AZ244">
        <v>0</v>
      </c>
      <c r="BA244" s="2"/>
      <c r="BB244">
        <v>0.85</v>
      </c>
      <c r="BC244" s="2">
        <v>45945.5</v>
      </c>
      <c r="BD244" s="1">
        <f>MarketPlace_Order_Report__2[[#This Row],[UnitPrice]]*MarketPlace_Order_Report__2[[#This Row],[OrderQty]]</f>
        <v>4500</v>
      </c>
      <c r="BE244" s="1">
        <f>IFERROR(MarketPlace_Order_Report__2[[#This Row],[CGSTAmount]]+MarketPlace_Order_Report__2[[#This Row],[SGSTAmount]]+MarketPlace_Order_Report__2[[#This Row],[IGSTAmount]],MarketPlace_Order_Report__2[[#This Row],[TaxAmount]])</f>
        <v>686.44200000000001</v>
      </c>
      <c r="BF244" s="1">
        <f>MarketPlace_Order_Report__2[[#This Row],[Gross Amount (Before Tax)]]+MarketPlace_Order_Report__2[[#This Row],[Total GST Amount]]</f>
        <v>5186.442</v>
      </c>
    </row>
    <row r="245" spans="1:58">
      <c r="A245" t="s">
        <v>1516</v>
      </c>
      <c r="B245" t="s">
        <v>1517</v>
      </c>
      <c r="C245" t="s">
        <v>1518</v>
      </c>
      <c r="D245" t="s">
        <v>1519</v>
      </c>
      <c r="E245">
        <v>1</v>
      </c>
      <c r="F245" t="s">
        <v>62</v>
      </c>
      <c r="G245">
        <v>1</v>
      </c>
      <c r="H245">
        <v>1</v>
      </c>
      <c r="I245">
        <v>5000</v>
      </c>
      <c r="J245">
        <v>4500</v>
      </c>
      <c r="K245">
        <v>0</v>
      </c>
      <c r="L245">
        <v>4520</v>
      </c>
      <c r="M245">
        <v>20</v>
      </c>
      <c r="N245" t="s">
        <v>99</v>
      </c>
      <c r="O245" s="2">
        <v>45937.463067129633</v>
      </c>
      <c r="P245" s="2">
        <v>45938.718657407408</v>
      </c>
      <c r="Q245" s="2">
        <v>45945.635046296295</v>
      </c>
      <c r="R245" t="s">
        <v>1520</v>
      </c>
      <c r="S245" t="s">
        <v>161</v>
      </c>
      <c r="T245" s="2">
        <v>45937.715995370374</v>
      </c>
      <c r="U245" t="s">
        <v>66</v>
      </c>
      <c r="V245" t="s">
        <v>1502</v>
      </c>
      <c r="W245" t="s">
        <v>66</v>
      </c>
      <c r="X245" t="s">
        <v>66</v>
      </c>
      <c r="Y245" t="s">
        <v>1521</v>
      </c>
      <c r="Z245" t="s">
        <v>69</v>
      </c>
      <c r="AA245" t="s">
        <v>70</v>
      </c>
      <c r="AB245" t="s">
        <v>66</v>
      </c>
      <c r="AC245" t="s">
        <v>66</v>
      </c>
      <c r="AD245" s="2">
        <v>45956.493877314817</v>
      </c>
      <c r="AE245" t="s">
        <v>71</v>
      </c>
      <c r="AF245" t="s">
        <v>66</v>
      </c>
      <c r="AG245" t="s">
        <v>1522</v>
      </c>
      <c r="AH245" t="s">
        <v>383</v>
      </c>
      <c r="AI245">
        <v>485001</v>
      </c>
      <c r="AJ245" t="s">
        <v>74</v>
      </c>
      <c r="AK245" t="s">
        <v>75</v>
      </c>
      <c r="AL245">
        <v>62044220</v>
      </c>
      <c r="AM245" s="2"/>
      <c r="AN245">
        <v>4500</v>
      </c>
      <c r="AO245" t="s">
        <v>1523</v>
      </c>
      <c r="AP245" t="s">
        <v>77</v>
      </c>
      <c r="AQ245" t="s">
        <v>66</v>
      </c>
      <c r="AR245" t="s">
        <v>71</v>
      </c>
      <c r="AS245">
        <v>18</v>
      </c>
      <c r="AT245">
        <v>0</v>
      </c>
      <c r="AU245">
        <v>0</v>
      </c>
      <c r="AV245">
        <v>18</v>
      </c>
      <c r="AW245">
        <v>686.44100000000003</v>
      </c>
      <c r="AX245">
        <v>0</v>
      </c>
      <c r="AY245">
        <v>0</v>
      </c>
      <c r="AZ245">
        <v>686.44100000000003</v>
      </c>
      <c r="BA245" s="2"/>
      <c r="BB245">
        <v>0.85</v>
      </c>
      <c r="BC245" s="2">
        <v>45939.5</v>
      </c>
      <c r="BD245" s="1">
        <f>MarketPlace_Order_Report__2[[#This Row],[UnitPrice]]*MarketPlace_Order_Report__2[[#This Row],[OrderQty]]</f>
        <v>4500</v>
      </c>
      <c r="BE245" s="1">
        <f>IFERROR(MarketPlace_Order_Report__2[[#This Row],[CGSTAmount]]+MarketPlace_Order_Report__2[[#This Row],[SGSTAmount]]+MarketPlace_Order_Report__2[[#This Row],[IGSTAmount]],MarketPlace_Order_Report__2[[#This Row],[TaxAmount]])</f>
        <v>686.44100000000003</v>
      </c>
      <c r="BF245" s="1">
        <f>MarketPlace_Order_Report__2[[#This Row],[Gross Amount (Before Tax)]]+MarketPlace_Order_Report__2[[#This Row],[Total GST Amount]]</f>
        <v>5186.4409999999998</v>
      </c>
    </row>
    <row r="246" spans="1:58">
      <c r="A246" t="s">
        <v>1524</v>
      </c>
      <c r="B246" t="s">
        <v>1525</v>
      </c>
      <c r="C246" t="s">
        <v>1526</v>
      </c>
      <c r="D246" t="s">
        <v>1527</v>
      </c>
      <c r="E246">
        <v>2</v>
      </c>
      <c r="F246" t="s">
        <v>145</v>
      </c>
      <c r="G246">
        <v>1</v>
      </c>
      <c r="H246">
        <v>0</v>
      </c>
      <c r="I246">
        <v>5500</v>
      </c>
      <c r="J246">
        <v>4950</v>
      </c>
      <c r="K246">
        <v>0</v>
      </c>
      <c r="L246">
        <v>4962.54</v>
      </c>
      <c r="M246">
        <v>12.54</v>
      </c>
      <c r="N246" t="s">
        <v>63</v>
      </c>
      <c r="O246" s="2">
        <v>45952.930393518516</v>
      </c>
      <c r="P246" s="2"/>
      <c r="Q246" s="2"/>
      <c r="R246" t="s">
        <v>66</v>
      </c>
      <c r="S246" t="s">
        <v>65</v>
      </c>
      <c r="T246" s="2"/>
      <c r="U246" t="s">
        <v>147</v>
      </c>
      <c r="V246" t="s">
        <v>1502</v>
      </c>
      <c r="W246" t="s">
        <v>66</v>
      </c>
      <c r="X246" t="s">
        <v>66</v>
      </c>
      <c r="Y246" t="s">
        <v>66</v>
      </c>
      <c r="Z246" t="s">
        <v>66</v>
      </c>
      <c r="AA246" t="s">
        <v>66</v>
      </c>
      <c r="AB246" t="s">
        <v>66</v>
      </c>
      <c r="AC246" t="s">
        <v>66</v>
      </c>
      <c r="AD246" s="2">
        <v>45953.70449074074</v>
      </c>
      <c r="AE246" t="s">
        <v>71</v>
      </c>
      <c r="AF246" t="s">
        <v>66</v>
      </c>
      <c r="AG246" t="s">
        <v>439</v>
      </c>
      <c r="AH246" t="s">
        <v>440</v>
      </c>
      <c r="AI246">
        <v>122002</v>
      </c>
      <c r="AJ246" t="s">
        <v>74</v>
      </c>
      <c r="AK246" t="s">
        <v>75</v>
      </c>
      <c r="AL246">
        <v>62044220</v>
      </c>
      <c r="AM246" s="2">
        <v>45953.70449074074</v>
      </c>
      <c r="AN246">
        <v>4950</v>
      </c>
      <c r="AO246" t="s">
        <v>66</v>
      </c>
      <c r="AP246" t="s">
        <v>93</v>
      </c>
      <c r="AQ246" t="s">
        <v>66</v>
      </c>
      <c r="AR246" t="s">
        <v>71</v>
      </c>
      <c r="AS246">
        <v>18</v>
      </c>
      <c r="AT246">
        <v>0</v>
      </c>
      <c r="AU246">
        <v>0</v>
      </c>
      <c r="AV246">
        <v>18</v>
      </c>
      <c r="AW246">
        <v>755.08500000000004</v>
      </c>
      <c r="AX246">
        <v>0</v>
      </c>
      <c r="AY246">
        <v>0</v>
      </c>
      <c r="AZ246">
        <v>755.08500000000004</v>
      </c>
      <c r="BA246" s="2"/>
      <c r="BC246" s="2">
        <v>45955.5</v>
      </c>
      <c r="BD246" s="1">
        <f>MarketPlace_Order_Report__2[[#This Row],[UnitPrice]]*MarketPlace_Order_Report__2[[#This Row],[OrderQty]]</f>
        <v>4950</v>
      </c>
      <c r="BE246" s="1">
        <f>IFERROR(MarketPlace_Order_Report__2[[#This Row],[CGSTAmount]]+MarketPlace_Order_Report__2[[#This Row],[SGSTAmount]]+MarketPlace_Order_Report__2[[#This Row],[IGSTAmount]],MarketPlace_Order_Report__2[[#This Row],[TaxAmount]])</f>
        <v>755.08500000000004</v>
      </c>
      <c r="BF246" s="1">
        <f>MarketPlace_Order_Report__2[[#This Row],[Gross Amount (Before Tax)]]+MarketPlace_Order_Report__2[[#This Row],[Total GST Amount]]</f>
        <v>5705.085</v>
      </c>
    </row>
    <row r="247" spans="1:58">
      <c r="A247" t="s">
        <v>1528</v>
      </c>
      <c r="B247" t="s">
        <v>1529</v>
      </c>
      <c r="C247" t="s">
        <v>1530</v>
      </c>
      <c r="D247" t="s">
        <v>1531</v>
      </c>
      <c r="E247">
        <v>2</v>
      </c>
      <c r="F247" t="s">
        <v>62</v>
      </c>
      <c r="G247">
        <v>1</v>
      </c>
      <c r="H247">
        <v>1</v>
      </c>
      <c r="I247">
        <v>5000</v>
      </c>
      <c r="J247">
        <v>4500</v>
      </c>
      <c r="K247">
        <v>0</v>
      </c>
      <c r="L247">
        <v>4500</v>
      </c>
      <c r="M247">
        <v>0</v>
      </c>
      <c r="N247" t="s">
        <v>63</v>
      </c>
      <c r="O247" s="2">
        <v>45937.826365740744</v>
      </c>
      <c r="P247" s="2">
        <v>45940.732037037036</v>
      </c>
      <c r="Q247" s="2">
        <v>45945.577141203707</v>
      </c>
      <c r="R247" t="s">
        <v>1532</v>
      </c>
      <c r="S247" t="s">
        <v>65</v>
      </c>
      <c r="T247" s="2">
        <v>45939.786319444444</v>
      </c>
      <c r="U247" t="s">
        <v>66</v>
      </c>
      <c r="V247" t="s">
        <v>1502</v>
      </c>
      <c r="W247" t="s">
        <v>66</v>
      </c>
      <c r="X247" t="s">
        <v>66</v>
      </c>
      <c r="Y247" t="s">
        <v>1533</v>
      </c>
      <c r="Z247" t="s">
        <v>69</v>
      </c>
      <c r="AA247" t="s">
        <v>175</v>
      </c>
      <c r="AB247" t="s">
        <v>66</v>
      </c>
      <c r="AC247" t="s">
        <v>66</v>
      </c>
      <c r="AD247" s="2">
        <v>45958.625763888886</v>
      </c>
      <c r="AE247" t="s">
        <v>71</v>
      </c>
      <c r="AF247" t="s">
        <v>66</v>
      </c>
      <c r="AG247" t="s">
        <v>1534</v>
      </c>
      <c r="AH247" t="s">
        <v>91</v>
      </c>
      <c r="AI247">
        <v>577102</v>
      </c>
      <c r="AJ247" t="s">
        <v>74</v>
      </c>
      <c r="AK247" t="s">
        <v>75</v>
      </c>
      <c r="AL247">
        <v>62044220</v>
      </c>
      <c r="AM247" s="2"/>
      <c r="AN247">
        <v>4500</v>
      </c>
      <c r="AO247" t="s">
        <v>1535</v>
      </c>
      <c r="AP247" t="s">
        <v>77</v>
      </c>
      <c r="AQ247" t="s">
        <v>66</v>
      </c>
      <c r="AR247" t="s">
        <v>71</v>
      </c>
      <c r="AS247">
        <v>18</v>
      </c>
      <c r="AT247">
        <v>0</v>
      </c>
      <c r="AU247">
        <v>0</v>
      </c>
      <c r="AV247">
        <v>18</v>
      </c>
      <c r="AW247">
        <v>686.44100000000003</v>
      </c>
      <c r="AX247">
        <v>0</v>
      </c>
      <c r="AY247">
        <v>0</v>
      </c>
      <c r="AZ247">
        <v>686.44100000000003</v>
      </c>
      <c r="BA247" s="2"/>
      <c r="BB247">
        <v>0.7</v>
      </c>
      <c r="BC247" s="2">
        <v>45940.5</v>
      </c>
      <c r="BD247" s="1">
        <f>MarketPlace_Order_Report__2[[#This Row],[UnitPrice]]*MarketPlace_Order_Report__2[[#This Row],[OrderQty]]</f>
        <v>4500</v>
      </c>
      <c r="BE247" s="1">
        <f>IFERROR(MarketPlace_Order_Report__2[[#This Row],[CGSTAmount]]+MarketPlace_Order_Report__2[[#This Row],[SGSTAmount]]+MarketPlace_Order_Report__2[[#This Row],[IGSTAmount]],MarketPlace_Order_Report__2[[#This Row],[TaxAmount]])</f>
        <v>686.44100000000003</v>
      </c>
      <c r="BF247" s="1">
        <f>MarketPlace_Order_Report__2[[#This Row],[Gross Amount (Before Tax)]]+MarketPlace_Order_Report__2[[#This Row],[Total GST Amount]]</f>
        <v>5186.4409999999998</v>
      </c>
    </row>
    <row r="248" spans="1:58">
      <c r="A248" t="s">
        <v>1536</v>
      </c>
      <c r="B248" t="s">
        <v>1537</v>
      </c>
      <c r="C248" t="s">
        <v>1538</v>
      </c>
      <c r="D248" t="s">
        <v>1539</v>
      </c>
      <c r="E248">
        <v>1</v>
      </c>
      <c r="F248" t="s">
        <v>62</v>
      </c>
      <c r="G248">
        <v>1</v>
      </c>
      <c r="H248">
        <v>1</v>
      </c>
      <c r="I248">
        <v>5250</v>
      </c>
      <c r="J248">
        <v>4725</v>
      </c>
      <c r="K248">
        <v>0</v>
      </c>
      <c r="L248">
        <v>4725</v>
      </c>
      <c r="M248">
        <v>0</v>
      </c>
      <c r="N248" t="s">
        <v>63</v>
      </c>
      <c r="O248" s="2">
        <v>45946.610972222225</v>
      </c>
      <c r="P248" s="2">
        <v>45948.728414351855</v>
      </c>
      <c r="Q248" s="2">
        <v>45955.682592592595</v>
      </c>
      <c r="R248" t="s">
        <v>1540</v>
      </c>
      <c r="S248" t="s">
        <v>65</v>
      </c>
      <c r="T248" s="2">
        <v>45947.779918981483</v>
      </c>
      <c r="U248" t="s">
        <v>66</v>
      </c>
      <c r="V248" t="s">
        <v>1541</v>
      </c>
      <c r="W248" t="s">
        <v>66</v>
      </c>
      <c r="X248" t="s">
        <v>66</v>
      </c>
      <c r="Y248" t="s">
        <v>1542</v>
      </c>
      <c r="Z248" t="s">
        <v>69</v>
      </c>
      <c r="AA248" t="s">
        <v>130</v>
      </c>
      <c r="AB248" t="s">
        <v>66</v>
      </c>
      <c r="AC248" t="s">
        <v>66</v>
      </c>
      <c r="AD248" s="2">
        <v>45956.737025462964</v>
      </c>
      <c r="AE248" t="s">
        <v>71</v>
      </c>
      <c r="AF248" t="s">
        <v>66</v>
      </c>
      <c r="AG248" t="s">
        <v>1543</v>
      </c>
      <c r="AH248" t="s">
        <v>1095</v>
      </c>
      <c r="AI248">
        <v>244712</v>
      </c>
      <c r="AJ248" t="s">
        <v>74</v>
      </c>
      <c r="AK248" t="s">
        <v>75</v>
      </c>
      <c r="AL248">
        <v>62042300</v>
      </c>
      <c r="AM248" s="2"/>
      <c r="AN248">
        <v>4725</v>
      </c>
      <c r="AO248" t="s">
        <v>1544</v>
      </c>
      <c r="AP248" t="s">
        <v>132</v>
      </c>
      <c r="AQ248" t="s">
        <v>66</v>
      </c>
      <c r="AR248" t="s">
        <v>71</v>
      </c>
      <c r="AS248">
        <v>18</v>
      </c>
      <c r="AT248">
        <v>0</v>
      </c>
      <c r="AU248">
        <v>0</v>
      </c>
      <c r="AV248">
        <v>18</v>
      </c>
      <c r="AW248">
        <v>720.76300000000003</v>
      </c>
      <c r="AX248">
        <v>0</v>
      </c>
      <c r="AY248">
        <v>0</v>
      </c>
      <c r="AZ248">
        <v>720.76300000000003</v>
      </c>
      <c r="BA248" s="2"/>
      <c r="BB248">
        <v>0.75</v>
      </c>
      <c r="BC248" s="2">
        <v>45949.5</v>
      </c>
      <c r="BD248" s="1">
        <f>MarketPlace_Order_Report__2[[#This Row],[UnitPrice]]*MarketPlace_Order_Report__2[[#This Row],[OrderQty]]</f>
        <v>4725</v>
      </c>
      <c r="BE248" s="1">
        <f>IFERROR(MarketPlace_Order_Report__2[[#This Row],[CGSTAmount]]+MarketPlace_Order_Report__2[[#This Row],[SGSTAmount]]+MarketPlace_Order_Report__2[[#This Row],[IGSTAmount]],MarketPlace_Order_Report__2[[#This Row],[TaxAmount]])</f>
        <v>720.76300000000003</v>
      </c>
      <c r="BF248" s="1">
        <f>MarketPlace_Order_Report__2[[#This Row],[Gross Amount (Before Tax)]]+MarketPlace_Order_Report__2[[#This Row],[Total GST Amount]]</f>
        <v>5445.7629999999999</v>
      </c>
    </row>
    <row r="249" spans="1:58">
      <c r="A249" t="s">
        <v>1545</v>
      </c>
      <c r="B249" t="s">
        <v>1546</v>
      </c>
      <c r="C249" t="s">
        <v>1547</v>
      </c>
      <c r="D249" t="s">
        <v>1548</v>
      </c>
      <c r="E249">
        <v>1</v>
      </c>
      <c r="F249" t="s">
        <v>145</v>
      </c>
      <c r="G249">
        <v>1</v>
      </c>
      <c r="H249">
        <v>0</v>
      </c>
      <c r="I249">
        <v>6000</v>
      </c>
      <c r="J249">
        <v>5400</v>
      </c>
      <c r="K249">
        <v>0</v>
      </c>
      <c r="L249">
        <v>5449</v>
      </c>
      <c r="M249">
        <v>49</v>
      </c>
      <c r="N249" t="s">
        <v>99</v>
      </c>
      <c r="O249" s="2">
        <v>45945.611354166664</v>
      </c>
      <c r="P249" s="2"/>
      <c r="Q249" s="2"/>
      <c r="R249" t="s">
        <v>66</v>
      </c>
      <c r="S249" t="s">
        <v>65</v>
      </c>
      <c r="T249" s="2"/>
      <c r="U249" t="s">
        <v>209</v>
      </c>
      <c r="V249" t="s">
        <v>1541</v>
      </c>
      <c r="W249" t="s">
        <v>66</v>
      </c>
      <c r="X249" t="s">
        <v>66</v>
      </c>
      <c r="Y249" t="s">
        <v>66</v>
      </c>
      <c r="Z249" t="s">
        <v>66</v>
      </c>
      <c r="AA249" t="s">
        <v>66</v>
      </c>
      <c r="AB249" t="s">
        <v>66</v>
      </c>
      <c r="AC249" t="s">
        <v>66</v>
      </c>
      <c r="AD249" s="2">
        <v>45945.615185185183</v>
      </c>
      <c r="AE249" t="s">
        <v>71</v>
      </c>
      <c r="AF249" t="s">
        <v>66</v>
      </c>
      <c r="AG249" t="s">
        <v>1004</v>
      </c>
      <c r="AH249" t="s">
        <v>139</v>
      </c>
      <c r="AI249">
        <v>226010</v>
      </c>
      <c r="AJ249" t="s">
        <v>74</v>
      </c>
      <c r="AK249" t="s">
        <v>75</v>
      </c>
      <c r="AL249">
        <v>62042300</v>
      </c>
      <c r="AM249" s="2">
        <v>45945.615185185183</v>
      </c>
      <c r="AN249">
        <v>5400</v>
      </c>
      <c r="AO249" t="s">
        <v>66</v>
      </c>
      <c r="AP249" t="s">
        <v>66</v>
      </c>
      <c r="AQ249" t="s">
        <v>66</v>
      </c>
      <c r="AR249" t="s">
        <v>71</v>
      </c>
      <c r="AS249">
        <v>18</v>
      </c>
      <c r="AT249">
        <v>0</v>
      </c>
      <c r="AU249">
        <v>0</v>
      </c>
      <c r="AV249">
        <v>18</v>
      </c>
      <c r="AW249">
        <v>823.72900000000004</v>
      </c>
      <c r="AX249">
        <v>0</v>
      </c>
      <c r="AY249">
        <v>0</v>
      </c>
      <c r="AZ249">
        <v>823.72900000000004</v>
      </c>
      <c r="BA249" s="2"/>
      <c r="BC249" s="2">
        <v>45948.5</v>
      </c>
      <c r="BD249" s="1">
        <f>MarketPlace_Order_Report__2[[#This Row],[UnitPrice]]*MarketPlace_Order_Report__2[[#This Row],[OrderQty]]</f>
        <v>5400</v>
      </c>
      <c r="BE249" s="1">
        <f>IFERROR(MarketPlace_Order_Report__2[[#This Row],[CGSTAmount]]+MarketPlace_Order_Report__2[[#This Row],[SGSTAmount]]+MarketPlace_Order_Report__2[[#This Row],[IGSTAmount]],MarketPlace_Order_Report__2[[#This Row],[TaxAmount]])</f>
        <v>823.72900000000004</v>
      </c>
      <c r="BF249" s="1">
        <f>MarketPlace_Order_Report__2[[#This Row],[Gross Amount (Before Tax)]]+MarketPlace_Order_Report__2[[#This Row],[Total GST Amount]]</f>
        <v>6223.7290000000003</v>
      </c>
    </row>
    <row r="250" spans="1:58">
      <c r="A250" t="s">
        <v>1045</v>
      </c>
      <c r="B250" t="s">
        <v>1046</v>
      </c>
      <c r="C250" t="s">
        <v>1549</v>
      </c>
      <c r="D250" t="s">
        <v>1550</v>
      </c>
      <c r="E250">
        <v>4</v>
      </c>
      <c r="F250" t="s">
        <v>107</v>
      </c>
      <c r="G250">
        <v>1</v>
      </c>
      <c r="H250">
        <v>1</v>
      </c>
      <c r="I250">
        <v>6000</v>
      </c>
      <c r="J250">
        <v>5700</v>
      </c>
      <c r="K250">
        <v>0</v>
      </c>
      <c r="L250">
        <v>5712.2479999999996</v>
      </c>
      <c r="M250">
        <v>12.247999999999999</v>
      </c>
      <c r="N250" t="s">
        <v>63</v>
      </c>
      <c r="O250" s="2">
        <v>45958.034259259257</v>
      </c>
      <c r="P250" s="2">
        <v>45958.715937499997</v>
      </c>
      <c r="Q250" s="2"/>
      <c r="R250" t="s">
        <v>1049</v>
      </c>
      <c r="S250" t="s">
        <v>65</v>
      </c>
      <c r="T250" s="2">
        <v>45958.543113425927</v>
      </c>
      <c r="U250" t="s">
        <v>66</v>
      </c>
      <c r="V250" t="s">
        <v>1502</v>
      </c>
      <c r="W250" t="s">
        <v>66</v>
      </c>
      <c r="X250" t="s">
        <v>66</v>
      </c>
      <c r="Y250" t="s">
        <v>66</v>
      </c>
      <c r="Z250" t="s">
        <v>66</v>
      </c>
      <c r="AA250" t="s">
        <v>66</v>
      </c>
      <c r="AB250" t="s">
        <v>66</v>
      </c>
      <c r="AC250" t="s">
        <v>66</v>
      </c>
      <c r="AD250" s="2">
        <v>45961.553020833337</v>
      </c>
      <c r="AE250" t="s">
        <v>71</v>
      </c>
      <c r="AF250" t="s">
        <v>66</v>
      </c>
      <c r="AG250" t="s">
        <v>1050</v>
      </c>
      <c r="AH250" t="s">
        <v>279</v>
      </c>
      <c r="AI250">
        <v>144602</v>
      </c>
      <c r="AJ250" t="s">
        <v>74</v>
      </c>
      <c r="AK250" t="s">
        <v>75</v>
      </c>
      <c r="AL250">
        <v>62042300</v>
      </c>
      <c r="AM250" s="2"/>
      <c r="AN250">
        <v>5700</v>
      </c>
      <c r="AO250" t="s">
        <v>1051</v>
      </c>
      <c r="AP250" t="s">
        <v>66</v>
      </c>
      <c r="AQ250" t="s">
        <v>66</v>
      </c>
      <c r="AR250" t="s">
        <v>71</v>
      </c>
      <c r="AS250">
        <v>18</v>
      </c>
      <c r="AT250">
        <v>0</v>
      </c>
      <c r="AU250">
        <v>0</v>
      </c>
      <c r="AV250">
        <v>18</v>
      </c>
      <c r="AW250">
        <v>869.49199999999996</v>
      </c>
      <c r="AX250">
        <v>0</v>
      </c>
      <c r="AY250">
        <v>0</v>
      </c>
      <c r="AZ250">
        <v>869.49199999999996</v>
      </c>
      <c r="BA250" s="2"/>
      <c r="BB250">
        <v>1.1000000000000001</v>
      </c>
      <c r="BC250" s="2">
        <v>45960.5</v>
      </c>
      <c r="BD250" s="1">
        <f>MarketPlace_Order_Report__2[[#This Row],[UnitPrice]]*MarketPlace_Order_Report__2[[#This Row],[OrderQty]]</f>
        <v>5700</v>
      </c>
      <c r="BE250" s="1">
        <f>IFERROR(MarketPlace_Order_Report__2[[#This Row],[CGSTAmount]]+MarketPlace_Order_Report__2[[#This Row],[SGSTAmount]]+MarketPlace_Order_Report__2[[#This Row],[IGSTAmount]],MarketPlace_Order_Report__2[[#This Row],[TaxAmount]])</f>
        <v>869.49199999999996</v>
      </c>
      <c r="BF250" s="1">
        <f>MarketPlace_Order_Report__2[[#This Row],[Gross Amount (Before Tax)]]+MarketPlace_Order_Report__2[[#This Row],[Total GST Amount]]</f>
        <v>6569.4920000000002</v>
      </c>
    </row>
    <row r="251" spans="1:58">
      <c r="A251" t="s">
        <v>1551</v>
      </c>
      <c r="B251" t="s">
        <v>1552</v>
      </c>
      <c r="C251" t="s">
        <v>1549</v>
      </c>
      <c r="D251" t="s">
        <v>1550</v>
      </c>
      <c r="E251">
        <v>1</v>
      </c>
      <c r="F251" t="s">
        <v>1806</v>
      </c>
      <c r="G251">
        <v>1</v>
      </c>
      <c r="H251">
        <v>1</v>
      </c>
      <c r="I251">
        <v>6000</v>
      </c>
      <c r="J251">
        <v>5700</v>
      </c>
      <c r="K251">
        <v>0</v>
      </c>
      <c r="L251">
        <v>5749</v>
      </c>
      <c r="M251">
        <v>49</v>
      </c>
      <c r="N251" t="s">
        <v>99</v>
      </c>
      <c r="O251" s="2">
        <v>45942.047129629631</v>
      </c>
      <c r="P251" s="2">
        <v>45943.762812499997</v>
      </c>
      <c r="Q251" s="2">
        <v>45946.872361111113</v>
      </c>
      <c r="R251" t="s">
        <v>1553</v>
      </c>
      <c r="S251" t="s">
        <v>65</v>
      </c>
      <c r="T251" s="2">
        <v>45942.661412037036</v>
      </c>
      <c r="U251" t="s">
        <v>66</v>
      </c>
      <c r="V251" t="s">
        <v>1502</v>
      </c>
      <c r="W251" t="s">
        <v>66</v>
      </c>
      <c r="X251" t="s">
        <v>66</v>
      </c>
      <c r="Y251" t="s">
        <v>66</v>
      </c>
      <c r="Z251" t="s">
        <v>66</v>
      </c>
      <c r="AA251" t="s">
        <v>66</v>
      </c>
      <c r="AB251" t="s">
        <v>66</v>
      </c>
      <c r="AC251" t="s">
        <v>66</v>
      </c>
      <c r="AD251" s="2">
        <v>45946.875868055555</v>
      </c>
      <c r="AE251" t="s">
        <v>71</v>
      </c>
      <c r="AF251" t="s">
        <v>66</v>
      </c>
      <c r="AG251" t="s">
        <v>90</v>
      </c>
      <c r="AH251" t="s">
        <v>91</v>
      </c>
      <c r="AI251">
        <v>560095</v>
      </c>
      <c r="AJ251" t="s">
        <v>74</v>
      </c>
      <c r="AK251" t="s">
        <v>75</v>
      </c>
      <c r="AL251">
        <v>62042300</v>
      </c>
      <c r="AM251" s="2"/>
      <c r="AN251">
        <v>5700</v>
      </c>
      <c r="AO251" t="s">
        <v>1554</v>
      </c>
      <c r="AP251" t="s">
        <v>66</v>
      </c>
      <c r="AQ251" t="s">
        <v>66</v>
      </c>
      <c r="AR251" t="s">
        <v>71</v>
      </c>
      <c r="AS251">
        <v>18</v>
      </c>
      <c r="AT251">
        <v>0</v>
      </c>
      <c r="AU251">
        <v>0</v>
      </c>
      <c r="AV251">
        <v>18</v>
      </c>
      <c r="AW251">
        <v>869.49199999999996</v>
      </c>
      <c r="AX251">
        <v>0</v>
      </c>
      <c r="AY251">
        <v>0</v>
      </c>
      <c r="AZ251">
        <v>869.49199999999996</v>
      </c>
      <c r="BA251" s="2"/>
      <c r="BB251">
        <v>0.85</v>
      </c>
      <c r="BC251" s="2">
        <v>45944.5</v>
      </c>
      <c r="BD251" s="1">
        <f>MarketPlace_Order_Report__2[[#This Row],[UnitPrice]]*MarketPlace_Order_Report__2[[#This Row],[OrderQty]]</f>
        <v>5700</v>
      </c>
      <c r="BE251" s="1">
        <f>IFERROR(MarketPlace_Order_Report__2[[#This Row],[CGSTAmount]]+MarketPlace_Order_Report__2[[#This Row],[SGSTAmount]]+MarketPlace_Order_Report__2[[#This Row],[IGSTAmount]],MarketPlace_Order_Report__2[[#This Row],[TaxAmount]])</f>
        <v>869.49199999999996</v>
      </c>
      <c r="BF251" s="1">
        <f>MarketPlace_Order_Report__2[[#This Row],[Gross Amount (Before Tax)]]+MarketPlace_Order_Report__2[[#This Row],[Total GST Amount]]</f>
        <v>6569.4920000000002</v>
      </c>
    </row>
    <row r="252" spans="1:58">
      <c r="A252" t="s">
        <v>1555</v>
      </c>
      <c r="B252" t="s">
        <v>1556</v>
      </c>
      <c r="C252" t="s">
        <v>1557</v>
      </c>
      <c r="D252" t="s">
        <v>1558</v>
      </c>
      <c r="E252">
        <v>1</v>
      </c>
      <c r="F252" t="s">
        <v>1806</v>
      </c>
      <c r="G252">
        <v>1</v>
      </c>
      <c r="H252">
        <v>1</v>
      </c>
      <c r="I252">
        <v>5750</v>
      </c>
      <c r="J252">
        <v>5175</v>
      </c>
      <c r="K252">
        <v>0</v>
      </c>
      <c r="L252">
        <v>5224</v>
      </c>
      <c r="M252">
        <v>49</v>
      </c>
      <c r="N252" t="s">
        <v>99</v>
      </c>
      <c r="O252" s="2">
        <v>45939.707685185182</v>
      </c>
      <c r="P252" s="2">
        <v>45940.907638888886</v>
      </c>
      <c r="Q252" s="2">
        <v>45942.509722222225</v>
      </c>
      <c r="R252" t="s">
        <v>1559</v>
      </c>
      <c r="S252" t="s">
        <v>146</v>
      </c>
      <c r="T252" s="2">
        <v>45939.786874999998</v>
      </c>
      <c r="U252" t="s">
        <v>66</v>
      </c>
      <c r="V252" t="s">
        <v>1502</v>
      </c>
      <c r="W252" t="s">
        <v>66</v>
      </c>
      <c r="X252" t="s">
        <v>66</v>
      </c>
      <c r="Y252" t="s">
        <v>66</v>
      </c>
      <c r="Z252" t="s">
        <v>66</v>
      </c>
      <c r="AA252" t="s">
        <v>66</v>
      </c>
      <c r="AB252" t="s">
        <v>66</v>
      </c>
      <c r="AC252" t="s">
        <v>66</v>
      </c>
      <c r="AD252" s="2">
        <v>45942.514803240738</v>
      </c>
      <c r="AE252" t="s">
        <v>71</v>
      </c>
      <c r="AF252" t="s">
        <v>66</v>
      </c>
      <c r="AG252" t="s">
        <v>1560</v>
      </c>
      <c r="AH252" t="s">
        <v>169</v>
      </c>
      <c r="AI252">
        <v>801505</v>
      </c>
      <c r="AJ252" t="s">
        <v>74</v>
      </c>
      <c r="AK252" t="s">
        <v>75</v>
      </c>
      <c r="AL252">
        <v>62042300</v>
      </c>
      <c r="AM252" s="2"/>
      <c r="AN252">
        <v>5175</v>
      </c>
      <c r="AO252" t="s">
        <v>1561</v>
      </c>
      <c r="AP252" t="s">
        <v>66</v>
      </c>
      <c r="AQ252" t="s">
        <v>66</v>
      </c>
      <c r="AR252" t="s">
        <v>71</v>
      </c>
      <c r="AS252">
        <v>18</v>
      </c>
      <c r="AT252">
        <v>0</v>
      </c>
      <c r="AU252">
        <v>0</v>
      </c>
      <c r="AV252">
        <v>18</v>
      </c>
      <c r="AW252">
        <v>789.40700000000004</v>
      </c>
      <c r="AX252">
        <v>0</v>
      </c>
      <c r="AY252">
        <v>0</v>
      </c>
      <c r="AZ252">
        <v>789.40700000000004</v>
      </c>
      <c r="BA252" s="2"/>
      <c r="BB252">
        <v>0.75</v>
      </c>
      <c r="BC252" s="2">
        <v>45942.5</v>
      </c>
      <c r="BD252" s="1">
        <f>MarketPlace_Order_Report__2[[#This Row],[UnitPrice]]*MarketPlace_Order_Report__2[[#This Row],[OrderQty]]</f>
        <v>5175</v>
      </c>
      <c r="BE252" s="1">
        <f>IFERROR(MarketPlace_Order_Report__2[[#This Row],[CGSTAmount]]+MarketPlace_Order_Report__2[[#This Row],[SGSTAmount]]+MarketPlace_Order_Report__2[[#This Row],[IGSTAmount]],MarketPlace_Order_Report__2[[#This Row],[TaxAmount]])</f>
        <v>789.40700000000004</v>
      </c>
      <c r="BF252" s="1">
        <f>MarketPlace_Order_Report__2[[#This Row],[Gross Amount (Before Tax)]]+MarketPlace_Order_Report__2[[#This Row],[Total GST Amount]]</f>
        <v>5964.4070000000002</v>
      </c>
    </row>
    <row r="253" spans="1:58">
      <c r="A253" t="s">
        <v>1562</v>
      </c>
      <c r="B253" t="s">
        <v>1563</v>
      </c>
      <c r="C253" t="s">
        <v>1564</v>
      </c>
      <c r="D253" t="s">
        <v>1565</v>
      </c>
      <c r="E253">
        <v>1</v>
      </c>
      <c r="F253" t="s">
        <v>257</v>
      </c>
      <c r="G253">
        <v>1</v>
      </c>
      <c r="H253">
        <v>1</v>
      </c>
      <c r="I253">
        <v>6000</v>
      </c>
      <c r="J253">
        <v>5400</v>
      </c>
      <c r="K253">
        <v>0</v>
      </c>
      <c r="L253">
        <v>5415.06</v>
      </c>
      <c r="M253">
        <v>15.06</v>
      </c>
      <c r="N253" t="s">
        <v>63</v>
      </c>
      <c r="O253" s="2">
        <v>45932.847650462965</v>
      </c>
      <c r="P253" s="2">
        <v>45934.620092592595</v>
      </c>
      <c r="Q253" s="2"/>
      <c r="R253" t="s">
        <v>1566</v>
      </c>
      <c r="S253" t="s">
        <v>89</v>
      </c>
      <c r="T253" s="2">
        <v>45933.815833333334</v>
      </c>
      <c r="U253" t="s">
        <v>66</v>
      </c>
      <c r="V253" t="s">
        <v>1502</v>
      </c>
      <c r="W253" t="s">
        <v>66</v>
      </c>
      <c r="X253" t="s">
        <v>66</v>
      </c>
      <c r="Y253" t="s">
        <v>66</v>
      </c>
      <c r="Z253" t="s">
        <v>66</v>
      </c>
      <c r="AA253" t="s">
        <v>66</v>
      </c>
      <c r="AB253" t="s">
        <v>66</v>
      </c>
      <c r="AC253" t="s">
        <v>66</v>
      </c>
      <c r="AD253" s="2">
        <v>45948.042546296296</v>
      </c>
      <c r="AE253" t="s">
        <v>71</v>
      </c>
      <c r="AF253" t="s">
        <v>66</v>
      </c>
      <c r="AG253" t="s">
        <v>1305</v>
      </c>
      <c r="AH253" t="s">
        <v>440</v>
      </c>
      <c r="AI253">
        <v>121007</v>
      </c>
      <c r="AJ253" t="s">
        <v>74</v>
      </c>
      <c r="AK253" t="s">
        <v>75</v>
      </c>
      <c r="AL253">
        <v>62042300</v>
      </c>
      <c r="AM253" s="2"/>
      <c r="AN253">
        <v>5400</v>
      </c>
      <c r="AO253" t="s">
        <v>1567</v>
      </c>
      <c r="AP253" t="s">
        <v>66</v>
      </c>
      <c r="AQ253" t="s">
        <v>66</v>
      </c>
      <c r="AR253" t="s">
        <v>71</v>
      </c>
      <c r="AS253">
        <v>18</v>
      </c>
      <c r="AT253">
        <v>0</v>
      </c>
      <c r="AU253">
        <v>0</v>
      </c>
      <c r="AV253">
        <v>18</v>
      </c>
      <c r="AW253">
        <v>823.72900000000004</v>
      </c>
      <c r="AX253">
        <v>0</v>
      </c>
      <c r="AY253">
        <v>0</v>
      </c>
      <c r="AZ253">
        <v>823.72900000000004</v>
      </c>
      <c r="BA253" s="2"/>
      <c r="BB253">
        <v>0.85</v>
      </c>
      <c r="BC253" s="2">
        <v>45935.5</v>
      </c>
      <c r="BD253" s="1">
        <f>MarketPlace_Order_Report__2[[#This Row],[UnitPrice]]*MarketPlace_Order_Report__2[[#This Row],[OrderQty]]</f>
        <v>5400</v>
      </c>
      <c r="BE253" s="1">
        <f>IFERROR(MarketPlace_Order_Report__2[[#This Row],[CGSTAmount]]+MarketPlace_Order_Report__2[[#This Row],[SGSTAmount]]+MarketPlace_Order_Report__2[[#This Row],[IGSTAmount]],MarketPlace_Order_Report__2[[#This Row],[TaxAmount]])</f>
        <v>823.72900000000004</v>
      </c>
      <c r="BF253" s="1">
        <f>MarketPlace_Order_Report__2[[#This Row],[Gross Amount (Before Tax)]]+MarketPlace_Order_Report__2[[#This Row],[Total GST Amount]]</f>
        <v>6223.7290000000003</v>
      </c>
    </row>
    <row r="254" spans="1:58">
      <c r="A254" t="s">
        <v>1568</v>
      </c>
      <c r="B254" t="s">
        <v>1569</v>
      </c>
      <c r="C254" t="s">
        <v>1570</v>
      </c>
      <c r="D254" t="s">
        <v>1571</v>
      </c>
      <c r="E254">
        <v>2</v>
      </c>
      <c r="F254" t="s">
        <v>1806</v>
      </c>
      <c r="G254">
        <v>1</v>
      </c>
      <c r="H254">
        <v>1</v>
      </c>
      <c r="I254">
        <v>6950</v>
      </c>
      <c r="J254">
        <v>6255</v>
      </c>
      <c r="K254">
        <v>0</v>
      </c>
      <c r="L254">
        <v>6274.2</v>
      </c>
      <c r="M254">
        <v>19.2</v>
      </c>
      <c r="N254" t="s">
        <v>63</v>
      </c>
      <c r="O254" s="2">
        <v>45937.951574074075</v>
      </c>
      <c r="P254" s="2">
        <v>45939.734733796293</v>
      </c>
      <c r="Q254" s="2">
        <v>45946.630057870374</v>
      </c>
      <c r="R254" t="s">
        <v>1572</v>
      </c>
      <c r="S254" t="s">
        <v>161</v>
      </c>
      <c r="T254" s="2">
        <v>45938.725810185184</v>
      </c>
      <c r="U254" t="s">
        <v>66</v>
      </c>
      <c r="V254" t="s">
        <v>1502</v>
      </c>
      <c r="W254" t="s">
        <v>66</v>
      </c>
      <c r="X254" t="s">
        <v>66</v>
      </c>
      <c r="Y254" t="s">
        <v>66</v>
      </c>
      <c r="Z254" t="s">
        <v>66</v>
      </c>
      <c r="AA254" t="s">
        <v>66</v>
      </c>
      <c r="AB254" t="s">
        <v>66</v>
      </c>
      <c r="AC254" t="s">
        <v>66</v>
      </c>
      <c r="AD254" s="2">
        <v>45946.639513888891</v>
      </c>
      <c r="AE254" t="s">
        <v>71</v>
      </c>
      <c r="AF254" t="s">
        <v>66</v>
      </c>
      <c r="AG254" t="s">
        <v>382</v>
      </c>
      <c r="AH254" t="s">
        <v>383</v>
      </c>
      <c r="AI254">
        <v>462016</v>
      </c>
      <c r="AJ254" t="s">
        <v>74</v>
      </c>
      <c r="AK254" t="s">
        <v>75</v>
      </c>
      <c r="AL254">
        <v>62044220</v>
      </c>
      <c r="AM254" s="2"/>
      <c r="AN254">
        <v>6255</v>
      </c>
      <c r="AO254" t="s">
        <v>1573</v>
      </c>
      <c r="AP254" t="s">
        <v>1574</v>
      </c>
      <c r="AQ254" t="s">
        <v>66</v>
      </c>
      <c r="AR254" t="s">
        <v>71</v>
      </c>
      <c r="AS254">
        <v>18</v>
      </c>
      <c r="AT254">
        <v>0</v>
      </c>
      <c r="AU254">
        <v>0</v>
      </c>
      <c r="AV254">
        <v>18</v>
      </c>
      <c r="AW254">
        <v>954.15300000000002</v>
      </c>
      <c r="AX254">
        <v>0</v>
      </c>
      <c r="AY254">
        <v>0</v>
      </c>
      <c r="AZ254">
        <v>954.15300000000002</v>
      </c>
      <c r="BA254" s="2"/>
      <c r="BB254">
        <v>0.85</v>
      </c>
      <c r="BC254" s="2">
        <v>45940.5</v>
      </c>
      <c r="BD254" s="1">
        <f>MarketPlace_Order_Report__2[[#This Row],[UnitPrice]]*MarketPlace_Order_Report__2[[#This Row],[OrderQty]]</f>
        <v>6255</v>
      </c>
      <c r="BE254" s="1">
        <f>IFERROR(MarketPlace_Order_Report__2[[#This Row],[CGSTAmount]]+MarketPlace_Order_Report__2[[#This Row],[SGSTAmount]]+MarketPlace_Order_Report__2[[#This Row],[IGSTAmount]],MarketPlace_Order_Report__2[[#This Row],[TaxAmount]])</f>
        <v>954.15300000000002</v>
      </c>
      <c r="BF254" s="1">
        <f>MarketPlace_Order_Report__2[[#This Row],[Gross Amount (Before Tax)]]+MarketPlace_Order_Report__2[[#This Row],[Total GST Amount]]</f>
        <v>7209.1530000000002</v>
      </c>
    </row>
    <row r="255" spans="1:58">
      <c r="A255" t="s">
        <v>1575</v>
      </c>
      <c r="B255" t="s">
        <v>1576</v>
      </c>
      <c r="C255" t="s">
        <v>1577</v>
      </c>
      <c r="D255" t="s">
        <v>1578</v>
      </c>
      <c r="E255">
        <v>2</v>
      </c>
      <c r="F255" t="s">
        <v>62</v>
      </c>
      <c r="G255">
        <v>1</v>
      </c>
      <c r="H255">
        <v>1</v>
      </c>
      <c r="I255">
        <v>6000</v>
      </c>
      <c r="J255">
        <v>5400</v>
      </c>
      <c r="K255">
        <v>0</v>
      </c>
      <c r="L255">
        <v>5414.55</v>
      </c>
      <c r="M255">
        <v>14.55</v>
      </c>
      <c r="N255" t="s">
        <v>63</v>
      </c>
      <c r="O255" s="2">
        <v>45939.678796296299</v>
      </c>
      <c r="P255" s="2">
        <v>45940.730949074074</v>
      </c>
      <c r="Q255" s="2">
        <v>45944.654780092591</v>
      </c>
      <c r="R255" t="s">
        <v>1579</v>
      </c>
      <c r="S255" t="s">
        <v>65</v>
      </c>
      <c r="T255" s="2">
        <v>45939.786168981482</v>
      </c>
      <c r="U255" t="s">
        <v>66</v>
      </c>
      <c r="V255" t="s">
        <v>1502</v>
      </c>
      <c r="W255" t="s">
        <v>66</v>
      </c>
      <c r="X255" t="s">
        <v>66</v>
      </c>
      <c r="Y255" t="s">
        <v>1580</v>
      </c>
      <c r="Z255" t="s">
        <v>69</v>
      </c>
      <c r="AA255" t="s">
        <v>175</v>
      </c>
      <c r="AB255" t="s">
        <v>66</v>
      </c>
      <c r="AC255" t="s">
        <v>66</v>
      </c>
      <c r="AD255" s="2">
        <v>45959.365532407406</v>
      </c>
      <c r="AE255" t="s">
        <v>71</v>
      </c>
      <c r="AF255" t="s">
        <v>66</v>
      </c>
      <c r="AG255" t="s">
        <v>1581</v>
      </c>
      <c r="AH255" t="s">
        <v>360</v>
      </c>
      <c r="AI255">
        <v>734001</v>
      </c>
      <c r="AJ255" t="s">
        <v>74</v>
      </c>
      <c r="AK255" t="s">
        <v>75</v>
      </c>
      <c r="AL255">
        <v>62042300</v>
      </c>
      <c r="AM255" s="2"/>
      <c r="AN255">
        <v>5400</v>
      </c>
      <c r="AO255" t="s">
        <v>1582</v>
      </c>
      <c r="AP255" t="s">
        <v>353</v>
      </c>
      <c r="AQ255" t="s">
        <v>66</v>
      </c>
      <c r="AR255" t="s">
        <v>71</v>
      </c>
      <c r="AS255">
        <v>18</v>
      </c>
      <c r="AT255">
        <v>0</v>
      </c>
      <c r="AU255">
        <v>0</v>
      </c>
      <c r="AV255">
        <v>18</v>
      </c>
      <c r="AW255">
        <v>823.72900000000004</v>
      </c>
      <c r="AX255">
        <v>0</v>
      </c>
      <c r="AY255">
        <v>0</v>
      </c>
      <c r="AZ255">
        <v>823.72900000000004</v>
      </c>
      <c r="BA255" s="2"/>
      <c r="BB255">
        <v>0.85</v>
      </c>
      <c r="BC255" s="2">
        <v>45942.5</v>
      </c>
      <c r="BD255" s="1">
        <f>MarketPlace_Order_Report__2[[#This Row],[UnitPrice]]*MarketPlace_Order_Report__2[[#This Row],[OrderQty]]</f>
        <v>5400</v>
      </c>
      <c r="BE255" s="1">
        <f>IFERROR(MarketPlace_Order_Report__2[[#This Row],[CGSTAmount]]+MarketPlace_Order_Report__2[[#This Row],[SGSTAmount]]+MarketPlace_Order_Report__2[[#This Row],[IGSTAmount]],MarketPlace_Order_Report__2[[#This Row],[TaxAmount]])</f>
        <v>823.72900000000004</v>
      </c>
      <c r="BF255" s="1">
        <f>MarketPlace_Order_Report__2[[#This Row],[Gross Amount (Before Tax)]]+MarketPlace_Order_Report__2[[#This Row],[Total GST Amount]]</f>
        <v>6223.7290000000003</v>
      </c>
    </row>
    <row r="256" spans="1:58">
      <c r="A256" t="s">
        <v>1583</v>
      </c>
      <c r="B256" t="s">
        <v>1584</v>
      </c>
      <c r="C256" t="s">
        <v>1585</v>
      </c>
      <c r="D256" t="s">
        <v>1586</v>
      </c>
      <c r="E256">
        <v>1</v>
      </c>
      <c r="F256" t="s">
        <v>1806</v>
      </c>
      <c r="G256">
        <v>1</v>
      </c>
      <c r="H256">
        <v>1</v>
      </c>
      <c r="I256">
        <v>6950</v>
      </c>
      <c r="J256">
        <v>6255</v>
      </c>
      <c r="K256">
        <v>0</v>
      </c>
      <c r="L256">
        <v>6255</v>
      </c>
      <c r="M256">
        <v>0</v>
      </c>
      <c r="N256" t="s">
        <v>63</v>
      </c>
      <c r="O256" s="2">
        <v>45938.583078703705</v>
      </c>
      <c r="P256" s="2">
        <v>45939.734398148146</v>
      </c>
      <c r="Q256" s="2">
        <v>45943.444849537038</v>
      </c>
      <c r="R256" t="s">
        <v>1587</v>
      </c>
      <c r="S256" t="s">
        <v>65</v>
      </c>
      <c r="T256" s="2">
        <v>45938.725810185184</v>
      </c>
      <c r="U256" t="s">
        <v>66</v>
      </c>
      <c r="V256" t="s">
        <v>1502</v>
      </c>
      <c r="W256" t="s">
        <v>66</v>
      </c>
      <c r="X256" t="s">
        <v>66</v>
      </c>
      <c r="Y256" t="s">
        <v>66</v>
      </c>
      <c r="Z256" t="s">
        <v>66</v>
      </c>
      <c r="AA256" t="s">
        <v>66</v>
      </c>
      <c r="AB256" t="s">
        <v>66</v>
      </c>
      <c r="AC256" t="s">
        <v>66</v>
      </c>
      <c r="AD256" s="2">
        <v>45943.445092592592</v>
      </c>
      <c r="AE256" t="s">
        <v>71</v>
      </c>
      <c r="AF256" t="s">
        <v>66</v>
      </c>
      <c r="AG256" t="s">
        <v>114</v>
      </c>
      <c r="AH256" t="s">
        <v>115</v>
      </c>
      <c r="AI256">
        <v>110075</v>
      </c>
      <c r="AJ256" t="s">
        <v>74</v>
      </c>
      <c r="AK256" t="s">
        <v>75</v>
      </c>
      <c r="AL256">
        <v>62042300</v>
      </c>
      <c r="AM256" s="2"/>
      <c r="AN256">
        <v>6255</v>
      </c>
      <c r="AO256" t="s">
        <v>1588</v>
      </c>
      <c r="AP256" t="s">
        <v>77</v>
      </c>
      <c r="AQ256" t="s">
        <v>66</v>
      </c>
      <c r="AR256" t="s">
        <v>71</v>
      </c>
      <c r="AS256">
        <v>18</v>
      </c>
      <c r="AT256">
        <v>0</v>
      </c>
      <c r="AU256">
        <v>0</v>
      </c>
      <c r="AV256">
        <v>18</v>
      </c>
      <c r="AW256">
        <v>954.15300000000002</v>
      </c>
      <c r="AX256">
        <v>0</v>
      </c>
      <c r="AY256">
        <v>0</v>
      </c>
      <c r="AZ256">
        <v>954.15300000000002</v>
      </c>
      <c r="BA256" s="2"/>
      <c r="BB256">
        <v>0.85</v>
      </c>
      <c r="BC256" s="2">
        <v>45941.5</v>
      </c>
      <c r="BD256" s="1">
        <f>MarketPlace_Order_Report__2[[#This Row],[UnitPrice]]*MarketPlace_Order_Report__2[[#This Row],[OrderQty]]</f>
        <v>6255</v>
      </c>
      <c r="BE256" s="1">
        <f>IFERROR(MarketPlace_Order_Report__2[[#This Row],[CGSTAmount]]+MarketPlace_Order_Report__2[[#This Row],[SGSTAmount]]+MarketPlace_Order_Report__2[[#This Row],[IGSTAmount]],MarketPlace_Order_Report__2[[#This Row],[TaxAmount]])</f>
        <v>954.15300000000002</v>
      </c>
      <c r="BF256" s="1">
        <f>MarketPlace_Order_Report__2[[#This Row],[Gross Amount (Before Tax)]]+MarketPlace_Order_Report__2[[#This Row],[Total GST Amount]]</f>
        <v>7209.1530000000002</v>
      </c>
    </row>
    <row r="257" spans="1:58">
      <c r="A257" t="s">
        <v>1589</v>
      </c>
      <c r="B257" t="s">
        <v>1590</v>
      </c>
      <c r="C257" t="s">
        <v>1591</v>
      </c>
      <c r="D257" t="s">
        <v>1592</v>
      </c>
      <c r="E257">
        <v>1</v>
      </c>
      <c r="F257" t="s">
        <v>1806</v>
      </c>
      <c r="G257">
        <v>1</v>
      </c>
      <c r="H257">
        <v>1</v>
      </c>
      <c r="I257">
        <v>3250</v>
      </c>
      <c r="J257">
        <v>3088</v>
      </c>
      <c r="K257">
        <v>0</v>
      </c>
      <c r="L257">
        <v>3137</v>
      </c>
      <c r="M257">
        <v>49</v>
      </c>
      <c r="N257" t="s">
        <v>99</v>
      </c>
      <c r="O257" s="2">
        <v>45943.515081018515</v>
      </c>
      <c r="P257" s="2">
        <v>45944.741666666669</v>
      </c>
      <c r="Q257" s="2">
        <v>45948.49590277778</v>
      </c>
      <c r="R257" t="s">
        <v>1593</v>
      </c>
      <c r="S257" t="s">
        <v>161</v>
      </c>
      <c r="T257" s="2">
        <v>45943.812962962962</v>
      </c>
      <c r="U257" t="s">
        <v>66</v>
      </c>
      <c r="V257" t="s">
        <v>67</v>
      </c>
      <c r="W257" t="s">
        <v>66</v>
      </c>
      <c r="X257" t="s">
        <v>66</v>
      </c>
      <c r="Y257" t="s">
        <v>66</v>
      </c>
      <c r="Z257" t="s">
        <v>66</v>
      </c>
      <c r="AA257" t="s">
        <v>66</v>
      </c>
      <c r="AB257" t="s">
        <v>66</v>
      </c>
      <c r="AC257" t="s">
        <v>66</v>
      </c>
      <c r="AD257" s="2">
        <v>45948.49732638889</v>
      </c>
      <c r="AE257" t="s">
        <v>71</v>
      </c>
      <c r="AF257" t="s">
        <v>66</v>
      </c>
      <c r="AG257" t="s">
        <v>1594</v>
      </c>
      <c r="AH257" t="s">
        <v>123</v>
      </c>
      <c r="AI257">
        <v>424001</v>
      </c>
      <c r="AJ257" t="s">
        <v>74</v>
      </c>
      <c r="AK257" t="s">
        <v>75</v>
      </c>
      <c r="AL257">
        <v>62044220</v>
      </c>
      <c r="AM257" s="2"/>
      <c r="AN257">
        <v>3088</v>
      </c>
      <c r="AO257" t="s">
        <v>1595</v>
      </c>
      <c r="AP257" t="s">
        <v>132</v>
      </c>
      <c r="AQ257" t="s">
        <v>66</v>
      </c>
      <c r="AR257" t="s">
        <v>71</v>
      </c>
      <c r="AS257">
        <v>18</v>
      </c>
      <c r="AT257">
        <v>9</v>
      </c>
      <c r="AU257">
        <v>9</v>
      </c>
      <c r="AV257">
        <v>0</v>
      </c>
      <c r="AW257">
        <v>471.05099999999999</v>
      </c>
      <c r="AX257">
        <v>235.52600000000001</v>
      </c>
      <c r="AY257">
        <v>235.52600000000001</v>
      </c>
      <c r="AZ257">
        <v>0</v>
      </c>
      <c r="BA257" s="2"/>
      <c r="BB257">
        <v>0.85</v>
      </c>
      <c r="BC257" s="2">
        <v>45946.5</v>
      </c>
      <c r="BD257" s="1">
        <f>MarketPlace_Order_Report__2[[#This Row],[UnitPrice]]*MarketPlace_Order_Report__2[[#This Row],[OrderQty]]</f>
        <v>3088</v>
      </c>
      <c r="BE257" s="1">
        <f>IFERROR(MarketPlace_Order_Report__2[[#This Row],[CGSTAmount]]+MarketPlace_Order_Report__2[[#This Row],[SGSTAmount]]+MarketPlace_Order_Report__2[[#This Row],[IGSTAmount]],MarketPlace_Order_Report__2[[#This Row],[TaxAmount]])</f>
        <v>471.05200000000002</v>
      </c>
      <c r="BF257" s="1">
        <f>MarketPlace_Order_Report__2[[#This Row],[Gross Amount (Before Tax)]]+MarketPlace_Order_Report__2[[#This Row],[Total GST Amount]]</f>
        <v>3559.0520000000001</v>
      </c>
    </row>
    <row r="258" spans="1:58">
      <c r="A258" t="s">
        <v>1596</v>
      </c>
      <c r="B258" t="s">
        <v>1597</v>
      </c>
      <c r="C258" t="s">
        <v>1598</v>
      </c>
      <c r="D258" t="s">
        <v>1599</v>
      </c>
      <c r="E258">
        <v>10</v>
      </c>
      <c r="F258" t="s">
        <v>62</v>
      </c>
      <c r="G258">
        <v>1</v>
      </c>
      <c r="H258">
        <v>1</v>
      </c>
      <c r="I258">
        <v>4000</v>
      </c>
      <c r="J258">
        <v>3600</v>
      </c>
      <c r="K258">
        <v>0</v>
      </c>
      <c r="L258">
        <v>3603.22</v>
      </c>
      <c r="M258">
        <v>3.22</v>
      </c>
      <c r="N258" t="s">
        <v>63</v>
      </c>
      <c r="O258" s="2">
        <v>45931.615486111114</v>
      </c>
      <c r="P258" s="2">
        <v>45933.628622685188</v>
      </c>
      <c r="Q258" s="2">
        <v>45936.566458333335</v>
      </c>
      <c r="R258" t="s">
        <v>1600</v>
      </c>
      <c r="S258" t="s">
        <v>89</v>
      </c>
      <c r="T258" s="2">
        <v>45931.81354166667</v>
      </c>
      <c r="U258" t="s">
        <v>66</v>
      </c>
      <c r="V258" t="s">
        <v>67</v>
      </c>
      <c r="W258" t="s">
        <v>66</v>
      </c>
      <c r="X258" t="s">
        <v>66</v>
      </c>
      <c r="Y258" t="s">
        <v>1601</v>
      </c>
      <c r="Z258" t="s">
        <v>69</v>
      </c>
      <c r="AA258" t="s">
        <v>175</v>
      </c>
      <c r="AB258" t="s">
        <v>66</v>
      </c>
      <c r="AC258" t="s">
        <v>66</v>
      </c>
      <c r="AD258" s="2">
        <v>45945.723229166666</v>
      </c>
      <c r="AE258" t="s">
        <v>71</v>
      </c>
      <c r="AF258" t="s">
        <v>66</v>
      </c>
      <c r="AG258" t="s">
        <v>90</v>
      </c>
      <c r="AH258" t="s">
        <v>91</v>
      </c>
      <c r="AI258">
        <v>560102</v>
      </c>
      <c r="AJ258" t="s">
        <v>74</v>
      </c>
      <c r="AK258" t="s">
        <v>75</v>
      </c>
      <c r="AL258">
        <v>62044220</v>
      </c>
      <c r="AM258" s="2"/>
      <c r="AN258">
        <v>3600</v>
      </c>
      <c r="AO258" t="s">
        <v>1602</v>
      </c>
      <c r="AP258" t="s">
        <v>93</v>
      </c>
      <c r="AQ258" t="s">
        <v>66</v>
      </c>
      <c r="AR258" t="s">
        <v>71</v>
      </c>
      <c r="AS258">
        <v>18</v>
      </c>
      <c r="AT258">
        <v>0</v>
      </c>
      <c r="AU258">
        <v>0</v>
      </c>
      <c r="AV258">
        <v>18</v>
      </c>
      <c r="AW258">
        <v>549.15300000000002</v>
      </c>
      <c r="AX258">
        <v>0</v>
      </c>
      <c r="AY258">
        <v>0</v>
      </c>
      <c r="AZ258">
        <v>549.15300000000002</v>
      </c>
      <c r="BA258" s="2"/>
      <c r="BB258">
        <v>0.85</v>
      </c>
      <c r="BC258" s="2">
        <v>45934.5</v>
      </c>
      <c r="BD258" s="1">
        <f>MarketPlace_Order_Report__2[[#This Row],[UnitPrice]]*MarketPlace_Order_Report__2[[#This Row],[OrderQty]]</f>
        <v>3600</v>
      </c>
      <c r="BE258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258" s="1">
        <f>MarketPlace_Order_Report__2[[#This Row],[Gross Amount (Before Tax)]]+MarketPlace_Order_Report__2[[#This Row],[Total GST Amount]]</f>
        <v>4149.1530000000002</v>
      </c>
    </row>
    <row r="259" spans="1:58">
      <c r="A259" t="s">
        <v>1603</v>
      </c>
      <c r="B259" t="s">
        <v>1604</v>
      </c>
      <c r="C259" t="s">
        <v>1605</v>
      </c>
      <c r="D259" t="s">
        <v>1606</v>
      </c>
      <c r="E259">
        <v>1</v>
      </c>
      <c r="F259" t="s">
        <v>145</v>
      </c>
      <c r="G259">
        <v>1</v>
      </c>
      <c r="H259">
        <v>0</v>
      </c>
      <c r="I259">
        <v>4000</v>
      </c>
      <c r="J259">
        <v>3600</v>
      </c>
      <c r="K259">
        <v>0</v>
      </c>
      <c r="L259">
        <v>3649</v>
      </c>
      <c r="M259">
        <v>49</v>
      </c>
      <c r="N259" t="s">
        <v>99</v>
      </c>
      <c r="O259" s="2">
        <v>45935.067210648151</v>
      </c>
      <c r="P259" s="2"/>
      <c r="Q259" s="2"/>
      <c r="R259" t="s">
        <v>66</v>
      </c>
      <c r="S259" t="s">
        <v>65</v>
      </c>
      <c r="T259" s="2"/>
      <c r="U259" t="s">
        <v>209</v>
      </c>
      <c r="V259" t="s">
        <v>67</v>
      </c>
      <c r="W259" t="s">
        <v>66</v>
      </c>
      <c r="X259" t="s">
        <v>66</v>
      </c>
      <c r="Y259" t="s">
        <v>66</v>
      </c>
      <c r="Z259" t="s">
        <v>66</v>
      </c>
      <c r="AA259" t="s">
        <v>66</v>
      </c>
      <c r="AB259" t="s">
        <v>66</v>
      </c>
      <c r="AC259" t="s">
        <v>66</v>
      </c>
      <c r="AD259" s="2">
        <v>45935.389270833337</v>
      </c>
      <c r="AE259" t="s">
        <v>71</v>
      </c>
      <c r="AF259" t="s">
        <v>66</v>
      </c>
      <c r="AG259" t="s">
        <v>346</v>
      </c>
      <c r="AH259" t="s">
        <v>139</v>
      </c>
      <c r="AI259">
        <v>284001</v>
      </c>
      <c r="AJ259" t="s">
        <v>74</v>
      </c>
      <c r="AK259" t="s">
        <v>75</v>
      </c>
      <c r="AL259">
        <v>62044220</v>
      </c>
      <c r="AM259" s="2">
        <v>45935.389270833337</v>
      </c>
      <c r="AN259">
        <v>3600</v>
      </c>
      <c r="AO259" t="s">
        <v>66</v>
      </c>
      <c r="AP259" t="s">
        <v>66</v>
      </c>
      <c r="AQ259" t="s">
        <v>66</v>
      </c>
      <c r="AR259" t="s">
        <v>71</v>
      </c>
      <c r="AS259">
        <v>18</v>
      </c>
      <c r="AT259">
        <v>0</v>
      </c>
      <c r="AU259">
        <v>0</v>
      </c>
      <c r="AV259">
        <v>18</v>
      </c>
      <c r="AW259">
        <v>549.15300000000002</v>
      </c>
      <c r="AX259">
        <v>0</v>
      </c>
      <c r="AY259">
        <v>0</v>
      </c>
      <c r="AZ259">
        <v>549.15300000000002</v>
      </c>
      <c r="BA259" s="2"/>
      <c r="BC259" s="2">
        <v>45937.5</v>
      </c>
      <c r="BD259" s="1">
        <f>MarketPlace_Order_Report__2[[#This Row],[UnitPrice]]*MarketPlace_Order_Report__2[[#This Row],[OrderQty]]</f>
        <v>3600</v>
      </c>
      <c r="BE259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259" s="1">
        <f>MarketPlace_Order_Report__2[[#This Row],[Gross Amount (Before Tax)]]+MarketPlace_Order_Report__2[[#This Row],[Total GST Amount]]</f>
        <v>4149.1530000000002</v>
      </c>
    </row>
    <row r="260" spans="1:58">
      <c r="A260" t="s">
        <v>916</v>
      </c>
      <c r="B260" t="s">
        <v>917</v>
      </c>
      <c r="C260" t="s">
        <v>1605</v>
      </c>
      <c r="D260" t="s">
        <v>1606</v>
      </c>
      <c r="E260">
        <v>3</v>
      </c>
      <c r="F260" t="s">
        <v>257</v>
      </c>
      <c r="G260">
        <v>1</v>
      </c>
      <c r="H260">
        <v>1</v>
      </c>
      <c r="I260">
        <v>4000</v>
      </c>
      <c r="J260">
        <v>3600</v>
      </c>
      <c r="K260">
        <v>0</v>
      </c>
      <c r="L260">
        <v>3607.7170000000001</v>
      </c>
      <c r="M260">
        <v>7.7169999999999996</v>
      </c>
      <c r="N260" t="s">
        <v>63</v>
      </c>
      <c r="O260" s="2">
        <v>45933.581516203703</v>
      </c>
      <c r="P260" s="2">
        <v>45934.620092592595</v>
      </c>
      <c r="Q260" s="2"/>
      <c r="R260" t="s">
        <v>918</v>
      </c>
      <c r="S260" t="s">
        <v>89</v>
      </c>
      <c r="T260" s="2">
        <v>45933.815833333334</v>
      </c>
      <c r="U260" t="s">
        <v>66</v>
      </c>
      <c r="V260" t="s">
        <v>67</v>
      </c>
      <c r="W260" t="s">
        <v>66</v>
      </c>
      <c r="X260" t="s">
        <v>66</v>
      </c>
      <c r="Y260" t="s">
        <v>66</v>
      </c>
      <c r="Z260" t="s">
        <v>66</v>
      </c>
      <c r="AA260" t="s">
        <v>66</v>
      </c>
      <c r="AB260" t="s">
        <v>66</v>
      </c>
      <c r="AC260" t="s">
        <v>66</v>
      </c>
      <c r="AD260" s="2">
        <v>45948.046018518522</v>
      </c>
      <c r="AE260" t="s">
        <v>71</v>
      </c>
      <c r="AF260" t="s">
        <v>66</v>
      </c>
      <c r="AG260" t="s">
        <v>919</v>
      </c>
      <c r="AH260" t="s">
        <v>123</v>
      </c>
      <c r="AI260">
        <v>440017</v>
      </c>
      <c r="AJ260" t="s">
        <v>74</v>
      </c>
      <c r="AK260" t="s">
        <v>75</v>
      </c>
      <c r="AL260">
        <v>62044220</v>
      </c>
      <c r="AM260" s="2"/>
      <c r="AN260">
        <v>3600</v>
      </c>
      <c r="AO260" t="s">
        <v>920</v>
      </c>
      <c r="AP260" t="s">
        <v>451</v>
      </c>
      <c r="AQ260" t="s">
        <v>66</v>
      </c>
      <c r="AR260" t="s">
        <v>71</v>
      </c>
      <c r="AS260">
        <v>18</v>
      </c>
      <c r="AT260">
        <v>9</v>
      </c>
      <c r="AU260">
        <v>9</v>
      </c>
      <c r="AV260">
        <v>0</v>
      </c>
      <c r="AW260">
        <v>549.15300000000002</v>
      </c>
      <c r="AX260">
        <v>274.577</v>
      </c>
      <c r="AY260">
        <v>274.577</v>
      </c>
      <c r="AZ260">
        <v>0</v>
      </c>
      <c r="BA260" s="2"/>
      <c r="BB260">
        <v>1.1000000000000001</v>
      </c>
      <c r="BC260" s="2">
        <v>45936.5</v>
      </c>
      <c r="BD260" s="1">
        <f>MarketPlace_Order_Report__2[[#This Row],[UnitPrice]]*MarketPlace_Order_Report__2[[#This Row],[OrderQty]]</f>
        <v>3600</v>
      </c>
      <c r="BE260" s="1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BF260" s="1">
        <f>MarketPlace_Order_Report__2[[#This Row],[Gross Amount (Before Tax)]]+MarketPlace_Order_Report__2[[#This Row],[Total GST Amount]]</f>
        <v>4149.1540000000005</v>
      </c>
    </row>
    <row r="261" spans="1:58">
      <c r="A261" t="s">
        <v>1607</v>
      </c>
      <c r="B261" t="s">
        <v>1608</v>
      </c>
      <c r="C261" t="s">
        <v>1609</v>
      </c>
      <c r="D261" t="s">
        <v>1610</v>
      </c>
      <c r="E261">
        <v>1</v>
      </c>
      <c r="F261" t="s">
        <v>62</v>
      </c>
      <c r="G261">
        <v>1</v>
      </c>
      <c r="H261">
        <v>1</v>
      </c>
      <c r="I261">
        <v>4000</v>
      </c>
      <c r="J261">
        <v>3600</v>
      </c>
      <c r="K261">
        <v>0</v>
      </c>
      <c r="L261">
        <v>3629</v>
      </c>
      <c r="M261">
        <v>29</v>
      </c>
      <c r="N261" t="s">
        <v>63</v>
      </c>
      <c r="O261" s="2">
        <v>45931.039918981478</v>
      </c>
      <c r="P261" s="2">
        <v>45931.638194444444</v>
      </c>
      <c r="Q261" s="2">
        <v>45936.6328587963</v>
      </c>
      <c r="R261" t="s">
        <v>1611</v>
      </c>
      <c r="S261" t="s">
        <v>89</v>
      </c>
      <c r="T261" s="2">
        <v>45931.559259259258</v>
      </c>
      <c r="U261" t="s">
        <v>66</v>
      </c>
      <c r="V261" t="s">
        <v>67</v>
      </c>
      <c r="W261" t="s">
        <v>66</v>
      </c>
      <c r="X261" t="s">
        <v>66</v>
      </c>
      <c r="Y261" t="s">
        <v>1612</v>
      </c>
      <c r="Z261" t="s">
        <v>69</v>
      </c>
      <c r="AA261" t="s">
        <v>175</v>
      </c>
      <c r="AB261" t="s">
        <v>66</v>
      </c>
      <c r="AC261" t="s">
        <v>66</v>
      </c>
      <c r="AD261" s="2">
        <v>45947.862025462964</v>
      </c>
      <c r="AE261" t="s">
        <v>71</v>
      </c>
      <c r="AF261" t="s">
        <v>66</v>
      </c>
      <c r="AG261" t="s">
        <v>185</v>
      </c>
      <c r="AH261" t="s">
        <v>139</v>
      </c>
      <c r="AI261">
        <v>201301</v>
      </c>
      <c r="AJ261" t="s">
        <v>74</v>
      </c>
      <c r="AK261" t="s">
        <v>75</v>
      </c>
      <c r="AL261">
        <v>62044220</v>
      </c>
      <c r="AM261" s="2"/>
      <c r="AN261">
        <v>3600</v>
      </c>
      <c r="AO261" t="s">
        <v>1613</v>
      </c>
      <c r="AP261" t="s">
        <v>243</v>
      </c>
      <c r="AQ261" t="s">
        <v>66</v>
      </c>
      <c r="AR261" t="s">
        <v>71</v>
      </c>
      <c r="AS261">
        <v>18</v>
      </c>
      <c r="AT261">
        <v>0</v>
      </c>
      <c r="AU261">
        <v>0</v>
      </c>
      <c r="AV261">
        <v>18</v>
      </c>
      <c r="AW261">
        <v>549.15300000000002</v>
      </c>
      <c r="AX261">
        <v>0</v>
      </c>
      <c r="AY261">
        <v>0</v>
      </c>
      <c r="AZ261">
        <v>549.15300000000002</v>
      </c>
      <c r="BA261" s="2"/>
      <c r="BB261">
        <v>0.85</v>
      </c>
      <c r="BC261" s="2">
        <v>45933.5</v>
      </c>
      <c r="BD261" s="1">
        <f>MarketPlace_Order_Report__2[[#This Row],[UnitPrice]]*MarketPlace_Order_Report__2[[#This Row],[OrderQty]]</f>
        <v>3600</v>
      </c>
      <c r="BE261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261" s="1">
        <f>MarketPlace_Order_Report__2[[#This Row],[Gross Amount (Before Tax)]]+MarketPlace_Order_Report__2[[#This Row],[Total GST Amount]]</f>
        <v>4149.1530000000002</v>
      </c>
    </row>
    <row r="262" spans="1:58">
      <c r="A262" t="s">
        <v>1614</v>
      </c>
      <c r="B262" t="s">
        <v>1615</v>
      </c>
      <c r="C262" t="s">
        <v>1616</v>
      </c>
      <c r="D262" t="s">
        <v>1617</v>
      </c>
      <c r="E262">
        <v>4</v>
      </c>
      <c r="F262" t="s">
        <v>62</v>
      </c>
      <c r="G262">
        <v>1</v>
      </c>
      <c r="H262">
        <v>1</v>
      </c>
      <c r="I262">
        <v>4000</v>
      </c>
      <c r="J262">
        <v>3800</v>
      </c>
      <c r="K262">
        <v>0</v>
      </c>
      <c r="L262">
        <v>3808.79</v>
      </c>
      <c r="M262">
        <v>8.7899999999999991</v>
      </c>
      <c r="N262" t="s">
        <v>99</v>
      </c>
      <c r="O262" s="2">
        <v>45945.213599537034</v>
      </c>
      <c r="P262" s="2">
        <v>45946.732372685183</v>
      </c>
      <c r="Q262" s="2">
        <v>45951.458819444444</v>
      </c>
      <c r="R262" t="s">
        <v>1618</v>
      </c>
      <c r="S262" t="s">
        <v>65</v>
      </c>
      <c r="T262" s="2">
        <v>45945.79928240741</v>
      </c>
      <c r="U262" t="s">
        <v>66</v>
      </c>
      <c r="V262" t="s">
        <v>67</v>
      </c>
      <c r="W262" t="s">
        <v>66</v>
      </c>
      <c r="X262" t="s">
        <v>66</v>
      </c>
      <c r="Y262" t="s">
        <v>1619</v>
      </c>
      <c r="Z262" t="s">
        <v>69</v>
      </c>
      <c r="AA262" t="s">
        <v>70</v>
      </c>
      <c r="AB262" t="s">
        <v>66</v>
      </c>
      <c r="AC262" t="s">
        <v>66</v>
      </c>
      <c r="AD262" s="2">
        <v>45961.539189814815</v>
      </c>
      <c r="AE262" t="s">
        <v>71</v>
      </c>
      <c r="AF262" t="s">
        <v>66</v>
      </c>
      <c r="AG262" t="s">
        <v>1620</v>
      </c>
      <c r="AH262" t="s">
        <v>194</v>
      </c>
      <c r="AI262">
        <v>360003</v>
      </c>
      <c r="AJ262" t="s">
        <v>74</v>
      </c>
      <c r="AK262" t="s">
        <v>75</v>
      </c>
      <c r="AL262">
        <v>62044220</v>
      </c>
      <c r="AM262" s="2"/>
      <c r="AN262">
        <v>3800</v>
      </c>
      <c r="AO262" t="s">
        <v>1621</v>
      </c>
      <c r="AP262" t="s">
        <v>66</v>
      </c>
      <c r="AQ262" t="s">
        <v>66</v>
      </c>
      <c r="AR262" t="s">
        <v>71</v>
      </c>
      <c r="AS262">
        <v>18</v>
      </c>
      <c r="AT262">
        <v>0</v>
      </c>
      <c r="AU262">
        <v>0</v>
      </c>
      <c r="AV262">
        <v>18</v>
      </c>
      <c r="AW262">
        <v>579.66099999999994</v>
      </c>
      <c r="AX262">
        <v>0</v>
      </c>
      <c r="AY262">
        <v>0</v>
      </c>
      <c r="AZ262">
        <v>579.66099999999994</v>
      </c>
      <c r="BA262" s="2"/>
      <c r="BB262">
        <v>0.85</v>
      </c>
      <c r="BC262" s="2">
        <v>45947.5</v>
      </c>
      <c r="BD262" s="1">
        <f>MarketPlace_Order_Report__2[[#This Row],[UnitPrice]]*MarketPlace_Order_Report__2[[#This Row],[OrderQty]]</f>
        <v>3800</v>
      </c>
      <c r="BE262" s="1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262" s="1">
        <f>MarketPlace_Order_Report__2[[#This Row],[Gross Amount (Before Tax)]]+MarketPlace_Order_Report__2[[#This Row],[Total GST Amount]]</f>
        <v>4379.6610000000001</v>
      </c>
    </row>
    <row r="263" spans="1:58">
      <c r="A263" t="s">
        <v>1622</v>
      </c>
      <c r="B263" t="s">
        <v>1623</v>
      </c>
      <c r="C263" t="s">
        <v>1616</v>
      </c>
      <c r="D263" t="s">
        <v>1617</v>
      </c>
      <c r="E263">
        <v>1</v>
      </c>
      <c r="F263" t="s">
        <v>1806</v>
      </c>
      <c r="G263">
        <v>1</v>
      </c>
      <c r="H263">
        <v>1</v>
      </c>
      <c r="I263">
        <v>4000</v>
      </c>
      <c r="J263">
        <v>3800</v>
      </c>
      <c r="K263">
        <v>0</v>
      </c>
      <c r="L263">
        <v>3811.14</v>
      </c>
      <c r="M263">
        <v>11.14</v>
      </c>
      <c r="N263" t="s">
        <v>63</v>
      </c>
      <c r="O263" s="2">
        <v>45943.975694444445</v>
      </c>
      <c r="P263" s="2">
        <v>45945.758842592593</v>
      </c>
      <c r="Q263" s="2">
        <v>45948.667962962965</v>
      </c>
      <c r="R263" t="s">
        <v>1624</v>
      </c>
      <c r="S263" t="s">
        <v>65</v>
      </c>
      <c r="T263" s="2">
        <v>45944.808067129627</v>
      </c>
      <c r="U263" t="s">
        <v>66</v>
      </c>
      <c r="V263" t="s">
        <v>67</v>
      </c>
      <c r="W263" t="s">
        <v>66</v>
      </c>
      <c r="X263" t="s">
        <v>66</v>
      </c>
      <c r="Y263" t="s">
        <v>66</v>
      </c>
      <c r="Z263" t="s">
        <v>66</v>
      </c>
      <c r="AA263" t="s">
        <v>66</v>
      </c>
      <c r="AB263" t="s">
        <v>66</v>
      </c>
      <c r="AC263" t="s">
        <v>66</v>
      </c>
      <c r="AD263" s="2">
        <v>45948.671041666668</v>
      </c>
      <c r="AE263" t="s">
        <v>71</v>
      </c>
      <c r="AF263" t="s">
        <v>66</v>
      </c>
      <c r="AG263" t="s">
        <v>90</v>
      </c>
      <c r="AH263" t="s">
        <v>91</v>
      </c>
      <c r="AI263">
        <v>560035</v>
      </c>
      <c r="AJ263" t="s">
        <v>74</v>
      </c>
      <c r="AK263" t="s">
        <v>75</v>
      </c>
      <c r="AL263">
        <v>62044220</v>
      </c>
      <c r="AM263" s="2"/>
      <c r="AN263">
        <v>3800</v>
      </c>
      <c r="AO263" t="s">
        <v>1625</v>
      </c>
      <c r="AP263" t="s">
        <v>132</v>
      </c>
      <c r="AQ263" t="s">
        <v>66</v>
      </c>
      <c r="AR263" t="s">
        <v>71</v>
      </c>
      <c r="AS263">
        <v>18</v>
      </c>
      <c r="AT263">
        <v>0</v>
      </c>
      <c r="AU263">
        <v>0</v>
      </c>
      <c r="AV263">
        <v>18</v>
      </c>
      <c r="AW263">
        <v>579.66099999999994</v>
      </c>
      <c r="AX263">
        <v>0</v>
      </c>
      <c r="AY263">
        <v>0</v>
      </c>
      <c r="AZ263">
        <v>579.66099999999994</v>
      </c>
      <c r="BA263" s="2"/>
      <c r="BB263">
        <v>0.85</v>
      </c>
      <c r="BC263" s="2">
        <v>45946.5</v>
      </c>
      <c r="BD263" s="1">
        <f>MarketPlace_Order_Report__2[[#This Row],[UnitPrice]]*MarketPlace_Order_Report__2[[#This Row],[OrderQty]]</f>
        <v>3800</v>
      </c>
      <c r="BE263" s="1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263" s="1">
        <f>MarketPlace_Order_Report__2[[#This Row],[Gross Amount (Before Tax)]]+MarketPlace_Order_Report__2[[#This Row],[Total GST Amount]]</f>
        <v>4379.6610000000001</v>
      </c>
    </row>
    <row r="264" spans="1:58">
      <c r="A264" t="s">
        <v>347</v>
      </c>
      <c r="B264" t="s">
        <v>348</v>
      </c>
      <c r="C264" t="s">
        <v>1626</v>
      </c>
      <c r="D264" t="s">
        <v>1627</v>
      </c>
      <c r="E264">
        <v>1</v>
      </c>
      <c r="F264" t="s">
        <v>1806</v>
      </c>
      <c r="G264">
        <v>1</v>
      </c>
      <c r="H264">
        <v>1</v>
      </c>
      <c r="I264">
        <v>3500</v>
      </c>
      <c r="J264">
        <v>3325</v>
      </c>
      <c r="K264">
        <v>0</v>
      </c>
      <c r="L264">
        <v>3338.0749999999998</v>
      </c>
      <c r="M264">
        <v>13.074999999999999</v>
      </c>
      <c r="N264" t="s">
        <v>63</v>
      </c>
      <c r="O264" s="2">
        <v>45942.552453703705</v>
      </c>
      <c r="P264" s="2">
        <v>45943.761608796296</v>
      </c>
      <c r="Q264" s="2">
        <v>45946.461747685185</v>
      </c>
      <c r="R264" t="s">
        <v>351</v>
      </c>
      <c r="S264" t="s">
        <v>161</v>
      </c>
      <c r="T264" s="2">
        <v>45942.661412037036</v>
      </c>
      <c r="U264" t="s">
        <v>66</v>
      </c>
      <c r="V264" t="s">
        <v>67</v>
      </c>
      <c r="W264" t="s">
        <v>66</v>
      </c>
      <c r="X264" t="s">
        <v>66</v>
      </c>
      <c r="Y264" t="s">
        <v>66</v>
      </c>
      <c r="Z264" t="s">
        <v>66</v>
      </c>
      <c r="AA264" t="s">
        <v>66</v>
      </c>
      <c r="AB264" t="s">
        <v>66</v>
      </c>
      <c r="AC264" t="s">
        <v>66</v>
      </c>
      <c r="AD264" s="2">
        <v>45946.483437499999</v>
      </c>
      <c r="AE264" t="s">
        <v>71</v>
      </c>
      <c r="AF264" t="s">
        <v>66</v>
      </c>
      <c r="AG264" t="s">
        <v>259</v>
      </c>
      <c r="AH264" t="s">
        <v>123</v>
      </c>
      <c r="AI264">
        <v>400059</v>
      </c>
      <c r="AJ264" t="s">
        <v>74</v>
      </c>
      <c r="AK264" t="s">
        <v>75</v>
      </c>
      <c r="AL264">
        <v>62044220</v>
      </c>
      <c r="AM264" s="2"/>
      <c r="AN264">
        <v>3325</v>
      </c>
      <c r="AO264" t="s">
        <v>352</v>
      </c>
      <c r="AP264" t="s">
        <v>353</v>
      </c>
      <c r="AQ264" t="s">
        <v>66</v>
      </c>
      <c r="AR264" t="s">
        <v>71</v>
      </c>
      <c r="AS264">
        <v>18</v>
      </c>
      <c r="AT264">
        <v>9</v>
      </c>
      <c r="AU264">
        <v>9</v>
      </c>
      <c r="AV264">
        <v>0</v>
      </c>
      <c r="AW264">
        <v>507.20299999999997</v>
      </c>
      <c r="AX264">
        <v>253.602</v>
      </c>
      <c r="AY264">
        <v>253.602</v>
      </c>
      <c r="AZ264">
        <v>0</v>
      </c>
      <c r="BA264" s="2"/>
      <c r="BB264">
        <v>1.2</v>
      </c>
      <c r="BC264" s="2">
        <v>45945.5</v>
      </c>
      <c r="BD264" s="1">
        <f>MarketPlace_Order_Report__2[[#This Row],[UnitPrice]]*MarketPlace_Order_Report__2[[#This Row],[OrderQty]]</f>
        <v>3325</v>
      </c>
      <c r="BE264" s="1">
        <f>IFERROR(MarketPlace_Order_Report__2[[#This Row],[CGSTAmount]]+MarketPlace_Order_Report__2[[#This Row],[SGSTAmount]]+MarketPlace_Order_Report__2[[#This Row],[IGSTAmount]],MarketPlace_Order_Report__2[[#This Row],[TaxAmount]])</f>
        <v>507.20400000000001</v>
      </c>
      <c r="BF264" s="1">
        <f>MarketPlace_Order_Report__2[[#This Row],[Gross Amount (Before Tax)]]+MarketPlace_Order_Report__2[[#This Row],[Total GST Amount]]</f>
        <v>3832.2040000000002</v>
      </c>
    </row>
    <row r="265" spans="1:58">
      <c r="A265" t="s">
        <v>1628</v>
      </c>
      <c r="B265" t="s">
        <v>1629</v>
      </c>
      <c r="C265" t="s">
        <v>1630</v>
      </c>
      <c r="D265" t="s">
        <v>1631</v>
      </c>
      <c r="E265">
        <v>1</v>
      </c>
      <c r="F265" t="s">
        <v>1806</v>
      </c>
      <c r="G265">
        <v>1</v>
      </c>
      <c r="H265">
        <v>1</v>
      </c>
      <c r="I265">
        <v>4000</v>
      </c>
      <c r="J265">
        <v>3800</v>
      </c>
      <c r="K265">
        <v>0</v>
      </c>
      <c r="L265">
        <v>3829</v>
      </c>
      <c r="M265">
        <v>29</v>
      </c>
      <c r="N265" t="s">
        <v>63</v>
      </c>
      <c r="O265" s="2">
        <v>45956.935011574074</v>
      </c>
      <c r="P265" s="2">
        <v>45958.714467592596</v>
      </c>
      <c r="Q265" s="2">
        <v>45961.371018518519</v>
      </c>
      <c r="R265" t="s">
        <v>1632</v>
      </c>
      <c r="S265" t="s">
        <v>65</v>
      </c>
      <c r="T265" s="2">
        <v>45957.797627314816</v>
      </c>
      <c r="U265" t="s">
        <v>66</v>
      </c>
      <c r="V265" t="s">
        <v>67</v>
      </c>
      <c r="W265" t="s">
        <v>66</v>
      </c>
      <c r="X265" t="s">
        <v>66</v>
      </c>
      <c r="Y265" t="s">
        <v>66</v>
      </c>
      <c r="Z265" t="s">
        <v>66</v>
      </c>
      <c r="AA265" t="s">
        <v>66</v>
      </c>
      <c r="AB265" t="s">
        <v>66</v>
      </c>
      <c r="AC265" t="s">
        <v>66</v>
      </c>
      <c r="AD265" s="2">
        <v>45961.372291666667</v>
      </c>
      <c r="AE265" t="s">
        <v>71</v>
      </c>
      <c r="AF265" t="s">
        <v>66</v>
      </c>
      <c r="AG265" t="s">
        <v>114</v>
      </c>
      <c r="AH265" t="s">
        <v>115</v>
      </c>
      <c r="AI265">
        <v>110033</v>
      </c>
      <c r="AJ265" t="s">
        <v>74</v>
      </c>
      <c r="AK265" t="s">
        <v>75</v>
      </c>
      <c r="AL265">
        <v>62044220</v>
      </c>
      <c r="AM265" s="2"/>
      <c r="AN265">
        <v>3800</v>
      </c>
      <c r="AO265" t="s">
        <v>1633</v>
      </c>
      <c r="AP265" t="s">
        <v>1264</v>
      </c>
      <c r="AQ265" t="s">
        <v>66</v>
      </c>
      <c r="AR265" t="s">
        <v>71</v>
      </c>
      <c r="AS265">
        <v>18</v>
      </c>
      <c r="AT265">
        <v>0</v>
      </c>
      <c r="AU265">
        <v>0</v>
      </c>
      <c r="AV265">
        <v>18</v>
      </c>
      <c r="AW265">
        <v>579.66099999999994</v>
      </c>
      <c r="AX265">
        <v>0</v>
      </c>
      <c r="AY265">
        <v>0</v>
      </c>
      <c r="AZ265">
        <v>579.66099999999994</v>
      </c>
      <c r="BA265" s="2"/>
      <c r="BB265">
        <v>0.85</v>
      </c>
      <c r="BC265" s="2">
        <v>45959.5</v>
      </c>
      <c r="BD265" s="1">
        <f>MarketPlace_Order_Report__2[[#This Row],[UnitPrice]]*MarketPlace_Order_Report__2[[#This Row],[OrderQty]]</f>
        <v>3800</v>
      </c>
      <c r="BE265" s="1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265" s="1">
        <f>MarketPlace_Order_Report__2[[#This Row],[Gross Amount (Before Tax)]]+MarketPlace_Order_Report__2[[#This Row],[Total GST Amount]]</f>
        <v>4379.6610000000001</v>
      </c>
    </row>
    <row r="266" spans="1:58">
      <c r="A266" t="s">
        <v>1634</v>
      </c>
      <c r="B266" t="s">
        <v>1635</v>
      </c>
      <c r="C266" t="s">
        <v>1636</v>
      </c>
      <c r="D266" t="s">
        <v>1637</v>
      </c>
      <c r="E266">
        <v>1</v>
      </c>
      <c r="F266" t="s">
        <v>62</v>
      </c>
      <c r="G266">
        <v>1</v>
      </c>
      <c r="H266">
        <v>1</v>
      </c>
      <c r="I266">
        <v>3750</v>
      </c>
      <c r="J266">
        <v>3375</v>
      </c>
      <c r="K266">
        <v>0</v>
      </c>
      <c r="L266">
        <v>3382.91</v>
      </c>
      <c r="M266">
        <v>7.91</v>
      </c>
      <c r="N266" t="s">
        <v>63</v>
      </c>
      <c r="O266" s="2">
        <v>45937.060046296298</v>
      </c>
      <c r="P266" s="2">
        <v>45938.718402777777</v>
      </c>
      <c r="Q266" s="2">
        <v>45940.720810185187</v>
      </c>
      <c r="R266" t="s">
        <v>1638</v>
      </c>
      <c r="S266" t="s">
        <v>161</v>
      </c>
      <c r="T266" s="2">
        <v>45937.715995370374</v>
      </c>
      <c r="U266" t="s">
        <v>66</v>
      </c>
      <c r="V266" t="s">
        <v>67</v>
      </c>
      <c r="W266" t="s">
        <v>66</v>
      </c>
      <c r="X266" t="s">
        <v>66</v>
      </c>
      <c r="Y266" t="s">
        <v>1639</v>
      </c>
      <c r="Z266" t="s">
        <v>69</v>
      </c>
      <c r="AA266" t="s">
        <v>175</v>
      </c>
      <c r="AB266" t="s">
        <v>66</v>
      </c>
      <c r="AC266" t="s">
        <v>66</v>
      </c>
      <c r="AD266" s="2">
        <v>45947.636469907404</v>
      </c>
      <c r="AE266" t="s">
        <v>71</v>
      </c>
      <c r="AF266" t="s">
        <v>66</v>
      </c>
      <c r="AG266" t="s">
        <v>300</v>
      </c>
      <c r="AH266" t="s">
        <v>123</v>
      </c>
      <c r="AI266">
        <v>411028</v>
      </c>
      <c r="AJ266" t="s">
        <v>74</v>
      </c>
      <c r="AK266" t="s">
        <v>75</v>
      </c>
      <c r="AL266">
        <v>62044220</v>
      </c>
      <c r="AM266" s="2"/>
      <c r="AN266">
        <v>3375</v>
      </c>
      <c r="AO266" t="s">
        <v>1640</v>
      </c>
      <c r="AP266" t="s">
        <v>66</v>
      </c>
      <c r="AQ266" t="s">
        <v>66</v>
      </c>
      <c r="AR266" t="s">
        <v>71</v>
      </c>
      <c r="AS266">
        <v>18</v>
      </c>
      <c r="AT266">
        <v>9</v>
      </c>
      <c r="AU266">
        <v>9</v>
      </c>
      <c r="AV266">
        <v>0</v>
      </c>
      <c r="AW266">
        <v>514.83100000000002</v>
      </c>
      <c r="AX266">
        <v>257.416</v>
      </c>
      <c r="AY266">
        <v>257.416</v>
      </c>
      <c r="AZ266">
        <v>0</v>
      </c>
      <c r="BA266" s="2"/>
      <c r="BB266">
        <v>0.85</v>
      </c>
      <c r="BC266" s="2">
        <v>45939.5</v>
      </c>
      <c r="BD266" s="1">
        <f>MarketPlace_Order_Report__2[[#This Row],[UnitPrice]]*MarketPlace_Order_Report__2[[#This Row],[OrderQty]]</f>
        <v>3375</v>
      </c>
      <c r="BE266" s="1">
        <f>IFERROR(MarketPlace_Order_Report__2[[#This Row],[CGSTAmount]]+MarketPlace_Order_Report__2[[#This Row],[SGSTAmount]]+MarketPlace_Order_Report__2[[#This Row],[IGSTAmount]],MarketPlace_Order_Report__2[[#This Row],[TaxAmount]])</f>
        <v>514.83199999999999</v>
      </c>
      <c r="BF266" s="1">
        <f>MarketPlace_Order_Report__2[[#This Row],[Gross Amount (Before Tax)]]+MarketPlace_Order_Report__2[[#This Row],[Total GST Amount]]</f>
        <v>3889.8319999999999</v>
      </c>
    </row>
    <row r="267" spans="1:58">
      <c r="A267" t="s">
        <v>536</v>
      </c>
      <c r="B267" t="s">
        <v>537</v>
      </c>
      <c r="C267" t="s">
        <v>1641</v>
      </c>
      <c r="D267" t="s">
        <v>1642</v>
      </c>
      <c r="E267">
        <v>3</v>
      </c>
      <c r="F267" t="s">
        <v>1806</v>
      </c>
      <c r="G267">
        <v>1</v>
      </c>
      <c r="H267">
        <v>1</v>
      </c>
      <c r="I267">
        <v>4000</v>
      </c>
      <c r="J267">
        <v>3800</v>
      </c>
      <c r="K267">
        <v>0</v>
      </c>
      <c r="L267">
        <v>3810.3009999999999</v>
      </c>
      <c r="M267">
        <v>10.301</v>
      </c>
      <c r="N267" t="s">
        <v>63</v>
      </c>
      <c r="O267" s="2">
        <v>45958.070393518516</v>
      </c>
      <c r="P267" s="2">
        <v>45958.715520833335</v>
      </c>
      <c r="Q267" s="2">
        <v>45960.514664351853</v>
      </c>
      <c r="R267" t="s">
        <v>540</v>
      </c>
      <c r="S267" t="s">
        <v>65</v>
      </c>
      <c r="T267" s="2">
        <v>45958.543113425927</v>
      </c>
      <c r="U267" t="s">
        <v>66</v>
      </c>
      <c r="V267" t="s">
        <v>67</v>
      </c>
      <c r="W267" t="s">
        <v>66</v>
      </c>
      <c r="X267" t="s">
        <v>66</v>
      </c>
      <c r="Y267" t="s">
        <v>66</v>
      </c>
      <c r="Z267" t="s">
        <v>66</v>
      </c>
      <c r="AA267" t="s">
        <v>66</v>
      </c>
      <c r="AB267" t="s">
        <v>66</v>
      </c>
      <c r="AC267" t="s">
        <v>66</v>
      </c>
      <c r="AD267" s="2">
        <v>45960.518541666665</v>
      </c>
      <c r="AE267" t="s">
        <v>71</v>
      </c>
      <c r="AF267" t="s">
        <v>66</v>
      </c>
      <c r="AG267" t="s">
        <v>114</v>
      </c>
      <c r="AH267" t="s">
        <v>115</v>
      </c>
      <c r="AI267">
        <v>110031</v>
      </c>
      <c r="AJ267" t="s">
        <v>74</v>
      </c>
      <c r="AK267" t="s">
        <v>75</v>
      </c>
      <c r="AL267">
        <v>62044220</v>
      </c>
      <c r="AM267" s="2"/>
      <c r="AN267">
        <v>3800</v>
      </c>
      <c r="AO267" t="s">
        <v>541</v>
      </c>
      <c r="AP267" t="s">
        <v>542</v>
      </c>
      <c r="AQ267" t="s">
        <v>66</v>
      </c>
      <c r="AR267" t="s">
        <v>71</v>
      </c>
      <c r="AS267">
        <v>18</v>
      </c>
      <c r="AT267">
        <v>0</v>
      </c>
      <c r="AU267">
        <v>0</v>
      </c>
      <c r="AV267">
        <v>18</v>
      </c>
      <c r="AW267">
        <v>579.66099999999994</v>
      </c>
      <c r="AX267">
        <v>0</v>
      </c>
      <c r="AY267">
        <v>0</v>
      </c>
      <c r="AZ267">
        <v>579.66099999999994</v>
      </c>
      <c r="BA267" s="2"/>
      <c r="BB267">
        <v>1.2</v>
      </c>
      <c r="BC267" s="2">
        <v>45960.5</v>
      </c>
      <c r="BD267" s="1">
        <f>MarketPlace_Order_Report__2[[#This Row],[UnitPrice]]*MarketPlace_Order_Report__2[[#This Row],[OrderQty]]</f>
        <v>3800</v>
      </c>
      <c r="BE267" s="1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267" s="1">
        <f>MarketPlace_Order_Report__2[[#This Row],[Gross Amount (Before Tax)]]+MarketPlace_Order_Report__2[[#This Row],[Total GST Amount]]</f>
        <v>4379.6610000000001</v>
      </c>
    </row>
    <row r="268" spans="1:58">
      <c r="A268" t="s">
        <v>1643</v>
      </c>
      <c r="B268" t="s">
        <v>1644</v>
      </c>
      <c r="C268" t="s">
        <v>1645</v>
      </c>
      <c r="D268" t="s">
        <v>1646</v>
      </c>
      <c r="E268">
        <v>2</v>
      </c>
      <c r="F268" t="s">
        <v>62</v>
      </c>
      <c r="G268">
        <v>1</v>
      </c>
      <c r="H268">
        <v>1</v>
      </c>
      <c r="I268">
        <v>3750</v>
      </c>
      <c r="J268">
        <v>3563</v>
      </c>
      <c r="K268">
        <v>0</v>
      </c>
      <c r="L268">
        <v>3574.45</v>
      </c>
      <c r="M268">
        <v>11.45</v>
      </c>
      <c r="N268" t="s">
        <v>63</v>
      </c>
      <c r="O268" s="2">
        <v>45943.309363425928</v>
      </c>
      <c r="P268" s="2">
        <v>45944.741180555553</v>
      </c>
      <c r="Q268" s="2">
        <v>45947.617673611108</v>
      </c>
      <c r="R268" t="s">
        <v>1647</v>
      </c>
      <c r="S268" t="s">
        <v>65</v>
      </c>
      <c r="T268" s="2">
        <v>45943.814467592594</v>
      </c>
      <c r="U268" t="s">
        <v>66</v>
      </c>
      <c r="V268" t="s">
        <v>67</v>
      </c>
      <c r="W268" t="s">
        <v>66</v>
      </c>
      <c r="X268" t="s">
        <v>66</v>
      </c>
      <c r="Y268" t="s">
        <v>1648</v>
      </c>
      <c r="Z268" t="s">
        <v>69</v>
      </c>
      <c r="AA268" t="s">
        <v>175</v>
      </c>
      <c r="AB268" t="s">
        <v>66</v>
      </c>
      <c r="AC268" t="s">
        <v>66</v>
      </c>
      <c r="AD268" s="2">
        <v>45959.709085648145</v>
      </c>
      <c r="AE268" t="s">
        <v>71</v>
      </c>
      <c r="AF268" t="s">
        <v>66</v>
      </c>
      <c r="AG268" t="s">
        <v>1649</v>
      </c>
      <c r="AH268" t="s">
        <v>73</v>
      </c>
      <c r="AI268">
        <v>301701</v>
      </c>
      <c r="AJ268" t="s">
        <v>74</v>
      </c>
      <c r="AK268" t="s">
        <v>75</v>
      </c>
      <c r="AL268">
        <v>62044220</v>
      </c>
      <c r="AM268" s="2"/>
      <c r="AN268">
        <v>3563</v>
      </c>
      <c r="AO268" t="s">
        <v>1650</v>
      </c>
      <c r="AP268" t="s">
        <v>132</v>
      </c>
      <c r="AQ268" t="s">
        <v>66</v>
      </c>
      <c r="AR268" t="s">
        <v>71</v>
      </c>
      <c r="AS268">
        <v>18</v>
      </c>
      <c r="AT268">
        <v>0</v>
      </c>
      <c r="AU268">
        <v>0</v>
      </c>
      <c r="AV268">
        <v>18</v>
      </c>
      <c r="AW268">
        <v>543.50800000000004</v>
      </c>
      <c r="AX268">
        <v>0</v>
      </c>
      <c r="AY268">
        <v>0</v>
      </c>
      <c r="AZ268">
        <v>543.50800000000004</v>
      </c>
      <c r="BA268" s="2"/>
      <c r="BB268">
        <v>0.85</v>
      </c>
      <c r="BC268" s="2">
        <v>45945.5</v>
      </c>
      <c r="BD268" s="1">
        <f>MarketPlace_Order_Report__2[[#This Row],[UnitPrice]]*MarketPlace_Order_Report__2[[#This Row],[OrderQty]]</f>
        <v>3563</v>
      </c>
      <c r="BE268" s="1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BF268" s="1">
        <f>MarketPlace_Order_Report__2[[#This Row],[Gross Amount (Before Tax)]]+MarketPlace_Order_Report__2[[#This Row],[Total GST Amount]]</f>
        <v>4106.5079999999998</v>
      </c>
    </row>
    <row r="269" spans="1:58">
      <c r="A269" t="s">
        <v>1651</v>
      </c>
      <c r="B269" t="s">
        <v>1652</v>
      </c>
      <c r="C269" t="s">
        <v>1653</v>
      </c>
      <c r="D269" t="s">
        <v>1654</v>
      </c>
      <c r="E269">
        <v>1</v>
      </c>
      <c r="F269" t="s">
        <v>1806</v>
      </c>
      <c r="G269">
        <v>1</v>
      </c>
      <c r="H269">
        <v>1</v>
      </c>
      <c r="I269">
        <v>4000</v>
      </c>
      <c r="J269">
        <v>3600</v>
      </c>
      <c r="K269">
        <v>0</v>
      </c>
      <c r="L269">
        <v>3619.38</v>
      </c>
      <c r="M269">
        <v>19.38</v>
      </c>
      <c r="N269" t="s">
        <v>63</v>
      </c>
      <c r="O269" s="2">
        <v>45932.561111111114</v>
      </c>
      <c r="P269" s="2">
        <v>45934.721307870372</v>
      </c>
      <c r="Q269" s="2">
        <v>45940.700983796298</v>
      </c>
      <c r="R269" t="s">
        <v>1655</v>
      </c>
      <c r="S269" t="s">
        <v>65</v>
      </c>
      <c r="T269" s="2">
        <v>45933.815833333334</v>
      </c>
      <c r="U269" t="s">
        <v>66</v>
      </c>
      <c r="V269" t="s">
        <v>67</v>
      </c>
      <c r="W269" t="s">
        <v>66</v>
      </c>
      <c r="X269" t="s">
        <v>66</v>
      </c>
      <c r="Y269" t="s">
        <v>66</v>
      </c>
      <c r="Z269" t="s">
        <v>66</v>
      </c>
      <c r="AA269" t="s">
        <v>66</v>
      </c>
      <c r="AB269" t="s">
        <v>66</v>
      </c>
      <c r="AC269" t="s">
        <v>66</v>
      </c>
      <c r="AD269" s="2">
        <v>45940.702118055553</v>
      </c>
      <c r="AE269" t="s">
        <v>71</v>
      </c>
      <c r="AF269" t="s">
        <v>66</v>
      </c>
      <c r="AG269" t="s">
        <v>1656</v>
      </c>
      <c r="AH269" t="s">
        <v>1657</v>
      </c>
      <c r="AI269">
        <v>609602</v>
      </c>
      <c r="AJ269" t="s">
        <v>74</v>
      </c>
      <c r="AK269" t="s">
        <v>75</v>
      </c>
      <c r="AL269">
        <v>62044220</v>
      </c>
      <c r="AM269" s="2"/>
      <c r="AN269">
        <v>3600</v>
      </c>
      <c r="AO269" t="s">
        <v>1658</v>
      </c>
      <c r="AP269" t="s">
        <v>986</v>
      </c>
      <c r="AQ269" t="s">
        <v>66</v>
      </c>
      <c r="AR269" t="s">
        <v>71</v>
      </c>
      <c r="AS269">
        <v>18</v>
      </c>
      <c r="AT269">
        <v>0</v>
      </c>
      <c r="AU269">
        <v>0</v>
      </c>
      <c r="AV269">
        <v>18</v>
      </c>
      <c r="AW269">
        <v>549.15300000000002</v>
      </c>
      <c r="AX269">
        <v>0</v>
      </c>
      <c r="AY269">
        <v>0</v>
      </c>
      <c r="AZ269">
        <v>549.15300000000002</v>
      </c>
      <c r="BA269" s="2"/>
      <c r="BB269">
        <v>0.85</v>
      </c>
      <c r="BC269" s="2">
        <v>45935.5</v>
      </c>
      <c r="BD269" s="1">
        <f>MarketPlace_Order_Report__2[[#This Row],[UnitPrice]]*MarketPlace_Order_Report__2[[#This Row],[OrderQty]]</f>
        <v>3600</v>
      </c>
      <c r="BE269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269" s="1">
        <f>MarketPlace_Order_Report__2[[#This Row],[Gross Amount (Before Tax)]]+MarketPlace_Order_Report__2[[#This Row],[Total GST Amount]]</f>
        <v>4149.1530000000002</v>
      </c>
    </row>
    <row r="270" spans="1:58">
      <c r="A270" t="s">
        <v>1659</v>
      </c>
      <c r="B270" t="s">
        <v>1660</v>
      </c>
      <c r="C270" t="s">
        <v>1661</v>
      </c>
      <c r="D270" t="s">
        <v>1662</v>
      </c>
      <c r="E270">
        <v>1</v>
      </c>
      <c r="F270" t="s">
        <v>107</v>
      </c>
      <c r="G270">
        <v>1</v>
      </c>
      <c r="H270">
        <v>1</v>
      </c>
      <c r="I270">
        <v>4500</v>
      </c>
      <c r="J270">
        <v>4275</v>
      </c>
      <c r="K270">
        <v>0</v>
      </c>
      <c r="L270">
        <v>4324</v>
      </c>
      <c r="M270">
        <v>49</v>
      </c>
      <c r="N270" t="s">
        <v>99</v>
      </c>
      <c r="O270" s="2">
        <v>45959.76321759259</v>
      </c>
      <c r="P270" s="2">
        <v>45960.729062500002</v>
      </c>
      <c r="Q270" s="2"/>
      <c r="R270" t="s">
        <v>1663</v>
      </c>
      <c r="S270" t="s">
        <v>65</v>
      </c>
      <c r="T270" s="2">
        <v>45959.790451388886</v>
      </c>
      <c r="U270" t="s">
        <v>66</v>
      </c>
      <c r="V270" t="s">
        <v>67</v>
      </c>
      <c r="W270" t="s">
        <v>66</v>
      </c>
      <c r="X270" t="s">
        <v>66</v>
      </c>
      <c r="Y270" t="s">
        <v>66</v>
      </c>
      <c r="Z270" t="s">
        <v>66</v>
      </c>
      <c r="AA270" t="s">
        <v>66</v>
      </c>
      <c r="AB270" t="s">
        <v>66</v>
      </c>
      <c r="AC270" t="s">
        <v>66</v>
      </c>
      <c r="AD270" s="2">
        <v>45961.368796296294</v>
      </c>
      <c r="AE270" t="s">
        <v>71</v>
      </c>
      <c r="AF270" t="s">
        <v>66</v>
      </c>
      <c r="AG270" t="s">
        <v>1664</v>
      </c>
      <c r="AH270" t="s">
        <v>1095</v>
      </c>
      <c r="AI270">
        <v>247667</v>
      </c>
      <c r="AJ270" t="s">
        <v>74</v>
      </c>
      <c r="AK270" t="s">
        <v>75</v>
      </c>
      <c r="AL270">
        <v>62044220</v>
      </c>
      <c r="AM270" s="2"/>
      <c r="AN270">
        <v>4275</v>
      </c>
      <c r="AO270" t="s">
        <v>1665</v>
      </c>
      <c r="AP270" t="s">
        <v>1666</v>
      </c>
      <c r="AQ270" t="s">
        <v>66</v>
      </c>
      <c r="AR270" t="s">
        <v>71</v>
      </c>
      <c r="AS270">
        <v>18</v>
      </c>
      <c r="AT270">
        <v>0</v>
      </c>
      <c r="AU270">
        <v>0</v>
      </c>
      <c r="AV270">
        <v>18</v>
      </c>
      <c r="AW270">
        <v>652.11900000000003</v>
      </c>
      <c r="AX270">
        <v>0</v>
      </c>
      <c r="AY270">
        <v>0</v>
      </c>
      <c r="AZ270">
        <v>652.11900000000003</v>
      </c>
      <c r="BA270" s="2"/>
      <c r="BB270">
        <v>0.85</v>
      </c>
      <c r="BC270" s="2">
        <v>45962.5</v>
      </c>
      <c r="BD270" s="1">
        <f>MarketPlace_Order_Report__2[[#This Row],[UnitPrice]]*MarketPlace_Order_Report__2[[#This Row],[OrderQty]]</f>
        <v>4275</v>
      </c>
      <c r="BE270" s="1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70" s="1">
        <f>MarketPlace_Order_Report__2[[#This Row],[Gross Amount (Before Tax)]]+MarketPlace_Order_Report__2[[#This Row],[Total GST Amount]]</f>
        <v>4927.1189999999997</v>
      </c>
    </row>
    <row r="271" spans="1:58">
      <c r="A271" t="s">
        <v>1667</v>
      </c>
      <c r="B271" t="s">
        <v>1668</v>
      </c>
      <c r="C271" t="s">
        <v>1661</v>
      </c>
      <c r="D271" t="s">
        <v>1662</v>
      </c>
      <c r="E271">
        <v>1</v>
      </c>
      <c r="F271" t="s">
        <v>1806</v>
      </c>
      <c r="G271">
        <v>1</v>
      </c>
      <c r="H271">
        <v>1</v>
      </c>
      <c r="I271">
        <v>4500</v>
      </c>
      <c r="J271">
        <v>4275</v>
      </c>
      <c r="K271">
        <v>0</v>
      </c>
      <c r="L271">
        <v>4324</v>
      </c>
      <c r="M271">
        <v>49</v>
      </c>
      <c r="N271" t="s">
        <v>99</v>
      </c>
      <c r="O271" s="2">
        <v>45951.756354166668</v>
      </c>
      <c r="P271" s="2">
        <v>45954.731574074074</v>
      </c>
      <c r="Q271" s="2">
        <v>45957.450972222221</v>
      </c>
      <c r="R271" t="s">
        <v>1669</v>
      </c>
      <c r="S271" t="s">
        <v>65</v>
      </c>
      <c r="T271" s="2">
        <v>45954.500509259262</v>
      </c>
      <c r="U271" t="s">
        <v>66</v>
      </c>
      <c r="V271" t="s">
        <v>67</v>
      </c>
      <c r="W271" t="s">
        <v>66</v>
      </c>
      <c r="X271" t="s">
        <v>66</v>
      </c>
      <c r="Y271" t="s">
        <v>66</v>
      </c>
      <c r="Z271" t="s">
        <v>66</v>
      </c>
      <c r="AA271" t="s">
        <v>66</v>
      </c>
      <c r="AB271" t="s">
        <v>66</v>
      </c>
      <c r="AC271" t="s">
        <v>66</v>
      </c>
      <c r="AD271" s="2">
        <v>45957.476331018515</v>
      </c>
      <c r="AE271" t="s">
        <v>71</v>
      </c>
      <c r="AF271" t="s">
        <v>66</v>
      </c>
      <c r="AG271" t="s">
        <v>457</v>
      </c>
      <c r="AH271" t="s">
        <v>139</v>
      </c>
      <c r="AI271">
        <v>201010</v>
      </c>
      <c r="AJ271" t="s">
        <v>74</v>
      </c>
      <c r="AK271" t="s">
        <v>75</v>
      </c>
      <c r="AL271">
        <v>62044220</v>
      </c>
      <c r="AM271" s="2"/>
      <c r="AN271">
        <v>4275</v>
      </c>
      <c r="AO271" t="s">
        <v>1670</v>
      </c>
      <c r="AP271" t="s">
        <v>125</v>
      </c>
      <c r="AQ271" t="s">
        <v>66</v>
      </c>
      <c r="AR271" t="s">
        <v>71</v>
      </c>
      <c r="AS271">
        <v>18</v>
      </c>
      <c r="AT271">
        <v>0</v>
      </c>
      <c r="AU271">
        <v>0</v>
      </c>
      <c r="AV271">
        <v>18</v>
      </c>
      <c r="AW271">
        <v>652.11900000000003</v>
      </c>
      <c r="AX271">
        <v>0</v>
      </c>
      <c r="AY271">
        <v>0</v>
      </c>
      <c r="AZ271">
        <v>652.11900000000003</v>
      </c>
      <c r="BA271" s="2"/>
      <c r="BB271">
        <v>0.85</v>
      </c>
      <c r="BC271" s="2">
        <v>45954.5</v>
      </c>
      <c r="BD271" s="1">
        <f>MarketPlace_Order_Report__2[[#This Row],[UnitPrice]]*MarketPlace_Order_Report__2[[#This Row],[OrderQty]]</f>
        <v>4275</v>
      </c>
      <c r="BE271" s="1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71" s="1">
        <f>MarketPlace_Order_Report__2[[#This Row],[Gross Amount (Before Tax)]]+MarketPlace_Order_Report__2[[#This Row],[Total GST Amount]]</f>
        <v>4927.1189999999997</v>
      </c>
    </row>
    <row r="272" spans="1:58">
      <c r="A272" t="s">
        <v>1671</v>
      </c>
      <c r="B272" t="s">
        <v>1672</v>
      </c>
      <c r="C272" t="s">
        <v>1673</v>
      </c>
      <c r="D272" t="s">
        <v>1674</v>
      </c>
      <c r="E272">
        <v>2</v>
      </c>
      <c r="F272" t="s">
        <v>1806</v>
      </c>
      <c r="G272">
        <v>1</v>
      </c>
      <c r="H272">
        <v>1</v>
      </c>
      <c r="I272">
        <v>4500</v>
      </c>
      <c r="J272">
        <v>4275</v>
      </c>
      <c r="K272">
        <v>0</v>
      </c>
      <c r="L272">
        <v>4289.5</v>
      </c>
      <c r="M272">
        <v>14.5</v>
      </c>
      <c r="N272" t="s">
        <v>63</v>
      </c>
      <c r="O272" s="2">
        <v>45947.857627314814</v>
      </c>
      <c r="P272" s="2">
        <v>45954.73233796296</v>
      </c>
      <c r="Q272" s="2">
        <v>45958.400810185187</v>
      </c>
      <c r="R272" t="s">
        <v>1675</v>
      </c>
      <c r="S272" t="s">
        <v>65</v>
      </c>
      <c r="T272" s="2">
        <v>45948.802071759259</v>
      </c>
      <c r="U272" t="s">
        <v>66</v>
      </c>
      <c r="V272" t="s">
        <v>67</v>
      </c>
      <c r="W272" t="s">
        <v>66</v>
      </c>
      <c r="X272" t="s">
        <v>66</v>
      </c>
      <c r="Y272" t="s">
        <v>66</v>
      </c>
      <c r="Z272" t="s">
        <v>66</v>
      </c>
      <c r="AA272" t="s">
        <v>66</v>
      </c>
      <c r="AB272" t="s">
        <v>66</v>
      </c>
      <c r="AC272" t="s">
        <v>66</v>
      </c>
      <c r="AD272" s="2">
        <v>45958.403634259259</v>
      </c>
      <c r="AE272" t="s">
        <v>71</v>
      </c>
      <c r="AF272" t="s">
        <v>66</v>
      </c>
      <c r="AG272" t="s">
        <v>114</v>
      </c>
      <c r="AH272" t="s">
        <v>115</v>
      </c>
      <c r="AI272">
        <v>110075</v>
      </c>
      <c r="AJ272" t="s">
        <v>74</v>
      </c>
      <c r="AK272" t="s">
        <v>75</v>
      </c>
      <c r="AL272">
        <v>62044220</v>
      </c>
      <c r="AM272" s="2"/>
      <c r="AN272">
        <v>4275</v>
      </c>
      <c r="AO272" t="s">
        <v>1676</v>
      </c>
      <c r="AP272" t="s">
        <v>1677</v>
      </c>
      <c r="AQ272" t="s">
        <v>66</v>
      </c>
      <c r="AR272" t="s">
        <v>71</v>
      </c>
      <c r="AS272">
        <v>18</v>
      </c>
      <c r="AT272">
        <v>0</v>
      </c>
      <c r="AU272">
        <v>0</v>
      </c>
      <c r="AV272">
        <v>18</v>
      </c>
      <c r="AW272">
        <v>652.11900000000003</v>
      </c>
      <c r="AX272">
        <v>0</v>
      </c>
      <c r="AY272">
        <v>0</v>
      </c>
      <c r="AZ272">
        <v>652.11900000000003</v>
      </c>
      <c r="BA272" s="2"/>
      <c r="BB272">
        <v>1.2</v>
      </c>
      <c r="BC272" s="2">
        <v>45950.5</v>
      </c>
      <c r="BD272" s="1">
        <f>MarketPlace_Order_Report__2[[#This Row],[UnitPrice]]*MarketPlace_Order_Report__2[[#This Row],[OrderQty]]</f>
        <v>4275</v>
      </c>
      <c r="BE272" s="1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72" s="1">
        <f>MarketPlace_Order_Report__2[[#This Row],[Gross Amount (Before Tax)]]+MarketPlace_Order_Report__2[[#This Row],[Total GST Amount]]</f>
        <v>4927.1189999999997</v>
      </c>
    </row>
    <row r="273" spans="1:58">
      <c r="A273" t="s">
        <v>1678</v>
      </c>
      <c r="B273" t="s">
        <v>1679</v>
      </c>
      <c r="C273" t="s">
        <v>1673</v>
      </c>
      <c r="D273" t="s">
        <v>1674</v>
      </c>
      <c r="E273">
        <v>1</v>
      </c>
      <c r="F273" t="s">
        <v>62</v>
      </c>
      <c r="G273">
        <v>1</v>
      </c>
      <c r="H273">
        <v>1</v>
      </c>
      <c r="I273">
        <v>4000</v>
      </c>
      <c r="J273">
        <v>3800</v>
      </c>
      <c r="K273">
        <v>0</v>
      </c>
      <c r="L273">
        <v>3800</v>
      </c>
      <c r="M273">
        <v>0</v>
      </c>
      <c r="N273" t="s">
        <v>63</v>
      </c>
      <c r="O273" s="2">
        <v>45943.58902777778</v>
      </c>
      <c r="P273" s="2">
        <v>45944.736990740741</v>
      </c>
      <c r="Q273" s="2">
        <v>45947.504652777781</v>
      </c>
      <c r="R273" t="s">
        <v>1680</v>
      </c>
      <c r="S273" t="s">
        <v>65</v>
      </c>
      <c r="T273" s="2">
        <v>45943.814467592594</v>
      </c>
      <c r="U273" t="s">
        <v>66</v>
      </c>
      <c r="V273" t="s">
        <v>67</v>
      </c>
      <c r="W273" t="s">
        <v>66</v>
      </c>
      <c r="X273" t="s">
        <v>66</v>
      </c>
      <c r="Y273" t="s">
        <v>1681</v>
      </c>
      <c r="Z273" t="s">
        <v>69</v>
      </c>
      <c r="AA273" t="s">
        <v>175</v>
      </c>
      <c r="AB273" t="s">
        <v>66</v>
      </c>
      <c r="AC273" t="s">
        <v>66</v>
      </c>
      <c r="AD273" s="2">
        <v>45960.85496527778</v>
      </c>
      <c r="AE273" t="s">
        <v>71</v>
      </c>
      <c r="AF273" t="s">
        <v>66</v>
      </c>
      <c r="AG273" t="s">
        <v>1682</v>
      </c>
      <c r="AH273" t="s">
        <v>251</v>
      </c>
      <c r="AI273">
        <v>626123</v>
      </c>
      <c r="AJ273" t="s">
        <v>74</v>
      </c>
      <c r="AK273" t="s">
        <v>75</v>
      </c>
      <c r="AL273">
        <v>62044220</v>
      </c>
      <c r="AM273" s="2"/>
      <c r="AN273">
        <v>3800</v>
      </c>
      <c r="AO273" t="s">
        <v>1683</v>
      </c>
      <c r="AP273" t="s">
        <v>77</v>
      </c>
      <c r="AQ273" t="s">
        <v>66</v>
      </c>
      <c r="AR273" t="s">
        <v>71</v>
      </c>
      <c r="AS273">
        <v>18</v>
      </c>
      <c r="AT273">
        <v>0</v>
      </c>
      <c r="AU273">
        <v>0</v>
      </c>
      <c r="AV273">
        <v>18</v>
      </c>
      <c r="AW273">
        <v>579.66099999999994</v>
      </c>
      <c r="AX273">
        <v>0</v>
      </c>
      <c r="AY273">
        <v>0</v>
      </c>
      <c r="AZ273">
        <v>579.66099999999994</v>
      </c>
      <c r="BA273" s="2"/>
      <c r="BB273">
        <v>0.85</v>
      </c>
      <c r="BC273" s="2">
        <v>45946.5</v>
      </c>
      <c r="BD273" s="1">
        <f>MarketPlace_Order_Report__2[[#This Row],[UnitPrice]]*MarketPlace_Order_Report__2[[#This Row],[OrderQty]]</f>
        <v>3800</v>
      </c>
      <c r="BE273" s="1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273" s="1">
        <f>MarketPlace_Order_Report__2[[#This Row],[Gross Amount (Before Tax)]]+MarketPlace_Order_Report__2[[#This Row],[Total GST Amount]]</f>
        <v>4379.6610000000001</v>
      </c>
    </row>
    <row r="274" spans="1:58">
      <c r="A274" t="s">
        <v>1684</v>
      </c>
      <c r="B274" t="s">
        <v>1685</v>
      </c>
      <c r="C274" t="s">
        <v>1686</v>
      </c>
      <c r="D274" t="s">
        <v>1687</v>
      </c>
      <c r="E274">
        <v>1</v>
      </c>
      <c r="F274" t="s">
        <v>1806</v>
      </c>
      <c r="G274">
        <v>1</v>
      </c>
      <c r="H274">
        <v>1</v>
      </c>
      <c r="I274">
        <v>4000</v>
      </c>
      <c r="J274">
        <v>3600</v>
      </c>
      <c r="K274">
        <v>0</v>
      </c>
      <c r="L274">
        <v>3618.98</v>
      </c>
      <c r="M274">
        <v>18.98</v>
      </c>
      <c r="N274" t="s">
        <v>63</v>
      </c>
      <c r="O274" s="2">
        <v>45938.413055555553</v>
      </c>
      <c r="P274" s="2">
        <v>45939.734571759262</v>
      </c>
      <c r="Q274" s="2">
        <v>45947.517280092594</v>
      </c>
      <c r="R274" t="s">
        <v>1688</v>
      </c>
      <c r="S274" t="s">
        <v>65</v>
      </c>
      <c r="T274" s="2">
        <v>45938.725810185184</v>
      </c>
      <c r="U274" t="s">
        <v>66</v>
      </c>
      <c r="V274" t="s">
        <v>67</v>
      </c>
      <c r="W274" t="s">
        <v>66</v>
      </c>
      <c r="X274" t="s">
        <v>66</v>
      </c>
      <c r="Y274" t="s">
        <v>66</v>
      </c>
      <c r="Z274" t="s">
        <v>66</v>
      </c>
      <c r="AA274" t="s">
        <v>66</v>
      </c>
      <c r="AB274" t="s">
        <v>66</v>
      </c>
      <c r="AC274" t="s">
        <v>66</v>
      </c>
      <c r="AD274" s="2">
        <v>45947.521840277775</v>
      </c>
      <c r="AE274" t="s">
        <v>71</v>
      </c>
      <c r="AF274" t="s">
        <v>66</v>
      </c>
      <c r="AG274" t="s">
        <v>1689</v>
      </c>
      <c r="AH274" t="s">
        <v>139</v>
      </c>
      <c r="AI274">
        <v>244001</v>
      </c>
      <c r="AJ274" t="s">
        <v>74</v>
      </c>
      <c r="AK274" t="s">
        <v>75</v>
      </c>
      <c r="AL274">
        <v>62044220</v>
      </c>
      <c r="AM274" s="2"/>
      <c r="AN274">
        <v>3600</v>
      </c>
      <c r="AO274" t="s">
        <v>1690</v>
      </c>
      <c r="AP274" t="s">
        <v>806</v>
      </c>
      <c r="AQ274" t="s">
        <v>66</v>
      </c>
      <c r="AR274" t="s">
        <v>71</v>
      </c>
      <c r="AS274">
        <v>18</v>
      </c>
      <c r="AT274">
        <v>0</v>
      </c>
      <c r="AU274">
        <v>0</v>
      </c>
      <c r="AV274">
        <v>18</v>
      </c>
      <c r="AW274">
        <v>549.15300000000002</v>
      </c>
      <c r="AX274">
        <v>0</v>
      </c>
      <c r="AY274">
        <v>0</v>
      </c>
      <c r="AZ274">
        <v>549.15300000000002</v>
      </c>
      <c r="BA274" s="2"/>
      <c r="BB274">
        <v>0.85</v>
      </c>
      <c r="BC274" s="2">
        <v>45940.5</v>
      </c>
      <c r="BD274" s="1">
        <f>MarketPlace_Order_Report__2[[#This Row],[UnitPrice]]*MarketPlace_Order_Report__2[[#This Row],[OrderQty]]</f>
        <v>3600</v>
      </c>
      <c r="BE274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274" s="1">
        <f>MarketPlace_Order_Report__2[[#This Row],[Gross Amount (Before Tax)]]+MarketPlace_Order_Report__2[[#This Row],[Total GST Amount]]</f>
        <v>4149.1530000000002</v>
      </c>
    </row>
    <row r="275" spans="1:58">
      <c r="A275" t="s">
        <v>1691</v>
      </c>
      <c r="B275" t="s">
        <v>1692</v>
      </c>
      <c r="C275" t="s">
        <v>1686</v>
      </c>
      <c r="D275" t="s">
        <v>1687</v>
      </c>
      <c r="E275">
        <v>2</v>
      </c>
      <c r="F275" t="s">
        <v>1806</v>
      </c>
      <c r="G275">
        <v>1</v>
      </c>
      <c r="H275">
        <v>1</v>
      </c>
      <c r="I275">
        <v>4000</v>
      </c>
      <c r="J275">
        <v>3600</v>
      </c>
      <c r="K275">
        <v>0</v>
      </c>
      <c r="L275">
        <v>3625.47</v>
      </c>
      <c r="M275">
        <v>25.47</v>
      </c>
      <c r="N275" t="s">
        <v>63</v>
      </c>
      <c r="O275" s="2">
        <v>45934.907083333332</v>
      </c>
      <c r="P275" s="2">
        <v>45936.641296296293</v>
      </c>
      <c r="Q275" s="2">
        <v>45941.648310185185</v>
      </c>
      <c r="R275" t="s">
        <v>1693</v>
      </c>
      <c r="S275" t="s">
        <v>89</v>
      </c>
      <c r="T275" s="2">
        <v>45935.742905092593</v>
      </c>
      <c r="U275" t="s">
        <v>66</v>
      </c>
      <c r="V275" t="s">
        <v>67</v>
      </c>
      <c r="W275" t="s">
        <v>66</v>
      </c>
      <c r="X275" t="s">
        <v>66</v>
      </c>
      <c r="Y275" t="s">
        <v>66</v>
      </c>
      <c r="Z275" t="s">
        <v>66</v>
      </c>
      <c r="AA275" t="s">
        <v>66</v>
      </c>
      <c r="AB275" t="s">
        <v>66</v>
      </c>
      <c r="AC275" t="s">
        <v>66</v>
      </c>
      <c r="AD275" s="2">
        <v>45941.649976851855</v>
      </c>
      <c r="AE275" t="s">
        <v>71</v>
      </c>
      <c r="AF275" t="s">
        <v>66</v>
      </c>
      <c r="AG275" t="s">
        <v>114</v>
      </c>
      <c r="AH275" t="s">
        <v>115</v>
      </c>
      <c r="AI275">
        <v>110088</v>
      </c>
      <c r="AJ275" t="s">
        <v>74</v>
      </c>
      <c r="AK275" t="s">
        <v>75</v>
      </c>
      <c r="AL275">
        <v>62044220</v>
      </c>
      <c r="AM275" s="2"/>
      <c r="AN275">
        <v>3600</v>
      </c>
      <c r="AO275" t="s">
        <v>1694</v>
      </c>
      <c r="AP275" t="s">
        <v>915</v>
      </c>
      <c r="AQ275" t="s">
        <v>66</v>
      </c>
      <c r="AR275" t="s">
        <v>71</v>
      </c>
      <c r="AS275">
        <v>18</v>
      </c>
      <c r="AT275">
        <v>0</v>
      </c>
      <c r="AU275">
        <v>0</v>
      </c>
      <c r="AV275">
        <v>18</v>
      </c>
      <c r="AW275">
        <v>549.15300000000002</v>
      </c>
      <c r="AX275">
        <v>0</v>
      </c>
      <c r="AY275">
        <v>0</v>
      </c>
      <c r="AZ275">
        <v>549.15300000000002</v>
      </c>
      <c r="BA275" s="2"/>
      <c r="BB275">
        <v>0.85</v>
      </c>
      <c r="BC275" s="2">
        <v>45937.5</v>
      </c>
      <c r="BD275" s="1">
        <f>MarketPlace_Order_Report__2[[#This Row],[UnitPrice]]*MarketPlace_Order_Report__2[[#This Row],[OrderQty]]</f>
        <v>3600</v>
      </c>
      <c r="BE275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275" s="1">
        <f>MarketPlace_Order_Report__2[[#This Row],[Gross Amount (Before Tax)]]+MarketPlace_Order_Report__2[[#This Row],[Total GST Amount]]</f>
        <v>4149.1530000000002</v>
      </c>
    </row>
    <row r="276" spans="1:58">
      <c r="A276" t="s">
        <v>1695</v>
      </c>
      <c r="B276" t="s">
        <v>1696</v>
      </c>
      <c r="C276" t="s">
        <v>1697</v>
      </c>
      <c r="D276" t="s">
        <v>1698</v>
      </c>
      <c r="E276">
        <v>11</v>
      </c>
      <c r="F276" t="s">
        <v>1806</v>
      </c>
      <c r="G276">
        <v>1</v>
      </c>
      <c r="H276">
        <v>1</v>
      </c>
      <c r="I276">
        <v>4500</v>
      </c>
      <c r="J276">
        <v>4275</v>
      </c>
      <c r="K276">
        <v>0</v>
      </c>
      <c r="L276">
        <v>4282.09</v>
      </c>
      <c r="M276">
        <v>7.09</v>
      </c>
      <c r="N276" t="s">
        <v>63</v>
      </c>
      <c r="O276" s="2">
        <v>45945.360277777778</v>
      </c>
      <c r="P276" s="2">
        <v>45946.732604166667</v>
      </c>
      <c r="Q276" s="2">
        <v>45949.59516203704</v>
      </c>
      <c r="R276" t="s">
        <v>1699</v>
      </c>
      <c r="S276" t="s">
        <v>65</v>
      </c>
      <c r="T276" s="2">
        <v>45945.799212962964</v>
      </c>
      <c r="U276" t="s">
        <v>66</v>
      </c>
      <c r="V276" t="s">
        <v>67</v>
      </c>
      <c r="W276" t="s">
        <v>66</v>
      </c>
      <c r="X276" t="s">
        <v>66</v>
      </c>
      <c r="Y276" t="s">
        <v>66</v>
      </c>
      <c r="Z276" t="s">
        <v>66</v>
      </c>
      <c r="AA276" t="s">
        <v>66</v>
      </c>
      <c r="AB276" t="s">
        <v>66</v>
      </c>
      <c r="AC276" t="s">
        <v>66</v>
      </c>
      <c r="AD276" s="2">
        <v>45949.598055555558</v>
      </c>
      <c r="AE276" t="s">
        <v>71</v>
      </c>
      <c r="AF276" t="s">
        <v>66</v>
      </c>
      <c r="AG276" t="s">
        <v>1700</v>
      </c>
      <c r="AH276" t="s">
        <v>194</v>
      </c>
      <c r="AI276">
        <v>396310</v>
      </c>
      <c r="AJ276" t="s">
        <v>74</v>
      </c>
      <c r="AK276" t="s">
        <v>75</v>
      </c>
      <c r="AL276">
        <v>62044220</v>
      </c>
      <c r="AM276" s="2"/>
      <c r="AN276">
        <v>4275</v>
      </c>
      <c r="AO276" t="s">
        <v>1701</v>
      </c>
      <c r="AP276" t="s">
        <v>66</v>
      </c>
      <c r="AQ276" t="s">
        <v>66</v>
      </c>
      <c r="AR276" t="s">
        <v>71</v>
      </c>
      <c r="AS276">
        <v>18</v>
      </c>
      <c r="AT276">
        <v>0</v>
      </c>
      <c r="AU276">
        <v>0</v>
      </c>
      <c r="AV276">
        <v>18</v>
      </c>
      <c r="AW276">
        <v>652.11900000000003</v>
      </c>
      <c r="AX276">
        <v>0</v>
      </c>
      <c r="AY276">
        <v>0</v>
      </c>
      <c r="AZ276">
        <v>652.11900000000003</v>
      </c>
      <c r="BA276" s="2"/>
      <c r="BB276">
        <v>0.85</v>
      </c>
      <c r="BC276" s="2">
        <v>45947.5</v>
      </c>
      <c r="BD276" s="1">
        <f>MarketPlace_Order_Report__2[[#This Row],[UnitPrice]]*MarketPlace_Order_Report__2[[#This Row],[OrderQty]]</f>
        <v>4275</v>
      </c>
      <c r="BE276" s="1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76" s="1">
        <f>MarketPlace_Order_Report__2[[#This Row],[Gross Amount (Before Tax)]]+MarketPlace_Order_Report__2[[#This Row],[Total GST Amount]]</f>
        <v>4927.1189999999997</v>
      </c>
    </row>
    <row r="277" spans="1:58">
      <c r="A277" t="s">
        <v>1702</v>
      </c>
      <c r="B277" t="s">
        <v>1703</v>
      </c>
      <c r="C277" t="s">
        <v>1704</v>
      </c>
      <c r="D277" t="s">
        <v>1705</v>
      </c>
      <c r="E277">
        <v>1</v>
      </c>
      <c r="F277" t="s">
        <v>62</v>
      </c>
      <c r="G277">
        <v>1</v>
      </c>
      <c r="H277">
        <v>1</v>
      </c>
      <c r="I277">
        <v>4500</v>
      </c>
      <c r="J277">
        <v>4275</v>
      </c>
      <c r="K277">
        <v>0</v>
      </c>
      <c r="L277">
        <v>4290</v>
      </c>
      <c r="M277">
        <v>15</v>
      </c>
      <c r="N277" t="s">
        <v>63</v>
      </c>
      <c r="O277" s="2">
        <v>45945.508703703701</v>
      </c>
      <c r="P277" s="2">
        <v>45946.732511574075</v>
      </c>
      <c r="Q277" s="2">
        <v>45953.561828703707</v>
      </c>
      <c r="R277" t="s">
        <v>1706</v>
      </c>
      <c r="S277" t="s">
        <v>65</v>
      </c>
      <c r="T277" s="2">
        <v>45945.79928240741</v>
      </c>
      <c r="U277" t="s">
        <v>66</v>
      </c>
      <c r="V277" t="s">
        <v>67</v>
      </c>
      <c r="W277" t="s">
        <v>66</v>
      </c>
      <c r="X277" t="s">
        <v>66</v>
      </c>
      <c r="Y277" t="s">
        <v>1707</v>
      </c>
      <c r="Z277" t="s">
        <v>69</v>
      </c>
      <c r="AA277" t="s">
        <v>70</v>
      </c>
      <c r="AB277" t="s">
        <v>66</v>
      </c>
      <c r="AC277" t="s">
        <v>66</v>
      </c>
      <c r="AD277" s="2">
        <v>45958.261423611111</v>
      </c>
      <c r="AE277" t="s">
        <v>71</v>
      </c>
      <c r="AF277" t="s">
        <v>66</v>
      </c>
      <c r="AG277" t="s">
        <v>1708</v>
      </c>
      <c r="AH277" t="s">
        <v>440</v>
      </c>
      <c r="AI277">
        <v>125120</v>
      </c>
      <c r="AJ277" t="s">
        <v>74</v>
      </c>
      <c r="AK277" t="s">
        <v>75</v>
      </c>
      <c r="AL277">
        <v>62044220</v>
      </c>
      <c r="AM277" s="2"/>
      <c r="AN277">
        <v>4275</v>
      </c>
      <c r="AO277" t="s">
        <v>1709</v>
      </c>
      <c r="AP277" t="s">
        <v>66</v>
      </c>
      <c r="AQ277" t="s">
        <v>66</v>
      </c>
      <c r="AR277" t="s">
        <v>71</v>
      </c>
      <c r="AS277">
        <v>18</v>
      </c>
      <c r="AT277">
        <v>0</v>
      </c>
      <c r="AU277">
        <v>0</v>
      </c>
      <c r="AV277">
        <v>18</v>
      </c>
      <c r="AW277">
        <v>652.11900000000003</v>
      </c>
      <c r="AX277">
        <v>0</v>
      </c>
      <c r="AY277">
        <v>0</v>
      </c>
      <c r="AZ277">
        <v>652.11900000000003</v>
      </c>
      <c r="BA277" s="2"/>
      <c r="BB277">
        <v>0.85</v>
      </c>
      <c r="BC277" s="2">
        <v>45948.5</v>
      </c>
      <c r="BD277" s="1">
        <f>MarketPlace_Order_Report__2[[#This Row],[UnitPrice]]*MarketPlace_Order_Report__2[[#This Row],[OrderQty]]</f>
        <v>4275</v>
      </c>
      <c r="BE277" s="1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77" s="1">
        <f>MarketPlace_Order_Report__2[[#This Row],[Gross Amount (Before Tax)]]+MarketPlace_Order_Report__2[[#This Row],[Total GST Amount]]</f>
        <v>4927.1189999999997</v>
      </c>
    </row>
    <row r="278" spans="1:58">
      <c r="A278" t="s">
        <v>1710</v>
      </c>
      <c r="B278" t="s">
        <v>1711</v>
      </c>
      <c r="C278" t="s">
        <v>1704</v>
      </c>
      <c r="D278" t="s">
        <v>1705</v>
      </c>
      <c r="E278">
        <v>1</v>
      </c>
      <c r="F278" t="s">
        <v>62</v>
      </c>
      <c r="G278">
        <v>1</v>
      </c>
      <c r="H278">
        <v>1</v>
      </c>
      <c r="I278">
        <v>4000</v>
      </c>
      <c r="J278">
        <v>3800</v>
      </c>
      <c r="K278">
        <v>0</v>
      </c>
      <c r="L278">
        <v>3829</v>
      </c>
      <c r="M278">
        <v>29</v>
      </c>
      <c r="N278" t="s">
        <v>63</v>
      </c>
      <c r="O278" s="2">
        <v>45941.004305555558</v>
      </c>
      <c r="P278" s="2">
        <v>45941.74863425926</v>
      </c>
      <c r="Q278" s="2">
        <v>45946.687650462962</v>
      </c>
      <c r="R278" t="s">
        <v>1712</v>
      </c>
      <c r="S278" t="s">
        <v>65</v>
      </c>
      <c r="T278" s="2">
        <v>45941.595370370371</v>
      </c>
      <c r="U278" t="s">
        <v>66</v>
      </c>
      <c r="V278" t="s">
        <v>67</v>
      </c>
      <c r="W278" t="s">
        <v>66</v>
      </c>
      <c r="X278" t="s">
        <v>66</v>
      </c>
      <c r="Y278" t="s">
        <v>1713</v>
      </c>
      <c r="Z278" t="s">
        <v>69</v>
      </c>
      <c r="AA278" t="s">
        <v>175</v>
      </c>
      <c r="AB278" t="s">
        <v>66</v>
      </c>
      <c r="AC278" t="s">
        <v>66</v>
      </c>
      <c r="AD278" s="2">
        <v>45958.625763888886</v>
      </c>
      <c r="AE278" t="s">
        <v>71</v>
      </c>
      <c r="AF278" t="s">
        <v>66</v>
      </c>
      <c r="AG278" t="s">
        <v>1714</v>
      </c>
      <c r="AH278" t="s">
        <v>1715</v>
      </c>
      <c r="AI278">
        <v>175021</v>
      </c>
      <c r="AJ278" t="s">
        <v>74</v>
      </c>
      <c r="AK278" t="s">
        <v>75</v>
      </c>
      <c r="AL278">
        <v>62044220</v>
      </c>
      <c r="AM278" s="2"/>
      <c r="AN278">
        <v>3800</v>
      </c>
      <c r="AO278" t="s">
        <v>1716</v>
      </c>
      <c r="AP278" t="s">
        <v>132</v>
      </c>
      <c r="AQ278" t="s">
        <v>66</v>
      </c>
      <c r="AR278" t="s">
        <v>71</v>
      </c>
      <c r="AS278">
        <v>18</v>
      </c>
      <c r="AT278">
        <v>0</v>
      </c>
      <c r="AU278">
        <v>0</v>
      </c>
      <c r="AV278">
        <v>18</v>
      </c>
      <c r="AW278">
        <v>579.66099999999994</v>
      </c>
      <c r="AX278">
        <v>0</v>
      </c>
      <c r="AY278">
        <v>0</v>
      </c>
      <c r="AZ278">
        <v>579.66099999999994</v>
      </c>
      <c r="BA278" s="2"/>
      <c r="BB278">
        <v>0.85</v>
      </c>
      <c r="BC278" s="2">
        <v>45943.5</v>
      </c>
      <c r="BD278" s="1">
        <f>MarketPlace_Order_Report__2[[#This Row],[UnitPrice]]*MarketPlace_Order_Report__2[[#This Row],[OrderQty]]</f>
        <v>3800</v>
      </c>
      <c r="BE278" s="1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278" s="1">
        <f>MarketPlace_Order_Report__2[[#This Row],[Gross Amount (Before Tax)]]+MarketPlace_Order_Report__2[[#This Row],[Total GST Amount]]</f>
        <v>4379.6610000000001</v>
      </c>
    </row>
    <row r="279" spans="1:58">
      <c r="A279" t="s">
        <v>1717</v>
      </c>
      <c r="B279" t="s">
        <v>1718</v>
      </c>
      <c r="C279" t="s">
        <v>1719</v>
      </c>
      <c r="D279" t="s">
        <v>1720</v>
      </c>
      <c r="E279">
        <v>7</v>
      </c>
      <c r="F279" t="s">
        <v>1806</v>
      </c>
      <c r="G279">
        <v>1</v>
      </c>
      <c r="H279">
        <v>1</v>
      </c>
      <c r="I279">
        <v>4500</v>
      </c>
      <c r="J279">
        <v>4275</v>
      </c>
      <c r="K279">
        <v>0</v>
      </c>
      <c r="L279">
        <v>4292.05</v>
      </c>
      <c r="M279">
        <v>17.05</v>
      </c>
      <c r="N279" t="s">
        <v>99</v>
      </c>
      <c r="O279" s="2">
        <v>45949.46638888889</v>
      </c>
      <c r="P279" s="2">
        <v>45954.731874999998</v>
      </c>
      <c r="Q279" s="2">
        <v>45957.595648148148</v>
      </c>
      <c r="R279" t="s">
        <v>1721</v>
      </c>
      <c r="S279" t="s">
        <v>65</v>
      </c>
      <c r="T279" s="2">
        <v>45954.500509259262</v>
      </c>
      <c r="U279" t="s">
        <v>66</v>
      </c>
      <c r="V279" t="s">
        <v>67</v>
      </c>
      <c r="W279" t="s">
        <v>66</v>
      </c>
      <c r="X279" t="s">
        <v>66</v>
      </c>
      <c r="Y279" t="s">
        <v>66</v>
      </c>
      <c r="Z279" t="s">
        <v>66</v>
      </c>
      <c r="AA279" t="s">
        <v>66</v>
      </c>
      <c r="AB279" t="s">
        <v>66</v>
      </c>
      <c r="AC279" t="s">
        <v>66</v>
      </c>
      <c r="AD279" s="2">
        <v>45957.598078703704</v>
      </c>
      <c r="AE279" t="s">
        <v>71</v>
      </c>
      <c r="AF279" t="s">
        <v>66</v>
      </c>
      <c r="AG279" t="s">
        <v>1722</v>
      </c>
      <c r="AH279" t="s">
        <v>794</v>
      </c>
      <c r="AI279">
        <v>517502</v>
      </c>
      <c r="AJ279" t="s">
        <v>74</v>
      </c>
      <c r="AK279" t="s">
        <v>75</v>
      </c>
      <c r="AL279">
        <v>62044220</v>
      </c>
      <c r="AM279" s="2"/>
      <c r="AN279">
        <v>4275</v>
      </c>
      <c r="AO279" t="s">
        <v>1723</v>
      </c>
      <c r="AP279" t="s">
        <v>66</v>
      </c>
      <c r="AQ279" t="s">
        <v>1724</v>
      </c>
      <c r="AR279" t="s">
        <v>71</v>
      </c>
      <c r="AS279">
        <v>18</v>
      </c>
      <c r="AT279">
        <v>0</v>
      </c>
      <c r="AU279">
        <v>0</v>
      </c>
      <c r="AV279">
        <v>18</v>
      </c>
      <c r="AW279">
        <v>652.11900000000003</v>
      </c>
      <c r="AX279">
        <v>0</v>
      </c>
      <c r="AY279">
        <v>0</v>
      </c>
      <c r="AZ279">
        <v>652.11900000000003</v>
      </c>
      <c r="BA279" s="2">
        <v>45949.771365740744</v>
      </c>
      <c r="BB279">
        <v>0.85</v>
      </c>
      <c r="BC279" s="2">
        <v>45952.5</v>
      </c>
      <c r="BD279" s="1">
        <f>MarketPlace_Order_Report__2[[#This Row],[UnitPrice]]*MarketPlace_Order_Report__2[[#This Row],[OrderQty]]</f>
        <v>4275</v>
      </c>
      <c r="BE279" s="1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79" s="1">
        <f>MarketPlace_Order_Report__2[[#This Row],[Gross Amount (Before Tax)]]+MarketPlace_Order_Report__2[[#This Row],[Total GST Amount]]</f>
        <v>4927.1189999999997</v>
      </c>
    </row>
    <row r="280" spans="1:58">
      <c r="A280" t="s">
        <v>1725</v>
      </c>
      <c r="B280" t="s">
        <v>1726</v>
      </c>
      <c r="C280" t="s">
        <v>1719</v>
      </c>
      <c r="D280" t="s">
        <v>1720</v>
      </c>
      <c r="E280">
        <v>2</v>
      </c>
      <c r="F280" t="s">
        <v>145</v>
      </c>
      <c r="G280">
        <v>1</v>
      </c>
      <c r="H280">
        <v>0</v>
      </c>
      <c r="I280">
        <v>4500</v>
      </c>
      <c r="J280">
        <v>4275</v>
      </c>
      <c r="K280">
        <v>0</v>
      </c>
      <c r="L280">
        <v>4312.8500000000004</v>
      </c>
      <c r="M280">
        <v>37.85</v>
      </c>
      <c r="N280" t="s">
        <v>99</v>
      </c>
      <c r="O280" s="2">
        <v>45948.78800925926</v>
      </c>
      <c r="P280" s="2"/>
      <c r="Q280" s="2"/>
      <c r="R280" t="s">
        <v>66</v>
      </c>
      <c r="S280" t="s">
        <v>65</v>
      </c>
      <c r="T280" s="2"/>
      <c r="U280" t="s">
        <v>147</v>
      </c>
      <c r="V280" t="s">
        <v>67</v>
      </c>
      <c r="W280" t="s">
        <v>66</v>
      </c>
      <c r="X280" t="s">
        <v>66</v>
      </c>
      <c r="Y280" t="s">
        <v>66</v>
      </c>
      <c r="Z280" t="s">
        <v>66</v>
      </c>
      <c r="AA280" t="s">
        <v>66</v>
      </c>
      <c r="AB280" t="s">
        <v>66</v>
      </c>
      <c r="AC280" t="s">
        <v>66</v>
      </c>
      <c r="AD280" s="2">
        <v>45948.79383101852</v>
      </c>
      <c r="AE280" t="s">
        <v>71</v>
      </c>
      <c r="AF280" t="s">
        <v>66</v>
      </c>
      <c r="AG280" t="s">
        <v>90</v>
      </c>
      <c r="AH280" t="s">
        <v>91</v>
      </c>
      <c r="AI280">
        <v>560049</v>
      </c>
      <c r="AJ280" t="s">
        <v>74</v>
      </c>
      <c r="AK280" t="s">
        <v>75</v>
      </c>
      <c r="AL280">
        <v>62044220</v>
      </c>
      <c r="AM280" s="2">
        <v>45948.79383101852</v>
      </c>
      <c r="AN280">
        <v>4275</v>
      </c>
      <c r="AO280" t="s">
        <v>66</v>
      </c>
      <c r="AP280" t="s">
        <v>451</v>
      </c>
      <c r="AQ280" t="s">
        <v>66</v>
      </c>
      <c r="AR280" t="s">
        <v>71</v>
      </c>
      <c r="AS280">
        <v>18</v>
      </c>
      <c r="AT280">
        <v>0</v>
      </c>
      <c r="AU280">
        <v>0</v>
      </c>
      <c r="AV280">
        <v>18</v>
      </c>
      <c r="AW280">
        <v>652.11900000000003</v>
      </c>
      <c r="AX280">
        <v>0</v>
      </c>
      <c r="AY280">
        <v>0</v>
      </c>
      <c r="AZ280">
        <v>652.11900000000003</v>
      </c>
      <c r="BA280" s="2"/>
      <c r="BC280" s="2">
        <v>45951.5</v>
      </c>
      <c r="BD280" s="1">
        <f>MarketPlace_Order_Report__2[[#This Row],[UnitPrice]]*MarketPlace_Order_Report__2[[#This Row],[OrderQty]]</f>
        <v>4275</v>
      </c>
      <c r="BE280" s="1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80" s="1">
        <f>MarketPlace_Order_Report__2[[#This Row],[Gross Amount (Before Tax)]]+MarketPlace_Order_Report__2[[#This Row],[Total GST Amount]]</f>
        <v>4927.1189999999997</v>
      </c>
    </row>
    <row r="281" spans="1:58">
      <c r="A281" t="s">
        <v>1727</v>
      </c>
      <c r="B281" t="s">
        <v>1728</v>
      </c>
      <c r="C281" t="s">
        <v>1729</v>
      </c>
      <c r="D281" t="s">
        <v>1730</v>
      </c>
      <c r="E281">
        <v>6</v>
      </c>
      <c r="F281" t="s">
        <v>107</v>
      </c>
      <c r="G281">
        <v>1</v>
      </c>
      <c r="H281">
        <v>1</v>
      </c>
      <c r="I281">
        <v>4500</v>
      </c>
      <c r="J281">
        <v>4275</v>
      </c>
      <c r="K281">
        <v>0</v>
      </c>
      <c r="L281">
        <v>4275</v>
      </c>
      <c r="M281">
        <v>0</v>
      </c>
      <c r="N281" t="s">
        <v>63</v>
      </c>
      <c r="O281" s="2">
        <v>45959.667511574073</v>
      </c>
      <c r="P281" s="2">
        <v>45960.729016203702</v>
      </c>
      <c r="Q281" s="2"/>
      <c r="R281" t="s">
        <v>1731</v>
      </c>
      <c r="S281" t="s">
        <v>65</v>
      </c>
      <c r="T281" s="2">
        <v>45959.790451388886</v>
      </c>
      <c r="U281" t="s">
        <v>66</v>
      </c>
      <c r="V281" t="s">
        <v>67</v>
      </c>
      <c r="W281" t="s">
        <v>66</v>
      </c>
      <c r="X281" t="s">
        <v>66</v>
      </c>
      <c r="Y281" t="s">
        <v>66</v>
      </c>
      <c r="Z281" t="s">
        <v>66</v>
      </c>
      <c r="AA281" t="s">
        <v>66</v>
      </c>
      <c r="AB281" t="s">
        <v>66</v>
      </c>
      <c r="AC281" t="s">
        <v>66</v>
      </c>
      <c r="AD281" s="2">
        <v>45961.40697916667</v>
      </c>
      <c r="AE281" t="s">
        <v>71</v>
      </c>
      <c r="AF281" t="s">
        <v>66</v>
      </c>
      <c r="AG281" t="s">
        <v>588</v>
      </c>
      <c r="AH281" t="s">
        <v>440</v>
      </c>
      <c r="AI281">
        <v>122004</v>
      </c>
      <c r="AJ281" t="s">
        <v>74</v>
      </c>
      <c r="AK281" t="s">
        <v>75</v>
      </c>
      <c r="AL281">
        <v>62044220</v>
      </c>
      <c r="AM281" s="2"/>
      <c r="AN281">
        <v>4275</v>
      </c>
      <c r="AO281" t="s">
        <v>1732</v>
      </c>
      <c r="AP281" t="s">
        <v>158</v>
      </c>
      <c r="AQ281" t="s">
        <v>66</v>
      </c>
      <c r="AR281" t="s">
        <v>71</v>
      </c>
      <c r="AS281">
        <v>18</v>
      </c>
      <c r="AT281">
        <v>0</v>
      </c>
      <c r="AU281">
        <v>0</v>
      </c>
      <c r="AV281">
        <v>18</v>
      </c>
      <c r="AW281">
        <v>652.11900000000003</v>
      </c>
      <c r="AX281">
        <v>0</v>
      </c>
      <c r="AY281">
        <v>0</v>
      </c>
      <c r="AZ281">
        <v>652.11900000000003</v>
      </c>
      <c r="BA281" s="2"/>
      <c r="BB281">
        <v>0.85</v>
      </c>
      <c r="BC281" s="2">
        <v>45962.5</v>
      </c>
      <c r="BD281" s="1">
        <f>MarketPlace_Order_Report__2[[#This Row],[UnitPrice]]*MarketPlace_Order_Report__2[[#This Row],[OrderQty]]</f>
        <v>4275</v>
      </c>
      <c r="BE281" s="1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81" s="1">
        <f>MarketPlace_Order_Report__2[[#This Row],[Gross Amount (Before Tax)]]+MarketPlace_Order_Report__2[[#This Row],[Total GST Amount]]</f>
        <v>4927.1189999999997</v>
      </c>
    </row>
    <row r="282" spans="1:58">
      <c r="A282" t="s">
        <v>1733</v>
      </c>
      <c r="B282" t="s">
        <v>1734</v>
      </c>
      <c r="C282" t="s">
        <v>1735</v>
      </c>
      <c r="D282" t="s">
        <v>1736</v>
      </c>
      <c r="E282">
        <v>1</v>
      </c>
      <c r="F282" t="s">
        <v>1806</v>
      </c>
      <c r="G282">
        <v>1</v>
      </c>
      <c r="H282">
        <v>1</v>
      </c>
      <c r="I282">
        <v>4500</v>
      </c>
      <c r="J282">
        <v>4275</v>
      </c>
      <c r="K282">
        <v>0</v>
      </c>
      <c r="L282">
        <v>4304</v>
      </c>
      <c r="M282">
        <v>29</v>
      </c>
      <c r="N282" t="s">
        <v>63</v>
      </c>
      <c r="O282" s="2">
        <v>45948.542141203703</v>
      </c>
      <c r="P282" s="2">
        <v>45954.732094907406</v>
      </c>
      <c r="Q282" s="2">
        <v>45957.456990740742</v>
      </c>
      <c r="R282" t="s">
        <v>1737</v>
      </c>
      <c r="S282" t="s">
        <v>65</v>
      </c>
      <c r="T282" s="2">
        <v>45948.802071759259</v>
      </c>
      <c r="U282" t="s">
        <v>66</v>
      </c>
      <c r="V282" t="s">
        <v>67</v>
      </c>
      <c r="W282" t="s">
        <v>66</v>
      </c>
      <c r="X282" t="s">
        <v>66</v>
      </c>
      <c r="Y282" t="s">
        <v>66</v>
      </c>
      <c r="Z282" t="s">
        <v>66</v>
      </c>
      <c r="AA282" t="s">
        <v>66</v>
      </c>
      <c r="AB282" t="s">
        <v>66</v>
      </c>
      <c r="AC282" t="s">
        <v>66</v>
      </c>
      <c r="AD282" s="2">
        <v>45957.479837962965</v>
      </c>
      <c r="AE282" t="s">
        <v>71</v>
      </c>
      <c r="AF282" t="s">
        <v>66</v>
      </c>
      <c r="AG282" t="s">
        <v>1738</v>
      </c>
      <c r="AH282" t="s">
        <v>91</v>
      </c>
      <c r="AI282">
        <v>577204</v>
      </c>
      <c r="AJ282" t="s">
        <v>74</v>
      </c>
      <c r="AK282" t="s">
        <v>75</v>
      </c>
      <c r="AL282">
        <v>62044220</v>
      </c>
      <c r="AM282" s="2"/>
      <c r="AN282">
        <v>4275</v>
      </c>
      <c r="AO282" t="s">
        <v>1739</v>
      </c>
      <c r="AP282" t="s">
        <v>66</v>
      </c>
      <c r="AQ282" t="s">
        <v>66</v>
      </c>
      <c r="AR282" t="s">
        <v>71</v>
      </c>
      <c r="AS282">
        <v>18</v>
      </c>
      <c r="AT282">
        <v>0</v>
      </c>
      <c r="AU282">
        <v>0</v>
      </c>
      <c r="AV282">
        <v>18</v>
      </c>
      <c r="AW282">
        <v>652.11900000000003</v>
      </c>
      <c r="AX282">
        <v>0</v>
      </c>
      <c r="AY282">
        <v>0</v>
      </c>
      <c r="AZ282">
        <v>652.11900000000003</v>
      </c>
      <c r="BA282" s="2"/>
      <c r="BB282">
        <v>0.85</v>
      </c>
      <c r="BC282" s="2">
        <v>45951.5</v>
      </c>
      <c r="BD282" s="1">
        <f>MarketPlace_Order_Report__2[[#This Row],[UnitPrice]]*MarketPlace_Order_Report__2[[#This Row],[OrderQty]]</f>
        <v>4275</v>
      </c>
      <c r="BE282" s="1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82" s="1">
        <f>MarketPlace_Order_Report__2[[#This Row],[Gross Amount (Before Tax)]]+MarketPlace_Order_Report__2[[#This Row],[Total GST Amount]]</f>
        <v>4927.1189999999997</v>
      </c>
    </row>
    <row r="283" spans="1:58">
      <c r="A283" t="s">
        <v>1740</v>
      </c>
      <c r="B283" t="s">
        <v>1741</v>
      </c>
      <c r="C283" t="s">
        <v>1735</v>
      </c>
      <c r="D283" t="s">
        <v>1736</v>
      </c>
      <c r="E283">
        <v>1</v>
      </c>
      <c r="F283" t="s">
        <v>1806</v>
      </c>
      <c r="G283">
        <v>1</v>
      </c>
      <c r="H283">
        <v>1</v>
      </c>
      <c r="I283">
        <v>4000</v>
      </c>
      <c r="J283">
        <v>3800</v>
      </c>
      <c r="K283">
        <v>0</v>
      </c>
      <c r="L283">
        <v>3829</v>
      </c>
      <c r="M283">
        <v>29</v>
      </c>
      <c r="N283" t="s">
        <v>63</v>
      </c>
      <c r="O283" s="2">
        <v>45942.592499999999</v>
      </c>
      <c r="P283" s="2">
        <v>45943.761747685188</v>
      </c>
      <c r="Q283" s="2">
        <v>45946.694791666669</v>
      </c>
      <c r="R283" t="s">
        <v>1742</v>
      </c>
      <c r="S283" t="s">
        <v>65</v>
      </c>
      <c r="T283" s="2">
        <v>45942.661412037036</v>
      </c>
      <c r="U283" t="s">
        <v>66</v>
      </c>
      <c r="V283" t="s">
        <v>67</v>
      </c>
      <c r="W283" t="s">
        <v>66</v>
      </c>
      <c r="X283" t="s">
        <v>66</v>
      </c>
      <c r="Y283" t="s">
        <v>66</v>
      </c>
      <c r="Z283" t="s">
        <v>66</v>
      </c>
      <c r="AA283" t="s">
        <v>66</v>
      </c>
      <c r="AB283" t="s">
        <v>66</v>
      </c>
      <c r="AC283" t="s">
        <v>66</v>
      </c>
      <c r="AD283" s="2">
        <v>45946.695092592592</v>
      </c>
      <c r="AE283" t="s">
        <v>71</v>
      </c>
      <c r="AF283" t="s">
        <v>66</v>
      </c>
      <c r="AG283" t="s">
        <v>439</v>
      </c>
      <c r="AH283" t="s">
        <v>440</v>
      </c>
      <c r="AI283">
        <v>122017</v>
      </c>
      <c r="AJ283" t="s">
        <v>74</v>
      </c>
      <c r="AK283" t="s">
        <v>75</v>
      </c>
      <c r="AL283">
        <v>62044220</v>
      </c>
      <c r="AM283" s="2"/>
      <c r="AN283">
        <v>3800</v>
      </c>
      <c r="AO283" t="s">
        <v>1743</v>
      </c>
      <c r="AP283" t="s">
        <v>243</v>
      </c>
      <c r="AQ283" t="s">
        <v>66</v>
      </c>
      <c r="AR283" t="s">
        <v>71</v>
      </c>
      <c r="AS283">
        <v>18</v>
      </c>
      <c r="AT283">
        <v>0</v>
      </c>
      <c r="AU283">
        <v>0</v>
      </c>
      <c r="AV283">
        <v>18</v>
      </c>
      <c r="AW283">
        <v>579.66099999999994</v>
      </c>
      <c r="AX283">
        <v>0</v>
      </c>
      <c r="AY283">
        <v>0</v>
      </c>
      <c r="AZ283">
        <v>579.66099999999994</v>
      </c>
      <c r="BA283" s="2"/>
      <c r="BB283">
        <v>0.85</v>
      </c>
      <c r="BC283" s="2">
        <v>45945.5</v>
      </c>
      <c r="BD283" s="1">
        <f>MarketPlace_Order_Report__2[[#This Row],[UnitPrice]]*MarketPlace_Order_Report__2[[#This Row],[OrderQty]]</f>
        <v>3800</v>
      </c>
      <c r="BE283" s="1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BF283" s="1">
        <f>MarketPlace_Order_Report__2[[#This Row],[Gross Amount (Before Tax)]]+MarketPlace_Order_Report__2[[#This Row],[Total GST Amount]]</f>
        <v>4379.6610000000001</v>
      </c>
    </row>
    <row r="284" spans="1:58">
      <c r="A284" t="s">
        <v>1744</v>
      </c>
      <c r="B284" t="s">
        <v>1745</v>
      </c>
      <c r="C284" t="s">
        <v>1746</v>
      </c>
      <c r="D284" t="s">
        <v>1747</v>
      </c>
      <c r="E284">
        <v>3</v>
      </c>
      <c r="F284" t="s">
        <v>1806</v>
      </c>
      <c r="G284">
        <v>1</v>
      </c>
      <c r="H284">
        <v>1</v>
      </c>
      <c r="I284">
        <v>4500</v>
      </c>
      <c r="J284">
        <v>4275</v>
      </c>
      <c r="K284">
        <v>0</v>
      </c>
      <c r="L284">
        <v>4287.08</v>
      </c>
      <c r="M284">
        <v>12.08</v>
      </c>
      <c r="N284" t="s">
        <v>63</v>
      </c>
      <c r="O284" s="2">
        <v>45957.880682870367</v>
      </c>
      <c r="P284" s="2">
        <v>45958.715613425928</v>
      </c>
      <c r="Q284" s="2">
        <v>45960.500127314815</v>
      </c>
      <c r="R284" t="s">
        <v>1748</v>
      </c>
      <c r="S284" t="s">
        <v>161</v>
      </c>
      <c r="T284" s="2">
        <v>45958.543136574073</v>
      </c>
      <c r="U284" t="s">
        <v>66</v>
      </c>
      <c r="V284" t="s">
        <v>67</v>
      </c>
      <c r="W284" t="s">
        <v>66</v>
      </c>
      <c r="X284" t="s">
        <v>66</v>
      </c>
      <c r="Y284" t="s">
        <v>66</v>
      </c>
      <c r="Z284" t="s">
        <v>66</v>
      </c>
      <c r="AA284" t="s">
        <v>66</v>
      </c>
      <c r="AB284" t="s">
        <v>66</v>
      </c>
      <c r="AC284" t="s">
        <v>66</v>
      </c>
      <c r="AD284" s="2">
        <v>45960.500763888886</v>
      </c>
      <c r="AE284" t="s">
        <v>71</v>
      </c>
      <c r="AF284" t="s">
        <v>66</v>
      </c>
      <c r="AG284" t="s">
        <v>300</v>
      </c>
      <c r="AH284" t="s">
        <v>123</v>
      </c>
      <c r="AI284">
        <v>411013</v>
      </c>
      <c r="AJ284" t="s">
        <v>74</v>
      </c>
      <c r="AK284" t="s">
        <v>75</v>
      </c>
      <c r="AL284">
        <v>62044220</v>
      </c>
      <c r="AM284" s="2"/>
      <c r="AN284">
        <v>4275</v>
      </c>
      <c r="AO284" t="s">
        <v>1749</v>
      </c>
      <c r="AP284" t="s">
        <v>288</v>
      </c>
      <c r="AQ284" t="s">
        <v>66</v>
      </c>
      <c r="AR284" t="s">
        <v>71</v>
      </c>
      <c r="AS284">
        <v>18</v>
      </c>
      <c r="AT284">
        <v>9</v>
      </c>
      <c r="AU284">
        <v>9</v>
      </c>
      <c r="AV284">
        <v>0</v>
      </c>
      <c r="AW284">
        <v>652.11900000000003</v>
      </c>
      <c r="AX284">
        <v>326.06</v>
      </c>
      <c r="AY284">
        <v>326.06</v>
      </c>
      <c r="AZ284">
        <v>0</v>
      </c>
      <c r="BA284" s="2"/>
      <c r="BB284">
        <v>0.85</v>
      </c>
      <c r="BC284" s="2">
        <v>45960.5</v>
      </c>
      <c r="BD284" s="1">
        <f>MarketPlace_Order_Report__2[[#This Row],[UnitPrice]]*MarketPlace_Order_Report__2[[#This Row],[OrderQty]]</f>
        <v>4275</v>
      </c>
      <c r="BE284" s="1">
        <f>IFERROR(MarketPlace_Order_Report__2[[#This Row],[CGSTAmount]]+MarketPlace_Order_Report__2[[#This Row],[SGSTAmount]]+MarketPlace_Order_Report__2[[#This Row],[IGSTAmount]],MarketPlace_Order_Report__2[[#This Row],[TaxAmount]])</f>
        <v>652.12</v>
      </c>
      <c r="BF284" s="1">
        <f>MarketPlace_Order_Report__2[[#This Row],[Gross Amount (Before Tax)]]+MarketPlace_Order_Report__2[[#This Row],[Total GST Amount]]</f>
        <v>4927.12</v>
      </c>
    </row>
    <row r="285" spans="1:58">
      <c r="A285" t="s">
        <v>1750</v>
      </c>
      <c r="B285" t="s">
        <v>1751</v>
      </c>
      <c r="C285" t="s">
        <v>1746</v>
      </c>
      <c r="D285" t="s">
        <v>1747</v>
      </c>
      <c r="E285">
        <v>1</v>
      </c>
      <c r="F285" t="s">
        <v>1806</v>
      </c>
      <c r="G285">
        <v>1</v>
      </c>
      <c r="H285">
        <v>1</v>
      </c>
      <c r="I285">
        <v>4000</v>
      </c>
      <c r="J285">
        <v>3600</v>
      </c>
      <c r="K285">
        <v>0</v>
      </c>
      <c r="L285">
        <v>3635.28</v>
      </c>
      <c r="M285">
        <v>35.28</v>
      </c>
      <c r="N285" t="s">
        <v>99</v>
      </c>
      <c r="O285" s="2">
        <v>45938.92224537037</v>
      </c>
      <c r="P285" s="2">
        <v>45940.731365740743</v>
      </c>
      <c r="Q285" s="2">
        <v>45943.686921296299</v>
      </c>
      <c r="R285" t="s">
        <v>1752</v>
      </c>
      <c r="S285" t="s">
        <v>65</v>
      </c>
      <c r="T285" s="2">
        <v>45939.786319444444</v>
      </c>
      <c r="U285" t="s">
        <v>66</v>
      </c>
      <c r="V285" t="s">
        <v>67</v>
      </c>
      <c r="W285" t="s">
        <v>66</v>
      </c>
      <c r="X285" t="s">
        <v>66</v>
      </c>
      <c r="Y285" t="s">
        <v>66</v>
      </c>
      <c r="Z285" t="s">
        <v>66</v>
      </c>
      <c r="AA285" t="s">
        <v>66</v>
      </c>
      <c r="AB285" t="s">
        <v>66</v>
      </c>
      <c r="AC285" t="s">
        <v>66</v>
      </c>
      <c r="AD285" s="2">
        <v>45943.688645833332</v>
      </c>
      <c r="AE285" t="s">
        <v>71</v>
      </c>
      <c r="AF285" t="s">
        <v>66</v>
      </c>
      <c r="AG285" t="s">
        <v>1753</v>
      </c>
      <c r="AH285" t="s">
        <v>251</v>
      </c>
      <c r="AI285">
        <v>625002</v>
      </c>
      <c r="AJ285" t="s">
        <v>74</v>
      </c>
      <c r="AK285" t="s">
        <v>75</v>
      </c>
      <c r="AL285">
        <v>62044220</v>
      </c>
      <c r="AM285" s="2"/>
      <c r="AN285">
        <v>3600</v>
      </c>
      <c r="AO285" t="s">
        <v>1754</v>
      </c>
      <c r="AP285" t="s">
        <v>806</v>
      </c>
      <c r="AQ285" t="s">
        <v>66</v>
      </c>
      <c r="AR285" t="s">
        <v>71</v>
      </c>
      <c r="AS285">
        <v>18</v>
      </c>
      <c r="AT285">
        <v>0</v>
      </c>
      <c r="AU285">
        <v>0</v>
      </c>
      <c r="AV285">
        <v>18</v>
      </c>
      <c r="AW285">
        <v>549.15300000000002</v>
      </c>
      <c r="AX285">
        <v>0</v>
      </c>
      <c r="AY285">
        <v>0</v>
      </c>
      <c r="AZ285">
        <v>549.15300000000002</v>
      </c>
      <c r="BA285" s="2"/>
      <c r="BB285">
        <v>0.85</v>
      </c>
      <c r="BC285" s="2">
        <v>45941.5</v>
      </c>
      <c r="BD285" s="1">
        <f>MarketPlace_Order_Report__2[[#This Row],[UnitPrice]]*MarketPlace_Order_Report__2[[#This Row],[OrderQty]]</f>
        <v>3600</v>
      </c>
      <c r="BE285" s="1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BF285" s="1">
        <f>MarketPlace_Order_Report__2[[#This Row],[Gross Amount (Before Tax)]]+MarketPlace_Order_Report__2[[#This Row],[Total GST Amount]]</f>
        <v>4149.1530000000002</v>
      </c>
    </row>
    <row r="286" spans="1:58">
      <c r="A286" t="s">
        <v>1755</v>
      </c>
      <c r="B286" t="s">
        <v>1756</v>
      </c>
      <c r="C286" t="s">
        <v>1757</v>
      </c>
      <c r="D286" t="s">
        <v>1758</v>
      </c>
      <c r="E286">
        <v>1</v>
      </c>
      <c r="F286" t="s">
        <v>1806</v>
      </c>
      <c r="G286">
        <v>1</v>
      </c>
      <c r="H286">
        <v>1</v>
      </c>
      <c r="I286">
        <v>4500</v>
      </c>
      <c r="J286">
        <v>4275</v>
      </c>
      <c r="K286">
        <v>0</v>
      </c>
      <c r="L286">
        <v>4324</v>
      </c>
      <c r="M286">
        <v>49</v>
      </c>
      <c r="N286" t="s">
        <v>99</v>
      </c>
      <c r="O286" s="2">
        <v>45944.022615740738</v>
      </c>
      <c r="P286" s="2">
        <v>45945.758460648147</v>
      </c>
      <c r="Q286" s="2">
        <v>45948.781423611108</v>
      </c>
      <c r="R286" t="s">
        <v>1759</v>
      </c>
      <c r="S286" t="s">
        <v>65</v>
      </c>
      <c r="T286" s="2">
        <v>45944.808067129627</v>
      </c>
      <c r="U286" t="s">
        <v>66</v>
      </c>
      <c r="V286" t="s">
        <v>67</v>
      </c>
      <c r="W286" t="s">
        <v>66</v>
      </c>
      <c r="X286" t="s">
        <v>66</v>
      </c>
      <c r="Y286" t="s">
        <v>66</v>
      </c>
      <c r="Z286" t="s">
        <v>66</v>
      </c>
      <c r="AA286" t="s">
        <v>66</v>
      </c>
      <c r="AB286" t="s">
        <v>66</v>
      </c>
      <c r="AC286" t="s">
        <v>66</v>
      </c>
      <c r="AD286" s="2">
        <v>45948.782129629632</v>
      </c>
      <c r="AE286" t="s">
        <v>71</v>
      </c>
      <c r="AF286" t="s">
        <v>66</v>
      </c>
      <c r="AG286" t="s">
        <v>1760</v>
      </c>
      <c r="AH286" t="s">
        <v>569</v>
      </c>
      <c r="AI286">
        <v>751024</v>
      </c>
      <c r="AJ286" t="s">
        <v>74</v>
      </c>
      <c r="AK286" t="s">
        <v>75</v>
      </c>
      <c r="AL286">
        <v>62044220</v>
      </c>
      <c r="AM286" s="2"/>
      <c r="AN286">
        <v>4275</v>
      </c>
      <c r="AO286" t="s">
        <v>1761</v>
      </c>
      <c r="AP286" t="s">
        <v>132</v>
      </c>
      <c r="AQ286" t="s">
        <v>66</v>
      </c>
      <c r="AR286" t="s">
        <v>71</v>
      </c>
      <c r="AS286">
        <v>18</v>
      </c>
      <c r="AT286">
        <v>0</v>
      </c>
      <c r="AU286">
        <v>0</v>
      </c>
      <c r="AV286">
        <v>18</v>
      </c>
      <c r="AW286">
        <v>652.11900000000003</v>
      </c>
      <c r="AX286">
        <v>0</v>
      </c>
      <c r="AY286">
        <v>0</v>
      </c>
      <c r="AZ286">
        <v>652.11900000000003</v>
      </c>
      <c r="BA286" s="2"/>
      <c r="BB286">
        <v>0.85</v>
      </c>
      <c r="BC286" s="2">
        <v>45946.5</v>
      </c>
      <c r="BD286" s="1">
        <f>MarketPlace_Order_Report__2[[#This Row],[UnitPrice]]*MarketPlace_Order_Report__2[[#This Row],[OrderQty]]</f>
        <v>4275</v>
      </c>
      <c r="BE286" s="1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86" s="1">
        <f>MarketPlace_Order_Report__2[[#This Row],[Gross Amount (Before Tax)]]+MarketPlace_Order_Report__2[[#This Row],[Total GST Amount]]</f>
        <v>4927.1189999999997</v>
      </c>
    </row>
    <row r="287" spans="1:58">
      <c r="A287" t="s">
        <v>1762</v>
      </c>
      <c r="B287" t="s">
        <v>1763</v>
      </c>
      <c r="C287" t="s">
        <v>1764</v>
      </c>
      <c r="D287" t="s">
        <v>1765</v>
      </c>
      <c r="E287">
        <v>1</v>
      </c>
      <c r="F287" t="s">
        <v>62</v>
      </c>
      <c r="G287">
        <v>1</v>
      </c>
      <c r="H287">
        <v>1</v>
      </c>
      <c r="I287">
        <v>4500</v>
      </c>
      <c r="J287">
        <v>4275</v>
      </c>
      <c r="K287">
        <v>0</v>
      </c>
      <c r="L287">
        <v>4324</v>
      </c>
      <c r="M287">
        <v>49</v>
      </c>
      <c r="N287" t="s">
        <v>99</v>
      </c>
      <c r="O287" s="2">
        <v>45943.389768518522</v>
      </c>
      <c r="P287" s="2">
        <v>45944.736400462964</v>
      </c>
      <c r="Q287" s="2">
        <v>45948.659629629627</v>
      </c>
      <c r="R287" t="s">
        <v>1766</v>
      </c>
      <c r="S287" t="s">
        <v>65</v>
      </c>
      <c r="T287" s="2">
        <v>45943.814467592594</v>
      </c>
      <c r="U287" t="s">
        <v>66</v>
      </c>
      <c r="V287" t="s">
        <v>67</v>
      </c>
      <c r="W287" t="s">
        <v>66</v>
      </c>
      <c r="X287" t="s">
        <v>66</v>
      </c>
      <c r="Y287" t="s">
        <v>1767</v>
      </c>
      <c r="Z287" t="s">
        <v>69</v>
      </c>
      <c r="AA287" t="s">
        <v>70</v>
      </c>
      <c r="AB287" t="s">
        <v>66</v>
      </c>
      <c r="AC287" t="s">
        <v>66</v>
      </c>
      <c r="AD287" s="2">
        <v>45960.761319444442</v>
      </c>
      <c r="AE287" t="s">
        <v>71</v>
      </c>
      <c r="AF287" t="s">
        <v>66</v>
      </c>
      <c r="AG287" t="s">
        <v>1768</v>
      </c>
      <c r="AH287" t="s">
        <v>73</v>
      </c>
      <c r="AI287">
        <v>325220</v>
      </c>
      <c r="AJ287" t="s">
        <v>74</v>
      </c>
      <c r="AK287" t="s">
        <v>75</v>
      </c>
      <c r="AL287">
        <v>62044220</v>
      </c>
      <c r="AM287" s="2"/>
      <c r="AN287">
        <v>4275</v>
      </c>
      <c r="AO287" t="s">
        <v>1769</v>
      </c>
      <c r="AP287" t="s">
        <v>132</v>
      </c>
      <c r="AQ287" t="s">
        <v>66</v>
      </c>
      <c r="AR287" t="s">
        <v>71</v>
      </c>
      <c r="AS287">
        <v>18</v>
      </c>
      <c r="AT287">
        <v>0</v>
      </c>
      <c r="AU287">
        <v>0</v>
      </c>
      <c r="AV287">
        <v>18</v>
      </c>
      <c r="AW287">
        <v>652.11900000000003</v>
      </c>
      <c r="AX287">
        <v>0</v>
      </c>
      <c r="AY287">
        <v>0</v>
      </c>
      <c r="AZ287">
        <v>652.11900000000003</v>
      </c>
      <c r="BA287" s="2"/>
      <c r="BB287">
        <v>0.85</v>
      </c>
      <c r="BC287" s="2">
        <v>45945.5</v>
      </c>
      <c r="BD287" s="1">
        <f>MarketPlace_Order_Report__2[[#This Row],[UnitPrice]]*MarketPlace_Order_Report__2[[#This Row],[OrderQty]]</f>
        <v>4275</v>
      </c>
      <c r="BE287" s="1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87" s="1">
        <f>MarketPlace_Order_Report__2[[#This Row],[Gross Amount (Before Tax)]]+MarketPlace_Order_Report__2[[#This Row],[Total GST Amount]]</f>
        <v>4927.1189999999997</v>
      </c>
    </row>
    <row r="288" spans="1:58">
      <c r="A288" t="s">
        <v>1770</v>
      </c>
      <c r="B288" t="s">
        <v>1771</v>
      </c>
      <c r="C288" t="s">
        <v>1772</v>
      </c>
      <c r="D288" t="s">
        <v>1773</v>
      </c>
      <c r="E288">
        <v>1</v>
      </c>
      <c r="F288" t="s">
        <v>145</v>
      </c>
      <c r="G288">
        <v>1</v>
      </c>
      <c r="H288">
        <v>0</v>
      </c>
      <c r="I288">
        <v>4500</v>
      </c>
      <c r="J288">
        <v>4275</v>
      </c>
      <c r="K288">
        <v>0</v>
      </c>
      <c r="L288">
        <v>4304</v>
      </c>
      <c r="M288">
        <v>29</v>
      </c>
      <c r="N288" t="s">
        <v>63</v>
      </c>
      <c r="O288" s="2">
        <v>45952.406388888892</v>
      </c>
      <c r="P288" s="2"/>
      <c r="Q288" s="2"/>
      <c r="R288" t="s">
        <v>66</v>
      </c>
      <c r="S288" t="s">
        <v>65</v>
      </c>
      <c r="T288" s="2"/>
      <c r="U288" t="s">
        <v>1206</v>
      </c>
      <c r="V288" t="s">
        <v>67</v>
      </c>
      <c r="W288" t="s">
        <v>1774</v>
      </c>
      <c r="X288" t="s">
        <v>66</v>
      </c>
      <c r="Y288" t="s">
        <v>66</v>
      </c>
      <c r="Z288" t="s">
        <v>66</v>
      </c>
      <c r="AA288" t="s">
        <v>66</v>
      </c>
      <c r="AB288" t="s">
        <v>66</v>
      </c>
      <c r="AC288" t="s">
        <v>66</v>
      </c>
      <c r="AD288" s="2">
        <v>45952.523958333331</v>
      </c>
      <c r="AE288" t="s">
        <v>71</v>
      </c>
      <c r="AF288" t="s">
        <v>66</v>
      </c>
      <c r="AG288" t="s">
        <v>222</v>
      </c>
      <c r="AH288" t="s">
        <v>73</v>
      </c>
      <c r="AI288">
        <v>302021</v>
      </c>
      <c r="AJ288" t="s">
        <v>74</v>
      </c>
      <c r="AK288" t="s">
        <v>75</v>
      </c>
      <c r="AL288">
        <v>62044220</v>
      </c>
      <c r="AM288" s="2">
        <v>45952.523958333331</v>
      </c>
      <c r="AN288">
        <v>4275</v>
      </c>
      <c r="AO288" t="s">
        <v>66</v>
      </c>
      <c r="AP288" t="s">
        <v>110</v>
      </c>
      <c r="AQ288" t="s">
        <v>325</v>
      </c>
      <c r="AR288" t="s">
        <v>326</v>
      </c>
      <c r="AS288">
        <v>18</v>
      </c>
      <c r="AT288">
        <v>0</v>
      </c>
      <c r="AU288">
        <v>0</v>
      </c>
      <c r="AV288">
        <v>18</v>
      </c>
      <c r="AW288">
        <v>652.11900000000003</v>
      </c>
      <c r="AX288">
        <v>0</v>
      </c>
      <c r="AY288">
        <v>0</v>
      </c>
      <c r="AZ288">
        <v>652.11900000000003</v>
      </c>
      <c r="BA288" s="2"/>
      <c r="BC288" s="2">
        <v>45954.5</v>
      </c>
      <c r="BD288" s="1">
        <f>MarketPlace_Order_Report__2[[#This Row],[UnitPrice]]*MarketPlace_Order_Report__2[[#This Row],[OrderQty]]</f>
        <v>4275</v>
      </c>
      <c r="BE288" s="1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88" s="1">
        <f>MarketPlace_Order_Report__2[[#This Row],[Gross Amount (Before Tax)]]+MarketPlace_Order_Report__2[[#This Row],[Total GST Amount]]</f>
        <v>4927.1189999999997</v>
      </c>
    </row>
    <row r="289" spans="1:58">
      <c r="A289" t="s">
        <v>1775</v>
      </c>
      <c r="B289" t="s">
        <v>1776</v>
      </c>
      <c r="C289" t="s">
        <v>1777</v>
      </c>
      <c r="D289" t="s">
        <v>1778</v>
      </c>
      <c r="E289">
        <v>1</v>
      </c>
      <c r="F289" t="s">
        <v>1806</v>
      </c>
      <c r="G289">
        <v>1</v>
      </c>
      <c r="H289">
        <v>1</v>
      </c>
      <c r="I289">
        <v>4500</v>
      </c>
      <c r="J289">
        <v>4275</v>
      </c>
      <c r="K289">
        <v>0</v>
      </c>
      <c r="L289">
        <v>4304</v>
      </c>
      <c r="M289">
        <v>29</v>
      </c>
      <c r="N289" t="s">
        <v>63</v>
      </c>
      <c r="O289" s="2">
        <v>45932.603981481479</v>
      </c>
      <c r="P289" s="2">
        <v>45934.720983796295</v>
      </c>
      <c r="Q289" s="2">
        <v>45938.794942129629</v>
      </c>
      <c r="R289" t="s">
        <v>1779</v>
      </c>
      <c r="S289" t="s">
        <v>65</v>
      </c>
      <c r="T289" s="2">
        <v>45933.815833333334</v>
      </c>
      <c r="U289" t="s">
        <v>66</v>
      </c>
      <c r="V289" t="s">
        <v>67</v>
      </c>
      <c r="W289" t="s">
        <v>66</v>
      </c>
      <c r="X289" t="s">
        <v>66</v>
      </c>
      <c r="Y289" t="s">
        <v>66</v>
      </c>
      <c r="Z289" t="s">
        <v>66</v>
      </c>
      <c r="AA289" t="s">
        <v>66</v>
      </c>
      <c r="AB289" t="s">
        <v>66</v>
      </c>
      <c r="AC289" t="s">
        <v>66</v>
      </c>
      <c r="AD289" s="2">
        <v>45938.795960648145</v>
      </c>
      <c r="AE289" t="s">
        <v>71</v>
      </c>
      <c r="AF289" t="s">
        <v>66</v>
      </c>
      <c r="AG289" t="s">
        <v>602</v>
      </c>
      <c r="AH289" t="s">
        <v>603</v>
      </c>
      <c r="AI289">
        <v>781011</v>
      </c>
      <c r="AJ289" t="s">
        <v>74</v>
      </c>
      <c r="AK289" t="s">
        <v>75</v>
      </c>
      <c r="AL289">
        <v>62044220</v>
      </c>
      <c r="AM289" s="2"/>
      <c r="AN289">
        <v>4275</v>
      </c>
      <c r="AO289" t="s">
        <v>1780</v>
      </c>
      <c r="AP289" t="s">
        <v>66</v>
      </c>
      <c r="AQ289" t="s">
        <v>66</v>
      </c>
      <c r="AR289" t="s">
        <v>71</v>
      </c>
      <c r="AS289">
        <v>18</v>
      </c>
      <c r="AT289">
        <v>0</v>
      </c>
      <c r="AU289">
        <v>0</v>
      </c>
      <c r="AV289">
        <v>18</v>
      </c>
      <c r="AW289">
        <v>652.11900000000003</v>
      </c>
      <c r="AX289">
        <v>0</v>
      </c>
      <c r="AY289">
        <v>0</v>
      </c>
      <c r="AZ289">
        <v>652.11900000000003</v>
      </c>
      <c r="BA289" s="2"/>
      <c r="BB289">
        <v>0.85</v>
      </c>
      <c r="BC289" s="2">
        <v>45935.5</v>
      </c>
      <c r="BD289" s="1">
        <f>MarketPlace_Order_Report__2[[#This Row],[UnitPrice]]*MarketPlace_Order_Report__2[[#This Row],[OrderQty]]</f>
        <v>4275</v>
      </c>
      <c r="BE289" s="1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89" s="1">
        <f>MarketPlace_Order_Report__2[[#This Row],[Gross Amount (Before Tax)]]+MarketPlace_Order_Report__2[[#This Row],[Total GST Amount]]</f>
        <v>4927.1189999999997</v>
      </c>
    </row>
    <row r="290" spans="1:58">
      <c r="A290" t="s">
        <v>1781</v>
      </c>
      <c r="B290" t="s">
        <v>1782</v>
      </c>
      <c r="C290" t="s">
        <v>1783</v>
      </c>
      <c r="D290" t="s">
        <v>1784</v>
      </c>
      <c r="E290">
        <v>7</v>
      </c>
      <c r="F290" t="s">
        <v>1806</v>
      </c>
      <c r="G290">
        <v>1</v>
      </c>
      <c r="H290">
        <v>1</v>
      </c>
      <c r="I290">
        <v>4500</v>
      </c>
      <c r="J290">
        <v>4275</v>
      </c>
      <c r="K290">
        <v>0</v>
      </c>
      <c r="L290">
        <v>4278.0600000000004</v>
      </c>
      <c r="M290">
        <v>3.06</v>
      </c>
      <c r="N290" t="s">
        <v>63</v>
      </c>
      <c r="O290" s="2">
        <v>45943.074988425928</v>
      </c>
      <c r="P290" s="2">
        <v>45944.73778935185</v>
      </c>
      <c r="Q290" s="2">
        <v>45946.710960648146</v>
      </c>
      <c r="R290" t="s">
        <v>1785</v>
      </c>
      <c r="S290" t="s">
        <v>65</v>
      </c>
      <c r="T290" s="2">
        <v>45943.812974537039</v>
      </c>
      <c r="U290" t="s">
        <v>66</v>
      </c>
      <c r="V290" t="s">
        <v>67</v>
      </c>
      <c r="W290" t="s">
        <v>66</v>
      </c>
      <c r="X290" t="s">
        <v>66</v>
      </c>
      <c r="Y290" t="s">
        <v>66</v>
      </c>
      <c r="Z290" t="s">
        <v>66</v>
      </c>
      <c r="AA290" t="s">
        <v>66</v>
      </c>
      <c r="AB290" t="s">
        <v>66</v>
      </c>
      <c r="AC290" t="s">
        <v>66</v>
      </c>
      <c r="AD290" s="2">
        <v>45946.712800925925</v>
      </c>
      <c r="AE290" t="s">
        <v>71</v>
      </c>
      <c r="AF290" t="s">
        <v>66</v>
      </c>
      <c r="AG290" t="s">
        <v>588</v>
      </c>
      <c r="AH290" t="s">
        <v>440</v>
      </c>
      <c r="AI290">
        <v>122002</v>
      </c>
      <c r="AJ290" t="s">
        <v>74</v>
      </c>
      <c r="AK290" t="s">
        <v>75</v>
      </c>
      <c r="AL290">
        <v>62044220</v>
      </c>
      <c r="AM290" s="2"/>
      <c r="AN290">
        <v>4275</v>
      </c>
      <c r="AO290" t="s">
        <v>1786</v>
      </c>
      <c r="AP290" t="s">
        <v>66</v>
      </c>
      <c r="AQ290" t="s">
        <v>66</v>
      </c>
      <c r="AR290" t="s">
        <v>71</v>
      </c>
      <c r="AS290">
        <v>18</v>
      </c>
      <c r="AT290">
        <v>0</v>
      </c>
      <c r="AU290">
        <v>0</v>
      </c>
      <c r="AV290">
        <v>18</v>
      </c>
      <c r="AW290">
        <v>652.11900000000003</v>
      </c>
      <c r="AX290">
        <v>0</v>
      </c>
      <c r="AY290">
        <v>0</v>
      </c>
      <c r="AZ290">
        <v>652.11900000000003</v>
      </c>
      <c r="BA290" s="2"/>
      <c r="BB290">
        <v>0.85</v>
      </c>
      <c r="BC290" s="2">
        <v>45945.5</v>
      </c>
      <c r="BD290" s="1">
        <f>MarketPlace_Order_Report__2[[#This Row],[UnitPrice]]*MarketPlace_Order_Report__2[[#This Row],[OrderQty]]</f>
        <v>4275</v>
      </c>
      <c r="BE290" s="1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90" s="1">
        <f>MarketPlace_Order_Report__2[[#This Row],[Gross Amount (Before Tax)]]+MarketPlace_Order_Report__2[[#This Row],[Total GST Amount]]</f>
        <v>4927.1189999999997</v>
      </c>
    </row>
    <row r="291" spans="1:58">
      <c r="A291" t="s">
        <v>1671</v>
      </c>
      <c r="B291" t="s">
        <v>1672</v>
      </c>
      <c r="C291" t="s">
        <v>1787</v>
      </c>
      <c r="D291" t="s">
        <v>1788</v>
      </c>
      <c r="E291">
        <v>1</v>
      </c>
      <c r="F291" t="s">
        <v>1806</v>
      </c>
      <c r="G291">
        <v>1</v>
      </c>
      <c r="H291">
        <v>1</v>
      </c>
      <c r="I291">
        <v>4500</v>
      </c>
      <c r="J291">
        <v>4275</v>
      </c>
      <c r="K291">
        <v>0</v>
      </c>
      <c r="L291">
        <v>4289.5</v>
      </c>
      <c r="M291">
        <v>14.5</v>
      </c>
      <c r="N291" t="s">
        <v>63</v>
      </c>
      <c r="O291" s="2">
        <v>45947.857627314814</v>
      </c>
      <c r="P291" s="2">
        <v>45954.73233796296</v>
      </c>
      <c r="Q291" s="2">
        <v>45958.400810185187</v>
      </c>
      <c r="R291" t="s">
        <v>1675</v>
      </c>
      <c r="S291" t="s">
        <v>65</v>
      </c>
      <c r="T291" s="2">
        <v>45948.802071759259</v>
      </c>
      <c r="U291" t="s">
        <v>66</v>
      </c>
      <c r="V291" t="s">
        <v>67</v>
      </c>
      <c r="W291" t="s">
        <v>66</v>
      </c>
      <c r="X291" t="s">
        <v>66</v>
      </c>
      <c r="Y291" t="s">
        <v>66</v>
      </c>
      <c r="Z291" t="s">
        <v>66</v>
      </c>
      <c r="AA291" t="s">
        <v>66</v>
      </c>
      <c r="AB291" t="s">
        <v>66</v>
      </c>
      <c r="AC291" t="s">
        <v>66</v>
      </c>
      <c r="AD291" s="2">
        <v>45958.403634259259</v>
      </c>
      <c r="AE291" t="s">
        <v>71</v>
      </c>
      <c r="AF291" t="s">
        <v>66</v>
      </c>
      <c r="AG291" t="s">
        <v>114</v>
      </c>
      <c r="AH291" t="s">
        <v>115</v>
      </c>
      <c r="AI291">
        <v>110075</v>
      </c>
      <c r="AJ291" t="s">
        <v>74</v>
      </c>
      <c r="AK291" t="s">
        <v>75</v>
      </c>
      <c r="AL291">
        <v>62044220</v>
      </c>
      <c r="AM291" s="2"/>
      <c r="AN291">
        <v>4275</v>
      </c>
      <c r="AO291" t="s">
        <v>1676</v>
      </c>
      <c r="AP291" t="s">
        <v>1677</v>
      </c>
      <c r="AQ291" t="s">
        <v>66</v>
      </c>
      <c r="AR291" t="s">
        <v>71</v>
      </c>
      <c r="AS291">
        <v>18</v>
      </c>
      <c r="AT291">
        <v>0</v>
      </c>
      <c r="AU291">
        <v>0</v>
      </c>
      <c r="AV291">
        <v>18</v>
      </c>
      <c r="AW291">
        <v>652.11900000000003</v>
      </c>
      <c r="AX291">
        <v>0</v>
      </c>
      <c r="AY291">
        <v>0</v>
      </c>
      <c r="AZ291">
        <v>652.11900000000003</v>
      </c>
      <c r="BA291" s="2"/>
      <c r="BB291">
        <v>1.2</v>
      </c>
      <c r="BC291" s="2">
        <v>45950.5</v>
      </c>
      <c r="BD291" s="1">
        <f>MarketPlace_Order_Report__2[[#This Row],[UnitPrice]]*MarketPlace_Order_Report__2[[#This Row],[OrderQty]]</f>
        <v>4275</v>
      </c>
      <c r="BE291" s="1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91" s="1">
        <f>MarketPlace_Order_Report__2[[#This Row],[Gross Amount (Before Tax)]]+MarketPlace_Order_Report__2[[#This Row],[Total GST Amount]]</f>
        <v>4927.1189999999997</v>
      </c>
    </row>
    <row r="292" spans="1:58">
      <c r="A292" t="s">
        <v>1789</v>
      </c>
      <c r="B292" t="s">
        <v>1790</v>
      </c>
      <c r="C292" t="s">
        <v>1791</v>
      </c>
      <c r="D292" t="s">
        <v>1792</v>
      </c>
      <c r="E292">
        <v>2</v>
      </c>
      <c r="F292" t="s">
        <v>1806</v>
      </c>
      <c r="G292">
        <v>1</v>
      </c>
      <c r="H292">
        <v>1</v>
      </c>
      <c r="I292">
        <v>4500</v>
      </c>
      <c r="J292">
        <v>4275</v>
      </c>
      <c r="K292">
        <v>0</v>
      </c>
      <c r="L292">
        <v>4291.6499999999996</v>
      </c>
      <c r="M292">
        <v>16.649999999999999</v>
      </c>
      <c r="N292" t="s">
        <v>63</v>
      </c>
      <c r="O292" s="2">
        <v>45943.483263888891</v>
      </c>
      <c r="P292" s="2">
        <v>45944.742418981485</v>
      </c>
      <c r="Q292" s="2">
        <v>45948.487314814818</v>
      </c>
      <c r="R292" t="s">
        <v>1793</v>
      </c>
      <c r="S292" t="s">
        <v>65</v>
      </c>
      <c r="T292" s="2">
        <v>45943.813715277778</v>
      </c>
      <c r="U292" t="s">
        <v>66</v>
      </c>
      <c r="V292" t="s">
        <v>67</v>
      </c>
      <c r="W292" t="s">
        <v>66</v>
      </c>
      <c r="X292" t="s">
        <v>66</v>
      </c>
      <c r="Y292" t="s">
        <v>66</v>
      </c>
      <c r="Z292" t="s">
        <v>66</v>
      </c>
      <c r="AA292" t="s">
        <v>66</v>
      </c>
      <c r="AB292" t="s">
        <v>66</v>
      </c>
      <c r="AC292" t="s">
        <v>66</v>
      </c>
      <c r="AD292" s="2">
        <v>45948.490358796298</v>
      </c>
      <c r="AE292" t="s">
        <v>71</v>
      </c>
      <c r="AF292" t="s">
        <v>66</v>
      </c>
      <c r="AG292" t="s">
        <v>90</v>
      </c>
      <c r="AH292" t="s">
        <v>91</v>
      </c>
      <c r="AI292">
        <v>560103</v>
      </c>
      <c r="AJ292" t="s">
        <v>74</v>
      </c>
      <c r="AK292" t="s">
        <v>75</v>
      </c>
      <c r="AL292">
        <v>62044220</v>
      </c>
      <c r="AM292" s="2"/>
      <c r="AN292">
        <v>4275</v>
      </c>
      <c r="AO292" t="s">
        <v>1794</v>
      </c>
      <c r="AP292" t="s">
        <v>353</v>
      </c>
      <c r="AQ292" t="s">
        <v>66</v>
      </c>
      <c r="AR292" t="s">
        <v>71</v>
      </c>
      <c r="AS292">
        <v>18</v>
      </c>
      <c r="AT292">
        <v>0</v>
      </c>
      <c r="AU292">
        <v>0</v>
      </c>
      <c r="AV292">
        <v>18</v>
      </c>
      <c r="AW292">
        <v>652.11900000000003</v>
      </c>
      <c r="AX292">
        <v>0</v>
      </c>
      <c r="AY292">
        <v>0</v>
      </c>
      <c r="AZ292">
        <v>652.11900000000003</v>
      </c>
      <c r="BA292" s="2"/>
      <c r="BB292">
        <v>0.85</v>
      </c>
      <c r="BC292" s="2">
        <v>45945.5</v>
      </c>
      <c r="BD292" s="1">
        <f>MarketPlace_Order_Report__2[[#This Row],[UnitPrice]]*MarketPlace_Order_Report__2[[#This Row],[OrderQty]]</f>
        <v>4275</v>
      </c>
      <c r="BE292" s="1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BF292" s="1">
        <f>MarketPlace_Order_Report__2[[#This Row],[Gross Amount (Before Tax)]]+MarketPlace_Order_Report__2[[#This Row],[Total GST Amount]]</f>
        <v>4927.1189999999997</v>
      </c>
    </row>
    <row r="1048328" spans="2:15">
      <c r="B1048328" s="14" t="s">
        <v>1808</v>
      </c>
      <c r="C1048328" t="s">
        <v>1810</v>
      </c>
      <c r="E1048328" s="14" t="s">
        <v>1808</v>
      </c>
      <c r="F1048328" t="s">
        <v>1811</v>
      </c>
      <c r="H1048328" s="14" t="s">
        <v>1808</v>
      </c>
      <c r="I1048328" t="s">
        <v>1811</v>
      </c>
      <c r="L1048328" s="14" t="s">
        <v>1808</v>
      </c>
      <c r="M1048328" t="s">
        <v>1821</v>
      </c>
    </row>
    <row r="1048329" spans="2:15">
      <c r="B1048329" s="15" t="s">
        <v>1806</v>
      </c>
      <c r="C1048329" s="16">
        <v>141</v>
      </c>
      <c r="E1048329" s="15" t="s">
        <v>844</v>
      </c>
      <c r="F1048329" s="16">
        <v>20745.768000000004</v>
      </c>
      <c r="H1048329" s="15" t="s">
        <v>844</v>
      </c>
      <c r="I1048329" s="17">
        <v>20745.768000000004</v>
      </c>
      <c r="L1048329" s="15" t="s">
        <v>1815</v>
      </c>
      <c r="M1048329" s="16">
        <v>7</v>
      </c>
      <c r="N1048329" s="37" t="s">
        <v>1822</v>
      </c>
      <c r="O1048329" s="37">
        <v>16</v>
      </c>
    </row>
    <row r="1048330" spans="2:15">
      <c r="B1048330" s="15" t="s">
        <v>62</v>
      </c>
      <c r="C1048330" s="16">
        <v>74</v>
      </c>
      <c r="E1048330" s="15" t="s">
        <v>754</v>
      </c>
      <c r="F1048330" s="16">
        <v>20532.54</v>
      </c>
      <c r="H1048330" s="15" t="s">
        <v>754</v>
      </c>
      <c r="I1048330" s="17">
        <v>20532.54</v>
      </c>
      <c r="L1048330" s="15" t="s">
        <v>1817</v>
      </c>
      <c r="M1048330" s="16">
        <v>9</v>
      </c>
      <c r="N1048330" s="37" t="s">
        <v>1823</v>
      </c>
      <c r="O1048330" s="37">
        <v>41</v>
      </c>
    </row>
    <row r="1048331" spans="2:15">
      <c r="B1048331" s="15" t="s">
        <v>145</v>
      </c>
      <c r="C1048331" s="16">
        <v>29</v>
      </c>
      <c r="E1048331" s="15" t="s">
        <v>1224</v>
      </c>
      <c r="F1048331" s="16">
        <v>16699.184999999998</v>
      </c>
      <c r="H1048331" s="15" t="s">
        <v>1224</v>
      </c>
      <c r="I1048331" s="17">
        <v>16699.184999999998</v>
      </c>
      <c r="L1048331" s="15" t="s">
        <v>1818</v>
      </c>
      <c r="M1048331" s="16">
        <v>6</v>
      </c>
      <c r="N1048331" s="38" t="s">
        <v>1818</v>
      </c>
      <c r="O1048331" s="37">
        <v>6</v>
      </c>
    </row>
    <row r="1048332" spans="2:15">
      <c r="B1048332" s="15" t="s">
        <v>107</v>
      </c>
      <c r="C1048332" s="16">
        <v>20</v>
      </c>
      <c r="E1048332" s="15" t="s">
        <v>823</v>
      </c>
      <c r="F1048332" s="16">
        <v>16596.613000000001</v>
      </c>
      <c r="H1048332" s="15" t="s">
        <v>823</v>
      </c>
      <c r="I1048332" s="17">
        <v>16596.613000000001</v>
      </c>
      <c r="L1048332" s="15" t="s">
        <v>1813</v>
      </c>
      <c r="M1048332" s="16">
        <v>10</v>
      </c>
    </row>
    <row r="1048333" spans="2:15">
      <c r="B1048333" s="15" t="s">
        <v>257</v>
      </c>
      <c r="C1048333" s="16">
        <v>12</v>
      </c>
      <c r="E1048333" s="15" t="s">
        <v>582</v>
      </c>
      <c r="F1048333" s="16">
        <v>16596.612000000001</v>
      </c>
      <c r="H1048333" s="15" t="s">
        <v>582</v>
      </c>
      <c r="I1048333" s="17">
        <v>16596.612000000001</v>
      </c>
      <c r="L1048333" s="15" t="s">
        <v>1814</v>
      </c>
      <c r="M1048333" s="16">
        <v>40</v>
      </c>
    </row>
    <row r="1048334" spans="2:15">
      <c r="B1048334" s="15" t="s">
        <v>228</v>
      </c>
      <c r="C1048334" s="16">
        <v>11</v>
      </c>
      <c r="E1048334" s="15" t="s">
        <v>968</v>
      </c>
      <c r="F1048334" s="16">
        <v>14522.031999999999</v>
      </c>
      <c r="H1048334" s="15" t="s">
        <v>990</v>
      </c>
      <c r="I1048334" s="17">
        <v>14522.031999999999</v>
      </c>
      <c r="L1048334" s="15" t="s">
        <v>1816</v>
      </c>
      <c r="M1048334" s="16">
        <v>1</v>
      </c>
    </row>
    <row r="1048335" spans="2:15">
      <c r="B1048335" s="15" t="s">
        <v>98</v>
      </c>
      <c r="C1048335" s="16">
        <v>4</v>
      </c>
      <c r="E1048335" s="15" t="s">
        <v>990</v>
      </c>
      <c r="F1048335" s="16">
        <v>14522.031999999999</v>
      </c>
      <c r="H1048335" s="15" t="s">
        <v>968</v>
      </c>
      <c r="I1048335" s="17">
        <v>14522.031999999999</v>
      </c>
      <c r="L1048335" s="15" t="s">
        <v>1819</v>
      </c>
      <c r="M1048335" s="16">
        <v>1</v>
      </c>
    </row>
    <row r="1048336" spans="2:15">
      <c r="B1048336" s="15" t="s">
        <v>1809</v>
      </c>
      <c r="C1048336" s="16">
        <v>291</v>
      </c>
      <c r="E1048336" s="15" t="s">
        <v>886</v>
      </c>
      <c r="F1048336" s="16">
        <v>14522.031999999999</v>
      </c>
      <c r="H1048336" s="15" t="s">
        <v>886</v>
      </c>
      <c r="I1048336" s="17">
        <v>14522.031999999999</v>
      </c>
      <c r="L1048336" s="15" t="s">
        <v>1809</v>
      </c>
      <c r="M1048336" s="16">
        <v>74</v>
      </c>
    </row>
    <row r="1048337" spans="5:9">
      <c r="E1048337" s="15" t="s">
        <v>1550</v>
      </c>
      <c r="F1048337" s="16">
        <v>13138.984</v>
      </c>
      <c r="H1048337" s="15" t="s">
        <v>1550</v>
      </c>
      <c r="I1048337" s="17">
        <v>13138.984</v>
      </c>
    </row>
    <row r="1048338" spans="5:9">
      <c r="E1048338" s="15" t="s">
        <v>1177</v>
      </c>
      <c r="F1048338" s="16">
        <v>12591.527</v>
      </c>
      <c r="H1048338" s="15" t="s">
        <v>1177</v>
      </c>
      <c r="I1048338" s="17">
        <v>12591.527</v>
      </c>
    </row>
    <row r="1048339" spans="5:9">
      <c r="E1048339" s="15" t="s">
        <v>521</v>
      </c>
      <c r="F1048339" s="16">
        <v>12447.461000000001</v>
      </c>
      <c r="H1048339" s="15" t="s">
        <v>1809</v>
      </c>
      <c r="I1048339" s="17">
        <v>160467.32500000001</v>
      </c>
    </row>
    <row r="1048340" spans="5:9">
      <c r="E1048340" s="15" t="s">
        <v>781</v>
      </c>
      <c r="F1048340" s="16">
        <v>12319.523999999999</v>
      </c>
    </row>
    <row r="1048341" spans="5:9">
      <c r="E1048341" s="15" t="s">
        <v>713</v>
      </c>
      <c r="F1048341" s="16">
        <v>12319.523999999999</v>
      </c>
    </row>
    <row r="1048342" spans="5:9">
      <c r="E1048342" s="15" t="s">
        <v>1350</v>
      </c>
      <c r="F1048342" s="16">
        <v>11916.665000000001</v>
      </c>
    </row>
    <row r="1048343" spans="5:9">
      <c r="E1048343" s="15" t="s">
        <v>948</v>
      </c>
      <c r="F1048343" s="16">
        <v>10891.523999999999</v>
      </c>
    </row>
    <row r="1048344" spans="5:9">
      <c r="E1048344" s="15" t="s">
        <v>1662</v>
      </c>
      <c r="F1048344" s="16">
        <v>9854.2379999999994</v>
      </c>
    </row>
    <row r="1048345" spans="5:9">
      <c r="E1048345" s="15" t="s">
        <v>1720</v>
      </c>
      <c r="F1048345" s="16">
        <v>9854.2379999999994</v>
      </c>
    </row>
    <row r="1048346" spans="5:9">
      <c r="E1048346" s="15" t="s">
        <v>446</v>
      </c>
      <c r="F1048346" s="16">
        <v>9335.594000000001</v>
      </c>
    </row>
    <row r="1048347" spans="5:9">
      <c r="E1048347" s="15" t="s">
        <v>1674</v>
      </c>
      <c r="F1048347" s="16">
        <v>9306.7799999999988</v>
      </c>
    </row>
    <row r="1048348" spans="5:9">
      <c r="E1048348" s="15" t="s">
        <v>1705</v>
      </c>
      <c r="F1048348" s="16">
        <v>9306.7799999999988</v>
      </c>
    </row>
    <row r="1048349" spans="5:9">
      <c r="E1048349" s="15" t="s">
        <v>1736</v>
      </c>
      <c r="F1048349" s="16">
        <v>9306.7799999999988</v>
      </c>
    </row>
    <row r="1048350" spans="5:9">
      <c r="E1048350" s="15" t="s">
        <v>1747</v>
      </c>
      <c r="F1048350" s="16">
        <v>9076.273000000001</v>
      </c>
    </row>
    <row r="1048351" spans="5:9">
      <c r="E1048351" s="15" t="s">
        <v>1617</v>
      </c>
      <c r="F1048351" s="16">
        <v>8759.3220000000001</v>
      </c>
    </row>
    <row r="1048352" spans="5:9">
      <c r="E1048352" s="15" t="s">
        <v>1205</v>
      </c>
      <c r="F1048352" s="16">
        <v>8486.1689999999999</v>
      </c>
    </row>
    <row r="1048353" spans="5:6">
      <c r="E1048353" s="15" t="s">
        <v>1198</v>
      </c>
      <c r="F1048353" s="16">
        <v>8486.1689999999999</v>
      </c>
    </row>
    <row r="1048354" spans="5:6">
      <c r="E1048354" s="15" t="s">
        <v>627</v>
      </c>
      <c r="F1048354" s="16">
        <v>8486.1689999999999</v>
      </c>
    </row>
    <row r="1048355" spans="5:6">
      <c r="E1048355" s="15" t="s">
        <v>799</v>
      </c>
      <c r="F1048355" s="16">
        <v>8298.3070000000007</v>
      </c>
    </row>
    <row r="1048356" spans="5:6">
      <c r="E1048356" s="15" t="s">
        <v>1606</v>
      </c>
      <c r="F1048356" s="16">
        <v>8298.3070000000007</v>
      </c>
    </row>
    <row r="1048357" spans="5:6">
      <c r="E1048357" s="15" t="s">
        <v>106</v>
      </c>
      <c r="F1048357" s="16">
        <v>8298.3060000000005</v>
      </c>
    </row>
    <row r="1048358" spans="5:6">
      <c r="E1048358" s="15" t="s">
        <v>1687</v>
      </c>
      <c r="F1048358" s="16">
        <v>8298.3060000000005</v>
      </c>
    </row>
    <row r="1048359" spans="5:6">
      <c r="E1048359" s="15" t="s">
        <v>729</v>
      </c>
      <c r="F1048359" s="16">
        <v>8213.0159999999996</v>
      </c>
    </row>
    <row r="1048360" spans="5:6">
      <c r="E1048360" s="15" t="s">
        <v>691</v>
      </c>
      <c r="F1048360" s="16">
        <v>8213.0159999999996</v>
      </c>
    </row>
    <row r="1048361" spans="5:6">
      <c r="E1048361" s="15" t="s">
        <v>742</v>
      </c>
      <c r="F1048361" s="16">
        <v>8213.0159999999996</v>
      </c>
    </row>
    <row r="1048362" spans="5:6">
      <c r="E1048362" s="15" t="s">
        <v>791</v>
      </c>
      <c r="F1048362" s="16">
        <v>8213.0159999999996</v>
      </c>
    </row>
    <row r="1048363" spans="5:6">
      <c r="E1048363" s="15" t="s">
        <v>316</v>
      </c>
      <c r="F1048363" s="16">
        <v>7987.1180000000004</v>
      </c>
    </row>
    <row r="1048364" spans="5:6">
      <c r="E1048364" s="15" t="s">
        <v>305</v>
      </c>
      <c r="F1048364" s="16">
        <v>7987.1180000000004</v>
      </c>
    </row>
    <row r="1048365" spans="5:6">
      <c r="E1048365" s="15" t="s">
        <v>1076</v>
      </c>
      <c r="F1048365" s="16">
        <v>7779.6630000000005</v>
      </c>
    </row>
    <row r="1048366" spans="5:6">
      <c r="E1048366" s="15" t="s">
        <v>407</v>
      </c>
      <c r="F1048366" s="16">
        <v>7779.6620000000003</v>
      </c>
    </row>
    <row r="1048367" spans="5:6">
      <c r="E1048367" s="15" t="s">
        <v>483</v>
      </c>
      <c r="F1048367" s="16">
        <v>7779.6620000000003</v>
      </c>
    </row>
    <row r="1048368" spans="5:6">
      <c r="E1048368" s="15" t="s">
        <v>1067</v>
      </c>
      <c r="F1048368" s="16">
        <v>7779.6620000000003</v>
      </c>
    </row>
    <row r="1048369" spans="5:6">
      <c r="E1048369" s="15" t="s">
        <v>469</v>
      </c>
      <c r="F1048369" s="16">
        <v>7779.6620000000003</v>
      </c>
    </row>
    <row r="1048370" spans="5:6">
      <c r="E1048370" s="15" t="s">
        <v>120</v>
      </c>
      <c r="F1048370" s="16">
        <v>7376.2719999999999</v>
      </c>
    </row>
    <row r="1048371" spans="5:6">
      <c r="E1048371" s="15" t="s">
        <v>153</v>
      </c>
      <c r="F1048371" s="16">
        <v>7376.2719999999999</v>
      </c>
    </row>
    <row r="1048372" spans="5:6">
      <c r="E1048372" s="15" t="s">
        <v>166</v>
      </c>
      <c r="F1048372" s="16">
        <v>7376.2719999999999</v>
      </c>
    </row>
    <row r="1048373" spans="5:6">
      <c r="E1048373" s="15" t="s">
        <v>911</v>
      </c>
      <c r="F1048373" s="16">
        <v>7261.0159999999996</v>
      </c>
    </row>
    <row r="1048374" spans="5:6">
      <c r="E1048374" s="15" t="s">
        <v>936</v>
      </c>
      <c r="F1048374" s="16">
        <v>7261.0159999999996</v>
      </c>
    </row>
    <row r="1048375" spans="5:6">
      <c r="E1048375" s="15" t="s">
        <v>924</v>
      </c>
      <c r="F1048375" s="16">
        <v>7261.0159999999996</v>
      </c>
    </row>
    <row r="1048376" spans="5:6">
      <c r="E1048376" s="15" t="s">
        <v>1586</v>
      </c>
      <c r="F1048376" s="16">
        <v>7209.1530000000002</v>
      </c>
    </row>
    <row r="1048377" spans="5:6">
      <c r="E1048377" s="15" t="s">
        <v>1571</v>
      </c>
      <c r="F1048377" s="16">
        <v>7209.1530000000002</v>
      </c>
    </row>
    <row r="1048378" spans="5:6">
      <c r="E1048378" s="15" t="s">
        <v>1391</v>
      </c>
      <c r="F1048378" s="16">
        <v>7149.9989999999998</v>
      </c>
    </row>
    <row r="1048379" spans="5:6">
      <c r="E1048379" s="15" t="s">
        <v>1374</v>
      </c>
      <c r="F1048379" s="16">
        <v>7149.9989999999998</v>
      </c>
    </row>
    <row r="1048380" spans="5:6">
      <c r="E1048380" s="15" t="s">
        <v>1548</v>
      </c>
      <c r="F1048380" s="16">
        <v>6223.7290000000003</v>
      </c>
    </row>
    <row r="1048381" spans="5:6">
      <c r="E1048381" s="15" t="s">
        <v>1578</v>
      </c>
      <c r="F1048381" s="16">
        <v>6223.7290000000003</v>
      </c>
    </row>
    <row r="1048382" spans="5:6">
      <c r="E1048382" s="15" t="s">
        <v>1565</v>
      </c>
      <c r="F1048382" s="16">
        <v>6223.7290000000003</v>
      </c>
    </row>
    <row r="1048383" spans="5:6">
      <c r="E1048383" s="15" t="s">
        <v>1558</v>
      </c>
      <c r="F1048383" s="16">
        <v>5964.4070000000002</v>
      </c>
    </row>
    <row r="1048384" spans="5:6">
      <c r="E1048384" s="15" t="s">
        <v>1527</v>
      </c>
      <c r="F1048384" s="16">
        <v>5705.085</v>
      </c>
    </row>
    <row r="1048385" spans="5:6">
      <c r="E1048385" s="15" t="s">
        <v>1539</v>
      </c>
      <c r="F1048385" s="16">
        <v>5445.7629999999999</v>
      </c>
    </row>
    <row r="1048386" spans="5:6">
      <c r="E1048386" s="15" t="s">
        <v>1513</v>
      </c>
      <c r="F1048386" s="16">
        <v>5186.442</v>
      </c>
    </row>
    <row r="1048387" spans="5:6">
      <c r="E1048387" s="15" t="s">
        <v>1531</v>
      </c>
      <c r="F1048387" s="16">
        <v>5186.4409999999998</v>
      </c>
    </row>
    <row r="1048388" spans="5:6">
      <c r="E1048388" s="15" t="s">
        <v>365</v>
      </c>
      <c r="F1048388" s="16">
        <v>5186.4409999999998</v>
      </c>
    </row>
    <row r="1048389" spans="5:6">
      <c r="E1048389" s="15" t="s">
        <v>1519</v>
      </c>
      <c r="F1048389" s="16">
        <v>5186.4409999999998</v>
      </c>
    </row>
    <row r="1048390" spans="5:6">
      <c r="E1048390" s="15" t="s">
        <v>1784</v>
      </c>
      <c r="F1048390" s="16">
        <v>4927.1189999999997</v>
      </c>
    </row>
    <row r="1048391" spans="5:6">
      <c r="E1048391" s="15" t="s">
        <v>1758</v>
      </c>
      <c r="F1048391" s="16">
        <v>4927.1189999999997</v>
      </c>
    </row>
    <row r="1048392" spans="5:6">
      <c r="E1048392" s="15" t="s">
        <v>1730</v>
      </c>
      <c r="F1048392" s="16">
        <v>4927.1189999999997</v>
      </c>
    </row>
    <row r="1048393" spans="5:6">
      <c r="E1048393" s="15" t="s">
        <v>1773</v>
      </c>
      <c r="F1048393" s="16">
        <v>4927.1189999999997</v>
      </c>
    </row>
    <row r="1048394" spans="5:6">
      <c r="E1048394" s="15" t="s">
        <v>1765</v>
      </c>
      <c r="F1048394" s="16">
        <v>4927.1189999999997</v>
      </c>
    </row>
    <row r="1048395" spans="5:6">
      <c r="E1048395" s="15" t="s">
        <v>1778</v>
      </c>
      <c r="F1048395" s="16">
        <v>4927.1189999999997</v>
      </c>
    </row>
    <row r="1048396" spans="5:6">
      <c r="E1048396" s="15" t="s">
        <v>1788</v>
      </c>
      <c r="F1048396" s="16">
        <v>4927.1189999999997</v>
      </c>
    </row>
    <row r="1048397" spans="5:6">
      <c r="E1048397" s="15" t="s">
        <v>1792</v>
      </c>
      <c r="F1048397" s="16">
        <v>4927.1189999999997</v>
      </c>
    </row>
    <row r="1048398" spans="5:6">
      <c r="E1048398" s="15" t="s">
        <v>1698</v>
      </c>
      <c r="F1048398" s="16">
        <v>4927.1189999999997</v>
      </c>
    </row>
    <row r="1048399" spans="5:6">
      <c r="E1048399" s="15" t="s">
        <v>667</v>
      </c>
      <c r="F1048399" s="16">
        <v>4927.1189999999997</v>
      </c>
    </row>
    <row r="1048400" spans="5:6">
      <c r="E1048400" s="15" t="s">
        <v>1460</v>
      </c>
      <c r="F1048400" s="16">
        <v>4766.6669999999995</v>
      </c>
    </row>
    <row r="1048401" spans="5:6">
      <c r="E1048401" s="15" t="s">
        <v>1332</v>
      </c>
      <c r="F1048401" s="16">
        <v>4766.6660000000002</v>
      </c>
    </row>
    <row r="1048402" spans="5:6">
      <c r="E1048402" s="15" t="s">
        <v>1343</v>
      </c>
      <c r="F1048402" s="16">
        <v>4766.6660000000002</v>
      </c>
    </row>
    <row r="1048403" spans="5:6">
      <c r="E1048403" s="15" t="s">
        <v>256</v>
      </c>
      <c r="F1048403" s="16">
        <v>4667.7979999999998</v>
      </c>
    </row>
    <row r="1048404" spans="5:6">
      <c r="E1048404" s="15" t="s">
        <v>350</v>
      </c>
      <c r="F1048404" s="16">
        <v>4667.7979999999998</v>
      </c>
    </row>
    <row r="1048405" spans="5:6">
      <c r="E1048405" s="15" t="s">
        <v>357</v>
      </c>
      <c r="F1048405" s="16">
        <v>4667.7970000000005</v>
      </c>
    </row>
    <row r="1048406" spans="5:6">
      <c r="E1048406" s="15" t="s">
        <v>436</v>
      </c>
      <c r="F1048406" s="16">
        <v>4667.7970000000005</v>
      </c>
    </row>
    <row r="1048407" spans="5:6">
      <c r="E1048407" s="15" t="s">
        <v>455</v>
      </c>
      <c r="F1048407" s="16">
        <v>4667.7970000000005</v>
      </c>
    </row>
    <row r="1048408" spans="5:6">
      <c r="E1048408" s="15" t="s">
        <v>344</v>
      </c>
      <c r="F1048408" s="16">
        <v>4667.7970000000005</v>
      </c>
    </row>
    <row r="1048409" spans="5:6">
      <c r="E1048409" s="15" t="s">
        <v>292</v>
      </c>
      <c r="F1048409" s="16">
        <v>4610.17</v>
      </c>
    </row>
    <row r="1048410" spans="5:6">
      <c r="E1048410" s="15" t="s">
        <v>1501</v>
      </c>
      <c r="F1048410" s="16">
        <v>4610.1689999999999</v>
      </c>
    </row>
    <row r="1048411" spans="5:6">
      <c r="E1048411" s="15" t="s">
        <v>1108</v>
      </c>
      <c r="F1048411" s="16">
        <v>4408.4750000000004</v>
      </c>
    </row>
    <row r="1048412" spans="5:6">
      <c r="E1048412" s="15" t="s">
        <v>1112</v>
      </c>
      <c r="F1048412" s="16">
        <v>4408.4750000000004</v>
      </c>
    </row>
    <row r="1048413" spans="5:6">
      <c r="E1048413" s="15" t="s">
        <v>636</v>
      </c>
      <c r="F1048413" s="16">
        <v>4379.6620000000003</v>
      </c>
    </row>
    <row r="1048414" spans="5:6">
      <c r="E1048414" s="15" t="s">
        <v>654</v>
      </c>
      <c r="F1048414" s="16">
        <v>4379.6610000000001</v>
      </c>
    </row>
    <row r="1048415" spans="5:6">
      <c r="E1048415" s="15" t="s">
        <v>1631</v>
      </c>
      <c r="F1048415" s="16">
        <v>4379.6610000000001</v>
      </c>
    </row>
    <row r="1048416" spans="5:6">
      <c r="E1048416" s="15" t="s">
        <v>1164</v>
      </c>
      <c r="F1048416" s="16">
        <v>4379.6610000000001</v>
      </c>
    </row>
    <row r="1048417" spans="5:6">
      <c r="E1048417" s="15" t="s">
        <v>1217</v>
      </c>
      <c r="F1048417" s="16">
        <v>4379.6610000000001</v>
      </c>
    </row>
    <row r="1048418" spans="5:6">
      <c r="E1048418" s="15" t="s">
        <v>1507</v>
      </c>
      <c r="F1048418" s="16">
        <v>4379.6610000000001</v>
      </c>
    </row>
    <row r="1048419" spans="5:6">
      <c r="E1048419" s="15" t="s">
        <v>1642</v>
      </c>
      <c r="F1048419" s="16">
        <v>4379.6610000000001</v>
      </c>
    </row>
    <row r="1048420" spans="5:6">
      <c r="E1048420" s="15" t="s">
        <v>622</v>
      </c>
      <c r="F1048420" s="16">
        <v>4379.6610000000001</v>
      </c>
    </row>
    <row r="1048421" spans="5:6">
      <c r="E1048421" s="15" t="s">
        <v>615</v>
      </c>
      <c r="F1048421" s="16">
        <v>4379.6610000000001</v>
      </c>
    </row>
    <row r="1048422" spans="5:6">
      <c r="E1048422" s="15" t="s">
        <v>1170</v>
      </c>
      <c r="F1048422" s="16">
        <v>4379.6610000000001</v>
      </c>
    </row>
    <row r="1048423" spans="5:6">
      <c r="E1048423" s="15" t="s">
        <v>608</v>
      </c>
      <c r="F1048423" s="16">
        <v>4379.6610000000001</v>
      </c>
    </row>
    <row r="1048424" spans="5:6">
      <c r="E1048424" s="15" t="s">
        <v>600</v>
      </c>
      <c r="F1048424" s="16">
        <v>4379.6610000000001</v>
      </c>
    </row>
    <row r="1048425" spans="5:6">
      <c r="E1048425" s="15" t="s">
        <v>534</v>
      </c>
      <c r="F1048425" s="16">
        <v>4149.1540000000005</v>
      </c>
    </row>
    <row r="1048426" spans="5:6">
      <c r="E1048426" s="15" t="s">
        <v>514</v>
      </c>
      <c r="F1048426" s="16">
        <v>4149.1540000000005</v>
      </c>
    </row>
    <row r="1048427" spans="5:6">
      <c r="E1048427" s="15" t="s">
        <v>508</v>
      </c>
      <c r="F1048427" s="16">
        <v>4149.1540000000005</v>
      </c>
    </row>
    <row r="1048428" spans="5:6">
      <c r="E1048428" s="15" t="s">
        <v>873</v>
      </c>
      <c r="F1048428" s="16">
        <v>4149.1540000000005</v>
      </c>
    </row>
    <row r="1048429" spans="5:6">
      <c r="E1048429" s="15" t="s">
        <v>879</v>
      </c>
      <c r="F1048429" s="16">
        <v>4149.1530000000002</v>
      </c>
    </row>
    <row r="1048430" spans="5:6">
      <c r="E1048430" s="15" t="s">
        <v>539</v>
      </c>
      <c r="F1048430" s="16">
        <v>4149.1530000000002</v>
      </c>
    </row>
    <row r="1048431" spans="5:6">
      <c r="E1048431" s="15" t="s">
        <v>566</v>
      </c>
      <c r="F1048431" s="16">
        <v>4149.1530000000002</v>
      </c>
    </row>
    <row r="1048432" spans="5:6">
      <c r="E1048432" s="15" t="s">
        <v>816</v>
      </c>
      <c r="F1048432" s="16">
        <v>4149.1530000000002</v>
      </c>
    </row>
    <row r="1048433" spans="5:6">
      <c r="E1048433" s="15" t="s">
        <v>546</v>
      </c>
      <c r="F1048433" s="16">
        <v>4149.1530000000002</v>
      </c>
    </row>
    <row r="1048434" spans="5:6">
      <c r="E1048434" s="15" t="s">
        <v>97</v>
      </c>
      <c r="F1048434" s="16">
        <v>4149.1530000000002</v>
      </c>
    </row>
    <row r="1048435" spans="5:6">
      <c r="E1048435" s="15" t="s">
        <v>1009</v>
      </c>
      <c r="F1048435" s="16">
        <v>4149.1530000000002</v>
      </c>
    </row>
    <row r="1048436" spans="5:6">
      <c r="E1048436" s="15" t="s">
        <v>1610</v>
      </c>
      <c r="F1048436" s="16">
        <v>4149.1530000000002</v>
      </c>
    </row>
    <row r="1048437" spans="5:6">
      <c r="E1048437" s="15" t="s">
        <v>1091</v>
      </c>
      <c r="F1048437" s="16">
        <v>4149.1530000000002</v>
      </c>
    </row>
    <row r="1048438" spans="5:6">
      <c r="E1048438" s="15" t="s">
        <v>501</v>
      </c>
      <c r="F1048438" s="16">
        <v>4149.1530000000002</v>
      </c>
    </row>
    <row r="1048439" spans="5:6">
      <c r="E1048439" s="15" t="s">
        <v>681</v>
      </c>
      <c r="F1048439" s="16">
        <v>4149.1530000000002</v>
      </c>
    </row>
    <row r="1048440" spans="5:6">
      <c r="E1048440" s="15" t="s">
        <v>336</v>
      </c>
      <c r="F1048440" s="16">
        <v>4149.1530000000002</v>
      </c>
    </row>
    <row r="1048441" spans="5:6">
      <c r="E1048441" s="15" t="s">
        <v>552</v>
      </c>
      <c r="F1048441" s="16">
        <v>4149.1530000000002</v>
      </c>
    </row>
    <row r="1048442" spans="5:6">
      <c r="E1048442" s="15" t="s">
        <v>866</v>
      </c>
      <c r="F1048442" s="16">
        <v>4149.1530000000002</v>
      </c>
    </row>
    <row r="1048443" spans="5:6">
      <c r="E1048443" s="15" t="s">
        <v>574</v>
      </c>
      <c r="F1048443" s="16">
        <v>4149.1530000000002</v>
      </c>
    </row>
    <row r="1048444" spans="5:6">
      <c r="E1048444" s="15" t="s">
        <v>1654</v>
      </c>
      <c r="F1048444" s="16">
        <v>4149.1530000000002</v>
      </c>
    </row>
    <row r="1048445" spans="5:6">
      <c r="E1048445" s="15" t="s">
        <v>558</v>
      </c>
      <c r="F1048445" s="16">
        <v>4149.1530000000002</v>
      </c>
    </row>
    <row r="1048446" spans="5:6">
      <c r="E1048446" s="15" t="s">
        <v>462</v>
      </c>
      <c r="F1048446" s="16">
        <v>4149.1530000000002</v>
      </c>
    </row>
    <row r="1048447" spans="5:6">
      <c r="E1048447" s="15" t="s">
        <v>1087</v>
      </c>
      <c r="F1048447" s="16">
        <v>4149.1530000000002</v>
      </c>
    </row>
    <row r="1048448" spans="5:6">
      <c r="E1048448" s="15" t="s">
        <v>810</v>
      </c>
      <c r="F1048448" s="16">
        <v>4149.1530000000002</v>
      </c>
    </row>
    <row r="1048449" spans="5:6">
      <c r="E1048449" s="15" t="s">
        <v>1100</v>
      </c>
      <c r="F1048449" s="16">
        <v>4149.1530000000002</v>
      </c>
    </row>
    <row r="1048450" spans="5:6">
      <c r="E1048450" s="15" t="s">
        <v>675</v>
      </c>
      <c r="F1048450" s="16">
        <v>4149.1530000000002</v>
      </c>
    </row>
    <row r="1048451" spans="5:6">
      <c r="E1048451" s="15" t="s">
        <v>1599</v>
      </c>
      <c r="F1048451" s="16">
        <v>4149.1530000000002</v>
      </c>
    </row>
    <row r="1048452" spans="5:6">
      <c r="E1048452" s="15" t="s">
        <v>1029</v>
      </c>
      <c r="F1048452" s="16">
        <v>4149.1530000000002</v>
      </c>
    </row>
    <row r="1048453" spans="5:6">
      <c r="E1048453" s="15" t="s">
        <v>706</v>
      </c>
      <c r="F1048453" s="16">
        <v>4106.5079999999998</v>
      </c>
    </row>
    <row r="1048454" spans="5:6">
      <c r="E1048454" s="15" t="s">
        <v>1646</v>
      </c>
      <c r="F1048454" s="16">
        <v>4106.5079999999998</v>
      </c>
    </row>
    <row r="1048455" spans="5:6">
      <c r="E1048455" s="15" t="s">
        <v>687</v>
      </c>
      <c r="F1048455" s="16">
        <v>4106.5079999999998</v>
      </c>
    </row>
    <row r="1048456" spans="5:6">
      <c r="E1048456" s="15" t="s">
        <v>700</v>
      </c>
      <c r="F1048456" s="16">
        <v>4106.5079999999998</v>
      </c>
    </row>
    <row r="1048457" spans="5:6">
      <c r="E1048457" s="15" t="s">
        <v>220</v>
      </c>
      <c r="F1048457" s="16">
        <v>4033.8980000000001</v>
      </c>
    </row>
    <row r="1048458" spans="5:6">
      <c r="E1048458" s="15" t="s">
        <v>1122</v>
      </c>
      <c r="F1048458" s="16">
        <v>4033.8980000000001</v>
      </c>
    </row>
    <row r="1048459" spans="5:6">
      <c r="E1048459" s="15" t="s">
        <v>298</v>
      </c>
      <c r="F1048459" s="16">
        <v>3993.56</v>
      </c>
    </row>
    <row r="1048460" spans="5:6">
      <c r="E1048460" s="15" t="s">
        <v>1063</v>
      </c>
      <c r="F1048460" s="16">
        <v>3889.8319999999999</v>
      </c>
    </row>
    <row r="1048461" spans="5:6">
      <c r="E1048461" s="15" t="s">
        <v>400</v>
      </c>
      <c r="F1048461" s="16">
        <v>3889.8319999999999</v>
      </c>
    </row>
    <row r="1048462" spans="5:6">
      <c r="E1048462" s="15" t="s">
        <v>1637</v>
      </c>
      <c r="F1048462" s="16">
        <v>3889.8319999999999</v>
      </c>
    </row>
    <row r="1048463" spans="5:6">
      <c r="E1048463" s="15" t="s">
        <v>1055</v>
      </c>
      <c r="F1048463" s="16">
        <v>3889.8310000000001</v>
      </c>
    </row>
    <row r="1048464" spans="5:6">
      <c r="E1048464" s="15" t="s">
        <v>640</v>
      </c>
      <c r="F1048464" s="16">
        <v>3889.8310000000001</v>
      </c>
    </row>
    <row r="1048465" spans="5:6">
      <c r="E1048465" s="15" t="s">
        <v>1042</v>
      </c>
      <c r="F1048465" s="16">
        <v>3889.8310000000001</v>
      </c>
    </row>
    <row r="1048466" spans="5:6">
      <c r="E1048466" s="15" t="s">
        <v>494</v>
      </c>
      <c r="F1048466" s="16">
        <v>3889.8310000000001</v>
      </c>
    </row>
    <row r="1048467" spans="5:6">
      <c r="E1048467" s="15" t="s">
        <v>647</v>
      </c>
      <c r="F1048467" s="16">
        <v>3889.8310000000001</v>
      </c>
    </row>
    <row r="1048468" spans="5:6">
      <c r="E1048468" s="15" t="s">
        <v>660</v>
      </c>
      <c r="F1048468" s="16">
        <v>3889.8310000000001</v>
      </c>
    </row>
    <row r="1048469" spans="5:6">
      <c r="E1048469" s="15" t="s">
        <v>1048</v>
      </c>
      <c r="F1048469" s="16">
        <v>3889.8310000000001</v>
      </c>
    </row>
    <row r="1048470" spans="5:6">
      <c r="E1048470" s="15" t="s">
        <v>405</v>
      </c>
      <c r="F1048470" s="16">
        <v>3889.8310000000001</v>
      </c>
    </row>
    <row r="1048471" spans="5:6">
      <c r="E1048471" s="15" t="s">
        <v>1036</v>
      </c>
      <c r="F1048471" s="16">
        <v>3889.8310000000001</v>
      </c>
    </row>
    <row r="1048472" spans="5:6">
      <c r="E1048472" s="15" t="s">
        <v>1627</v>
      </c>
      <c r="F1048472" s="16">
        <v>3832.2040000000002</v>
      </c>
    </row>
    <row r="1048473" spans="5:6">
      <c r="E1048473" s="15" t="s">
        <v>1116</v>
      </c>
      <c r="F1048473" s="16">
        <v>3832.2040000000002</v>
      </c>
    </row>
    <row r="1048474" spans="5:6">
      <c r="E1048474" s="15" t="s">
        <v>1192</v>
      </c>
      <c r="F1048474" s="16">
        <v>3832.203</v>
      </c>
    </row>
    <row r="1048475" spans="5:6">
      <c r="E1048475" s="15" t="s">
        <v>1128</v>
      </c>
      <c r="F1048475" s="16">
        <v>3832.203</v>
      </c>
    </row>
    <row r="1048476" spans="5:6">
      <c r="E1048476" s="15" t="s">
        <v>1135</v>
      </c>
      <c r="F1048476" s="16">
        <v>3832.203</v>
      </c>
    </row>
    <row r="1048477" spans="5:6">
      <c r="E1048477" s="15" t="s">
        <v>136</v>
      </c>
      <c r="F1048477" s="16">
        <v>3688.136</v>
      </c>
    </row>
    <row r="1048478" spans="5:6">
      <c r="E1048478" s="15" t="s">
        <v>144</v>
      </c>
      <c r="F1048478" s="16">
        <v>3688.136</v>
      </c>
    </row>
    <row r="1048479" spans="5:6">
      <c r="E1048479" s="15" t="s">
        <v>420</v>
      </c>
      <c r="F1048479" s="16">
        <v>3630.5079999999998</v>
      </c>
    </row>
    <row r="1048480" spans="5:6">
      <c r="E1048480" s="15" t="s">
        <v>392</v>
      </c>
      <c r="F1048480" s="16">
        <v>3630.5079999999998</v>
      </c>
    </row>
    <row r="1048481" spans="5:6">
      <c r="E1048481" s="15" t="s">
        <v>388</v>
      </c>
      <c r="F1048481" s="16">
        <v>3630.5079999999998</v>
      </c>
    </row>
    <row r="1048482" spans="5:6">
      <c r="E1048482" s="15" t="s">
        <v>414</v>
      </c>
      <c r="F1048482" s="16">
        <v>3630.5079999999998</v>
      </c>
    </row>
    <row r="1048483" spans="5:6">
      <c r="E1048483" s="15" t="s">
        <v>379</v>
      </c>
      <c r="F1048483" s="16">
        <v>3630.5079999999998</v>
      </c>
    </row>
    <row r="1048484" spans="5:6">
      <c r="E1048484" s="15" t="s">
        <v>1592</v>
      </c>
      <c r="F1048484" s="16">
        <v>3559.0520000000001</v>
      </c>
    </row>
    <row r="1048485" spans="5:6">
      <c r="E1048485" s="15" t="s">
        <v>1149</v>
      </c>
      <c r="F1048485" s="16">
        <v>3284.7460000000001</v>
      </c>
    </row>
    <row r="1048486" spans="5:6">
      <c r="E1048486" s="15" t="s">
        <v>1143</v>
      </c>
      <c r="F1048486" s="16">
        <v>3284.7460000000001</v>
      </c>
    </row>
    <row r="1048487" spans="5:6">
      <c r="E1048487" s="15" t="s">
        <v>1156</v>
      </c>
      <c r="F1048487" s="16">
        <v>3284.7460000000001</v>
      </c>
    </row>
    <row r="1048488" spans="5:6">
      <c r="E1048488" s="15" t="s">
        <v>1160</v>
      </c>
      <c r="F1048488" s="16">
        <v>3284.7460000000001</v>
      </c>
    </row>
    <row r="1048489" spans="5:6">
      <c r="E1048489" s="15" t="s">
        <v>264</v>
      </c>
      <c r="F1048489" s="16">
        <v>3227.12</v>
      </c>
    </row>
    <row r="1048490" spans="5:6">
      <c r="E1048490" s="15" t="s">
        <v>284</v>
      </c>
      <c r="F1048490" s="16">
        <v>3227.1190000000001</v>
      </c>
    </row>
    <row r="1048491" spans="5:6">
      <c r="E1048491" s="15" t="s">
        <v>330</v>
      </c>
      <c r="F1048491" s="16">
        <v>3227.1190000000001</v>
      </c>
    </row>
    <row r="1048492" spans="5:6">
      <c r="E1048492" s="15" t="s">
        <v>272</v>
      </c>
      <c r="F1048492" s="16">
        <v>3227.1190000000001</v>
      </c>
    </row>
    <row r="1048493" spans="5:6">
      <c r="E1048493" s="15" t="s">
        <v>227</v>
      </c>
      <c r="F1048493" s="16">
        <v>3142.8579999999997</v>
      </c>
    </row>
    <row r="1048494" spans="5:6">
      <c r="E1048494" s="15" t="s">
        <v>199</v>
      </c>
      <c r="F1048494" s="16">
        <v>3142.8579999999993</v>
      </c>
    </row>
    <row r="1048495" spans="5:6">
      <c r="E1048495" s="15" t="s">
        <v>595</v>
      </c>
      <c r="F1048495" s="16">
        <v>3111.864</v>
      </c>
    </row>
    <row r="1048496" spans="5:6">
      <c r="E1048496" s="15" t="s">
        <v>371</v>
      </c>
      <c r="F1048496" s="16">
        <v>3111.864</v>
      </c>
    </row>
    <row r="1048497" spans="5:6">
      <c r="E1048497" s="15" t="s">
        <v>276</v>
      </c>
      <c r="F1048497" s="16">
        <v>2566.6669999999999</v>
      </c>
    </row>
    <row r="1048498" spans="5:6">
      <c r="E1048498" s="15" t="s">
        <v>247</v>
      </c>
      <c r="F1048498" s="16">
        <v>2514.2860000000001</v>
      </c>
    </row>
    <row r="1048499" spans="5:6">
      <c r="E1048499" s="15" t="s">
        <v>1480</v>
      </c>
      <c r="F1048499" s="16">
        <v>2383.3330000000001</v>
      </c>
    </row>
    <row r="1048500" spans="5:6">
      <c r="E1048500" s="15" t="s">
        <v>1286</v>
      </c>
      <c r="F1048500" s="16">
        <v>2383.3330000000001</v>
      </c>
    </row>
    <row r="1048501" spans="5:6">
      <c r="E1048501" s="15" t="s">
        <v>1281</v>
      </c>
      <c r="F1048501" s="16">
        <v>2383.3330000000001</v>
      </c>
    </row>
    <row r="1048502" spans="5:6">
      <c r="E1048502" s="15" t="s">
        <v>1274</v>
      </c>
      <c r="F1048502" s="16">
        <v>2383.3330000000001</v>
      </c>
    </row>
    <row r="1048503" spans="5:6">
      <c r="E1048503" s="15" t="s">
        <v>1302</v>
      </c>
      <c r="F1048503" s="16">
        <v>2383.3330000000001</v>
      </c>
    </row>
    <row r="1048504" spans="5:6">
      <c r="E1048504" s="15" t="s">
        <v>1324</v>
      </c>
      <c r="F1048504" s="16">
        <v>2383.3330000000001</v>
      </c>
    </row>
    <row r="1048505" spans="5:6">
      <c r="E1048505" s="15" t="s">
        <v>1485</v>
      </c>
      <c r="F1048505" s="16">
        <v>2383.3330000000001</v>
      </c>
    </row>
    <row r="1048506" spans="5:6">
      <c r="E1048506" s="15" t="s">
        <v>1415</v>
      </c>
      <c r="F1048506" s="16">
        <v>2383.3330000000001</v>
      </c>
    </row>
    <row r="1048507" spans="5:6">
      <c r="E1048507" s="15" t="s">
        <v>1409</v>
      </c>
      <c r="F1048507" s="16">
        <v>2383.3330000000001</v>
      </c>
    </row>
    <row r="1048508" spans="5:6">
      <c r="E1048508" s="15" t="s">
        <v>1492</v>
      </c>
      <c r="F1048508" s="16">
        <v>2383.3330000000001</v>
      </c>
    </row>
    <row r="1048509" spans="5:6">
      <c r="E1048509" s="15" t="s">
        <v>1440</v>
      </c>
      <c r="F1048509" s="16">
        <v>2346.6680000000001</v>
      </c>
    </row>
    <row r="1048510" spans="5:6">
      <c r="E1048510" s="15" t="s">
        <v>1433</v>
      </c>
      <c r="F1048510" s="16">
        <v>2346.6680000000001</v>
      </c>
    </row>
    <row r="1048511" spans="5:6">
      <c r="E1048511" s="15" t="s">
        <v>1426</v>
      </c>
      <c r="F1048511" s="16">
        <v>2346.6669999999999</v>
      </c>
    </row>
    <row r="1048512" spans="5:6">
      <c r="E1048512" s="15" t="s">
        <v>1419</v>
      </c>
      <c r="F1048512" s="16">
        <v>2346.6669999999999</v>
      </c>
    </row>
    <row r="1048513" spans="5:6">
      <c r="E1048513" s="15" t="s">
        <v>1298</v>
      </c>
      <c r="F1048513" s="16">
        <v>2304.7620000000002</v>
      </c>
    </row>
    <row r="1048514" spans="5:6">
      <c r="E1048514" s="15" t="s">
        <v>1268</v>
      </c>
      <c r="F1048514" s="16">
        <v>2304.7620000000002</v>
      </c>
    </row>
    <row r="1048515" spans="5:6">
      <c r="E1048515" s="15" t="s">
        <v>1472</v>
      </c>
      <c r="F1048515" s="16">
        <v>2200</v>
      </c>
    </row>
    <row r="1048516" spans="5:6">
      <c r="E1048516" s="15" t="s">
        <v>1317</v>
      </c>
      <c r="F1048516" s="16">
        <v>2200</v>
      </c>
    </row>
    <row r="1048517" spans="5:6">
      <c r="E1048517" s="15" t="s">
        <v>1478</v>
      </c>
      <c r="F1048517" s="16">
        <v>2200</v>
      </c>
    </row>
    <row r="1048518" spans="5:6">
      <c r="E1048518" s="15" t="s">
        <v>1446</v>
      </c>
      <c r="F1048518" s="16">
        <v>2200</v>
      </c>
    </row>
    <row r="1048519" spans="5:6">
      <c r="E1048519" s="15" t="s">
        <v>1310</v>
      </c>
      <c r="F1048519" s="16">
        <v>2200</v>
      </c>
    </row>
    <row r="1048520" spans="5:6">
      <c r="E1048520" s="15" t="s">
        <v>1453</v>
      </c>
      <c r="F1048520" s="16">
        <v>2200</v>
      </c>
    </row>
    <row r="1048521" spans="5:6">
      <c r="E1048521" s="15" t="s">
        <v>1497</v>
      </c>
      <c r="F1048521" s="16">
        <v>2200</v>
      </c>
    </row>
    <row r="1048522" spans="5:6">
      <c r="E1048522" s="15" t="s">
        <v>1240</v>
      </c>
      <c r="F1048522" s="16">
        <v>2095.2379999999998</v>
      </c>
    </row>
    <row r="1048523" spans="5:6">
      <c r="E1048523" s="15" t="s">
        <v>1293</v>
      </c>
      <c r="F1048523" s="16">
        <v>2095.2379999999998</v>
      </c>
    </row>
    <row r="1048524" spans="5:6">
      <c r="E1048524" s="15" t="s">
        <v>1247</v>
      </c>
      <c r="F1048524" s="16">
        <v>2095.2379999999998</v>
      </c>
    </row>
    <row r="1048525" spans="5:6">
      <c r="E1048525" s="15" t="s">
        <v>1253</v>
      </c>
      <c r="F1048525" s="16">
        <v>2095.2379999999998</v>
      </c>
    </row>
    <row r="1048526" spans="5:6">
      <c r="E1048526" s="15" t="s">
        <v>1261</v>
      </c>
      <c r="F1048526" s="16">
        <v>2095.2379999999998</v>
      </c>
    </row>
    <row r="1048527" spans="5:6">
      <c r="E1048527" s="15" t="s">
        <v>1015</v>
      </c>
      <c r="F1048527" s="16">
        <v>1676.19</v>
      </c>
    </row>
    <row r="1048528" spans="5:6">
      <c r="E1048528" s="15" t="s">
        <v>1022</v>
      </c>
      <c r="F1048528" s="16">
        <v>1676.19</v>
      </c>
    </row>
    <row r="1048529" spans="5:6">
      <c r="E1048529" s="15" t="s">
        <v>428</v>
      </c>
      <c r="F1048529" s="16">
        <v>1466.6680000000001</v>
      </c>
    </row>
    <row r="1048530" spans="5:6">
      <c r="E1048530" s="15" t="s">
        <v>81</v>
      </c>
      <c r="F1048530" s="16">
        <v>1178.5709999999999</v>
      </c>
    </row>
    <row r="1048531" spans="5:6">
      <c r="E1048531" s="15" t="s">
        <v>87</v>
      </c>
      <c r="F1048531" s="16">
        <v>1178.5709999999999</v>
      </c>
    </row>
    <row r="1048532" spans="5:6">
      <c r="E1048532" s="15" t="s">
        <v>61</v>
      </c>
      <c r="F1048532" s="16">
        <v>1178.5709999999999</v>
      </c>
    </row>
    <row r="1048533" spans="5:6">
      <c r="E1048533" s="15" t="s">
        <v>213</v>
      </c>
      <c r="F1048533" s="16">
        <v>1047.6199999999999</v>
      </c>
    </row>
    <row r="1048534" spans="5:6">
      <c r="E1048534" s="15" t="s">
        <v>183</v>
      </c>
      <c r="F1048534" s="16">
        <v>1047.6189999999999</v>
      </c>
    </row>
    <row r="1048535" spans="5:6">
      <c r="E1048535" s="15" t="s">
        <v>191</v>
      </c>
      <c r="F1048535" s="16">
        <v>1047.6189999999999</v>
      </c>
    </row>
    <row r="1048536" spans="5:6">
      <c r="E1048536" s="15" t="s">
        <v>1809</v>
      </c>
      <c r="F1048536" s="16">
        <v>1091303.665</v>
      </c>
    </row>
  </sheetData>
  <pageMargins left="0.7" right="0.7" top="0.75" bottom="0.75" header="0.3" footer="0.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515F-F225-4C13-A8E4-E9D5E85670A3}">
  <dimension ref="B2:C12"/>
  <sheetViews>
    <sheetView tabSelected="1" zoomScale="70" zoomScaleNormal="70" workbookViewId="0">
      <selection activeCell="J24" sqref="J24"/>
    </sheetView>
  </sheetViews>
  <sheetFormatPr defaultRowHeight="14.4"/>
  <cols>
    <col min="2" max="2" width="30" customWidth="1"/>
    <col min="3" max="3" width="22.5546875" customWidth="1"/>
  </cols>
  <sheetData>
    <row r="2" spans="2:3" ht="15.6">
      <c r="B2" s="9" t="s">
        <v>1795</v>
      </c>
      <c r="C2" s="9" t="s">
        <v>1796</v>
      </c>
    </row>
    <row r="3" spans="2:3" ht="15.6">
      <c r="B3" s="10" t="s">
        <v>1797</v>
      </c>
      <c r="C3" s="11">
        <f>COUNTA(MarketPlace_Order_Report__2[MagentoOrderNo])</f>
        <v>291</v>
      </c>
    </row>
    <row r="4" spans="2:3" ht="15.6">
      <c r="B4" s="10" t="s">
        <v>1807</v>
      </c>
      <c r="C4" s="11">
        <f>COUNTIFS(MarketPlace_Order_Report__2[[#All],[MagentoOrderNo]:[Status]],"Completed")</f>
        <v>141</v>
      </c>
    </row>
    <row r="5" spans="2:3" ht="15.6">
      <c r="B5" s="10" t="s">
        <v>1798</v>
      </c>
      <c r="C5" s="11">
        <f>COUNTIFS(MarketPlace_Order_Report__2[[#All],[MagentoOrderNo]:[Status]],"Returned")</f>
        <v>74</v>
      </c>
    </row>
    <row r="6" spans="2:3" ht="15.6">
      <c r="B6" s="10" t="s">
        <v>1799</v>
      </c>
      <c r="C6" s="11">
        <f>COUNTIFS(MarketPlace_Order_Report__2[[#All],[MagentoOrderNo]:[Status]],"RTO Delivered")</f>
        <v>11</v>
      </c>
    </row>
    <row r="7" spans="2:3" ht="15.6">
      <c r="B7" s="10" t="s">
        <v>1800</v>
      </c>
      <c r="C7" s="11">
        <f>COUNTIFS(MarketPlace_Order_Report__2[[#All],[MagentoOrderNo]:[Status]],"Cancelled")</f>
        <v>29</v>
      </c>
    </row>
    <row r="8" spans="2:3" ht="15.6">
      <c r="B8" s="10" t="s">
        <v>1801</v>
      </c>
      <c r="C8" s="12">
        <f>C5/C3</f>
        <v>0.25429553264604809</v>
      </c>
    </row>
    <row r="9" spans="2:3" ht="15.6">
      <c r="B9" s="10" t="s">
        <v>1802</v>
      </c>
      <c r="C9" s="11">
        <f>SUM(MarketPlace_Order_Report__2[OrderQty])</f>
        <v>291</v>
      </c>
    </row>
    <row r="10" spans="2:3" ht="15.6">
      <c r="B10" s="10" t="s">
        <v>1803</v>
      </c>
      <c r="C10" s="13">
        <f>SUM(MarketPlace_Order_Report__2[Gross Amount (Before Tax)])</f>
        <v>957910</v>
      </c>
    </row>
    <row r="11" spans="2:3" ht="15.6">
      <c r="B11" s="10" t="s">
        <v>1804</v>
      </c>
      <c r="C11" s="13">
        <f>SUM(MarketPlace_Order_Report__2[Total GST Amount])</f>
        <v>133393.6650000001</v>
      </c>
    </row>
    <row r="12" spans="2:3" ht="15.6">
      <c r="B12" s="10" t="s">
        <v>1805</v>
      </c>
      <c r="C12" s="13">
        <f>SUM(MarketPlace_Order_Report__2[Net Sale (After Tax)])</f>
        <v>1091303.6649999989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7D77-C6EB-4A07-859F-D73BA47DA7DB}">
  <sheetPr filterMode="1"/>
  <dimension ref="A1:F292"/>
  <sheetViews>
    <sheetView workbookViewId="0">
      <selection activeCell="A11" sqref="A11"/>
    </sheetView>
  </sheetViews>
  <sheetFormatPr defaultRowHeight="14.4"/>
  <cols>
    <col min="1" max="1" width="25.44140625" bestFit="1" customWidth="1"/>
    <col min="2" max="2" width="19" bestFit="1" customWidth="1"/>
    <col min="3" max="3" width="12.6640625" bestFit="1" customWidth="1"/>
    <col min="4" max="4" width="23.88671875" bestFit="1" customWidth="1"/>
    <col min="5" max="5" width="16.33203125" bestFit="1" customWidth="1"/>
    <col min="6" max="6" width="17.44140625" bestFit="1" customWidth="1"/>
    <col min="10" max="10" width="12.6640625" bestFit="1" customWidth="1"/>
    <col min="11" max="11" width="14.109375" bestFit="1" customWidth="1"/>
  </cols>
  <sheetData>
    <row r="1" spans="1:6">
      <c r="A1" s="6" t="s">
        <v>0</v>
      </c>
      <c r="B1" s="3" t="s">
        <v>3</v>
      </c>
      <c r="C1" s="3" t="s">
        <v>5</v>
      </c>
      <c r="D1" s="18" t="s">
        <v>55</v>
      </c>
      <c r="E1" s="18" t="s">
        <v>56</v>
      </c>
      <c r="F1" s="19" t="s">
        <v>57</v>
      </c>
    </row>
    <row r="2" spans="1:6" hidden="1">
      <c r="A2" s="7" t="s">
        <v>58</v>
      </c>
      <c r="B2" s="4" t="s">
        <v>61</v>
      </c>
      <c r="C2" s="4" t="s">
        <v>62</v>
      </c>
      <c r="D2" s="20">
        <f>MarketPlace_Order_Report__2[[#This Row],[UnitPrice]]*MarketPlace_Order_Report__2[[#This Row],[OrderQty]]</f>
        <v>1125</v>
      </c>
      <c r="E2" s="20">
        <f>IFERROR(MarketPlace_Order_Report__2[[#This Row],[CGSTAmount]]+MarketPlace_Order_Report__2[[#This Row],[SGSTAmount]]+MarketPlace_Order_Report__2[[#This Row],[IGSTAmount]],MarketPlace_Order_Report__2[[#This Row],[TaxAmount]])</f>
        <v>53.570999999999998</v>
      </c>
      <c r="F2" s="21">
        <f>MarketPlace_Order_Report__2[[#This Row],[Gross Amount (Before Tax)]]+MarketPlace_Order_Report__2[[#This Row],[Total GST Amount]]</f>
        <v>1178.5709999999999</v>
      </c>
    </row>
    <row r="3" spans="1:6" hidden="1">
      <c r="A3" s="8" t="s">
        <v>78</v>
      </c>
      <c r="B3" s="5" t="s">
        <v>81</v>
      </c>
      <c r="C3" s="5" t="s">
        <v>1806</v>
      </c>
      <c r="D3" s="22">
        <f>MarketPlace_Order_Report__2[[#This Row],[UnitPrice]]*MarketPlace_Order_Report__2[[#This Row],[OrderQty]]</f>
        <v>1125</v>
      </c>
      <c r="E3" s="22">
        <f>IFERROR(MarketPlace_Order_Report__2[[#This Row],[CGSTAmount]]+MarketPlace_Order_Report__2[[#This Row],[SGSTAmount]]+MarketPlace_Order_Report__2[[#This Row],[IGSTAmount]],MarketPlace_Order_Report__2[[#This Row],[TaxAmount]])</f>
        <v>53.570999999999998</v>
      </c>
      <c r="F3" s="23">
        <f>MarketPlace_Order_Report__2[[#This Row],[Gross Amount (Before Tax)]]+MarketPlace_Order_Report__2[[#This Row],[Total GST Amount]]</f>
        <v>1178.5709999999999</v>
      </c>
    </row>
    <row r="4" spans="1:6" hidden="1">
      <c r="A4" s="7" t="s">
        <v>84</v>
      </c>
      <c r="B4" s="4" t="s">
        <v>87</v>
      </c>
      <c r="C4" s="4" t="s">
        <v>1806</v>
      </c>
      <c r="D4" s="20">
        <f>MarketPlace_Order_Report__2[[#This Row],[UnitPrice]]*MarketPlace_Order_Report__2[[#This Row],[OrderQty]]</f>
        <v>1125</v>
      </c>
      <c r="E4" s="20">
        <f>IFERROR(MarketPlace_Order_Report__2[[#This Row],[CGSTAmount]]+MarketPlace_Order_Report__2[[#This Row],[SGSTAmount]]+MarketPlace_Order_Report__2[[#This Row],[IGSTAmount]],MarketPlace_Order_Report__2[[#This Row],[TaxAmount]])</f>
        <v>53.570999999999998</v>
      </c>
      <c r="F4" s="21">
        <f>MarketPlace_Order_Report__2[[#This Row],[Gross Amount (Before Tax)]]+MarketPlace_Order_Report__2[[#This Row],[Total GST Amount]]</f>
        <v>1178.5709999999999</v>
      </c>
    </row>
    <row r="5" spans="1:6" hidden="1">
      <c r="A5" s="8" t="s">
        <v>94</v>
      </c>
      <c r="B5" s="5" t="s">
        <v>97</v>
      </c>
      <c r="C5" s="5" t="s">
        <v>98</v>
      </c>
      <c r="D5" s="22">
        <f>MarketPlace_Order_Report__2[[#This Row],[UnitPrice]]*MarketPlace_Order_Report__2[[#This Row],[OrderQty]]</f>
        <v>3600</v>
      </c>
      <c r="E5" s="22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5" s="23">
        <f>MarketPlace_Order_Report__2[[#This Row],[Gross Amount (Before Tax)]]+MarketPlace_Order_Report__2[[#This Row],[Total GST Amount]]</f>
        <v>4149.1530000000002</v>
      </c>
    </row>
    <row r="6" spans="1:6" hidden="1">
      <c r="A6" s="7" t="s">
        <v>103</v>
      </c>
      <c r="B6" s="4" t="s">
        <v>106</v>
      </c>
      <c r="C6" s="4" t="s">
        <v>107</v>
      </c>
      <c r="D6" s="20">
        <f>MarketPlace_Order_Report__2[[#This Row],[UnitPrice]]*MarketPlace_Order_Report__2[[#This Row],[OrderQty]]</f>
        <v>3600</v>
      </c>
      <c r="E6" s="20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6" s="21">
        <f>MarketPlace_Order_Report__2[[#This Row],[Gross Amount (Before Tax)]]+MarketPlace_Order_Report__2[[#This Row],[Total GST Amount]]</f>
        <v>4149.1530000000002</v>
      </c>
    </row>
    <row r="7" spans="1:6" hidden="1">
      <c r="A7" s="8" t="s">
        <v>111</v>
      </c>
      <c r="B7" s="5" t="s">
        <v>106</v>
      </c>
      <c r="C7" s="5" t="s">
        <v>1806</v>
      </c>
      <c r="D7" s="22">
        <f>MarketPlace_Order_Report__2[[#This Row],[UnitPrice]]*MarketPlace_Order_Report__2[[#This Row],[OrderQty]]</f>
        <v>3600</v>
      </c>
      <c r="E7" s="22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7" s="23">
        <f>MarketPlace_Order_Report__2[[#This Row],[Gross Amount (Before Tax)]]+MarketPlace_Order_Report__2[[#This Row],[Total GST Amount]]</f>
        <v>4149.1530000000002</v>
      </c>
    </row>
    <row r="8" spans="1:6" hidden="1">
      <c r="A8" s="7" t="s">
        <v>117</v>
      </c>
      <c r="B8" s="4" t="s">
        <v>120</v>
      </c>
      <c r="C8" s="4" t="s">
        <v>1806</v>
      </c>
      <c r="D8" s="20">
        <f>MarketPlace_Order_Report__2[[#This Row],[UnitPrice]]*MarketPlace_Order_Report__2[[#This Row],[OrderQty]]</f>
        <v>3200</v>
      </c>
      <c r="E8" s="20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F8" s="21">
        <f>MarketPlace_Order_Report__2[[#This Row],[Gross Amount (Before Tax)]]+MarketPlace_Order_Report__2[[#This Row],[Total GST Amount]]</f>
        <v>3688.136</v>
      </c>
    </row>
    <row r="9" spans="1:6" hidden="1">
      <c r="A9" s="8" t="s">
        <v>126</v>
      </c>
      <c r="B9" s="5" t="s">
        <v>120</v>
      </c>
      <c r="C9" s="5" t="s">
        <v>62</v>
      </c>
      <c r="D9" s="22">
        <f>MarketPlace_Order_Report__2[[#This Row],[UnitPrice]]*MarketPlace_Order_Report__2[[#This Row],[OrderQty]]</f>
        <v>3200</v>
      </c>
      <c r="E9" s="22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F9" s="23">
        <f>MarketPlace_Order_Report__2[[#This Row],[Gross Amount (Before Tax)]]+MarketPlace_Order_Report__2[[#This Row],[Total GST Amount]]</f>
        <v>3688.136</v>
      </c>
    </row>
    <row r="10" spans="1:6" hidden="1">
      <c r="A10" s="7" t="s">
        <v>133</v>
      </c>
      <c r="B10" s="4" t="s">
        <v>136</v>
      </c>
      <c r="C10" s="4" t="s">
        <v>1806</v>
      </c>
      <c r="D10" s="20">
        <f>MarketPlace_Order_Report__2[[#This Row],[UnitPrice]]*MarketPlace_Order_Report__2[[#This Row],[OrderQty]]</f>
        <v>3200</v>
      </c>
      <c r="E10" s="20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F10" s="21">
        <f>MarketPlace_Order_Report__2[[#This Row],[Gross Amount (Before Tax)]]+MarketPlace_Order_Report__2[[#This Row],[Total GST Amount]]</f>
        <v>3688.136</v>
      </c>
    </row>
    <row r="11" spans="1:6">
      <c r="A11" s="8" t="s">
        <v>141</v>
      </c>
      <c r="B11" s="5" t="s">
        <v>144</v>
      </c>
      <c r="C11" s="5" t="s">
        <v>145</v>
      </c>
      <c r="D11" s="22">
        <f>MarketPlace_Order_Report__2[[#This Row],[UnitPrice]]*MarketPlace_Order_Report__2[[#This Row],[OrderQty]]</f>
        <v>3200</v>
      </c>
      <c r="E11" s="22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F11" s="23">
        <f>MarketPlace_Order_Report__2[[#This Row],[Gross Amount (Before Tax)]]+MarketPlace_Order_Report__2[[#This Row],[Total GST Amount]]</f>
        <v>3688.136</v>
      </c>
    </row>
    <row r="12" spans="1:6" hidden="1">
      <c r="A12" s="7" t="s">
        <v>150</v>
      </c>
      <c r="B12" s="4" t="s">
        <v>153</v>
      </c>
      <c r="C12" s="4" t="s">
        <v>107</v>
      </c>
      <c r="D12" s="20">
        <f>MarketPlace_Order_Report__2[[#This Row],[UnitPrice]]*MarketPlace_Order_Report__2[[#This Row],[OrderQty]]</f>
        <v>3200</v>
      </c>
      <c r="E12" s="20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F12" s="21">
        <f>MarketPlace_Order_Report__2[[#This Row],[Gross Amount (Before Tax)]]+MarketPlace_Order_Report__2[[#This Row],[Total GST Amount]]</f>
        <v>3688.136</v>
      </c>
    </row>
    <row r="13" spans="1:6">
      <c r="A13" s="8" t="s">
        <v>159</v>
      </c>
      <c r="B13" s="5" t="s">
        <v>153</v>
      </c>
      <c r="C13" s="5" t="s">
        <v>145</v>
      </c>
      <c r="D13" s="22">
        <f>MarketPlace_Order_Report__2[[#This Row],[UnitPrice]]*MarketPlace_Order_Report__2[[#This Row],[OrderQty]]</f>
        <v>3200</v>
      </c>
      <c r="E13" s="22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F13" s="23">
        <f>MarketPlace_Order_Report__2[[#This Row],[Gross Amount (Before Tax)]]+MarketPlace_Order_Report__2[[#This Row],[Total GST Amount]]</f>
        <v>3688.136</v>
      </c>
    </row>
    <row r="14" spans="1:6" hidden="1">
      <c r="A14" s="7" t="s">
        <v>163</v>
      </c>
      <c r="B14" s="4" t="s">
        <v>166</v>
      </c>
      <c r="C14" s="4" t="s">
        <v>1806</v>
      </c>
      <c r="D14" s="20">
        <f>MarketPlace_Order_Report__2[[#This Row],[UnitPrice]]*MarketPlace_Order_Report__2[[#This Row],[OrderQty]]</f>
        <v>3200</v>
      </c>
      <c r="E14" s="20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F14" s="21">
        <f>MarketPlace_Order_Report__2[[#This Row],[Gross Amount (Before Tax)]]+MarketPlace_Order_Report__2[[#This Row],[Total GST Amount]]</f>
        <v>3688.136</v>
      </c>
    </row>
    <row r="15" spans="1:6" hidden="1">
      <c r="A15" s="8" t="s">
        <v>171</v>
      </c>
      <c r="B15" s="5" t="s">
        <v>166</v>
      </c>
      <c r="C15" s="5" t="s">
        <v>62</v>
      </c>
      <c r="D15" s="22">
        <f>MarketPlace_Order_Report__2[[#This Row],[UnitPrice]]*MarketPlace_Order_Report__2[[#This Row],[OrderQty]]</f>
        <v>3200</v>
      </c>
      <c r="E15" s="22">
        <f>IFERROR(MarketPlace_Order_Report__2[[#This Row],[CGSTAmount]]+MarketPlace_Order_Report__2[[#This Row],[SGSTAmount]]+MarketPlace_Order_Report__2[[#This Row],[IGSTAmount]],MarketPlace_Order_Report__2[[#This Row],[TaxAmount]])</f>
        <v>488.13600000000002</v>
      </c>
      <c r="F15" s="23">
        <f>MarketPlace_Order_Report__2[[#This Row],[Gross Amount (Before Tax)]]+MarketPlace_Order_Report__2[[#This Row],[Total GST Amount]]</f>
        <v>3688.136</v>
      </c>
    </row>
    <row r="16" spans="1:6" hidden="1">
      <c r="A16" s="7" t="s">
        <v>180</v>
      </c>
      <c r="B16" s="4" t="s">
        <v>183</v>
      </c>
      <c r="C16" s="4" t="s">
        <v>1806</v>
      </c>
      <c r="D16" s="20">
        <f>MarketPlace_Order_Report__2[[#This Row],[UnitPrice]]*MarketPlace_Order_Report__2[[#This Row],[OrderQty]]</f>
        <v>1000</v>
      </c>
      <c r="E16" s="20">
        <f>IFERROR(MarketPlace_Order_Report__2[[#This Row],[CGSTAmount]]+MarketPlace_Order_Report__2[[#This Row],[SGSTAmount]]+MarketPlace_Order_Report__2[[#This Row],[IGSTAmount]],MarketPlace_Order_Report__2[[#This Row],[TaxAmount]])</f>
        <v>47.619</v>
      </c>
      <c r="F16" s="21">
        <f>MarketPlace_Order_Report__2[[#This Row],[Gross Amount (Before Tax)]]+MarketPlace_Order_Report__2[[#This Row],[Total GST Amount]]</f>
        <v>1047.6189999999999</v>
      </c>
    </row>
    <row r="17" spans="1:6" hidden="1">
      <c r="A17" s="8" t="s">
        <v>188</v>
      </c>
      <c r="B17" s="5" t="s">
        <v>191</v>
      </c>
      <c r="C17" s="5" t="s">
        <v>1806</v>
      </c>
      <c r="D17" s="22">
        <f>MarketPlace_Order_Report__2[[#This Row],[UnitPrice]]*MarketPlace_Order_Report__2[[#This Row],[OrderQty]]</f>
        <v>1000</v>
      </c>
      <c r="E17" s="22">
        <f>IFERROR(MarketPlace_Order_Report__2[[#This Row],[CGSTAmount]]+MarketPlace_Order_Report__2[[#This Row],[SGSTAmount]]+MarketPlace_Order_Report__2[[#This Row],[IGSTAmount]],MarketPlace_Order_Report__2[[#This Row],[TaxAmount]])</f>
        <v>47.619</v>
      </c>
      <c r="F17" s="23">
        <f>MarketPlace_Order_Report__2[[#This Row],[Gross Amount (Before Tax)]]+MarketPlace_Order_Report__2[[#This Row],[Total GST Amount]]</f>
        <v>1047.6189999999999</v>
      </c>
    </row>
    <row r="18" spans="1:6" hidden="1">
      <c r="A18" s="7" t="s">
        <v>196</v>
      </c>
      <c r="B18" s="4" t="s">
        <v>199</v>
      </c>
      <c r="C18" s="4" t="s">
        <v>1806</v>
      </c>
      <c r="D18" s="20">
        <f>MarketPlace_Order_Report__2[[#This Row],[UnitPrice]]*MarketPlace_Order_Report__2[[#This Row],[OrderQty]]</f>
        <v>1000</v>
      </c>
      <c r="E18" s="20">
        <f>IFERROR(MarketPlace_Order_Report__2[[#This Row],[CGSTAmount]]+MarketPlace_Order_Report__2[[#This Row],[SGSTAmount]]+MarketPlace_Order_Report__2[[#This Row],[IGSTAmount]],MarketPlace_Order_Report__2[[#This Row],[TaxAmount]])</f>
        <v>47.62</v>
      </c>
      <c r="F18" s="21">
        <f>MarketPlace_Order_Report__2[[#This Row],[Gross Amount (Before Tax)]]+MarketPlace_Order_Report__2[[#This Row],[Total GST Amount]]</f>
        <v>1047.6199999999999</v>
      </c>
    </row>
    <row r="19" spans="1:6" hidden="1">
      <c r="A19" s="8" t="s">
        <v>203</v>
      </c>
      <c r="B19" s="5" t="s">
        <v>199</v>
      </c>
      <c r="C19" s="5" t="s">
        <v>1806</v>
      </c>
      <c r="D19" s="22">
        <f>MarketPlace_Order_Report__2[[#This Row],[UnitPrice]]*MarketPlace_Order_Report__2[[#This Row],[OrderQty]]</f>
        <v>1000</v>
      </c>
      <c r="E19" s="22">
        <f>IFERROR(MarketPlace_Order_Report__2[[#This Row],[CGSTAmount]]+MarketPlace_Order_Report__2[[#This Row],[SGSTAmount]]+MarketPlace_Order_Report__2[[#This Row],[IGSTAmount]],MarketPlace_Order_Report__2[[#This Row],[TaxAmount]])</f>
        <v>47.619</v>
      </c>
      <c r="F19" s="23">
        <f>MarketPlace_Order_Report__2[[#This Row],[Gross Amount (Before Tax)]]+MarketPlace_Order_Report__2[[#This Row],[Total GST Amount]]</f>
        <v>1047.6189999999999</v>
      </c>
    </row>
    <row r="20" spans="1:6">
      <c r="A20" s="7" t="s">
        <v>207</v>
      </c>
      <c r="B20" s="4" t="s">
        <v>199</v>
      </c>
      <c r="C20" s="4" t="s">
        <v>145</v>
      </c>
      <c r="D20" s="20">
        <f>MarketPlace_Order_Report__2[[#This Row],[UnitPrice]]*MarketPlace_Order_Report__2[[#This Row],[OrderQty]]</f>
        <v>1000</v>
      </c>
      <c r="E20" s="20">
        <f>IFERROR(MarketPlace_Order_Report__2[[#This Row],[CGSTAmount]]+MarketPlace_Order_Report__2[[#This Row],[SGSTAmount]]+MarketPlace_Order_Report__2[[#This Row],[IGSTAmount]],MarketPlace_Order_Report__2[[#This Row],[TaxAmount]])</f>
        <v>47.619</v>
      </c>
      <c r="F20" s="21">
        <f>MarketPlace_Order_Report__2[[#This Row],[Gross Amount (Before Tax)]]+MarketPlace_Order_Report__2[[#This Row],[Total GST Amount]]</f>
        <v>1047.6189999999999</v>
      </c>
    </row>
    <row r="21" spans="1:6" hidden="1">
      <c r="A21" s="8" t="s">
        <v>210</v>
      </c>
      <c r="B21" s="5" t="s">
        <v>213</v>
      </c>
      <c r="C21" s="5" t="s">
        <v>1806</v>
      </c>
      <c r="D21" s="22">
        <f>MarketPlace_Order_Report__2[[#This Row],[UnitPrice]]*MarketPlace_Order_Report__2[[#This Row],[OrderQty]]</f>
        <v>1000</v>
      </c>
      <c r="E21" s="22">
        <f>IFERROR(MarketPlace_Order_Report__2[[#This Row],[CGSTAmount]]+MarketPlace_Order_Report__2[[#This Row],[SGSTAmount]]+MarketPlace_Order_Report__2[[#This Row],[IGSTAmount]],MarketPlace_Order_Report__2[[#This Row],[TaxAmount]])</f>
        <v>47.62</v>
      </c>
      <c r="F21" s="23">
        <f>MarketPlace_Order_Report__2[[#This Row],[Gross Amount (Before Tax)]]+MarketPlace_Order_Report__2[[#This Row],[Total GST Amount]]</f>
        <v>1047.6199999999999</v>
      </c>
    </row>
    <row r="22" spans="1:6" hidden="1">
      <c r="A22" s="7" t="s">
        <v>217</v>
      </c>
      <c r="B22" s="4" t="s">
        <v>220</v>
      </c>
      <c r="C22" s="4" t="s">
        <v>1806</v>
      </c>
      <c r="D22" s="20">
        <f>MarketPlace_Order_Report__2[[#This Row],[UnitPrice]]*MarketPlace_Order_Report__2[[#This Row],[OrderQty]]</f>
        <v>3500</v>
      </c>
      <c r="E22" s="20">
        <f>IFERROR(MarketPlace_Order_Report__2[[#This Row],[CGSTAmount]]+MarketPlace_Order_Report__2[[#This Row],[SGSTAmount]]+MarketPlace_Order_Report__2[[#This Row],[IGSTAmount]],MarketPlace_Order_Report__2[[#This Row],[TaxAmount]])</f>
        <v>533.89800000000002</v>
      </c>
      <c r="F22" s="21">
        <f>MarketPlace_Order_Report__2[[#This Row],[Gross Amount (Before Tax)]]+MarketPlace_Order_Report__2[[#This Row],[Total GST Amount]]</f>
        <v>4033.8980000000001</v>
      </c>
    </row>
    <row r="23" spans="1:6" hidden="1">
      <c r="A23" s="8" t="s">
        <v>224</v>
      </c>
      <c r="B23" s="5" t="s">
        <v>227</v>
      </c>
      <c r="C23" s="5" t="s">
        <v>228</v>
      </c>
      <c r="D23" s="22">
        <f>MarketPlace_Order_Report__2[[#This Row],[UnitPrice]]*MarketPlace_Order_Report__2[[#This Row],[OrderQty]]</f>
        <v>1000</v>
      </c>
      <c r="E23" s="22">
        <f>IFERROR(MarketPlace_Order_Report__2[[#This Row],[CGSTAmount]]+MarketPlace_Order_Report__2[[#This Row],[SGSTAmount]]+MarketPlace_Order_Report__2[[#This Row],[IGSTAmount]],MarketPlace_Order_Report__2[[#This Row],[TaxAmount]])</f>
        <v>47.619</v>
      </c>
      <c r="F23" s="23">
        <f>MarketPlace_Order_Report__2[[#This Row],[Gross Amount (Before Tax)]]+MarketPlace_Order_Report__2[[#This Row],[Total GST Amount]]</f>
        <v>1047.6189999999999</v>
      </c>
    </row>
    <row r="24" spans="1:6" hidden="1">
      <c r="A24" s="7" t="s">
        <v>234</v>
      </c>
      <c r="B24" s="4" t="s">
        <v>227</v>
      </c>
      <c r="C24" s="4" t="s">
        <v>1806</v>
      </c>
      <c r="D24" s="20">
        <f>MarketPlace_Order_Report__2[[#This Row],[UnitPrice]]*MarketPlace_Order_Report__2[[#This Row],[OrderQty]]</f>
        <v>1000</v>
      </c>
      <c r="E24" s="20">
        <f>IFERROR(MarketPlace_Order_Report__2[[#This Row],[CGSTAmount]]+MarketPlace_Order_Report__2[[#This Row],[SGSTAmount]]+MarketPlace_Order_Report__2[[#This Row],[IGSTAmount]],MarketPlace_Order_Report__2[[#This Row],[TaxAmount]])</f>
        <v>47.619</v>
      </c>
      <c r="F24" s="21">
        <f>MarketPlace_Order_Report__2[[#This Row],[Gross Amount (Before Tax)]]+MarketPlace_Order_Report__2[[#This Row],[Total GST Amount]]</f>
        <v>1047.6189999999999</v>
      </c>
    </row>
    <row r="25" spans="1:6" hidden="1">
      <c r="A25" s="8" t="s">
        <v>238</v>
      </c>
      <c r="B25" s="5" t="s">
        <v>227</v>
      </c>
      <c r="C25" s="5" t="s">
        <v>1806</v>
      </c>
      <c r="D25" s="22">
        <f>MarketPlace_Order_Report__2[[#This Row],[UnitPrice]]*MarketPlace_Order_Report__2[[#This Row],[OrderQty]]</f>
        <v>1000</v>
      </c>
      <c r="E25" s="22">
        <f>IFERROR(MarketPlace_Order_Report__2[[#This Row],[CGSTAmount]]+MarketPlace_Order_Report__2[[#This Row],[SGSTAmount]]+MarketPlace_Order_Report__2[[#This Row],[IGSTAmount]],MarketPlace_Order_Report__2[[#This Row],[TaxAmount]])</f>
        <v>47.62</v>
      </c>
      <c r="F25" s="23">
        <f>MarketPlace_Order_Report__2[[#This Row],[Gross Amount (Before Tax)]]+MarketPlace_Order_Report__2[[#This Row],[Total GST Amount]]</f>
        <v>1047.6199999999999</v>
      </c>
    </row>
    <row r="26" spans="1:6" hidden="1">
      <c r="A26" s="7" t="s">
        <v>244</v>
      </c>
      <c r="B26" s="4" t="s">
        <v>247</v>
      </c>
      <c r="C26" s="4" t="s">
        <v>62</v>
      </c>
      <c r="D26" s="20">
        <f>MarketPlace_Order_Report__2[[#This Row],[UnitPrice]]*MarketPlace_Order_Report__2[[#This Row],[OrderQty]]</f>
        <v>2400</v>
      </c>
      <c r="E26" s="20">
        <f>IFERROR(MarketPlace_Order_Report__2[[#This Row],[CGSTAmount]]+MarketPlace_Order_Report__2[[#This Row],[SGSTAmount]]+MarketPlace_Order_Report__2[[#This Row],[IGSTAmount]],MarketPlace_Order_Report__2[[#This Row],[TaxAmount]])</f>
        <v>114.286</v>
      </c>
      <c r="F26" s="21">
        <f>MarketPlace_Order_Report__2[[#This Row],[Gross Amount (Before Tax)]]+MarketPlace_Order_Report__2[[#This Row],[Total GST Amount]]</f>
        <v>2514.2860000000001</v>
      </c>
    </row>
    <row r="27" spans="1:6" hidden="1">
      <c r="A27" s="8" t="s">
        <v>253</v>
      </c>
      <c r="B27" s="5" t="s">
        <v>256</v>
      </c>
      <c r="C27" s="5" t="s">
        <v>257</v>
      </c>
      <c r="D27" s="22">
        <f>MarketPlace_Order_Report__2[[#This Row],[UnitPrice]]*MarketPlace_Order_Report__2[[#This Row],[OrderQty]]</f>
        <v>4050</v>
      </c>
      <c r="E27" s="22">
        <f>IFERROR(MarketPlace_Order_Report__2[[#This Row],[CGSTAmount]]+MarketPlace_Order_Report__2[[#This Row],[SGSTAmount]]+MarketPlace_Order_Report__2[[#This Row],[IGSTAmount]],MarketPlace_Order_Report__2[[#This Row],[TaxAmount]])</f>
        <v>617.798</v>
      </c>
      <c r="F27" s="23">
        <f>MarketPlace_Order_Report__2[[#This Row],[Gross Amount (Before Tax)]]+MarketPlace_Order_Report__2[[#This Row],[Total GST Amount]]</f>
        <v>4667.7979999999998</v>
      </c>
    </row>
    <row r="28" spans="1:6" hidden="1">
      <c r="A28" s="7" t="s">
        <v>261</v>
      </c>
      <c r="B28" s="4" t="s">
        <v>264</v>
      </c>
      <c r="C28" s="4" t="s">
        <v>62</v>
      </c>
      <c r="D28" s="20">
        <f>MarketPlace_Order_Report__2[[#This Row],[UnitPrice]]*MarketPlace_Order_Report__2[[#This Row],[OrderQty]]</f>
        <v>2800</v>
      </c>
      <c r="E28" s="20">
        <f>IFERROR(MarketPlace_Order_Report__2[[#This Row],[CGSTAmount]]+MarketPlace_Order_Report__2[[#This Row],[SGSTAmount]]+MarketPlace_Order_Report__2[[#This Row],[IGSTAmount]],MarketPlace_Order_Report__2[[#This Row],[TaxAmount]])</f>
        <v>427.12</v>
      </c>
      <c r="F28" s="21">
        <f>MarketPlace_Order_Report__2[[#This Row],[Gross Amount (Before Tax)]]+MarketPlace_Order_Report__2[[#This Row],[Total GST Amount]]</f>
        <v>3227.12</v>
      </c>
    </row>
    <row r="29" spans="1:6">
      <c r="A29" s="8" t="s">
        <v>269</v>
      </c>
      <c r="B29" s="5" t="s">
        <v>272</v>
      </c>
      <c r="C29" s="5" t="s">
        <v>145</v>
      </c>
      <c r="D29" s="22">
        <f>MarketPlace_Order_Report__2[[#This Row],[UnitPrice]]*MarketPlace_Order_Report__2[[#This Row],[OrderQty]]</f>
        <v>2800</v>
      </c>
      <c r="E29" s="22">
        <f>IFERROR(MarketPlace_Order_Report__2[[#This Row],[CGSTAmount]]+MarketPlace_Order_Report__2[[#This Row],[SGSTAmount]]+MarketPlace_Order_Report__2[[#This Row],[IGSTAmount]],MarketPlace_Order_Report__2[[#This Row],[TaxAmount]])</f>
        <v>427.11900000000003</v>
      </c>
      <c r="F29" s="23">
        <f>MarketPlace_Order_Report__2[[#This Row],[Gross Amount (Before Tax)]]+MarketPlace_Order_Report__2[[#This Row],[Total GST Amount]]</f>
        <v>3227.1190000000001</v>
      </c>
    </row>
    <row r="30" spans="1:6" hidden="1">
      <c r="A30" s="7" t="s">
        <v>273</v>
      </c>
      <c r="B30" s="4" t="s">
        <v>276</v>
      </c>
      <c r="C30" s="4" t="s">
        <v>1806</v>
      </c>
      <c r="D30" s="20">
        <f>MarketPlace_Order_Report__2[[#This Row],[UnitPrice]]*MarketPlace_Order_Report__2[[#This Row],[OrderQty]]</f>
        <v>2450</v>
      </c>
      <c r="E30" s="20">
        <f>IFERROR(MarketPlace_Order_Report__2[[#This Row],[CGSTAmount]]+MarketPlace_Order_Report__2[[#This Row],[SGSTAmount]]+MarketPlace_Order_Report__2[[#This Row],[IGSTAmount]],MarketPlace_Order_Report__2[[#This Row],[TaxAmount]])</f>
        <v>116.667</v>
      </c>
      <c r="F30" s="21">
        <f>MarketPlace_Order_Report__2[[#This Row],[Gross Amount (Before Tax)]]+MarketPlace_Order_Report__2[[#This Row],[Total GST Amount]]</f>
        <v>2566.6669999999999</v>
      </c>
    </row>
    <row r="31" spans="1:6" hidden="1">
      <c r="A31" s="8" t="s">
        <v>281</v>
      </c>
      <c r="B31" s="5" t="s">
        <v>284</v>
      </c>
      <c r="C31" s="5" t="s">
        <v>1806</v>
      </c>
      <c r="D31" s="22">
        <f>MarketPlace_Order_Report__2[[#This Row],[UnitPrice]]*MarketPlace_Order_Report__2[[#This Row],[OrderQty]]</f>
        <v>2800</v>
      </c>
      <c r="E31" s="22">
        <f>IFERROR(MarketPlace_Order_Report__2[[#This Row],[CGSTAmount]]+MarketPlace_Order_Report__2[[#This Row],[SGSTAmount]]+MarketPlace_Order_Report__2[[#This Row],[IGSTAmount]],MarketPlace_Order_Report__2[[#This Row],[TaxAmount]])</f>
        <v>427.11900000000003</v>
      </c>
      <c r="F31" s="23">
        <f>MarketPlace_Order_Report__2[[#This Row],[Gross Amount (Before Tax)]]+MarketPlace_Order_Report__2[[#This Row],[Total GST Amount]]</f>
        <v>3227.1190000000001</v>
      </c>
    </row>
    <row r="32" spans="1:6" hidden="1">
      <c r="A32" s="7" t="s">
        <v>289</v>
      </c>
      <c r="B32" s="4" t="s">
        <v>292</v>
      </c>
      <c r="C32" s="4" t="s">
        <v>257</v>
      </c>
      <c r="D32" s="20">
        <f>MarketPlace_Order_Report__2[[#This Row],[UnitPrice]]*MarketPlace_Order_Report__2[[#This Row],[OrderQty]]</f>
        <v>4000</v>
      </c>
      <c r="E32" s="20">
        <f>IFERROR(MarketPlace_Order_Report__2[[#This Row],[CGSTAmount]]+MarketPlace_Order_Report__2[[#This Row],[SGSTAmount]]+MarketPlace_Order_Report__2[[#This Row],[IGSTAmount]],MarketPlace_Order_Report__2[[#This Row],[TaxAmount]])</f>
        <v>610.16999999999996</v>
      </c>
      <c r="F32" s="21">
        <f>MarketPlace_Order_Report__2[[#This Row],[Gross Amount (Before Tax)]]+MarketPlace_Order_Report__2[[#This Row],[Total GST Amount]]</f>
        <v>4610.17</v>
      </c>
    </row>
    <row r="33" spans="1:6" hidden="1">
      <c r="A33" s="8" t="s">
        <v>295</v>
      </c>
      <c r="B33" s="5" t="s">
        <v>298</v>
      </c>
      <c r="C33" s="5" t="s">
        <v>107</v>
      </c>
      <c r="D33" s="22">
        <f>MarketPlace_Order_Report__2[[#This Row],[UnitPrice]]*MarketPlace_Order_Report__2[[#This Row],[OrderQty]]</f>
        <v>3465</v>
      </c>
      <c r="E33" s="22">
        <f>IFERROR(MarketPlace_Order_Report__2[[#This Row],[CGSTAmount]]+MarketPlace_Order_Report__2[[#This Row],[SGSTAmount]]+MarketPlace_Order_Report__2[[#This Row],[IGSTAmount]],MarketPlace_Order_Report__2[[#This Row],[TaxAmount]])</f>
        <v>528.55999999999995</v>
      </c>
      <c r="F33" s="23">
        <f>MarketPlace_Order_Report__2[[#This Row],[Gross Amount (Before Tax)]]+MarketPlace_Order_Report__2[[#This Row],[Total GST Amount]]</f>
        <v>3993.56</v>
      </c>
    </row>
    <row r="34" spans="1:6" hidden="1">
      <c r="A34" s="7" t="s">
        <v>302</v>
      </c>
      <c r="B34" s="4" t="s">
        <v>305</v>
      </c>
      <c r="C34" s="4" t="s">
        <v>1806</v>
      </c>
      <c r="D34" s="20">
        <f>MarketPlace_Order_Report__2[[#This Row],[UnitPrice]]*MarketPlace_Order_Report__2[[#This Row],[OrderQty]]</f>
        <v>3465</v>
      </c>
      <c r="E34" s="20">
        <f>IFERROR(MarketPlace_Order_Report__2[[#This Row],[CGSTAmount]]+MarketPlace_Order_Report__2[[#This Row],[SGSTAmount]]+MarketPlace_Order_Report__2[[#This Row],[IGSTAmount]],MarketPlace_Order_Report__2[[#This Row],[TaxAmount]])</f>
        <v>528.55899999999997</v>
      </c>
      <c r="F34" s="21">
        <f>MarketPlace_Order_Report__2[[#This Row],[Gross Amount (Before Tax)]]+MarketPlace_Order_Report__2[[#This Row],[Total GST Amount]]</f>
        <v>3993.5590000000002</v>
      </c>
    </row>
    <row r="35" spans="1:6" hidden="1">
      <c r="A35" s="8" t="s">
        <v>308</v>
      </c>
      <c r="B35" s="5" t="s">
        <v>305</v>
      </c>
      <c r="C35" s="5" t="s">
        <v>1806</v>
      </c>
      <c r="D35" s="22">
        <f>MarketPlace_Order_Report__2[[#This Row],[UnitPrice]]*MarketPlace_Order_Report__2[[#This Row],[OrderQty]]</f>
        <v>3465</v>
      </c>
      <c r="E35" s="22">
        <f>IFERROR(MarketPlace_Order_Report__2[[#This Row],[CGSTAmount]]+MarketPlace_Order_Report__2[[#This Row],[SGSTAmount]]+MarketPlace_Order_Report__2[[#This Row],[IGSTAmount]],MarketPlace_Order_Report__2[[#This Row],[TaxAmount]])</f>
        <v>528.55899999999997</v>
      </c>
      <c r="F35" s="23">
        <f>MarketPlace_Order_Report__2[[#This Row],[Gross Amount (Before Tax)]]+MarketPlace_Order_Report__2[[#This Row],[Total GST Amount]]</f>
        <v>3993.5590000000002</v>
      </c>
    </row>
    <row r="36" spans="1:6" hidden="1">
      <c r="A36" s="7" t="s">
        <v>313</v>
      </c>
      <c r="B36" s="4" t="s">
        <v>316</v>
      </c>
      <c r="C36" s="4" t="s">
        <v>62</v>
      </c>
      <c r="D36" s="20">
        <f>MarketPlace_Order_Report__2[[#This Row],[UnitPrice]]*MarketPlace_Order_Report__2[[#This Row],[OrderQty]]</f>
        <v>3465</v>
      </c>
      <c r="E36" s="20">
        <f>IFERROR(MarketPlace_Order_Report__2[[#This Row],[CGSTAmount]]+MarketPlace_Order_Report__2[[#This Row],[SGSTAmount]]+MarketPlace_Order_Report__2[[#This Row],[IGSTAmount]],MarketPlace_Order_Report__2[[#This Row],[TaxAmount]])</f>
        <v>528.55899999999997</v>
      </c>
      <c r="F36" s="21">
        <f>MarketPlace_Order_Report__2[[#This Row],[Gross Amount (Before Tax)]]+MarketPlace_Order_Report__2[[#This Row],[Total GST Amount]]</f>
        <v>3993.5590000000002</v>
      </c>
    </row>
    <row r="37" spans="1:6">
      <c r="A37" s="8" t="s">
        <v>321</v>
      </c>
      <c r="B37" s="5" t="s">
        <v>316</v>
      </c>
      <c r="C37" s="5" t="s">
        <v>145</v>
      </c>
      <c r="D37" s="22">
        <f>MarketPlace_Order_Report__2[[#This Row],[UnitPrice]]*MarketPlace_Order_Report__2[[#This Row],[OrderQty]]</f>
        <v>3465</v>
      </c>
      <c r="E37" s="22">
        <f>IFERROR(MarketPlace_Order_Report__2[[#This Row],[CGSTAmount]]+MarketPlace_Order_Report__2[[#This Row],[SGSTAmount]]+MarketPlace_Order_Report__2[[#This Row],[IGSTAmount]],MarketPlace_Order_Report__2[[#This Row],[TaxAmount]])</f>
        <v>528.55899999999997</v>
      </c>
      <c r="F37" s="23">
        <f>MarketPlace_Order_Report__2[[#This Row],[Gross Amount (Before Tax)]]+MarketPlace_Order_Report__2[[#This Row],[Total GST Amount]]</f>
        <v>3993.5590000000002</v>
      </c>
    </row>
    <row r="38" spans="1:6" hidden="1">
      <c r="A38" s="7" t="s">
        <v>327</v>
      </c>
      <c r="B38" s="4" t="s">
        <v>330</v>
      </c>
      <c r="C38" s="4" t="s">
        <v>1806</v>
      </c>
      <c r="D38" s="20">
        <f>MarketPlace_Order_Report__2[[#This Row],[UnitPrice]]*MarketPlace_Order_Report__2[[#This Row],[OrderQty]]</f>
        <v>2800</v>
      </c>
      <c r="E38" s="20">
        <f>IFERROR(MarketPlace_Order_Report__2[[#This Row],[CGSTAmount]]+MarketPlace_Order_Report__2[[#This Row],[SGSTAmount]]+MarketPlace_Order_Report__2[[#This Row],[IGSTAmount]],MarketPlace_Order_Report__2[[#This Row],[TaxAmount]])</f>
        <v>427.11900000000003</v>
      </c>
      <c r="F38" s="21">
        <f>MarketPlace_Order_Report__2[[#This Row],[Gross Amount (Before Tax)]]+MarketPlace_Order_Report__2[[#This Row],[Total GST Amount]]</f>
        <v>3227.1190000000001</v>
      </c>
    </row>
    <row r="39" spans="1:6" hidden="1">
      <c r="A39" s="8" t="s">
        <v>333</v>
      </c>
      <c r="B39" s="5" t="s">
        <v>336</v>
      </c>
      <c r="C39" s="5" t="s">
        <v>62</v>
      </c>
      <c r="D39" s="22">
        <f>MarketPlace_Order_Report__2[[#This Row],[UnitPrice]]*MarketPlace_Order_Report__2[[#This Row],[OrderQty]]</f>
        <v>3600</v>
      </c>
      <c r="E39" s="22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39" s="23">
        <f>MarketPlace_Order_Report__2[[#This Row],[Gross Amount (Before Tax)]]+MarketPlace_Order_Report__2[[#This Row],[Total GST Amount]]</f>
        <v>4149.1530000000002</v>
      </c>
    </row>
    <row r="40" spans="1:6">
      <c r="A40" s="7" t="s">
        <v>341</v>
      </c>
      <c r="B40" s="4" t="s">
        <v>344</v>
      </c>
      <c r="C40" s="4" t="s">
        <v>145</v>
      </c>
      <c r="D40" s="20">
        <f>MarketPlace_Order_Report__2[[#This Row],[UnitPrice]]*MarketPlace_Order_Report__2[[#This Row],[OrderQty]]</f>
        <v>4050</v>
      </c>
      <c r="E40" s="20">
        <f>IFERROR(MarketPlace_Order_Report__2[[#This Row],[CGSTAmount]]+MarketPlace_Order_Report__2[[#This Row],[SGSTAmount]]+MarketPlace_Order_Report__2[[#This Row],[IGSTAmount]],MarketPlace_Order_Report__2[[#This Row],[TaxAmount]])</f>
        <v>617.79700000000003</v>
      </c>
      <c r="F40" s="21">
        <f>MarketPlace_Order_Report__2[[#This Row],[Gross Amount (Before Tax)]]+MarketPlace_Order_Report__2[[#This Row],[Total GST Amount]]</f>
        <v>4667.7970000000005</v>
      </c>
    </row>
    <row r="41" spans="1:6" hidden="1">
      <c r="A41" s="8" t="s">
        <v>347</v>
      </c>
      <c r="B41" s="5" t="s">
        <v>350</v>
      </c>
      <c r="C41" s="5" t="s">
        <v>1806</v>
      </c>
      <c r="D41" s="22">
        <f>MarketPlace_Order_Report__2[[#This Row],[UnitPrice]]*MarketPlace_Order_Report__2[[#This Row],[OrderQty]]</f>
        <v>4050</v>
      </c>
      <c r="E41" s="22">
        <f>IFERROR(MarketPlace_Order_Report__2[[#This Row],[CGSTAmount]]+MarketPlace_Order_Report__2[[#This Row],[SGSTAmount]]+MarketPlace_Order_Report__2[[#This Row],[IGSTAmount]],MarketPlace_Order_Report__2[[#This Row],[TaxAmount]])</f>
        <v>617.798</v>
      </c>
      <c r="F41" s="23">
        <f>MarketPlace_Order_Report__2[[#This Row],[Gross Amount (Before Tax)]]+MarketPlace_Order_Report__2[[#This Row],[Total GST Amount]]</f>
        <v>4667.7979999999998</v>
      </c>
    </row>
    <row r="42" spans="1:6" hidden="1">
      <c r="A42" s="7" t="s">
        <v>354</v>
      </c>
      <c r="B42" s="4" t="s">
        <v>357</v>
      </c>
      <c r="C42" s="4" t="s">
        <v>1806</v>
      </c>
      <c r="D42" s="20">
        <f>MarketPlace_Order_Report__2[[#This Row],[UnitPrice]]*MarketPlace_Order_Report__2[[#This Row],[OrderQty]]</f>
        <v>4050</v>
      </c>
      <c r="E42" s="20">
        <f>IFERROR(MarketPlace_Order_Report__2[[#This Row],[CGSTAmount]]+MarketPlace_Order_Report__2[[#This Row],[SGSTAmount]]+MarketPlace_Order_Report__2[[#This Row],[IGSTAmount]],MarketPlace_Order_Report__2[[#This Row],[TaxAmount]])</f>
        <v>617.79700000000003</v>
      </c>
      <c r="F42" s="21">
        <f>MarketPlace_Order_Report__2[[#This Row],[Gross Amount (Before Tax)]]+MarketPlace_Order_Report__2[[#This Row],[Total GST Amount]]</f>
        <v>4667.7970000000005</v>
      </c>
    </row>
    <row r="43" spans="1:6" hidden="1">
      <c r="A43" s="8" t="s">
        <v>362</v>
      </c>
      <c r="B43" s="5" t="s">
        <v>365</v>
      </c>
      <c r="C43" s="5" t="s">
        <v>1806</v>
      </c>
      <c r="D43" s="22">
        <f>MarketPlace_Order_Report__2[[#This Row],[UnitPrice]]*MarketPlace_Order_Report__2[[#This Row],[OrderQty]]</f>
        <v>4500</v>
      </c>
      <c r="E43" s="22">
        <f>IFERROR(MarketPlace_Order_Report__2[[#This Row],[CGSTAmount]]+MarketPlace_Order_Report__2[[#This Row],[SGSTAmount]]+MarketPlace_Order_Report__2[[#This Row],[IGSTAmount]],MarketPlace_Order_Report__2[[#This Row],[TaxAmount]])</f>
        <v>686.44100000000003</v>
      </c>
      <c r="F43" s="23">
        <f>MarketPlace_Order_Report__2[[#This Row],[Gross Amount (Before Tax)]]+MarketPlace_Order_Report__2[[#This Row],[Total GST Amount]]</f>
        <v>5186.4409999999998</v>
      </c>
    </row>
    <row r="44" spans="1:6" hidden="1">
      <c r="A44" s="7" t="s">
        <v>368</v>
      </c>
      <c r="B44" s="4" t="s">
        <v>371</v>
      </c>
      <c r="C44" s="4" t="s">
        <v>62</v>
      </c>
      <c r="D44" s="20">
        <f>MarketPlace_Order_Report__2[[#This Row],[UnitPrice]]*MarketPlace_Order_Report__2[[#This Row],[OrderQty]]</f>
        <v>2700</v>
      </c>
      <c r="E44" s="20">
        <f>IFERROR(MarketPlace_Order_Report__2[[#This Row],[CGSTAmount]]+MarketPlace_Order_Report__2[[#This Row],[SGSTAmount]]+MarketPlace_Order_Report__2[[#This Row],[IGSTAmount]],MarketPlace_Order_Report__2[[#This Row],[TaxAmount]])</f>
        <v>411.86399999999998</v>
      </c>
      <c r="F44" s="21">
        <f>MarketPlace_Order_Report__2[[#This Row],[Gross Amount (Before Tax)]]+MarketPlace_Order_Report__2[[#This Row],[Total GST Amount]]</f>
        <v>3111.864</v>
      </c>
    </row>
    <row r="45" spans="1:6" hidden="1">
      <c r="A45" s="8" t="s">
        <v>376</v>
      </c>
      <c r="B45" s="5" t="s">
        <v>379</v>
      </c>
      <c r="C45" s="5" t="s">
        <v>62</v>
      </c>
      <c r="D45" s="22">
        <f>MarketPlace_Order_Report__2[[#This Row],[UnitPrice]]*MarketPlace_Order_Report__2[[#This Row],[OrderQty]]</f>
        <v>3150</v>
      </c>
      <c r="E45" s="22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45" s="23">
        <f>MarketPlace_Order_Report__2[[#This Row],[Gross Amount (Before Tax)]]+MarketPlace_Order_Report__2[[#This Row],[Total GST Amount]]</f>
        <v>3630.5079999999998</v>
      </c>
    </row>
    <row r="46" spans="1:6">
      <c r="A46" s="7" t="s">
        <v>385</v>
      </c>
      <c r="B46" s="4" t="s">
        <v>388</v>
      </c>
      <c r="C46" s="4" t="s">
        <v>145</v>
      </c>
      <c r="D46" s="20">
        <f>MarketPlace_Order_Report__2[[#This Row],[UnitPrice]]*MarketPlace_Order_Report__2[[#This Row],[OrderQty]]</f>
        <v>3150</v>
      </c>
      <c r="E46" s="20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46" s="21">
        <f>MarketPlace_Order_Report__2[[#This Row],[Gross Amount (Before Tax)]]+MarketPlace_Order_Report__2[[#This Row],[Total GST Amount]]</f>
        <v>3630.5079999999998</v>
      </c>
    </row>
    <row r="47" spans="1:6" hidden="1">
      <c r="A47" s="8" t="s">
        <v>389</v>
      </c>
      <c r="B47" s="5" t="s">
        <v>392</v>
      </c>
      <c r="C47" s="5" t="s">
        <v>228</v>
      </c>
      <c r="D47" s="22">
        <f>MarketPlace_Order_Report__2[[#This Row],[UnitPrice]]*MarketPlace_Order_Report__2[[#This Row],[OrderQty]]</f>
        <v>3150</v>
      </c>
      <c r="E47" s="22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47" s="23">
        <f>MarketPlace_Order_Report__2[[#This Row],[Gross Amount (Before Tax)]]+MarketPlace_Order_Report__2[[#This Row],[Total GST Amount]]</f>
        <v>3630.5079999999998</v>
      </c>
    </row>
    <row r="48" spans="1:6" hidden="1">
      <c r="A48" s="7" t="s">
        <v>397</v>
      </c>
      <c r="B48" s="4" t="s">
        <v>400</v>
      </c>
      <c r="C48" s="4" t="s">
        <v>62</v>
      </c>
      <c r="D48" s="20">
        <f>MarketPlace_Order_Report__2[[#This Row],[UnitPrice]]*MarketPlace_Order_Report__2[[#This Row],[OrderQty]]</f>
        <v>3375</v>
      </c>
      <c r="E48" s="20">
        <f>IFERROR(MarketPlace_Order_Report__2[[#This Row],[CGSTAmount]]+MarketPlace_Order_Report__2[[#This Row],[SGSTAmount]]+MarketPlace_Order_Report__2[[#This Row],[IGSTAmount]],MarketPlace_Order_Report__2[[#This Row],[TaxAmount]])</f>
        <v>514.83199999999999</v>
      </c>
      <c r="F48" s="21">
        <f>MarketPlace_Order_Report__2[[#This Row],[Gross Amount (Before Tax)]]+MarketPlace_Order_Report__2[[#This Row],[Total GST Amount]]</f>
        <v>3889.8319999999999</v>
      </c>
    </row>
    <row r="49" spans="1:6" hidden="1">
      <c r="A49" s="8" t="s">
        <v>302</v>
      </c>
      <c r="B49" s="5" t="s">
        <v>405</v>
      </c>
      <c r="C49" s="5" t="s">
        <v>1806</v>
      </c>
      <c r="D49" s="22">
        <f>MarketPlace_Order_Report__2[[#This Row],[UnitPrice]]*MarketPlace_Order_Report__2[[#This Row],[OrderQty]]</f>
        <v>3375</v>
      </c>
      <c r="E49" s="22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F49" s="23">
        <f>MarketPlace_Order_Report__2[[#This Row],[Gross Amount (Before Tax)]]+MarketPlace_Order_Report__2[[#This Row],[Total GST Amount]]</f>
        <v>3889.8310000000001</v>
      </c>
    </row>
    <row r="50" spans="1:6" hidden="1">
      <c r="A50" s="7" t="s">
        <v>313</v>
      </c>
      <c r="B50" s="4" t="s">
        <v>407</v>
      </c>
      <c r="C50" s="4" t="s">
        <v>62</v>
      </c>
      <c r="D50" s="20">
        <f>MarketPlace_Order_Report__2[[#This Row],[UnitPrice]]*MarketPlace_Order_Report__2[[#This Row],[OrderQty]]</f>
        <v>3375</v>
      </c>
      <c r="E50" s="20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F50" s="21">
        <f>MarketPlace_Order_Report__2[[#This Row],[Gross Amount (Before Tax)]]+MarketPlace_Order_Report__2[[#This Row],[Total GST Amount]]</f>
        <v>3889.8310000000001</v>
      </c>
    </row>
    <row r="51" spans="1:6">
      <c r="A51" s="8" t="s">
        <v>409</v>
      </c>
      <c r="B51" s="5" t="s">
        <v>407</v>
      </c>
      <c r="C51" s="5" t="s">
        <v>145</v>
      </c>
      <c r="D51" s="22">
        <f>MarketPlace_Order_Report__2[[#This Row],[UnitPrice]]*MarketPlace_Order_Report__2[[#This Row],[OrderQty]]</f>
        <v>3375</v>
      </c>
      <c r="E51" s="22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F51" s="23">
        <f>MarketPlace_Order_Report__2[[#This Row],[Gross Amount (Before Tax)]]+MarketPlace_Order_Report__2[[#This Row],[Total GST Amount]]</f>
        <v>3889.8310000000001</v>
      </c>
    </row>
    <row r="52" spans="1:6" hidden="1">
      <c r="A52" s="7" t="s">
        <v>411</v>
      </c>
      <c r="B52" s="4" t="s">
        <v>414</v>
      </c>
      <c r="C52" s="4" t="s">
        <v>1806</v>
      </c>
      <c r="D52" s="20">
        <f>MarketPlace_Order_Report__2[[#This Row],[UnitPrice]]*MarketPlace_Order_Report__2[[#This Row],[OrderQty]]</f>
        <v>3150</v>
      </c>
      <c r="E52" s="20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52" s="21">
        <f>MarketPlace_Order_Report__2[[#This Row],[Gross Amount (Before Tax)]]+MarketPlace_Order_Report__2[[#This Row],[Total GST Amount]]</f>
        <v>3630.5079999999998</v>
      </c>
    </row>
    <row r="53" spans="1:6" hidden="1">
      <c r="A53" s="8" t="s">
        <v>417</v>
      </c>
      <c r="B53" s="5" t="s">
        <v>420</v>
      </c>
      <c r="C53" s="5" t="s">
        <v>62</v>
      </c>
      <c r="D53" s="22">
        <f>MarketPlace_Order_Report__2[[#This Row],[UnitPrice]]*MarketPlace_Order_Report__2[[#This Row],[OrderQty]]</f>
        <v>3150</v>
      </c>
      <c r="E53" s="22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53" s="23">
        <f>MarketPlace_Order_Report__2[[#This Row],[Gross Amount (Before Tax)]]+MarketPlace_Order_Report__2[[#This Row],[Total GST Amount]]</f>
        <v>3630.5079999999998</v>
      </c>
    </row>
    <row r="54" spans="1:6" hidden="1">
      <c r="A54" s="7" t="s">
        <v>425</v>
      </c>
      <c r="B54" s="4" t="s">
        <v>428</v>
      </c>
      <c r="C54" s="4" t="s">
        <v>62</v>
      </c>
      <c r="D54" s="20">
        <f>MarketPlace_Order_Report__2[[#This Row],[UnitPrice]]*MarketPlace_Order_Report__2[[#This Row],[OrderQty]]</f>
        <v>1400</v>
      </c>
      <c r="E54" s="20">
        <f>IFERROR(MarketPlace_Order_Report__2[[#This Row],[CGSTAmount]]+MarketPlace_Order_Report__2[[#This Row],[SGSTAmount]]+MarketPlace_Order_Report__2[[#This Row],[IGSTAmount]],MarketPlace_Order_Report__2[[#This Row],[TaxAmount]])</f>
        <v>66.668000000000006</v>
      </c>
      <c r="F54" s="21">
        <f>MarketPlace_Order_Report__2[[#This Row],[Gross Amount (Before Tax)]]+MarketPlace_Order_Report__2[[#This Row],[Total GST Amount]]</f>
        <v>1466.6680000000001</v>
      </c>
    </row>
    <row r="55" spans="1:6" hidden="1">
      <c r="A55" s="8" t="s">
        <v>433</v>
      </c>
      <c r="B55" s="5" t="s">
        <v>436</v>
      </c>
      <c r="C55" s="5" t="s">
        <v>62</v>
      </c>
      <c r="D55" s="22">
        <f>MarketPlace_Order_Report__2[[#This Row],[UnitPrice]]*MarketPlace_Order_Report__2[[#This Row],[OrderQty]]</f>
        <v>4050</v>
      </c>
      <c r="E55" s="22">
        <f>IFERROR(MarketPlace_Order_Report__2[[#This Row],[CGSTAmount]]+MarketPlace_Order_Report__2[[#This Row],[SGSTAmount]]+MarketPlace_Order_Report__2[[#This Row],[IGSTAmount]],MarketPlace_Order_Report__2[[#This Row],[TaxAmount]])</f>
        <v>617.79700000000003</v>
      </c>
      <c r="F55" s="23">
        <f>MarketPlace_Order_Report__2[[#This Row],[Gross Amount (Before Tax)]]+MarketPlace_Order_Report__2[[#This Row],[Total GST Amount]]</f>
        <v>4667.7970000000005</v>
      </c>
    </row>
    <row r="56" spans="1:6" hidden="1">
      <c r="A56" s="7" t="s">
        <v>443</v>
      </c>
      <c r="B56" s="4" t="s">
        <v>446</v>
      </c>
      <c r="C56" s="4" t="s">
        <v>1806</v>
      </c>
      <c r="D56" s="20">
        <f>MarketPlace_Order_Report__2[[#This Row],[UnitPrice]]*MarketPlace_Order_Report__2[[#This Row],[OrderQty]]</f>
        <v>4050</v>
      </c>
      <c r="E56" s="20">
        <f>IFERROR(MarketPlace_Order_Report__2[[#This Row],[CGSTAmount]]+MarketPlace_Order_Report__2[[#This Row],[SGSTAmount]]+MarketPlace_Order_Report__2[[#This Row],[IGSTAmount]],MarketPlace_Order_Report__2[[#This Row],[TaxAmount]])</f>
        <v>617.79700000000003</v>
      </c>
      <c r="F56" s="21">
        <f>MarketPlace_Order_Report__2[[#This Row],[Gross Amount (Before Tax)]]+MarketPlace_Order_Report__2[[#This Row],[Total GST Amount]]</f>
        <v>4667.7970000000005</v>
      </c>
    </row>
    <row r="57" spans="1:6">
      <c r="A57" s="8" t="s">
        <v>449</v>
      </c>
      <c r="B57" s="5" t="s">
        <v>446</v>
      </c>
      <c r="C57" s="5" t="s">
        <v>145</v>
      </c>
      <c r="D57" s="22">
        <f>MarketPlace_Order_Report__2[[#This Row],[UnitPrice]]*MarketPlace_Order_Report__2[[#This Row],[OrderQty]]</f>
        <v>4050</v>
      </c>
      <c r="E57" s="22">
        <f>IFERROR(MarketPlace_Order_Report__2[[#This Row],[CGSTAmount]]+MarketPlace_Order_Report__2[[#This Row],[SGSTAmount]]+MarketPlace_Order_Report__2[[#This Row],[IGSTAmount]],MarketPlace_Order_Report__2[[#This Row],[TaxAmount]])</f>
        <v>617.79700000000003</v>
      </c>
      <c r="F57" s="23">
        <f>MarketPlace_Order_Report__2[[#This Row],[Gross Amount (Before Tax)]]+MarketPlace_Order_Report__2[[#This Row],[Total GST Amount]]</f>
        <v>4667.7970000000005</v>
      </c>
    </row>
    <row r="58" spans="1:6" hidden="1">
      <c r="A58" s="7" t="s">
        <v>452</v>
      </c>
      <c r="B58" s="4" t="s">
        <v>455</v>
      </c>
      <c r="C58" s="4" t="s">
        <v>1806</v>
      </c>
      <c r="D58" s="20">
        <f>MarketPlace_Order_Report__2[[#This Row],[UnitPrice]]*MarketPlace_Order_Report__2[[#This Row],[OrderQty]]</f>
        <v>4050</v>
      </c>
      <c r="E58" s="20">
        <f>IFERROR(MarketPlace_Order_Report__2[[#This Row],[CGSTAmount]]+MarketPlace_Order_Report__2[[#This Row],[SGSTAmount]]+MarketPlace_Order_Report__2[[#This Row],[IGSTAmount]],MarketPlace_Order_Report__2[[#This Row],[TaxAmount]])</f>
        <v>617.79700000000003</v>
      </c>
      <c r="F58" s="21">
        <f>MarketPlace_Order_Report__2[[#This Row],[Gross Amount (Before Tax)]]+MarketPlace_Order_Report__2[[#This Row],[Total GST Amount]]</f>
        <v>4667.7970000000005</v>
      </c>
    </row>
    <row r="59" spans="1:6" hidden="1">
      <c r="A59" s="8" t="s">
        <v>459</v>
      </c>
      <c r="B59" s="5" t="s">
        <v>462</v>
      </c>
      <c r="C59" s="5" t="s">
        <v>257</v>
      </c>
      <c r="D59" s="22">
        <f>MarketPlace_Order_Report__2[[#This Row],[UnitPrice]]*MarketPlace_Order_Report__2[[#This Row],[OrderQty]]</f>
        <v>3600</v>
      </c>
      <c r="E59" s="22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59" s="23">
        <f>MarketPlace_Order_Report__2[[#This Row],[Gross Amount (Before Tax)]]+MarketPlace_Order_Report__2[[#This Row],[Total GST Amount]]</f>
        <v>4149.1530000000002</v>
      </c>
    </row>
    <row r="60" spans="1:6" hidden="1">
      <c r="A60" s="7" t="s">
        <v>466</v>
      </c>
      <c r="B60" s="4" t="s">
        <v>469</v>
      </c>
      <c r="C60" s="4" t="s">
        <v>107</v>
      </c>
      <c r="D60" s="20">
        <f>MarketPlace_Order_Report__2[[#This Row],[UnitPrice]]*MarketPlace_Order_Report__2[[#This Row],[OrderQty]]</f>
        <v>3375</v>
      </c>
      <c r="E60" s="20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F60" s="21">
        <f>MarketPlace_Order_Report__2[[#This Row],[Gross Amount (Before Tax)]]+MarketPlace_Order_Report__2[[#This Row],[Total GST Amount]]</f>
        <v>3889.8310000000001</v>
      </c>
    </row>
    <row r="61" spans="1:6" hidden="1">
      <c r="A61" s="8" t="s">
        <v>474</v>
      </c>
      <c r="B61" s="5" t="s">
        <v>469</v>
      </c>
      <c r="C61" s="5" t="s">
        <v>62</v>
      </c>
      <c r="D61" s="22">
        <f>MarketPlace_Order_Report__2[[#This Row],[UnitPrice]]*MarketPlace_Order_Report__2[[#This Row],[OrderQty]]</f>
        <v>3375</v>
      </c>
      <c r="E61" s="22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F61" s="23">
        <f>MarketPlace_Order_Report__2[[#This Row],[Gross Amount (Before Tax)]]+MarketPlace_Order_Report__2[[#This Row],[Total GST Amount]]</f>
        <v>3889.8310000000001</v>
      </c>
    </row>
    <row r="62" spans="1:6" hidden="1">
      <c r="A62" s="7" t="s">
        <v>480</v>
      </c>
      <c r="B62" s="4" t="s">
        <v>483</v>
      </c>
      <c r="C62" s="4" t="s">
        <v>1806</v>
      </c>
      <c r="D62" s="20">
        <f>MarketPlace_Order_Report__2[[#This Row],[UnitPrice]]*MarketPlace_Order_Report__2[[#This Row],[OrderQty]]</f>
        <v>3375</v>
      </c>
      <c r="E62" s="20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F62" s="21">
        <f>MarketPlace_Order_Report__2[[#This Row],[Gross Amount (Before Tax)]]+MarketPlace_Order_Report__2[[#This Row],[Total GST Amount]]</f>
        <v>3889.8310000000001</v>
      </c>
    </row>
    <row r="63" spans="1:6" hidden="1">
      <c r="A63" s="8" t="s">
        <v>486</v>
      </c>
      <c r="B63" s="5" t="s">
        <v>483</v>
      </c>
      <c r="C63" s="5" t="s">
        <v>1806</v>
      </c>
      <c r="D63" s="22">
        <f>MarketPlace_Order_Report__2[[#This Row],[UnitPrice]]*MarketPlace_Order_Report__2[[#This Row],[OrderQty]]</f>
        <v>3375</v>
      </c>
      <c r="E63" s="22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F63" s="23">
        <f>MarketPlace_Order_Report__2[[#This Row],[Gross Amount (Before Tax)]]+MarketPlace_Order_Report__2[[#This Row],[Total GST Amount]]</f>
        <v>3889.8310000000001</v>
      </c>
    </row>
    <row r="64" spans="1:6" hidden="1">
      <c r="A64" s="7" t="s">
        <v>491</v>
      </c>
      <c r="B64" s="4" t="s">
        <v>494</v>
      </c>
      <c r="C64" s="4" t="s">
        <v>62</v>
      </c>
      <c r="D64" s="20">
        <f>MarketPlace_Order_Report__2[[#This Row],[UnitPrice]]*MarketPlace_Order_Report__2[[#This Row],[OrderQty]]</f>
        <v>3375</v>
      </c>
      <c r="E64" s="20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F64" s="21">
        <f>MarketPlace_Order_Report__2[[#This Row],[Gross Amount (Before Tax)]]+MarketPlace_Order_Report__2[[#This Row],[Total GST Amount]]</f>
        <v>3889.8310000000001</v>
      </c>
    </row>
    <row r="65" spans="1:6" hidden="1">
      <c r="A65" s="8" t="s">
        <v>498</v>
      </c>
      <c r="B65" s="5" t="s">
        <v>501</v>
      </c>
      <c r="C65" s="5" t="s">
        <v>1806</v>
      </c>
      <c r="D65" s="22">
        <f>MarketPlace_Order_Report__2[[#This Row],[UnitPrice]]*MarketPlace_Order_Report__2[[#This Row],[OrderQty]]</f>
        <v>3600</v>
      </c>
      <c r="E65" s="22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65" s="23">
        <f>MarketPlace_Order_Report__2[[#This Row],[Gross Amount (Before Tax)]]+MarketPlace_Order_Report__2[[#This Row],[Total GST Amount]]</f>
        <v>4149.1530000000002</v>
      </c>
    </row>
    <row r="66" spans="1:6" hidden="1">
      <c r="A66" s="7" t="s">
        <v>505</v>
      </c>
      <c r="B66" s="4" t="s">
        <v>508</v>
      </c>
      <c r="C66" s="4" t="s">
        <v>1806</v>
      </c>
      <c r="D66" s="20">
        <f>MarketPlace_Order_Report__2[[#This Row],[UnitPrice]]*MarketPlace_Order_Report__2[[#This Row],[OrderQty]]</f>
        <v>3600</v>
      </c>
      <c r="E66" s="20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F66" s="21">
        <f>MarketPlace_Order_Report__2[[#This Row],[Gross Amount (Before Tax)]]+MarketPlace_Order_Report__2[[#This Row],[Total GST Amount]]</f>
        <v>4149.1540000000005</v>
      </c>
    </row>
    <row r="67" spans="1:6" hidden="1">
      <c r="A67" s="8" t="s">
        <v>511</v>
      </c>
      <c r="B67" s="5" t="s">
        <v>514</v>
      </c>
      <c r="C67" s="5" t="s">
        <v>107</v>
      </c>
      <c r="D67" s="22">
        <f>MarketPlace_Order_Report__2[[#This Row],[UnitPrice]]*MarketPlace_Order_Report__2[[#This Row],[OrderQty]]</f>
        <v>3600</v>
      </c>
      <c r="E67" s="22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F67" s="23">
        <f>MarketPlace_Order_Report__2[[#This Row],[Gross Amount (Before Tax)]]+MarketPlace_Order_Report__2[[#This Row],[Total GST Amount]]</f>
        <v>4149.1540000000005</v>
      </c>
    </row>
    <row r="68" spans="1:6" hidden="1">
      <c r="A68" s="7" t="s">
        <v>518</v>
      </c>
      <c r="B68" s="4" t="s">
        <v>521</v>
      </c>
      <c r="C68" s="4" t="s">
        <v>1806</v>
      </c>
      <c r="D68" s="20">
        <f>MarketPlace_Order_Report__2[[#This Row],[UnitPrice]]*MarketPlace_Order_Report__2[[#This Row],[OrderQty]]</f>
        <v>3600</v>
      </c>
      <c r="E68" s="20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F68" s="21">
        <f>MarketPlace_Order_Report__2[[#This Row],[Gross Amount (Before Tax)]]+MarketPlace_Order_Report__2[[#This Row],[Total GST Amount]]</f>
        <v>4149.1540000000005</v>
      </c>
    </row>
    <row r="69" spans="1:6" hidden="1">
      <c r="A69" s="8" t="s">
        <v>524</v>
      </c>
      <c r="B69" s="5" t="s">
        <v>521</v>
      </c>
      <c r="C69" s="5" t="s">
        <v>1806</v>
      </c>
      <c r="D69" s="22">
        <f>MarketPlace_Order_Report__2[[#This Row],[UnitPrice]]*MarketPlace_Order_Report__2[[#This Row],[OrderQty]]</f>
        <v>3600</v>
      </c>
      <c r="E69" s="22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69" s="23">
        <f>MarketPlace_Order_Report__2[[#This Row],[Gross Amount (Before Tax)]]+MarketPlace_Order_Report__2[[#This Row],[Total GST Amount]]</f>
        <v>4149.1530000000002</v>
      </c>
    </row>
    <row r="70" spans="1:6" hidden="1">
      <c r="A70" s="7" t="s">
        <v>528</v>
      </c>
      <c r="B70" s="4" t="s">
        <v>521</v>
      </c>
      <c r="C70" s="4" t="s">
        <v>62</v>
      </c>
      <c r="D70" s="20">
        <f>MarketPlace_Order_Report__2[[#This Row],[UnitPrice]]*MarketPlace_Order_Report__2[[#This Row],[OrderQty]]</f>
        <v>3600</v>
      </c>
      <c r="E70" s="20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F70" s="21">
        <f>MarketPlace_Order_Report__2[[#This Row],[Gross Amount (Before Tax)]]+MarketPlace_Order_Report__2[[#This Row],[Total GST Amount]]</f>
        <v>4149.1540000000005</v>
      </c>
    </row>
    <row r="71" spans="1:6" hidden="1">
      <c r="A71" s="8" t="s">
        <v>518</v>
      </c>
      <c r="B71" s="5" t="s">
        <v>534</v>
      </c>
      <c r="C71" s="5" t="s">
        <v>62</v>
      </c>
      <c r="D71" s="22">
        <f>MarketPlace_Order_Report__2[[#This Row],[UnitPrice]]*MarketPlace_Order_Report__2[[#This Row],[OrderQty]]</f>
        <v>3600</v>
      </c>
      <c r="E71" s="22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F71" s="23">
        <f>MarketPlace_Order_Report__2[[#This Row],[Gross Amount (Before Tax)]]+MarketPlace_Order_Report__2[[#This Row],[Total GST Amount]]</f>
        <v>4149.1540000000005</v>
      </c>
    </row>
    <row r="72" spans="1:6" hidden="1">
      <c r="A72" s="7" t="s">
        <v>536</v>
      </c>
      <c r="B72" s="4" t="s">
        <v>539</v>
      </c>
      <c r="C72" s="4" t="s">
        <v>1806</v>
      </c>
      <c r="D72" s="20">
        <f>MarketPlace_Order_Report__2[[#This Row],[UnitPrice]]*MarketPlace_Order_Report__2[[#This Row],[OrderQty]]</f>
        <v>3600</v>
      </c>
      <c r="E72" s="20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72" s="21">
        <f>MarketPlace_Order_Report__2[[#This Row],[Gross Amount (Before Tax)]]+MarketPlace_Order_Report__2[[#This Row],[Total GST Amount]]</f>
        <v>4149.1530000000002</v>
      </c>
    </row>
    <row r="73" spans="1:6" hidden="1">
      <c r="A73" s="8" t="s">
        <v>543</v>
      </c>
      <c r="B73" s="5" t="s">
        <v>546</v>
      </c>
      <c r="C73" s="5" t="s">
        <v>257</v>
      </c>
      <c r="D73" s="22">
        <f>MarketPlace_Order_Report__2[[#This Row],[UnitPrice]]*MarketPlace_Order_Report__2[[#This Row],[OrderQty]]</f>
        <v>3600</v>
      </c>
      <c r="E73" s="22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73" s="23">
        <f>MarketPlace_Order_Report__2[[#This Row],[Gross Amount (Before Tax)]]+MarketPlace_Order_Report__2[[#This Row],[Total GST Amount]]</f>
        <v>4149.1530000000002</v>
      </c>
    </row>
    <row r="74" spans="1:6" hidden="1">
      <c r="A74" s="7" t="s">
        <v>549</v>
      </c>
      <c r="B74" s="4" t="s">
        <v>552</v>
      </c>
      <c r="C74" s="4" t="s">
        <v>98</v>
      </c>
      <c r="D74" s="20">
        <f>MarketPlace_Order_Report__2[[#This Row],[UnitPrice]]*MarketPlace_Order_Report__2[[#This Row],[OrderQty]]</f>
        <v>3600</v>
      </c>
      <c r="E74" s="20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74" s="21">
        <f>MarketPlace_Order_Report__2[[#This Row],[Gross Amount (Before Tax)]]+MarketPlace_Order_Report__2[[#This Row],[Total GST Amount]]</f>
        <v>4149.1530000000002</v>
      </c>
    </row>
    <row r="75" spans="1:6" hidden="1">
      <c r="A75" s="8" t="s">
        <v>555</v>
      </c>
      <c r="B75" s="5" t="s">
        <v>558</v>
      </c>
      <c r="C75" s="5" t="s">
        <v>1806</v>
      </c>
      <c r="D75" s="22">
        <f>MarketPlace_Order_Report__2[[#This Row],[UnitPrice]]*MarketPlace_Order_Report__2[[#This Row],[OrderQty]]</f>
        <v>3600</v>
      </c>
      <c r="E75" s="22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75" s="23">
        <f>MarketPlace_Order_Report__2[[#This Row],[Gross Amount (Before Tax)]]+MarketPlace_Order_Report__2[[#This Row],[Total GST Amount]]</f>
        <v>4149.1530000000002</v>
      </c>
    </row>
    <row r="76" spans="1:6" hidden="1">
      <c r="A76" s="7" t="s">
        <v>563</v>
      </c>
      <c r="B76" s="4" t="s">
        <v>566</v>
      </c>
      <c r="C76" s="4" t="s">
        <v>1806</v>
      </c>
      <c r="D76" s="20">
        <f>MarketPlace_Order_Report__2[[#This Row],[UnitPrice]]*MarketPlace_Order_Report__2[[#This Row],[OrderQty]]</f>
        <v>3600</v>
      </c>
      <c r="E76" s="20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76" s="21">
        <f>MarketPlace_Order_Report__2[[#This Row],[Gross Amount (Before Tax)]]+MarketPlace_Order_Report__2[[#This Row],[Total GST Amount]]</f>
        <v>4149.1530000000002</v>
      </c>
    </row>
    <row r="77" spans="1:6" hidden="1">
      <c r="A77" s="8" t="s">
        <v>571</v>
      </c>
      <c r="B77" s="5" t="s">
        <v>574</v>
      </c>
      <c r="C77" s="5" t="s">
        <v>62</v>
      </c>
      <c r="D77" s="22">
        <f>MarketPlace_Order_Report__2[[#This Row],[UnitPrice]]*MarketPlace_Order_Report__2[[#This Row],[OrderQty]]</f>
        <v>3600</v>
      </c>
      <c r="E77" s="22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77" s="23">
        <f>MarketPlace_Order_Report__2[[#This Row],[Gross Amount (Before Tax)]]+MarketPlace_Order_Report__2[[#This Row],[Total GST Amount]]</f>
        <v>4149.1530000000002</v>
      </c>
    </row>
    <row r="78" spans="1:6" hidden="1">
      <c r="A78" s="7" t="s">
        <v>579</v>
      </c>
      <c r="B78" s="4" t="s">
        <v>582</v>
      </c>
      <c r="C78" s="4" t="s">
        <v>1806</v>
      </c>
      <c r="D78" s="20">
        <f>MarketPlace_Order_Report__2[[#This Row],[UnitPrice]]*MarketPlace_Order_Report__2[[#This Row],[OrderQty]]</f>
        <v>3600</v>
      </c>
      <c r="E78" s="20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78" s="21">
        <f>MarketPlace_Order_Report__2[[#This Row],[Gross Amount (Before Tax)]]+MarketPlace_Order_Report__2[[#This Row],[Total GST Amount]]</f>
        <v>4149.1530000000002</v>
      </c>
    </row>
    <row r="79" spans="1:6" hidden="1">
      <c r="A79" s="8" t="s">
        <v>585</v>
      </c>
      <c r="B79" s="5" t="s">
        <v>582</v>
      </c>
      <c r="C79" s="5" t="s">
        <v>1806</v>
      </c>
      <c r="D79" s="22">
        <f>MarketPlace_Order_Report__2[[#This Row],[UnitPrice]]*MarketPlace_Order_Report__2[[#This Row],[OrderQty]]</f>
        <v>3600</v>
      </c>
      <c r="E79" s="22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79" s="23">
        <f>MarketPlace_Order_Report__2[[#This Row],[Gross Amount (Before Tax)]]+MarketPlace_Order_Report__2[[#This Row],[Total GST Amount]]</f>
        <v>4149.1530000000002</v>
      </c>
    </row>
    <row r="80" spans="1:6" hidden="1">
      <c r="A80" s="7" t="s">
        <v>368</v>
      </c>
      <c r="B80" s="4" t="s">
        <v>582</v>
      </c>
      <c r="C80" s="4" t="s">
        <v>1806</v>
      </c>
      <c r="D80" s="20">
        <f>MarketPlace_Order_Report__2[[#This Row],[UnitPrice]]*MarketPlace_Order_Report__2[[#This Row],[OrderQty]]</f>
        <v>3600</v>
      </c>
      <c r="E80" s="20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80" s="21">
        <f>MarketPlace_Order_Report__2[[#This Row],[Gross Amount (Before Tax)]]+MarketPlace_Order_Report__2[[#This Row],[Total GST Amount]]</f>
        <v>4149.1530000000002</v>
      </c>
    </row>
    <row r="81" spans="1:6">
      <c r="A81" s="8" t="s">
        <v>590</v>
      </c>
      <c r="B81" s="5" t="s">
        <v>582</v>
      </c>
      <c r="C81" s="5" t="s">
        <v>145</v>
      </c>
      <c r="D81" s="22">
        <f>MarketPlace_Order_Report__2[[#This Row],[UnitPrice]]*MarketPlace_Order_Report__2[[#This Row],[OrderQty]]</f>
        <v>3600</v>
      </c>
      <c r="E81" s="22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81" s="23">
        <f>MarketPlace_Order_Report__2[[#This Row],[Gross Amount (Before Tax)]]+MarketPlace_Order_Report__2[[#This Row],[Total GST Amount]]</f>
        <v>4149.1530000000002</v>
      </c>
    </row>
    <row r="82" spans="1:6">
      <c r="A82" s="7" t="s">
        <v>592</v>
      </c>
      <c r="B82" s="4" t="s">
        <v>595</v>
      </c>
      <c r="C82" s="4" t="s">
        <v>145</v>
      </c>
      <c r="D82" s="20">
        <f>MarketPlace_Order_Report__2[[#This Row],[UnitPrice]]*MarketPlace_Order_Report__2[[#This Row],[OrderQty]]</f>
        <v>2700</v>
      </c>
      <c r="E82" s="20">
        <f>IFERROR(MarketPlace_Order_Report__2[[#This Row],[CGSTAmount]]+MarketPlace_Order_Report__2[[#This Row],[SGSTAmount]]+MarketPlace_Order_Report__2[[#This Row],[IGSTAmount]],MarketPlace_Order_Report__2[[#This Row],[TaxAmount]])</f>
        <v>411.86399999999998</v>
      </c>
      <c r="F82" s="21">
        <f>MarketPlace_Order_Report__2[[#This Row],[Gross Amount (Before Tax)]]+MarketPlace_Order_Report__2[[#This Row],[Total GST Amount]]</f>
        <v>3111.864</v>
      </c>
    </row>
    <row r="83" spans="1:6" hidden="1">
      <c r="A83" s="8" t="s">
        <v>597</v>
      </c>
      <c r="B83" s="5" t="s">
        <v>600</v>
      </c>
      <c r="C83" s="5" t="s">
        <v>1806</v>
      </c>
      <c r="D83" s="22">
        <f>MarketPlace_Order_Report__2[[#This Row],[UnitPrice]]*MarketPlace_Order_Report__2[[#This Row],[OrderQty]]</f>
        <v>3800</v>
      </c>
      <c r="E83" s="22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F83" s="23">
        <f>MarketPlace_Order_Report__2[[#This Row],[Gross Amount (Before Tax)]]+MarketPlace_Order_Report__2[[#This Row],[Total GST Amount]]</f>
        <v>4379.6610000000001</v>
      </c>
    </row>
    <row r="84" spans="1:6" hidden="1">
      <c r="A84" s="7" t="s">
        <v>605</v>
      </c>
      <c r="B84" s="4" t="s">
        <v>608</v>
      </c>
      <c r="C84" s="4" t="s">
        <v>62</v>
      </c>
      <c r="D84" s="20">
        <f>MarketPlace_Order_Report__2[[#This Row],[UnitPrice]]*MarketPlace_Order_Report__2[[#This Row],[OrderQty]]</f>
        <v>3800</v>
      </c>
      <c r="E84" s="20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F84" s="21">
        <f>MarketPlace_Order_Report__2[[#This Row],[Gross Amount (Before Tax)]]+MarketPlace_Order_Report__2[[#This Row],[Total GST Amount]]</f>
        <v>4379.6610000000001</v>
      </c>
    </row>
    <row r="85" spans="1:6" hidden="1">
      <c r="A85" s="8" t="s">
        <v>612</v>
      </c>
      <c r="B85" s="5" t="s">
        <v>615</v>
      </c>
      <c r="C85" s="5" t="s">
        <v>1806</v>
      </c>
      <c r="D85" s="22">
        <f>MarketPlace_Order_Report__2[[#This Row],[UnitPrice]]*MarketPlace_Order_Report__2[[#This Row],[OrderQty]]</f>
        <v>3800</v>
      </c>
      <c r="E85" s="22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F85" s="23">
        <f>MarketPlace_Order_Report__2[[#This Row],[Gross Amount (Before Tax)]]+MarketPlace_Order_Report__2[[#This Row],[Total GST Amount]]</f>
        <v>4379.6610000000001</v>
      </c>
    </row>
    <row r="86" spans="1:6" hidden="1">
      <c r="A86" s="7" t="s">
        <v>619</v>
      </c>
      <c r="B86" s="4" t="s">
        <v>622</v>
      </c>
      <c r="C86" s="4" t="s">
        <v>107</v>
      </c>
      <c r="D86" s="20">
        <f>MarketPlace_Order_Report__2[[#This Row],[UnitPrice]]*MarketPlace_Order_Report__2[[#This Row],[OrderQty]]</f>
        <v>3800</v>
      </c>
      <c r="E86" s="20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F86" s="21">
        <f>MarketPlace_Order_Report__2[[#This Row],[Gross Amount (Before Tax)]]+MarketPlace_Order_Report__2[[#This Row],[Total GST Amount]]</f>
        <v>4379.6610000000001</v>
      </c>
    </row>
    <row r="87" spans="1:6" hidden="1">
      <c r="A87" s="8" t="s">
        <v>597</v>
      </c>
      <c r="B87" s="5" t="s">
        <v>627</v>
      </c>
      <c r="C87" s="5" t="s">
        <v>1806</v>
      </c>
      <c r="D87" s="22">
        <f>MarketPlace_Order_Report__2[[#This Row],[UnitPrice]]*MarketPlace_Order_Report__2[[#This Row],[OrderQty]]</f>
        <v>3800</v>
      </c>
      <c r="E87" s="22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F87" s="23">
        <f>MarketPlace_Order_Report__2[[#This Row],[Gross Amount (Before Tax)]]+MarketPlace_Order_Report__2[[#This Row],[Total GST Amount]]</f>
        <v>4379.6610000000001</v>
      </c>
    </row>
    <row r="88" spans="1:6" hidden="1">
      <c r="A88" s="7" t="s">
        <v>628</v>
      </c>
      <c r="B88" s="4" t="s">
        <v>627</v>
      </c>
      <c r="C88" s="4" t="s">
        <v>228</v>
      </c>
      <c r="D88" s="20">
        <f>MarketPlace_Order_Report__2[[#This Row],[UnitPrice]]*MarketPlace_Order_Report__2[[#This Row],[OrderQty]]</f>
        <v>3563</v>
      </c>
      <c r="E88" s="20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88" s="21">
        <f>MarketPlace_Order_Report__2[[#This Row],[Gross Amount (Before Tax)]]+MarketPlace_Order_Report__2[[#This Row],[Total GST Amount]]</f>
        <v>4106.5079999999998</v>
      </c>
    </row>
    <row r="89" spans="1:6">
      <c r="A89" s="8" t="s">
        <v>633</v>
      </c>
      <c r="B89" s="5" t="s">
        <v>636</v>
      </c>
      <c r="C89" s="5" t="s">
        <v>145</v>
      </c>
      <c r="D89" s="22">
        <f>MarketPlace_Order_Report__2[[#This Row],[UnitPrice]]*MarketPlace_Order_Report__2[[#This Row],[OrderQty]]</f>
        <v>3800</v>
      </c>
      <c r="E89" s="22">
        <f>IFERROR(MarketPlace_Order_Report__2[[#This Row],[CGSTAmount]]+MarketPlace_Order_Report__2[[#This Row],[SGSTAmount]]+MarketPlace_Order_Report__2[[#This Row],[IGSTAmount]],MarketPlace_Order_Report__2[[#This Row],[TaxAmount]])</f>
        <v>579.66200000000003</v>
      </c>
      <c r="F89" s="23">
        <f>MarketPlace_Order_Report__2[[#This Row],[Gross Amount (Before Tax)]]+MarketPlace_Order_Report__2[[#This Row],[Total GST Amount]]</f>
        <v>4379.6620000000003</v>
      </c>
    </row>
    <row r="90" spans="1:6" hidden="1">
      <c r="A90" s="7" t="s">
        <v>637</v>
      </c>
      <c r="B90" s="4" t="s">
        <v>640</v>
      </c>
      <c r="C90" s="4" t="s">
        <v>228</v>
      </c>
      <c r="D90" s="20">
        <f>MarketPlace_Order_Report__2[[#This Row],[UnitPrice]]*MarketPlace_Order_Report__2[[#This Row],[OrderQty]]</f>
        <v>3375</v>
      </c>
      <c r="E90" s="20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F90" s="21">
        <f>MarketPlace_Order_Report__2[[#This Row],[Gross Amount (Before Tax)]]+MarketPlace_Order_Report__2[[#This Row],[Total GST Amount]]</f>
        <v>3889.8310000000001</v>
      </c>
    </row>
    <row r="91" spans="1:6" hidden="1">
      <c r="A91" s="8" t="s">
        <v>644</v>
      </c>
      <c r="B91" s="5" t="s">
        <v>647</v>
      </c>
      <c r="C91" s="5" t="s">
        <v>62</v>
      </c>
      <c r="D91" s="22">
        <f>MarketPlace_Order_Report__2[[#This Row],[UnitPrice]]*MarketPlace_Order_Report__2[[#This Row],[OrderQty]]</f>
        <v>3375</v>
      </c>
      <c r="E91" s="22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F91" s="23">
        <f>MarketPlace_Order_Report__2[[#This Row],[Gross Amount (Before Tax)]]+MarketPlace_Order_Report__2[[#This Row],[Total GST Amount]]</f>
        <v>3889.8310000000001</v>
      </c>
    </row>
    <row r="92" spans="1:6" hidden="1">
      <c r="A92" s="7" t="s">
        <v>651</v>
      </c>
      <c r="B92" s="4" t="s">
        <v>654</v>
      </c>
      <c r="C92" s="4" t="s">
        <v>1806</v>
      </c>
      <c r="D92" s="20">
        <f>MarketPlace_Order_Report__2[[#This Row],[UnitPrice]]*MarketPlace_Order_Report__2[[#This Row],[OrderQty]]</f>
        <v>3800</v>
      </c>
      <c r="E92" s="20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F92" s="21">
        <f>MarketPlace_Order_Report__2[[#This Row],[Gross Amount (Before Tax)]]+MarketPlace_Order_Report__2[[#This Row],[Total GST Amount]]</f>
        <v>4379.6610000000001</v>
      </c>
    </row>
    <row r="93" spans="1:6" hidden="1">
      <c r="A93" s="8" t="s">
        <v>657</v>
      </c>
      <c r="B93" s="5" t="s">
        <v>660</v>
      </c>
      <c r="C93" s="5" t="s">
        <v>62</v>
      </c>
      <c r="D93" s="22">
        <f>MarketPlace_Order_Report__2[[#This Row],[UnitPrice]]*MarketPlace_Order_Report__2[[#This Row],[OrderQty]]</f>
        <v>3375</v>
      </c>
      <c r="E93" s="22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F93" s="23">
        <f>MarketPlace_Order_Report__2[[#This Row],[Gross Amount (Before Tax)]]+MarketPlace_Order_Report__2[[#This Row],[Total GST Amount]]</f>
        <v>3889.8310000000001</v>
      </c>
    </row>
    <row r="94" spans="1:6" hidden="1">
      <c r="A94" s="7" t="s">
        <v>664</v>
      </c>
      <c r="B94" s="4" t="s">
        <v>667</v>
      </c>
      <c r="C94" s="4" t="s">
        <v>62</v>
      </c>
      <c r="D94" s="20">
        <f>MarketPlace_Order_Report__2[[#This Row],[UnitPrice]]*MarketPlace_Order_Report__2[[#This Row],[OrderQty]]</f>
        <v>4275</v>
      </c>
      <c r="E94" s="20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F94" s="21">
        <f>MarketPlace_Order_Report__2[[#This Row],[Gross Amount (Before Tax)]]+MarketPlace_Order_Report__2[[#This Row],[Total GST Amount]]</f>
        <v>4927.1189999999997</v>
      </c>
    </row>
    <row r="95" spans="1:6" hidden="1">
      <c r="A95" s="8" t="s">
        <v>672</v>
      </c>
      <c r="B95" s="5" t="s">
        <v>675</v>
      </c>
      <c r="C95" s="5" t="s">
        <v>1806</v>
      </c>
      <c r="D95" s="22">
        <f>MarketPlace_Order_Report__2[[#This Row],[UnitPrice]]*MarketPlace_Order_Report__2[[#This Row],[OrderQty]]</f>
        <v>3600</v>
      </c>
      <c r="E95" s="22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95" s="23">
        <f>MarketPlace_Order_Report__2[[#This Row],[Gross Amount (Before Tax)]]+MarketPlace_Order_Report__2[[#This Row],[Total GST Amount]]</f>
        <v>4149.1530000000002</v>
      </c>
    </row>
    <row r="96" spans="1:6" hidden="1">
      <c r="A96" s="7" t="s">
        <v>678</v>
      </c>
      <c r="B96" s="4" t="s">
        <v>681</v>
      </c>
      <c r="C96" s="4" t="s">
        <v>1806</v>
      </c>
      <c r="D96" s="20">
        <f>MarketPlace_Order_Report__2[[#This Row],[UnitPrice]]*MarketPlace_Order_Report__2[[#This Row],[OrderQty]]</f>
        <v>3600</v>
      </c>
      <c r="E96" s="20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96" s="21">
        <f>MarketPlace_Order_Report__2[[#This Row],[Gross Amount (Before Tax)]]+MarketPlace_Order_Report__2[[#This Row],[Total GST Amount]]</f>
        <v>4149.1530000000002</v>
      </c>
    </row>
    <row r="97" spans="1:6" hidden="1">
      <c r="A97" s="8" t="s">
        <v>684</v>
      </c>
      <c r="B97" s="5" t="s">
        <v>687</v>
      </c>
      <c r="C97" s="5" t="s">
        <v>1806</v>
      </c>
      <c r="D97" s="22">
        <f>MarketPlace_Order_Report__2[[#This Row],[UnitPrice]]*MarketPlace_Order_Report__2[[#This Row],[OrderQty]]</f>
        <v>3563</v>
      </c>
      <c r="E97" s="22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97" s="23">
        <f>MarketPlace_Order_Report__2[[#This Row],[Gross Amount (Before Tax)]]+MarketPlace_Order_Report__2[[#This Row],[Total GST Amount]]</f>
        <v>4106.5079999999998</v>
      </c>
    </row>
    <row r="98" spans="1:6" hidden="1">
      <c r="A98" s="7" t="s">
        <v>94</v>
      </c>
      <c r="B98" s="4" t="s">
        <v>691</v>
      </c>
      <c r="C98" s="4" t="s">
        <v>98</v>
      </c>
      <c r="D98" s="20">
        <f>MarketPlace_Order_Report__2[[#This Row],[UnitPrice]]*MarketPlace_Order_Report__2[[#This Row],[OrderQty]]</f>
        <v>3563</v>
      </c>
      <c r="E98" s="20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98" s="21">
        <f>MarketPlace_Order_Report__2[[#This Row],[Gross Amount (Before Tax)]]+MarketPlace_Order_Report__2[[#This Row],[Total GST Amount]]</f>
        <v>4106.5079999999998</v>
      </c>
    </row>
    <row r="99" spans="1:6" hidden="1">
      <c r="A99" s="8" t="s">
        <v>692</v>
      </c>
      <c r="B99" s="5" t="s">
        <v>691</v>
      </c>
      <c r="C99" s="5" t="s">
        <v>1806</v>
      </c>
      <c r="D99" s="22">
        <f>MarketPlace_Order_Report__2[[#This Row],[UnitPrice]]*MarketPlace_Order_Report__2[[#This Row],[OrderQty]]</f>
        <v>3563</v>
      </c>
      <c r="E99" s="22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99" s="23">
        <f>MarketPlace_Order_Report__2[[#This Row],[Gross Amount (Before Tax)]]+MarketPlace_Order_Report__2[[#This Row],[Total GST Amount]]</f>
        <v>4106.5079999999998</v>
      </c>
    </row>
    <row r="100" spans="1:6" hidden="1">
      <c r="A100" s="7" t="s">
        <v>697</v>
      </c>
      <c r="B100" s="4" t="s">
        <v>700</v>
      </c>
      <c r="C100" s="4" t="s">
        <v>1806</v>
      </c>
      <c r="D100" s="20">
        <f>MarketPlace_Order_Report__2[[#This Row],[UnitPrice]]*MarketPlace_Order_Report__2[[#This Row],[OrderQty]]</f>
        <v>3563</v>
      </c>
      <c r="E100" s="20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00" s="21">
        <f>MarketPlace_Order_Report__2[[#This Row],[Gross Amount (Before Tax)]]+MarketPlace_Order_Report__2[[#This Row],[Total GST Amount]]</f>
        <v>4106.5079999999998</v>
      </c>
    </row>
    <row r="101" spans="1:6" hidden="1">
      <c r="A101" s="8" t="s">
        <v>703</v>
      </c>
      <c r="B101" s="5" t="s">
        <v>706</v>
      </c>
      <c r="C101" s="5" t="s">
        <v>1806</v>
      </c>
      <c r="D101" s="22">
        <f>MarketPlace_Order_Report__2[[#This Row],[UnitPrice]]*MarketPlace_Order_Report__2[[#This Row],[OrderQty]]</f>
        <v>3563</v>
      </c>
      <c r="E101" s="22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01" s="23">
        <f>MarketPlace_Order_Report__2[[#This Row],[Gross Amount (Before Tax)]]+MarketPlace_Order_Report__2[[#This Row],[Total GST Amount]]</f>
        <v>4106.5079999999998</v>
      </c>
    </row>
    <row r="102" spans="1:6" hidden="1">
      <c r="A102" s="7" t="s">
        <v>710</v>
      </c>
      <c r="B102" s="4" t="s">
        <v>713</v>
      </c>
      <c r="C102" s="4" t="s">
        <v>1806</v>
      </c>
      <c r="D102" s="20">
        <f>MarketPlace_Order_Report__2[[#This Row],[UnitPrice]]*MarketPlace_Order_Report__2[[#This Row],[OrderQty]]</f>
        <v>3563</v>
      </c>
      <c r="E102" s="20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02" s="21">
        <f>MarketPlace_Order_Report__2[[#This Row],[Gross Amount (Before Tax)]]+MarketPlace_Order_Report__2[[#This Row],[Total GST Amount]]</f>
        <v>4106.5079999999998</v>
      </c>
    </row>
    <row r="103" spans="1:6" hidden="1">
      <c r="A103" s="8" t="s">
        <v>716</v>
      </c>
      <c r="B103" s="5" t="s">
        <v>713</v>
      </c>
      <c r="C103" s="5" t="s">
        <v>107</v>
      </c>
      <c r="D103" s="22">
        <f>MarketPlace_Order_Report__2[[#This Row],[UnitPrice]]*MarketPlace_Order_Report__2[[#This Row],[OrderQty]]</f>
        <v>3563</v>
      </c>
      <c r="E103" s="22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03" s="23">
        <f>MarketPlace_Order_Report__2[[#This Row],[Gross Amount (Before Tax)]]+MarketPlace_Order_Report__2[[#This Row],[Total GST Amount]]</f>
        <v>4106.5079999999998</v>
      </c>
    </row>
    <row r="104" spans="1:6" hidden="1">
      <c r="A104" s="7" t="s">
        <v>722</v>
      </c>
      <c r="B104" s="4" t="s">
        <v>713</v>
      </c>
      <c r="C104" s="4" t="s">
        <v>1806</v>
      </c>
      <c r="D104" s="20">
        <f>MarketPlace_Order_Report__2[[#This Row],[UnitPrice]]*MarketPlace_Order_Report__2[[#This Row],[OrderQty]]</f>
        <v>3563</v>
      </c>
      <c r="E104" s="20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04" s="21">
        <f>MarketPlace_Order_Report__2[[#This Row],[Gross Amount (Before Tax)]]+MarketPlace_Order_Report__2[[#This Row],[Total GST Amount]]</f>
        <v>4106.5079999999998</v>
      </c>
    </row>
    <row r="105" spans="1:6" hidden="1">
      <c r="A105" s="8" t="s">
        <v>726</v>
      </c>
      <c r="B105" s="5" t="s">
        <v>729</v>
      </c>
      <c r="C105" s="5" t="s">
        <v>228</v>
      </c>
      <c r="D105" s="22">
        <f>MarketPlace_Order_Report__2[[#This Row],[UnitPrice]]*MarketPlace_Order_Report__2[[#This Row],[OrderQty]]</f>
        <v>3563</v>
      </c>
      <c r="E105" s="22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05" s="23">
        <f>MarketPlace_Order_Report__2[[#This Row],[Gross Amount (Before Tax)]]+MarketPlace_Order_Report__2[[#This Row],[Total GST Amount]]</f>
        <v>4106.5079999999998</v>
      </c>
    </row>
    <row r="106" spans="1:6" hidden="1">
      <c r="A106" s="7" t="s">
        <v>734</v>
      </c>
      <c r="B106" s="4" t="s">
        <v>729</v>
      </c>
      <c r="C106" s="4" t="s">
        <v>228</v>
      </c>
      <c r="D106" s="20">
        <f>MarketPlace_Order_Report__2[[#This Row],[UnitPrice]]*MarketPlace_Order_Report__2[[#This Row],[OrderQty]]</f>
        <v>3563</v>
      </c>
      <c r="E106" s="20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06" s="21">
        <f>MarketPlace_Order_Report__2[[#This Row],[Gross Amount (Before Tax)]]+MarketPlace_Order_Report__2[[#This Row],[Total GST Amount]]</f>
        <v>4106.5079999999998</v>
      </c>
    </row>
    <row r="107" spans="1:6" hidden="1">
      <c r="A107" s="8" t="s">
        <v>739</v>
      </c>
      <c r="B107" s="5" t="s">
        <v>742</v>
      </c>
      <c r="C107" s="5" t="s">
        <v>62</v>
      </c>
      <c r="D107" s="22">
        <f>MarketPlace_Order_Report__2[[#This Row],[UnitPrice]]*MarketPlace_Order_Report__2[[#This Row],[OrderQty]]</f>
        <v>3563</v>
      </c>
      <c r="E107" s="22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07" s="23">
        <f>MarketPlace_Order_Report__2[[#This Row],[Gross Amount (Before Tax)]]+MarketPlace_Order_Report__2[[#This Row],[Total GST Amount]]</f>
        <v>4106.5079999999998</v>
      </c>
    </row>
    <row r="108" spans="1:6" hidden="1">
      <c r="A108" s="7" t="s">
        <v>746</v>
      </c>
      <c r="B108" s="4" t="s">
        <v>742</v>
      </c>
      <c r="C108" s="4" t="s">
        <v>62</v>
      </c>
      <c r="D108" s="20">
        <f>MarketPlace_Order_Report__2[[#This Row],[UnitPrice]]*MarketPlace_Order_Report__2[[#This Row],[OrderQty]]</f>
        <v>3563</v>
      </c>
      <c r="E108" s="20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08" s="21">
        <f>MarketPlace_Order_Report__2[[#This Row],[Gross Amount (Before Tax)]]+MarketPlace_Order_Report__2[[#This Row],[Total GST Amount]]</f>
        <v>4106.5079999999998</v>
      </c>
    </row>
    <row r="109" spans="1:6">
      <c r="A109" s="8" t="s">
        <v>751</v>
      </c>
      <c r="B109" s="5" t="s">
        <v>754</v>
      </c>
      <c r="C109" s="5" t="s">
        <v>145</v>
      </c>
      <c r="D109" s="22">
        <f>MarketPlace_Order_Report__2[[#This Row],[UnitPrice]]*MarketPlace_Order_Report__2[[#This Row],[OrderQty]]</f>
        <v>3563</v>
      </c>
      <c r="E109" s="22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09" s="23">
        <f>MarketPlace_Order_Report__2[[#This Row],[Gross Amount (Before Tax)]]+MarketPlace_Order_Report__2[[#This Row],[Total GST Amount]]</f>
        <v>4106.5079999999998</v>
      </c>
    </row>
    <row r="110" spans="1:6" hidden="1">
      <c r="A110" s="7" t="s">
        <v>756</v>
      </c>
      <c r="B110" s="4" t="s">
        <v>754</v>
      </c>
      <c r="C110" s="4" t="s">
        <v>1806</v>
      </c>
      <c r="D110" s="20">
        <f>MarketPlace_Order_Report__2[[#This Row],[UnitPrice]]*MarketPlace_Order_Report__2[[#This Row],[OrderQty]]</f>
        <v>3563</v>
      </c>
      <c r="E110" s="20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10" s="21">
        <f>MarketPlace_Order_Report__2[[#This Row],[Gross Amount (Before Tax)]]+MarketPlace_Order_Report__2[[#This Row],[Total GST Amount]]</f>
        <v>4106.5079999999998</v>
      </c>
    </row>
    <row r="111" spans="1:6" hidden="1">
      <c r="A111" s="8" t="s">
        <v>761</v>
      </c>
      <c r="B111" s="5" t="s">
        <v>754</v>
      </c>
      <c r="C111" s="5" t="s">
        <v>62</v>
      </c>
      <c r="D111" s="22">
        <f>MarketPlace_Order_Report__2[[#This Row],[UnitPrice]]*MarketPlace_Order_Report__2[[#This Row],[OrderQty]]</f>
        <v>3563</v>
      </c>
      <c r="E111" s="22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11" s="23">
        <f>MarketPlace_Order_Report__2[[#This Row],[Gross Amount (Before Tax)]]+MarketPlace_Order_Report__2[[#This Row],[Total GST Amount]]</f>
        <v>4106.5079999999998</v>
      </c>
    </row>
    <row r="112" spans="1:6" hidden="1">
      <c r="A112" s="7" t="s">
        <v>767</v>
      </c>
      <c r="B112" s="4" t="s">
        <v>754</v>
      </c>
      <c r="C112" s="4" t="s">
        <v>62</v>
      </c>
      <c r="D112" s="20">
        <f>MarketPlace_Order_Report__2[[#This Row],[UnitPrice]]*MarketPlace_Order_Report__2[[#This Row],[OrderQty]]</f>
        <v>3563</v>
      </c>
      <c r="E112" s="20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12" s="21">
        <f>MarketPlace_Order_Report__2[[#This Row],[Gross Amount (Before Tax)]]+MarketPlace_Order_Report__2[[#This Row],[Total GST Amount]]</f>
        <v>4106.5079999999998</v>
      </c>
    </row>
    <row r="113" spans="1:6" hidden="1">
      <c r="A113" s="8" t="s">
        <v>773</v>
      </c>
      <c r="B113" s="5" t="s">
        <v>754</v>
      </c>
      <c r="C113" s="5" t="s">
        <v>62</v>
      </c>
      <c r="D113" s="22">
        <f>MarketPlace_Order_Report__2[[#This Row],[UnitPrice]]*MarketPlace_Order_Report__2[[#This Row],[OrderQty]]</f>
        <v>3563</v>
      </c>
      <c r="E113" s="22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13" s="23">
        <f>MarketPlace_Order_Report__2[[#This Row],[Gross Amount (Before Tax)]]+MarketPlace_Order_Report__2[[#This Row],[Total GST Amount]]</f>
        <v>4106.5079999999998</v>
      </c>
    </row>
    <row r="114" spans="1:6" hidden="1">
      <c r="A114" s="7" t="s">
        <v>778</v>
      </c>
      <c r="B114" s="4" t="s">
        <v>781</v>
      </c>
      <c r="C114" s="4" t="s">
        <v>1806</v>
      </c>
      <c r="D114" s="20">
        <f>MarketPlace_Order_Report__2[[#This Row],[UnitPrice]]*MarketPlace_Order_Report__2[[#This Row],[OrderQty]]</f>
        <v>3563</v>
      </c>
      <c r="E114" s="20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14" s="21">
        <f>MarketPlace_Order_Report__2[[#This Row],[Gross Amount (Before Tax)]]+MarketPlace_Order_Report__2[[#This Row],[Total GST Amount]]</f>
        <v>4106.5079999999998</v>
      </c>
    </row>
    <row r="115" spans="1:6" hidden="1">
      <c r="A115" s="8" t="s">
        <v>761</v>
      </c>
      <c r="B115" s="5" t="s">
        <v>781</v>
      </c>
      <c r="C115" s="5" t="s">
        <v>1806</v>
      </c>
      <c r="D115" s="22">
        <f>MarketPlace_Order_Report__2[[#This Row],[UnitPrice]]*MarketPlace_Order_Report__2[[#This Row],[OrderQty]]</f>
        <v>3563</v>
      </c>
      <c r="E115" s="22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15" s="23">
        <f>MarketPlace_Order_Report__2[[#This Row],[Gross Amount (Before Tax)]]+MarketPlace_Order_Report__2[[#This Row],[Total GST Amount]]</f>
        <v>4106.5079999999998</v>
      </c>
    </row>
    <row r="116" spans="1:6">
      <c r="A116" s="7" t="s">
        <v>785</v>
      </c>
      <c r="B116" s="4" t="s">
        <v>781</v>
      </c>
      <c r="C116" s="4" t="s">
        <v>145</v>
      </c>
      <c r="D116" s="20">
        <f>MarketPlace_Order_Report__2[[#This Row],[UnitPrice]]*MarketPlace_Order_Report__2[[#This Row],[OrderQty]]</f>
        <v>3563</v>
      </c>
      <c r="E116" s="20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16" s="21">
        <f>MarketPlace_Order_Report__2[[#This Row],[Gross Amount (Before Tax)]]+MarketPlace_Order_Report__2[[#This Row],[Total GST Amount]]</f>
        <v>4106.5079999999998</v>
      </c>
    </row>
    <row r="117" spans="1:6" hidden="1">
      <c r="A117" s="8" t="s">
        <v>788</v>
      </c>
      <c r="B117" s="5" t="s">
        <v>791</v>
      </c>
      <c r="C117" s="5" t="s">
        <v>1806</v>
      </c>
      <c r="D117" s="22">
        <f>MarketPlace_Order_Report__2[[#This Row],[UnitPrice]]*MarketPlace_Order_Report__2[[#This Row],[OrderQty]]</f>
        <v>3563</v>
      </c>
      <c r="E117" s="22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17" s="23">
        <f>MarketPlace_Order_Report__2[[#This Row],[Gross Amount (Before Tax)]]+MarketPlace_Order_Report__2[[#This Row],[Total GST Amount]]</f>
        <v>4106.5079999999998</v>
      </c>
    </row>
    <row r="118" spans="1:6" hidden="1">
      <c r="A118" s="7" t="s">
        <v>697</v>
      </c>
      <c r="B118" s="4" t="s">
        <v>791</v>
      </c>
      <c r="C118" s="4" t="s">
        <v>1806</v>
      </c>
      <c r="D118" s="20">
        <f>MarketPlace_Order_Report__2[[#This Row],[UnitPrice]]*MarketPlace_Order_Report__2[[#This Row],[OrderQty]]</f>
        <v>3563</v>
      </c>
      <c r="E118" s="20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18" s="21">
        <f>MarketPlace_Order_Report__2[[#This Row],[Gross Amount (Before Tax)]]+MarketPlace_Order_Report__2[[#This Row],[Total GST Amount]]</f>
        <v>4106.5079999999998</v>
      </c>
    </row>
    <row r="119" spans="1:6" hidden="1">
      <c r="A119" s="8" t="s">
        <v>796</v>
      </c>
      <c r="B119" s="5" t="s">
        <v>799</v>
      </c>
      <c r="C119" s="5" t="s">
        <v>107</v>
      </c>
      <c r="D119" s="22">
        <f>MarketPlace_Order_Report__2[[#This Row],[UnitPrice]]*MarketPlace_Order_Report__2[[#This Row],[OrderQty]]</f>
        <v>3600</v>
      </c>
      <c r="E119" s="22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119" s="23">
        <f>MarketPlace_Order_Report__2[[#This Row],[Gross Amount (Before Tax)]]+MarketPlace_Order_Report__2[[#This Row],[Total GST Amount]]</f>
        <v>4149.1530000000002</v>
      </c>
    </row>
    <row r="120" spans="1:6" hidden="1">
      <c r="A120" s="7" t="s">
        <v>802</v>
      </c>
      <c r="B120" s="4" t="s">
        <v>799</v>
      </c>
      <c r="C120" s="4" t="s">
        <v>1806</v>
      </c>
      <c r="D120" s="20">
        <f>MarketPlace_Order_Report__2[[#This Row],[UnitPrice]]*MarketPlace_Order_Report__2[[#This Row],[OrderQty]]</f>
        <v>3600</v>
      </c>
      <c r="E120" s="20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F120" s="21">
        <f>MarketPlace_Order_Report__2[[#This Row],[Gross Amount (Before Tax)]]+MarketPlace_Order_Report__2[[#This Row],[Total GST Amount]]</f>
        <v>4149.1540000000005</v>
      </c>
    </row>
    <row r="121" spans="1:6" hidden="1">
      <c r="A121" s="8" t="s">
        <v>807</v>
      </c>
      <c r="B121" s="5" t="s">
        <v>810</v>
      </c>
      <c r="C121" s="5" t="s">
        <v>1806</v>
      </c>
      <c r="D121" s="22">
        <f>MarketPlace_Order_Report__2[[#This Row],[UnitPrice]]*MarketPlace_Order_Report__2[[#This Row],[OrderQty]]</f>
        <v>3600</v>
      </c>
      <c r="E121" s="22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121" s="23">
        <f>MarketPlace_Order_Report__2[[#This Row],[Gross Amount (Before Tax)]]+MarketPlace_Order_Report__2[[#This Row],[Total GST Amount]]</f>
        <v>4149.1530000000002</v>
      </c>
    </row>
    <row r="122" spans="1:6" hidden="1">
      <c r="A122" s="7" t="s">
        <v>813</v>
      </c>
      <c r="B122" s="4" t="s">
        <v>816</v>
      </c>
      <c r="C122" s="4" t="s">
        <v>228</v>
      </c>
      <c r="D122" s="20">
        <f>MarketPlace_Order_Report__2[[#This Row],[UnitPrice]]*MarketPlace_Order_Report__2[[#This Row],[OrderQty]]</f>
        <v>3600</v>
      </c>
      <c r="E122" s="20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122" s="21">
        <f>MarketPlace_Order_Report__2[[#This Row],[Gross Amount (Before Tax)]]+MarketPlace_Order_Report__2[[#This Row],[Total GST Amount]]</f>
        <v>4149.1530000000002</v>
      </c>
    </row>
    <row r="123" spans="1:6" hidden="1">
      <c r="A123" s="8" t="s">
        <v>820</v>
      </c>
      <c r="B123" s="5" t="s">
        <v>823</v>
      </c>
      <c r="C123" s="5" t="s">
        <v>98</v>
      </c>
      <c r="D123" s="22">
        <f>MarketPlace_Order_Report__2[[#This Row],[UnitPrice]]*MarketPlace_Order_Report__2[[#This Row],[OrderQty]]</f>
        <v>3600</v>
      </c>
      <c r="E123" s="22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F123" s="23">
        <f>MarketPlace_Order_Report__2[[#This Row],[Gross Amount (Before Tax)]]+MarketPlace_Order_Report__2[[#This Row],[Total GST Amount]]</f>
        <v>4149.1540000000005</v>
      </c>
    </row>
    <row r="124" spans="1:6" hidden="1">
      <c r="A124" s="7" t="s">
        <v>828</v>
      </c>
      <c r="B124" s="4" t="s">
        <v>823</v>
      </c>
      <c r="C124" s="4" t="s">
        <v>62</v>
      </c>
      <c r="D124" s="20">
        <f>MarketPlace_Order_Report__2[[#This Row],[UnitPrice]]*MarketPlace_Order_Report__2[[#This Row],[OrderQty]]</f>
        <v>3600</v>
      </c>
      <c r="E124" s="20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124" s="21">
        <f>MarketPlace_Order_Report__2[[#This Row],[Gross Amount (Before Tax)]]+MarketPlace_Order_Report__2[[#This Row],[Total GST Amount]]</f>
        <v>4149.1530000000002</v>
      </c>
    </row>
    <row r="125" spans="1:6" hidden="1">
      <c r="A125" s="8" t="s">
        <v>833</v>
      </c>
      <c r="B125" s="5" t="s">
        <v>823</v>
      </c>
      <c r="C125" s="5" t="s">
        <v>62</v>
      </c>
      <c r="D125" s="22">
        <f>MarketPlace_Order_Report__2[[#This Row],[UnitPrice]]*MarketPlace_Order_Report__2[[#This Row],[OrderQty]]</f>
        <v>3600</v>
      </c>
      <c r="E125" s="22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125" s="23">
        <f>MarketPlace_Order_Report__2[[#This Row],[Gross Amount (Before Tax)]]+MarketPlace_Order_Report__2[[#This Row],[Total GST Amount]]</f>
        <v>4149.1530000000002</v>
      </c>
    </row>
    <row r="126" spans="1:6">
      <c r="A126" s="7" t="s">
        <v>838</v>
      </c>
      <c r="B126" s="4" t="s">
        <v>823</v>
      </c>
      <c r="C126" s="4" t="s">
        <v>145</v>
      </c>
      <c r="D126" s="20">
        <f>MarketPlace_Order_Report__2[[#This Row],[UnitPrice]]*MarketPlace_Order_Report__2[[#This Row],[OrderQty]]</f>
        <v>3600</v>
      </c>
      <c r="E126" s="20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126" s="21">
        <f>MarketPlace_Order_Report__2[[#This Row],[Gross Amount (Before Tax)]]+MarketPlace_Order_Report__2[[#This Row],[Total GST Amount]]</f>
        <v>4149.1530000000002</v>
      </c>
    </row>
    <row r="127" spans="1:6" hidden="1">
      <c r="A127" s="8" t="s">
        <v>841</v>
      </c>
      <c r="B127" s="5" t="s">
        <v>844</v>
      </c>
      <c r="C127" s="5" t="s">
        <v>62</v>
      </c>
      <c r="D127" s="22">
        <f>MarketPlace_Order_Report__2[[#This Row],[UnitPrice]]*MarketPlace_Order_Report__2[[#This Row],[OrderQty]]</f>
        <v>3600</v>
      </c>
      <c r="E127" s="22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F127" s="23">
        <f>MarketPlace_Order_Report__2[[#This Row],[Gross Amount (Before Tax)]]+MarketPlace_Order_Report__2[[#This Row],[Total GST Amount]]</f>
        <v>4149.1540000000005</v>
      </c>
    </row>
    <row r="128" spans="1:6" hidden="1">
      <c r="A128" s="7" t="s">
        <v>848</v>
      </c>
      <c r="B128" s="4" t="s">
        <v>844</v>
      </c>
      <c r="C128" s="4" t="s">
        <v>1806</v>
      </c>
      <c r="D128" s="20">
        <f>MarketPlace_Order_Report__2[[#This Row],[UnitPrice]]*MarketPlace_Order_Report__2[[#This Row],[OrderQty]]</f>
        <v>3600</v>
      </c>
      <c r="E128" s="20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128" s="21">
        <f>MarketPlace_Order_Report__2[[#This Row],[Gross Amount (Before Tax)]]+MarketPlace_Order_Report__2[[#This Row],[Total GST Amount]]</f>
        <v>4149.1530000000002</v>
      </c>
    </row>
    <row r="129" spans="1:6">
      <c r="A129" s="8" t="s">
        <v>852</v>
      </c>
      <c r="B129" s="5" t="s">
        <v>844</v>
      </c>
      <c r="C129" s="5" t="s">
        <v>145</v>
      </c>
      <c r="D129" s="22">
        <f>MarketPlace_Order_Report__2[[#This Row],[UnitPrice]]*MarketPlace_Order_Report__2[[#This Row],[OrderQty]]</f>
        <v>3600</v>
      </c>
      <c r="E129" s="22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F129" s="23">
        <f>MarketPlace_Order_Report__2[[#This Row],[Gross Amount (Before Tax)]]+MarketPlace_Order_Report__2[[#This Row],[Total GST Amount]]</f>
        <v>4149.1540000000005</v>
      </c>
    </row>
    <row r="130" spans="1:6" hidden="1">
      <c r="A130" s="7" t="s">
        <v>855</v>
      </c>
      <c r="B130" s="4" t="s">
        <v>844</v>
      </c>
      <c r="C130" s="4" t="s">
        <v>1806</v>
      </c>
      <c r="D130" s="20">
        <f>MarketPlace_Order_Report__2[[#This Row],[UnitPrice]]*MarketPlace_Order_Report__2[[#This Row],[OrderQty]]</f>
        <v>3600</v>
      </c>
      <c r="E130" s="20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130" s="21">
        <f>MarketPlace_Order_Report__2[[#This Row],[Gross Amount (Before Tax)]]+MarketPlace_Order_Report__2[[#This Row],[Total GST Amount]]</f>
        <v>4149.1530000000002</v>
      </c>
    </row>
    <row r="131" spans="1:6" hidden="1">
      <c r="A131" s="8" t="s">
        <v>859</v>
      </c>
      <c r="B131" s="5" t="s">
        <v>844</v>
      </c>
      <c r="C131" s="5" t="s">
        <v>1806</v>
      </c>
      <c r="D131" s="22">
        <f>MarketPlace_Order_Report__2[[#This Row],[UnitPrice]]*MarketPlace_Order_Report__2[[#This Row],[OrderQty]]</f>
        <v>3600</v>
      </c>
      <c r="E131" s="22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F131" s="23">
        <f>MarketPlace_Order_Report__2[[#This Row],[Gross Amount (Before Tax)]]+MarketPlace_Order_Report__2[[#This Row],[Total GST Amount]]</f>
        <v>4149.1540000000005</v>
      </c>
    </row>
    <row r="132" spans="1:6" hidden="1">
      <c r="A132" s="7" t="s">
        <v>863</v>
      </c>
      <c r="B132" s="4" t="s">
        <v>866</v>
      </c>
      <c r="C132" s="4" t="s">
        <v>62</v>
      </c>
      <c r="D132" s="20">
        <f>MarketPlace_Order_Report__2[[#This Row],[UnitPrice]]*MarketPlace_Order_Report__2[[#This Row],[OrderQty]]</f>
        <v>3600</v>
      </c>
      <c r="E132" s="20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132" s="21">
        <f>MarketPlace_Order_Report__2[[#This Row],[Gross Amount (Before Tax)]]+MarketPlace_Order_Report__2[[#This Row],[Total GST Amount]]</f>
        <v>4149.1530000000002</v>
      </c>
    </row>
    <row r="133" spans="1:6" hidden="1">
      <c r="A133" s="8" t="s">
        <v>870</v>
      </c>
      <c r="B133" s="5" t="s">
        <v>873</v>
      </c>
      <c r="C133" s="5" t="s">
        <v>1806</v>
      </c>
      <c r="D133" s="22">
        <f>MarketPlace_Order_Report__2[[#This Row],[UnitPrice]]*MarketPlace_Order_Report__2[[#This Row],[OrderQty]]</f>
        <v>3600</v>
      </c>
      <c r="E133" s="22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F133" s="23">
        <f>MarketPlace_Order_Report__2[[#This Row],[Gross Amount (Before Tax)]]+MarketPlace_Order_Report__2[[#This Row],[Total GST Amount]]</f>
        <v>4149.1540000000005</v>
      </c>
    </row>
    <row r="134" spans="1:6" hidden="1">
      <c r="A134" s="7" t="s">
        <v>876</v>
      </c>
      <c r="B134" s="4" t="s">
        <v>879</v>
      </c>
      <c r="C134" s="4" t="s">
        <v>1806</v>
      </c>
      <c r="D134" s="20">
        <f>MarketPlace_Order_Report__2[[#This Row],[UnitPrice]]*MarketPlace_Order_Report__2[[#This Row],[OrderQty]]</f>
        <v>3600</v>
      </c>
      <c r="E134" s="20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134" s="21">
        <f>MarketPlace_Order_Report__2[[#This Row],[Gross Amount (Before Tax)]]+MarketPlace_Order_Report__2[[#This Row],[Total GST Amount]]</f>
        <v>4149.1530000000002</v>
      </c>
    </row>
    <row r="135" spans="1:6" hidden="1">
      <c r="A135" s="8" t="s">
        <v>883</v>
      </c>
      <c r="B135" s="5" t="s">
        <v>886</v>
      </c>
      <c r="C135" s="5" t="s">
        <v>62</v>
      </c>
      <c r="D135" s="22">
        <f>MarketPlace_Order_Report__2[[#This Row],[UnitPrice]]*MarketPlace_Order_Report__2[[#This Row],[OrderQty]]</f>
        <v>3150</v>
      </c>
      <c r="E135" s="22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135" s="23">
        <f>MarketPlace_Order_Report__2[[#This Row],[Gross Amount (Before Tax)]]+MarketPlace_Order_Report__2[[#This Row],[Total GST Amount]]</f>
        <v>3630.5079999999998</v>
      </c>
    </row>
    <row r="136" spans="1:6" hidden="1">
      <c r="A136" s="7" t="s">
        <v>890</v>
      </c>
      <c r="B136" s="4" t="s">
        <v>886</v>
      </c>
      <c r="C136" s="4" t="s">
        <v>62</v>
      </c>
      <c r="D136" s="20">
        <f>MarketPlace_Order_Report__2[[#This Row],[UnitPrice]]*MarketPlace_Order_Report__2[[#This Row],[OrderQty]]</f>
        <v>3150</v>
      </c>
      <c r="E136" s="20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136" s="21">
        <f>MarketPlace_Order_Report__2[[#This Row],[Gross Amount (Before Tax)]]+MarketPlace_Order_Report__2[[#This Row],[Total GST Amount]]</f>
        <v>3630.5079999999998</v>
      </c>
    </row>
    <row r="137" spans="1:6" hidden="1">
      <c r="A137" s="8" t="s">
        <v>896</v>
      </c>
      <c r="B137" s="5" t="s">
        <v>886</v>
      </c>
      <c r="C137" s="5" t="s">
        <v>62</v>
      </c>
      <c r="D137" s="22">
        <f>MarketPlace_Order_Report__2[[#This Row],[UnitPrice]]*MarketPlace_Order_Report__2[[#This Row],[OrderQty]]</f>
        <v>3150</v>
      </c>
      <c r="E137" s="22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137" s="23">
        <f>MarketPlace_Order_Report__2[[#This Row],[Gross Amount (Before Tax)]]+MarketPlace_Order_Report__2[[#This Row],[Total GST Amount]]</f>
        <v>3630.5079999999998</v>
      </c>
    </row>
    <row r="138" spans="1:6" hidden="1">
      <c r="A138" s="7" t="s">
        <v>902</v>
      </c>
      <c r="B138" s="4" t="s">
        <v>886</v>
      </c>
      <c r="C138" s="4" t="s">
        <v>1806</v>
      </c>
      <c r="D138" s="20">
        <f>MarketPlace_Order_Report__2[[#This Row],[UnitPrice]]*MarketPlace_Order_Report__2[[#This Row],[OrderQty]]</f>
        <v>3150</v>
      </c>
      <c r="E138" s="20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138" s="21">
        <f>MarketPlace_Order_Report__2[[#This Row],[Gross Amount (Before Tax)]]+MarketPlace_Order_Report__2[[#This Row],[Total GST Amount]]</f>
        <v>3630.5079999999998</v>
      </c>
    </row>
    <row r="139" spans="1:6" hidden="1">
      <c r="A139" s="8" t="s">
        <v>908</v>
      </c>
      <c r="B139" s="5" t="s">
        <v>911</v>
      </c>
      <c r="C139" s="5" t="s">
        <v>1806</v>
      </c>
      <c r="D139" s="22">
        <f>MarketPlace_Order_Report__2[[#This Row],[UnitPrice]]*MarketPlace_Order_Report__2[[#This Row],[OrderQty]]</f>
        <v>3150</v>
      </c>
      <c r="E139" s="22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139" s="23">
        <f>MarketPlace_Order_Report__2[[#This Row],[Gross Amount (Before Tax)]]+MarketPlace_Order_Report__2[[#This Row],[Total GST Amount]]</f>
        <v>3630.5079999999998</v>
      </c>
    </row>
    <row r="140" spans="1:6" hidden="1">
      <c r="A140" s="7" t="s">
        <v>916</v>
      </c>
      <c r="B140" s="4" t="s">
        <v>911</v>
      </c>
      <c r="C140" s="4" t="s">
        <v>257</v>
      </c>
      <c r="D140" s="20">
        <f>MarketPlace_Order_Report__2[[#This Row],[UnitPrice]]*MarketPlace_Order_Report__2[[#This Row],[OrderQty]]</f>
        <v>3150</v>
      </c>
      <c r="E140" s="20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140" s="21">
        <f>MarketPlace_Order_Report__2[[#This Row],[Gross Amount (Before Tax)]]+MarketPlace_Order_Report__2[[#This Row],[Total GST Amount]]</f>
        <v>3630.5079999999998</v>
      </c>
    </row>
    <row r="141" spans="1:6" hidden="1">
      <c r="A141" s="8" t="s">
        <v>921</v>
      </c>
      <c r="B141" s="5" t="s">
        <v>924</v>
      </c>
      <c r="C141" s="5" t="s">
        <v>1806</v>
      </c>
      <c r="D141" s="22">
        <f>MarketPlace_Order_Report__2[[#This Row],[UnitPrice]]*MarketPlace_Order_Report__2[[#This Row],[OrderQty]]</f>
        <v>3150</v>
      </c>
      <c r="E141" s="22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141" s="23">
        <f>MarketPlace_Order_Report__2[[#This Row],[Gross Amount (Before Tax)]]+MarketPlace_Order_Report__2[[#This Row],[Total GST Amount]]</f>
        <v>3630.5079999999998</v>
      </c>
    </row>
    <row r="142" spans="1:6" hidden="1">
      <c r="A142" s="7" t="s">
        <v>928</v>
      </c>
      <c r="B142" s="4" t="s">
        <v>924</v>
      </c>
      <c r="C142" s="4" t="s">
        <v>1806</v>
      </c>
      <c r="D142" s="20">
        <f>MarketPlace_Order_Report__2[[#This Row],[UnitPrice]]*MarketPlace_Order_Report__2[[#This Row],[OrderQty]]</f>
        <v>3150</v>
      </c>
      <c r="E142" s="20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142" s="21">
        <f>MarketPlace_Order_Report__2[[#This Row],[Gross Amount (Before Tax)]]+MarketPlace_Order_Report__2[[#This Row],[Total GST Amount]]</f>
        <v>3630.5079999999998</v>
      </c>
    </row>
    <row r="143" spans="1:6" hidden="1">
      <c r="A143" s="8" t="s">
        <v>933</v>
      </c>
      <c r="B143" s="5" t="s">
        <v>936</v>
      </c>
      <c r="C143" s="5" t="s">
        <v>107</v>
      </c>
      <c r="D143" s="22">
        <f>MarketPlace_Order_Report__2[[#This Row],[UnitPrice]]*MarketPlace_Order_Report__2[[#This Row],[OrderQty]]</f>
        <v>3150</v>
      </c>
      <c r="E143" s="22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143" s="23">
        <f>MarketPlace_Order_Report__2[[#This Row],[Gross Amount (Before Tax)]]+MarketPlace_Order_Report__2[[#This Row],[Total GST Amount]]</f>
        <v>3630.5079999999998</v>
      </c>
    </row>
    <row r="144" spans="1:6" hidden="1">
      <c r="A144" s="7" t="s">
        <v>941</v>
      </c>
      <c r="B144" s="4" t="s">
        <v>936</v>
      </c>
      <c r="C144" s="4" t="s">
        <v>1806</v>
      </c>
      <c r="D144" s="20">
        <f>MarketPlace_Order_Report__2[[#This Row],[UnitPrice]]*MarketPlace_Order_Report__2[[#This Row],[OrderQty]]</f>
        <v>3150</v>
      </c>
      <c r="E144" s="20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144" s="21">
        <f>MarketPlace_Order_Report__2[[#This Row],[Gross Amount (Before Tax)]]+MarketPlace_Order_Report__2[[#This Row],[Total GST Amount]]</f>
        <v>3630.5079999999998</v>
      </c>
    </row>
    <row r="145" spans="1:6" hidden="1">
      <c r="A145" s="8" t="s">
        <v>945</v>
      </c>
      <c r="B145" s="5" t="s">
        <v>948</v>
      </c>
      <c r="C145" s="5" t="s">
        <v>1806</v>
      </c>
      <c r="D145" s="22">
        <f>MarketPlace_Order_Report__2[[#This Row],[UnitPrice]]*MarketPlace_Order_Report__2[[#This Row],[OrderQty]]</f>
        <v>3150</v>
      </c>
      <c r="E145" s="22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145" s="23">
        <f>MarketPlace_Order_Report__2[[#This Row],[Gross Amount (Before Tax)]]+MarketPlace_Order_Report__2[[#This Row],[Total GST Amount]]</f>
        <v>3630.5079999999998</v>
      </c>
    </row>
    <row r="146" spans="1:6" hidden="1">
      <c r="A146" s="7" t="s">
        <v>952</v>
      </c>
      <c r="B146" s="4" t="s">
        <v>948</v>
      </c>
      <c r="C146" s="4" t="s">
        <v>257</v>
      </c>
      <c r="D146" s="20">
        <f>MarketPlace_Order_Report__2[[#This Row],[UnitPrice]]*MarketPlace_Order_Report__2[[#This Row],[OrderQty]]</f>
        <v>3150</v>
      </c>
      <c r="E146" s="20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146" s="21">
        <f>MarketPlace_Order_Report__2[[#This Row],[Gross Amount (Before Tax)]]+MarketPlace_Order_Report__2[[#This Row],[Total GST Amount]]</f>
        <v>3630.5079999999998</v>
      </c>
    </row>
    <row r="147" spans="1:6" hidden="1">
      <c r="A147" s="8" t="s">
        <v>956</v>
      </c>
      <c r="B147" s="5" t="s">
        <v>948</v>
      </c>
      <c r="C147" s="5" t="s">
        <v>62</v>
      </c>
      <c r="D147" s="22">
        <f>MarketPlace_Order_Report__2[[#This Row],[UnitPrice]]*MarketPlace_Order_Report__2[[#This Row],[OrderQty]]</f>
        <v>3150</v>
      </c>
      <c r="E147" s="22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147" s="23">
        <f>MarketPlace_Order_Report__2[[#This Row],[Gross Amount (Before Tax)]]+MarketPlace_Order_Report__2[[#This Row],[Total GST Amount]]</f>
        <v>3630.5079999999998</v>
      </c>
    </row>
    <row r="148" spans="1:6" hidden="1">
      <c r="A148" s="7" t="s">
        <v>965</v>
      </c>
      <c r="B148" s="4" t="s">
        <v>968</v>
      </c>
      <c r="C148" s="4" t="s">
        <v>62</v>
      </c>
      <c r="D148" s="20">
        <f>MarketPlace_Order_Report__2[[#This Row],[UnitPrice]]*MarketPlace_Order_Report__2[[#This Row],[OrderQty]]</f>
        <v>3150</v>
      </c>
      <c r="E148" s="20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148" s="21">
        <f>MarketPlace_Order_Report__2[[#This Row],[Gross Amount (Before Tax)]]+MarketPlace_Order_Report__2[[#This Row],[Total GST Amount]]</f>
        <v>3630.5079999999998</v>
      </c>
    </row>
    <row r="149" spans="1:6" hidden="1">
      <c r="A149" s="8" t="s">
        <v>973</v>
      </c>
      <c r="B149" s="5" t="s">
        <v>968</v>
      </c>
      <c r="C149" s="5" t="s">
        <v>1806</v>
      </c>
      <c r="D149" s="22">
        <f>MarketPlace_Order_Report__2[[#This Row],[UnitPrice]]*MarketPlace_Order_Report__2[[#This Row],[OrderQty]]</f>
        <v>3150</v>
      </c>
      <c r="E149" s="22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149" s="23">
        <f>MarketPlace_Order_Report__2[[#This Row],[Gross Amount (Before Tax)]]+MarketPlace_Order_Report__2[[#This Row],[Total GST Amount]]</f>
        <v>3630.5079999999998</v>
      </c>
    </row>
    <row r="150" spans="1:6" hidden="1">
      <c r="A150" s="7" t="s">
        <v>978</v>
      </c>
      <c r="B150" s="4" t="s">
        <v>968</v>
      </c>
      <c r="C150" s="4" t="s">
        <v>257</v>
      </c>
      <c r="D150" s="20">
        <f>MarketPlace_Order_Report__2[[#This Row],[UnitPrice]]*MarketPlace_Order_Report__2[[#This Row],[OrderQty]]</f>
        <v>3150</v>
      </c>
      <c r="E150" s="20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150" s="21">
        <f>MarketPlace_Order_Report__2[[#This Row],[Gross Amount (Before Tax)]]+MarketPlace_Order_Report__2[[#This Row],[Total GST Amount]]</f>
        <v>3630.5079999999998</v>
      </c>
    </row>
    <row r="151" spans="1:6">
      <c r="A151" s="8" t="s">
        <v>983</v>
      </c>
      <c r="B151" s="5" t="s">
        <v>968</v>
      </c>
      <c r="C151" s="5" t="s">
        <v>145</v>
      </c>
      <c r="D151" s="22">
        <f>MarketPlace_Order_Report__2[[#This Row],[UnitPrice]]*MarketPlace_Order_Report__2[[#This Row],[OrderQty]]</f>
        <v>3150</v>
      </c>
      <c r="E151" s="22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151" s="23">
        <f>MarketPlace_Order_Report__2[[#This Row],[Gross Amount (Before Tax)]]+MarketPlace_Order_Report__2[[#This Row],[Total GST Amount]]</f>
        <v>3630.5079999999998</v>
      </c>
    </row>
    <row r="152" spans="1:6">
      <c r="A152" s="7" t="s">
        <v>987</v>
      </c>
      <c r="B152" s="4" t="s">
        <v>990</v>
      </c>
      <c r="C152" s="4" t="s">
        <v>145</v>
      </c>
      <c r="D152" s="20">
        <f>MarketPlace_Order_Report__2[[#This Row],[UnitPrice]]*MarketPlace_Order_Report__2[[#This Row],[OrderQty]]</f>
        <v>3150</v>
      </c>
      <c r="E152" s="20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152" s="21">
        <f>MarketPlace_Order_Report__2[[#This Row],[Gross Amount (Before Tax)]]+MarketPlace_Order_Report__2[[#This Row],[Total GST Amount]]</f>
        <v>3630.5079999999998</v>
      </c>
    </row>
    <row r="153" spans="1:6" hidden="1">
      <c r="A153" s="8" t="s">
        <v>991</v>
      </c>
      <c r="B153" s="5" t="s">
        <v>990</v>
      </c>
      <c r="C153" s="5" t="s">
        <v>1806</v>
      </c>
      <c r="D153" s="22">
        <f>MarketPlace_Order_Report__2[[#This Row],[UnitPrice]]*MarketPlace_Order_Report__2[[#This Row],[OrderQty]]</f>
        <v>3150</v>
      </c>
      <c r="E153" s="22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153" s="23">
        <f>MarketPlace_Order_Report__2[[#This Row],[Gross Amount (Before Tax)]]+MarketPlace_Order_Report__2[[#This Row],[Total GST Amount]]</f>
        <v>3630.5079999999998</v>
      </c>
    </row>
    <row r="154" spans="1:6" hidden="1">
      <c r="A154" s="7" t="s">
        <v>996</v>
      </c>
      <c r="B154" s="4" t="s">
        <v>990</v>
      </c>
      <c r="C154" s="4" t="s">
        <v>257</v>
      </c>
      <c r="D154" s="20">
        <f>MarketPlace_Order_Report__2[[#This Row],[UnitPrice]]*MarketPlace_Order_Report__2[[#This Row],[OrderQty]]</f>
        <v>3150</v>
      </c>
      <c r="E154" s="20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154" s="21">
        <f>MarketPlace_Order_Report__2[[#This Row],[Gross Amount (Before Tax)]]+MarketPlace_Order_Report__2[[#This Row],[Total GST Amount]]</f>
        <v>3630.5079999999998</v>
      </c>
    </row>
    <row r="155" spans="1:6" hidden="1">
      <c r="A155" s="8" t="s">
        <v>1000</v>
      </c>
      <c r="B155" s="5" t="s">
        <v>990</v>
      </c>
      <c r="C155" s="5" t="s">
        <v>62</v>
      </c>
      <c r="D155" s="22">
        <f>MarketPlace_Order_Report__2[[#This Row],[UnitPrice]]*MarketPlace_Order_Report__2[[#This Row],[OrderQty]]</f>
        <v>3150</v>
      </c>
      <c r="E155" s="22">
        <f>IFERROR(MarketPlace_Order_Report__2[[#This Row],[CGSTAmount]]+MarketPlace_Order_Report__2[[#This Row],[SGSTAmount]]+MarketPlace_Order_Report__2[[#This Row],[IGSTAmount]],MarketPlace_Order_Report__2[[#This Row],[TaxAmount]])</f>
        <v>480.50799999999998</v>
      </c>
      <c r="F155" s="23">
        <f>MarketPlace_Order_Report__2[[#This Row],[Gross Amount (Before Tax)]]+MarketPlace_Order_Report__2[[#This Row],[Total GST Amount]]</f>
        <v>3630.5079999999998</v>
      </c>
    </row>
    <row r="156" spans="1:6" hidden="1">
      <c r="A156" s="7" t="s">
        <v>1006</v>
      </c>
      <c r="B156" s="4" t="s">
        <v>1009</v>
      </c>
      <c r="C156" s="4" t="s">
        <v>1806</v>
      </c>
      <c r="D156" s="20">
        <f>MarketPlace_Order_Report__2[[#This Row],[UnitPrice]]*MarketPlace_Order_Report__2[[#This Row],[OrderQty]]</f>
        <v>3600</v>
      </c>
      <c r="E156" s="20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156" s="21">
        <f>MarketPlace_Order_Report__2[[#This Row],[Gross Amount (Before Tax)]]+MarketPlace_Order_Report__2[[#This Row],[Total GST Amount]]</f>
        <v>4149.1530000000002</v>
      </c>
    </row>
    <row r="157" spans="1:6" hidden="1">
      <c r="A157" s="8" t="s">
        <v>1012</v>
      </c>
      <c r="B157" s="5" t="s">
        <v>1015</v>
      </c>
      <c r="C157" s="5" t="s">
        <v>62</v>
      </c>
      <c r="D157" s="22">
        <f>MarketPlace_Order_Report__2[[#This Row],[UnitPrice]]*MarketPlace_Order_Report__2[[#This Row],[OrderQty]]</f>
        <v>1600</v>
      </c>
      <c r="E157" s="22">
        <f>IFERROR(MarketPlace_Order_Report__2[[#This Row],[CGSTAmount]]+MarketPlace_Order_Report__2[[#This Row],[SGSTAmount]]+MarketPlace_Order_Report__2[[#This Row],[IGSTAmount]],MarketPlace_Order_Report__2[[#This Row],[TaxAmount]])</f>
        <v>76.19</v>
      </c>
      <c r="F157" s="23">
        <f>MarketPlace_Order_Report__2[[#This Row],[Gross Amount (Before Tax)]]+MarketPlace_Order_Report__2[[#This Row],[Total GST Amount]]</f>
        <v>1676.19</v>
      </c>
    </row>
    <row r="158" spans="1:6" hidden="1">
      <c r="A158" s="7" t="s">
        <v>1019</v>
      </c>
      <c r="B158" s="4" t="s">
        <v>1022</v>
      </c>
      <c r="C158" s="4" t="s">
        <v>62</v>
      </c>
      <c r="D158" s="20">
        <f>MarketPlace_Order_Report__2[[#This Row],[UnitPrice]]*MarketPlace_Order_Report__2[[#This Row],[OrderQty]]</f>
        <v>1600</v>
      </c>
      <c r="E158" s="20">
        <f>IFERROR(MarketPlace_Order_Report__2[[#This Row],[CGSTAmount]]+MarketPlace_Order_Report__2[[#This Row],[SGSTAmount]]+MarketPlace_Order_Report__2[[#This Row],[IGSTAmount]],MarketPlace_Order_Report__2[[#This Row],[TaxAmount]])</f>
        <v>76.19</v>
      </c>
      <c r="F158" s="21">
        <f>MarketPlace_Order_Report__2[[#This Row],[Gross Amount (Before Tax)]]+MarketPlace_Order_Report__2[[#This Row],[Total GST Amount]]</f>
        <v>1676.19</v>
      </c>
    </row>
    <row r="159" spans="1:6" hidden="1">
      <c r="A159" s="8" t="s">
        <v>1026</v>
      </c>
      <c r="B159" s="5" t="s">
        <v>1029</v>
      </c>
      <c r="C159" s="5" t="s">
        <v>1806</v>
      </c>
      <c r="D159" s="22">
        <f>MarketPlace_Order_Report__2[[#This Row],[UnitPrice]]*MarketPlace_Order_Report__2[[#This Row],[OrderQty]]</f>
        <v>3600</v>
      </c>
      <c r="E159" s="22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159" s="23">
        <f>MarketPlace_Order_Report__2[[#This Row],[Gross Amount (Before Tax)]]+MarketPlace_Order_Report__2[[#This Row],[Total GST Amount]]</f>
        <v>4149.1530000000002</v>
      </c>
    </row>
    <row r="160" spans="1:6" hidden="1">
      <c r="A160" s="7" t="s">
        <v>1033</v>
      </c>
      <c r="B160" s="4" t="s">
        <v>1036</v>
      </c>
      <c r="C160" s="4" t="s">
        <v>1806</v>
      </c>
      <c r="D160" s="20">
        <f>MarketPlace_Order_Report__2[[#This Row],[UnitPrice]]*MarketPlace_Order_Report__2[[#This Row],[OrderQty]]</f>
        <v>3375</v>
      </c>
      <c r="E160" s="20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F160" s="21">
        <f>MarketPlace_Order_Report__2[[#This Row],[Gross Amount (Before Tax)]]+MarketPlace_Order_Report__2[[#This Row],[Total GST Amount]]</f>
        <v>3889.8310000000001</v>
      </c>
    </row>
    <row r="161" spans="1:6" hidden="1">
      <c r="A161" s="8" t="s">
        <v>1039</v>
      </c>
      <c r="B161" s="5" t="s">
        <v>1042</v>
      </c>
      <c r="C161" s="5" t="s">
        <v>1806</v>
      </c>
      <c r="D161" s="22">
        <f>MarketPlace_Order_Report__2[[#This Row],[UnitPrice]]*MarketPlace_Order_Report__2[[#This Row],[OrderQty]]</f>
        <v>3375</v>
      </c>
      <c r="E161" s="22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F161" s="23">
        <f>MarketPlace_Order_Report__2[[#This Row],[Gross Amount (Before Tax)]]+MarketPlace_Order_Report__2[[#This Row],[Total GST Amount]]</f>
        <v>3889.8310000000001</v>
      </c>
    </row>
    <row r="162" spans="1:6" hidden="1">
      <c r="A162" s="7" t="s">
        <v>1045</v>
      </c>
      <c r="B162" s="4" t="s">
        <v>1048</v>
      </c>
      <c r="C162" s="4" t="s">
        <v>107</v>
      </c>
      <c r="D162" s="20">
        <f>MarketPlace_Order_Report__2[[#This Row],[UnitPrice]]*MarketPlace_Order_Report__2[[#This Row],[OrderQty]]</f>
        <v>3375</v>
      </c>
      <c r="E162" s="20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F162" s="21">
        <f>MarketPlace_Order_Report__2[[#This Row],[Gross Amount (Before Tax)]]+MarketPlace_Order_Report__2[[#This Row],[Total GST Amount]]</f>
        <v>3889.8310000000001</v>
      </c>
    </row>
    <row r="163" spans="1:6" hidden="1">
      <c r="A163" s="8" t="s">
        <v>1052</v>
      </c>
      <c r="B163" s="5" t="s">
        <v>1055</v>
      </c>
      <c r="C163" s="5" t="s">
        <v>1806</v>
      </c>
      <c r="D163" s="22">
        <f>MarketPlace_Order_Report__2[[#This Row],[UnitPrice]]*MarketPlace_Order_Report__2[[#This Row],[OrderQty]]</f>
        <v>3375</v>
      </c>
      <c r="E163" s="22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F163" s="23">
        <f>MarketPlace_Order_Report__2[[#This Row],[Gross Amount (Before Tax)]]+MarketPlace_Order_Report__2[[#This Row],[Total GST Amount]]</f>
        <v>3889.8310000000001</v>
      </c>
    </row>
    <row r="164" spans="1:6" hidden="1">
      <c r="A164" s="7" t="s">
        <v>1060</v>
      </c>
      <c r="B164" s="4" t="s">
        <v>1063</v>
      </c>
      <c r="C164" s="4" t="s">
        <v>1806</v>
      </c>
      <c r="D164" s="20">
        <f>MarketPlace_Order_Report__2[[#This Row],[UnitPrice]]*MarketPlace_Order_Report__2[[#This Row],[OrderQty]]</f>
        <v>3375</v>
      </c>
      <c r="E164" s="20">
        <f>IFERROR(MarketPlace_Order_Report__2[[#This Row],[CGSTAmount]]+MarketPlace_Order_Report__2[[#This Row],[SGSTAmount]]+MarketPlace_Order_Report__2[[#This Row],[IGSTAmount]],MarketPlace_Order_Report__2[[#This Row],[TaxAmount]])</f>
        <v>514.83199999999999</v>
      </c>
      <c r="F164" s="21">
        <f>MarketPlace_Order_Report__2[[#This Row],[Gross Amount (Before Tax)]]+MarketPlace_Order_Report__2[[#This Row],[Total GST Amount]]</f>
        <v>3889.8319999999999</v>
      </c>
    </row>
    <row r="165" spans="1:6" hidden="1">
      <c r="A165" s="8" t="s">
        <v>876</v>
      </c>
      <c r="B165" s="5" t="s">
        <v>1067</v>
      </c>
      <c r="C165" s="5" t="s">
        <v>1806</v>
      </c>
      <c r="D165" s="22">
        <f>MarketPlace_Order_Report__2[[#This Row],[UnitPrice]]*MarketPlace_Order_Report__2[[#This Row],[OrderQty]]</f>
        <v>3375</v>
      </c>
      <c r="E165" s="22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F165" s="23">
        <f>MarketPlace_Order_Report__2[[#This Row],[Gross Amount (Before Tax)]]+MarketPlace_Order_Report__2[[#This Row],[Total GST Amount]]</f>
        <v>3889.8310000000001</v>
      </c>
    </row>
    <row r="166" spans="1:6" hidden="1">
      <c r="A166" s="7" t="s">
        <v>1068</v>
      </c>
      <c r="B166" s="4" t="s">
        <v>1067</v>
      </c>
      <c r="C166" s="4" t="s">
        <v>1806</v>
      </c>
      <c r="D166" s="20">
        <f>MarketPlace_Order_Report__2[[#This Row],[UnitPrice]]*MarketPlace_Order_Report__2[[#This Row],[OrderQty]]</f>
        <v>3375</v>
      </c>
      <c r="E166" s="20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F166" s="21">
        <f>MarketPlace_Order_Report__2[[#This Row],[Gross Amount (Before Tax)]]+MarketPlace_Order_Report__2[[#This Row],[Total GST Amount]]</f>
        <v>3889.8310000000001</v>
      </c>
    </row>
    <row r="167" spans="1:6" hidden="1">
      <c r="A167" s="8" t="s">
        <v>1073</v>
      </c>
      <c r="B167" s="5" t="s">
        <v>1076</v>
      </c>
      <c r="C167" s="5" t="s">
        <v>62</v>
      </c>
      <c r="D167" s="22">
        <f>MarketPlace_Order_Report__2[[#This Row],[UnitPrice]]*MarketPlace_Order_Report__2[[#This Row],[OrderQty]]</f>
        <v>3375</v>
      </c>
      <c r="E167" s="22">
        <f>IFERROR(MarketPlace_Order_Report__2[[#This Row],[CGSTAmount]]+MarketPlace_Order_Report__2[[#This Row],[SGSTAmount]]+MarketPlace_Order_Report__2[[#This Row],[IGSTAmount]],MarketPlace_Order_Report__2[[#This Row],[TaxAmount]])</f>
        <v>514.83199999999999</v>
      </c>
      <c r="F167" s="23">
        <f>MarketPlace_Order_Report__2[[#This Row],[Gross Amount (Before Tax)]]+MarketPlace_Order_Report__2[[#This Row],[Total GST Amount]]</f>
        <v>3889.8319999999999</v>
      </c>
    </row>
    <row r="168" spans="1:6" hidden="1">
      <c r="A168" s="7" t="s">
        <v>1080</v>
      </c>
      <c r="B168" s="4" t="s">
        <v>1076</v>
      </c>
      <c r="C168" s="4" t="s">
        <v>1806</v>
      </c>
      <c r="D168" s="20">
        <f>MarketPlace_Order_Report__2[[#This Row],[UnitPrice]]*MarketPlace_Order_Report__2[[#This Row],[OrderQty]]</f>
        <v>3375</v>
      </c>
      <c r="E168" s="20">
        <f>IFERROR(MarketPlace_Order_Report__2[[#This Row],[CGSTAmount]]+MarketPlace_Order_Report__2[[#This Row],[SGSTAmount]]+MarketPlace_Order_Report__2[[#This Row],[IGSTAmount]],MarketPlace_Order_Report__2[[#This Row],[TaxAmount]])</f>
        <v>514.83100000000002</v>
      </c>
      <c r="F168" s="21">
        <f>MarketPlace_Order_Report__2[[#This Row],[Gross Amount (Before Tax)]]+MarketPlace_Order_Report__2[[#This Row],[Total GST Amount]]</f>
        <v>3889.8310000000001</v>
      </c>
    </row>
    <row r="169" spans="1:6">
      <c r="A169" s="8" t="s">
        <v>1084</v>
      </c>
      <c r="B169" s="5" t="s">
        <v>1087</v>
      </c>
      <c r="C169" s="5" t="s">
        <v>145</v>
      </c>
      <c r="D169" s="22">
        <f>MarketPlace_Order_Report__2[[#This Row],[UnitPrice]]*MarketPlace_Order_Report__2[[#This Row],[OrderQty]]</f>
        <v>3600</v>
      </c>
      <c r="E169" s="22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169" s="23">
        <f>MarketPlace_Order_Report__2[[#This Row],[Gross Amount (Before Tax)]]+MarketPlace_Order_Report__2[[#This Row],[Total GST Amount]]</f>
        <v>4149.1530000000002</v>
      </c>
    </row>
    <row r="170" spans="1:6" hidden="1">
      <c r="A170" s="7" t="s">
        <v>1088</v>
      </c>
      <c r="B170" s="4" t="s">
        <v>1091</v>
      </c>
      <c r="C170" s="4" t="s">
        <v>62</v>
      </c>
      <c r="D170" s="20">
        <f>MarketPlace_Order_Report__2[[#This Row],[UnitPrice]]*MarketPlace_Order_Report__2[[#This Row],[OrderQty]]</f>
        <v>3600</v>
      </c>
      <c r="E170" s="20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170" s="21">
        <f>MarketPlace_Order_Report__2[[#This Row],[Gross Amount (Before Tax)]]+MarketPlace_Order_Report__2[[#This Row],[Total GST Amount]]</f>
        <v>4149.1530000000002</v>
      </c>
    </row>
    <row r="171" spans="1:6" hidden="1">
      <c r="A171" s="8" t="s">
        <v>1097</v>
      </c>
      <c r="B171" s="5" t="s">
        <v>1100</v>
      </c>
      <c r="C171" s="5" t="s">
        <v>62</v>
      </c>
      <c r="D171" s="22">
        <f>MarketPlace_Order_Report__2[[#This Row],[UnitPrice]]*MarketPlace_Order_Report__2[[#This Row],[OrderQty]]</f>
        <v>3600</v>
      </c>
      <c r="E171" s="22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171" s="23">
        <f>MarketPlace_Order_Report__2[[#This Row],[Gross Amount (Before Tax)]]+MarketPlace_Order_Report__2[[#This Row],[Total GST Amount]]</f>
        <v>4149.1530000000002</v>
      </c>
    </row>
    <row r="172" spans="1:6" hidden="1">
      <c r="A172" s="7" t="s">
        <v>1105</v>
      </c>
      <c r="B172" s="4" t="s">
        <v>1108</v>
      </c>
      <c r="C172" s="4" t="s">
        <v>1806</v>
      </c>
      <c r="D172" s="20">
        <f>MarketPlace_Order_Report__2[[#This Row],[UnitPrice]]*MarketPlace_Order_Report__2[[#This Row],[OrderQty]]</f>
        <v>3825</v>
      </c>
      <c r="E172" s="20">
        <f>IFERROR(MarketPlace_Order_Report__2[[#This Row],[CGSTAmount]]+MarketPlace_Order_Report__2[[#This Row],[SGSTAmount]]+MarketPlace_Order_Report__2[[#This Row],[IGSTAmount]],MarketPlace_Order_Report__2[[#This Row],[TaxAmount]])</f>
        <v>583.47500000000002</v>
      </c>
      <c r="F172" s="21">
        <f>MarketPlace_Order_Report__2[[#This Row],[Gross Amount (Before Tax)]]+MarketPlace_Order_Report__2[[#This Row],[Total GST Amount]]</f>
        <v>4408.4750000000004</v>
      </c>
    </row>
    <row r="173" spans="1:6" hidden="1">
      <c r="A173" s="8" t="s">
        <v>1026</v>
      </c>
      <c r="B173" s="5" t="s">
        <v>1112</v>
      </c>
      <c r="C173" s="5" t="s">
        <v>1806</v>
      </c>
      <c r="D173" s="22">
        <f>MarketPlace_Order_Report__2[[#This Row],[UnitPrice]]*MarketPlace_Order_Report__2[[#This Row],[OrderQty]]</f>
        <v>3825</v>
      </c>
      <c r="E173" s="22">
        <f>IFERROR(MarketPlace_Order_Report__2[[#This Row],[CGSTAmount]]+MarketPlace_Order_Report__2[[#This Row],[SGSTAmount]]+MarketPlace_Order_Report__2[[#This Row],[IGSTAmount]],MarketPlace_Order_Report__2[[#This Row],[TaxAmount]])</f>
        <v>583.47500000000002</v>
      </c>
      <c r="F173" s="23">
        <f>MarketPlace_Order_Report__2[[#This Row],[Gross Amount (Before Tax)]]+MarketPlace_Order_Report__2[[#This Row],[Total GST Amount]]</f>
        <v>4408.4750000000004</v>
      </c>
    </row>
    <row r="174" spans="1:6" hidden="1">
      <c r="A174" s="7" t="s">
        <v>1113</v>
      </c>
      <c r="B174" s="4" t="s">
        <v>1116</v>
      </c>
      <c r="C174" s="4" t="s">
        <v>1806</v>
      </c>
      <c r="D174" s="20">
        <f>MarketPlace_Order_Report__2[[#This Row],[UnitPrice]]*MarketPlace_Order_Report__2[[#This Row],[OrderQty]]</f>
        <v>3325</v>
      </c>
      <c r="E174" s="20">
        <f>IFERROR(MarketPlace_Order_Report__2[[#This Row],[CGSTAmount]]+MarketPlace_Order_Report__2[[#This Row],[SGSTAmount]]+MarketPlace_Order_Report__2[[#This Row],[IGSTAmount]],MarketPlace_Order_Report__2[[#This Row],[TaxAmount]])</f>
        <v>507.20400000000001</v>
      </c>
      <c r="F174" s="21">
        <f>MarketPlace_Order_Report__2[[#This Row],[Gross Amount (Before Tax)]]+MarketPlace_Order_Report__2[[#This Row],[Total GST Amount]]</f>
        <v>3832.2040000000002</v>
      </c>
    </row>
    <row r="175" spans="1:6" hidden="1">
      <c r="A175" s="8" t="s">
        <v>1119</v>
      </c>
      <c r="B175" s="5" t="s">
        <v>1122</v>
      </c>
      <c r="C175" s="5" t="s">
        <v>1806</v>
      </c>
      <c r="D175" s="22">
        <f>MarketPlace_Order_Report__2[[#This Row],[UnitPrice]]*MarketPlace_Order_Report__2[[#This Row],[OrderQty]]</f>
        <v>3500</v>
      </c>
      <c r="E175" s="22">
        <f>IFERROR(MarketPlace_Order_Report__2[[#This Row],[CGSTAmount]]+MarketPlace_Order_Report__2[[#This Row],[SGSTAmount]]+MarketPlace_Order_Report__2[[#This Row],[IGSTAmount]],MarketPlace_Order_Report__2[[#This Row],[TaxAmount]])</f>
        <v>533.89800000000002</v>
      </c>
      <c r="F175" s="23">
        <f>MarketPlace_Order_Report__2[[#This Row],[Gross Amount (Before Tax)]]+MarketPlace_Order_Report__2[[#This Row],[Total GST Amount]]</f>
        <v>4033.8980000000001</v>
      </c>
    </row>
    <row r="176" spans="1:6" hidden="1">
      <c r="A176" s="7" t="s">
        <v>1125</v>
      </c>
      <c r="B176" s="4" t="s">
        <v>1128</v>
      </c>
      <c r="C176" s="4" t="s">
        <v>1806</v>
      </c>
      <c r="D176" s="20">
        <f>MarketPlace_Order_Report__2[[#This Row],[UnitPrice]]*MarketPlace_Order_Report__2[[#This Row],[OrderQty]]</f>
        <v>3325</v>
      </c>
      <c r="E176" s="20">
        <f>IFERROR(MarketPlace_Order_Report__2[[#This Row],[CGSTAmount]]+MarketPlace_Order_Report__2[[#This Row],[SGSTAmount]]+MarketPlace_Order_Report__2[[#This Row],[IGSTAmount]],MarketPlace_Order_Report__2[[#This Row],[TaxAmount]])</f>
        <v>507.20299999999997</v>
      </c>
      <c r="F176" s="21">
        <f>MarketPlace_Order_Report__2[[#This Row],[Gross Amount (Before Tax)]]+MarketPlace_Order_Report__2[[#This Row],[Total GST Amount]]</f>
        <v>3832.203</v>
      </c>
    </row>
    <row r="177" spans="1:6" hidden="1">
      <c r="A177" s="8" t="s">
        <v>1132</v>
      </c>
      <c r="B177" s="5" t="s">
        <v>1135</v>
      </c>
      <c r="C177" s="5" t="s">
        <v>62</v>
      </c>
      <c r="D177" s="22">
        <f>MarketPlace_Order_Report__2[[#This Row],[UnitPrice]]*MarketPlace_Order_Report__2[[#This Row],[OrderQty]]</f>
        <v>3325</v>
      </c>
      <c r="E177" s="22">
        <f>IFERROR(MarketPlace_Order_Report__2[[#This Row],[CGSTAmount]]+MarketPlace_Order_Report__2[[#This Row],[SGSTAmount]]+MarketPlace_Order_Report__2[[#This Row],[IGSTAmount]],MarketPlace_Order_Report__2[[#This Row],[TaxAmount]])</f>
        <v>507.20299999999997</v>
      </c>
      <c r="F177" s="23">
        <f>MarketPlace_Order_Report__2[[#This Row],[Gross Amount (Before Tax)]]+MarketPlace_Order_Report__2[[#This Row],[Total GST Amount]]</f>
        <v>3832.203</v>
      </c>
    </row>
    <row r="178" spans="1:6" hidden="1">
      <c r="A178" s="7" t="s">
        <v>1140</v>
      </c>
      <c r="B178" s="4" t="s">
        <v>1143</v>
      </c>
      <c r="C178" s="4" t="s">
        <v>1806</v>
      </c>
      <c r="D178" s="20">
        <f>MarketPlace_Order_Report__2[[#This Row],[UnitPrice]]*MarketPlace_Order_Report__2[[#This Row],[OrderQty]]</f>
        <v>2850</v>
      </c>
      <c r="E178" s="20">
        <f>IFERROR(MarketPlace_Order_Report__2[[#This Row],[CGSTAmount]]+MarketPlace_Order_Report__2[[#This Row],[SGSTAmount]]+MarketPlace_Order_Report__2[[#This Row],[IGSTAmount]],MarketPlace_Order_Report__2[[#This Row],[TaxAmount]])</f>
        <v>434.74599999999998</v>
      </c>
      <c r="F178" s="21">
        <f>MarketPlace_Order_Report__2[[#This Row],[Gross Amount (Before Tax)]]+MarketPlace_Order_Report__2[[#This Row],[Total GST Amount]]</f>
        <v>3284.7460000000001</v>
      </c>
    </row>
    <row r="179" spans="1:6" hidden="1">
      <c r="A179" s="8" t="s">
        <v>1146</v>
      </c>
      <c r="B179" s="5" t="s">
        <v>1149</v>
      </c>
      <c r="C179" s="5" t="s">
        <v>228</v>
      </c>
      <c r="D179" s="22">
        <f>MarketPlace_Order_Report__2[[#This Row],[UnitPrice]]*MarketPlace_Order_Report__2[[#This Row],[OrderQty]]</f>
        <v>2850</v>
      </c>
      <c r="E179" s="22">
        <f>IFERROR(MarketPlace_Order_Report__2[[#This Row],[CGSTAmount]]+MarketPlace_Order_Report__2[[#This Row],[SGSTAmount]]+MarketPlace_Order_Report__2[[#This Row],[IGSTAmount]],MarketPlace_Order_Report__2[[#This Row],[TaxAmount]])</f>
        <v>434.74599999999998</v>
      </c>
      <c r="F179" s="23">
        <f>MarketPlace_Order_Report__2[[#This Row],[Gross Amount (Before Tax)]]+MarketPlace_Order_Report__2[[#This Row],[Total GST Amount]]</f>
        <v>3284.7460000000001</v>
      </c>
    </row>
    <row r="180" spans="1:6" hidden="1">
      <c r="A180" s="7" t="s">
        <v>1153</v>
      </c>
      <c r="B180" s="4" t="s">
        <v>1156</v>
      </c>
      <c r="C180" s="4" t="s">
        <v>1806</v>
      </c>
      <c r="D180" s="20">
        <f>MarketPlace_Order_Report__2[[#This Row],[UnitPrice]]*MarketPlace_Order_Report__2[[#This Row],[OrderQty]]</f>
        <v>2850</v>
      </c>
      <c r="E180" s="20">
        <f>IFERROR(MarketPlace_Order_Report__2[[#This Row],[CGSTAmount]]+MarketPlace_Order_Report__2[[#This Row],[SGSTAmount]]+MarketPlace_Order_Report__2[[#This Row],[IGSTAmount]],MarketPlace_Order_Report__2[[#This Row],[TaxAmount]])</f>
        <v>434.74599999999998</v>
      </c>
      <c r="F180" s="21">
        <f>MarketPlace_Order_Report__2[[#This Row],[Gross Amount (Before Tax)]]+MarketPlace_Order_Report__2[[#This Row],[Total GST Amount]]</f>
        <v>3284.7460000000001</v>
      </c>
    </row>
    <row r="181" spans="1:6" hidden="1">
      <c r="A181" s="8" t="s">
        <v>1146</v>
      </c>
      <c r="B181" s="5" t="s">
        <v>1160</v>
      </c>
      <c r="C181" s="5" t="s">
        <v>228</v>
      </c>
      <c r="D181" s="22">
        <f>MarketPlace_Order_Report__2[[#This Row],[UnitPrice]]*MarketPlace_Order_Report__2[[#This Row],[OrderQty]]</f>
        <v>2850</v>
      </c>
      <c r="E181" s="22">
        <f>IFERROR(MarketPlace_Order_Report__2[[#This Row],[CGSTAmount]]+MarketPlace_Order_Report__2[[#This Row],[SGSTAmount]]+MarketPlace_Order_Report__2[[#This Row],[IGSTAmount]],MarketPlace_Order_Report__2[[#This Row],[TaxAmount]])</f>
        <v>434.74599999999998</v>
      </c>
      <c r="F181" s="23">
        <f>MarketPlace_Order_Report__2[[#This Row],[Gross Amount (Before Tax)]]+MarketPlace_Order_Report__2[[#This Row],[Total GST Amount]]</f>
        <v>3284.7460000000001</v>
      </c>
    </row>
    <row r="182" spans="1:6" hidden="1">
      <c r="A182" s="7" t="s">
        <v>1161</v>
      </c>
      <c r="B182" s="4" t="s">
        <v>1164</v>
      </c>
      <c r="C182" s="4" t="s">
        <v>107</v>
      </c>
      <c r="D182" s="20">
        <f>MarketPlace_Order_Report__2[[#This Row],[UnitPrice]]*MarketPlace_Order_Report__2[[#This Row],[OrderQty]]</f>
        <v>3800</v>
      </c>
      <c r="E182" s="20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F182" s="21">
        <f>MarketPlace_Order_Report__2[[#This Row],[Gross Amount (Before Tax)]]+MarketPlace_Order_Report__2[[#This Row],[Total GST Amount]]</f>
        <v>4379.6610000000001</v>
      </c>
    </row>
    <row r="183" spans="1:6" hidden="1">
      <c r="A183" s="8" t="s">
        <v>1167</v>
      </c>
      <c r="B183" s="5" t="s">
        <v>1170</v>
      </c>
      <c r="C183" s="5" t="s">
        <v>107</v>
      </c>
      <c r="D183" s="22">
        <f>MarketPlace_Order_Report__2[[#This Row],[UnitPrice]]*MarketPlace_Order_Report__2[[#This Row],[OrderQty]]</f>
        <v>3800</v>
      </c>
      <c r="E183" s="22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F183" s="23">
        <f>MarketPlace_Order_Report__2[[#This Row],[Gross Amount (Before Tax)]]+MarketPlace_Order_Report__2[[#This Row],[Total GST Amount]]</f>
        <v>4379.6610000000001</v>
      </c>
    </row>
    <row r="184" spans="1:6" hidden="1">
      <c r="A184" s="7" t="s">
        <v>1174</v>
      </c>
      <c r="B184" s="4" t="s">
        <v>1177</v>
      </c>
      <c r="C184" s="4" t="s">
        <v>1806</v>
      </c>
      <c r="D184" s="20">
        <f>MarketPlace_Order_Report__2[[#This Row],[UnitPrice]]*MarketPlace_Order_Report__2[[#This Row],[OrderQty]]</f>
        <v>3800</v>
      </c>
      <c r="E184" s="20">
        <f>IFERROR(MarketPlace_Order_Report__2[[#This Row],[CGSTAmount]]+MarketPlace_Order_Report__2[[#This Row],[SGSTAmount]]+MarketPlace_Order_Report__2[[#This Row],[IGSTAmount]],MarketPlace_Order_Report__2[[#This Row],[TaxAmount]])</f>
        <v>579.66200000000003</v>
      </c>
      <c r="F184" s="21">
        <f>MarketPlace_Order_Report__2[[#This Row],[Gross Amount (Before Tax)]]+MarketPlace_Order_Report__2[[#This Row],[Total GST Amount]]</f>
        <v>4379.6620000000003</v>
      </c>
    </row>
    <row r="185" spans="1:6" hidden="1">
      <c r="A185" s="8" t="s">
        <v>1180</v>
      </c>
      <c r="B185" s="5" t="s">
        <v>1177</v>
      </c>
      <c r="C185" s="5" t="s">
        <v>1806</v>
      </c>
      <c r="D185" s="22">
        <f>MarketPlace_Order_Report__2[[#This Row],[UnitPrice]]*MarketPlace_Order_Report__2[[#This Row],[OrderQty]]</f>
        <v>3800</v>
      </c>
      <c r="E185" s="22">
        <f>IFERROR(MarketPlace_Order_Report__2[[#This Row],[CGSTAmount]]+MarketPlace_Order_Report__2[[#This Row],[SGSTAmount]]+MarketPlace_Order_Report__2[[#This Row],[IGSTAmount]],MarketPlace_Order_Report__2[[#This Row],[TaxAmount]])</f>
        <v>579.66200000000003</v>
      </c>
      <c r="F185" s="23">
        <f>MarketPlace_Order_Report__2[[#This Row],[Gross Amount (Before Tax)]]+MarketPlace_Order_Report__2[[#This Row],[Total GST Amount]]</f>
        <v>4379.6620000000003</v>
      </c>
    </row>
    <row r="186" spans="1:6" hidden="1">
      <c r="A186" s="7" t="s">
        <v>1184</v>
      </c>
      <c r="B186" s="4" t="s">
        <v>1177</v>
      </c>
      <c r="C186" s="4" t="s">
        <v>62</v>
      </c>
      <c r="D186" s="20">
        <f>MarketPlace_Order_Report__2[[#This Row],[UnitPrice]]*MarketPlace_Order_Report__2[[#This Row],[OrderQty]]</f>
        <v>3325</v>
      </c>
      <c r="E186" s="20">
        <f>IFERROR(MarketPlace_Order_Report__2[[#This Row],[CGSTAmount]]+MarketPlace_Order_Report__2[[#This Row],[SGSTAmount]]+MarketPlace_Order_Report__2[[#This Row],[IGSTAmount]],MarketPlace_Order_Report__2[[#This Row],[TaxAmount]])</f>
        <v>507.20299999999997</v>
      </c>
      <c r="F186" s="21">
        <f>MarketPlace_Order_Report__2[[#This Row],[Gross Amount (Before Tax)]]+MarketPlace_Order_Report__2[[#This Row],[Total GST Amount]]</f>
        <v>3832.203</v>
      </c>
    </row>
    <row r="187" spans="1:6" hidden="1">
      <c r="A187" s="8" t="s">
        <v>1189</v>
      </c>
      <c r="B187" s="5" t="s">
        <v>1192</v>
      </c>
      <c r="C187" s="5" t="s">
        <v>1806</v>
      </c>
      <c r="D187" s="22">
        <f>MarketPlace_Order_Report__2[[#This Row],[UnitPrice]]*MarketPlace_Order_Report__2[[#This Row],[OrderQty]]</f>
        <v>3325</v>
      </c>
      <c r="E187" s="22">
        <f>IFERROR(MarketPlace_Order_Report__2[[#This Row],[CGSTAmount]]+MarketPlace_Order_Report__2[[#This Row],[SGSTAmount]]+MarketPlace_Order_Report__2[[#This Row],[IGSTAmount]],MarketPlace_Order_Report__2[[#This Row],[TaxAmount]])</f>
        <v>507.20299999999997</v>
      </c>
      <c r="F187" s="23">
        <f>MarketPlace_Order_Report__2[[#This Row],[Gross Amount (Before Tax)]]+MarketPlace_Order_Report__2[[#This Row],[Total GST Amount]]</f>
        <v>3832.203</v>
      </c>
    </row>
    <row r="188" spans="1:6" hidden="1">
      <c r="A188" s="7" t="s">
        <v>1195</v>
      </c>
      <c r="B188" s="4" t="s">
        <v>1198</v>
      </c>
      <c r="C188" s="4" t="s">
        <v>62</v>
      </c>
      <c r="D188" s="20">
        <f>MarketPlace_Order_Report__2[[#This Row],[UnitPrice]]*MarketPlace_Order_Report__2[[#This Row],[OrderQty]]</f>
        <v>3800</v>
      </c>
      <c r="E188" s="20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F188" s="21">
        <f>MarketPlace_Order_Report__2[[#This Row],[Gross Amount (Before Tax)]]+MarketPlace_Order_Report__2[[#This Row],[Total GST Amount]]</f>
        <v>4379.6610000000001</v>
      </c>
    </row>
    <row r="189" spans="1:6" hidden="1">
      <c r="A189" s="8" t="s">
        <v>571</v>
      </c>
      <c r="B189" s="5" t="s">
        <v>1198</v>
      </c>
      <c r="C189" s="5" t="s">
        <v>1806</v>
      </c>
      <c r="D189" s="22">
        <f>MarketPlace_Order_Report__2[[#This Row],[UnitPrice]]*MarketPlace_Order_Report__2[[#This Row],[OrderQty]]</f>
        <v>3563</v>
      </c>
      <c r="E189" s="22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89" s="23">
        <f>MarketPlace_Order_Report__2[[#This Row],[Gross Amount (Before Tax)]]+MarketPlace_Order_Report__2[[#This Row],[Total GST Amount]]</f>
        <v>4106.5079999999998</v>
      </c>
    </row>
    <row r="190" spans="1:6">
      <c r="A190" s="7" t="s">
        <v>1202</v>
      </c>
      <c r="B190" s="4" t="s">
        <v>1205</v>
      </c>
      <c r="C190" s="4" t="s">
        <v>145</v>
      </c>
      <c r="D190" s="20">
        <f>MarketPlace_Order_Report__2[[#This Row],[UnitPrice]]*MarketPlace_Order_Report__2[[#This Row],[OrderQty]]</f>
        <v>3800</v>
      </c>
      <c r="E190" s="20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F190" s="21">
        <f>MarketPlace_Order_Report__2[[#This Row],[Gross Amount (Before Tax)]]+MarketPlace_Order_Report__2[[#This Row],[Total GST Amount]]</f>
        <v>4379.6610000000001</v>
      </c>
    </row>
    <row r="191" spans="1:6" hidden="1">
      <c r="A191" s="8" t="s">
        <v>1210</v>
      </c>
      <c r="B191" s="5" t="s">
        <v>1205</v>
      </c>
      <c r="C191" s="5" t="s">
        <v>1806</v>
      </c>
      <c r="D191" s="22">
        <f>MarketPlace_Order_Report__2[[#This Row],[UnitPrice]]*MarketPlace_Order_Report__2[[#This Row],[OrderQty]]</f>
        <v>3563</v>
      </c>
      <c r="E191" s="22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91" s="23">
        <f>MarketPlace_Order_Report__2[[#This Row],[Gross Amount (Before Tax)]]+MarketPlace_Order_Report__2[[#This Row],[Total GST Amount]]</f>
        <v>4106.5079999999998</v>
      </c>
    </row>
    <row r="192" spans="1:6" hidden="1">
      <c r="A192" s="7" t="s">
        <v>1214</v>
      </c>
      <c r="B192" s="4" t="s">
        <v>1217</v>
      </c>
      <c r="C192" s="4" t="s">
        <v>62</v>
      </c>
      <c r="D192" s="20">
        <f>MarketPlace_Order_Report__2[[#This Row],[UnitPrice]]*MarketPlace_Order_Report__2[[#This Row],[OrderQty]]</f>
        <v>3800</v>
      </c>
      <c r="E192" s="20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F192" s="21">
        <f>MarketPlace_Order_Report__2[[#This Row],[Gross Amount (Before Tax)]]+MarketPlace_Order_Report__2[[#This Row],[Total GST Amount]]</f>
        <v>4379.6610000000001</v>
      </c>
    </row>
    <row r="193" spans="1:6" hidden="1">
      <c r="A193" s="8" t="s">
        <v>1221</v>
      </c>
      <c r="B193" s="5" t="s">
        <v>1224</v>
      </c>
      <c r="C193" s="5" t="s">
        <v>107</v>
      </c>
      <c r="D193" s="22">
        <f>MarketPlace_Order_Report__2[[#This Row],[UnitPrice]]*MarketPlace_Order_Report__2[[#This Row],[OrderQty]]</f>
        <v>3800</v>
      </c>
      <c r="E193" s="22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F193" s="23">
        <f>MarketPlace_Order_Report__2[[#This Row],[Gross Amount (Before Tax)]]+MarketPlace_Order_Report__2[[#This Row],[Total GST Amount]]</f>
        <v>4379.6610000000001</v>
      </c>
    </row>
    <row r="194" spans="1:6" hidden="1">
      <c r="A194" s="7" t="s">
        <v>1080</v>
      </c>
      <c r="B194" s="4" t="s">
        <v>1224</v>
      </c>
      <c r="C194" s="4" t="s">
        <v>62</v>
      </c>
      <c r="D194" s="20">
        <f>MarketPlace_Order_Report__2[[#This Row],[UnitPrice]]*MarketPlace_Order_Report__2[[#This Row],[OrderQty]]</f>
        <v>3563</v>
      </c>
      <c r="E194" s="20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94" s="21">
        <f>MarketPlace_Order_Report__2[[#This Row],[Gross Amount (Before Tax)]]+MarketPlace_Order_Report__2[[#This Row],[Total GST Amount]]</f>
        <v>4106.5079999999998</v>
      </c>
    </row>
    <row r="195" spans="1:6" hidden="1">
      <c r="A195" s="8" t="s">
        <v>1229</v>
      </c>
      <c r="B195" s="5" t="s">
        <v>1224</v>
      </c>
      <c r="C195" s="5" t="s">
        <v>1806</v>
      </c>
      <c r="D195" s="22">
        <f>MarketPlace_Order_Report__2[[#This Row],[UnitPrice]]*MarketPlace_Order_Report__2[[#This Row],[OrderQty]]</f>
        <v>3563</v>
      </c>
      <c r="E195" s="22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95" s="23">
        <f>MarketPlace_Order_Report__2[[#This Row],[Gross Amount (Before Tax)]]+MarketPlace_Order_Report__2[[#This Row],[Total GST Amount]]</f>
        <v>4106.5079999999998</v>
      </c>
    </row>
    <row r="196" spans="1:6" hidden="1">
      <c r="A196" s="7" t="s">
        <v>1233</v>
      </c>
      <c r="B196" s="4" t="s">
        <v>1224</v>
      </c>
      <c r="C196" s="4" t="s">
        <v>1806</v>
      </c>
      <c r="D196" s="20">
        <f>MarketPlace_Order_Report__2[[#This Row],[UnitPrice]]*MarketPlace_Order_Report__2[[#This Row],[OrderQty]]</f>
        <v>3563</v>
      </c>
      <c r="E196" s="20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196" s="21">
        <f>MarketPlace_Order_Report__2[[#This Row],[Gross Amount (Before Tax)]]+MarketPlace_Order_Report__2[[#This Row],[Total GST Amount]]</f>
        <v>4106.5079999999998</v>
      </c>
    </row>
    <row r="197" spans="1:6" hidden="1">
      <c r="A197" s="8" t="s">
        <v>1237</v>
      </c>
      <c r="B197" s="5" t="s">
        <v>1240</v>
      </c>
      <c r="C197" s="5" t="s">
        <v>1806</v>
      </c>
      <c r="D197" s="22">
        <f>MarketPlace_Order_Report__2[[#This Row],[UnitPrice]]*MarketPlace_Order_Report__2[[#This Row],[OrderQty]]</f>
        <v>2000</v>
      </c>
      <c r="E197" s="22">
        <f>IFERROR(MarketPlace_Order_Report__2[[#This Row],[CGSTAmount]]+MarketPlace_Order_Report__2[[#This Row],[SGSTAmount]]+MarketPlace_Order_Report__2[[#This Row],[IGSTAmount]],MarketPlace_Order_Report__2[[#This Row],[TaxAmount]])</f>
        <v>95.238</v>
      </c>
      <c r="F197" s="23">
        <f>MarketPlace_Order_Report__2[[#This Row],[Gross Amount (Before Tax)]]+MarketPlace_Order_Report__2[[#This Row],[Total GST Amount]]</f>
        <v>2095.2379999999998</v>
      </c>
    </row>
    <row r="198" spans="1:6" hidden="1">
      <c r="A198" s="7" t="s">
        <v>1244</v>
      </c>
      <c r="B198" s="4" t="s">
        <v>1247</v>
      </c>
      <c r="C198" s="4" t="s">
        <v>1806</v>
      </c>
      <c r="D198" s="20">
        <f>MarketPlace_Order_Report__2[[#This Row],[UnitPrice]]*MarketPlace_Order_Report__2[[#This Row],[OrderQty]]</f>
        <v>2000</v>
      </c>
      <c r="E198" s="20">
        <f>IFERROR(MarketPlace_Order_Report__2[[#This Row],[CGSTAmount]]+MarketPlace_Order_Report__2[[#This Row],[SGSTAmount]]+MarketPlace_Order_Report__2[[#This Row],[IGSTAmount]],MarketPlace_Order_Report__2[[#This Row],[TaxAmount]])</f>
        <v>95.238</v>
      </c>
      <c r="F198" s="21">
        <f>MarketPlace_Order_Report__2[[#This Row],[Gross Amount (Before Tax)]]+MarketPlace_Order_Report__2[[#This Row],[Total GST Amount]]</f>
        <v>2095.2379999999998</v>
      </c>
    </row>
    <row r="199" spans="1:6" hidden="1">
      <c r="A199" s="8" t="s">
        <v>1250</v>
      </c>
      <c r="B199" s="5" t="s">
        <v>1253</v>
      </c>
      <c r="C199" s="5" t="s">
        <v>62</v>
      </c>
      <c r="D199" s="22">
        <f>MarketPlace_Order_Report__2[[#This Row],[UnitPrice]]*MarketPlace_Order_Report__2[[#This Row],[OrderQty]]</f>
        <v>2000</v>
      </c>
      <c r="E199" s="22">
        <f>IFERROR(MarketPlace_Order_Report__2[[#This Row],[CGSTAmount]]+MarketPlace_Order_Report__2[[#This Row],[SGSTAmount]]+MarketPlace_Order_Report__2[[#This Row],[IGSTAmount]],MarketPlace_Order_Report__2[[#This Row],[TaxAmount]])</f>
        <v>95.238</v>
      </c>
      <c r="F199" s="23">
        <f>MarketPlace_Order_Report__2[[#This Row],[Gross Amount (Before Tax)]]+MarketPlace_Order_Report__2[[#This Row],[Total GST Amount]]</f>
        <v>2095.2379999999998</v>
      </c>
    </row>
    <row r="200" spans="1:6" hidden="1">
      <c r="A200" s="7" t="s">
        <v>1258</v>
      </c>
      <c r="B200" s="4" t="s">
        <v>1261</v>
      </c>
      <c r="C200" s="4" t="s">
        <v>1806</v>
      </c>
      <c r="D200" s="20">
        <f>MarketPlace_Order_Report__2[[#This Row],[UnitPrice]]*MarketPlace_Order_Report__2[[#This Row],[OrderQty]]</f>
        <v>2000</v>
      </c>
      <c r="E200" s="20">
        <f>IFERROR(MarketPlace_Order_Report__2[[#This Row],[CGSTAmount]]+MarketPlace_Order_Report__2[[#This Row],[SGSTAmount]]+MarketPlace_Order_Report__2[[#This Row],[IGSTAmount]],MarketPlace_Order_Report__2[[#This Row],[TaxAmount]])</f>
        <v>95.238</v>
      </c>
      <c r="F200" s="21">
        <f>MarketPlace_Order_Report__2[[#This Row],[Gross Amount (Before Tax)]]+MarketPlace_Order_Report__2[[#This Row],[Total GST Amount]]</f>
        <v>2095.2379999999998</v>
      </c>
    </row>
    <row r="201" spans="1:6" hidden="1">
      <c r="A201" s="8" t="s">
        <v>1265</v>
      </c>
      <c r="B201" s="5" t="s">
        <v>1268</v>
      </c>
      <c r="C201" s="5" t="s">
        <v>1806</v>
      </c>
      <c r="D201" s="22">
        <f>MarketPlace_Order_Report__2[[#This Row],[UnitPrice]]*MarketPlace_Order_Report__2[[#This Row],[OrderQty]]</f>
        <v>2200</v>
      </c>
      <c r="E201" s="22">
        <f>IFERROR(MarketPlace_Order_Report__2[[#This Row],[CGSTAmount]]+MarketPlace_Order_Report__2[[#This Row],[SGSTAmount]]+MarketPlace_Order_Report__2[[#This Row],[IGSTAmount]],MarketPlace_Order_Report__2[[#This Row],[TaxAmount]])</f>
        <v>104.762</v>
      </c>
      <c r="F201" s="23">
        <f>MarketPlace_Order_Report__2[[#This Row],[Gross Amount (Before Tax)]]+MarketPlace_Order_Report__2[[#This Row],[Total GST Amount]]</f>
        <v>2304.7620000000002</v>
      </c>
    </row>
    <row r="202" spans="1:6" hidden="1">
      <c r="A202" s="7" t="s">
        <v>1271</v>
      </c>
      <c r="B202" s="4" t="s">
        <v>1274</v>
      </c>
      <c r="C202" s="4" t="s">
        <v>62</v>
      </c>
      <c r="D202" s="20">
        <f>MarketPlace_Order_Report__2[[#This Row],[UnitPrice]]*MarketPlace_Order_Report__2[[#This Row],[OrderQty]]</f>
        <v>2275</v>
      </c>
      <c r="E202" s="20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02" s="21">
        <f>MarketPlace_Order_Report__2[[#This Row],[Gross Amount (Before Tax)]]+MarketPlace_Order_Report__2[[#This Row],[Total GST Amount]]</f>
        <v>2383.3330000000001</v>
      </c>
    </row>
    <row r="203" spans="1:6">
      <c r="A203" s="8" t="s">
        <v>1278</v>
      </c>
      <c r="B203" s="5" t="s">
        <v>1281</v>
      </c>
      <c r="C203" s="5" t="s">
        <v>145</v>
      </c>
      <c r="D203" s="22">
        <f>MarketPlace_Order_Report__2[[#This Row],[UnitPrice]]*MarketPlace_Order_Report__2[[#This Row],[OrderQty]]</f>
        <v>2275</v>
      </c>
      <c r="E203" s="22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03" s="23">
        <f>MarketPlace_Order_Report__2[[#This Row],[Gross Amount (Before Tax)]]+MarketPlace_Order_Report__2[[#This Row],[Total GST Amount]]</f>
        <v>2383.3330000000001</v>
      </c>
    </row>
    <row r="204" spans="1:6" hidden="1">
      <c r="A204" s="7" t="s">
        <v>1283</v>
      </c>
      <c r="B204" s="4" t="s">
        <v>1286</v>
      </c>
      <c r="C204" s="4" t="s">
        <v>1806</v>
      </c>
      <c r="D204" s="20">
        <f>MarketPlace_Order_Report__2[[#This Row],[UnitPrice]]*MarketPlace_Order_Report__2[[#This Row],[OrderQty]]</f>
        <v>2275</v>
      </c>
      <c r="E204" s="20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04" s="21">
        <f>MarketPlace_Order_Report__2[[#This Row],[Gross Amount (Before Tax)]]+MarketPlace_Order_Report__2[[#This Row],[Total GST Amount]]</f>
        <v>2383.3330000000001</v>
      </c>
    </row>
    <row r="205" spans="1:6" hidden="1">
      <c r="A205" s="8" t="s">
        <v>1290</v>
      </c>
      <c r="B205" s="5" t="s">
        <v>1293</v>
      </c>
      <c r="C205" s="5" t="s">
        <v>1806</v>
      </c>
      <c r="D205" s="22">
        <f>MarketPlace_Order_Report__2[[#This Row],[UnitPrice]]*MarketPlace_Order_Report__2[[#This Row],[OrderQty]]</f>
        <v>2000</v>
      </c>
      <c r="E205" s="22">
        <f>IFERROR(MarketPlace_Order_Report__2[[#This Row],[CGSTAmount]]+MarketPlace_Order_Report__2[[#This Row],[SGSTAmount]]+MarketPlace_Order_Report__2[[#This Row],[IGSTAmount]],MarketPlace_Order_Report__2[[#This Row],[TaxAmount]])</f>
        <v>95.238</v>
      </c>
      <c r="F205" s="23">
        <f>MarketPlace_Order_Report__2[[#This Row],[Gross Amount (Before Tax)]]+MarketPlace_Order_Report__2[[#This Row],[Total GST Amount]]</f>
        <v>2095.2379999999998</v>
      </c>
    </row>
    <row r="206" spans="1:6" hidden="1">
      <c r="A206" s="7" t="s">
        <v>1237</v>
      </c>
      <c r="B206" s="4" t="s">
        <v>1298</v>
      </c>
      <c r="C206" s="4" t="s">
        <v>1806</v>
      </c>
      <c r="D206" s="20">
        <f>MarketPlace_Order_Report__2[[#This Row],[UnitPrice]]*MarketPlace_Order_Report__2[[#This Row],[OrderQty]]</f>
        <v>2200</v>
      </c>
      <c r="E206" s="20">
        <f>IFERROR(MarketPlace_Order_Report__2[[#This Row],[CGSTAmount]]+MarketPlace_Order_Report__2[[#This Row],[SGSTAmount]]+MarketPlace_Order_Report__2[[#This Row],[IGSTAmount]],MarketPlace_Order_Report__2[[#This Row],[TaxAmount]])</f>
        <v>104.762</v>
      </c>
      <c r="F206" s="21">
        <f>MarketPlace_Order_Report__2[[#This Row],[Gross Amount (Before Tax)]]+MarketPlace_Order_Report__2[[#This Row],[Total GST Amount]]</f>
        <v>2304.7620000000002</v>
      </c>
    </row>
    <row r="207" spans="1:6" hidden="1">
      <c r="A207" s="8" t="s">
        <v>1299</v>
      </c>
      <c r="B207" s="5" t="s">
        <v>1302</v>
      </c>
      <c r="C207" s="5" t="s">
        <v>62</v>
      </c>
      <c r="D207" s="22">
        <f>MarketPlace_Order_Report__2[[#This Row],[UnitPrice]]*MarketPlace_Order_Report__2[[#This Row],[OrderQty]]</f>
        <v>2275</v>
      </c>
      <c r="E207" s="22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07" s="23">
        <f>MarketPlace_Order_Report__2[[#This Row],[Gross Amount (Before Tax)]]+MarketPlace_Order_Report__2[[#This Row],[Total GST Amount]]</f>
        <v>2383.3330000000001</v>
      </c>
    </row>
    <row r="208" spans="1:6" hidden="1">
      <c r="A208" s="7" t="s">
        <v>1307</v>
      </c>
      <c r="B208" s="4" t="s">
        <v>1310</v>
      </c>
      <c r="C208" s="4" t="s">
        <v>1806</v>
      </c>
      <c r="D208" s="20">
        <f>MarketPlace_Order_Report__2[[#This Row],[UnitPrice]]*MarketPlace_Order_Report__2[[#This Row],[OrderQty]]</f>
        <v>2100</v>
      </c>
      <c r="E208" s="20">
        <f>IFERROR(MarketPlace_Order_Report__2[[#This Row],[CGSTAmount]]+MarketPlace_Order_Report__2[[#This Row],[SGSTAmount]]+MarketPlace_Order_Report__2[[#This Row],[IGSTAmount]],MarketPlace_Order_Report__2[[#This Row],[TaxAmount]])</f>
        <v>100</v>
      </c>
      <c r="F208" s="21">
        <f>MarketPlace_Order_Report__2[[#This Row],[Gross Amount (Before Tax)]]+MarketPlace_Order_Report__2[[#This Row],[Total GST Amount]]</f>
        <v>2200</v>
      </c>
    </row>
    <row r="209" spans="1:6" hidden="1">
      <c r="A209" s="8" t="s">
        <v>1314</v>
      </c>
      <c r="B209" s="5" t="s">
        <v>1317</v>
      </c>
      <c r="C209" s="5" t="s">
        <v>107</v>
      </c>
      <c r="D209" s="22">
        <f>MarketPlace_Order_Report__2[[#This Row],[UnitPrice]]*MarketPlace_Order_Report__2[[#This Row],[OrderQty]]</f>
        <v>2100</v>
      </c>
      <c r="E209" s="22">
        <f>IFERROR(MarketPlace_Order_Report__2[[#This Row],[CGSTAmount]]+MarketPlace_Order_Report__2[[#This Row],[SGSTAmount]]+MarketPlace_Order_Report__2[[#This Row],[IGSTAmount]],MarketPlace_Order_Report__2[[#This Row],[TaxAmount]])</f>
        <v>100</v>
      </c>
      <c r="F209" s="23">
        <f>MarketPlace_Order_Report__2[[#This Row],[Gross Amount (Before Tax)]]+MarketPlace_Order_Report__2[[#This Row],[Total GST Amount]]</f>
        <v>2200</v>
      </c>
    </row>
    <row r="210" spans="1:6" hidden="1">
      <c r="A210" s="7" t="s">
        <v>1321</v>
      </c>
      <c r="B210" s="4" t="s">
        <v>1324</v>
      </c>
      <c r="C210" s="4" t="s">
        <v>62</v>
      </c>
      <c r="D210" s="20">
        <f>MarketPlace_Order_Report__2[[#This Row],[UnitPrice]]*MarketPlace_Order_Report__2[[#This Row],[OrderQty]]</f>
        <v>2275</v>
      </c>
      <c r="E210" s="20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10" s="21">
        <f>MarketPlace_Order_Report__2[[#This Row],[Gross Amount (Before Tax)]]+MarketPlace_Order_Report__2[[#This Row],[Total GST Amount]]</f>
        <v>2383.3330000000001</v>
      </c>
    </row>
    <row r="211" spans="1:6">
      <c r="A211" s="8" t="s">
        <v>1329</v>
      </c>
      <c r="B211" s="5" t="s">
        <v>1332</v>
      </c>
      <c r="C211" s="5" t="s">
        <v>145</v>
      </c>
      <c r="D211" s="22">
        <f>MarketPlace_Order_Report__2[[#This Row],[UnitPrice]]*MarketPlace_Order_Report__2[[#This Row],[OrderQty]]</f>
        <v>2275</v>
      </c>
      <c r="E211" s="22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11" s="23">
        <f>MarketPlace_Order_Report__2[[#This Row],[Gross Amount (Before Tax)]]+MarketPlace_Order_Report__2[[#This Row],[Total GST Amount]]</f>
        <v>2383.3330000000001</v>
      </c>
    </row>
    <row r="212" spans="1:6" hidden="1">
      <c r="A212" s="7" t="s">
        <v>1334</v>
      </c>
      <c r="B212" s="4" t="s">
        <v>1332</v>
      </c>
      <c r="C212" s="4" t="s">
        <v>62</v>
      </c>
      <c r="D212" s="20">
        <f>MarketPlace_Order_Report__2[[#This Row],[UnitPrice]]*MarketPlace_Order_Report__2[[#This Row],[OrderQty]]</f>
        <v>2275</v>
      </c>
      <c r="E212" s="20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12" s="21">
        <f>MarketPlace_Order_Report__2[[#This Row],[Gross Amount (Before Tax)]]+MarketPlace_Order_Report__2[[#This Row],[Total GST Amount]]</f>
        <v>2383.3330000000001</v>
      </c>
    </row>
    <row r="213" spans="1:6" hidden="1">
      <c r="A213" s="8" t="s">
        <v>1340</v>
      </c>
      <c r="B213" s="5" t="s">
        <v>1343</v>
      </c>
      <c r="C213" s="5" t="s">
        <v>62</v>
      </c>
      <c r="D213" s="22">
        <f>MarketPlace_Order_Report__2[[#This Row],[UnitPrice]]*MarketPlace_Order_Report__2[[#This Row],[OrderQty]]</f>
        <v>2275</v>
      </c>
      <c r="E213" s="22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13" s="23">
        <f>MarketPlace_Order_Report__2[[#This Row],[Gross Amount (Before Tax)]]+MarketPlace_Order_Report__2[[#This Row],[Total GST Amount]]</f>
        <v>2383.3330000000001</v>
      </c>
    </row>
    <row r="214" spans="1:6" hidden="1">
      <c r="A214" s="7" t="s">
        <v>767</v>
      </c>
      <c r="B214" s="4" t="s">
        <v>1343</v>
      </c>
      <c r="C214" s="4" t="s">
        <v>1806</v>
      </c>
      <c r="D214" s="20">
        <f>MarketPlace_Order_Report__2[[#This Row],[UnitPrice]]*MarketPlace_Order_Report__2[[#This Row],[OrderQty]]</f>
        <v>2275</v>
      </c>
      <c r="E214" s="20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14" s="21">
        <f>MarketPlace_Order_Report__2[[#This Row],[Gross Amount (Before Tax)]]+MarketPlace_Order_Report__2[[#This Row],[Total GST Amount]]</f>
        <v>2383.3330000000001</v>
      </c>
    </row>
    <row r="215" spans="1:6" hidden="1">
      <c r="A215" s="8" t="s">
        <v>1347</v>
      </c>
      <c r="B215" s="5" t="s">
        <v>1350</v>
      </c>
      <c r="C215" s="5" t="s">
        <v>107</v>
      </c>
      <c r="D215" s="22">
        <f>MarketPlace_Order_Report__2[[#This Row],[UnitPrice]]*MarketPlace_Order_Report__2[[#This Row],[OrderQty]]</f>
        <v>2275</v>
      </c>
      <c r="E215" s="22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15" s="23">
        <f>MarketPlace_Order_Report__2[[#This Row],[Gross Amount (Before Tax)]]+MarketPlace_Order_Report__2[[#This Row],[Total GST Amount]]</f>
        <v>2383.3330000000001</v>
      </c>
    </row>
    <row r="216" spans="1:6" hidden="1">
      <c r="A216" s="7" t="s">
        <v>1353</v>
      </c>
      <c r="B216" s="4" t="s">
        <v>1350</v>
      </c>
      <c r="C216" s="4" t="s">
        <v>1806</v>
      </c>
      <c r="D216" s="20">
        <f>MarketPlace_Order_Report__2[[#This Row],[UnitPrice]]*MarketPlace_Order_Report__2[[#This Row],[OrderQty]]</f>
        <v>2275</v>
      </c>
      <c r="E216" s="20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16" s="21">
        <f>MarketPlace_Order_Report__2[[#This Row],[Gross Amount (Before Tax)]]+MarketPlace_Order_Report__2[[#This Row],[Total GST Amount]]</f>
        <v>2383.3330000000001</v>
      </c>
    </row>
    <row r="217" spans="1:6" hidden="1">
      <c r="A217" s="8" t="s">
        <v>1358</v>
      </c>
      <c r="B217" s="5" t="s">
        <v>1350</v>
      </c>
      <c r="C217" s="5" t="s">
        <v>107</v>
      </c>
      <c r="D217" s="22">
        <f>MarketPlace_Order_Report__2[[#This Row],[UnitPrice]]*MarketPlace_Order_Report__2[[#This Row],[OrderQty]]</f>
        <v>2275</v>
      </c>
      <c r="E217" s="22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17" s="23">
        <f>MarketPlace_Order_Report__2[[#This Row],[Gross Amount (Before Tax)]]+MarketPlace_Order_Report__2[[#This Row],[Total GST Amount]]</f>
        <v>2383.3330000000001</v>
      </c>
    </row>
    <row r="218" spans="1:6" hidden="1">
      <c r="A218" s="7" t="s">
        <v>1362</v>
      </c>
      <c r="B218" s="4" t="s">
        <v>1350</v>
      </c>
      <c r="C218" s="4" t="s">
        <v>1806</v>
      </c>
      <c r="D218" s="20">
        <f>MarketPlace_Order_Report__2[[#This Row],[UnitPrice]]*MarketPlace_Order_Report__2[[#This Row],[OrderQty]]</f>
        <v>2275</v>
      </c>
      <c r="E218" s="20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18" s="21">
        <f>MarketPlace_Order_Report__2[[#This Row],[Gross Amount (Before Tax)]]+MarketPlace_Order_Report__2[[#This Row],[Total GST Amount]]</f>
        <v>2383.3330000000001</v>
      </c>
    </row>
    <row r="219" spans="1:6" hidden="1">
      <c r="A219" s="8" t="s">
        <v>1366</v>
      </c>
      <c r="B219" s="5" t="s">
        <v>1350</v>
      </c>
      <c r="C219" s="5" t="s">
        <v>257</v>
      </c>
      <c r="D219" s="22">
        <f>MarketPlace_Order_Report__2[[#This Row],[UnitPrice]]*MarketPlace_Order_Report__2[[#This Row],[OrderQty]]</f>
        <v>2275</v>
      </c>
      <c r="E219" s="22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19" s="23">
        <f>MarketPlace_Order_Report__2[[#This Row],[Gross Amount (Before Tax)]]+MarketPlace_Order_Report__2[[#This Row],[Total GST Amount]]</f>
        <v>2383.3330000000001</v>
      </c>
    </row>
    <row r="220" spans="1:6" hidden="1">
      <c r="A220" s="7" t="s">
        <v>1371</v>
      </c>
      <c r="B220" s="4" t="s">
        <v>1374</v>
      </c>
      <c r="C220" s="4" t="s">
        <v>62</v>
      </c>
      <c r="D220" s="20">
        <f>MarketPlace_Order_Report__2[[#This Row],[UnitPrice]]*MarketPlace_Order_Report__2[[#This Row],[OrderQty]]</f>
        <v>2275</v>
      </c>
      <c r="E220" s="20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20" s="21">
        <f>MarketPlace_Order_Report__2[[#This Row],[Gross Amount (Before Tax)]]+MarketPlace_Order_Report__2[[#This Row],[Total GST Amount]]</f>
        <v>2383.3330000000001</v>
      </c>
    </row>
    <row r="221" spans="1:6" hidden="1">
      <c r="A221" s="8" t="s">
        <v>1378</v>
      </c>
      <c r="B221" s="5" t="s">
        <v>1374</v>
      </c>
      <c r="C221" s="5" t="s">
        <v>62</v>
      </c>
      <c r="D221" s="22">
        <f>MarketPlace_Order_Report__2[[#This Row],[UnitPrice]]*MarketPlace_Order_Report__2[[#This Row],[OrderQty]]</f>
        <v>2275</v>
      </c>
      <c r="E221" s="22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21" s="23">
        <f>MarketPlace_Order_Report__2[[#This Row],[Gross Amount (Before Tax)]]+MarketPlace_Order_Report__2[[#This Row],[Total GST Amount]]</f>
        <v>2383.3330000000001</v>
      </c>
    </row>
    <row r="222" spans="1:6" hidden="1">
      <c r="A222" s="7" t="s">
        <v>1383</v>
      </c>
      <c r="B222" s="4" t="s">
        <v>1374</v>
      </c>
      <c r="C222" s="4" t="s">
        <v>1806</v>
      </c>
      <c r="D222" s="20">
        <f>MarketPlace_Order_Report__2[[#This Row],[UnitPrice]]*MarketPlace_Order_Report__2[[#This Row],[OrderQty]]</f>
        <v>2275</v>
      </c>
      <c r="E222" s="20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22" s="21">
        <f>MarketPlace_Order_Report__2[[#This Row],[Gross Amount (Before Tax)]]+MarketPlace_Order_Report__2[[#This Row],[Total GST Amount]]</f>
        <v>2383.3330000000001</v>
      </c>
    </row>
    <row r="223" spans="1:6" hidden="1">
      <c r="A223" s="8" t="s">
        <v>1388</v>
      </c>
      <c r="B223" s="5" t="s">
        <v>1391</v>
      </c>
      <c r="C223" s="5" t="s">
        <v>228</v>
      </c>
      <c r="D223" s="22">
        <f>MarketPlace_Order_Report__2[[#This Row],[UnitPrice]]*MarketPlace_Order_Report__2[[#This Row],[OrderQty]]</f>
        <v>2275</v>
      </c>
      <c r="E223" s="22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23" s="23">
        <f>MarketPlace_Order_Report__2[[#This Row],[Gross Amount (Before Tax)]]+MarketPlace_Order_Report__2[[#This Row],[Total GST Amount]]</f>
        <v>2383.3330000000001</v>
      </c>
    </row>
    <row r="224" spans="1:6" hidden="1">
      <c r="A224" s="7" t="s">
        <v>1396</v>
      </c>
      <c r="B224" s="4" t="s">
        <v>1391</v>
      </c>
      <c r="C224" s="4" t="s">
        <v>1806</v>
      </c>
      <c r="D224" s="20">
        <f>MarketPlace_Order_Report__2[[#This Row],[UnitPrice]]*MarketPlace_Order_Report__2[[#This Row],[OrderQty]]</f>
        <v>2275</v>
      </c>
      <c r="E224" s="20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24" s="21">
        <f>MarketPlace_Order_Report__2[[#This Row],[Gross Amount (Before Tax)]]+MarketPlace_Order_Report__2[[#This Row],[Total GST Amount]]</f>
        <v>2383.3330000000001</v>
      </c>
    </row>
    <row r="225" spans="1:6" hidden="1">
      <c r="A225" s="8" t="s">
        <v>1401</v>
      </c>
      <c r="B225" s="5" t="s">
        <v>1391</v>
      </c>
      <c r="C225" s="5" t="s">
        <v>62</v>
      </c>
      <c r="D225" s="22">
        <f>MarketPlace_Order_Report__2[[#This Row],[UnitPrice]]*MarketPlace_Order_Report__2[[#This Row],[OrderQty]]</f>
        <v>2275</v>
      </c>
      <c r="E225" s="22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25" s="23">
        <f>MarketPlace_Order_Report__2[[#This Row],[Gross Amount (Before Tax)]]+MarketPlace_Order_Report__2[[#This Row],[Total GST Amount]]</f>
        <v>2383.3330000000001</v>
      </c>
    </row>
    <row r="226" spans="1:6" hidden="1">
      <c r="A226" s="7" t="s">
        <v>1406</v>
      </c>
      <c r="B226" s="4" t="s">
        <v>1409</v>
      </c>
      <c r="C226" s="4" t="s">
        <v>107</v>
      </c>
      <c r="D226" s="20">
        <f>MarketPlace_Order_Report__2[[#This Row],[UnitPrice]]*MarketPlace_Order_Report__2[[#This Row],[OrderQty]]</f>
        <v>2275</v>
      </c>
      <c r="E226" s="20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26" s="21">
        <f>MarketPlace_Order_Report__2[[#This Row],[Gross Amount (Before Tax)]]+MarketPlace_Order_Report__2[[#This Row],[Total GST Amount]]</f>
        <v>2383.3330000000001</v>
      </c>
    </row>
    <row r="227" spans="1:6">
      <c r="A227" s="8" t="s">
        <v>1412</v>
      </c>
      <c r="B227" s="5" t="s">
        <v>1415</v>
      </c>
      <c r="C227" s="5" t="s">
        <v>145</v>
      </c>
      <c r="D227" s="22">
        <f>MarketPlace_Order_Report__2[[#This Row],[UnitPrice]]*MarketPlace_Order_Report__2[[#This Row],[OrderQty]]</f>
        <v>2275</v>
      </c>
      <c r="E227" s="22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27" s="23">
        <f>MarketPlace_Order_Report__2[[#This Row],[Gross Amount (Before Tax)]]+MarketPlace_Order_Report__2[[#This Row],[Total GST Amount]]</f>
        <v>2383.3330000000001</v>
      </c>
    </row>
    <row r="228" spans="1:6" hidden="1">
      <c r="A228" s="7" t="s">
        <v>1416</v>
      </c>
      <c r="B228" s="4" t="s">
        <v>1419</v>
      </c>
      <c r="C228" s="4" t="s">
        <v>62</v>
      </c>
      <c r="D228" s="20">
        <f>MarketPlace_Order_Report__2[[#This Row],[UnitPrice]]*MarketPlace_Order_Report__2[[#This Row],[OrderQty]]</f>
        <v>2240</v>
      </c>
      <c r="E228" s="20">
        <f>IFERROR(MarketPlace_Order_Report__2[[#This Row],[CGSTAmount]]+MarketPlace_Order_Report__2[[#This Row],[SGSTAmount]]+MarketPlace_Order_Report__2[[#This Row],[IGSTAmount]],MarketPlace_Order_Report__2[[#This Row],[TaxAmount]])</f>
        <v>106.667</v>
      </c>
      <c r="F228" s="21">
        <f>MarketPlace_Order_Report__2[[#This Row],[Gross Amount (Before Tax)]]+MarketPlace_Order_Report__2[[#This Row],[Total GST Amount]]</f>
        <v>2346.6669999999999</v>
      </c>
    </row>
    <row r="229" spans="1:6" hidden="1">
      <c r="A229" s="8" t="s">
        <v>1423</v>
      </c>
      <c r="B229" s="5" t="s">
        <v>1426</v>
      </c>
      <c r="C229" s="5" t="s">
        <v>62</v>
      </c>
      <c r="D229" s="22">
        <f>MarketPlace_Order_Report__2[[#This Row],[UnitPrice]]*MarketPlace_Order_Report__2[[#This Row],[OrderQty]]</f>
        <v>2240</v>
      </c>
      <c r="E229" s="22">
        <f>IFERROR(MarketPlace_Order_Report__2[[#This Row],[CGSTAmount]]+MarketPlace_Order_Report__2[[#This Row],[SGSTAmount]]+MarketPlace_Order_Report__2[[#This Row],[IGSTAmount]],MarketPlace_Order_Report__2[[#This Row],[TaxAmount]])</f>
        <v>106.667</v>
      </c>
      <c r="F229" s="23">
        <f>MarketPlace_Order_Report__2[[#This Row],[Gross Amount (Before Tax)]]+MarketPlace_Order_Report__2[[#This Row],[Total GST Amount]]</f>
        <v>2346.6669999999999</v>
      </c>
    </row>
    <row r="230" spans="1:6" hidden="1">
      <c r="A230" s="7" t="s">
        <v>1430</v>
      </c>
      <c r="B230" s="4" t="s">
        <v>1433</v>
      </c>
      <c r="C230" s="4" t="s">
        <v>1806</v>
      </c>
      <c r="D230" s="20">
        <f>MarketPlace_Order_Report__2[[#This Row],[UnitPrice]]*MarketPlace_Order_Report__2[[#This Row],[OrderQty]]</f>
        <v>2240</v>
      </c>
      <c r="E230" s="20">
        <f>IFERROR(MarketPlace_Order_Report__2[[#This Row],[CGSTAmount]]+MarketPlace_Order_Report__2[[#This Row],[SGSTAmount]]+MarketPlace_Order_Report__2[[#This Row],[IGSTAmount]],MarketPlace_Order_Report__2[[#This Row],[TaxAmount]])</f>
        <v>106.66800000000001</v>
      </c>
      <c r="F230" s="21">
        <f>MarketPlace_Order_Report__2[[#This Row],[Gross Amount (Before Tax)]]+MarketPlace_Order_Report__2[[#This Row],[Total GST Amount]]</f>
        <v>2346.6680000000001</v>
      </c>
    </row>
    <row r="231" spans="1:6" hidden="1">
      <c r="A231" s="8" t="s">
        <v>1437</v>
      </c>
      <c r="B231" s="5" t="s">
        <v>1440</v>
      </c>
      <c r="C231" s="5" t="s">
        <v>257</v>
      </c>
      <c r="D231" s="22">
        <f>MarketPlace_Order_Report__2[[#This Row],[UnitPrice]]*MarketPlace_Order_Report__2[[#This Row],[OrderQty]]</f>
        <v>2240</v>
      </c>
      <c r="E231" s="22">
        <f>IFERROR(MarketPlace_Order_Report__2[[#This Row],[CGSTAmount]]+MarketPlace_Order_Report__2[[#This Row],[SGSTAmount]]+MarketPlace_Order_Report__2[[#This Row],[IGSTAmount]],MarketPlace_Order_Report__2[[#This Row],[TaxAmount]])</f>
        <v>106.66800000000001</v>
      </c>
      <c r="F231" s="23">
        <f>MarketPlace_Order_Report__2[[#This Row],[Gross Amount (Before Tax)]]+MarketPlace_Order_Report__2[[#This Row],[Total GST Amount]]</f>
        <v>2346.6680000000001</v>
      </c>
    </row>
    <row r="232" spans="1:6" hidden="1">
      <c r="A232" s="7" t="s">
        <v>1443</v>
      </c>
      <c r="B232" s="4" t="s">
        <v>1446</v>
      </c>
      <c r="C232" s="4" t="s">
        <v>1806</v>
      </c>
      <c r="D232" s="20">
        <f>MarketPlace_Order_Report__2[[#This Row],[UnitPrice]]*MarketPlace_Order_Report__2[[#This Row],[OrderQty]]</f>
        <v>2100</v>
      </c>
      <c r="E232" s="20">
        <f>IFERROR(MarketPlace_Order_Report__2[[#This Row],[CGSTAmount]]+MarketPlace_Order_Report__2[[#This Row],[SGSTAmount]]+MarketPlace_Order_Report__2[[#This Row],[IGSTAmount]],MarketPlace_Order_Report__2[[#This Row],[TaxAmount]])</f>
        <v>100</v>
      </c>
      <c r="F232" s="21">
        <f>MarketPlace_Order_Report__2[[#This Row],[Gross Amount (Before Tax)]]+MarketPlace_Order_Report__2[[#This Row],[Total GST Amount]]</f>
        <v>2200</v>
      </c>
    </row>
    <row r="233" spans="1:6" hidden="1">
      <c r="A233" s="8" t="s">
        <v>1450</v>
      </c>
      <c r="B233" s="5" t="s">
        <v>1453</v>
      </c>
      <c r="C233" s="5" t="s">
        <v>1806</v>
      </c>
      <c r="D233" s="22">
        <f>MarketPlace_Order_Report__2[[#This Row],[UnitPrice]]*MarketPlace_Order_Report__2[[#This Row],[OrderQty]]</f>
        <v>2100</v>
      </c>
      <c r="E233" s="22">
        <f>IFERROR(MarketPlace_Order_Report__2[[#This Row],[CGSTAmount]]+MarketPlace_Order_Report__2[[#This Row],[SGSTAmount]]+MarketPlace_Order_Report__2[[#This Row],[IGSTAmount]],MarketPlace_Order_Report__2[[#This Row],[TaxAmount]])</f>
        <v>100</v>
      </c>
      <c r="F233" s="23">
        <f>MarketPlace_Order_Report__2[[#This Row],[Gross Amount (Before Tax)]]+MarketPlace_Order_Report__2[[#This Row],[Total GST Amount]]</f>
        <v>2200</v>
      </c>
    </row>
    <row r="234" spans="1:6" hidden="1">
      <c r="A234" s="7" t="s">
        <v>1457</v>
      </c>
      <c r="B234" s="4" t="s">
        <v>1460</v>
      </c>
      <c r="C234" s="4" t="s">
        <v>1806</v>
      </c>
      <c r="D234" s="20">
        <f>MarketPlace_Order_Report__2[[#This Row],[UnitPrice]]*MarketPlace_Order_Report__2[[#This Row],[OrderQty]]</f>
        <v>2275</v>
      </c>
      <c r="E234" s="20">
        <f>IFERROR(MarketPlace_Order_Report__2[[#This Row],[CGSTAmount]]+MarketPlace_Order_Report__2[[#This Row],[SGSTAmount]]+MarketPlace_Order_Report__2[[#This Row],[IGSTAmount]],MarketPlace_Order_Report__2[[#This Row],[TaxAmount]])</f>
        <v>108.334</v>
      </c>
      <c r="F234" s="21">
        <f>MarketPlace_Order_Report__2[[#This Row],[Gross Amount (Before Tax)]]+MarketPlace_Order_Report__2[[#This Row],[Total GST Amount]]</f>
        <v>2383.3339999999998</v>
      </c>
    </row>
    <row r="235" spans="1:6" hidden="1">
      <c r="A235" s="8" t="s">
        <v>1463</v>
      </c>
      <c r="B235" s="5" t="s">
        <v>1460</v>
      </c>
      <c r="C235" s="5" t="s">
        <v>228</v>
      </c>
      <c r="D235" s="22">
        <f>MarketPlace_Order_Report__2[[#This Row],[UnitPrice]]*MarketPlace_Order_Report__2[[#This Row],[OrderQty]]</f>
        <v>2275</v>
      </c>
      <c r="E235" s="22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35" s="23">
        <f>MarketPlace_Order_Report__2[[#This Row],[Gross Amount (Before Tax)]]+MarketPlace_Order_Report__2[[#This Row],[Total GST Amount]]</f>
        <v>2383.3330000000001</v>
      </c>
    </row>
    <row r="236" spans="1:6" hidden="1">
      <c r="A236" s="7" t="s">
        <v>1469</v>
      </c>
      <c r="B236" s="4" t="s">
        <v>1472</v>
      </c>
      <c r="C236" s="4" t="s">
        <v>62</v>
      </c>
      <c r="D236" s="20">
        <f>MarketPlace_Order_Report__2[[#This Row],[UnitPrice]]*MarketPlace_Order_Report__2[[#This Row],[OrderQty]]</f>
        <v>2100</v>
      </c>
      <c r="E236" s="20">
        <f>IFERROR(MarketPlace_Order_Report__2[[#This Row],[CGSTAmount]]+MarketPlace_Order_Report__2[[#This Row],[SGSTAmount]]+MarketPlace_Order_Report__2[[#This Row],[IGSTAmount]],MarketPlace_Order_Report__2[[#This Row],[TaxAmount]])</f>
        <v>100</v>
      </c>
      <c r="F236" s="21">
        <f>MarketPlace_Order_Report__2[[#This Row],[Gross Amount (Before Tax)]]+MarketPlace_Order_Report__2[[#This Row],[Total GST Amount]]</f>
        <v>2200</v>
      </c>
    </row>
    <row r="237" spans="1:6" hidden="1">
      <c r="A237" s="8" t="s">
        <v>1265</v>
      </c>
      <c r="B237" s="5" t="s">
        <v>1478</v>
      </c>
      <c r="C237" s="5" t="s">
        <v>1806</v>
      </c>
      <c r="D237" s="22">
        <f>MarketPlace_Order_Report__2[[#This Row],[UnitPrice]]*MarketPlace_Order_Report__2[[#This Row],[OrderQty]]</f>
        <v>2100</v>
      </c>
      <c r="E237" s="22">
        <f>IFERROR(MarketPlace_Order_Report__2[[#This Row],[CGSTAmount]]+MarketPlace_Order_Report__2[[#This Row],[SGSTAmount]]+MarketPlace_Order_Report__2[[#This Row],[IGSTAmount]],MarketPlace_Order_Report__2[[#This Row],[TaxAmount]])</f>
        <v>100</v>
      </c>
      <c r="F237" s="23">
        <f>MarketPlace_Order_Report__2[[#This Row],[Gross Amount (Before Tax)]]+MarketPlace_Order_Report__2[[#This Row],[Total GST Amount]]</f>
        <v>2200</v>
      </c>
    </row>
    <row r="238" spans="1:6" hidden="1">
      <c r="A238" s="7" t="s">
        <v>1423</v>
      </c>
      <c r="B238" s="4" t="s">
        <v>1480</v>
      </c>
      <c r="C238" s="4" t="s">
        <v>62</v>
      </c>
      <c r="D238" s="20">
        <f>MarketPlace_Order_Report__2[[#This Row],[UnitPrice]]*MarketPlace_Order_Report__2[[#This Row],[OrderQty]]</f>
        <v>2275</v>
      </c>
      <c r="E238" s="20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38" s="21">
        <f>MarketPlace_Order_Report__2[[#This Row],[Gross Amount (Before Tax)]]+MarketPlace_Order_Report__2[[#This Row],[Total GST Amount]]</f>
        <v>2383.3330000000001</v>
      </c>
    </row>
    <row r="239" spans="1:6" hidden="1">
      <c r="A239" s="8" t="s">
        <v>1482</v>
      </c>
      <c r="B239" s="5" t="s">
        <v>1485</v>
      </c>
      <c r="C239" s="5" t="s">
        <v>1806</v>
      </c>
      <c r="D239" s="22">
        <f>MarketPlace_Order_Report__2[[#This Row],[UnitPrice]]*MarketPlace_Order_Report__2[[#This Row],[OrderQty]]</f>
        <v>2275</v>
      </c>
      <c r="E239" s="22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39" s="23">
        <f>MarketPlace_Order_Report__2[[#This Row],[Gross Amount (Before Tax)]]+MarketPlace_Order_Report__2[[#This Row],[Total GST Amount]]</f>
        <v>2383.3330000000001</v>
      </c>
    </row>
    <row r="240" spans="1:6" hidden="1">
      <c r="A240" s="7" t="s">
        <v>1489</v>
      </c>
      <c r="B240" s="4" t="s">
        <v>1492</v>
      </c>
      <c r="C240" s="4" t="s">
        <v>1806</v>
      </c>
      <c r="D240" s="20">
        <f>MarketPlace_Order_Report__2[[#This Row],[UnitPrice]]*MarketPlace_Order_Report__2[[#This Row],[OrderQty]]</f>
        <v>2275</v>
      </c>
      <c r="E240" s="20">
        <f>IFERROR(MarketPlace_Order_Report__2[[#This Row],[CGSTAmount]]+MarketPlace_Order_Report__2[[#This Row],[SGSTAmount]]+MarketPlace_Order_Report__2[[#This Row],[IGSTAmount]],MarketPlace_Order_Report__2[[#This Row],[TaxAmount]])</f>
        <v>108.333</v>
      </c>
      <c r="F240" s="21">
        <f>MarketPlace_Order_Report__2[[#This Row],[Gross Amount (Before Tax)]]+MarketPlace_Order_Report__2[[#This Row],[Total GST Amount]]</f>
        <v>2383.3330000000001</v>
      </c>
    </row>
    <row r="241" spans="1:6" hidden="1">
      <c r="A241" s="8" t="s">
        <v>1265</v>
      </c>
      <c r="B241" s="5" t="s">
        <v>1497</v>
      </c>
      <c r="C241" s="5" t="s">
        <v>1806</v>
      </c>
      <c r="D241" s="22">
        <f>MarketPlace_Order_Report__2[[#This Row],[UnitPrice]]*MarketPlace_Order_Report__2[[#This Row],[OrderQty]]</f>
        <v>2100</v>
      </c>
      <c r="E241" s="22">
        <f>IFERROR(MarketPlace_Order_Report__2[[#This Row],[CGSTAmount]]+MarketPlace_Order_Report__2[[#This Row],[SGSTAmount]]+MarketPlace_Order_Report__2[[#This Row],[IGSTAmount]],MarketPlace_Order_Report__2[[#This Row],[TaxAmount]])</f>
        <v>100</v>
      </c>
      <c r="F241" s="23">
        <f>MarketPlace_Order_Report__2[[#This Row],[Gross Amount (Before Tax)]]+MarketPlace_Order_Report__2[[#This Row],[Total GST Amount]]</f>
        <v>2200</v>
      </c>
    </row>
    <row r="242" spans="1:6">
      <c r="A242" s="7" t="s">
        <v>1498</v>
      </c>
      <c r="B242" s="4" t="s">
        <v>1501</v>
      </c>
      <c r="C242" s="4" t="s">
        <v>145</v>
      </c>
      <c r="D242" s="20">
        <f>MarketPlace_Order_Report__2[[#This Row],[UnitPrice]]*MarketPlace_Order_Report__2[[#This Row],[OrderQty]]</f>
        <v>4000</v>
      </c>
      <c r="E242" s="20">
        <f>IFERROR(MarketPlace_Order_Report__2[[#This Row],[CGSTAmount]]+MarketPlace_Order_Report__2[[#This Row],[SGSTAmount]]+MarketPlace_Order_Report__2[[#This Row],[IGSTAmount]],MarketPlace_Order_Report__2[[#This Row],[TaxAmount]])</f>
        <v>610.16899999999998</v>
      </c>
      <c r="F242" s="21">
        <f>MarketPlace_Order_Report__2[[#This Row],[Gross Amount (Before Tax)]]+MarketPlace_Order_Report__2[[#This Row],[Total GST Amount]]</f>
        <v>4610.1689999999999</v>
      </c>
    </row>
    <row r="243" spans="1:6" hidden="1">
      <c r="A243" s="8" t="s">
        <v>1504</v>
      </c>
      <c r="B243" s="5" t="s">
        <v>1507</v>
      </c>
      <c r="C243" s="5" t="s">
        <v>1806</v>
      </c>
      <c r="D243" s="22">
        <f>MarketPlace_Order_Report__2[[#This Row],[UnitPrice]]*MarketPlace_Order_Report__2[[#This Row],[OrderQty]]</f>
        <v>3800</v>
      </c>
      <c r="E243" s="22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F243" s="23">
        <f>MarketPlace_Order_Report__2[[#This Row],[Gross Amount (Before Tax)]]+MarketPlace_Order_Report__2[[#This Row],[Total GST Amount]]</f>
        <v>4379.6610000000001</v>
      </c>
    </row>
    <row r="244" spans="1:6" hidden="1">
      <c r="A244" s="7" t="s">
        <v>1510</v>
      </c>
      <c r="B244" s="4" t="s">
        <v>1513</v>
      </c>
      <c r="C244" s="4" t="s">
        <v>1806</v>
      </c>
      <c r="D244" s="20">
        <f>MarketPlace_Order_Report__2[[#This Row],[UnitPrice]]*MarketPlace_Order_Report__2[[#This Row],[OrderQty]]</f>
        <v>4500</v>
      </c>
      <c r="E244" s="20">
        <f>IFERROR(MarketPlace_Order_Report__2[[#This Row],[CGSTAmount]]+MarketPlace_Order_Report__2[[#This Row],[SGSTAmount]]+MarketPlace_Order_Report__2[[#This Row],[IGSTAmount]],MarketPlace_Order_Report__2[[#This Row],[TaxAmount]])</f>
        <v>686.44200000000001</v>
      </c>
      <c r="F244" s="21">
        <f>MarketPlace_Order_Report__2[[#This Row],[Gross Amount (Before Tax)]]+MarketPlace_Order_Report__2[[#This Row],[Total GST Amount]]</f>
        <v>5186.442</v>
      </c>
    </row>
    <row r="245" spans="1:6" hidden="1">
      <c r="A245" s="8" t="s">
        <v>1516</v>
      </c>
      <c r="B245" s="5" t="s">
        <v>1519</v>
      </c>
      <c r="C245" s="5" t="s">
        <v>62</v>
      </c>
      <c r="D245" s="22">
        <f>MarketPlace_Order_Report__2[[#This Row],[UnitPrice]]*MarketPlace_Order_Report__2[[#This Row],[OrderQty]]</f>
        <v>4500</v>
      </c>
      <c r="E245" s="22">
        <f>IFERROR(MarketPlace_Order_Report__2[[#This Row],[CGSTAmount]]+MarketPlace_Order_Report__2[[#This Row],[SGSTAmount]]+MarketPlace_Order_Report__2[[#This Row],[IGSTAmount]],MarketPlace_Order_Report__2[[#This Row],[TaxAmount]])</f>
        <v>686.44100000000003</v>
      </c>
      <c r="F245" s="23">
        <f>MarketPlace_Order_Report__2[[#This Row],[Gross Amount (Before Tax)]]+MarketPlace_Order_Report__2[[#This Row],[Total GST Amount]]</f>
        <v>5186.4409999999998</v>
      </c>
    </row>
    <row r="246" spans="1:6">
      <c r="A246" s="7" t="s">
        <v>1524</v>
      </c>
      <c r="B246" s="4" t="s">
        <v>1527</v>
      </c>
      <c r="C246" s="4" t="s">
        <v>145</v>
      </c>
      <c r="D246" s="20">
        <f>MarketPlace_Order_Report__2[[#This Row],[UnitPrice]]*MarketPlace_Order_Report__2[[#This Row],[OrderQty]]</f>
        <v>4950</v>
      </c>
      <c r="E246" s="20">
        <f>IFERROR(MarketPlace_Order_Report__2[[#This Row],[CGSTAmount]]+MarketPlace_Order_Report__2[[#This Row],[SGSTAmount]]+MarketPlace_Order_Report__2[[#This Row],[IGSTAmount]],MarketPlace_Order_Report__2[[#This Row],[TaxAmount]])</f>
        <v>755.08500000000004</v>
      </c>
      <c r="F246" s="21">
        <f>MarketPlace_Order_Report__2[[#This Row],[Gross Amount (Before Tax)]]+MarketPlace_Order_Report__2[[#This Row],[Total GST Amount]]</f>
        <v>5705.085</v>
      </c>
    </row>
    <row r="247" spans="1:6" hidden="1">
      <c r="A247" s="8" t="s">
        <v>1528</v>
      </c>
      <c r="B247" s="5" t="s">
        <v>1531</v>
      </c>
      <c r="C247" s="5" t="s">
        <v>62</v>
      </c>
      <c r="D247" s="22">
        <f>MarketPlace_Order_Report__2[[#This Row],[UnitPrice]]*MarketPlace_Order_Report__2[[#This Row],[OrderQty]]</f>
        <v>4500</v>
      </c>
      <c r="E247" s="22">
        <f>IFERROR(MarketPlace_Order_Report__2[[#This Row],[CGSTAmount]]+MarketPlace_Order_Report__2[[#This Row],[SGSTAmount]]+MarketPlace_Order_Report__2[[#This Row],[IGSTAmount]],MarketPlace_Order_Report__2[[#This Row],[TaxAmount]])</f>
        <v>686.44100000000003</v>
      </c>
      <c r="F247" s="23">
        <f>MarketPlace_Order_Report__2[[#This Row],[Gross Amount (Before Tax)]]+MarketPlace_Order_Report__2[[#This Row],[Total GST Amount]]</f>
        <v>5186.4409999999998</v>
      </c>
    </row>
    <row r="248" spans="1:6" hidden="1">
      <c r="A248" s="7" t="s">
        <v>1536</v>
      </c>
      <c r="B248" s="4" t="s">
        <v>1539</v>
      </c>
      <c r="C248" s="4" t="s">
        <v>62</v>
      </c>
      <c r="D248" s="20">
        <f>MarketPlace_Order_Report__2[[#This Row],[UnitPrice]]*MarketPlace_Order_Report__2[[#This Row],[OrderQty]]</f>
        <v>4725</v>
      </c>
      <c r="E248" s="20">
        <f>IFERROR(MarketPlace_Order_Report__2[[#This Row],[CGSTAmount]]+MarketPlace_Order_Report__2[[#This Row],[SGSTAmount]]+MarketPlace_Order_Report__2[[#This Row],[IGSTAmount]],MarketPlace_Order_Report__2[[#This Row],[TaxAmount]])</f>
        <v>720.76300000000003</v>
      </c>
      <c r="F248" s="21">
        <f>MarketPlace_Order_Report__2[[#This Row],[Gross Amount (Before Tax)]]+MarketPlace_Order_Report__2[[#This Row],[Total GST Amount]]</f>
        <v>5445.7629999999999</v>
      </c>
    </row>
    <row r="249" spans="1:6">
      <c r="A249" s="8" t="s">
        <v>1545</v>
      </c>
      <c r="B249" s="5" t="s">
        <v>1548</v>
      </c>
      <c r="C249" s="5" t="s">
        <v>145</v>
      </c>
      <c r="D249" s="22">
        <f>MarketPlace_Order_Report__2[[#This Row],[UnitPrice]]*MarketPlace_Order_Report__2[[#This Row],[OrderQty]]</f>
        <v>5400</v>
      </c>
      <c r="E249" s="22">
        <f>IFERROR(MarketPlace_Order_Report__2[[#This Row],[CGSTAmount]]+MarketPlace_Order_Report__2[[#This Row],[SGSTAmount]]+MarketPlace_Order_Report__2[[#This Row],[IGSTAmount]],MarketPlace_Order_Report__2[[#This Row],[TaxAmount]])</f>
        <v>823.72900000000004</v>
      </c>
      <c r="F249" s="23">
        <f>MarketPlace_Order_Report__2[[#This Row],[Gross Amount (Before Tax)]]+MarketPlace_Order_Report__2[[#This Row],[Total GST Amount]]</f>
        <v>6223.7290000000003</v>
      </c>
    </row>
    <row r="250" spans="1:6" hidden="1">
      <c r="A250" s="7" t="s">
        <v>1045</v>
      </c>
      <c r="B250" s="4" t="s">
        <v>1550</v>
      </c>
      <c r="C250" s="4" t="s">
        <v>107</v>
      </c>
      <c r="D250" s="20">
        <f>MarketPlace_Order_Report__2[[#This Row],[UnitPrice]]*MarketPlace_Order_Report__2[[#This Row],[OrderQty]]</f>
        <v>5700</v>
      </c>
      <c r="E250" s="20">
        <f>IFERROR(MarketPlace_Order_Report__2[[#This Row],[CGSTAmount]]+MarketPlace_Order_Report__2[[#This Row],[SGSTAmount]]+MarketPlace_Order_Report__2[[#This Row],[IGSTAmount]],MarketPlace_Order_Report__2[[#This Row],[TaxAmount]])</f>
        <v>869.49199999999996</v>
      </c>
      <c r="F250" s="21">
        <f>MarketPlace_Order_Report__2[[#This Row],[Gross Amount (Before Tax)]]+MarketPlace_Order_Report__2[[#This Row],[Total GST Amount]]</f>
        <v>6569.4920000000002</v>
      </c>
    </row>
    <row r="251" spans="1:6" hidden="1">
      <c r="A251" s="8" t="s">
        <v>1551</v>
      </c>
      <c r="B251" s="5" t="s">
        <v>1550</v>
      </c>
      <c r="C251" s="5" t="s">
        <v>1806</v>
      </c>
      <c r="D251" s="22">
        <f>MarketPlace_Order_Report__2[[#This Row],[UnitPrice]]*MarketPlace_Order_Report__2[[#This Row],[OrderQty]]</f>
        <v>5700</v>
      </c>
      <c r="E251" s="22">
        <f>IFERROR(MarketPlace_Order_Report__2[[#This Row],[CGSTAmount]]+MarketPlace_Order_Report__2[[#This Row],[SGSTAmount]]+MarketPlace_Order_Report__2[[#This Row],[IGSTAmount]],MarketPlace_Order_Report__2[[#This Row],[TaxAmount]])</f>
        <v>869.49199999999996</v>
      </c>
      <c r="F251" s="23">
        <f>MarketPlace_Order_Report__2[[#This Row],[Gross Amount (Before Tax)]]+MarketPlace_Order_Report__2[[#This Row],[Total GST Amount]]</f>
        <v>6569.4920000000002</v>
      </c>
    </row>
    <row r="252" spans="1:6" hidden="1">
      <c r="A252" s="7" t="s">
        <v>1555</v>
      </c>
      <c r="B252" s="4" t="s">
        <v>1558</v>
      </c>
      <c r="C252" s="4" t="s">
        <v>1806</v>
      </c>
      <c r="D252" s="20">
        <f>MarketPlace_Order_Report__2[[#This Row],[UnitPrice]]*MarketPlace_Order_Report__2[[#This Row],[OrderQty]]</f>
        <v>5175</v>
      </c>
      <c r="E252" s="20">
        <f>IFERROR(MarketPlace_Order_Report__2[[#This Row],[CGSTAmount]]+MarketPlace_Order_Report__2[[#This Row],[SGSTAmount]]+MarketPlace_Order_Report__2[[#This Row],[IGSTAmount]],MarketPlace_Order_Report__2[[#This Row],[TaxAmount]])</f>
        <v>789.40700000000004</v>
      </c>
      <c r="F252" s="21">
        <f>MarketPlace_Order_Report__2[[#This Row],[Gross Amount (Before Tax)]]+MarketPlace_Order_Report__2[[#This Row],[Total GST Amount]]</f>
        <v>5964.4070000000002</v>
      </c>
    </row>
    <row r="253" spans="1:6" hidden="1">
      <c r="A253" s="8" t="s">
        <v>1562</v>
      </c>
      <c r="B253" s="5" t="s">
        <v>1565</v>
      </c>
      <c r="C253" s="5" t="s">
        <v>257</v>
      </c>
      <c r="D253" s="22">
        <f>MarketPlace_Order_Report__2[[#This Row],[UnitPrice]]*MarketPlace_Order_Report__2[[#This Row],[OrderQty]]</f>
        <v>5400</v>
      </c>
      <c r="E253" s="22">
        <f>IFERROR(MarketPlace_Order_Report__2[[#This Row],[CGSTAmount]]+MarketPlace_Order_Report__2[[#This Row],[SGSTAmount]]+MarketPlace_Order_Report__2[[#This Row],[IGSTAmount]],MarketPlace_Order_Report__2[[#This Row],[TaxAmount]])</f>
        <v>823.72900000000004</v>
      </c>
      <c r="F253" s="23">
        <f>MarketPlace_Order_Report__2[[#This Row],[Gross Amount (Before Tax)]]+MarketPlace_Order_Report__2[[#This Row],[Total GST Amount]]</f>
        <v>6223.7290000000003</v>
      </c>
    </row>
    <row r="254" spans="1:6" hidden="1">
      <c r="A254" s="7" t="s">
        <v>1568</v>
      </c>
      <c r="B254" s="4" t="s">
        <v>1571</v>
      </c>
      <c r="C254" s="4" t="s">
        <v>1806</v>
      </c>
      <c r="D254" s="20">
        <f>MarketPlace_Order_Report__2[[#This Row],[UnitPrice]]*MarketPlace_Order_Report__2[[#This Row],[OrderQty]]</f>
        <v>6255</v>
      </c>
      <c r="E254" s="20">
        <f>IFERROR(MarketPlace_Order_Report__2[[#This Row],[CGSTAmount]]+MarketPlace_Order_Report__2[[#This Row],[SGSTAmount]]+MarketPlace_Order_Report__2[[#This Row],[IGSTAmount]],MarketPlace_Order_Report__2[[#This Row],[TaxAmount]])</f>
        <v>954.15300000000002</v>
      </c>
      <c r="F254" s="21">
        <f>MarketPlace_Order_Report__2[[#This Row],[Gross Amount (Before Tax)]]+MarketPlace_Order_Report__2[[#This Row],[Total GST Amount]]</f>
        <v>7209.1530000000002</v>
      </c>
    </row>
    <row r="255" spans="1:6" hidden="1">
      <c r="A255" s="8" t="s">
        <v>1575</v>
      </c>
      <c r="B255" s="5" t="s">
        <v>1578</v>
      </c>
      <c r="C255" s="5" t="s">
        <v>62</v>
      </c>
      <c r="D255" s="22">
        <f>MarketPlace_Order_Report__2[[#This Row],[UnitPrice]]*MarketPlace_Order_Report__2[[#This Row],[OrderQty]]</f>
        <v>5400</v>
      </c>
      <c r="E255" s="22">
        <f>IFERROR(MarketPlace_Order_Report__2[[#This Row],[CGSTAmount]]+MarketPlace_Order_Report__2[[#This Row],[SGSTAmount]]+MarketPlace_Order_Report__2[[#This Row],[IGSTAmount]],MarketPlace_Order_Report__2[[#This Row],[TaxAmount]])</f>
        <v>823.72900000000004</v>
      </c>
      <c r="F255" s="23">
        <f>MarketPlace_Order_Report__2[[#This Row],[Gross Amount (Before Tax)]]+MarketPlace_Order_Report__2[[#This Row],[Total GST Amount]]</f>
        <v>6223.7290000000003</v>
      </c>
    </row>
    <row r="256" spans="1:6" hidden="1">
      <c r="A256" s="7" t="s">
        <v>1583</v>
      </c>
      <c r="B256" s="4" t="s">
        <v>1586</v>
      </c>
      <c r="C256" s="4" t="s">
        <v>1806</v>
      </c>
      <c r="D256" s="20">
        <f>MarketPlace_Order_Report__2[[#This Row],[UnitPrice]]*MarketPlace_Order_Report__2[[#This Row],[OrderQty]]</f>
        <v>6255</v>
      </c>
      <c r="E256" s="20">
        <f>IFERROR(MarketPlace_Order_Report__2[[#This Row],[CGSTAmount]]+MarketPlace_Order_Report__2[[#This Row],[SGSTAmount]]+MarketPlace_Order_Report__2[[#This Row],[IGSTAmount]],MarketPlace_Order_Report__2[[#This Row],[TaxAmount]])</f>
        <v>954.15300000000002</v>
      </c>
      <c r="F256" s="21">
        <f>MarketPlace_Order_Report__2[[#This Row],[Gross Amount (Before Tax)]]+MarketPlace_Order_Report__2[[#This Row],[Total GST Amount]]</f>
        <v>7209.1530000000002</v>
      </c>
    </row>
    <row r="257" spans="1:6" hidden="1">
      <c r="A257" s="8" t="s">
        <v>1589</v>
      </c>
      <c r="B257" s="5" t="s">
        <v>1592</v>
      </c>
      <c r="C257" s="5" t="s">
        <v>1806</v>
      </c>
      <c r="D257" s="22">
        <f>MarketPlace_Order_Report__2[[#This Row],[UnitPrice]]*MarketPlace_Order_Report__2[[#This Row],[OrderQty]]</f>
        <v>3088</v>
      </c>
      <c r="E257" s="22">
        <f>IFERROR(MarketPlace_Order_Report__2[[#This Row],[CGSTAmount]]+MarketPlace_Order_Report__2[[#This Row],[SGSTAmount]]+MarketPlace_Order_Report__2[[#This Row],[IGSTAmount]],MarketPlace_Order_Report__2[[#This Row],[TaxAmount]])</f>
        <v>471.05200000000002</v>
      </c>
      <c r="F257" s="23">
        <f>MarketPlace_Order_Report__2[[#This Row],[Gross Amount (Before Tax)]]+MarketPlace_Order_Report__2[[#This Row],[Total GST Amount]]</f>
        <v>3559.0520000000001</v>
      </c>
    </row>
    <row r="258" spans="1:6" hidden="1">
      <c r="A258" s="7" t="s">
        <v>1596</v>
      </c>
      <c r="B258" s="4" t="s">
        <v>1599</v>
      </c>
      <c r="C258" s="4" t="s">
        <v>62</v>
      </c>
      <c r="D258" s="20">
        <f>MarketPlace_Order_Report__2[[#This Row],[UnitPrice]]*MarketPlace_Order_Report__2[[#This Row],[OrderQty]]</f>
        <v>3600</v>
      </c>
      <c r="E258" s="20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258" s="21">
        <f>MarketPlace_Order_Report__2[[#This Row],[Gross Amount (Before Tax)]]+MarketPlace_Order_Report__2[[#This Row],[Total GST Amount]]</f>
        <v>4149.1530000000002</v>
      </c>
    </row>
    <row r="259" spans="1:6">
      <c r="A259" s="8" t="s">
        <v>1603</v>
      </c>
      <c r="B259" s="5" t="s">
        <v>1606</v>
      </c>
      <c r="C259" s="5" t="s">
        <v>145</v>
      </c>
      <c r="D259" s="22">
        <f>MarketPlace_Order_Report__2[[#This Row],[UnitPrice]]*MarketPlace_Order_Report__2[[#This Row],[OrderQty]]</f>
        <v>3600</v>
      </c>
      <c r="E259" s="22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259" s="23">
        <f>MarketPlace_Order_Report__2[[#This Row],[Gross Amount (Before Tax)]]+MarketPlace_Order_Report__2[[#This Row],[Total GST Amount]]</f>
        <v>4149.1530000000002</v>
      </c>
    </row>
    <row r="260" spans="1:6" hidden="1">
      <c r="A260" s="7" t="s">
        <v>916</v>
      </c>
      <c r="B260" s="4" t="s">
        <v>1606</v>
      </c>
      <c r="C260" s="4" t="s">
        <v>257</v>
      </c>
      <c r="D260" s="20">
        <f>MarketPlace_Order_Report__2[[#This Row],[UnitPrice]]*MarketPlace_Order_Report__2[[#This Row],[OrderQty]]</f>
        <v>3600</v>
      </c>
      <c r="E260" s="20">
        <f>IFERROR(MarketPlace_Order_Report__2[[#This Row],[CGSTAmount]]+MarketPlace_Order_Report__2[[#This Row],[SGSTAmount]]+MarketPlace_Order_Report__2[[#This Row],[IGSTAmount]],MarketPlace_Order_Report__2[[#This Row],[TaxAmount]])</f>
        <v>549.154</v>
      </c>
      <c r="F260" s="21">
        <f>MarketPlace_Order_Report__2[[#This Row],[Gross Amount (Before Tax)]]+MarketPlace_Order_Report__2[[#This Row],[Total GST Amount]]</f>
        <v>4149.1540000000005</v>
      </c>
    </row>
    <row r="261" spans="1:6" hidden="1">
      <c r="A261" s="8" t="s">
        <v>1607</v>
      </c>
      <c r="B261" s="5" t="s">
        <v>1610</v>
      </c>
      <c r="C261" s="5" t="s">
        <v>62</v>
      </c>
      <c r="D261" s="22">
        <f>MarketPlace_Order_Report__2[[#This Row],[UnitPrice]]*MarketPlace_Order_Report__2[[#This Row],[OrderQty]]</f>
        <v>3600</v>
      </c>
      <c r="E261" s="22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261" s="23">
        <f>MarketPlace_Order_Report__2[[#This Row],[Gross Amount (Before Tax)]]+MarketPlace_Order_Report__2[[#This Row],[Total GST Amount]]</f>
        <v>4149.1530000000002</v>
      </c>
    </row>
    <row r="262" spans="1:6" hidden="1">
      <c r="A262" s="7" t="s">
        <v>1614</v>
      </c>
      <c r="B262" s="4" t="s">
        <v>1617</v>
      </c>
      <c r="C262" s="4" t="s">
        <v>62</v>
      </c>
      <c r="D262" s="20">
        <f>MarketPlace_Order_Report__2[[#This Row],[UnitPrice]]*MarketPlace_Order_Report__2[[#This Row],[OrderQty]]</f>
        <v>3800</v>
      </c>
      <c r="E262" s="20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F262" s="21">
        <f>MarketPlace_Order_Report__2[[#This Row],[Gross Amount (Before Tax)]]+MarketPlace_Order_Report__2[[#This Row],[Total GST Amount]]</f>
        <v>4379.6610000000001</v>
      </c>
    </row>
    <row r="263" spans="1:6" hidden="1">
      <c r="A263" s="8" t="s">
        <v>1622</v>
      </c>
      <c r="B263" s="5" t="s">
        <v>1617</v>
      </c>
      <c r="C263" s="5" t="s">
        <v>1806</v>
      </c>
      <c r="D263" s="22">
        <f>MarketPlace_Order_Report__2[[#This Row],[UnitPrice]]*MarketPlace_Order_Report__2[[#This Row],[OrderQty]]</f>
        <v>3800</v>
      </c>
      <c r="E263" s="22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F263" s="23">
        <f>MarketPlace_Order_Report__2[[#This Row],[Gross Amount (Before Tax)]]+MarketPlace_Order_Report__2[[#This Row],[Total GST Amount]]</f>
        <v>4379.6610000000001</v>
      </c>
    </row>
    <row r="264" spans="1:6" hidden="1">
      <c r="A264" s="7" t="s">
        <v>347</v>
      </c>
      <c r="B264" s="4" t="s">
        <v>1627</v>
      </c>
      <c r="C264" s="4" t="s">
        <v>1806</v>
      </c>
      <c r="D264" s="20">
        <f>MarketPlace_Order_Report__2[[#This Row],[UnitPrice]]*MarketPlace_Order_Report__2[[#This Row],[OrderQty]]</f>
        <v>3325</v>
      </c>
      <c r="E264" s="20">
        <f>IFERROR(MarketPlace_Order_Report__2[[#This Row],[CGSTAmount]]+MarketPlace_Order_Report__2[[#This Row],[SGSTAmount]]+MarketPlace_Order_Report__2[[#This Row],[IGSTAmount]],MarketPlace_Order_Report__2[[#This Row],[TaxAmount]])</f>
        <v>507.20400000000001</v>
      </c>
      <c r="F264" s="21">
        <f>MarketPlace_Order_Report__2[[#This Row],[Gross Amount (Before Tax)]]+MarketPlace_Order_Report__2[[#This Row],[Total GST Amount]]</f>
        <v>3832.2040000000002</v>
      </c>
    </row>
    <row r="265" spans="1:6" hidden="1">
      <c r="A265" s="8" t="s">
        <v>1628</v>
      </c>
      <c r="B265" s="5" t="s">
        <v>1631</v>
      </c>
      <c r="C265" s="5" t="s">
        <v>1806</v>
      </c>
      <c r="D265" s="22">
        <f>MarketPlace_Order_Report__2[[#This Row],[UnitPrice]]*MarketPlace_Order_Report__2[[#This Row],[OrderQty]]</f>
        <v>3800</v>
      </c>
      <c r="E265" s="22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F265" s="23">
        <f>MarketPlace_Order_Report__2[[#This Row],[Gross Amount (Before Tax)]]+MarketPlace_Order_Report__2[[#This Row],[Total GST Amount]]</f>
        <v>4379.6610000000001</v>
      </c>
    </row>
    <row r="266" spans="1:6" hidden="1">
      <c r="A266" s="7" t="s">
        <v>1634</v>
      </c>
      <c r="B266" s="4" t="s">
        <v>1637</v>
      </c>
      <c r="C266" s="4" t="s">
        <v>62</v>
      </c>
      <c r="D266" s="20">
        <f>MarketPlace_Order_Report__2[[#This Row],[UnitPrice]]*MarketPlace_Order_Report__2[[#This Row],[OrderQty]]</f>
        <v>3375</v>
      </c>
      <c r="E266" s="20">
        <f>IFERROR(MarketPlace_Order_Report__2[[#This Row],[CGSTAmount]]+MarketPlace_Order_Report__2[[#This Row],[SGSTAmount]]+MarketPlace_Order_Report__2[[#This Row],[IGSTAmount]],MarketPlace_Order_Report__2[[#This Row],[TaxAmount]])</f>
        <v>514.83199999999999</v>
      </c>
      <c r="F266" s="21">
        <f>MarketPlace_Order_Report__2[[#This Row],[Gross Amount (Before Tax)]]+MarketPlace_Order_Report__2[[#This Row],[Total GST Amount]]</f>
        <v>3889.8319999999999</v>
      </c>
    </row>
    <row r="267" spans="1:6" hidden="1">
      <c r="A267" s="8" t="s">
        <v>536</v>
      </c>
      <c r="B267" s="5" t="s">
        <v>1642</v>
      </c>
      <c r="C267" s="5" t="s">
        <v>1806</v>
      </c>
      <c r="D267" s="22">
        <f>MarketPlace_Order_Report__2[[#This Row],[UnitPrice]]*MarketPlace_Order_Report__2[[#This Row],[OrderQty]]</f>
        <v>3800</v>
      </c>
      <c r="E267" s="22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F267" s="23">
        <f>MarketPlace_Order_Report__2[[#This Row],[Gross Amount (Before Tax)]]+MarketPlace_Order_Report__2[[#This Row],[Total GST Amount]]</f>
        <v>4379.6610000000001</v>
      </c>
    </row>
    <row r="268" spans="1:6" hidden="1">
      <c r="A268" s="7" t="s">
        <v>1643</v>
      </c>
      <c r="B268" s="4" t="s">
        <v>1646</v>
      </c>
      <c r="C268" s="4" t="s">
        <v>62</v>
      </c>
      <c r="D268" s="20">
        <f>MarketPlace_Order_Report__2[[#This Row],[UnitPrice]]*MarketPlace_Order_Report__2[[#This Row],[OrderQty]]</f>
        <v>3563</v>
      </c>
      <c r="E268" s="20">
        <f>IFERROR(MarketPlace_Order_Report__2[[#This Row],[CGSTAmount]]+MarketPlace_Order_Report__2[[#This Row],[SGSTAmount]]+MarketPlace_Order_Report__2[[#This Row],[IGSTAmount]],MarketPlace_Order_Report__2[[#This Row],[TaxAmount]])</f>
        <v>543.50800000000004</v>
      </c>
      <c r="F268" s="21">
        <f>MarketPlace_Order_Report__2[[#This Row],[Gross Amount (Before Tax)]]+MarketPlace_Order_Report__2[[#This Row],[Total GST Amount]]</f>
        <v>4106.5079999999998</v>
      </c>
    </row>
    <row r="269" spans="1:6" hidden="1">
      <c r="A269" s="8" t="s">
        <v>1651</v>
      </c>
      <c r="B269" s="5" t="s">
        <v>1654</v>
      </c>
      <c r="C269" s="5" t="s">
        <v>1806</v>
      </c>
      <c r="D269" s="22">
        <f>MarketPlace_Order_Report__2[[#This Row],[UnitPrice]]*MarketPlace_Order_Report__2[[#This Row],[OrderQty]]</f>
        <v>3600</v>
      </c>
      <c r="E269" s="22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269" s="23">
        <f>MarketPlace_Order_Report__2[[#This Row],[Gross Amount (Before Tax)]]+MarketPlace_Order_Report__2[[#This Row],[Total GST Amount]]</f>
        <v>4149.1530000000002</v>
      </c>
    </row>
    <row r="270" spans="1:6" hidden="1">
      <c r="A270" s="7" t="s">
        <v>1659</v>
      </c>
      <c r="B270" s="4" t="s">
        <v>1662</v>
      </c>
      <c r="C270" s="4" t="s">
        <v>107</v>
      </c>
      <c r="D270" s="20">
        <f>MarketPlace_Order_Report__2[[#This Row],[UnitPrice]]*MarketPlace_Order_Report__2[[#This Row],[OrderQty]]</f>
        <v>4275</v>
      </c>
      <c r="E270" s="20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F270" s="21">
        <f>MarketPlace_Order_Report__2[[#This Row],[Gross Amount (Before Tax)]]+MarketPlace_Order_Report__2[[#This Row],[Total GST Amount]]</f>
        <v>4927.1189999999997</v>
      </c>
    </row>
    <row r="271" spans="1:6" hidden="1">
      <c r="A271" s="8" t="s">
        <v>1667</v>
      </c>
      <c r="B271" s="5" t="s">
        <v>1662</v>
      </c>
      <c r="C271" s="5" t="s">
        <v>1806</v>
      </c>
      <c r="D271" s="22">
        <f>MarketPlace_Order_Report__2[[#This Row],[UnitPrice]]*MarketPlace_Order_Report__2[[#This Row],[OrderQty]]</f>
        <v>4275</v>
      </c>
      <c r="E271" s="22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F271" s="23">
        <f>MarketPlace_Order_Report__2[[#This Row],[Gross Amount (Before Tax)]]+MarketPlace_Order_Report__2[[#This Row],[Total GST Amount]]</f>
        <v>4927.1189999999997</v>
      </c>
    </row>
    <row r="272" spans="1:6" hidden="1">
      <c r="A272" s="7" t="s">
        <v>1671</v>
      </c>
      <c r="B272" s="4" t="s">
        <v>1674</v>
      </c>
      <c r="C272" s="4" t="s">
        <v>1806</v>
      </c>
      <c r="D272" s="20">
        <f>MarketPlace_Order_Report__2[[#This Row],[UnitPrice]]*MarketPlace_Order_Report__2[[#This Row],[OrderQty]]</f>
        <v>4275</v>
      </c>
      <c r="E272" s="20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F272" s="21">
        <f>MarketPlace_Order_Report__2[[#This Row],[Gross Amount (Before Tax)]]+MarketPlace_Order_Report__2[[#This Row],[Total GST Amount]]</f>
        <v>4927.1189999999997</v>
      </c>
    </row>
    <row r="273" spans="1:6" hidden="1">
      <c r="A273" s="8" t="s">
        <v>1678</v>
      </c>
      <c r="B273" s="5" t="s">
        <v>1674</v>
      </c>
      <c r="C273" s="5" t="s">
        <v>62</v>
      </c>
      <c r="D273" s="22">
        <f>MarketPlace_Order_Report__2[[#This Row],[UnitPrice]]*MarketPlace_Order_Report__2[[#This Row],[OrderQty]]</f>
        <v>3800</v>
      </c>
      <c r="E273" s="22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F273" s="23">
        <f>MarketPlace_Order_Report__2[[#This Row],[Gross Amount (Before Tax)]]+MarketPlace_Order_Report__2[[#This Row],[Total GST Amount]]</f>
        <v>4379.6610000000001</v>
      </c>
    </row>
    <row r="274" spans="1:6" hidden="1">
      <c r="A274" s="7" t="s">
        <v>1684</v>
      </c>
      <c r="B274" s="4" t="s">
        <v>1687</v>
      </c>
      <c r="C274" s="4" t="s">
        <v>1806</v>
      </c>
      <c r="D274" s="20">
        <f>MarketPlace_Order_Report__2[[#This Row],[UnitPrice]]*MarketPlace_Order_Report__2[[#This Row],[OrderQty]]</f>
        <v>3600</v>
      </c>
      <c r="E274" s="20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274" s="21">
        <f>MarketPlace_Order_Report__2[[#This Row],[Gross Amount (Before Tax)]]+MarketPlace_Order_Report__2[[#This Row],[Total GST Amount]]</f>
        <v>4149.1530000000002</v>
      </c>
    </row>
    <row r="275" spans="1:6" hidden="1">
      <c r="A275" s="8" t="s">
        <v>1691</v>
      </c>
      <c r="B275" s="5" t="s">
        <v>1687</v>
      </c>
      <c r="C275" s="5" t="s">
        <v>1806</v>
      </c>
      <c r="D275" s="22">
        <f>MarketPlace_Order_Report__2[[#This Row],[UnitPrice]]*MarketPlace_Order_Report__2[[#This Row],[OrderQty]]</f>
        <v>3600</v>
      </c>
      <c r="E275" s="22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275" s="23">
        <f>MarketPlace_Order_Report__2[[#This Row],[Gross Amount (Before Tax)]]+MarketPlace_Order_Report__2[[#This Row],[Total GST Amount]]</f>
        <v>4149.1530000000002</v>
      </c>
    </row>
    <row r="276" spans="1:6" hidden="1">
      <c r="A276" s="7" t="s">
        <v>1695</v>
      </c>
      <c r="B276" s="4" t="s">
        <v>1698</v>
      </c>
      <c r="C276" s="4" t="s">
        <v>1806</v>
      </c>
      <c r="D276" s="20">
        <f>MarketPlace_Order_Report__2[[#This Row],[UnitPrice]]*MarketPlace_Order_Report__2[[#This Row],[OrderQty]]</f>
        <v>4275</v>
      </c>
      <c r="E276" s="20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F276" s="21">
        <f>MarketPlace_Order_Report__2[[#This Row],[Gross Amount (Before Tax)]]+MarketPlace_Order_Report__2[[#This Row],[Total GST Amount]]</f>
        <v>4927.1189999999997</v>
      </c>
    </row>
    <row r="277" spans="1:6" hidden="1">
      <c r="A277" s="8" t="s">
        <v>1702</v>
      </c>
      <c r="B277" s="5" t="s">
        <v>1705</v>
      </c>
      <c r="C277" s="5" t="s">
        <v>62</v>
      </c>
      <c r="D277" s="22">
        <f>MarketPlace_Order_Report__2[[#This Row],[UnitPrice]]*MarketPlace_Order_Report__2[[#This Row],[OrderQty]]</f>
        <v>4275</v>
      </c>
      <c r="E277" s="22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F277" s="23">
        <f>MarketPlace_Order_Report__2[[#This Row],[Gross Amount (Before Tax)]]+MarketPlace_Order_Report__2[[#This Row],[Total GST Amount]]</f>
        <v>4927.1189999999997</v>
      </c>
    </row>
    <row r="278" spans="1:6" hidden="1">
      <c r="A278" s="7" t="s">
        <v>1710</v>
      </c>
      <c r="B278" s="4" t="s">
        <v>1705</v>
      </c>
      <c r="C278" s="4" t="s">
        <v>62</v>
      </c>
      <c r="D278" s="20">
        <f>MarketPlace_Order_Report__2[[#This Row],[UnitPrice]]*MarketPlace_Order_Report__2[[#This Row],[OrderQty]]</f>
        <v>3800</v>
      </c>
      <c r="E278" s="20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F278" s="21">
        <f>MarketPlace_Order_Report__2[[#This Row],[Gross Amount (Before Tax)]]+MarketPlace_Order_Report__2[[#This Row],[Total GST Amount]]</f>
        <v>4379.6610000000001</v>
      </c>
    </row>
    <row r="279" spans="1:6" hidden="1">
      <c r="A279" s="8" t="s">
        <v>1717</v>
      </c>
      <c r="B279" s="5" t="s">
        <v>1720</v>
      </c>
      <c r="C279" s="5" t="s">
        <v>1806</v>
      </c>
      <c r="D279" s="22">
        <f>MarketPlace_Order_Report__2[[#This Row],[UnitPrice]]*MarketPlace_Order_Report__2[[#This Row],[OrderQty]]</f>
        <v>4275</v>
      </c>
      <c r="E279" s="22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F279" s="23">
        <f>MarketPlace_Order_Report__2[[#This Row],[Gross Amount (Before Tax)]]+MarketPlace_Order_Report__2[[#This Row],[Total GST Amount]]</f>
        <v>4927.1189999999997</v>
      </c>
    </row>
    <row r="280" spans="1:6">
      <c r="A280" s="7" t="s">
        <v>1725</v>
      </c>
      <c r="B280" s="4" t="s">
        <v>1720</v>
      </c>
      <c r="C280" s="4" t="s">
        <v>145</v>
      </c>
      <c r="D280" s="20">
        <f>MarketPlace_Order_Report__2[[#This Row],[UnitPrice]]*MarketPlace_Order_Report__2[[#This Row],[OrderQty]]</f>
        <v>4275</v>
      </c>
      <c r="E280" s="20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F280" s="21">
        <f>MarketPlace_Order_Report__2[[#This Row],[Gross Amount (Before Tax)]]+MarketPlace_Order_Report__2[[#This Row],[Total GST Amount]]</f>
        <v>4927.1189999999997</v>
      </c>
    </row>
    <row r="281" spans="1:6" hidden="1">
      <c r="A281" s="8" t="s">
        <v>1727</v>
      </c>
      <c r="B281" s="5" t="s">
        <v>1730</v>
      </c>
      <c r="C281" s="5" t="s">
        <v>107</v>
      </c>
      <c r="D281" s="22">
        <f>MarketPlace_Order_Report__2[[#This Row],[UnitPrice]]*MarketPlace_Order_Report__2[[#This Row],[OrderQty]]</f>
        <v>4275</v>
      </c>
      <c r="E281" s="22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F281" s="23">
        <f>MarketPlace_Order_Report__2[[#This Row],[Gross Amount (Before Tax)]]+MarketPlace_Order_Report__2[[#This Row],[Total GST Amount]]</f>
        <v>4927.1189999999997</v>
      </c>
    </row>
    <row r="282" spans="1:6" hidden="1">
      <c r="A282" s="7" t="s">
        <v>1733</v>
      </c>
      <c r="B282" s="4" t="s">
        <v>1736</v>
      </c>
      <c r="C282" s="4" t="s">
        <v>1806</v>
      </c>
      <c r="D282" s="20">
        <f>MarketPlace_Order_Report__2[[#This Row],[UnitPrice]]*MarketPlace_Order_Report__2[[#This Row],[OrderQty]]</f>
        <v>4275</v>
      </c>
      <c r="E282" s="20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F282" s="21">
        <f>MarketPlace_Order_Report__2[[#This Row],[Gross Amount (Before Tax)]]+MarketPlace_Order_Report__2[[#This Row],[Total GST Amount]]</f>
        <v>4927.1189999999997</v>
      </c>
    </row>
    <row r="283" spans="1:6" hidden="1">
      <c r="A283" s="8" t="s">
        <v>1740</v>
      </c>
      <c r="B283" s="5" t="s">
        <v>1736</v>
      </c>
      <c r="C283" s="5" t="s">
        <v>1806</v>
      </c>
      <c r="D283" s="22">
        <f>MarketPlace_Order_Report__2[[#This Row],[UnitPrice]]*MarketPlace_Order_Report__2[[#This Row],[OrderQty]]</f>
        <v>3800</v>
      </c>
      <c r="E283" s="22">
        <f>IFERROR(MarketPlace_Order_Report__2[[#This Row],[CGSTAmount]]+MarketPlace_Order_Report__2[[#This Row],[SGSTAmount]]+MarketPlace_Order_Report__2[[#This Row],[IGSTAmount]],MarketPlace_Order_Report__2[[#This Row],[TaxAmount]])</f>
        <v>579.66099999999994</v>
      </c>
      <c r="F283" s="23">
        <f>MarketPlace_Order_Report__2[[#This Row],[Gross Amount (Before Tax)]]+MarketPlace_Order_Report__2[[#This Row],[Total GST Amount]]</f>
        <v>4379.6610000000001</v>
      </c>
    </row>
    <row r="284" spans="1:6" hidden="1">
      <c r="A284" s="7" t="s">
        <v>1744</v>
      </c>
      <c r="B284" s="4" t="s">
        <v>1747</v>
      </c>
      <c r="C284" s="4" t="s">
        <v>1806</v>
      </c>
      <c r="D284" s="20">
        <f>MarketPlace_Order_Report__2[[#This Row],[UnitPrice]]*MarketPlace_Order_Report__2[[#This Row],[OrderQty]]</f>
        <v>4275</v>
      </c>
      <c r="E284" s="20">
        <f>IFERROR(MarketPlace_Order_Report__2[[#This Row],[CGSTAmount]]+MarketPlace_Order_Report__2[[#This Row],[SGSTAmount]]+MarketPlace_Order_Report__2[[#This Row],[IGSTAmount]],MarketPlace_Order_Report__2[[#This Row],[TaxAmount]])</f>
        <v>652.12</v>
      </c>
      <c r="F284" s="21">
        <f>MarketPlace_Order_Report__2[[#This Row],[Gross Amount (Before Tax)]]+MarketPlace_Order_Report__2[[#This Row],[Total GST Amount]]</f>
        <v>4927.12</v>
      </c>
    </row>
    <row r="285" spans="1:6" hidden="1">
      <c r="A285" s="8" t="s">
        <v>1750</v>
      </c>
      <c r="B285" s="5" t="s">
        <v>1747</v>
      </c>
      <c r="C285" s="5" t="s">
        <v>1806</v>
      </c>
      <c r="D285" s="22">
        <f>MarketPlace_Order_Report__2[[#This Row],[UnitPrice]]*MarketPlace_Order_Report__2[[#This Row],[OrderQty]]</f>
        <v>3600</v>
      </c>
      <c r="E285" s="22">
        <f>IFERROR(MarketPlace_Order_Report__2[[#This Row],[CGSTAmount]]+MarketPlace_Order_Report__2[[#This Row],[SGSTAmount]]+MarketPlace_Order_Report__2[[#This Row],[IGSTAmount]],MarketPlace_Order_Report__2[[#This Row],[TaxAmount]])</f>
        <v>549.15300000000002</v>
      </c>
      <c r="F285" s="23">
        <f>MarketPlace_Order_Report__2[[#This Row],[Gross Amount (Before Tax)]]+MarketPlace_Order_Report__2[[#This Row],[Total GST Amount]]</f>
        <v>4149.1530000000002</v>
      </c>
    </row>
    <row r="286" spans="1:6" hidden="1">
      <c r="A286" s="7" t="s">
        <v>1755</v>
      </c>
      <c r="B286" s="4" t="s">
        <v>1758</v>
      </c>
      <c r="C286" s="4" t="s">
        <v>1806</v>
      </c>
      <c r="D286" s="20">
        <f>MarketPlace_Order_Report__2[[#This Row],[UnitPrice]]*MarketPlace_Order_Report__2[[#This Row],[OrderQty]]</f>
        <v>4275</v>
      </c>
      <c r="E286" s="20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F286" s="21">
        <f>MarketPlace_Order_Report__2[[#This Row],[Gross Amount (Before Tax)]]+MarketPlace_Order_Report__2[[#This Row],[Total GST Amount]]</f>
        <v>4927.1189999999997</v>
      </c>
    </row>
    <row r="287" spans="1:6" hidden="1">
      <c r="A287" s="8" t="s">
        <v>1762</v>
      </c>
      <c r="B287" s="5" t="s">
        <v>1765</v>
      </c>
      <c r="C287" s="5" t="s">
        <v>62</v>
      </c>
      <c r="D287" s="22">
        <f>MarketPlace_Order_Report__2[[#This Row],[UnitPrice]]*MarketPlace_Order_Report__2[[#This Row],[OrderQty]]</f>
        <v>4275</v>
      </c>
      <c r="E287" s="22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F287" s="23">
        <f>MarketPlace_Order_Report__2[[#This Row],[Gross Amount (Before Tax)]]+MarketPlace_Order_Report__2[[#This Row],[Total GST Amount]]</f>
        <v>4927.1189999999997</v>
      </c>
    </row>
    <row r="288" spans="1:6">
      <c r="A288" s="7" t="s">
        <v>1770</v>
      </c>
      <c r="B288" s="4" t="s">
        <v>1773</v>
      </c>
      <c r="C288" s="4" t="s">
        <v>145</v>
      </c>
      <c r="D288" s="20">
        <f>MarketPlace_Order_Report__2[[#This Row],[UnitPrice]]*MarketPlace_Order_Report__2[[#This Row],[OrderQty]]</f>
        <v>4275</v>
      </c>
      <c r="E288" s="20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F288" s="21">
        <f>MarketPlace_Order_Report__2[[#This Row],[Gross Amount (Before Tax)]]+MarketPlace_Order_Report__2[[#This Row],[Total GST Amount]]</f>
        <v>4927.1189999999997</v>
      </c>
    </row>
    <row r="289" spans="1:6" hidden="1">
      <c r="A289" s="8" t="s">
        <v>1775</v>
      </c>
      <c r="B289" s="5" t="s">
        <v>1778</v>
      </c>
      <c r="C289" s="5" t="s">
        <v>1806</v>
      </c>
      <c r="D289" s="22">
        <f>MarketPlace_Order_Report__2[[#This Row],[UnitPrice]]*MarketPlace_Order_Report__2[[#This Row],[OrderQty]]</f>
        <v>4275</v>
      </c>
      <c r="E289" s="22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F289" s="23">
        <f>MarketPlace_Order_Report__2[[#This Row],[Gross Amount (Before Tax)]]+MarketPlace_Order_Report__2[[#This Row],[Total GST Amount]]</f>
        <v>4927.1189999999997</v>
      </c>
    </row>
    <row r="290" spans="1:6" hidden="1">
      <c r="A290" s="7" t="s">
        <v>1781</v>
      </c>
      <c r="B290" s="4" t="s">
        <v>1784</v>
      </c>
      <c r="C290" s="4" t="s">
        <v>1806</v>
      </c>
      <c r="D290" s="20">
        <f>MarketPlace_Order_Report__2[[#This Row],[UnitPrice]]*MarketPlace_Order_Report__2[[#This Row],[OrderQty]]</f>
        <v>4275</v>
      </c>
      <c r="E290" s="20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F290" s="21">
        <f>MarketPlace_Order_Report__2[[#This Row],[Gross Amount (Before Tax)]]+MarketPlace_Order_Report__2[[#This Row],[Total GST Amount]]</f>
        <v>4927.1189999999997</v>
      </c>
    </row>
    <row r="291" spans="1:6" hidden="1">
      <c r="A291" s="8" t="s">
        <v>1671</v>
      </c>
      <c r="B291" s="5" t="s">
        <v>1788</v>
      </c>
      <c r="C291" s="5" t="s">
        <v>1806</v>
      </c>
      <c r="D291" s="22">
        <f>MarketPlace_Order_Report__2[[#This Row],[UnitPrice]]*MarketPlace_Order_Report__2[[#This Row],[OrderQty]]</f>
        <v>4275</v>
      </c>
      <c r="E291" s="22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F291" s="23">
        <f>MarketPlace_Order_Report__2[[#This Row],[Gross Amount (Before Tax)]]+MarketPlace_Order_Report__2[[#This Row],[Total GST Amount]]</f>
        <v>4927.1189999999997</v>
      </c>
    </row>
    <row r="292" spans="1:6" hidden="1">
      <c r="A292" s="7" t="s">
        <v>1789</v>
      </c>
      <c r="B292" s="4" t="s">
        <v>1792</v>
      </c>
      <c r="C292" s="4" t="s">
        <v>1806</v>
      </c>
      <c r="D292" s="20">
        <f>MarketPlace_Order_Report__2[[#This Row],[UnitPrice]]*MarketPlace_Order_Report__2[[#This Row],[OrderQty]]</f>
        <v>4275</v>
      </c>
      <c r="E292" s="20">
        <f>IFERROR(MarketPlace_Order_Report__2[[#This Row],[CGSTAmount]]+MarketPlace_Order_Report__2[[#This Row],[SGSTAmount]]+MarketPlace_Order_Report__2[[#This Row],[IGSTAmount]],MarketPlace_Order_Report__2[[#This Row],[TaxAmount]])</f>
        <v>652.11900000000003</v>
      </c>
      <c r="F292" s="21">
        <f>MarketPlace_Order_Report__2[[#This Row],[Gross Amount (Before Tax)]]+MarketPlace_Order_Report__2[[#This Row],[Total GST Amount]]</f>
        <v>4927.1189999999997</v>
      </c>
    </row>
  </sheetData>
  <autoFilter ref="A1:F292" xr:uid="{6C057D77-C6EB-4A07-859F-D73BA47DA7DB}">
    <filterColumn colId="2">
      <filters>
        <filter val="Cancelled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785F-4E7D-4D3F-8B5C-DF31FC8DAE1F}">
  <dimension ref="A1:E142"/>
  <sheetViews>
    <sheetView workbookViewId="0">
      <selection activeCell="B3" sqref="B3"/>
    </sheetView>
  </sheetViews>
  <sheetFormatPr defaultRowHeight="14.4"/>
  <cols>
    <col min="1" max="1" width="25.44140625" bestFit="1" customWidth="1"/>
    <col min="2" max="2" width="18.44140625" bestFit="1" customWidth="1"/>
    <col min="3" max="3" width="23.88671875" bestFit="1" customWidth="1"/>
    <col min="4" max="4" width="16.33203125" bestFit="1" customWidth="1"/>
    <col min="5" max="5" width="17.44140625" bestFit="1" customWidth="1"/>
  </cols>
  <sheetData>
    <row r="1" spans="1:5">
      <c r="A1" s="6" t="s">
        <v>0</v>
      </c>
      <c r="B1" s="3" t="s">
        <v>3</v>
      </c>
      <c r="C1" s="18" t="s">
        <v>55</v>
      </c>
      <c r="D1" s="18" t="s">
        <v>56</v>
      </c>
      <c r="E1" s="19" t="s">
        <v>57</v>
      </c>
    </row>
    <row r="2" spans="1:5">
      <c r="A2" s="24" t="s">
        <v>78</v>
      </c>
      <c r="B2" s="25" t="s">
        <v>81</v>
      </c>
      <c r="C2" s="26">
        <v>1125</v>
      </c>
      <c r="D2" s="26">
        <v>53.570999999999998</v>
      </c>
      <c r="E2" s="27">
        <v>1178.5709999999999</v>
      </c>
    </row>
    <row r="3" spans="1:5">
      <c r="A3" s="24" t="s">
        <v>84</v>
      </c>
      <c r="B3" s="25" t="s">
        <v>87</v>
      </c>
      <c r="C3" s="26">
        <v>1125</v>
      </c>
      <c r="D3" s="26">
        <v>53.570999999999998</v>
      </c>
      <c r="E3" s="27">
        <v>1178.5709999999999</v>
      </c>
    </row>
    <row r="4" spans="1:5">
      <c r="A4" s="24" t="s">
        <v>111</v>
      </c>
      <c r="B4" s="25" t="s">
        <v>106</v>
      </c>
      <c r="C4" s="26">
        <v>3600</v>
      </c>
      <c r="D4" s="26">
        <v>549.15300000000002</v>
      </c>
      <c r="E4" s="27">
        <v>4149.1530000000002</v>
      </c>
    </row>
    <row r="5" spans="1:5">
      <c r="A5" s="24" t="s">
        <v>117</v>
      </c>
      <c r="B5" s="25" t="s">
        <v>120</v>
      </c>
      <c r="C5" s="26">
        <v>3200</v>
      </c>
      <c r="D5" s="26">
        <v>488.13600000000002</v>
      </c>
      <c r="E5" s="27">
        <v>3688.136</v>
      </c>
    </row>
    <row r="6" spans="1:5">
      <c r="A6" s="24" t="s">
        <v>133</v>
      </c>
      <c r="B6" s="25" t="s">
        <v>136</v>
      </c>
      <c r="C6" s="26">
        <v>3200</v>
      </c>
      <c r="D6" s="26">
        <v>488.13600000000002</v>
      </c>
      <c r="E6" s="27">
        <v>3688.136</v>
      </c>
    </row>
    <row r="7" spans="1:5">
      <c r="A7" s="24" t="s">
        <v>163</v>
      </c>
      <c r="B7" s="25" t="s">
        <v>166</v>
      </c>
      <c r="C7" s="26">
        <v>3200</v>
      </c>
      <c r="D7" s="26">
        <v>488.13600000000002</v>
      </c>
      <c r="E7" s="27">
        <v>3688.136</v>
      </c>
    </row>
    <row r="8" spans="1:5">
      <c r="A8" s="24" t="s">
        <v>180</v>
      </c>
      <c r="B8" s="25" t="s">
        <v>183</v>
      </c>
      <c r="C8" s="26">
        <v>1000</v>
      </c>
      <c r="D8" s="26">
        <v>47.619</v>
      </c>
      <c r="E8" s="27">
        <v>1047.6189999999999</v>
      </c>
    </row>
    <row r="9" spans="1:5">
      <c r="A9" s="24" t="s">
        <v>188</v>
      </c>
      <c r="B9" s="25" t="s">
        <v>191</v>
      </c>
      <c r="C9" s="26">
        <v>1000</v>
      </c>
      <c r="D9" s="26">
        <v>47.619</v>
      </c>
      <c r="E9" s="27">
        <v>1047.6189999999999</v>
      </c>
    </row>
    <row r="10" spans="1:5">
      <c r="A10" s="24" t="s">
        <v>196</v>
      </c>
      <c r="B10" s="25" t="s">
        <v>199</v>
      </c>
      <c r="C10" s="26">
        <v>1000</v>
      </c>
      <c r="D10" s="26">
        <v>47.62</v>
      </c>
      <c r="E10" s="27">
        <v>1047.6199999999999</v>
      </c>
    </row>
    <row r="11" spans="1:5">
      <c r="A11" s="24" t="s">
        <v>203</v>
      </c>
      <c r="B11" s="25" t="s">
        <v>199</v>
      </c>
      <c r="C11" s="26">
        <v>1000</v>
      </c>
      <c r="D11" s="26">
        <v>47.619</v>
      </c>
      <c r="E11" s="27">
        <v>1047.6189999999999</v>
      </c>
    </row>
    <row r="12" spans="1:5">
      <c r="A12" s="24" t="s">
        <v>210</v>
      </c>
      <c r="B12" s="25" t="s">
        <v>213</v>
      </c>
      <c r="C12" s="26">
        <v>1000</v>
      </c>
      <c r="D12" s="26">
        <v>47.62</v>
      </c>
      <c r="E12" s="27">
        <v>1047.6199999999999</v>
      </c>
    </row>
    <row r="13" spans="1:5">
      <c r="A13" s="24" t="s">
        <v>217</v>
      </c>
      <c r="B13" s="25" t="s">
        <v>220</v>
      </c>
      <c r="C13" s="26">
        <v>3500</v>
      </c>
      <c r="D13" s="26">
        <v>533.89800000000002</v>
      </c>
      <c r="E13" s="27">
        <v>4033.8980000000001</v>
      </c>
    </row>
    <row r="14" spans="1:5">
      <c r="A14" s="24" t="s">
        <v>234</v>
      </c>
      <c r="B14" s="25" t="s">
        <v>227</v>
      </c>
      <c r="C14" s="26">
        <v>1000</v>
      </c>
      <c r="D14" s="26">
        <v>47.619</v>
      </c>
      <c r="E14" s="27">
        <v>1047.6189999999999</v>
      </c>
    </row>
    <row r="15" spans="1:5">
      <c r="A15" s="24" t="s">
        <v>238</v>
      </c>
      <c r="B15" s="25" t="s">
        <v>227</v>
      </c>
      <c r="C15" s="26">
        <v>1000</v>
      </c>
      <c r="D15" s="26">
        <v>47.62</v>
      </c>
      <c r="E15" s="27">
        <v>1047.6199999999999</v>
      </c>
    </row>
    <row r="16" spans="1:5">
      <c r="A16" s="24" t="s">
        <v>273</v>
      </c>
      <c r="B16" s="25" t="s">
        <v>276</v>
      </c>
      <c r="C16" s="26">
        <v>2450</v>
      </c>
      <c r="D16" s="26">
        <v>116.667</v>
      </c>
      <c r="E16" s="27">
        <v>2566.6669999999999</v>
      </c>
    </row>
    <row r="17" spans="1:5">
      <c r="A17" s="24" t="s">
        <v>281</v>
      </c>
      <c r="B17" s="25" t="s">
        <v>284</v>
      </c>
      <c r="C17" s="26">
        <v>2800</v>
      </c>
      <c r="D17" s="26">
        <v>427.11900000000003</v>
      </c>
      <c r="E17" s="27">
        <v>3227.1190000000001</v>
      </c>
    </row>
    <row r="18" spans="1:5">
      <c r="A18" s="24" t="s">
        <v>302</v>
      </c>
      <c r="B18" s="25" t="s">
        <v>305</v>
      </c>
      <c r="C18" s="26">
        <v>3465</v>
      </c>
      <c r="D18" s="26">
        <v>528.55899999999997</v>
      </c>
      <c r="E18" s="27">
        <v>3993.5590000000002</v>
      </c>
    </row>
    <row r="19" spans="1:5">
      <c r="A19" s="24" t="s">
        <v>308</v>
      </c>
      <c r="B19" s="25" t="s">
        <v>305</v>
      </c>
      <c r="C19" s="26">
        <v>3465</v>
      </c>
      <c r="D19" s="26">
        <v>528.55899999999997</v>
      </c>
      <c r="E19" s="27">
        <v>3993.5590000000002</v>
      </c>
    </row>
    <row r="20" spans="1:5">
      <c r="A20" s="24" t="s">
        <v>327</v>
      </c>
      <c r="B20" s="25" t="s">
        <v>330</v>
      </c>
      <c r="C20" s="26">
        <v>2800</v>
      </c>
      <c r="D20" s="26">
        <v>427.11900000000003</v>
      </c>
      <c r="E20" s="27">
        <v>3227.1190000000001</v>
      </c>
    </row>
    <row r="21" spans="1:5">
      <c r="A21" s="24" t="s">
        <v>347</v>
      </c>
      <c r="B21" s="25" t="s">
        <v>350</v>
      </c>
      <c r="C21" s="26">
        <v>4050</v>
      </c>
      <c r="D21" s="26">
        <v>617.798</v>
      </c>
      <c r="E21" s="27">
        <v>4667.7979999999998</v>
      </c>
    </row>
    <row r="22" spans="1:5">
      <c r="A22" s="24" t="s">
        <v>354</v>
      </c>
      <c r="B22" s="25" t="s">
        <v>357</v>
      </c>
      <c r="C22" s="26">
        <v>4050</v>
      </c>
      <c r="D22" s="26">
        <v>617.79700000000003</v>
      </c>
      <c r="E22" s="27">
        <v>4667.7970000000005</v>
      </c>
    </row>
    <row r="23" spans="1:5">
      <c r="A23" s="24" t="s">
        <v>362</v>
      </c>
      <c r="B23" s="25" t="s">
        <v>365</v>
      </c>
      <c r="C23" s="26">
        <v>4500</v>
      </c>
      <c r="D23" s="26">
        <v>686.44100000000003</v>
      </c>
      <c r="E23" s="27">
        <v>5186.4409999999998</v>
      </c>
    </row>
    <row r="24" spans="1:5">
      <c r="A24" s="24" t="s">
        <v>302</v>
      </c>
      <c r="B24" s="25" t="s">
        <v>405</v>
      </c>
      <c r="C24" s="26">
        <v>3375</v>
      </c>
      <c r="D24" s="26">
        <v>514.83100000000002</v>
      </c>
      <c r="E24" s="27">
        <v>3889.8310000000001</v>
      </c>
    </row>
    <row r="25" spans="1:5">
      <c r="A25" s="24" t="s">
        <v>411</v>
      </c>
      <c r="B25" s="25" t="s">
        <v>414</v>
      </c>
      <c r="C25" s="26">
        <v>3150</v>
      </c>
      <c r="D25" s="26">
        <v>480.50799999999998</v>
      </c>
      <c r="E25" s="27">
        <v>3630.5079999999998</v>
      </c>
    </row>
    <row r="26" spans="1:5">
      <c r="A26" s="24" t="s">
        <v>443</v>
      </c>
      <c r="B26" s="25" t="s">
        <v>446</v>
      </c>
      <c r="C26" s="26">
        <v>4050</v>
      </c>
      <c r="D26" s="26">
        <v>617.79700000000003</v>
      </c>
      <c r="E26" s="27">
        <v>4667.7970000000005</v>
      </c>
    </row>
    <row r="27" spans="1:5">
      <c r="A27" s="24" t="s">
        <v>452</v>
      </c>
      <c r="B27" s="25" t="s">
        <v>455</v>
      </c>
      <c r="C27" s="26">
        <v>4050</v>
      </c>
      <c r="D27" s="26">
        <v>617.79700000000003</v>
      </c>
      <c r="E27" s="27">
        <v>4667.7970000000005</v>
      </c>
    </row>
    <row r="28" spans="1:5">
      <c r="A28" s="24" t="s">
        <v>480</v>
      </c>
      <c r="B28" s="25" t="s">
        <v>483</v>
      </c>
      <c r="C28" s="26">
        <v>3375</v>
      </c>
      <c r="D28" s="26">
        <v>514.83100000000002</v>
      </c>
      <c r="E28" s="27">
        <v>3889.8310000000001</v>
      </c>
    </row>
    <row r="29" spans="1:5">
      <c r="A29" s="24" t="s">
        <v>486</v>
      </c>
      <c r="B29" s="25" t="s">
        <v>483</v>
      </c>
      <c r="C29" s="26">
        <v>3375</v>
      </c>
      <c r="D29" s="26">
        <v>514.83100000000002</v>
      </c>
      <c r="E29" s="27">
        <v>3889.8310000000001</v>
      </c>
    </row>
    <row r="30" spans="1:5">
      <c r="A30" s="24" t="s">
        <v>498</v>
      </c>
      <c r="B30" s="25" t="s">
        <v>501</v>
      </c>
      <c r="C30" s="26">
        <v>3600</v>
      </c>
      <c r="D30" s="26">
        <v>549.15300000000002</v>
      </c>
      <c r="E30" s="27">
        <v>4149.1530000000002</v>
      </c>
    </row>
    <row r="31" spans="1:5">
      <c r="A31" s="24" t="s">
        <v>505</v>
      </c>
      <c r="B31" s="25" t="s">
        <v>508</v>
      </c>
      <c r="C31" s="26">
        <v>3600</v>
      </c>
      <c r="D31" s="26">
        <v>549.154</v>
      </c>
      <c r="E31" s="27">
        <v>4149.1540000000005</v>
      </c>
    </row>
    <row r="32" spans="1:5">
      <c r="A32" s="24" t="s">
        <v>518</v>
      </c>
      <c r="B32" s="25" t="s">
        <v>521</v>
      </c>
      <c r="C32" s="26">
        <v>3600</v>
      </c>
      <c r="D32" s="26">
        <v>549.154</v>
      </c>
      <c r="E32" s="27">
        <v>4149.1540000000005</v>
      </c>
    </row>
    <row r="33" spans="1:5">
      <c r="A33" s="24" t="s">
        <v>524</v>
      </c>
      <c r="B33" s="25" t="s">
        <v>521</v>
      </c>
      <c r="C33" s="26">
        <v>3600</v>
      </c>
      <c r="D33" s="26">
        <v>549.15300000000002</v>
      </c>
      <c r="E33" s="27">
        <v>4149.1530000000002</v>
      </c>
    </row>
    <row r="34" spans="1:5">
      <c r="A34" s="24" t="s">
        <v>536</v>
      </c>
      <c r="B34" s="25" t="s">
        <v>539</v>
      </c>
      <c r="C34" s="26">
        <v>3600</v>
      </c>
      <c r="D34" s="26">
        <v>549.15300000000002</v>
      </c>
      <c r="E34" s="27">
        <v>4149.1530000000002</v>
      </c>
    </row>
    <row r="35" spans="1:5">
      <c r="A35" s="24" t="s">
        <v>555</v>
      </c>
      <c r="B35" s="25" t="s">
        <v>558</v>
      </c>
      <c r="C35" s="26">
        <v>3600</v>
      </c>
      <c r="D35" s="26">
        <v>549.15300000000002</v>
      </c>
      <c r="E35" s="27">
        <v>4149.1530000000002</v>
      </c>
    </row>
    <row r="36" spans="1:5">
      <c r="A36" s="24" t="s">
        <v>563</v>
      </c>
      <c r="B36" s="25" t="s">
        <v>566</v>
      </c>
      <c r="C36" s="26">
        <v>3600</v>
      </c>
      <c r="D36" s="26">
        <v>549.15300000000002</v>
      </c>
      <c r="E36" s="27">
        <v>4149.1530000000002</v>
      </c>
    </row>
    <row r="37" spans="1:5">
      <c r="A37" s="24" t="s">
        <v>579</v>
      </c>
      <c r="B37" s="25" t="s">
        <v>582</v>
      </c>
      <c r="C37" s="26">
        <v>3600</v>
      </c>
      <c r="D37" s="26">
        <v>549.15300000000002</v>
      </c>
      <c r="E37" s="27">
        <v>4149.1530000000002</v>
      </c>
    </row>
    <row r="38" spans="1:5">
      <c r="A38" s="24" t="s">
        <v>585</v>
      </c>
      <c r="B38" s="25" t="s">
        <v>582</v>
      </c>
      <c r="C38" s="26">
        <v>3600</v>
      </c>
      <c r="D38" s="26">
        <v>549.15300000000002</v>
      </c>
      <c r="E38" s="27">
        <v>4149.1530000000002</v>
      </c>
    </row>
    <row r="39" spans="1:5">
      <c r="A39" s="24" t="s">
        <v>368</v>
      </c>
      <c r="B39" s="25" t="s">
        <v>582</v>
      </c>
      <c r="C39" s="26">
        <v>3600</v>
      </c>
      <c r="D39" s="26">
        <v>549.15300000000002</v>
      </c>
      <c r="E39" s="27">
        <v>4149.1530000000002</v>
      </c>
    </row>
    <row r="40" spans="1:5">
      <c r="A40" s="24" t="s">
        <v>597</v>
      </c>
      <c r="B40" s="25" t="s">
        <v>600</v>
      </c>
      <c r="C40" s="26">
        <v>3800</v>
      </c>
      <c r="D40" s="26">
        <v>579.66099999999994</v>
      </c>
      <c r="E40" s="27">
        <v>4379.6610000000001</v>
      </c>
    </row>
    <row r="41" spans="1:5">
      <c r="A41" s="24" t="s">
        <v>612</v>
      </c>
      <c r="B41" s="25" t="s">
        <v>615</v>
      </c>
      <c r="C41" s="26">
        <v>3800</v>
      </c>
      <c r="D41" s="26">
        <v>579.66099999999994</v>
      </c>
      <c r="E41" s="27">
        <v>4379.6610000000001</v>
      </c>
    </row>
    <row r="42" spans="1:5">
      <c r="A42" s="24" t="s">
        <v>597</v>
      </c>
      <c r="B42" s="25" t="s">
        <v>627</v>
      </c>
      <c r="C42" s="26">
        <v>3800</v>
      </c>
      <c r="D42" s="26">
        <v>579.66099999999994</v>
      </c>
      <c r="E42" s="27">
        <v>4379.6610000000001</v>
      </c>
    </row>
    <row r="43" spans="1:5">
      <c r="A43" s="24" t="s">
        <v>651</v>
      </c>
      <c r="B43" s="25" t="s">
        <v>654</v>
      </c>
      <c r="C43" s="26">
        <v>3800</v>
      </c>
      <c r="D43" s="26">
        <v>579.66099999999994</v>
      </c>
      <c r="E43" s="27">
        <v>4379.6610000000001</v>
      </c>
    </row>
    <row r="44" spans="1:5">
      <c r="A44" s="24" t="s">
        <v>672</v>
      </c>
      <c r="B44" s="25" t="s">
        <v>675</v>
      </c>
      <c r="C44" s="26">
        <v>3600</v>
      </c>
      <c r="D44" s="26">
        <v>549.15300000000002</v>
      </c>
      <c r="E44" s="27">
        <v>4149.1530000000002</v>
      </c>
    </row>
    <row r="45" spans="1:5">
      <c r="A45" s="24" t="s">
        <v>678</v>
      </c>
      <c r="B45" s="25" t="s">
        <v>681</v>
      </c>
      <c r="C45" s="26">
        <v>3600</v>
      </c>
      <c r="D45" s="26">
        <v>549.15300000000002</v>
      </c>
      <c r="E45" s="27">
        <v>4149.1530000000002</v>
      </c>
    </row>
    <row r="46" spans="1:5">
      <c r="A46" s="24" t="s">
        <v>684</v>
      </c>
      <c r="B46" s="25" t="s">
        <v>687</v>
      </c>
      <c r="C46" s="26">
        <v>3563</v>
      </c>
      <c r="D46" s="26">
        <v>543.50800000000004</v>
      </c>
      <c r="E46" s="27">
        <v>4106.5079999999998</v>
      </c>
    </row>
    <row r="47" spans="1:5">
      <c r="A47" s="24" t="s">
        <v>692</v>
      </c>
      <c r="B47" s="25" t="s">
        <v>691</v>
      </c>
      <c r="C47" s="26">
        <v>3563</v>
      </c>
      <c r="D47" s="26">
        <v>543.50800000000004</v>
      </c>
      <c r="E47" s="27">
        <v>4106.5079999999998</v>
      </c>
    </row>
    <row r="48" spans="1:5">
      <c r="A48" s="24" t="s">
        <v>697</v>
      </c>
      <c r="B48" s="25" t="s">
        <v>700</v>
      </c>
      <c r="C48" s="26">
        <v>3563</v>
      </c>
      <c r="D48" s="26">
        <v>543.50800000000004</v>
      </c>
      <c r="E48" s="27">
        <v>4106.5079999999998</v>
      </c>
    </row>
    <row r="49" spans="1:5">
      <c r="A49" s="24" t="s">
        <v>703</v>
      </c>
      <c r="B49" s="25" t="s">
        <v>706</v>
      </c>
      <c r="C49" s="26">
        <v>3563</v>
      </c>
      <c r="D49" s="26">
        <v>543.50800000000004</v>
      </c>
      <c r="E49" s="27">
        <v>4106.5079999999998</v>
      </c>
    </row>
    <row r="50" spans="1:5">
      <c r="A50" s="24" t="s">
        <v>710</v>
      </c>
      <c r="B50" s="25" t="s">
        <v>713</v>
      </c>
      <c r="C50" s="26">
        <v>3563</v>
      </c>
      <c r="D50" s="26">
        <v>543.50800000000004</v>
      </c>
      <c r="E50" s="27">
        <v>4106.5079999999998</v>
      </c>
    </row>
    <row r="51" spans="1:5">
      <c r="A51" s="24" t="s">
        <v>722</v>
      </c>
      <c r="B51" s="25" t="s">
        <v>713</v>
      </c>
      <c r="C51" s="26">
        <v>3563</v>
      </c>
      <c r="D51" s="26">
        <v>543.50800000000004</v>
      </c>
      <c r="E51" s="27">
        <v>4106.5079999999998</v>
      </c>
    </row>
    <row r="52" spans="1:5">
      <c r="A52" s="24" t="s">
        <v>756</v>
      </c>
      <c r="B52" s="25" t="s">
        <v>754</v>
      </c>
      <c r="C52" s="26">
        <v>3563</v>
      </c>
      <c r="D52" s="26">
        <v>543.50800000000004</v>
      </c>
      <c r="E52" s="27">
        <v>4106.5079999999998</v>
      </c>
    </row>
    <row r="53" spans="1:5">
      <c r="A53" s="24" t="s">
        <v>778</v>
      </c>
      <c r="B53" s="25" t="s">
        <v>781</v>
      </c>
      <c r="C53" s="26">
        <v>3563</v>
      </c>
      <c r="D53" s="26">
        <v>543.50800000000004</v>
      </c>
      <c r="E53" s="27">
        <v>4106.5079999999998</v>
      </c>
    </row>
    <row r="54" spans="1:5">
      <c r="A54" s="24" t="s">
        <v>761</v>
      </c>
      <c r="B54" s="25" t="s">
        <v>781</v>
      </c>
      <c r="C54" s="26">
        <v>3563</v>
      </c>
      <c r="D54" s="26">
        <v>543.50800000000004</v>
      </c>
      <c r="E54" s="27">
        <v>4106.5079999999998</v>
      </c>
    </row>
    <row r="55" spans="1:5">
      <c r="A55" s="24" t="s">
        <v>788</v>
      </c>
      <c r="B55" s="25" t="s">
        <v>791</v>
      </c>
      <c r="C55" s="26">
        <v>3563</v>
      </c>
      <c r="D55" s="26">
        <v>543.50800000000004</v>
      </c>
      <c r="E55" s="27">
        <v>4106.5079999999998</v>
      </c>
    </row>
    <row r="56" spans="1:5">
      <c r="A56" s="24" t="s">
        <v>697</v>
      </c>
      <c r="B56" s="25" t="s">
        <v>791</v>
      </c>
      <c r="C56" s="26">
        <v>3563</v>
      </c>
      <c r="D56" s="26">
        <v>543.50800000000004</v>
      </c>
      <c r="E56" s="27">
        <v>4106.5079999999998</v>
      </c>
    </row>
    <row r="57" spans="1:5">
      <c r="A57" s="24" t="s">
        <v>802</v>
      </c>
      <c r="B57" s="25" t="s">
        <v>799</v>
      </c>
      <c r="C57" s="26">
        <v>3600</v>
      </c>
      <c r="D57" s="26">
        <v>549.154</v>
      </c>
      <c r="E57" s="27">
        <v>4149.1540000000005</v>
      </c>
    </row>
    <row r="58" spans="1:5">
      <c r="A58" s="24" t="s">
        <v>807</v>
      </c>
      <c r="B58" s="25" t="s">
        <v>810</v>
      </c>
      <c r="C58" s="26">
        <v>3600</v>
      </c>
      <c r="D58" s="26">
        <v>549.15300000000002</v>
      </c>
      <c r="E58" s="27">
        <v>4149.1530000000002</v>
      </c>
    </row>
    <row r="59" spans="1:5">
      <c r="A59" s="24" t="s">
        <v>848</v>
      </c>
      <c r="B59" s="25" t="s">
        <v>844</v>
      </c>
      <c r="C59" s="26">
        <v>3600</v>
      </c>
      <c r="D59" s="26">
        <v>549.15300000000002</v>
      </c>
      <c r="E59" s="27">
        <v>4149.1530000000002</v>
      </c>
    </row>
    <row r="60" spans="1:5">
      <c r="A60" s="24" t="s">
        <v>855</v>
      </c>
      <c r="B60" s="25" t="s">
        <v>844</v>
      </c>
      <c r="C60" s="26">
        <v>3600</v>
      </c>
      <c r="D60" s="26">
        <v>549.15300000000002</v>
      </c>
      <c r="E60" s="27">
        <v>4149.1530000000002</v>
      </c>
    </row>
    <row r="61" spans="1:5">
      <c r="A61" s="24" t="s">
        <v>859</v>
      </c>
      <c r="B61" s="25" t="s">
        <v>844</v>
      </c>
      <c r="C61" s="26">
        <v>3600</v>
      </c>
      <c r="D61" s="26">
        <v>549.154</v>
      </c>
      <c r="E61" s="27">
        <v>4149.1540000000005</v>
      </c>
    </row>
    <row r="62" spans="1:5">
      <c r="A62" s="24" t="s">
        <v>870</v>
      </c>
      <c r="B62" s="25" t="s">
        <v>873</v>
      </c>
      <c r="C62" s="26">
        <v>3600</v>
      </c>
      <c r="D62" s="26">
        <v>549.154</v>
      </c>
      <c r="E62" s="27">
        <v>4149.1540000000005</v>
      </c>
    </row>
    <row r="63" spans="1:5">
      <c r="A63" s="24" t="s">
        <v>876</v>
      </c>
      <c r="B63" s="25" t="s">
        <v>879</v>
      </c>
      <c r="C63" s="26">
        <v>3600</v>
      </c>
      <c r="D63" s="26">
        <v>549.15300000000002</v>
      </c>
      <c r="E63" s="27">
        <v>4149.1530000000002</v>
      </c>
    </row>
    <row r="64" spans="1:5">
      <c r="A64" s="24" t="s">
        <v>902</v>
      </c>
      <c r="B64" s="25" t="s">
        <v>886</v>
      </c>
      <c r="C64" s="26">
        <v>3150</v>
      </c>
      <c r="D64" s="26">
        <v>480.50799999999998</v>
      </c>
      <c r="E64" s="27">
        <v>3630.5079999999998</v>
      </c>
    </row>
    <row r="65" spans="1:5">
      <c r="A65" s="24" t="s">
        <v>908</v>
      </c>
      <c r="B65" s="25" t="s">
        <v>911</v>
      </c>
      <c r="C65" s="26">
        <v>3150</v>
      </c>
      <c r="D65" s="26">
        <v>480.50799999999998</v>
      </c>
      <c r="E65" s="27">
        <v>3630.5079999999998</v>
      </c>
    </row>
    <row r="66" spans="1:5">
      <c r="A66" s="24" t="s">
        <v>921</v>
      </c>
      <c r="B66" s="25" t="s">
        <v>924</v>
      </c>
      <c r="C66" s="26">
        <v>3150</v>
      </c>
      <c r="D66" s="26">
        <v>480.50799999999998</v>
      </c>
      <c r="E66" s="27">
        <v>3630.5079999999998</v>
      </c>
    </row>
    <row r="67" spans="1:5">
      <c r="A67" s="24" t="s">
        <v>928</v>
      </c>
      <c r="B67" s="25" t="s">
        <v>924</v>
      </c>
      <c r="C67" s="26">
        <v>3150</v>
      </c>
      <c r="D67" s="26">
        <v>480.50799999999998</v>
      </c>
      <c r="E67" s="27">
        <v>3630.5079999999998</v>
      </c>
    </row>
    <row r="68" spans="1:5">
      <c r="A68" s="24" t="s">
        <v>941</v>
      </c>
      <c r="B68" s="25" t="s">
        <v>936</v>
      </c>
      <c r="C68" s="26">
        <v>3150</v>
      </c>
      <c r="D68" s="26">
        <v>480.50799999999998</v>
      </c>
      <c r="E68" s="27">
        <v>3630.5079999999998</v>
      </c>
    </row>
    <row r="69" spans="1:5">
      <c r="A69" s="24" t="s">
        <v>945</v>
      </c>
      <c r="B69" s="25" t="s">
        <v>948</v>
      </c>
      <c r="C69" s="26">
        <v>3150</v>
      </c>
      <c r="D69" s="26">
        <v>480.50799999999998</v>
      </c>
      <c r="E69" s="27">
        <v>3630.5079999999998</v>
      </c>
    </row>
    <row r="70" spans="1:5">
      <c r="A70" s="24" t="s">
        <v>973</v>
      </c>
      <c r="B70" s="25" t="s">
        <v>968</v>
      </c>
      <c r="C70" s="26">
        <v>3150</v>
      </c>
      <c r="D70" s="26">
        <v>480.50799999999998</v>
      </c>
      <c r="E70" s="27">
        <v>3630.5079999999998</v>
      </c>
    </row>
    <row r="71" spans="1:5">
      <c r="A71" s="24" t="s">
        <v>991</v>
      </c>
      <c r="B71" s="25" t="s">
        <v>990</v>
      </c>
      <c r="C71" s="26">
        <v>3150</v>
      </c>
      <c r="D71" s="26">
        <v>480.50799999999998</v>
      </c>
      <c r="E71" s="27">
        <v>3630.5079999999998</v>
      </c>
    </row>
    <row r="72" spans="1:5">
      <c r="A72" s="24" t="s">
        <v>1006</v>
      </c>
      <c r="B72" s="25" t="s">
        <v>1009</v>
      </c>
      <c r="C72" s="26">
        <v>3600</v>
      </c>
      <c r="D72" s="26">
        <v>549.15300000000002</v>
      </c>
      <c r="E72" s="27">
        <v>4149.1530000000002</v>
      </c>
    </row>
    <row r="73" spans="1:5">
      <c r="A73" s="24" t="s">
        <v>1026</v>
      </c>
      <c r="B73" s="25" t="s">
        <v>1029</v>
      </c>
      <c r="C73" s="26">
        <v>3600</v>
      </c>
      <c r="D73" s="26">
        <v>549.15300000000002</v>
      </c>
      <c r="E73" s="27">
        <v>4149.1530000000002</v>
      </c>
    </row>
    <row r="74" spans="1:5">
      <c r="A74" s="24" t="s">
        <v>1033</v>
      </c>
      <c r="B74" s="25" t="s">
        <v>1036</v>
      </c>
      <c r="C74" s="26">
        <v>3375</v>
      </c>
      <c r="D74" s="26">
        <v>514.83100000000002</v>
      </c>
      <c r="E74" s="27">
        <v>3889.8310000000001</v>
      </c>
    </row>
    <row r="75" spans="1:5">
      <c r="A75" s="24" t="s">
        <v>1039</v>
      </c>
      <c r="B75" s="25" t="s">
        <v>1042</v>
      </c>
      <c r="C75" s="26">
        <v>3375</v>
      </c>
      <c r="D75" s="26">
        <v>514.83100000000002</v>
      </c>
      <c r="E75" s="27">
        <v>3889.8310000000001</v>
      </c>
    </row>
    <row r="76" spans="1:5">
      <c r="A76" s="24" t="s">
        <v>1052</v>
      </c>
      <c r="B76" s="25" t="s">
        <v>1055</v>
      </c>
      <c r="C76" s="26">
        <v>3375</v>
      </c>
      <c r="D76" s="26">
        <v>514.83100000000002</v>
      </c>
      <c r="E76" s="27">
        <v>3889.8310000000001</v>
      </c>
    </row>
    <row r="77" spans="1:5">
      <c r="A77" s="24" t="s">
        <v>1060</v>
      </c>
      <c r="B77" s="25" t="s">
        <v>1063</v>
      </c>
      <c r="C77" s="26">
        <v>3375</v>
      </c>
      <c r="D77" s="26">
        <v>514.83199999999999</v>
      </c>
      <c r="E77" s="27">
        <v>3889.8319999999999</v>
      </c>
    </row>
    <row r="78" spans="1:5">
      <c r="A78" s="24" t="s">
        <v>876</v>
      </c>
      <c r="B78" s="25" t="s">
        <v>1067</v>
      </c>
      <c r="C78" s="26">
        <v>3375</v>
      </c>
      <c r="D78" s="26">
        <v>514.83100000000002</v>
      </c>
      <c r="E78" s="27">
        <v>3889.8310000000001</v>
      </c>
    </row>
    <row r="79" spans="1:5">
      <c r="A79" s="24" t="s">
        <v>1068</v>
      </c>
      <c r="B79" s="25" t="s">
        <v>1067</v>
      </c>
      <c r="C79" s="26">
        <v>3375</v>
      </c>
      <c r="D79" s="26">
        <v>514.83100000000002</v>
      </c>
      <c r="E79" s="27">
        <v>3889.8310000000001</v>
      </c>
    </row>
    <row r="80" spans="1:5">
      <c r="A80" s="24" t="s">
        <v>1080</v>
      </c>
      <c r="B80" s="25" t="s">
        <v>1076</v>
      </c>
      <c r="C80" s="26">
        <v>3375</v>
      </c>
      <c r="D80" s="26">
        <v>514.83100000000002</v>
      </c>
      <c r="E80" s="27">
        <v>3889.8310000000001</v>
      </c>
    </row>
    <row r="81" spans="1:5">
      <c r="A81" s="24" t="s">
        <v>1105</v>
      </c>
      <c r="B81" s="25" t="s">
        <v>1108</v>
      </c>
      <c r="C81" s="26">
        <v>3825</v>
      </c>
      <c r="D81" s="26">
        <v>583.47500000000002</v>
      </c>
      <c r="E81" s="27">
        <v>4408.4750000000004</v>
      </c>
    </row>
    <row r="82" spans="1:5">
      <c r="A82" s="24" t="s">
        <v>1026</v>
      </c>
      <c r="B82" s="25" t="s">
        <v>1112</v>
      </c>
      <c r="C82" s="26">
        <v>3825</v>
      </c>
      <c r="D82" s="26">
        <v>583.47500000000002</v>
      </c>
      <c r="E82" s="27">
        <v>4408.4750000000004</v>
      </c>
    </row>
    <row r="83" spans="1:5">
      <c r="A83" s="24" t="s">
        <v>1113</v>
      </c>
      <c r="B83" s="25" t="s">
        <v>1116</v>
      </c>
      <c r="C83" s="26">
        <v>3325</v>
      </c>
      <c r="D83" s="26">
        <v>507.20400000000001</v>
      </c>
      <c r="E83" s="27">
        <v>3832.2040000000002</v>
      </c>
    </row>
    <row r="84" spans="1:5">
      <c r="A84" s="24" t="s">
        <v>1119</v>
      </c>
      <c r="B84" s="25" t="s">
        <v>1122</v>
      </c>
      <c r="C84" s="26">
        <v>3500</v>
      </c>
      <c r="D84" s="26">
        <v>533.89800000000002</v>
      </c>
      <c r="E84" s="27">
        <v>4033.8980000000001</v>
      </c>
    </row>
    <row r="85" spans="1:5">
      <c r="A85" s="24" t="s">
        <v>1125</v>
      </c>
      <c r="B85" s="25" t="s">
        <v>1128</v>
      </c>
      <c r="C85" s="26">
        <v>3325</v>
      </c>
      <c r="D85" s="26">
        <v>507.20299999999997</v>
      </c>
      <c r="E85" s="27">
        <v>3832.203</v>
      </c>
    </row>
    <row r="86" spans="1:5">
      <c r="A86" s="24" t="s">
        <v>1140</v>
      </c>
      <c r="B86" s="25" t="s">
        <v>1143</v>
      </c>
      <c r="C86" s="26">
        <v>2850</v>
      </c>
      <c r="D86" s="26">
        <v>434.74599999999998</v>
      </c>
      <c r="E86" s="27">
        <v>3284.7460000000001</v>
      </c>
    </row>
    <row r="87" spans="1:5">
      <c r="A87" s="24" t="s">
        <v>1153</v>
      </c>
      <c r="B87" s="25" t="s">
        <v>1156</v>
      </c>
      <c r="C87" s="26">
        <v>2850</v>
      </c>
      <c r="D87" s="26">
        <v>434.74599999999998</v>
      </c>
      <c r="E87" s="27">
        <v>3284.7460000000001</v>
      </c>
    </row>
    <row r="88" spans="1:5">
      <c r="A88" s="24" t="s">
        <v>1174</v>
      </c>
      <c r="B88" s="25" t="s">
        <v>1177</v>
      </c>
      <c r="C88" s="26">
        <v>3800</v>
      </c>
      <c r="D88" s="26">
        <v>579.66200000000003</v>
      </c>
      <c r="E88" s="27">
        <v>4379.6620000000003</v>
      </c>
    </row>
    <row r="89" spans="1:5">
      <c r="A89" s="24" t="s">
        <v>1180</v>
      </c>
      <c r="B89" s="25" t="s">
        <v>1177</v>
      </c>
      <c r="C89" s="26">
        <v>3800</v>
      </c>
      <c r="D89" s="26">
        <v>579.66200000000003</v>
      </c>
      <c r="E89" s="27">
        <v>4379.6620000000003</v>
      </c>
    </row>
    <row r="90" spans="1:5">
      <c r="A90" s="24" t="s">
        <v>1189</v>
      </c>
      <c r="B90" s="25" t="s">
        <v>1192</v>
      </c>
      <c r="C90" s="26">
        <v>3325</v>
      </c>
      <c r="D90" s="26">
        <v>507.20299999999997</v>
      </c>
      <c r="E90" s="27">
        <v>3832.203</v>
      </c>
    </row>
    <row r="91" spans="1:5">
      <c r="A91" s="24" t="s">
        <v>571</v>
      </c>
      <c r="B91" s="25" t="s">
        <v>1198</v>
      </c>
      <c r="C91" s="26">
        <v>3563</v>
      </c>
      <c r="D91" s="26">
        <v>543.50800000000004</v>
      </c>
      <c r="E91" s="27">
        <v>4106.5079999999998</v>
      </c>
    </row>
    <row r="92" spans="1:5">
      <c r="A92" s="24" t="s">
        <v>1210</v>
      </c>
      <c r="B92" s="25" t="s">
        <v>1205</v>
      </c>
      <c r="C92" s="26">
        <v>3563</v>
      </c>
      <c r="D92" s="26">
        <v>543.50800000000004</v>
      </c>
      <c r="E92" s="27">
        <v>4106.5079999999998</v>
      </c>
    </row>
    <row r="93" spans="1:5">
      <c r="A93" s="24" t="s">
        <v>1229</v>
      </c>
      <c r="B93" s="25" t="s">
        <v>1224</v>
      </c>
      <c r="C93" s="26">
        <v>3563</v>
      </c>
      <c r="D93" s="26">
        <v>543.50800000000004</v>
      </c>
      <c r="E93" s="27">
        <v>4106.5079999999998</v>
      </c>
    </row>
    <row r="94" spans="1:5">
      <c r="A94" s="24" t="s">
        <v>1233</v>
      </c>
      <c r="B94" s="25" t="s">
        <v>1224</v>
      </c>
      <c r="C94" s="26">
        <v>3563</v>
      </c>
      <c r="D94" s="26">
        <v>543.50800000000004</v>
      </c>
      <c r="E94" s="27">
        <v>4106.5079999999998</v>
      </c>
    </row>
    <row r="95" spans="1:5">
      <c r="A95" s="24" t="s">
        <v>1237</v>
      </c>
      <c r="B95" s="25" t="s">
        <v>1240</v>
      </c>
      <c r="C95" s="26">
        <v>2000</v>
      </c>
      <c r="D95" s="26">
        <v>95.238</v>
      </c>
      <c r="E95" s="27">
        <v>2095.2379999999998</v>
      </c>
    </row>
    <row r="96" spans="1:5">
      <c r="A96" s="24" t="s">
        <v>1244</v>
      </c>
      <c r="B96" s="25" t="s">
        <v>1247</v>
      </c>
      <c r="C96" s="26">
        <v>2000</v>
      </c>
      <c r="D96" s="26">
        <v>95.238</v>
      </c>
      <c r="E96" s="27">
        <v>2095.2379999999998</v>
      </c>
    </row>
    <row r="97" spans="1:5">
      <c r="A97" s="24" t="s">
        <v>1258</v>
      </c>
      <c r="B97" s="25" t="s">
        <v>1261</v>
      </c>
      <c r="C97" s="26">
        <v>2000</v>
      </c>
      <c r="D97" s="26">
        <v>95.238</v>
      </c>
      <c r="E97" s="27">
        <v>2095.2379999999998</v>
      </c>
    </row>
    <row r="98" spans="1:5">
      <c r="A98" s="24" t="s">
        <v>1265</v>
      </c>
      <c r="B98" s="25" t="s">
        <v>1268</v>
      </c>
      <c r="C98" s="26">
        <v>2200</v>
      </c>
      <c r="D98" s="26">
        <v>104.762</v>
      </c>
      <c r="E98" s="27">
        <v>2304.7620000000002</v>
      </c>
    </row>
    <row r="99" spans="1:5">
      <c r="A99" s="24" t="s">
        <v>1283</v>
      </c>
      <c r="B99" s="25" t="s">
        <v>1286</v>
      </c>
      <c r="C99" s="26">
        <v>2275</v>
      </c>
      <c r="D99" s="26">
        <v>108.333</v>
      </c>
      <c r="E99" s="27">
        <v>2383.3330000000001</v>
      </c>
    </row>
    <row r="100" spans="1:5">
      <c r="A100" s="24" t="s">
        <v>1290</v>
      </c>
      <c r="B100" s="25" t="s">
        <v>1293</v>
      </c>
      <c r="C100" s="26">
        <v>2000</v>
      </c>
      <c r="D100" s="26">
        <v>95.238</v>
      </c>
      <c r="E100" s="27">
        <v>2095.2379999999998</v>
      </c>
    </row>
    <row r="101" spans="1:5">
      <c r="A101" s="24" t="s">
        <v>1237</v>
      </c>
      <c r="B101" s="25" t="s">
        <v>1298</v>
      </c>
      <c r="C101" s="26">
        <v>2200</v>
      </c>
      <c r="D101" s="26">
        <v>104.762</v>
      </c>
      <c r="E101" s="27">
        <v>2304.7620000000002</v>
      </c>
    </row>
    <row r="102" spans="1:5">
      <c r="A102" s="24" t="s">
        <v>1307</v>
      </c>
      <c r="B102" s="25" t="s">
        <v>1310</v>
      </c>
      <c r="C102" s="26">
        <v>2100</v>
      </c>
      <c r="D102" s="26">
        <v>100</v>
      </c>
      <c r="E102" s="27">
        <v>2200</v>
      </c>
    </row>
    <row r="103" spans="1:5">
      <c r="A103" s="24" t="s">
        <v>767</v>
      </c>
      <c r="B103" s="25" t="s">
        <v>1343</v>
      </c>
      <c r="C103" s="26">
        <v>2275</v>
      </c>
      <c r="D103" s="26">
        <v>108.333</v>
      </c>
      <c r="E103" s="27">
        <v>2383.3330000000001</v>
      </c>
    </row>
    <row r="104" spans="1:5">
      <c r="A104" s="24" t="s">
        <v>1353</v>
      </c>
      <c r="B104" s="25" t="s">
        <v>1350</v>
      </c>
      <c r="C104" s="26">
        <v>2275</v>
      </c>
      <c r="D104" s="26">
        <v>108.333</v>
      </c>
      <c r="E104" s="27">
        <v>2383.3330000000001</v>
      </c>
    </row>
    <row r="105" spans="1:5">
      <c r="A105" s="24" t="s">
        <v>1362</v>
      </c>
      <c r="B105" s="25" t="s">
        <v>1350</v>
      </c>
      <c r="C105" s="26">
        <v>2275</v>
      </c>
      <c r="D105" s="26">
        <v>108.333</v>
      </c>
      <c r="E105" s="27">
        <v>2383.3330000000001</v>
      </c>
    </row>
    <row r="106" spans="1:5">
      <c r="A106" s="24" t="s">
        <v>1383</v>
      </c>
      <c r="B106" s="25" t="s">
        <v>1374</v>
      </c>
      <c r="C106" s="26">
        <v>2275</v>
      </c>
      <c r="D106" s="26">
        <v>108.333</v>
      </c>
      <c r="E106" s="27">
        <v>2383.3330000000001</v>
      </c>
    </row>
    <row r="107" spans="1:5">
      <c r="A107" s="24" t="s">
        <v>1396</v>
      </c>
      <c r="B107" s="25" t="s">
        <v>1391</v>
      </c>
      <c r="C107" s="26">
        <v>2275</v>
      </c>
      <c r="D107" s="26">
        <v>108.333</v>
      </c>
      <c r="E107" s="27">
        <v>2383.3330000000001</v>
      </c>
    </row>
    <row r="108" spans="1:5">
      <c r="A108" s="24" t="s">
        <v>1430</v>
      </c>
      <c r="B108" s="25" t="s">
        <v>1433</v>
      </c>
      <c r="C108" s="26">
        <v>2240</v>
      </c>
      <c r="D108" s="26">
        <v>106.66800000000001</v>
      </c>
      <c r="E108" s="27">
        <v>2346.6680000000001</v>
      </c>
    </row>
    <row r="109" spans="1:5">
      <c r="A109" s="24" t="s">
        <v>1443</v>
      </c>
      <c r="B109" s="25" t="s">
        <v>1446</v>
      </c>
      <c r="C109" s="26">
        <v>2100</v>
      </c>
      <c r="D109" s="26">
        <v>100</v>
      </c>
      <c r="E109" s="27">
        <v>2200</v>
      </c>
    </row>
    <row r="110" spans="1:5">
      <c r="A110" s="24" t="s">
        <v>1450</v>
      </c>
      <c r="B110" s="25" t="s">
        <v>1453</v>
      </c>
      <c r="C110" s="26">
        <v>2100</v>
      </c>
      <c r="D110" s="26">
        <v>100</v>
      </c>
      <c r="E110" s="27">
        <v>2200</v>
      </c>
    </row>
    <row r="111" spans="1:5">
      <c r="A111" s="24" t="s">
        <v>1457</v>
      </c>
      <c r="B111" s="25" t="s">
        <v>1460</v>
      </c>
      <c r="C111" s="26">
        <v>2275</v>
      </c>
      <c r="D111" s="26">
        <v>108.334</v>
      </c>
      <c r="E111" s="27">
        <v>2383.3339999999998</v>
      </c>
    </row>
    <row r="112" spans="1:5">
      <c r="A112" s="24" t="s">
        <v>1265</v>
      </c>
      <c r="B112" s="25" t="s">
        <v>1478</v>
      </c>
      <c r="C112" s="26">
        <v>2100</v>
      </c>
      <c r="D112" s="26">
        <v>100</v>
      </c>
      <c r="E112" s="27">
        <v>2200</v>
      </c>
    </row>
    <row r="113" spans="1:5">
      <c r="A113" s="24" t="s">
        <v>1482</v>
      </c>
      <c r="B113" s="25" t="s">
        <v>1485</v>
      </c>
      <c r="C113" s="26">
        <v>2275</v>
      </c>
      <c r="D113" s="26">
        <v>108.333</v>
      </c>
      <c r="E113" s="27">
        <v>2383.3330000000001</v>
      </c>
    </row>
    <row r="114" spans="1:5">
      <c r="A114" s="24" t="s">
        <v>1489</v>
      </c>
      <c r="B114" s="25" t="s">
        <v>1492</v>
      </c>
      <c r="C114" s="26">
        <v>2275</v>
      </c>
      <c r="D114" s="26">
        <v>108.333</v>
      </c>
      <c r="E114" s="27">
        <v>2383.3330000000001</v>
      </c>
    </row>
    <row r="115" spans="1:5">
      <c r="A115" s="24" t="s">
        <v>1265</v>
      </c>
      <c r="B115" s="25" t="s">
        <v>1497</v>
      </c>
      <c r="C115" s="26">
        <v>2100</v>
      </c>
      <c r="D115" s="26">
        <v>100</v>
      </c>
      <c r="E115" s="27">
        <v>2200</v>
      </c>
    </row>
    <row r="116" spans="1:5">
      <c r="A116" s="24" t="s">
        <v>1504</v>
      </c>
      <c r="B116" s="25" t="s">
        <v>1507</v>
      </c>
      <c r="C116" s="26">
        <v>3800</v>
      </c>
      <c r="D116" s="26">
        <v>579.66099999999994</v>
      </c>
      <c r="E116" s="27">
        <v>4379.6610000000001</v>
      </c>
    </row>
    <row r="117" spans="1:5">
      <c r="A117" s="24" t="s">
        <v>1510</v>
      </c>
      <c r="B117" s="25" t="s">
        <v>1513</v>
      </c>
      <c r="C117" s="26">
        <v>4500</v>
      </c>
      <c r="D117" s="26">
        <v>686.44200000000001</v>
      </c>
      <c r="E117" s="27">
        <v>5186.442</v>
      </c>
    </row>
    <row r="118" spans="1:5">
      <c r="A118" s="24" t="s">
        <v>1551</v>
      </c>
      <c r="B118" s="25" t="s">
        <v>1550</v>
      </c>
      <c r="C118" s="26">
        <v>5700</v>
      </c>
      <c r="D118" s="26">
        <v>869.49199999999996</v>
      </c>
      <c r="E118" s="27">
        <v>6569.4920000000002</v>
      </c>
    </row>
    <row r="119" spans="1:5">
      <c r="A119" s="24" t="s">
        <v>1555</v>
      </c>
      <c r="B119" s="25" t="s">
        <v>1558</v>
      </c>
      <c r="C119" s="26">
        <v>5175</v>
      </c>
      <c r="D119" s="26">
        <v>789.40700000000004</v>
      </c>
      <c r="E119" s="27">
        <v>5964.4070000000002</v>
      </c>
    </row>
    <row r="120" spans="1:5">
      <c r="A120" s="24" t="s">
        <v>1568</v>
      </c>
      <c r="B120" s="25" t="s">
        <v>1571</v>
      </c>
      <c r="C120" s="26">
        <v>6255</v>
      </c>
      <c r="D120" s="26">
        <v>954.15300000000002</v>
      </c>
      <c r="E120" s="27">
        <v>7209.1530000000002</v>
      </c>
    </row>
    <row r="121" spans="1:5">
      <c r="A121" s="24" t="s">
        <v>1583</v>
      </c>
      <c r="B121" s="25" t="s">
        <v>1586</v>
      </c>
      <c r="C121" s="26">
        <v>6255</v>
      </c>
      <c r="D121" s="26">
        <v>954.15300000000002</v>
      </c>
      <c r="E121" s="27">
        <v>7209.1530000000002</v>
      </c>
    </row>
    <row r="122" spans="1:5">
      <c r="A122" s="24" t="s">
        <v>1589</v>
      </c>
      <c r="B122" s="25" t="s">
        <v>1592</v>
      </c>
      <c r="C122" s="26">
        <v>3088</v>
      </c>
      <c r="D122" s="26">
        <v>471.05200000000002</v>
      </c>
      <c r="E122" s="27">
        <v>3559.0520000000001</v>
      </c>
    </row>
    <row r="123" spans="1:5">
      <c r="A123" s="24" t="s">
        <v>1622</v>
      </c>
      <c r="B123" s="25" t="s">
        <v>1617</v>
      </c>
      <c r="C123" s="26">
        <v>3800</v>
      </c>
      <c r="D123" s="26">
        <v>579.66099999999994</v>
      </c>
      <c r="E123" s="27">
        <v>4379.6610000000001</v>
      </c>
    </row>
    <row r="124" spans="1:5">
      <c r="A124" s="24" t="s">
        <v>347</v>
      </c>
      <c r="B124" s="25" t="s">
        <v>1627</v>
      </c>
      <c r="C124" s="26">
        <v>3325</v>
      </c>
      <c r="D124" s="26">
        <v>507.20400000000001</v>
      </c>
      <c r="E124" s="27">
        <v>3832.2040000000002</v>
      </c>
    </row>
    <row r="125" spans="1:5">
      <c r="A125" s="24" t="s">
        <v>1628</v>
      </c>
      <c r="B125" s="25" t="s">
        <v>1631</v>
      </c>
      <c r="C125" s="26">
        <v>3800</v>
      </c>
      <c r="D125" s="26">
        <v>579.66099999999994</v>
      </c>
      <c r="E125" s="27">
        <v>4379.6610000000001</v>
      </c>
    </row>
    <row r="126" spans="1:5">
      <c r="A126" s="24" t="s">
        <v>536</v>
      </c>
      <c r="B126" s="25" t="s">
        <v>1642</v>
      </c>
      <c r="C126" s="26">
        <v>3800</v>
      </c>
      <c r="D126" s="26">
        <v>579.66099999999994</v>
      </c>
      <c r="E126" s="27">
        <v>4379.6610000000001</v>
      </c>
    </row>
    <row r="127" spans="1:5">
      <c r="A127" s="24" t="s">
        <v>1651</v>
      </c>
      <c r="B127" s="25" t="s">
        <v>1654</v>
      </c>
      <c r="C127" s="26">
        <v>3600</v>
      </c>
      <c r="D127" s="26">
        <v>549.15300000000002</v>
      </c>
      <c r="E127" s="27">
        <v>4149.1530000000002</v>
      </c>
    </row>
    <row r="128" spans="1:5">
      <c r="A128" s="24" t="s">
        <v>1667</v>
      </c>
      <c r="B128" s="25" t="s">
        <v>1662</v>
      </c>
      <c r="C128" s="26">
        <v>4275</v>
      </c>
      <c r="D128" s="26">
        <v>652.11900000000003</v>
      </c>
      <c r="E128" s="27">
        <v>4927.1189999999997</v>
      </c>
    </row>
    <row r="129" spans="1:5">
      <c r="A129" s="24" t="s">
        <v>1671</v>
      </c>
      <c r="B129" s="25" t="s">
        <v>1674</v>
      </c>
      <c r="C129" s="26">
        <v>4275</v>
      </c>
      <c r="D129" s="26">
        <v>652.11900000000003</v>
      </c>
      <c r="E129" s="27">
        <v>4927.1189999999997</v>
      </c>
    </row>
    <row r="130" spans="1:5">
      <c r="A130" s="24" t="s">
        <v>1684</v>
      </c>
      <c r="B130" s="25" t="s">
        <v>1687</v>
      </c>
      <c r="C130" s="26">
        <v>3600</v>
      </c>
      <c r="D130" s="26">
        <v>549.15300000000002</v>
      </c>
      <c r="E130" s="27">
        <v>4149.1530000000002</v>
      </c>
    </row>
    <row r="131" spans="1:5">
      <c r="A131" s="24" t="s">
        <v>1691</v>
      </c>
      <c r="B131" s="25" t="s">
        <v>1687</v>
      </c>
      <c r="C131" s="26">
        <v>3600</v>
      </c>
      <c r="D131" s="26">
        <v>549.15300000000002</v>
      </c>
      <c r="E131" s="27">
        <v>4149.1530000000002</v>
      </c>
    </row>
    <row r="132" spans="1:5">
      <c r="A132" s="24" t="s">
        <v>1695</v>
      </c>
      <c r="B132" s="25" t="s">
        <v>1698</v>
      </c>
      <c r="C132" s="26">
        <v>4275</v>
      </c>
      <c r="D132" s="26">
        <v>652.11900000000003</v>
      </c>
      <c r="E132" s="27">
        <v>4927.1189999999997</v>
      </c>
    </row>
    <row r="133" spans="1:5">
      <c r="A133" s="24" t="s">
        <v>1717</v>
      </c>
      <c r="B133" s="25" t="s">
        <v>1720</v>
      </c>
      <c r="C133" s="26">
        <v>4275</v>
      </c>
      <c r="D133" s="26">
        <v>652.11900000000003</v>
      </c>
      <c r="E133" s="27">
        <v>4927.1189999999997</v>
      </c>
    </row>
    <row r="134" spans="1:5">
      <c r="A134" s="24" t="s">
        <v>1733</v>
      </c>
      <c r="B134" s="25" t="s">
        <v>1736</v>
      </c>
      <c r="C134" s="26">
        <v>4275</v>
      </c>
      <c r="D134" s="26">
        <v>652.11900000000003</v>
      </c>
      <c r="E134" s="27">
        <v>4927.1189999999997</v>
      </c>
    </row>
    <row r="135" spans="1:5">
      <c r="A135" s="24" t="s">
        <v>1740</v>
      </c>
      <c r="B135" s="25" t="s">
        <v>1736</v>
      </c>
      <c r="C135" s="26">
        <v>3800</v>
      </c>
      <c r="D135" s="26">
        <v>579.66099999999994</v>
      </c>
      <c r="E135" s="27">
        <v>4379.6610000000001</v>
      </c>
    </row>
    <row r="136" spans="1:5">
      <c r="A136" s="24" t="s">
        <v>1744</v>
      </c>
      <c r="B136" s="25" t="s">
        <v>1747</v>
      </c>
      <c r="C136" s="26">
        <v>4275</v>
      </c>
      <c r="D136" s="26">
        <v>652.12</v>
      </c>
      <c r="E136" s="27">
        <v>4927.12</v>
      </c>
    </row>
    <row r="137" spans="1:5">
      <c r="A137" s="24" t="s">
        <v>1750</v>
      </c>
      <c r="B137" s="25" t="s">
        <v>1747</v>
      </c>
      <c r="C137" s="26">
        <v>3600</v>
      </c>
      <c r="D137" s="26">
        <v>549.15300000000002</v>
      </c>
      <c r="E137" s="27">
        <v>4149.1530000000002</v>
      </c>
    </row>
    <row r="138" spans="1:5">
      <c r="A138" s="24" t="s">
        <v>1755</v>
      </c>
      <c r="B138" s="25" t="s">
        <v>1758</v>
      </c>
      <c r="C138" s="26">
        <v>4275</v>
      </c>
      <c r="D138" s="26">
        <v>652.11900000000003</v>
      </c>
      <c r="E138" s="27">
        <v>4927.1189999999997</v>
      </c>
    </row>
    <row r="139" spans="1:5">
      <c r="A139" s="24" t="s">
        <v>1775</v>
      </c>
      <c r="B139" s="25" t="s">
        <v>1778</v>
      </c>
      <c r="C139" s="26">
        <v>4275</v>
      </c>
      <c r="D139" s="26">
        <v>652.11900000000003</v>
      </c>
      <c r="E139" s="27">
        <v>4927.1189999999997</v>
      </c>
    </row>
    <row r="140" spans="1:5">
      <c r="A140" s="24" t="s">
        <v>1781</v>
      </c>
      <c r="B140" s="25" t="s">
        <v>1784</v>
      </c>
      <c r="C140" s="26">
        <v>4275</v>
      </c>
      <c r="D140" s="26">
        <v>652.11900000000003</v>
      </c>
      <c r="E140" s="27">
        <v>4927.1189999999997</v>
      </c>
    </row>
    <row r="141" spans="1:5">
      <c r="A141" s="24" t="s">
        <v>1671</v>
      </c>
      <c r="B141" s="25" t="s">
        <v>1788</v>
      </c>
      <c r="C141" s="26">
        <v>4275</v>
      </c>
      <c r="D141" s="26">
        <v>652.11900000000003</v>
      </c>
      <c r="E141" s="27">
        <v>4927.1189999999997</v>
      </c>
    </row>
    <row r="142" spans="1:5">
      <c r="A142" s="24" t="s">
        <v>1789</v>
      </c>
      <c r="B142" s="25" t="s">
        <v>1792</v>
      </c>
      <c r="C142" s="26">
        <v>4275</v>
      </c>
      <c r="D142" s="26">
        <v>652.11900000000003</v>
      </c>
      <c r="E142" s="27">
        <v>4927.1189999999997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E7CDA-633A-49DA-A4F8-3B5D8FD65F27}">
  <dimension ref="A1:F75"/>
  <sheetViews>
    <sheetView workbookViewId="0">
      <selection activeCell="C13" sqref="C13"/>
    </sheetView>
  </sheetViews>
  <sheetFormatPr defaultRowHeight="14.4"/>
  <cols>
    <col min="1" max="1" width="25.44140625" bestFit="1" customWidth="1"/>
    <col min="2" max="2" width="17" bestFit="1" customWidth="1"/>
    <col min="3" max="3" width="23.88671875" bestFit="1" customWidth="1"/>
    <col min="4" max="4" width="16.33203125" bestFit="1" customWidth="1"/>
    <col min="5" max="5" width="17.44140625" bestFit="1" customWidth="1"/>
    <col min="6" max="6" width="27.44140625" bestFit="1" customWidth="1"/>
  </cols>
  <sheetData>
    <row r="1" spans="1:6">
      <c r="A1" s="28" t="s">
        <v>0</v>
      </c>
      <c r="B1" s="28" t="s">
        <v>3</v>
      </c>
      <c r="C1" s="29" t="s">
        <v>55</v>
      </c>
      <c r="D1" s="29" t="s">
        <v>56</v>
      </c>
      <c r="E1" s="29" t="s">
        <v>57</v>
      </c>
      <c r="F1" s="29" t="s">
        <v>1812</v>
      </c>
    </row>
    <row r="2" spans="1:6">
      <c r="A2" s="30" t="s">
        <v>58</v>
      </c>
      <c r="B2" s="30" t="s">
        <v>61</v>
      </c>
      <c r="C2" s="31">
        <v>1125</v>
      </c>
      <c r="D2" s="31">
        <v>53.570999999999998</v>
      </c>
      <c r="E2" s="31">
        <v>1178.5709999999999</v>
      </c>
      <c r="F2" s="32" t="s">
        <v>1814</v>
      </c>
    </row>
    <row r="3" spans="1:6">
      <c r="A3" s="30" t="s">
        <v>126</v>
      </c>
      <c r="B3" s="30" t="s">
        <v>120</v>
      </c>
      <c r="C3" s="31">
        <v>3200</v>
      </c>
      <c r="D3" s="31">
        <v>488.13600000000002</v>
      </c>
      <c r="E3" s="31">
        <v>3688.136</v>
      </c>
      <c r="F3" s="32" t="s">
        <v>1814</v>
      </c>
    </row>
    <row r="4" spans="1:6">
      <c r="A4" s="30" t="s">
        <v>171</v>
      </c>
      <c r="B4" s="30" t="s">
        <v>166</v>
      </c>
      <c r="C4" s="31">
        <v>3200</v>
      </c>
      <c r="D4" s="31">
        <v>488.13600000000002</v>
      </c>
      <c r="E4" s="31">
        <v>3688.136</v>
      </c>
      <c r="F4" s="32" t="s">
        <v>1814</v>
      </c>
    </row>
    <row r="5" spans="1:6">
      <c r="A5" s="30" t="s">
        <v>244</v>
      </c>
      <c r="B5" s="30" t="s">
        <v>247</v>
      </c>
      <c r="C5" s="31">
        <v>2400</v>
      </c>
      <c r="D5" s="31">
        <v>114.286</v>
      </c>
      <c r="E5" s="31">
        <v>2514.2860000000001</v>
      </c>
      <c r="F5" s="32" t="s">
        <v>1814</v>
      </c>
    </row>
    <row r="6" spans="1:6">
      <c r="A6" s="30" t="s">
        <v>261</v>
      </c>
      <c r="B6" s="30" t="s">
        <v>264</v>
      </c>
      <c r="C6" s="31">
        <v>2800</v>
      </c>
      <c r="D6" s="31">
        <v>427.12</v>
      </c>
      <c r="E6" s="31">
        <v>3227.12</v>
      </c>
      <c r="F6" s="32" t="s">
        <v>1815</v>
      </c>
    </row>
    <row r="7" spans="1:6">
      <c r="A7" s="30" t="s">
        <v>313</v>
      </c>
      <c r="B7" s="30" t="s">
        <v>316</v>
      </c>
      <c r="C7" s="31">
        <v>3465</v>
      </c>
      <c r="D7" s="31">
        <v>528.55899999999997</v>
      </c>
      <c r="E7" s="31">
        <v>3993.5590000000002</v>
      </c>
      <c r="F7" s="32" t="s">
        <v>1814</v>
      </c>
    </row>
    <row r="8" spans="1:6">
      <c r="A8" s="30" t="s">
        <v>333</v>
      </c>
      <c r="B8" s="30" t="s">
        <v>336</v>
      </c>
      <c r="C8" s="31">
        <v>3600</v>
      </c>
      <c r="D8" s="31">
        <v>549.15300000000002</v>
      </c>
      <c r="E8" s="31">
        <v>4149.1530000000002</v>
      </c>
      <c r="F8" s="32" t="s">
        <v>1814</v>
      </c>
    </row>
    <row r="9" spans="1:6">
      <c r="A9" s="30" t="s">
        <v>368</v>
      </c>
      <c r="B9" s="30" t="s">
        <v>371</v>
      </c>
      <c r="C9" s="31">
        <v>2700</v>
      </c>
      <c r="D9" s="31">
        <v>411.86399999999998</v>
      </c>
      <c r="E9" s="31">
        <v>3111.864</v>
      </c>
      <c r="F9" s="32" t="s">
        <v>1814</v>
      </c>
    </row>
    <row r="10" spans="1:6">
      <c r="A10" s="30" t="s">
        <v>376</v>
      </c>
      <c r="B10" s="30" t="s">
        <v>379</v>
      </c>
      <c r="C10" s="31">
        <v>3150</v>
      </c>
      <c r="D10" s="31">
        <v>480.50799999999998</v>
      </c>
      <c r="E10" s="31">
        <v>3630.5079999999998</v>
      </c>
      <c r="F10" s="32" t="s">
        <v>1815</v>
      </c>
    </row>
    <row r="11" spans="1:6">
      <c r="A11" s="30" t="s">
        <v>397</v>
      </c>
      <c r="B11" s="30" t="s">
        <v>400</v>
      </c>
      <c r="C11" s="31">
        <v>3375</v>
      </c>
      <c r="D11" s="31">
        <v>514.83199999999999</v>
      </c>
      <c r="E11" s="31">
        <v>3889.8319999999999</v>
      </c>
      <c r="F11" s="32" t="s">
        <v>1814</v>
      </c>
    </row>
    <row r="12" spans="1:6">
      <c r="A12" s="30" t="s">
        <v>313</v>
      </c>
      <c r="B12" s="30" t="s">
        <v>407</v>
      </c>
      <c r="C12" s="31">
        <v>3375</v>
      </c>
      <c r="D12" s="31">
        <v>514.83100000000002</v>
      </c>
      <c r="E12" s="31">
        <v>3889.8310000000001</v>
      </c>
      <c r="F12" s="32" t="s">
        <v>1814</v>
      </c>
    </row>
    <row r="13" spans="1:6">
      <c r="A13" s="30" t="s">
        <v>417</v>
      </c>
      <c r="B13" s="30" t="s">
        <v>420</v>
      </c>
      <c r="C13" s="31">
        <v>3150</v>
      </c>
      <c r="D13" s="31">
        <v>480.50799999999998</v>
      </c>
      <c r="E13" s="31">
        <v>3630.5079999999998</v>
      </c>
      <c r="F13" s="32" t="s">
        <v>1816</v>
      </c>
    </row>
    <row r="14" spans="1:6">
      <c r="A14" s="30" t="s">
        <v>425</v>
      </c>
      <c r="B14" s="30" t="s">
        <v>428</v>
      </c>
      <c r="C14" s="31">
        <v>1400</v>
      </c>
      <c r="D14" s="31">
        <v>66.668000000000006</v>
      </c>
      <c r="E14" s="31">
        <v>1466.6680000000001</v>
      </c>
      <c r="F14" s="32" t="s">
        <v>1817</v>
      </c>
    </row>
    <row r="15" spans="1:6">
      <c r="A15" s="30" t="s">
        <v>433</v>
      </c>
      <c r="B15" s="30" t="s">
        <v>436</v>
      </c>
      <c r="C15" s="31">
        <v>4050</v>
      </c>
      <c r="D15" s="31">
        <v>617.79700000000003</v>
      </c>
      <c r="E15" s="31">
        <v>4667.7970000000005</v>
      </c>
      <c r="F15" s="32" t="s">
        <v>1814</v>
      </c>
    </row>
    <row r="16" spans="1:6">
      <c r="A16" s="30" t="s">
        <v>474</v>
      </c>
      <c r="B16" s="30" t="s">
        <v>469</v>
      </c>
      <c r="C16" s="31">
        <v>3375</v>
      </c>
      <c r="D16" s="31">
        <v>514.83100000000002</v>
      </c>
      <c r="E16" s="31">
        <v>3889.8310000000001</v>
      </c>
      <c r="F16" s="32" t="s">
        <v>1814</v>
      </c>
    </row>
    <row r="17" spans="1:6">
      <c r="A17" s="30" t="s">
        <v>491</v>
      </c>
      <c r="B17" s="30" t="s">
        <v>494</v>
      </c>
      <c r="C17" s="31">
        <v>3375</v>
      </c>
      <c r="D17" s="31">
        <v>514.83100000000002</v>
      </c>
      <c r="E17" s="31">
        <v>3889.8310000000001</v>
      </c>
      <c r="F17" s="32" t="s">
        <v>1814</v>
      </c>
    </row>
    <row r="18" spans="1:6">
      <c r="A18" s="30" t="s">
        <v>528</v>
      </c>
      <c r="B18" s="30" t="s">
        <v>521</v>
      </c>
      <c r="C18" s="31">
        <v>3600</v>
      </c>
      <c r="D18" s="31">
        <v>549.154</v>
      </c>
      <c r="E18" s="31">
        <v>4149.1540000000005</v>
      </c>
      <c r="F18" s="32" t="s">
        <v>1814</v>
      </c>
    </row>
    <row r="19" spans="1:6">
      <c r="A19" s="30" t="s">
        <v>518</v>
      </c>
      <c r="B19" s="30" t="s">
        <v>534</v>
      </c>
      <c r="C19" s="31">
        <v>3600</v>
      </c>
      <c r="D19" s="31">
        <v>549.154</v>
      </c>
      <c r="E19" s="31">
        <v>4149.1540000000005</v>
      </c>
      <c r="F19" s="32" t="s">
        <v>1814</v>
      </c>
    </row>
    <row r="20" spans="1:6">
      <c r="A20" s="30" t="s">
        <v>571</v>
      </c>
      <c r="B20" s="30" t="s">
        <v>574</v>
      </c>
      <c r="C20" s="31">
        <v>3600</v>
      </c>
      <c r="D20" s="31">
        <v>549.15300000000002</v>
      </c>
      <c r="E20" s="31">
        <v>4149.1530000000002</v>
      </c>
      <c r="F20" s="32" t="s">
        <v>1814</v>
      </c>
    </row>
    <row r="21" spans="1:6">
      <c r="A21" s="30" t="s">
        <v>605</v>
      </c>
      <c r="B21" s="30" t="s">
        <v>608</v>
      </c>
      <c r="C21" s="31">
        <v>3800</v>
      </c>
      <c r="D21" s="31">
        <v>579.66099999999994</v>
      </c>
      <c r="E21" s="31">
        <v>4379.6610000000001</v>
      </c>
      <c r="F21" s="32" t="s">
        <v>1817</v>
      </c>
    </row>
    <row r="22" spans="1:6">
      <c r="A22" s="30" t="s">
        <v>644</v>
      </c>
      <c r="B22" s="30" t="s">
        <v>647</v>
      </c>
      <c r="C22" s="31">
        <v>3375</v>
      </c>
      <c r="D22" s="31">
        <v>514.83100000000002</v>
      </c>
      <c r="E22" s="31">
        <v>3889.8310000000001</v>
      </c>
      <c r="F22" s="32" t="s">
        <v>1814</v>
      </c>
    </row>
    <row r="23" spans="1:6">
      <c r="A23" s="30" t="s">
        <v>657</v>
      </c>
      <c r="B23" s="30" t="s">
        <v>660</v>
      </c>
      <c r="C23" s="31">
        <v>3375</v>
      </c>
      <c r="D23" s="31">
        <v>514.83100000000002</v>
      </c>
      <c r="E23" s="31">
        <v>3889.8310000000001</v>
      </c>
      <c r="F23" s="32" t="s">
        <v>1817</v>
      </c>
    </row>
    <row r="24" spans="1:6">
      <c r="A24" s="30" t="s">
        <v>664</v>
      </c>
      <c r="B24" s="30" t="s">
        <v>667</v>
      </c>
      <c r="C24" s="31">
        <v>4275</v>
      </c>
      <c r="D24" s="31">
        <v>652.11900000000003</v>
      </c>
      <c r="E24" s="31">
        <v>4927.1189999999997</v>
      </c>
      <c r="F24" s="32" t="s">
        <v>1814</v>
      </c>
    </row>
    <row r="25" spans="1:6">
      <c r="A25" s="30" t="s">
        <v>739</v>
      </c>
      <c r="B25" s="30" t="s">
        <v>742</v>
      </c>
      <c r="C25" s="31">
        <v>3563</v>
      </c>
      <c r="D25" s="31">
        <v>543.50800000000004</v>
      </c>
      <c r="E25" s="31">
        <v>4106.5079999999998</v>
      </c>
      <c r="F25" s="32" t="s">
        <v>1813</v>
      </c>
    </row>
    <row r="26" spans="1:6">
      <c r="A26" s="30" t="s">
        <v>746</v>
      </c>
      <c r="B26" s="30" t="s">
        <v>742</v>
      </c>
      <c r="C26" s="31">
        <v>3563</v>
      </c>
      <c r="D26" s="31">
        <v>543.50800000000004</v>
      </c>
      <c r="E26" s="31">
        <v>4106.5079999999998</v>
      </c>
      <c r="F26" s="32" t="s">
        <v>1814</v>
      </c>
    </row>
    <row r="27" spans="1:6">
      <c r="A27" s="30" t="s">
        <v>761</v>
      </c>
      <c r="B27" s="30" t="s">
        <v>754</v>
      </c>
      <c r="C27" s="31">
        <v>3563</v>
      </c>
      <c r="D27" s="31">
        <v>543.50800000000004</v>
      </c>
      <c r="E27" s="31">
        <v>4106.5079999999998</v>
      </c>
      <c r="F27" s="32" t="s">
        <v>1818</v>
      </c>
    </row>
    <row r="28" spans="1:6">
      <c r="A28" s="30" t="s">
        <v>767</v>
      </c>
      <c r="B28" s="30" t="s">
        <v>754</v>
      </c>
      <c r="C28" s="31">
        <v>3563</v>
      </c>
      <c r="D28" s="31">
        <v>543.50800000000004</v>
      </c>
      <c r="E28" s="31">
        <v>4106.5079999999998</v>
      </c>
      <c r="F28" s="32" t="s">
        <v>1818</v>
      </c>
    </row>
    <row r="29" spans="1:6">
      <c r="A29" s="30" t="s">
        <v>773</v>
      </c>
      <c r="B29" s="30" t="s">
        <v>754</v>
      </c>
      <c r="C29" s="31">
        <v>3563</v>
      </c>
      <c r="D29" s="31">
        <v>543.50800000000004</v>
      </c>
      <c r="E29" s="31">
        <v>4106.5079999999998</v>
      </c>
      <c r="F29" s="32" t="s">
        <v>1814</v>
      </c>
    </row>
    <row r="30" spans="1:6">
      <c r="A30" s="30" t="s">
        <v>828</v>
      </c>
      <c r="B30" s="30" t="s">
        <v>823</v>
      </c>
      <c r="C30" s="31">
        <v>3600</v>
      </c>
      <c r="D30" s="31">
        <v>549.15300000000002</v>
      </c>
      <c r="E30" s="31">
        <v>4149.1530000000002</v>
      </c>
      <c r="F30" s="32" t="s">
        <v>1819</v>
      </c>
    </row>
    <row r="31" spans="1:6">
      <c r="A31" s="30" t="s">
        <v>833</v>
      </c>
      <c r="B31" s="30" t="s">
        <v>823</v>
      </c>
      <c r="C31" s="31">
        <v>3600</v>
      </c>
      <c r="D31" s="31">
        <v>549.15300000000002</v>
      </c>
      <c r="E31" s="31">
        <v>4149.1530000000002</v>
      </c>
      <c r="F31" s="32" t="s">
        <v>1814</v>
      </c>
    </row>
    <row r="32" spans="1:6">
      <c r="A32" s="30" t="s">
        <v>841</v>
      </c>
      <c r="B32" s="30" t="s">
        <v>844</v>
      </c>
      <c r="C32" s="31">
        <v>3600</v>
      </c>
      <c r="D32" s="31">
        <v>549.154</v>
      </c>
      <c r="E32" s="31">
        <v>4149.1540000000005</v>
      </c>
      <c r="F32" s="32" t="s">
        <v>1813</v>
      </c>
    </row>
    <row r="33" spans="1:6">
      <c r="A33" s="30" t="s">
        <v>863</v>
      </c>
      <c r="B33" s="30" t="s">
        <v>866</v>
      </c>
      <c r="C33" s="31">
        <v>3600</v>
      </c>
      <c r="D33" s="31">
        <v>549.15300000000002</v>
      </c>
      <c r="E33" s="31">
        <v>4149.1530000000002</v>
      </c>
      <c r="F33" s="32" t="s">
        <v>1818</v>
      </c>
    </row>
    <row r="34" spans="1:6">
      <c r="A34" s="30" t="s">
        <v>883</v>
      </c>
      <c r="B34" s="30" t="s">
        <v>886</v>
      </c>
      <c r="C34" s="31">
        <v>3150</v>
      </c>
      <c r="D34" s="31">
        <v>480.50799999999998</v>
      </c>
      <c r="E34" s="31">
        <v>3630.5079999999998</v>
      </c>
      <c r="F34" s="32" t="s">
        <v>1815</v>
      </c>
    </row>
    <row r="35" spans="1:6">
      <c r="A35" s="30" t="s">
        <v>890</v>
      </c>
      <c r="B35" s="30" t="s">
        <v>886</v>
      </c>
      <c r="C35" s="31">
        <v>3150</v>
      </c>
      <c r="D35" s="31">
        <v>480.50799999999998</v>
      </c>
      <c r="E35" s="31">
        <v>3630.5079999999998</v>
      </c>
      <c r="F35" s="32" t="s">
        <v>1814</v>
      </c>
    </row>
    <row r="36" spans="1:6">
      <c r="A36" s="30" t="s">
        <v>896</v>
      </c>
      <c r="B36" s="30" t="s">
        <v>886</v>
      </c>
      <c r="C36" s="31">
        <v>3150</v>
      </c>
      <c r="D36" s="31">
        <v>480.50799999999998</v>
      </c>
      <c r="E36" s="31">
        <v>3630.5079999999998</v>
      </c>
      <c r="F36" s="32" t="s">
        <v>1814</v>
      </c>
    </row>
    <row r="37" spans="1:6">
      <c r="A37" s="30" t="s">
        <v>956</v>
      </c>
      <c r="B37" s="30" t="s">
        <v>948</v>
      </c>
      <c r="C37" s="31">
        <v>3150</v>
      </c>
      <c r="D37" s="31">
        <v>480.50799999999998</v>
      </c>
      <c r="E37" s="31">
        <v>3630.5079999999998</v>
      </c>
      <c r="F37" s="32" t="s">
        <v>1814</v>
      </c>
    </row>
    <row r="38" spans="1:6">
      <c r="A38" s="30" t="s">
        <v>965</v>
      </c>
      <c r="B38" s="30" t="s">
        <v>968</v>
      </c>
      <c r="C38" s="31">
        <v>3150</v>
      </c>
      <c r="D38" s="31">
        <v>480.50799999999998</v>
      </c>
      <c r="E38" s="31">
        <v>3630.5079999999998</v>
      </c>
      <c r="F38" s="32" t="s">
        <v>1814</v>
      </c>
    </row>
    <row r="39" spans="1:6">
      <c r="A39" s="30" t="s">
        <v>1000</v>
      </c>
      <c r="B39" s="30" t="s">
        <v>990</v>
      </c>
      <c r="C39" s="31">
        <v>3150</v>
      </c>
      <c r="D39" s="31">
        <v>480.50799999999998</v>
      </c>
      <c r="E39" s="31">
        <v>3630.5079999999998</v>
      </c>
      <c r="F39" s="32" t="s">
        <v>1814</v>
      </c>
    </row>
    <row r="40" spans="1:6">
      <c r="A40" s="30" t="s">
        <v>1012</v>
      </c>
      <c r="B40" s="30" t="s">
        <v>1015</v>
      </c>
      <c r="C40" s="31">
        <v>1600</v>
      </c>
      <c r="D40" s="31">
        <v>76.19</v>
      </c>
      <c r="E40" s="31">
        <v>1676.19</v>
      </c>
      <c r="F40" s="32" t="s">
        <v>1818</v>
      </c>
    </row>
    <row r="41" spans="1:6">
      <c r="A41" s="30" t="s">
        <v>1019</v>
      </c>
      <c r="B41" s="30" t="s">
        <v>1022</v>
      </c>
      <c r="C41" s="31">
        <v>1600</v>
      </c>
      <c r="D41" s="31">
        <v>76.19</v>
      </c>
      <c r="E41" s="31">
        <v>1676.19</v>
      </c>
      <c r="F41" s="32" t="s">
        <v>1815</v>
      </c>
    </row>
    <row r="42" spans="1:6">
      <c r="A42" s="30" t="s">
        <v>1073</v>
      </c>
      <c r="B42" s="30" t="s">
        <v>1076</v>
      </c>
      <c r="C42" s="31">
        <v>3375</v>
      </c>
      <c r="D42" s="31">
        <v>514.83199999999999</v>
      </c>
      <c r="E42" s="31">
        <v>3889.8319999999999</v>
      </c>
      <c r="F42" s="32" t="s">
        <v>1814</v>
      </c>
    </row>
    <row r="43" spans="1:6">
      <c r="A43" s="30" t="s">
        <v>1088</v>
      </c>
      <c r="B43" s="30" t="s">
        <v>1091</v>
      </c>
      <c r="C43" s="31">
        <v>3600</v>
      </c>
      <c r="D43" s="31">
        <v>549.15300000000002</v>
      </c>
      <c r="E43" s="31">
        <v>4149.1530000000002</v>
      </c>
      <c r="F43" s="32" t="s">
        <v>1817</v>
      </c>
    </row>
    <row r="44" spans="1:6">
      <c r="A44" s="30" t="s">
        <v>1097</v>
      </c>
      <c r="B44" s="30" t="s">
        <v>1100</v>
      </c>
      <c r="C44" s="31">
        <v>3600</v>
      </c>
      <c r="D44" s="31">
        <v>549.15300000000002</v>
      </c>
      <c r="E44" s="31">
        <v>4149.1530000000002</v>
      </c>
      <c r="F44" s="32" t="s">
        <v>1814</v>
      </c>
    </row>
    <row r="45" spans="1:6">
      <c r="A45" s="30" t="s">
        <v>1132</v>
      </c>
      <c r="B45" s="30" t="s">
        <v>1135</v>
      </c>
      <c r="C45" s="31">
        <v>3325</v>
      </c>
      <c r="D45" s="31">
        <v>507.20299999999997</v>
      </c>
      <c r="E45" s="31">
        <v>3832.203</v>
      </c>
      <c r="F45" s="32" t="s">
        <v>1813</v>
      </c>
    </row>
    <row r="46" spans="1:6">
      <c r="A46" s="30" t="s">
        <v>1184</v>
      </c>
      <c r="B46" s="30" t="s">
        <v>1177</v>
      </c>
      <c r="C46" s="31">
        <v>3325</v>
      </c>
      <c r="D46" s="31">
        <v>507.20299999999997</v>
      </c>
      <c r="E46" s="31">
        <v>3832.203</v>
      </c>
      <c r="F46" s="32" t="s">
        <v>1817</v>
      </c>
    </row>
    <row r="47" spans="1:6">
      <c r="A47" s="30" t="s">
        <v>1195</v>
      </c>
      <c r="B47" s="30" t="s">
        <v>1198</v>
      </c>
      <c r="C47" s="31">
        <v>3800</v>
      </c>
      <c r="D47" s="31">
        <v>579.66099999999994</v>
      </c>
      <c r="E47" s="31">
        <v>4379.6610000000001</v>
      </c>
      <c r="F47" s="32" t="s">
        <v>1814</v>
      </c>
    </row>
    <row r="48" spans="1:6">
      <c r="A48" s="30" t="s">
        <v>1214</v>
      </c>
      <c r="B48" s="30" t="s">
        <v>1217</v>
      </c>
      <c r="C48" s="31">
        <v>3800</v>
      </c>
      <c r="D48" s="31">
        <v>579.66099999999994</v>
      </c>
      <c r="E48" s="31">
        <v>4379.6610000000001</v>
      </c>
      <c r="F48" s="32" t="s">
        <v>1814</v>
      </c>
    </row>
    <row r="49" spans="1:6">
      <c r="A49" s="30" t="s">
        <v>1080</v>
      </c>
      <c r="B49" s="30" t="s">
        <v>1224</v>
      </c>
      <c r="C49" s="31">
        <v>3563</v>
      </c>
      <c r="D49" s="31">
        <v>543.50800000000004</v>
      </c>
      <c r="E49" s="31">
        <v>4106.5079999999998</v>
      </c>
      <c r="F49" s="32" t="s">
        <v>1814</v>
      </c>
    </row>
    <row r="50" spans="1:6">
      <c r="A50" s="30" t="s">
        <v>1250</v>
      </c>
      <c r="B50" s="30" t="s">
        <v>1253</v>
      </c>
      <c r="C50" s="31">
        <v>2000</v>
      </c>
      <c r="D50" s="31">
        <v>95.238</v>
      </c>
      <c r="E50" s="31">
        <v>2095.2379999999998</v>
      </c>
      <c r="F50" s="32" t="s">
        <v>1815</v>
      </c>
    </row>
    <row r="51" spans="1:6">
      <c r="A51" s="30" t="s">
        <v>1271</v>
      </c>
      <c r="B51" s="30" t="s">
        <v>1274</v>
      </c>
      <c r="C51" s="31">
        <v>2275</v>
      </c>
      <c r="D51" s="31">
        <v>108.333</v>
      </c>
      <c r="E51" s="31">
        <v>2383.3330000000001</v>
      </c>
      <c r="F51" s="32" t="s">
        <v>1814</v>
      </c>
    </row>
    <row r="52" spans="1:6">
      <c r="A52" s="30" t="s">
        <v>1299</v>
      </c>
      <c r="B52" s="30" t="s">
        <v>1302</v>
      </c>
      <c r="C52" s="31">
        <v>2275</v>
      </c>
      <c r="D52" s="31">
        <v>108.333</v>
      </c>
      <c r="E52" s="31">
        <v>2383.3330000000001</v>
      </c>
      <c r="F52" s="32" t="s">
        <v>1813</v>
      </c>
    </row>
    <row r="53" spans="1:6">
      <c r="A53" s="30" t="s">
        <v>1321</v>
      </c>
      <c r="B53" s="30" t="s">
        <v>1324</v>
      </c>
      <c r="C53" s="31">
        <v>2275</v>
      </c>
      <c r="D53" s="31">
        <v>108.333</v>
      </c>
      <c r="E53" s="31">
        <v>2383.3330000000001</v>
      </c>
      <c r="F53" s="32" t="s">
        <v>1814</v>
      </c>
    </row>
    <row r="54" spans="1:6">
      <c r="A54" s="30" t="s">
        <v>1334</v>
      </c>
      <c r="B54" s="30" t="s">
        <v>1332</v>
      </c>
      <c r="C54" s="31">
        <v>2275</v>
      </c>
      <c r="D54" s="31">
        <v>108.333</v>
      </c>
      <c r="E54" s="31">
        <v>2383.3330000000001</v>
      </c>
      <c r="F54" s="32" t="s">
        <v>1813</v>
      </c>
    </row>
    <row r="55" spans="1:6">
      <c r="A55" s="30" t="s">
        <v>1340</v>
      </c>
      <c r="B55" s="30" t="s">
        <v>1343</v>
      </c>
      <c r="C55" s="31">
        <v>2275</v>
      </c>
      <c r="D55" s="31">
        <v>108.333</v>
      </c>
      <c r="E55" s="31">
        <v>2383.3330000000001</v>
      </c>
      <c r="F55" s="32" t="s">
        <v>1813</v>
      </c>
    </row>
    <row r="56" spans="1:6">
      <c r="A56" s="30" t="s">
        <v>1371</v>
      </c>
      <c r="B56" s="30" t="s">
        <v>1374</v>
      </c>
      <c r="C56" s="31">
        <v>2275</v>
      </c>
      <c r="D56" s="31">
        <v>108.333</v>
      </c>
      <c r="E56" s="31">
        <v>2383.3330000000001</v>
      </c>
      <c r="F56" s="32" t="s">
        <v>1813</v>
      </c>
    </row>
    <row r="57" spans="1:6">
      <c r="A57" s="30" t="s">
        <v>1378</v>
      </c>
      <c r="B57" s="30" t="s">
        <v>1374</v>
      </c>
      <c r="C57" s="31">
        <v>2275</v>
      </c>
      <c r="D57" s="31">
        <v>108.333</v>
      </c>
      <c r="E57" s="31">
        <v>2383.3330000000001</v>
      </c>
      <c r="F57" s="32" t="s">
        <v>1817</v>
      </c>
    </row>
    <row r="58" spans="1:6">
      <c r="A58" s="30" t="s">
        <v>1401</v>
      </c>
      <c r="B58" s="30" t="s">
        <v>1391</v>
      </c>
      <c r="C58" s="31">
        <v>2275</v>
      </c>
      <c r="D58" s="31">
        <v>108.333</v>
      </c>
      <c r="E58" s="31">
        <v>2383.3330000000001</v>
      </c>
      <c r="F58" s="32" t="s">
        <v>1815</v>
      </c>
    </row>
    <row r="59" spans="1:6">
      <c r="A59" s="30" t="s">
        <v>1416</v>
      </c>
      <c r="B59" s="30" t="s">
        <v>1419</v>
      </c>
      <c r="C59" s="31">
        <v>2240</v>
      </c>
      <c r="D59" s="31">
        <v>106.667</v>
      </c>
      <c r="E59" s="31">
        <v>2346.6669999999999</v>
      </c>
      <c r="F59" s="32" t="s">
        <v>1818</v>
      </c>
    </row>
    <row r="60" spans="1:6">
      <c r="A60" s="30" t="s">
        <v>1423</v>
      </c>
      <c r="B60" s="30" t="s">
        <v>1426</v>
      </c>
      <c r="C60" s="31">
        <v>2240</v>
      </c>
      <c r="D60" s="31">
        <v>106.667</v>
      </c>
      <c r="E60" s="31">
        <v>2346.6669999999999</v>
      </c>
      <c r="F60" s="32" t="s">
        <v>1813</v>
      </c>
    </row>
    <row r="61" spans="1:6">
      <c r="A61" s="30" t="s">
        <v>1469</v>
      </c>
      <c r="B61" s="30" t="s">
        <v>1472</v>
      </c>
      <c r="C61" s="31">
        <v>2100</v>
      </c>
      <c r="D61" s="31">
        <v>100</v>
      </c>
      <c r="E61" s="31">
        <v>2200</v>
      </c>
      <c r="F61" s="32" t="s">
        <v>1817</v>
      </c>
    </row>
    <row r="62" spans="1:6">
      <c r="A62" s="30" t="s">
        <v>1423</v>
      </c>
      <c r="B62" s="30" t="s">
        <v>1480</v>
      </c>
      <c r="C62" s="31">
        <v>2275</v>
      </c>
      <c r="D62" s="31">
        <v>108.333</v>
      </c>
      <c r="E62" s="31">
        <v>2383.3330000000001</v>
      </c>
      <c r="F62" s="32" t="s">
        <v>1813</v>
      </c>
    </row>
    <row r="63" spans="1:6">
      <c r="A63" s="30" t="s">
        <v>1516</v>
      </c>
      <c r="B63" s="30" t="s">
        <v>1519</v>
      </c>
      <c r="C63" s="31">
        <v>4500</v>
      </c>
      <c r="D63" s="31">
        <v>686.44100000000003</v>
      </c>
      <c r="E63" s="31">
        <v>5186.4409999999998</v>
      </c>
      <c r="F63" s="32" t="s">
        <v>1817</v>
      </c>
    </row>
    <row r="64" spans="1:6">
      <c r="A64" s="30" t="s">
        <v>1528</v>
      </c>
      <c r="B64" s="30" t="s">
        <v>1531</v>
      </c>
      <c r="C64" s="31">
        <v>4500</v>
      </c>
      <c r="D64" s="31">
        <v>686.44100000000003</v>
      </c>
      <c r="E64" s="31">
        <v>5186.4409999999998</v>
      </c>
      <c r="F64" s="32" t="s">
        <v>1814</v>
      </c>
    </row>
    <row r="65" spans="1:6">
      <c r="A65" s="30" t="s">
        <v>1536</v>
      </c>
      <c r="B65" s="30" t="s">
        <v>1539</v>
      </c>
      <c r="C65" s="31">
        <v>4725</v>
      </c>
      <c r="D65" s="31">
        <v>720.76300000000003</v>
      </c>
      <c r="E65" s="31">
        <v>5445.7629999999999</v>
      </c>
      <c r="F65" s="32" t="s">
        <v>1814</v>
      </c>
    </row>
    <row r="66" spans="1:6">
      <c r="A66" s="30" t="s">
        <v>1575</v>
      </c>
      <c r="B66" s="30" t="s">
        <v>1578</v>
      </c>
      <c r="C66" s="31">
        <v>5400</v>
      </c>
      <c r="D66" s="31">
        <v>823.72900000000004</v>
      </c>
      <c r="E66" s="31">
        <v>6223.7290000000003</v>
      </c>
      <c r="F66" s="32" t="s">
        <v>1818</v>
      </c>
    </row>
    <row r="67" spans="1:6">
      <c r="A67" s="30" t="s">
        <v>1596</v>
      </c>
      <c r="B67" s="30" t="s">
        <v>1599</v>
      </c>
      <c r="C67" s="31">
        <v>3600</v>
      </c>
      <c r="D67" s="31">
        <v>549.15300000000002</v>
      </c>
      <c r="E67" s="31">
        <v>4149.1530000000002</v>
      </c>
      <c r="F67" s="32" t="s">
        <v>1817</v>
      </c>
    </row>
    <row r="68" spans="1:6">
      <c r="A68" s="30" t="s">
        <v>1607</v>
      </c>
      <c r="B68" s="30" t="s">
        <v>1610</v>
      </c>
      <c r="C68" s="31">
        <v>3600</v>
      </c>
      <c r="D68" s="31">
        <v>549.15300000000002</v>
      </c>
      <c r="E68" s="31">
        <v>4149.1530000000002</v>
      </c>
      <c r="F68" s="32" t="s">
        <v>1815</v>
      </c>
    </row>
    <row r="69" spans="1:6">
      <c r="A69" s="30" t="s">
        <v>1614</v>
      </c>
      <c r="B69" s="30" t="s">
        <v>1617</v>
      </c>
      <c r="C69" s="31">
        <v>3800</v>
      </c>
      <c r="D69" s="31">
        <v>579.66099999999994</v>
      </c>
      <c r="E69" s="31">
        <v>4379.6610000000001</v>
      </c>
      <c r="F69" s="32" t="s">
        <v>1813</v>
      </c>
    </row>
    <row r="70" spans="1:6">
      <c r="A70" s="30" t="s">
        <v>1634</v>
      </c>
      <c r="B70" s="30" t="s">
        <v>1637</v>
      </c>
      <c r="C70" s="31">
        <v>3375</v>
      </c>
      <c r="D70" s="31">
        <v>514.83199999999999</v>
      </c>
      <c r="E70" s="31">
        <v>3889.8319999999999</v>
      </c>
      <c r="F70" s="32" t="s">
        <v>1814</v>
      </c>
    </row>
    <row r="71" spans="1:6">
      <c r="A71" s="30" t="s">
        <v>1643</v>
      </c>
      <c r="B71" s="30" t="s">
        <v>1646</v>
      </c>
      <c r="C71" s="31">
        <v>3563</v>
      </c>
      <c r="D71" s="31">
        <v>543.50800000000004</v>
      </c>
      <c r="E71" s="31">
        <v>4106.5079999999998</v>
      </c>
      <c r="F71" s="32" t="s">
        <v>1814</v>
      </c>
    </row>
    <row r="72" spans="1:6">
      <c r="A72" s="30" t="s">
        <v>1678</v>
      </c>
      <c r="B72" s="30" t="s">
        <v>1674</v>
      </c>
      <c r="C72" s="31">
        <v>3800</v>
      </c>
      <c r="D72" s="31">
        <v>579.66099999999994</v>
      </c>
      <c r="E72" s="31">
        <v>4379.6610000000001</v>
      </c>
      <c r="F72" s="32" t="s">
        <v>1814</v>
      </c>
    </row>
    <row r="73" spans="1:6">
      <c r="A73" s="30" t="s">
        <v>1702</v>
      </c>
      <c r="B73" s="30" t="s">
        <v>1705</v>
      </c>
      <c r="C73" s="31">
        <v>4275</v>
      </c>
      <c r="D73" s="31">
        <v>652.11900000000003</v>
      </c>
      <c r="E73" s="31">
        <v>4927.1189999999997</v>
      </c>
      <c r="F73" s="32" t="s">
        <v>1814</v>
      </c>
    </row>
    <row r="74" spans="1:6">
      <c r="A74" s="30" t="s">
        <v>1710</v>
      </c>
      <c r="B74" s="30" t="s">
        <v>1705</v>
      </c>
      <c r="C74" s="31">
        <v>3800</v>
      </c>
      <c r="D74" s="31">
        <v>579.66099999999994</v>
      </c>
      <c r="E74" s="31">
        <v>4379.6610000000001</v>
      </c>
      <c r="F74" s="32" t="s">
        <v>1814</v>
      </c>
    </row>
    <row r="75" spans="1:6">
      <c r="A75" s="30" t="s">
        <v>1762</v>
      </c>
      <c r="B75" s="30" t="s">
        <v>1765</v>
      </c>
      <c r="C75" s="31">
        <v>4275</v>
      </c>
      <c r="D75" s="31">
        <v>652.11900000000003</v>
      </c>
      <c r="E75" s="31">
        <v>4927.1189999999997</v>
      </c>
      <c r="F75" s="32" t="s">
        <v>1814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F173B-DF72-4608-BAEA-A7ECA6E8ACB3}">
  <dimension ref="A1:E12"/>
  <sheetViews>
    <sheetView workbookViewId="0">
      <selection activeCell="E8" sqref="E8"/>
    </sheetView>
  </sheetViews>
  <sheetFormatPr defaultRowHeight="14.4"/>
  <cols>
    <col min="1" max="1" width="24.33203125" bestFit="1" customWidth="1"/>
    <col min="2" max="2" width="15.109375" bestFit="1" customWidth="1"/>
    <col min="3" max="3" width="23.88671875" bestFit="1" customWidth="1"/>
    <col min="4" max="4" width="16.33203125" bestFit="1" customWidth="1"/>
    <col min="5" max="5" width="17.44140625" bestFit="1" customWidth="1"/>
  </cols>
  <sheetData>
    <row r="1" spans="1:5">
      <c r="A1" s="35" t="s">
        <v>0</v>
      </c>
      <c r="B1" s="35" t="s">
        <v>3</v>
      </c>
      <c r="C1" s="36" t="s">
        <v>55</v>
      </c>
      <c r="D1" s="36" t="s">
        <v>56</v>
      </c>
      <c r="E1" s="36" t="s">
        <v>57</v>
      </c>
    </row>
    <row r="2" spans="1:5">
      <c r="A2" s="30" t="s">
        <v>224</v>
      </c>
      <c r="B2" s="30" t="s">
        <v>227</v>
      </c>
      <c r="C2" s="31">
        <v>1000</v>
      </c>
      <c r="D2" s="31">
        <v>47.619</v>
      </c>
      <c r="E2" s="31">
        <v>1047.6189999999999</v>
      </c>
    </row>
    <row r="3" spans="1:5">
      <c r="A3" s="30" t="s">
        <v>389</v>
      </c>
      <c r="B3" s="30" t="s">
        <v>392</v>
      </c>
      <c r="C3" s="31">
        <v>3150</v>
      </c>
      <c r="D3" s="31">
        <v>480.50799999999998</v>
      </c>
      <c r="E3" s="31">
        <v>3630.5079999999998</v>
      </c>
    </row>
    <row r="4" spans="1:5">
      <c r="A4" s="30" t="s">
        <v>628</v>
      </c>
      <c r="B4" s="30" t="s">
        <v>627</v>
      </c>
      <c r="C4" s="31">
        <v>3563</v>
      </c>
      <c r="D4" s="31">
        <v>543.50800000000004</v>
      </c>
      <c r="E4" s="31">
        <v>4106.5079999999998</v>
      </c>
    </row>
    <row r="5" spans="1:5">
      <c r="A5" s="30" t="s">
        <v>637</v>
      </c>
      <c r="B5" s="30" t="s">
        <v>640</v>
      </c>
      <c r="C5" s="31">
        <v>3375</v>
      </c>
      <c r="D5" s="31">
        <v>514.83100000000002</v>
      </c>
      <c r="E5" s="31">
        <v>3889.8310000000001</v>
      </c>
    </row>
    <row r="6" spans="1:5">
      <c r="A6" s="30" t="s">
        <v>726</v>
      </c>
      <c r="B6" s="30" t="s">
        <v>729</v>
      </c>
      <c r="C6" s="31">
        <v>3563</v>
      </c>
      <c r="D6" s="31">
        <v>543.50800000000004</v>
      </c>
      <c r="E6" s="31">
        <v>4106.5079999999998</v>
      </c>
    </row>
    <row r="7" spans="1:5">
      <c r="A7" s="30" t="s">
        <v>734</v>
      </c>
      <c r="B7" s="30" t="s">
        <v>729</v>
      </c>
      <c r="C7" s="31">
        <v>3563</v>
      </c>
      <c r="D7" s="31">
        <v>543.50800000000004</v>
      </c>
      <c r="E7" s="31">
        <v>4106.5079999999998</v>
      </c>
    </row>
    <row r="8" spans="1:5">
      <c r="A8" s="30" t="s">
        <v>813</v>
      </c>
      <c r="B8" s="30" t="s">
        <v>816</v>
      </c>
      <c r="C8" s="31">
        <v>3600</v>
      </c>
      <c r="D8" s="31">
        <v>549.15300000000002</v>
      </c>
      <c r="E8" s="31">
        <v>4149.1530000000002</v>
      </c>
    </row>
    <row r="9" spans="1:5">
      <c r="A9" s="30" t="s">
        <v>1146</v>
      </c>
      <c r="B9" s="30" t="s">
        <v>1149</v>
      </c>
      <c r="C9" s="31">
        <v>2850</v>
      </c>
      <c r="D9" s="31">
        <v>434.74599999999998</v>
      </c>
      <c r="E9" s="31">
        <v>3284.7460000000001</v>
      </c>
    </row>
    <row r="10" spans="1:5">
      <c r="A10" s="30" t="s">
        <v>1146</v>
      </c>
      <c r="B10" s="30" t="s">
        <v>1160</v>
      </c>
      <c r="C10" s="31">
        <v>2850</v>
      </c>
      <c r="D10" s="31">
        <v>434.74599999999998</v>
      </c>
      <c r="E10" s="31">
        <v>3284.7460000000001</v>
      </c>
    </row>
    <row r="11" spans="1:5">
      <c r="A11" s="30" t="s">
        <v>1388</v>
      </c>
      <c r="B11" s="30" t="s">
        <v>1391</v>
      </c>
      <c r="C11" s="31">
        <v>2275</v>
      </c>
      <c r="D11" s="31">
        <v>108.333</v>
      </c>
      <c r="E11" s="31">
        <v>2383.3330000000001</v>
      </c>
    </row>
    <row r="12" spans="1:5">
      <c r="A12" s="30" t="s">
        <v>1463</v>
      </c>
      <c r="B12" s="30" t="s">
        <v>1460</v>
      </c>
      <c r="C12" s="31">
        <v>2275</v>
      </c>
      <c r="D12" s="31">
        <v>108.333</v>
      </c>
      <c r="E12" s="31">
        <v>2383.3330000000001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4142-FDBF-4D34-B223-FB2606A17398}">
  <dimension ref="A1:F30"/>
  <sheetViews>
    <sheetView workbookViewId="0">
      <selection activeCell="F8" sqref="F8"/>
    </sheetView>
  </sheetViews>
  <sheetFormatPr defaultRowHeight="14.4"/>
  <cols>
    <col min="1" max="1" width="24.33203125" bestFit="1" customWidth="1"/>
    <col min="2" max="2" width="18.44140625" bestFit="1" customWidth="1"/>
    <col min="3" max="3" width="23.88671875" bestFit="1" customWidth="1"/>
    <col min="4" max="4" width="16.33203125" bestFit="1" customWidth="1"/>
    <col min="5" max="5" width="17.44140625" bestFit="1" customWidth="1"/>
    <col min="6" max="6" width="31.88671875" bestFit="1" customWidth="1"/>
  </cols>
  <sheetData>
    <row r="1" spans="1:6">
      <c r="A1" s="33" t="s">
        <v>0</v>
      </c>
      <c r="B1" s="33" t="s">
        <v>3</v>
      </c>
      <c r="C1" s="34" t="s">
        <v>55</v>
      </c>
      <c r="D1" s="34" t="s">
        <v>56</v>
      </c>
      <c r="E1" s="34" t="s">
        <v>57</v>
      </c>
      <c r="F1" s="34" t="s">
        <v>1820</v>
      </c>
    </row>
    <row r="2" spans="1:6">
      <c r="A2" s="30" t="s">
        <v>141</v>
      </c>
      <c r="B2" s="30" t="s">
        <v>144</v>
      </c>
      <c r="C2" s="31">
        <v>3200</v>
      </c>
      <c r="D2" s="31">
        <v>488.13600000000002</v>
      </c>
      <c r="E2" s="31">
        <v>3688.136</v>
      </c>
      <c r="F2" s="32" t="str">
        <f>VLOOKUP(A2,MarketPlace_Order_Report__2[[#All],[MagentoOrderNo]:[ReasonForCancellation]],21,0)</f>
        <v>Delivery date is too late</v>
      </c>
    </row>
    <row r="3" spans="1:6">
      <c r="A3" s="30" t="s">
        <v>159</v>
      </c>
      <c r="B3" s="30" t="s">
        <v>153</v>
      </c>
      <c r="C3" s="31">
        <v>3200</v>
      </c>
      <c r="D3" s="31">
        <v>488.13600000000002</v>
      </c>
      <c r="E3" s="31">
        <v>3688.136</v>
      </c>
      <c r="F3" s="32" t="str">
        <f>VLOOKUP(A3,MarketPlace_Order_Report__2[[#All],[MagentoOrderNo]:[ReasonForCancellation]],21,0)</f>
        <v>Delivery date is too late</v>
      </c>
    </row>
    <row r="4" spans="1:6">
      <c r="A4" s="30" t="s">
        <v>207</v>
      </c>
      <c r="B4" s="30" t="s">
        <v>199</v>
      </c>
      <c r="C4" s="31">
        <v>1000</v>
      </c>
      <c r="D4" s="31">
        <v>47.619</v>
      </c>
      <c r="E4" s="31">
        <v>1047.6189999999999</v>
      </c>
      <c r="F4" s="32" t="str">
        <f>VLOOKUP(A4,MarketPlace_Order_Report__2[[#All],[MagentoOrderNo]:[ReasonForCancellation]],21,0)</f>
        <v>Change size</v>
      </c>
    </row>
    <row r="5" spans="1:6">
      <c r="A5" s="30" t="s">
        <v>269</v>
      </c>
      <c r="B5" s="30" t="s">
        <v>272</v>
      </c>
      <c r="C5" s="31">
        <v>2800</v>
      </c>
      <c r="D5" s="31">
        <v>427.11900000000003</v>
      </c>
      <c r="E5" s="31">
        <v>3227.1190000000001</v>
      </c>
      <c r="F5" s="32" t="str">
        <f>VLOOKUP(A5,MarketPlace_Order_Report__2[[#All],[MagentoOrderNo]:[ReasonForCancellation]],21,0)</f>
        <v>Delivery date is too late</v>
      </c>
    </row>
    <row r="6" spans="1:6">
      <c r="A6" s="30" t="s">
        <v>321</v>
      </c>
      <c r="B6" s="30" t="s">
        <v>316</v>
      </c>
      <c r="C6" s="31">
        <v>3465</v>
      </c>
      <c r="D6" s="31">
        <v>528.55899999999997</v>
      </c>
      <c r="E6" s="31">
        <v>3993.5590000000002</v>
      </c>
      <c r="F6" s="32" t="str">
        <f>VLOOKUP(A6,MarketPlace_Order_Report__2[[#All],[MagentoOrderNo]:[ReasonForCancellation]],21,0)</f>
        <v>bulk cancellation by verification team</v>
      </c>
    </row>
    <row r="7" spans="1:6">
      <c r="A7" s="30" t="s">
        <v>341</v>
      </c>
      <c r="B7" s="30" t="s">
        <v>344</v>
      </c>
      <c r="C7" s="31">
        <v>4050</v>
      </c>
      <c r="D7" s="31">
        <v>617.79700000000003</v>
      </c>
      <c r="E7" s="31">
        <v>4667.7970000000005</v>
      </c>
      <c r="F7" s="32" t="str">
        <f>VLOOKUP(A7,MarketPlace_Order_Report__2[[#All],[MagentoOrderNo]:[ReasonForCancellation]],21,0)</f>
        <v>Found a better price somewhere else</v>
      </c>
    </row>
    <row r="8" spans="1:6">
      <c r="A8" s="30" t="s">
        <v>385</v>
      </c>
      <c r="B8" s="30" t="s">
        <v>388</v>
      </c>
      <c r="C8" s="31">
        <v>3150</v>
      </c>
      <c r="D8" s="31">
        <v>480.50799999999998</v>
      </c>
      <c r="E8" s="31">
        <v>3630.5079999999998</v>
      </c>
      <c r="F8" s="32" t="str">
        <f>VLOOKUP(A8,MarketPlace_Order_Report__2[[#All],[MagentoOrderNo]:[ReasonForCancellation]],21,0)</f>
        <v>Delivery date is too late</v>
      </c>
    </row>
    <row r="9" spans="1:6">
      <c r="A9" s="30" t="s">
        <v>409</v>
      </c>
      <c r="B9" s="30" t="s">
        <v>407</v>
      </c>
      <c r="C9" s="31">
        <v>3375</v>
      </c>
      <c r="D9" s="31">
        <v>514.83100000000002</v>
      </c>
      <c r="E9" s="31">
        <v>3889.8310000000001</v>
      </c>
      <c r="F9" s="32" t="str">
        <f>VLOOKUP(A9,MarketPlace_Order_Report__2[[#All],[MagentoOrderNo]:[ReasonForCancellation]],21,0)</f>
        <v>bulk cancellation by verification team</v>
      </c>
    </row>
    <row r="10" spans="1:6">
      <c r="A10" s="30" t="s">
        <v>449</v>
      </c>
      <c r="B10" s="30" t="s">
        <v>446</v>
      </c>
      <c r="C10" s="31">
        <v>4050</v>
      </c>
      <c r="D10" s="31">
        <v>617.79700000000003</v>
      </c>
      <c r="E10" s="31">
        <v>4667.7970000000005</v>
      </c>
      <c r="F10" s="32" t="str">
        <f>VLOOKUP(A10,MarketPlace_Order_Report__2[[#All],[MagentoOrderNo]:[ReasonForCancellation]],21,0)</f>
        <v>bulk cancellation by verification team</v>
      </c>
    </row>
    <row r="11" spans="1:6">
      <c r="A11" s="30" t="s">
        <v>590</v>
      </c>
      <c r="B11" s="30" t="s">
        <v>582</v>
      </c>
      <c r="C11" s="31">
        <v>3600</v>
      </c>
      <c r="D11" s="31">
        <v>549.15300000000002</v>
      </c>
      <c r="E11" s="31">
        <v>4149.1530000000002</v>
      </c>
      <c r="F11" s="32" t="str">
        <f>VLOOKUP(A11,MarketPlace_Order_Report__2[[#All],[MagentoOrderNo]:[ReasonForCancellation]],21,0)</f>
        <v>bulk cancellation by verification team</v>
      </c>
    </row>
    <row r="12" spans="1:6">
      <c r="A12" s="30" t="s">
        <v>592</v>
      </c>
      <c r="B12" s="30" t="s">
        <v>595</v>
      </c>
      <c r="C12" s="31">
        <v>2700</v>
      </c>
      <c r="D12" s="31">
        <v>411.86399999999998</v>
      </c>
      <c r="E12" s="31">
        <v>3111.864</v>
      </c>
      <c r="F12" s="32" t="str">
        <f>VLOOKUP(A12,MarketPlace_Order_Report__2[[#All],[MagentoOrderNo]:[ReasonForCancellation]],21,0)</f>
        <v>Found a better price somewhere else</v>
      </c>
    </row>
    <row r="13" spans="1:6">
      <c r="A13" s="30" t="s">
        <v>633</v>
      </c>
      <c r="B13" s="30" t="s">
        <v>636</v>
      </c>
      <c r="C13" s="31">
        <v>3800</v>
      </c>
      <c r="D13" s="31">
        <v>579.66200000000003</v>
      </c>
      <c r="E13" s="31">
        <v>4379.6620000000003</v>
      </c>
      <c r="F13" s="32" t="str">
        <f>VLOOKUP(A13,MarketPlace_Order_Report__2[[#All],[MagentoOrderNo]:[ReasonForCancellation]],21,0)</f>
        <v>Delivery date is too late</v>
      </c>
    </row>
    <row r="14" spans="1:6">
      <c r="A14" s="30" t="s">
        <v>751</v>
      </c>
      <c r="B14" s="30" t="s">
        <v>754</v>
      </c>
      <c r="C14" s="31">
        <v>3563</v>
      </c>
      <c r="D14" s="31">
        <v>543.50800000000004</v>
      </c>
      <c r="E14" s="31">
        <v>4106.5079999999998</v>
      </c>
      <c r="F14" s="32" t="str">
        <f>VLOOKUP(A14,MarketPlace_Order_Report__2[[#All],[MagentoOrderNo]:[ReasonForCancellation]],21,0)</f>
        <v>Delivery date is too late</v>
      </c>
    </row>
    <row r="15" spans="1:6">
      <c r="A15" s="30" t="s">
        <v>785</v>
      </c>
      <c r="B15" s="30" t="s">
        <v>781</v>
      </c>
      <c r="C15" s="31">
        <v>3563</v>
      </c>
      <c r="D15" s="31">
        <v>543.50800000000004</v>
      </c>
      <c r="E15" s="31">
        <v>4106.5079999999998</v>
      </c>
      <c r="F15" s="32" t="str">
        <f>VLOOKUP(A15,MarketPlace_Order_Report__2[[#All],[MagentoOrderNo]:[ReasonForCancellation]],21,0)</f>
        <v>Forgot to apply coupon/offers</v>
      </c>
    </row>
    <row r="16" spans="1:6">
      <c r="A16" s="30" t="s">
        <v>838</v>
      </c>
      <c r="B16" s="30" t="s">
        <v>823</v>
      </c>
      <c r="C16" s="31">
        <v>3600</v>
      </c>
      <c r="D16" s="31">
        <v>549.15300000000002</v>
      </c>
      <c r="E16" s="31">
        <v>4149.1530000000002</v>
      </c>
      <c r="F16" s="32" t="str">
        <f>VLOOKUP(A16,MarketPlace_Order_Report__2[[#All],[MagentoOrderNo]:[ReasonForCancellation]],21,0)</f>
        <v>Delivery date is too late</v>
      </c>
    </row>
    <row r="17" spans="1:6">
      <c r="A17" s="30" t="s">
        <v>852</v>
      </c>
      <c r="B17" s="30" t="s">
        <v>844</v>
      </c>
      <c r="C17" s="31">
        <v>3600</v>
      </c>
      <c r="D17" s="31">
        <v>549.154</v>
      </c>
      <c r="E17" s="31">
        <v>4149.1540000000005</v>
      </c>
      <c r="F17" s="32" t="str">
        <f>VLOOKUP(A17,MarketPlace_Order_Report__2[[#All],[MagentoOrderNo]:[ReasonForCancellation]],21,0)</f>
        <v>Change payment method</v>
      </c>
    </row>
    <row r="18" spans="1:6">
      <c r="A18" s="30" t="s">
        <v>983</v>
      </c>
      <c r="B18" s="30" t="s">
        <v>968</v>
      </c>
      <c r="C18" s="31">
        <v>3150</v>
      </c>
      <c r="D18" s="31">
        <v>480.50799999999998</v>
      </c>
      <c r="E18" s="31">
        <v>3630.5079999999998</v>
      </c>
      <c r="F18" s="32" t="str">
        <f>VLOOKUP(A18,MarketPlace_Order_Report__2[[#All],[MagentoOrderNo]:[ReasonForCancellation]],21,0)</f>
        <v>Found a better price somewhere else</v>
      </c>
    </row>
    <row r="19" spans="1:6">
      <c r="A19" s="30" t="s">
        <v>987</v>
      </c>
      <c r="B19" s="30" t="s">
        <v>990</v>
      </c>
      <c r="C19" s="31">
        <v>3150</v>
      </c>
      <c r="D19" s="31">
        <v>480.50799999999998</v>
      </c>
      <c r="E19" s="31">
        <v>3630.5079999999998</v>
      </c>
      <c r="F19" s="32" t="str">
        <f>VLOOKUP(A19,MarketPlace_Order_Report__2[[#All],[MagentoOrderNo]:[ReasonForCancellation]],21,0)</f>
        <v>Change size</v>
      </c>
    </row>
    <row r="20" spans="1:6">
      <c r="A20" s="30" t="s">
        <v>1084</v>
      </c>
      <c r="B20" s="30" t="s">
        <v>1087</v>
      </c>
      <c r="C20" s="31">
        <v>3600</v>
      </c>
      <c r="D20" s="31">
        <v>549.15300000000002</v>
      </c>
      <c r="E20" s="31">
        <v>4149.1530000000002</v>
      </c>
      <c r="F20" s="32" t="str">
        <f>VLOOKUP(A20,MarketPlace_Order_Report__2[[#All],[MagentoOrderNo]:[ReasonForCancellation]],21,0)</f>
        <v>Delivery date is too late</v>
      </c>
    </row>
    <row r="21" spans="1:6">
      <c r="A21" s="30" t="s">
        <v>1202</v>
      </c>
      <c r="B21" s="30" t="s">
        <v>1205</v>
      </c>
      <c r="C21" s="31">
        <v>3800</v>
      </c>
      <c r="D21" s="31">
        <v>579.66099999999994</v>
      </c>
      <c r="E21" s="31">
        <v>4379.6610000000001</v>
      </c>
      <c r="F21" s="32" t="str">
        <f>VLOOKUP(A21,MarketPlace_Order_Report__2[[#All],[MagentoOrderNo]:[ReasonForCancellation]],21,0)</f>
        <v>Verification Cancelled</v>
      </c>
    </row>
    <row r="22" spans="1:6">
      <c r="A22" s="30" t="s">
        <v>1278</v>
      </c>
      <c r="B22" s="30" t="s">
        <v>1281</v>
      </c>
      <c r="C22" s="31">
        <v>2275</v>
      </c>
      <c r="D22" s="31">
        <v>108.333</v>
      </c>
      <c r="E22" s="31">
        <v>2383.3330000000001</v>
      </c>
      <c r="F22" s="32" t="str">
        <f>VLOOKUP(A22,MarketPlace_Order_Report__2[[#All],[MagentoOrderNo]:[ReasonForCancellation]],21,0)</f>
        <v>Found a better price somewhere else</v>
      </c>
    </row>
    <row r="23" spans="1:6">
      <c r="A23" s="30" t="s">
        <v>1329</v>
      </c>
      <c r="B23" s="30" t="s">
        <v>1332</v>
      </c>
      <c r="C23" s="31">
        <v>2275</v>
      </c>
      <c r="D23" s="31">
        <v>108.333</v>
      </c>
      <c r="E23" s="31">
        <v>2383.3330000000001</v>
      </c>
      <c r="F23" s="32" t="str">
        <f>VLOOKUP(A23,MarketPlace_Order_Report__2[[#All],[MagentoOrderNo]:[ReasonForCancellation]],21,0)</f>
        <v>Change style/color</v>
      </c>
    </row>
    <row r="24" spans="1:6">
      <c r="A24" s="30" t="s">
        <v>1412</v>
      </c>
      <c r="B24" s="30" t="s">
        <v>1415</v>
      </c>
      <c r="C24" s="31">
        <v>2275</v>
      </c>
      <c r="D24" s="31">
        <v>108.333</v>
      </c>
      <c r="E24" s="31">
        <v>2383.3330000000001</v>
      </c>
      <c r="F24" s="32" t="str">
        <f>VLOOKUP(A24,MarketPlace_Order_Report__2[[#All],[MagentoOrderNo]:[ReasonForCancellation]],21,0)</f>
        <v>Change style/color</v>
      </c>
    </row>
    <row r="25" spans="1:6">
      <c r="A25" s="30" t="s">
        <v>1498</v>
      </c>
      <c r="B25" s="30" t="s">
        <v>1501</v>
      </c>
      <c r="C25" s="31">
        <v>4000</v>
      </c>
      <c r="D25" s="31">
        <v>610.16899999999998</v>
      </c>
      <c r="E25" s="31">
        <v>4610.1689999999999</v>
      </c>
      <c r="F25" s="32" t="str">
        <f>VLOOKUP(A25,MarketPlace_Order_Report__2[[#All],[MagentoOrderNo]:[ReasonForCancellation]],21,0)</f>
        <v>Change payment method</v>
      </c>
    </row>
    <row r="26" spans="1:6">
      <c r="A26" s="30" t="s">
        <v>1524</v>
      </c>
      <c r="B26" s="30" t="s">
        <v>1527</v>
      </c>
      <c r="C26" s="31">
        <v>4950</v>
      </c>
      <c r="D26" s="31">
        <v>755.08500000000004</v>
      </c>
      <c r="E26" s="31">
        <v>5705.085</v>
      </c>
      <c r="F26" s="32" t="str">
        <f>VLOOKUP(A26,MarketPlace_Order_Report__2[[#All],[MagentoOrderNo]:[ReasonForCancellation]],21,0)</f>
        <v>Delivery date is too late</v>
      </c>
    </row>
    <row r="27" spans="1:6">
      <c r="A27" s="30" t="s">
        <v>1545</v>
      </c>
      <c r="B27" s="30" t="s">
        <v>1548</v>
      </c>
      <c r="C27" s="31">
        <v>5400</v>
      </c>
      <c r="D27" s="31">
        <v>823.72900000000004</v>
      </c>
      <c r="E27" s="31">
        <v>6223.7290000000003</v>
      </c>
      <c r="F27" s="32" t="str">
        <f>VLOOKUP(A27,MarketPlace_Order_Report__2[[#All],[MagentoOrderNo]:[ReasonForCancellation]],21,0)</f>
        <v>Change size</v>
      </c>
    </row>
    <row r="28" spans="1:6">
      <c r="A28" s="30" t="s">
        <v>1603</v>
      </c>
      <c r="B28" s="30" t="s">
        <v>1606</v>
      </c>
      <c r="C28" s="31">
        <v>3600</v>
      </c>
      <c r="D28" s="31">
        <v>549.15300000000002</v>
      </c>
      <c r="E28" s="31">
        <v>4149.1530000000002</v>
      </c>
      <c r="F28" s="32" t="str">
        <f>VLOOKUP(A28,MarketPlace_Order_Report__2[[#All],[MagentoOrderNo]:[ReasonForCancellation]],21,0)</f>
        <v>Change size</v>
      </c>
    </row>
    <row r="29" spans="1:6">
      <c r="A29" s="30" t="s">
        <v>1725</v>
      </c>
      <c r="B29" s="30" t="s">
        <v>1720</v>
      </c>
      <c r="C29" s="31">
        <v>4275</v>
      </c>
      <c r="D29" s="31">
        <v>652.11900000000003</v>
      </c>
      <c r="E29" s="31">
        <v>4927.1189999999997</v>
      </c>
      <c r="F29" s="32" t="str">
        <f>VLOOKUP(A29,MarketPlace_Order_Report__2[[#All],[MagentoOrderNo]:[ReasonForCancellation]],21,0)</f>
        <v>Delivery date is too late</v>
      </c>
    </row>
    <row r="30" spans="1:6">
      <c r="A30" s="30" t="s">
        <v>1770</v>
      </c>
      <c r="B30" s="30" t="s">
        <v>1773</v>
      </c>
      <c r="C30" s="31">
        <v>4275</v>
      </c>
      <c r="D30" s="31">
        <v>652.11900000000003</v>
      </c>
      <c r="E30" s="31">
        <v>4927.1189999999997</v>
      </c>
      <c r="F30" s="32" t="str">
        <f>VLOOKUP(A30,MarketPlace_Order_Report__2[[#All],[MagentoOrderNo]:[ReasonForCancellation]],21,0)</f>
        <v>Verification Cancelled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7A4325-D4C5-4F2C-A8A4-85280C8A00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Sales_Oct_25</vt:lpstr>
      <vt:lpstr>Oct Insights</vt:lpstr>
      <vt:lpstr>Oct_25_All</vt:lpstr>
      <vt:lpstr>Oct_25_Completed</vt:lpstr>
      <vt:lpstr>Oct_25_Return</vt:lpstr>
      <vt:lpstr>Oct_25_RTO</vt:lpstr>
      <vt:lpstr>Oct_25_Cancelled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Sufiyan Mujawar</dc:creator>
  <cp:lastModifiedBy>Mohd Sufiyan Mujawar</cp:lastModifiedBy>
  <dcterms:created xsi:type="dcterms:W3CDTF">2025-11-19T12:39:18Z</dcterms:created>
  <dcterms:modified xsi:type="dcterms:W3CDTF">2025-11-20T10:37:09Z</dcterms:modified>
</cp:coreProperties>
</file>