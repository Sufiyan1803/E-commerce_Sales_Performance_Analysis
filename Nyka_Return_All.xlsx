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-commerce\"/>
    </mc:Choice>
  </mc:AlternateContent>
  <xr:revisionPtr revIDLastSave="0" documentId="13_ncr:1_{6631FAE0-484C-41B2-B849-45AEC9FE5EF4}" xr6:coauthVersionLast="47" xr6:coauthVersionMax="47" xr10:uidLastSave="{00000000-0000-0000-0000-000000000000}"/>
  <bookViews>
    <workbookView xWindow="-108" yWindow="-108" windowWidth="23256" windowHeight="12456" firstSheet="1" activeTab="2" xr2:uid="{176C5D3E-11B5-4079-B871-BFA0365485C0}"/>
  </bookViews>
  <sheets>
    <sheet name="Sheet3" sheetId="3" state="hidden" r:id="rId1"/>
    <sheet name="Return" sheetId="1" r:id="rId2"/>
    <sheet name="Insights" sheetId="2" r:id="rId3"/>
  </sheets>
  <externalReferences>
    <externalReference r:id="rId4"/>
  </externalReferences>
  <definedNames>
    <definedName name="ExternalData_1" localSheetId="1" hidden="1">Return!$A$1:$Q$348</definedName>
    <definedName name="ExternalData_1" localSheetId="1" hidden="1">Return!$A$1:$Q$348</definedName>
    <definedName name="SeptSales">[1]!MarketPlace_Order_Report[#Data]</definedName>
  </definedNames>
  <calcPr calcId="191029"/>
  <pivotCaches>
    <pivotCache cacheId="4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G6" i="2"/>
  <c r="G5" i="2"/>
  <c r="G4" i="2"/>
  <c r="G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AA8A7A-88C4-409E-8A68-05227B3E78CD}" keepAlive="1" name="Query - SellerPanel_Return" description="Connection to the 'SellerPanel_Return' query in the workbook." type="5" refreshedVersion="8" background="1" saveData="1">
    <dbPr connection="Provider=Microsoft.Mashup.OleDb.1;Data Source=$Workbook$;Location=SellerPanel_Return;Extended Properties=&quot;&quot;" command="SELECT * FROM [SellerPanel_Return]"/>
  </connection>
</connections>
</file>

<file path=xl/sharedStrings.xml><?xml version="1.0" encoding="utf-8"?>
<sst xmlns="http://schemas.openxmlformats.org/spreadsheetml/2006/main" count="5285" uniqueCount="2828">
  <si>
    <t>NYK-32358464-7475621-1-1</t>
  </si>
  <si>
    <t>RET_11307663-0713847</t>
  </si>
  <si>
    <t>Product didn't fit</t>
  </si>
  <si>
    <t>Reverse PickUP Done</t>
  </si>
  <si>
    <t>Trip Arrived</t>
  </si>
  <si>
    <t>28449541410611</t>
  </si>
  <si>
    <t>28449522418664</t>
  </si>
  <si>
    <t>Delhivery Surface Reverse</t>
  </si>
  <si>
    <t>CUTAB00001159</t>
  </si>
  <si>
    <t>Delivered Return</t>
  </si>
  <si>
    <t>TK-1007-Green-38</t>
  </si>
  <si>
    <t>NYKF35782386</t>
  </si>
  <si>
    <t>NYK-32358464-7475621-1</t>
  </si>
  <si>
    <t>TINYK12131525</t>
  </si>
  <si>
    <t>NYK-31459966-5800223-1-1</t>
  </si>
  <si>
    <t>RET_10999032-5687030</t>
  </si>
  <si>
    <t>Reverse PickUP Delivered</t>
  </si>
  <si>
    <t>Item Return To Seller Delivered at BOM_ReayRoad_FM</t>
  </si>
  <si>
    <t>R1425556350NYK</t>
  </si>
  <si>
    <t>SF1686995860NYK</t>
  </si>
  <si>
    <t>Shadowfax Reverse</t>
  </si>
  <si>
    <t>CUTAB00000992</t>
  </si>
  <si>
    <t>TK-1006-Cream-34</t>
  </si>
  <si>
    <t>NYKF34790974</t>
  </si>
  <si>
    <t>NYK-31459966-5800223-1</t>
  </si>
  <si>
    <t>TINYK11744671</t>
  </si>
  <si>
    <t>NYK-31240240-1641781-2-1</t>
  </si>
  <si>
    <t>RET_10901183-1392610</t>
  </si>
  <si>
    <t>R1411536481NYK</t>
  </si>
  <si>
    <t>SF1835696355NYK</t>
  </si>
  <si>
    <t>NYKF34552725</t>
  </si>
  <si>
    <t>NYK-31240240-1641781-2</t>
  </si>
  <si>
    <t>TINYK11638766</t>
  </si>
  <si>
    <t>NYK-32440765-0552166-1-1</t>
  </si>
  <si>
    <t>RET_11361835-9398169</t>
  </si>
  <si>
    <t>Item return to seller initiated at OneNCR DC</t>
  </si>
  <si>
    <t>R1539906411NYK</t>
  </si>
  <si>
    <t>28449521149844</t>
  </si>
  <si>
    <t>CUTAB00000988</t>
  </si>
  <si>
    <t>TK-1006-Cream-26</t>
  </si>
  <si>
    <t>NYKF35873696</t>
  </si>
  <si>
    <t>NYK-32440765-0552166-1</t>
  </si>
  <si>
    <t>TINYK12150222</t>
  </si>
  <si>
    <t>NYK-32270140-1371945-1-1</t>
  </si>
  <si>
    <t>RET_11273312-4600604</t>
  </si>
  <si>
    <t>R1513784266NYK</t>
  </si>
  <si>
    <t>28449520588234</t>
  </si>
  <si>
    <t>NYKF35681761</t>
  </si>
  <si>
    <t>NYK-32270140-1371945-1</t>
  </si>
  <si>
    <t>TINYK12049138</t>
  </si>
  <si>
    <t>NYK-31907074-0824688-1-1</t>
  </si>
  <si>
    <t>RET_11126886-2151141</t>
  </si>
  <si>
    <t xml:space="preserve">Fabric quality is not good </t>
  </si>
  <si>
    <t>RETURN Accepted</t>
  </si>
  <si>
    <t>28449540119413</t>
  </si>
  <si>
    <t>237943174772495</t>
  </si>
  <si>
    <t>Didn’t like the quality of product</t>
  </si>
  <si>
    <t>NYKF35280614</t>
  </si>
  <si>
    <t>NYK-31907074-0824688-1</t>
  </si>
  <si>
    <t>TINYK11897670</t>
  </si>
  <si>
    <t>NYK-31788819-0787813-1-1</t>
  </si>
  <si>
    <t/>
  </si>
  <si>
    <t>SF1835844854NYK</t>
  </si>
  <si>
    <t>Shadowfax</t>
  </si>
  <si>
    <t>CUTAB00001128</t>
  </si>
  <si>
    <t>RTO</t>
  </si>
  <si>
    <t>TK-1005-Orange-38</t>
  </si>
  <si>
    <t>NYKF35150401</t>
  </si>
  <si>
    <t>TINYK11822106</t>
  </si>
  <si>
    <t>NYK-31573263-0331618-1-1</t>
  </si>
  <si>
    <t>RET_11016898-4983882</t>
  </si>
  <si>
    <t>R1449322185NYK</t>
  </si>
  <si>
    <t>28449518341164</t>
  </si>
  <si>
    <t>CUTAB00001126</t>
  </si>
  <si>
    <t>TK-1005-Orange-34</t>
  </si>
  <si>
    <t>NYKF34914190</t>
  </si>
  <si>
    <t>NYK-31573263-0331618-1</t>
  </si>
  <si>
    <t>TINYK11772325</t>
  </si>
  <si>
    <t>NYK-32368002-4692261-1-1</t>
  </si>
  <si>
    <t>RET_11291046-9094067</t>
  </si>
  <si>
    <t>Confirmed</t>
  </si>
  <si>
    <t>In Process</t>
  </si>
  <si>
    <t>28449541350400</t>
  </si>
  <si>
    <t>28449520865143</t>
  </si>
  <si>
    <t>CUTAB00001124</t>
  </si>
  <si>
    <t>TK-1005-Orange-30</t>
  </si>
  <si>
    <t>NYKF35792846</t>
  </si>
  <si>
    <t>NYK-32368002-4692261-1</t>
  </si>
  <si>
    <t>TINYK12120472</t>
  </si>
  <si>
    <t>NYK-31795752-7519084-1-1</t>
  </si>
  <si>
    <t>RET_11090451-7411221</t>
  </si>
  <si>
    <t>28449539916236</t>
  </si>
  <si>
    <t>28449537627170</t>
  </si>
  <si>
    <t>CUTAB00001123</t>
  </si>
  <si>
    <t>TK-1005-Orange-28</t>
  </si>
  <si>
    <t>NYKF35157929</t>
  </si>
  <si>
    <t>NYK-31795752-7519084-1</t>
  </si>
  <si>
    <t>TINYK11844071</t>
  </si>
  <si>
    <t>NYK-32356081-0529117-2-1</t>
  </si>
  <si>
    <t>RET_11324366-0726972</t>
  </si>
  <si>
    <t>Shipment Received at Facility</t>
  </si>
  <si>
    <t>28449541476945</t>
  </si>
  <si>
    <t>28449520863651</t>
  </si>
  <si>
    <t>CUTAB00001000</t>
  </si>
  <si>
    <t>TK-1004-Red-30</t>
  </si>
  <si>
    <t>NYKF35779611</t>
  </si>
  <si>
    <t>NYK-32356081-0529117-2</t>
  </si>
  <si>
    <t>TINYK12107621</t>
  </si>
  <si>
    <t>NYK-31553759-4986884-2-1</t>
  </si>
  <si>
    <t>RET_11111304-2456607</t>
  </si>
  <si>
    <t>Product didn't fit- Too Small</t>
  </si>
  <si>
    <t>28449517434200</t>
  </si>
  <si>
    <t>DelhiverySurface</t>
  </si>
  <si>
    <t>CUTAB00000999</t>
  </si>
  <si>
    <t>TK-1004-Red-28</t>
  </si>
  <si>
    <t>NYKF34893208</t>
  </si>
  <si>
    <t>NYK-31553759-4986884-2</t>
  </si>
  <si>
    <t>TINYK11859005</t>
  </si>
  <si>
    <t>NYK-32146701-0587693-3-1</t>
  </si>
  <si>
    <t>RET_11203653-2256310</t>
  </si>
  <si>
    <t>R1483694620NYK</t>
  </si>
  <si>
    <t>237943173100221</t>
  </si>
  <si>
    <t>CUTAB00001003</t>
  </si>
  <si>
    <t>TK-1004-Blue-22</t>
  </si>
  <si>
    <t>NYKF35544479</t>
  </si>
  <si>
    <t>NYK-32146701-0587693-3</t>
  </si>
  <si>
    <t>TINYK11977585</t>
  </si>
  <si>
    <t>NYK-31076512-9644964-1-1</t>
  </si>
  <si>
    <t>28449536312496</t>
  </si>
  <si>
    <t>CUTAB00000748</t>
  </si>
  <si>
    <t>TK-1003-Purple-38</t>
  </si>
  <si>
    <t>NYKF34378528</t>
  </si>
  <si>
    <t>TINYK11562473</t>
  </si>
  <si>
    <t>NYK-31515973-4208651-1-1</t>
  </si>
  <si>
    <t>28449517339991</t>
  </si>
  <si>
    <t>CUTAB00000746</t>
  </si>
  <si>
    <t>TK-1003-Purple-34</t>
  </si>
  <si>
    <t>NYKF34852274</t>
  </si>
  <si>
    <t>TINYK11728657</t>
  </si>
  <si>
    <t>NYK-30779844-6487433-1-1</t>
  </si>
  <si>
    <t>RET_10739942-6024336</t>
  </si>
  <si>
    <t>Product didn't fit- Too Large</t>
  </si>
  <si>
    <t>R1391563080NYK</t>
  </si>
  <si>
    <t>28449513986151</t>
  </si>
  <si>
    <t>CUTAB00000745</t>
  </si>
  <si>
    <t>TK-1003-Purple-32</t>
  </si>
  <si>
    <t>NYKF34065944</t>
  </si>
  <si>
    <t>NYK-30779844-6487433-1</t>
  </si>
  <si>
    <t>TINYK11480759</t>
  </si>
  <si>
    <t>NYK-31582387-2673727-1-1</t>
  </si>
  <si>
    <t>RET_11068512-8651919</t>
  </si>
  <si>
    <t>Didn't like the quality of product</t>
  </si>
  <si>
    <t>Item return to seller initiated at Lucknow DC</t>
  </si>
  <si>
    <t>R1466718511NYK</t>
  </si>
  <si>
    <t>28449518341363</t>
  </si>
  <si>
    <t>CUTAB00000744</t>
  </si>
  <si>
    <t>TK-1003-Purple-30</t>
  </si>
  <si>
    <t>NYKF34923947</t>
  </si>
  <si>
    <t>NYK-31582387-2673727-1</t>
  </si>
  <si>
    <t>TINYK11830929</t>
  </si>
  <si>
    <t>NYK-31668484-3065085-1-1</t>
  </si>
  <si>
    <t>28449518653412</t>
  </si>
  <si>
    <t>CUTAB00000743</t>
  </si>
  <si>
    <t>TK-1003-Purple-28</t>
  </si>
  <si>
    <t>NYKF35016756</t>
  </si>
  <si>
    <t>TINYK11773968</t>
  </si>
  <si>
    <t>NYK-31225565-9703099-1-1</t>
  </si>
  <si>
    <t>RET_10898069-4153322</t>
  </si>
  <si>
    <t>R1425555779NYK</t>
  </si>
  <si>
    <t>237943177489921</t>
  </si>
  <si>
    <t>CUTAB00000741</t>
  </si>
  <si>
    <t>TK-1003-Purple-24</t>
  </si>
  <si>
    <t>NYKF34536982</t>
  </si>
  <si>
    <t>NYK-31225565-9703099-1</t>
  </si>
  <si>
    <t>TINYK11645586</t>
  </si>
  <si>
    <t>NYK-30899964-6014608-2-1</t>
  </si>
  <si>
    <t>RET_10776178-7800171</t>
  </si>
  <si>
    <t>28449536962951</t>
  </si>
  <si>
    <t>88281226946</t>
  </si>
  <si>
    <t>CUTAB00000738</t>
  </si>
  <si>
    <t>TK-1002-Purple-34</t>
  </si>
  <si>
    <t>NYKF34191465</t>
  </si>
  <si>
    <t>NYK-30899964-6014608-2</t>
  </si>
  <si>
    <t>TINYK11518309</t>
  </si>
  <si>
    <t>NYK-31406525-2024343-1-1</t>
  </si>
  <si>
    <t>RET_10928027-1882065</t>
  </si>
  <si>
    <t>Return</t>
  </si>
  <si>
    <t>R1408530010NYK</t>
  </si>
  <si>
    <t>28449516991715</t>
  </si>
  <si>
    <t>CUTAB00000737</t>
  </si>
  <si>
    <t>TK-1002-Purple-32</t>
  </si>
  <si>
    <t>NYKF34733705</t>
  </si>
  <si>
    <t>NYK-31406525-2024343-1</t>
  </si>
  <si>
    <t>TINYK11685687</t>
  </si>
  <si>
    <t>NYK-31959067-0449307-1-1</t>
  </si>
  <si>
    <t>RET_11151285-5377960</t>
  </si>
  <si>
    <t>28449540237234</t>
  </si>
  <si>
    <t>SF1835838610NYK</t>
  </si>
  <si>
    <t>CUTAB00000736</t>
  </si>
  <si>
    <t>TK-1002-Purple-30</t>
  </si>
  <si>
    <t>NYKF35336562</t>
  </si>
  <si>
    <t>NYK-31959067-0449307-1</t>
  </si>
  <si>
    <t>TINYK11924265</t>
  </si>
  <si>
    <t>NYK-31325558-8637151-3-1</t>
  </si>
  <si>
    <t>RET_10927603-9754368</t>
  </si>
  <si>
    <t>R1411533039NYK</t>
  </si>
  <si>
    <t>28449516761990</t>
  </si>
  <si>
    <t>CUTAB00000735</t>
  </si>
  <si>
    <t>TK-1002-Purple-28</t>
  </si>
  <si>
    <t>NYKF34645709</t>
  </si>
  <si>
    <t>NYK-31325558-8637151-3</t>
  </si>
  <si>
    <t>TINYK11672266</t>
  </si>
  <si>
    <t>NYK-31969926-0178192-5-1</t>
  </si>
  <si>
    <t>RET_11146186-7323619</t>
  </si>
  <si>
    <t>R1449314597NYK</t>
  </si>
  <si>
    <t>SF1835839658NYK</t>
  </si>
  <si>
    <t>CUTAB00000733</t>
  </si>
  <si>
    <t>TK-1002-Purple-24</t>
  </si>
  <si>
    <t>NYKF35347775</t>
  </si>
  <si>
    <t>NYK-31969926-0178192-5</t>
  </si>
  <si>
    <t>TINYK11905377</t>
  </si>
  <si>
    <t>NYK-31036967-8015861-1-1</t>
  </si>
  <si>
    <t>237943149779076</t>
  </si>
  <si>
    <t>Nykaa Fashion surface</t>
  </si>
  <si>
    <t>CUTAB00000765</t>
  </si>
  <si>
    <t>Tk-1001-Purple-22</t>
  </si>
  <si>
    <t>NYKF34336109</t>
  </si>
  <si>
    <t>TINYK11551890</t>
  </si>
  <si>
    <t>NYK-30909378-5749551-2-1</t>
  </si>
  <si>
    <t>RET_10724364-9541427</t>
  </si>
  <si>
    <t>I need 10 - 11 years size which is not available</t>
  </si>
  <si>
    <t>28449536708954</t>
  </si>
  <si>
    <t>59494546322</t>
  </si>
  <si>
    <t>BETAE00000126</t>
  </si>
  <si>
    <t>9021-D.Rose-38</t>
  </si>
  <si>
    <t>NYKF34201332</t>
  </si>
  <si>
    <t>NYK-30909378-5749551-2</t>
  </si>
  <si>
    <t>TINYK11460382</t>
  </si>
  <si>
    <t>NYK-30885086-0851173-1-1</t>
  </si>
  <si>
    <t>RET_10742265-9431967</t>
  </si>
  <si>
    <t>R1391563410NYK</t>
  </si>
  <si>
    <t>SF1835746360NYK</t>
  </si>
  <si>
    <t>BETAE00000124</t>
  </si>
  <si>
    <t>9021-D.Rose-34</t>
  </si>
  <si>
    <t>NYKF34175718</t>
  </si>
  <si>
    <t>NYK-30885086-0851173-1</t>
  </si>
  <si>
    <t>TINYK11472282</t>
  </si>
  <si>
    <t>NYK-32226811-6848074-1-1</t>
  </si>
  <si>
    <t>RET_11240496-8390031</t>
  </si>
  <si>
    <t>Don't need it anymore</t>
  </si>
  <si>
    <t>Bag Received at Facility</t>
  </si>
  <si>
    <t>28449541115270</t>
  </si>
  <si>
    <t>28449520407575</t>
  </si>
  <si>
    <t>BETAE00000116</t>
  </si>
  <si>
    <t>9005-Fawn-40</t>
  </si>
  <si>
    <t>NYKF35632751</t>
  </si>
  <si>
    <t>NYK-32226811-6848074-1</t>
  </si>
  <si>
    <t>TINYK12036834</t>
  </si>
  <si>
    <t>NYK-31332584-5461792-1-1</t>
  </si>
  <si>
    <t>RET_10904148-5475569</t>
  </si>
  <si>
    <t>R1411554302NYK</t>
  </si>
  <si>
    <t>SF1835706294NYK</t>
  </si>
  <si>
    <t>BETAE00000198</t>
  </si>
  <si>
    <t>7928-Rani-32</t>
  </si>
  <si>
    <t>NYKF34653165</t>
  </si>
  <si>
    <t>NYK-31332584-5461792-1</t>
  </si>
  <si>
    <t>TINYK11650206</t>
  </si>
  <si>
    <t>NYK-30737310-2189418-1-1</t>
  </si>
  <si>
    <t>RET_10738133-6373718</t>
  </si>
  <si>
    <t>R1391562859NYK</t>
  </si>
  <si>
    <t>88317396366</t>
  </si>
  <si>
    <t>BETAE00000195</t>
  </si>
  <si>
    <t>7928-Rani-26</t>
  </si>
  <si>
    <t>NYKF34022634</t>
  </si>
  <si>
    <t>NYK-30737310-2189418-1</t>
  </si>
  <si>
    <t>TINYK11483679</t>
  </si>
  <si>
    <t>NYK-30668007-7237521-2-1</t>
  </si>
  <si>
    <t>28449503655061</t>
  </si>
  <si>
    <t>BETAE00000104</t>
  </si>
  <si>
    <t>7908-Neon Lemon-38</t>
  </si>
  <si>
    <t>NYKF33950287</t>
  </si>
  <si>
    <t>TINYK11402970</t>
  </si>
  <si>
    <t>NYK-30217597-0541007-1-1</t>
  </si>
  <si>
    <t>28449502753752</t>
  </si>
  <si>
    <t>BETAE00000102</t>
  </si>
  <si>
    <t>7908-Neon Lemon-34</t>
  </si>
  <si>
    <t>NYKF33475990</t>
  </si>
  <si>
    <t>TINYK11247202</t>
  </si>
  <si>
    <t>NYK-27842882-9650538-1-1</t>
  </si>
  <si>
    <t>RET_9679874-0878625</t>
  </si>
  <si>
    <t xml:space="preserve">Fitting issue </t>
  </si>
  <si>
    <t>Item Return To Seller Delivered at BOM_LowerParel</t>
  </si>
  <si>
    <t>R1238709472NYK</t>
  </si>
  <si>
    <t>28449485554085</t>
  </si>
  <si>
    <t>BETAE00000036</t>
  </si>
  <si>
    <t>4676-Wine-24</t>
  </si>
  <si>
    <t>NYKF30723027</t>
  </si>
  <si>
    <t>NYK-27842882-9650538-1</t>
  </si>
  <si>
    <t>TINYK10424533</t>
  </si>
  <si>
    <t>NYK-32479200-5788339-1-1</t>
  </si>
  <si>
    <t>RET_11358330-6383002</t>
  </si>
  <si>
    <t>28449541646533</t>
  </si>
  <si>
    <t>28449521349554</t>
  </si>
  <si>
    <t>BETAE00000047</t>
  </si>
  <si>
    <t>4594-R.Green-24</t>
  </si>
  <si>
    <t>NYKF35914506</t>
  </si>
  <si>
    <t>NYK-32479200-5788339-1</t>
  </si>
  <si>
    <t>TINYK12154520</t>
  </si>
  <si>
    <t>NYK-32168444-6797570-2-1</t>
  </si>
  <si>
    <t>RET_11252994-6331274</t>
  </si>
  <si>
    <t>R1513788798NYK</t>
  </si>
  <si>
    <t>28449520403401</t>
  </si>
  <si>
    <t>BETAE00000278</t>
  </si>
  <si>
    <t>4585-Orchid-30</t>
  </si>
  <si>
    <t>NYKF35568088</t>
  </si>
  <si>
    <t>NYK-32168444-6797570-2</t>
  </si>
  <si>
    <t>TINYK12050782</t>
  </si>
  <si>
    <t>NYK-31696742-7413251-1-1</t>
  </si>
  <si>
    <t>RET_11066577-2684108</t>
  </si>
  <si>
    <t>Not like the fit</t>
  </si>
  <si>
    <t>28449539810680</t>
  </si>
  <si>
    <t>28449518648755</t>
  </si>
  <si>
    <t>NYKF35049430</t>
  </si>
  <si>
    <t>NYK-31696742-7413251-1</t>
  </si>
  <si>
    <t>TINYK11823774</t>
  </si>
  <si>
    <t>NYK-31349897-2781504-1-1</t>
  </si>
  <si>
    <t>SF1835705821NYK</t>
  </si>
  <si>
    <t>BETAE00000277</t>
  </si>
  <si>
    <t>4585-Orchid-28</t>
  </si>
  <si>
    <t>NYKF34672312</t>
  </si>
  <si>
    <t>TINYK11656747</t>
  </si>
  <si>
    <t>NYK-31168865-0045079-2-1</t>
  </si>
  <si>
    <t>RET_10847620-1078575</t>
  </si>
  <si>
    <t>28449538814414</t>
  </si>
  <si>
    <t>28449538118231</t>
  </si>
  <si>
    <t>NYKF34476626</t>
  </si>
  <si>
    <t>NYK-31168865-0045079-2</t>
  </si>
  <si>
    <t>TINYK11592714</t>
  </si>
  <si>
    <t>NYK-31177835-7193663-1-1</t>
  </si>
  <si>
    <t>RET_10889988-2466851</t>
  </si>
  <si>
    <t>R1425573251NYK</t>
  </si>
  <si>
    <t>28449538354116</t>
  </si>
  <si>
    <t>BETAE00000206</t>
  </si>
  <si>
    <t>4507-Mustard-26</t>
  </si>
  <si>
    <t>NYKF34486144</t>
  </si>
  <si>
    <t>NYK-31177835-7193663-1</t>
  </si>
  <si>
    <t>TINYK11646400</t>
  </si>
  <si>
    <t>NYK-30513986-5815935-1-1</t>
  </si>
  <si>
    <t>RET_10630279-6221045</t>
  </si>
  <si>
    <t>R1375557238NYK</t>
  </si>
  <si>
    <t>237943149976933</t>
  </si>
  <si>
    <t>BETAE00000070</t>
  </si>
  <si>
    <t>4485-Green-40</t>
  </si>
  <si>
    <t>NYKF33788384</t>
  </si>
  <si>
    <t>NYK-30513986-5815935-1</t>
  </si>
  <si>
    <t>TINYK11359520</t>
  </si>
  <si>
    <t>NYK-32153685-5409393-1-1</t>
  </si>
  <si>
    <t>RET_11309465-1031280</t>
  </si>
  <si>
    <t>Bag in transit for return at Satna DC</t>
  </si>
  <si>
    <t>R1435776196NYK</t>
  </si>
  <si>
    <t>237943174947053</t>
  </si>
  <si>
    <t>BETAE00000247</t>
  </si>
  <si>
    <t>4455-Rasberry-38</t>
  </si>
  <si>
    <t>NYKF35551888</t>
  </si>
  <si>
    <t>NYK-32153685-5409393-1</t>
  </si>
  <si>
    <t>TINYK12142242</t>
  </si>
  <si>
    <t>RET_10890006-2625327</t>
  </si>
  <si>
    <t>R1425560583NYK</t>
  </si>
  <si>
    <t>BETAE00000416</t>
  </si>
  <si>
    <t>4306-Blue-26</t>
  </si>
  <si>
    <t>TINYK11646019</t>
  </si>
  <si>
    <t>NYK-31611576-1333839-1-1</t>
  </si>
  <si>
    <t>RET_11016043-0446764</t>
  </si>
  <si>
    <t>Images are clear</t>
  </si>
  <si>
    <t>R1449324317NYK</t>
  </si>
  <si>
    <t>SF1687022985NYK</t>
  </si>
  <si>
    <t>Received wrong size</t>
  </si>
  <si>
    <t>BETAE00000460</t>
  </si>
  <si>
    <t>4288-Lilac-28</t>
  </si>
  <si>
    <t>NYKF34955800</t>
  </si>
  <si>
    <t>NYK-31611576-1333839-1</t>
  </si>
  <si>
    <t>TINYK11782243</t>
  </si>
  <si>
    <t>NYK-31910269-9146435-3-1</t>
  </si>
  <si>
    <t>RET_11131252-8925183</t>
  </si>
  <si>
    <t>R1483689335NYK</t>
  </si>
  <si>
    <t>SF1835832287NYK</t>
  </si>
  <si>
    <t>TINAD00000753</t>
  </si>
  <si>
    <t>2470-Green-28</t>
  </si>
  <si>
    <t>NYKF35283943</t>
  </si>
  <si>
    <t>NYK-31910269-9146435-3</t>
  </si>
  <si>
    <t>TINYK11886821</t>
  </si>
  <si>
    <t>NYK-31277861-1135817-2-1</t>
  </si>
  <si>
    <t>28449517644664</t>
  </si>
  <si>
    <t>TINAD00000281</t>
  </si>
  <si>
    <t>2467-Cream-34</t>
  </si>
  <si>
    <t>NYKF34593755</t>
  </si>
  <si>
    <t>TINYK11659793</t>
  </si>
  <si>
    <t>NYK-32144171-4739451-1-1</t>
  </si>
  <si>
    <t>RET_11275056-4403916</t>
  </si>
  <si>
    <t>Poor quality</t>
  </si>
  <si>
    <t>28449541252691</t>
  </si>
  <si>
    <t>28449521862363</t>
  </si>
  <si>
    <t>TINAD00000696</t>
  </si>
  <si>
    <t>2461-Blue-28</t>
  </si>
  <si>
    <t>NYKF35541582</t>
  </si>
  <si>
    <t>NYK-32144171-4739451-1</t>
  </si>
  <si>
    <t>TINYK12065509</t>
  </si>
  <si>
    <t>NYK-32149690-5827160-1-1</t>
  </si>
  <si>
    <t>28449521848750</t>
  </si>
  <si>
    <t>TINAD00000602</t>
  </si>
  <si>
    <t>2458-Fawn-28</t>
  </si>
  <si>
    <t>NYKF35547656</t>
  </si>
  <si>
    <t>TINYK12040248</t>
  </si>
  <si>
    <t>NYK-30091549-0703626-2-1</t>
  </si>
  <si>
    <t>RET_10443069-0521065</t>
  </si>
  <si>
    <t>Change of mind - Don't need it anymore</t>
  </si>
  <si>
    <t>R1349941558NYK</t>
  </si>
  <si>
    <t>237943148204500</t>
  </si>
  <si>
    <t>TINAD00000289</t>
  </si>
  <si>
    <t>2451-Yellow-30</t>
  </si>
  <si>
    <t>NYKF33337922</t>
  </si>
  <si>
    <t>NYK-30091549-0703626-2</t>
  </si>
  <si>
    <t>TINYK11208404</t>
  </si>
  <si>
    <t>NYK-31065076-3815090-3-1</t>
  </si>
  <si>
    <t>RET_10814187-9183962</t>
  </si>
  <si>
    <t>The fit is not proper as mentioned in the website.please return</t>
  </si>
  <si>
    <t>R1408446922NYK</t>
  </si>
  <si>
    <t>SF1835758582NYK</t>
  </si>
  <si>
    <t>TINAD00000105</t>
  </si>
  <si>
    <t>2445-Pink-34</t>
  </si>
  <si>
    <t>NYKF34366225</t>
  </si>
  <si>
    <t>NYK-31065076-3815090-3</t>
  </si>
  <si>
    <t>TINYK11548009</t>
  </si>
  <si>
    <t>NYK-29785723-0211354-1-1</t>
  </si>
  <si>
    <t>RET_10310944-5356548</t>
  </si>
  <si>
    <t>R1336440592NYK</t>
  </si>
  <si>
    <t>88280146813</t>
  </si>
  <si>
    <t>TINAD00000100</t>
  </si>
  <si>
    <t>2445-Pink-24</t>
  </si>
  <si>
    <t>NYKF33004377</t>
  </si>
  <si>
    <t>NYK-29785723-0211354-1</t>
  </si>
  <si>
    <t>TINYK11047238</t>
  </si>
  <si>
    <t>NYK-31793370-1336364-2-1</t>
  </si>
  <si>
    <t>SF1835847182NYK</t>
  </si>
  <si>
    <t>TINAD00000643</t>
  </si>
  <si>
    <t>2441-N.Green-36</t>
  </si>
  <si>
    <t>NYKF35155455</t>
  </si>
  <si>
    <t>TINYK11968719</t>
  </si>
  <si>
    <t>NYK-31736410-1067072-6-1</t>
  </si>
  <si>
    <t>RET_11121978-5188918</t>
  </si>
  <si>
    <t>R1435771649NYK</t>
  </si>
  <si>
    <t>SF1835810283NYK</t>
  </si>
  <si>
    <t>TINAD00000272</t>
  </si>
  <si>
    <t>2433-Cream-36</t>
  </si>
  <si>
    <t>NYKF35092877</t>
  </si>
  <si>
    <t>NYK-31736410-1067072-6</t>
  </si>
  <si>
    <t>TINYK11901730</t>
  </si>
  <si>
    <t>NYK-31161812-0233907-1-1</t>
  </si>
  <si>
    <t>SF1835689647NYK</t>
  </si>
  <si>
    <t>TINAD00000271</t>
  </si>
  <si>
    <t>2433-Cream-34</t>
  </si>
  <si>
    <t>NYKF34468967</t>
  </si>
  <si>
    <t>TINYK11610563</t>
  </si>
  <si>
    <t>NYK-32055251-5141451-3-1</t>
  </si>
  <si>
    <t>RET_11233458-5300546</t>
  </si>
  <si>
    <t>R1513794993NYK</t>
  </si>
  <si>
    <t>SF1835859838NYK</t>
  </si>
  <si>
    <t>TINAD00000267</t>
  </si>
  <si>
    <t>2433-Cream-26</t>
  </si>
  <si>
    <t>NYKF35441293</t>
  </si>
  <si>
    <t>NYK-32055251-5141451-3</t>
  </si>
  <si>
    <t>TINYK12007813</t>
  </si>
  <si>
    <t>NYK-30844782-2332057-1-1</t>
  </si>
  <si>
    <t>RET_10712879-9613220</t>
  </si>
  <si>
    <t>28449536651370</t>
  </si>
  <si>
    <t>SF1835670019NYK</t>
  </si>
  <si>
    <t>TINAD00000033</t>
  </si>
  <si>
    <t>2426-Pink-24</t>
  </si>
  <si>
    <t>NYKF34133264</t>
  </si>
  <si>
    <t>NYK-30844782-2332057-1</t>
  </si>
  <si>
    <t>TINYK11456126</t>
  </si>
  <si>
    <t>NYK-31793412-1444463-1-1</t>
  </si>
  <si>
    <t>RET_11125961-6152244</t>
  </si>
  <si>
    <t>28449540119984</t>
  </si>
  <si>
    <t>28449518911572</t>
  </si>
  <si>
    <t>TINAD00000626</t>
  </si>
  <si>
    <t>2425-Pink-20</t>
  </si>
  <si>
    <t>NYKF35155492</t>
  </si>
  <si>
    <t>NYK-31793412-1444463-1</t>
  </si>
  <si>
    <t>TINYK11897340</t>
  </si>
  <si>
    <t>NYK-32320008-0448539-2-1</t>
  </si>
  <si>
    <t>28449522285023</t>
  </si>
  <si>
    <t>TINAD00000263</t>
  </si>
  <si>
    <t>2410-Fuchsia-38</t>
  </si>
  <si>
    <t>NYKF35738082</t>
  </si>
  <si>
    <t>TINYK12041143</t>
  </si>
  <si>
    <t>NYK-32247778-2847338-4-1</t>
  </si>
  <si>
    <t>RET_11241699-3896503</t>
  </si>
  <si>
    <t>28449541122760</t>
  </si>
  <si>
    <t>28449520507222</t>
  </si>
  <si>
    <t>NYKF35656463</t>
  </si>
  <si>
    <t>NYK-32247778-2847338-4</t>
  </si>
  <si>
    <t>TINYK12023783</t>
  </si>
  <si>
    <t>NYK-32499144-8063121-1-1</t>
  </si>
  <si>
    <t>RET_11320167-7788078</t>
  </si>
  <si>
    <t>Bag Added To Trip</t>
  </si>
  <si>
    <t>28449541466224</t>
  </si>
  <si>
    <t>28449521353706</t>
  </si>
  <si>
    <t>TINAD00000262</t>
  </si>
  <si>
    <t>2410-Fuchsia-36</t>
  </si>
  <si>
    <t>NYKF35935950</t>
  </si>
  <si>
    <t>NYK-32499144-8063121-1</t>
  </si>
  <si>
    <t>TINYK12103919</t>
  </si>
  <si>
    <t>NYK-32030101-8465440-1-1</t>
  </si>
  <si>
    <t>SF1835856296NYK</t>
  </si>
  <si>
    <t>TINAD00000261</t>
  </si>
  <si>
    <t>2410-Fuchsia-34</t>
  </si>
  <si>
    <t>NYKF35413340</t>
  </si>
  <si>
    <t>TINYK12038957</t>
  </si>
  <si>
    <t>NYK-30855526-7943386-1-1</t>
  </si>
  <si>
    <t>RET_10772728-8937659</t>
  </si>
  <si>
    <t>R1402708918NYK</t>
  </si>
  <si>
    <t>SF1835662165NYK</t>
  </si>
  <si>
    <t>NYKF34144582</t>
  </si>
  <si>
    <t>NYK-30855526-7943386-1</t>
  </si>
  <si>
    <t>TINYK11514458</t>
  </si>
  <si>
    <t>NYK-30830148-9216797-1-1</t>
  </si>
  <si>
    <t>RET_10751918-0954819</t>
  </si>
  <si>
    <t>R1393013878NYK</t>
  </si>
  <si>
    <t>SF1835662020NYK</t>
  </si>
  <si>
    <t>NYKF34140018</t>
  </si>
  <si>
    <t>NYK-30830148-9216797-1</t>
  </si>
  <si>
    <t>TINYK11489389</t>
  </si>
  <si>
    <t>NYK-30720007-2408942-1-1</t>
  </si>
  <si>
    <t>RET_10673770-9216566</t>
  </si>
  <si>
    <t>R1380428836NYK</t>
  </si>
  <si>
    <t>SF1835652186NYK</t>
  </si>
  <si>
    <t>TINAD00000260</t>
  </si>
  <si>
    <t>2410-Fuchsia-32</t>
  </si>
  <si>
    <t>NYKF34004262</t>
  </si>
  <si>
    <t>NYK-30720007-2408942-1</t>
  </si>
  <si>
    <t>TINYK11406736</t>
  </si>
  <si>
    <t>NYK-31621872-6205969-2-1</t>
  </si>
  <si>
    <t>SF1835792148NYK</t>
  </si>
  <si>
    <t>TINAD00000259</t>
  </si>
  <si>
    <t>2410-Fuchsia-30</t>
  </si>
  <si>
    <t>NYKF34966624</t>
  </si>
  <si>
    <t>TINYK11824727</t>
  </si>
  <si>
    <t>NYK-31614771-8712561-1-1</t>
  </si>
  <si>
    <t>RET_11038452-3497778</t>
  </si>
  <si>
    <t>R1449322674NYK</t>
  </si>
  <si>
    <t>28449537157772</t>
  </si>
  <si>
    <t>TINAD00000257</t>
  </si>
  <si>
    <t>2410-Fuchsia-26</t>
  </si>
  <si>
    <t>NYKF34959251</t>
  </si>
  <si>
    <t>NYK-31614771-8712561-1</t>
  </si>
  <si>
    <t>TINYK11797342</t>
  </si>
  <si>
    <t>NYK-30219565-5511255-1-1</t>
  </si>
  <si>
    <t>RET_10483607-8222126</t>
  </si>
  <si>
    <t>R1355934755NYK</t>
  </si>
  <si>
    <t>28449504085900</t>
  </si>
  <si>
    <t>NYKF33478137</t>
  </si>
  <si>
    <t>NYK-30219565-5511255-1</t>
  </si>
  <si>
    <t>TINYK11215171</t>
  </si>
  <si>
    <t>NYK-32047794-8474444-1-1</t>
  </si>
  <si>
    <t>RET_11201539-3998523</t>
  </si>
  <si>
    <t>Item received at RTS destination hub BOM_ReayRoad_FM</t>
  </si>
  <si>
    <t>R1466723446NYK</t>
  </si>
  <si>
    <t>28449519870771</t>
  </si>
  <si>
    <t>TINAD00000256</t>
  </si>
  <si>
    <t>2410-Fuchsia-24</t>
  </si>
  <si>
    <t>NYKF35433281</t>
  </si>
  <si>
    <t>NYK-32047794-8474444-1</t>
  </si>
  <si>
    <t>TINYK12043131</t>
  </si>
  <si>
    <t>NYK-31643892-7480367-2-1</t>
  </si>
  <si>
    <t>RET_11146656-9447335</t>
  </si>
  <si>
    <t>R1483697238NYK</t>
  </si>
  <si>
    <t>SF1687030600NYK</t>
  </si>
  <si>
    <t>TINAD00000116</t>
  </si>
  <si>
    <t>2408-Pink-36</t>
  </si>
  <si>
    <t>NYKF34990036</t>
  </si>
  <si>
    <t>NYK-31643892-7480367-2</t>
  </si>
  <si>
    <t>TINYK11910018</t>
  </si>
  <si>
    <t>NYK-31103383-1253828-1-1</t>
  </si>
  <si>
    <t>RET_10813635-6143332</t>
  </si>
  <si>
    <t xml:space="preserve">The dress is not good and fabric is worst and the quality is very bad </t>
  </si>
  <si>
    <t>28449538664942</t>
  </si>
  <si>
    <t>88281395285</t>
  </si>
  <si>
    <t>TINAD00000115</t>
  </si>
  <si>
    <t>2408-Pink-34</t>
  </si>
  <si>
    <t>NYKF34406912</t>
  </si>
  <si>
    <t>NYK-31103383-1253828-1</t>
  </si>
  <si>
    <t>TINYK11585975</t>
  </si>
  <si>
    <t>NYK-31248590-8773922-1-1</t>
  </si>
  <si>
    <t>RET_10914766-2373477</t>
  </si>
  <si>
    <t xml:space="preserve">Febric is not good ?Nd not looks good </t>
  </si>
  <si>
    <t>28449539139542</t>
  </si>
  <si>
    <t>SF1835701926NYK</t>
  </si>
  <si>
    <t>TINAD00000114</t>
  </si>
  <si>
    <t>2408-Pink-32</t>
  </si>
  <si>
    <t>NYKF34561830</t>
  </si>
  <si>
    <t>NYK-31248590-8773922-1</t>
  </si>
  <si>
    <t>TINYK11665004</t>
  </si>
  <si>
    <t>NYK-31339915-2903347-1-1</t>
  </si>
  <si>
    <t>RET_10908525-7281813</t>
  </si>
  <si>
    <t>28449539111575</t>
  </si>
  <si>
    <t>SF1686972325NYK</t>
  </si>
  <si>
    <t>TINAD00000112</t>
  </si>
  <si>
    <t>2408-Pink-28</t>
  </si>
  <si>
    <t>NYKF34661200</t>
  </si>
  <si>
    <t>NYK-31339915-2903347-1</t>
  </si>
  <si>
    <t>TINYK11676136</t>
  </si>
  <si>
    <t>RET_11125972-6221925</t>
  </si>
  <si>
    <t>28449540121476</t>
  </si>
  <si>
    <t>TINAD00000108</t>
  </si>
  <si>
    <t>2408-Pink-20</t>
  </si>
  <si>
    <t>TINYK11896804</t>
  </si>
  <si>
    <t>NYK-31360624-1451798-1-1</t>
  </si>
  <si>
    <t>28449517831133</t>
  </si>
  <si>
    <t>TINAD00000514</t>
  </si>
  <si>
    <t>2407-SkyBlue-32</t>
  </si>
  <si>
    <t>NYKF34683715</t>
  </si>
  <si>
    <t>TINYK11716628</t>
  </si>
  <si>
    <t>NYK-31617881-6065113-1-1</t>
  </si>
  <si>
    <t>RET_11071048-5741867</t>
  </si>
  <si>
    <t>Size</t>
  </si>
  <si>
    <t>R1435778873NYK</t>
  </si>
  <si>
    <t>28449518479580</t>
  </si>
  <si>
    <t>TINAD00000522</t>
  </si>
  <si>
    <t>2394-Green-32</t>
  </si>
  <si>
    <t>NYKF34962381</t>
  </si>
  <si>
    <t>NYK-31617881-6065113-1</t>
  </si>
  <si>
    <t>TINYK11833196</t>
  </si>
  <si>
    <t>TINAD00000521</t>
  </si>
  <si>
    <t>2394-Green-30</t>
  </si>
  <si>
    <t>NYK-31132402-1044484-1-1</t>
  </si>
  <si>
    <t>RET_10808706-5900595</t>
  </si>
  <si>
    <t>Not value for money poor quality</t>
  </si>
  <si>
    <t>28449538612033</t>
  </si>
  <si>
    <t>59494668295</t>
  </si>
  <si>
    <t>TINAD00000212</t>
  </si>
  <si>
    <t>2377-NeonYellow-34</t>
  </si>
  <si>
    <t>NYKF34437436</t>
  </si>
  <si>
    <t>NYK-31132402-1044484-1</t>
  </si>
  <si>
    <t>TINYK11547679</t>
  </si>
  <si>
    <t>NYK-31628925-2346748-1-1</t>
  </si>
  <si>
    <t>RET_11047860-4430015</t>
  </si>
  <si>
    <t>R1435754808NYK</t>
  </si>
  <si>
    <t>28449537154795</t>
  </si>
  <si>
    <t>TINAD00000211</t>
  </si>
  <si>
    <t>2377-NeonYellow-32</t>
  </si>
  <si>
    <t>NYKF34974383</t>
  </si>
  <si>
    <t>NYK-31628925-2346748-1</t>
  </si>
  <si>
    <t>TINYK11799295</t>
  </si>
  <si>
    <t>RET_11125981-6271848</t>
  </si>
  <si>
    <t>28449540119004</t>
  </si>
  <si>
    <t>TINAD00000205</t>
  </si>
  <si>
    <t>2377-NeonYellow-20</t>
  </si>
  <si>
    <t>TINYK11887432</t>
  </si>
  <si>
    <t>NYK-32048316-0083109-1-1</t>
  </si>
  <si>
    <t>RET_11196428-8317676</t>
  </si>
  <si>
    <t>R1483685153NYK</t>
  </si>
  <si>
    <t>28449519874610</t>
  </si>
  <si>
    <t>TINAD00000203</t>
  </si>
  <si>
    <t>2377-Lavender-36</t>
  </si>
  <si>
    <t>NYKF35433862</t>
  </si>
  <si>
    <t>NYK-32048316-0083109-1</t>
  </si>
  <si>
    <t>TINYK11977995</t>
  </si>
  <si>
    <t>NYK-32255483-9312759-2-1</t>
  </si>
  <si>
    <t>RET_11252967-6180685</t>
  </si>
  <si>
    <t>R1501560064NYK</t>
  </si>
  <si>
    <t>28449520501946</t>
  </si>
  <si>
    <t>TINAD00000085</t>
  </si>
  <si>
    <t>2366-Peach-34</t>
  </si>
  <si>
    <t>NYKF35664912</t>
  </si>
  <si>
    <t>NYK-32255483-9312759-2</t>
  </si>
  <si>
    <t>TINYK12033035</t>
  </si>
  <si>
    <t>NYK-31233598-3281228-4-1</t>
  </si>
  <si>
    <t>RET_10910991-0737764</t>
  </si>
  <si>
    <t>R1425573457NYK</t>
  </si>
  <si>
    <t>SF1686952929NYK</t>
  </si>
  <si>
    <t>NYKF34545860</t>
  </si>
  <si>
    <t>NYK-31233598-3281228-4</t>
  </si>
  <si>
    <t>TINYK11651676</t>
  </si>
  <si>
    <t>NYK-31390982-6502598-1-1</t>
  </si>
  <si>
    <t>RET_10944357-1043166</t>
  </si>
  <si>
    <t>R1411539252NYK</t>
  </si>
  <si>
    <t>28449516985091</t>
  </si>
  <si>
    <t>TINAD00000084</t>
  </si>
  <si>
    <t>2366-Peach-32</t>
  </si>
  <si>
    <t>NYKF34716555</t>
  </si>
  <si>
    <t>NYK-31390982-6502598-1</t>
  </si>
  <si>
    <t>TINYK11703860</t>
  </si>
  <si>
    <t>NYK-31932645-4823425-2-1</t>
  </si>
  <si>
    <t>SF1835865163NYK</t>
  </si>
  <si>
    <t>TINAD00000079</t>
  </si>
  <si>
    <t>2366-Peach-22</t>
  </si>
  <si>
    <t>NYKF35308044</t>
  </si>
  <si>
    <t>TINYK11898204</t>
  </si>
  <si>
    <t>NYK-28680361-4828262-2-1</t>
  </si>
  <si>
    <t>28449501299421</t>
  </si>
  <si>
    <t>TINAD00000006</t>
  </si>
  <si>
    <t>2366-M.Blue-30</t>
  </si>
  <si>
    <t>NYKF31641137</t>
  </si>
  <si>
    <t>TINYK10679122</t>
  </si>
  <si>
    <t>NYK-29579439-6484505-1-1</t>
  </si>
  <si>
    <t>RET_10269158-9349478</t>
  </si>
  <si>
    <t>R1330291429NYK</t>
  </si>
  <si>
    <t>28449508147635</t>
  </si>
  <si>
    <t>TINAD00000005</t>
  </si>
  <si>
    <t>2366-M.Blue-28</t>
  </si>
  <si>
    <t>NYKF32783292</t>
  </si>
  <si>
    <t>NYK-29579439-6484505-1</t>
  </si>
  <si>
    <t>TINYK11008777</t>
  </si>
  <si>
    <t>RET_11071042-5673204</t>
  </si>
  <si>
    <t xml:space="preserve">Size issues </t>
  </si>
  <si>
    <t>R1466719375NYK</t>
  </si>
  <si>
    <t>TINAD00000250</t>
  </si>
  <si>
    <t>2362-White-32</t>
  </si>
  <si>
    <t>TINYK11833049</t>
  </si>
  <si>
    <t>NYK-31442695-9517703-2-1</t>
  </si>
  <si>
    <t>RET_10952291-2451022</t>
  </si>
  <si>
    <t>R1408517501NYK</t>
  </si>
  <si>
    <t>59494803594</t>
  </si>
  <si>
    <t>TINAD00000556</t>
  </si>
  <si>
    <t>2328-Orange-32</t>
  </si>
  <si>
    <t>NYKF34771666</t>
  </si>
  <si>
    <t>NYK-31442695-9517703-2</t>
  </si>
  <si>
    <t>TINYK11712490</t>
  </si>
  <si>
    <t>NYK-31754627-8007910-1-1</t>
  </si>
  <si>
    <t>RET_11057464-4024770</t>
  </si>
  <si>
    <t>Fabric quality not good.</t>
  </si>
  <si>
    <t>28449539777673</t>
  </si>
  <si>
    <t>28449537506420</t>
  </si>
  <si>
    <t>TINAD00000547</t>
  </si>
  <si>
    <t>2321-Fawn-34</t>
  </si>
  <si>
    <t>NYKF35113315</t>
  </si>
  <si>
    <t>NYK-31754627-8007910-1</t>
  </si>
  <si>
    <t>TINYK11835348</t>
  </si>
  <si>
    <t>NYK-30978670-6566019-3-1</t>
  </si>
  <si>
    <t>RET_10783029-0655854</t>
  </si>
  <si>
    <t xml:space="preserve">I dint like the fit of the pant. Extremely loose. </t>
  </si>
  <si>
    <t>R1404653885NYK</t>
  </si>
  <si>
    <t>SF1835753151NYK</t>
  </si>
  <si>
    <t>TINAD00000164</t>
  </si>
  <si>
    <t>2313-Pink-38</t>
  </si>
  <si>
    <t>NYKF34274810</t>
  </si>
  <si>
    <t>NYK-30978670-6566019-3</t>
  </si>
  <si>
    <t>TINYK11522595</t>
  </si>
  <si>
    <t>NYK-32305000-4269490-4-1</t>
  </si>
  <si>
    <t>RET_11264312-7448954</t>
  </si>
  <si>
    <t>R1501575299NYK</t>
  </si>
  <si>
    <t>88282000461</t>
  </si>
  <si>
    <t>CUTAB00001223</t>
  </si>
  <si>
    <t>1337-Cream-38</t>
  </si>
  <si>
    <t>NYKF35721112</t>
  </si>
  <si>
    <t>NYK-32305000-4269490-4</t>
  </si>
  <si>
    <t>TINYK12044790</t>
  </si>
  <si>
    <t>NYK-32409883-7186888-1-1</t>
  </si>
  <si>
    <t>RET_11310324-8047395</t>
  </si>
  <si>
    <t>28449541422850</t>
  </si>
  <si>
    <t>237943175135364</t>
  </si>
  <si>
    <t>CUTAB00001221</t>
  </si>
  <si>
    <t>1337-Cream-34</t>
  </si>
  <si>
    <t>NYKF35839732</t>
  </si>
  <si>
    <t>NYK-32409883-7186888-1</t>
  </si>
  <si>
    <t>TINYK12097715</t>
  </si>
  <si>
    <t>NYK-32392126-4703941-1-1</t>
  </si>
  <si>
    <t>RET_11306026-7221759</t>
  </si>
  <si>
    <t>28449541418101</t>
  </si>
  <si>
    <t>28449520983211</t>
  </si>
  <si>
    <t>CUTAB00001219</t>
  </si>
  <si>
    <t>1337-Cream-30</t>
  </si>
  <si>
    <t>NYKF35820288</t>
  </si>
  <si>
    <t>NYK-32392126-4703941-1</t>
  </si>
  <si>
    <t>TINYK12093963</t>
  </si>
  <si>
    <t>NYK-32285125-0110600-2-1</t>
  </si>
  <si>
    <t>RET_11256903-3262086</t>
  </si>
  <si>
    <t>R1501570561NYK</t>
  </si>
  <si>
    <t>28449520588444</t>
  </si>
  <si>
    <t>CUTAB00001213</t>
  </si>
  <si>
    <t>1336-Rani-34</t>
  </si>
  <si>
    <t>NYKF35698434</t>
  </si>
  <si>
    <t>NYK-32285125-0110600-2</t>
  </si>
  <si>
    <t>TINYK12035667</t>
  </si>
  <si>
    <t>NYK-32311571-6211906-2-1</t>
  </si>
  <si>
    <t>28449522286762</t>
  </si>
  <si>
    <t>CUTAB00001207</t>
  </si>
  <si>
    <t>1335-Pink-38</t>
  </si>
  <si>
    <t>NYKF35728653</t>
  </si>
  <si>
    <t>TINYK12068109</t>
  </si>
  <si>
    <t>CUTAB00001202</t>
  </si>
  <si>
    <t>1335-Pink-28</t>
  </si>
  <si>
    <t>NYK-31887295-8600129-1-1</t>
  </si>
  <si>
    <t>RET_11148415-9444042</t>
  </si>
  <si>
    <t>28449540249845</t>
  </si>
  <si>
    <t>SF1835832675NYK</t>
  </si>
  <si>
    <t>CUTAB00001086</t>
  </si>
  <si>
    <t>1327-Pista Green-34</t>
  </si>
  <si>
    <t>NYKF35257763</t>
  </si>
  <si>
    <t>NYK-31887295-8600129-1</t>
  </si>
  <si>
    <t>TINYK11925963</t>
  </si>
  <si>
    <t>NYK-32384772-4272833-1-1</t>
  </si>
  <si>
    <t>RET_11289637-2494478</t>
  </si>
  <si>
    <t>R1483694966NYK</t>
  </si>
  <si>
    <t>28449520981240</t>
  </si>
  <si>
    <t>CUTAB00001080</t>
  </si>
  <si>
    <t>1326-Pink-38</t>
  </si>
  <si>
    <t>NYKF35811861</t>
  </si>
  <si>
    <t>NYK-32384772-4272833-1</t>
  </si>
  <si>
    <t>TINYK12092857</t>
  </si>
  <si>
    <t>NYK-32320642-1335453-1-1</t>
  </si>
  <si>
    <t>RET_11350588-7677064</t>
  </si>
  <si>
    <t>Bag in transit for return at OneNCR DC</t>
  </si>
  <si>
    <t>R1539930696NYK</t>
  </si>
  <si>
    <t>28449520694520</t>
  </si>
  <si>
    <t>CUTAB00001078</t>
  </si>
  <si>
    <t>1326-Pink-34</t>
  </si>
  <si>
    <t>NYKF35738808</t>
  </si>
  <si>
    <t>NYK-32320642-1335453-1</t>
  </si>
  <si>
    <t>TINYK12142744</t>
  </si>
  <si>
    <t>NYK-31894453-3885723-4-1</t>
  </si>
  <si>
    <t>RET_11125553-3208294</t>
  </si>
  <si>
    <t>28449540106684</t>
  </si>
  <si>
    <t>SF1835832770NYK</t>
  </si>
  <si>
    <t>CUTAB00001076</t>
  </si>
  <si>
    <t>1326-Pink-30</t>
  </si>
  <si>
    <t>NYKF35265763</t>
  </si>
  <si>
    <t>NYK-31894453-3885723-4</t>
  </si>
  <si>
    <t>TINYK11887448</t>
  </si>
  <si>
    <t>NYK-31456870-0331850-1-1</t>
  </si>
  <si>
    <t>RET_10971247-8851606</t>
  </si>
  <si>
    <t>28449539405925</t>
  </si>
  <si>
    <t>28449518148771</t>
  </si>
  <si>
    <t>CUTAB00001075</t>
  </si>
  <si>
    <t>1326-Pink-28</t>
  </si>
  <si>
    <t>NYKF34787416</t>
  </si>
  <si>
    <t>NYK-31456870-0331850-1</t>
  </si>
  <si>
    <t>TINYK11724219</t>
  </si>
  <si>
    <t>NYK-32332425-8763194-1-1</t>
  </si>
  <si>
    <t>RET_11293096-0170157</t>
  </si>
  <si>
    <t>Item return to seller initiated at Mumbai DC</t>
  </si>
  <si>
    <t>R1528816333NYK</t>
  </si>
  <si>
    <t>237943173317475</t>
  </si>
  <si>
    <t>CUTAB00000978</t>
  </si>
  <si>
    <t>1323-Cream-38</t>
  </si>
  <si>
    <t>NYKF35752199</t>
  </si>
  <si>
    <t>NYK-32332425-8763194-1</t>
  </si>
  <si>
    <t>TINYK12090323</t>
  </si>
  <si>
    <t>NYK-31620805-3394006-2-1</t>
  </si>
  <si>
    <t>RET_11081251-3689547</t>
  </si>
  <si>
    <t>28449539871451</t>
  </si>
  <si>
    <t>28449537160211</t>
  </si>
  <si>
    <t>CUTAB00000970</t>
  </si>
  <si>
    <t>1319-Grey-36</t>
  </si>
  <si>
    <t>NYKF34965512</t>
  </si>
  <si>
    <t>NYK-31620805-3394006-2</t>
  </si>
  <si>
    <t>TINYK11842467</t>
  </si>
  <si>
    <t>NYK-31722596-3134200-1-1</t>
  </si>
  <si>
    <t>RET_11039647-5863660</t>
  </si>
  <si>
    <t>Fitting shi nhi h</t>
  </si>
  <si>
    <t>28449539679522</t>
  </si>
  <si>
    <t>28449537439872</t>
  </si>
  <si>
    <t>CUTAB00001072</t>
  </si>
  <si>
    <t>1318-Yellow-38</t>
  </si>
  <si>
    <t>NYKF35078084</t>
  </si>
  <si>
    <t>NYK-31722596-3134200-1</t>
  </si>
  <si>
    <t>TINYK11791726</t>
  </si>
  <si>
    <t>NYK-31435390-2024207-3-1</t>
  </si>
  <si>
    <t>RET_11013718-8229586</t>
  </si>
  <si>
    <t>R1435767983NYK</t>
  </si>
  <si>
    <t>SF1687008573NYK</t>
  </si>
  <si>
    <t>CUTAB00000924</t>
  </si>
  <si>
    <t>1317-White-26</t>
  </si>
  <si>
    <t>NYKF34764318</t>
  </si>
  <si>
    <t>NYK-31435390-2024207-3</t>
  </si>
  <si>
    <t>TINYK11795075</t>
  </si>
  <si>
    <t>NYK-32084133-3585100-3-1</t>
  </si>
  <si>
    <t>RET_11166961-7976920</t>
  </si>
  <si>
    <t>R1466713119NYK</t>
  </si>
  <si>
    <t>88281886162</t>
  </si>
  <si>
    <t>CUTAB00000920</t>
  </si>
  <si>
    <t>1317-White-18</t>
  </si>
  <si>
    <t>NYKF35473695</t>
  </si>
  <si>
    <t>NYK-32084133-3585100-3</t>
  </si>
  <si>
    <t>TINYK11932768</t>
  </si>
  <si>
    <t>NYK-31525645-8429071-1-1</t>
  </si>
  <si>
    <t>SF1687015921NYK</t>
  </si>
  <si>
    <t>CUTAB00000919</t>
  </si>
  <si>
    <t>1317-White-16</t>
  </si>
  <si>
    <t>NYKF34862634</t>
  </si>
  <si>
    <t>TINYK11740251</t>
  </si>
  <si>
    <t>NYK-32042946-6725129-3-1</t>
  </si>
  <si>
    <t>RET_11190879-1410513</t>
  </si>
  <si>
    <t>28449540405676</t>
  </si>
  <si>
    <t>237943174868966</t>
  </si>
  <si>
    <t>CUTAB00000916</t>
  </si>
  <si>
    <t>1316-Pink-22</t>
  </si>
  <si>
    <t>NYKF35427934</t>
  </si>
  <si>
    <t>NYK-32042946-6725129-3</t>
  </si>
  <si>
    <t>TINYK12023700</t>
  </si>
  <si>
    <t>NYK-30908455-4081333-3-1</t>
  </si>
  <si>
    <t>RET_10757466-1027464</t>
  </si>
  <si>
    <t>28449536868974</t>
  </si>
  <si>
    <t>88281223726</t>
  </si>
  <si>
    <t>CUTAB00000865</t>
  </si>
  <si>
    <t>1312-Cream-30</t>
  </si>
  <si>
    <t>NYKF34200496</t>
  </si>
  <si>
    <t>NYK-30908455-4081333-3</t>
  </si>
  <si>
    <t>TINYK11497691</t>
  </si>
  <si>
    <t>NYK-31981984-0737396-1-1</t>
  </si>
  <si>
    <t>RET_11218887-0147253</t>
  </si>
  <si>
    <t>R1435759437NYK</t>
  </si>
  <si>
    <t>28449519748212</t>
  </si>
  <si>
    <t>CUTAB00000861</t>
  </si>
  <si>
    <t>1311-Pink-38</t>
  </si>
  <si>
    <t>NYKF35360875</t>
  </si>
  <si>
    <t>NYK-31981984-0737396-1</t>
  </si>
  <si>
    <t>TINYK11983719</t>
  </si>
  <si>
    <t>NYK-31832259-9519883-1-1</t>
  </si>
  <si>
    <t>28449519088064</t>
  </si>
  <si>
    <t>NYKF35197741</t>
  </si>
  <si>
    <t>TINYK11858150</t>
  </si>
  <si>
    <t>NYK-32049810-3825208-1-1</t>
  </si>
  <si>
    <t>RET_11258135-8569122</t>
  </si>
  <si>
    <t>Vehicle delayed - Controllable</t>
  </si>
  <si>
    <t>28449541187786</t>
  </si>
  <si>
    <t>28449521599384</t>
  </si>
  <si>
    <t>CUTAB00000860</t>
  </si>
  <si>
    <t>1311-Pink-36</t>
  </si>
  <si>
    <t>NYKF35435342</t>
  </si>
  <si>
    <t>NYK-32049810-3825208-1</t>
  </si>
  <si>
    <t>TINYK12034208</t>
  </si>
  <si>
    <t>NYK-31763834-7494212-1-1</t>
  </si>
  <si>
    <t>RET_11124877-7576961</t>
  </si>
  <si>
    <t>R1483712332NYK</t>
  </si>
  <si>
    <t>SF1687035766NYK</t>
  </si>
  <si>
    <t>NYKF35123176</t>
  </si>
  <si>
    <t>NYK-31763834-7494212-1</t>
  </si>
  <si>
    <t>TINYK11898953</t>
  </si>
  <si>
    <t>NYK-31904124-2720620-3-1</t>
  </si>
  <si>
    <t>RET_11120650-8586385</t>
  </si>
  <si>
    <t>28449540078065</t>
  </si>
  <si>
    <t>237943174769522</t>
  </si>
  <si>
    <t>NYKF35277055</t>
  </si>
  <si>
    <t>NYK-31904124-2720620-3</t>
  </si>
  <si>
    <t>TINYK11885906</t>
  </si>
  <si>
    <t>NYK-31629958-4317763-1-1</t>
  </si>
  <si>
    <t>28449518495514</t>
  </si>
  <si>
    <t>NYKF34975517</t>
  </si>
  <si>
    <t>TINYK11784757</t>
  </si>
  <si>
    <t>NYK-31705601-9785728-1-1</t>
  </si>
  <si>
    <t>RET_11056293-4581984</t>
  </si>
  <si>
    <t xml:space="preserve">Child don't like it </t>
  </si>
  <si>
    <t>R1449329604NYK</t>
  </si>
  <si>
    <t>28449537351451</t>
  </si>
  <si>
    <t>CUTAB00000859</t>
  </si>
  <si>
    <t>1311-Pink-34</t>
  </si>
  <si>
    <t>NYKF35059052</t>
  </si>
  <si>
    <t>NYK-31705601-9785728-1</t>
  </si>
  <si>
    <t>TINYK11809819</t>
  </si>
  <si>
    <t>NYK-31674274-4845196-1-1</t>
  </si>
  <si>
    <t>SF1687030758NYK</t>
  </si>
  <si>
    <t>NYKF35023092</t>
  </si>
  <si>
    <t>TINYK11792329</t>
  </si>
  <si>
    <t>NYK-32013425-0494829-1-1</t>
  </si>
  <si>
    <t>RET_11209551-6022817</t>
  </si>
  <si>
    <t>28449540498942</t>
  </si>
  <si>
    <t>28449519516070</t>
  </si>
  <si>
    <t>CUTAB00000858</t>
  </si>
  <si>
    <t>1311-Pink-32</t>
  </si>
  <si>
    <t>NYKF35394965</t>
  </si>
  <si>
    <t>NYK-32013425-0494829-1</t>
  </si>
  <si>
    <t>TINYK11988483</t>
  </si>
  <si>
    <t>NYK-31087614-6668006-1-1</t>
  </si>
  <si>
    <t>RET_10801607-9266995</t>
  </si>
  <si>
    <t xml:space="preserve">This product is too much loose...and high price </t>
  </si>
  <si>
    <t>R1407579221NYK</t>
  </si>
  <si>
    <t>59494642421</t>
  </si>
  <si>
    <t>NYKF34390118</t>
  </si>
  <si>
    <t>NYK-31087614-6668006-1</t>
  </si>
  <si>
    <t>TINYK11535124</t>
  </si>
  <si>
    <t>NYK-32262475-6219677-1-1</t>
  </si>
  <si>
    <t>RET_11316652-1424586</t>
  </si>
  <si>
    <t xml:space="preserve">The jacket is not fitting well and the material is not comfortable to my girl </t>
  </si>
  <si>
    <t>R1528810161NYK</t>
  </si>
  <si>
    <t>237943173230082</t>
  </si>
  <si>
    <t>CUTAB00000854</t>
  </si>
  <si>
    <t>1311-Pink-24</t>
  </si>
  <si>
    <t>NYKF35673027</t>
  </si>
  <si>
    <t>NYK-32262475-6219677-1</t>
  </si>
  <si>
    <t>TINYK12119176</t>
  </si>
  <si>
    <t>NYK-32203238-7053158-1-1</t>
  </si>
  <si>
    <t>RET_11294583-9368863</t>
  </si>
  <si>
    <t>Item return to seller initiated at Hyderabad DC</t>
  </si>
  <si>
    <t>R1513773688NYK</t>
  </si>
  <si>
    <t>28449520406046</t>
  </si>
  <si>
    <t>NYKF35606279</t>
  </si>
  <si>
    <t>NYK-32203238-7053158-1</t>
  </si>
  <si>
    <t>TINYK12074744</t>
  </si>
  <si>
    <t>NYK-32220090-1314062-1-1</t>
  </si>
  <si>
    <t>RET_11271681-8978783</t>
  </si>
  <si>
    <t>R1513778360NYK</t>
  </si>
  <si>
    <t>237943175000360</t>
  </si>
  <si>
    <t>NYKF35624874</t>
  </si>
  <si>
    <t>NYK-32220090-1314062-1</t>
  </si>
  <si>
    <t>TINYK12044179</t>
  </si>
  <si>
    <t>NYK-31720011-9201255-1-1</t>
  </si>
  <si>
    <t>RET_11058190-9839200</t>
  </si>
  <si>
    <t>R1466711624NYK</t>
  </si>
  <si>
    <t>28449537440664</t>
  </si>
  <si>
    <t>NYKF35075032</t>
  </si>
  <si>
    <t>NYK-31720011-9201255-1</t>
  </si>
  <si>
    <t>TINYK11812015</t>
  </si>
  <si>
    <t>NYK-32364231-8149782-1-1</t>
  </si>
  <si>
    <t>RET_11270776-4661851</t>
  </si>
  <si>
    <t>28449541241222</t>
  </si>
  <si>
    <t>28449520862822</t>
  </si>
  <si>
    <t>CUTAB00000837</t>
  </si>
  <si>
    <t>1308-Cream-38</t>
  </si>
  <si>
    <t>NYKF35788691</t>
  </si>
  <si>
    <t>NYK-32364231-8149782-1</t>
  </si>
  <si>
    <t>TINYK12062739</t>
  </si>
  <si>
    <t>NYK-31233401-1484894-2-1</t>
  </si>
  <si>
    <t>RET_10935942-2175226</t>
  </si>
  <si>
    <t xml:space="preserve">Bottom is too long. </t>
  </si>
  <si>
    <t>28449539239222</t>
  </si>
  <si>
    <t>28449538497675</t>
  </si>
  <si>
    <t>NYKF34545654</t>
  </si>
  <si>
    <t>NYK-31233401-1484894-2</t>
  </si>
  <si>
    <t>TINYK11700466</t>
  </si>
  <si>
    <t>RET_11156040-5399415</t>
  </si>
  <si>
    <t>28449540264674</t>
  </si>
  <si>
    <t>CUTAB00000836</t>
  </si>
  <si>
    <t>1308-Cream-36</t>
  </si>
  <si>
    <t>TINYK11925961</t>
  </si>
  <si>
    <t>NYK-32383960-3307873-1-1</t>
  </si>
  <si>
    <t>RET_11296862-0777825</t>
  </si>
  <si>
    <t>Item return to seller initiated at Bangalore DC</t>
  </si>
  <si>
    <t>R1528806663NYK</t>
  </si>
  <si>
    <t>28449522522360</t>
  </si>
  <si>
    <t>CUTAB00000835</t>
  </si>
  <si>
    <t>1308-Cream-34</t>
  </si>
  <si>
    <t>NYKF35810927</t>
  </si>
  <si>
    <t>NYK-32383960-3307873-1</t>
  </si>
  <si>
    <t>TINYK12132795</t>
  </si>
  <si>
    <t>NYK-32100329-2337696-1-1</t>
  </si>
  <si>
    <t>RET_11308694-5732412</t>
  </si>
  <si>
    <t>R1501561600NYK</t>
  </si>
  <si>
    <t>SF2167305892NYK</t>
  </si>
  <si>
    <t>NYKF35491846</t>
  </si>
  <si>
    <t>NYK-32100329-2337696-1</t>
  </si>
  <si>
    <t>TINYK12100838</t>
  </si>
  <si>
    <t>NYK-32289130-7004935-3-1</t>
  </si>
  <si>
    <t>28449522218431</t>
  </si>
  <si>
    <t>CUTAB00000834</t>
  </si>
  <si>
    <t>1308-Cream-32</t>
  </si>
  <si>
    <t>NYKF35702787</t>
  </si>
  <si>
    <t>TINYK12054265</t>
  </si>
  <si>
    <t>NYK-30975718-8670841-1-1</t>
  </si>
  <si>
    <t>RET_10802827-6415437</t>
  </si>
  <si>
    <t>R1406646423NYK</t>
  </si>
  <si>
    <t>28449514382480</t>
  </si>
  <si>
    <t>CUTAB00000830</t>
  </si>
  <si>
    <t>1308-Cream-24</t>
  </si>
  <si>
    <t>NYKF34271922</t>
  </si>
  <si>
    <t>NYK-30975718-8670841-1</t>
  </si>
  <si>
    <t>TINYK11546453</t>
  </si>
  <si>
    <t>NYK-30789927-2605916-2-1</t>
  </si>
  <si>
    <t>RET_10760484-8743513</t>
  </si>
  <si>
    <t>R1398647278NYK</t>
  </si>
  <si>
    <t>28449511467890</t>
  </si>
  <si>
    <t>CUTAB00000826</t>
  </si>
  <si>
    <t>1307-Firozi-32</t>
  </si>
  <si>
    <t>NYKF34076140</t>
  </si>
  <si>
    <t>NYK-30789927-2605916-2</t>
  </si>
  <si>
    <t>TINYK11503437</t>
  </si>
  <si>
    <t>NYK-31359099-7298263-5-1</t>
  </si>
  <si>
    <t>RET_10933945-1350683</t>
  </si>
  <si>
    <t xml:space="preserve">Long </t>
  </si>
  <si>
    <t>28449539219014</t>
  </si>
  <si>
    <t>SF1686976809NYK</t>
  </si>
  <si>
    <t>CUTAB00001024</t>
  </si>
  <si>
    <t>1306-Sea Green-36</t>
  </si>
  <si>
    <t>NYKF34682049</t>
  </si>
  <si>
    <t>NYK-31359099-7298263-5</t>
  </si>
  <si>
    <t>TINYK11677847</t>
  </si>
  <si>
    <t>NYK-31787713-8512967-3-1</t>
  </si>
  <si>
    <t>RET_11155204-9649180</t>
  </si>
  <si>
    <t>28449540282922</t>
  </si>
  <si>
    <t>28449537624720</t>
  </si>
  <si>
    <t>CUTAB00000813</t>
  </si>
  <si>
    <t>1305-Sky Blue-36</t>
  </si>
  <si>
    <t>NYKF35149181</t>
  </si>
  <si>
    <t>NYK-31787713-8512967-3</t>
  </si>
  <si>
    <t>TINYK11935524</t>
  </si>
  <si>
    <t>NYK-31677921-2330968-1-1</t>
  </si>
  <si>
    <t>RET_11039384-2048765</t>
  </si>
  <si>
    <t>R1408538838NYK</t>
  </si>
  <si>
    <t>SF1835801418NYK</t>
  </si>
  <si>
    <t>CUTAB00000812</t>
  </si>
  <si>
    <t>1305-Sky Blue-34</t>
  </si>
  <si>
    <t>NYKF35027201</t>
  </si>
  <si>
    <t>NYK-31677921-2330968-1</t>
  </si>
  <si>
    <t>TINYK11804931</t>
  </si>
  <si>
    <t>NYK-32313368-8164526-1-1</t>
  </si>
  <si>
    <t>RET_11297726-5515369</t>
  </si>
  <si>
    <t>Ordered same two products.</t>
  </si>
  <si>
    <t>Item return to seller initiated at Kolkata 2 DC</t>
  </si>
  <si>
    <t>R1513779741NYK</t>
  </si>
  <si>
    <t>28449520692921</t>
  </si>
  <si>
    <t>CUTAB00000811</t>
  </si>
  <si>
    <t>1305-Sky Blue-32</t>
  </si>
  <si>
    <t>NYKF35730681</t>
  </si>
  <si>
    <t>NYK-32313368-8164526-1</t>
  </si>
  <si>
    <t>TINYK12081371</t>
  </si>
  <si>
    <t>NYK-32103884-8258750-2-1</t>
  </si>
  <si>
    <t>RET_11228488-5879960</t>
  </si>
  <si>
    <t>R1513785054NYK</t>
  </si>
  <si>
    <t>28449521767373</t>
  </si>
  <si>
    <t>NYKF35496099</t>
  </si>
  <si>
    <t>NYK-32103884-8258750-2</t>
  </si>
  <si>
    <t>TINYK12014011</t>
  </si>
  <si>
    <t>NYK-32101334-4082801-1-1</t>
  </si>
  <si>
    <t>RET_11228235-4813118</t>
  </si>
  <si>
    <t xml:space="preserve">Size issue </t>
  </si>
  <si>
    <t>R1501578977NYK</t>
  </si>
  <si>
    <t>SF2167305866NYK</t>
  </si>
  <si>
    <t>NYKF35493072</t>
  </si>
  <si>
    <t>NYK-32101334-4082801-1</t>
  </si>
  <si>
    <t>TINYK12001863</t>
  </si>
  <si>
    <t>NYK-32129664-7490745-1-1</t>
  </si>
  <si>
    <t>RET_11223056-8513610</t>
  </si>
  <si>
    <t>28449540532590</t>
  </si>
  <si>
    <t>28449520086835</t>
  </si>
  <si>
    <t>CUTAB00000810</t>
  </si>
  <si>
    <t>1305-Sky Blue-30</t>
  </si>
  <si>
    <t>NYKF35525088</t>
  </si>
  <si>
    <t>NYK-32129664-7490745-1</t>
  </si>
  <si>
    <t>TINYK11989337</t>
  </si>
  <si>
    <t>NYK-32288582-6003557-1-1</t>
  </si>
  <si>
    <t>28449522217720</t>
  </si>
  <si>
    <t>CUTAB00000809</t>
  </si>
  <si>
    <t>1305-Sky Blue-28</t>
  </si>
  <si>
    <t>NYKF35702194</t>
  </si>
  <si>
    <t>TINYK12079454</t>
  </si>
  <si>
    <t>NYK-32157259-2807901-1-1</t>
  </si>
  <si>
    <t>28449521862326</t>
  </si>
  <si>
    <t>NYKF35555816</t>
  </si>
  <si>
    <t>TINYK11970555</t>
  </si>
  <si>
    <t>NYK-32491152-2699460-1-1</t>
  </si>
  <si>
    <t>28449525197760</t>
  </si>
  <si>
    <t>CUTAB00000808</t>
  </si>
  <si>
    <t>1305-Sky Blue-26</t>
  </si>
  <si>
    <t>NYKF35927249</t>
  </si>
  <si>
    <t>TINYK12158383</t>
  </si>
  <si>
    <t>NYK-31561969-4371133-1-1</t>
  </si>
  <si>
    <t>RET_10989084-8978864</t>
  </si>
  <si>
    <t>Fit is okay also?The wuality isnt great</t>
  </si>
  <si>
    <t>R1425555737NYK</t>
  </si>
  <si>
    <t>237943177265825</t>
  </si>
  <si>
    <t>NYKF34901739</t>
  </si>
  <si>
    <t>NYK-31561969-4371133-1</t>
  </si>
  <si>
    <t>TINYK11963185</t>
  </si>
  <si>
    <t>NYK-31429148-8045001-1-1</t>
  </si>
  <si>
    <t>RET_11031366-8872941</t>
  </si>
  <si>
    <t>R1435780312NYK</t>
  </si>
  <si>
    <t>SF1686986082NYK</t>
  </si>
  <si>
    <t>CUTAB00001040</t>
  </si>
  <si>
    <t>1301-Black-38</t>
  </si>
  <si>
    <t>NYKF34757915</t>
  </si>
  <si>
    <t>NYK-31429148-8045001-1</t>
  </si>
  <si>
    <t>TINYK11788690</t>
  </si>
  <si>
    <t>NYK-31499640-2616619-1-1</t>
  </si>
  <si>
    <t>SF1687013345NYK</t>
  </si>
  <si>
    <t>CUTAB00001039</t>
  </si>
  <si>
    <t>1301-Black-36</t>
  </si>
  <si>
    <t>NYKF34834478</t>
  </si>
  <si>
    <t>TINYK11835298</t>
  </si>
  <si>
    <t>NYK-31347508-8364900-2-1</t>
  </si>
  <si>
    <t>RET_10921387-4052438</t>
  </si>
  <si>
    <t>R1411553161NYK</t>
  </si>
  <si>
    <t>237943177158880</t>
  </si>
  <si>
    <t>CUTAB00001038</t>
  </si>
  <si>
    <t>1301-Black-34</t>
  </si>
  <si>
    <t>NYKF34669648</t>
  </si>
  <si>
    <t>NYK-31347508-8364900-2</t>
  </si>
  <si>
    <t>TINYK11661245</t>
  </si>
  <si>
    <t>NYK-31662330-6964550-1-1</t>
  </si>
  <si>
    <t>SF1687031292NYK</t>
  </si>
  <si>
    <t>CUTAB00001033</t>
  </si>
  <si>
    <t>1301-Black-24</t>
  </si>
  <si>
    <t>NYKF35010271</t>
  </si>
  <si>
    <t>TINYK12023473</t>
  </si>
  <si>
    <t>NYK-31868651-7429006-1-1</t>
  </si>
  <si>
    <t>RET_11200365-9490673</t>
  </si>
  <si>
    <t>28449540441133</t>
  </si>
  <si>
    <t>SF1835832531NYK</t>
  </si>
  <si>
    <t>CUTAB00000986</t>
  </si>
  <si>
    <t>1300-Green-38</t>
  </si>
  <si>
    <t>NYKF35237628</t>
  </si>
  <si>
    <t>NYK-31868651-7429006-1</t>
  </si>
  <si>
    <t>TINYK11967017</t>
  </si>
  <si>
    <t>NYK-31766459-2986994-1-1</t>
  </si>
  <si>
    <t>SF1835844585NYK</t>
  </si>
  <si>
    <t>CUTAB00000982</t>
  </si>
  <si>
    <t>1300-Green-30</t>
  </si>
  <si>
    <t>NYKF35125631</t>
  </si>
  <si>
    <t>TINYK11884661</t>
  </si>
  <si>
    <t>NYK-32199223-8670853-1-1</t>
  </si>
  <si>
    <t>RET_11344897-5634427</t>
  </si>
  <si>
    <t>Item return to seller initiated at Nagpur DC</t>
  </si>
  <si>
    <t>R1501567551NYK</t>
  </si>
  <si>
    <t>237943173170361</t>
  </si>
  <si>
    <t>CUTAB00000655</t>
  </si>
  <si>
    <t>1298-Magenta-28</t>
  </si>
  <si>
    <t>NYKF35601816</t>
  </si>
  <si>
    <t>NYK-32199223-8670853-1</t>
  </si>
  <si>
    <t>TINYK12147023</t>
  </si>
  <si>
    <t>NYK-30833115-5142635-1-1</t>
  </si>
  <si>
    <t>RET_10714398-6600487</t>
  </si>
  <si>
    <t xml:space="preserve">Too large </t>
  </si>
  <si>
    <t>R1388737834NYK</t>
  </si>
  <si>
    <t>SF1835670118NYK</t>
  </si>
  <si>
    <t>CUTAB00000652</t>
  </si>
  <si>
    <t>1296-Lavender-38</t>
  </si>
  <si>
    <t>NYKF34121455</t>
  </si>
  <si>
    <t>NYK-30833115-5142635-1</t>
  </si>
  <si>
    <t>TINYK11449034</t>
  </si>
  <si>
    <t>NYK-31270452-6115336-1-1</t>
  </si>
  <si>
    <t>SF1686963997NYK</t>
  </si>
  <si>
    <t>CUTAB00000651</t>
  </si>
  <si>
    <t>1296-Lavender-36</t>
  </si>
  <si>
    <t>NYKF34585714</t>
  </si>
  <si>
    <t>TINYK11905087</t>
  </si>
  <si>
    <t>NYK-32160012-8271138-3-1</t>
  </si>
  <si>
    <t>RET_11219671-3987016</t>
  </si>
  <si>
    <t xml:space="preserve">Not good </t>
  </si>
  <si>
    <t>28449540523766</t>
  </si>
  <si>
    <t>28449520198706</t>
  </si>
  <si>
    <t>CUTAB00000556</t>
  </si>
  <si>
    <t>1295-Maroon-34</t>
  </si>
  <si>
    <t>NYKF35558716</t>
  </si>
  <si>
    <t>NYK-32160012-8271138-3</t>
  </si>
  <si>
    <t>TINYK11991683</t>
  </si>
  <si>
    <t>NYK-32047154-5971578-2-1</t>
  </si>
  <si>
    <t>RET_11180654-8659502</t>
  </si>
  <si>
    <t>R1466716292NYK</t>
  </si>
  <si>
    <t>28449521584194</t>
  </si>
  <si>
    <t>CUTAB00000554</t>
  </si>
  <si>
    <t>1295-Maroon-30</t>
  </si>
  <si>
    <t>NYKF35432590</t>
  </si>
  <si>
    <t>NYK-32047154-5971578-2</t>
  </si>
  <si>
    <t>TINYK11946517</t>
  </si>
  <si>
    <t>NYK-32109356-5845996-1-1</t>
  </si>
  <si>
    <t>28449521771691</t>
  </si>
  <si>
    <t>CUTAB00000553</t>
  </si>
  <si>
    <t>1295-Maroon-28</t>
  </si>
  <si>
    <t>NYKF35502487</t>
  </si>
  <si>
    <t>TINYK11947513</t>
  </si>
  <si>
    <t>NYK-30674454-4025272-1-1</t>
  </si>
  <si>
    <t>88317311250</t>
  </si>
  <si>
    <t>BLUEDART</t>
  </si>
  <si>
    <t>NYKF33956807</t>
  </si>
  <si>
    <t>TINYK11486205</t>
  </si>
  <si>
    <t>NYK-32344119-5144661-1-1</t>
  </si>
  <si>
    <t>28449522419611</t>
  </si>
  <si>
    <t>CUTAB00000550</t>
  </si>
  <si>
    <t>1295-Maroon-22</t>
  </si>
  <si>
    <t>NYKF35765619</t>
  </si>
  <si>
    <t>TINYK12123006</t>
  </si>
  <si>
    <t>NYK-29594560-5963665-1-1</t>
  </si>
  <si>
    <t>RET_10326342-1887741</t>
  </si>
  <si>
    <t>I have order it for my daughter, but unfortunately the fabric quality is not good. It’s causing irritation to her skin</t>
  </si>
  <si>
    <t>28449515186404</t>
  </si>
  <si>
    <t>237943146004676</t>
  </si>
  <si>
    <t>NYKF32799337</t>
  </si>
  <si>
    <t>NYK-29594560-5963665-1</t>
  </si>
  <si>
    <t>TINYK11074462</t>
  </si>
  <si>
    <t>NYK-32469518-5262792-1-1</t>
  </si>
  <si>
    <t>RET_11361510-7135823</t>
  </si>
  <si>
    <t>not so good,looks ch?eap</t>
  </si>
  <si>
    <t>28449541640023</t>
  </si>
  <si>
    <t>28449525194595</t>
  </si>
  <si>
    <t>CUTAB00000816</t>
  </si>
  <si>
    <t>1295-Blue-24</t>
  </si>
  <si>
    <t>NYKF35904626</t>
  </si>
  <si>
    <t>NYK-32469518-5262792-1</t>
  </si>
  <si>
    <t>TINYK12155123</t>
  </si>
  <si>
    <t>NYK-30927471-8697360-1-1</t>
  </si>
  <si>
    <t>RET_10789265-4779497</t>
  </si>
  <si>
    <t>R1406139174NYK</t>
  </si>
  <si>
    <t>28449515145244</t>
  </si>
  <si>
    <t>CUTAB00000612</t>
  </si>
  <si>
    <t>1293-Orange-38</t>
  </si>
  <si>
    <t>NYKF34221023</t>
  </si>
  <si>
    <t>NYK-30927471-8697360-1</t>
  </si>
  <si>
    <t>TINYK11533209</t>
  </si>
  <si>
    <t>NYK-32332070-8458643-1-1</t>
  </si>
  <si>
    <t>RET_11288105-5597827</t>
  </si>
  <si>
    <t>28449541319460</t>
  </si>
  <si>
    <t>28449520860350</t>
  </si>
  <si>
    <t>CUTAB00000611</t>
  </si>
  <si>
    <t>1293-Orange-36</t>
  </si>
  <si>
    <t>NYKF35751918</t>
  </si>
  <si>
    <t>NYK-32332070-8458643-1</t>
  </si>
  <si>
    <t>TINYK12060111</t>
  </si>
  <si>
    <t>NYK-31315036-5475093-1-1</t>
  </si>
  <si>
    <t>RET_10898592-6788352</t>
  </si>
  <si>
    <t>R1411537506NYK</t>
  </si>
  <si>
    <t>28449517682103</t>
  </si>
  <si>
    <t>NYKF34634301</t>
  </si>
  <si>
    <t>NYK-31315036-5475093-1</t>
  </si>
  <si>
    <t>TINYK11640038</t>
  </si>
  <si>
    <t>NYK-29879501-9146182-1-1</t>
  </si>
  <si>
    <t>RET_10350967-4642189</t>
  </si>
  <si>
    <t>the top is too small</t>
  </si>
  <si>
    <t>28449515308742</t>
  </si>
  <si>
    <t>SF1747486632NYK</t>
  </si>
  <si>
    <t>CUTAB00000610</t>
  </si>
  <si>
    <t>1293-Orange-34</t>
  </si>
  <si>
    <t>NYKF33108175</t>
  </si>
  <si>
    <t>NYK-29879501-9146182-1</t>
  </si>
  <si>
    <t>TINYK11092818</t>
  </si>
  <si>
    <t>NYK-29802770-5357832-1-1</t>
  </si>
  <si>
    <t>RET_10354791-8860742</t>
  </si>
  <si>
    <t>28449515293036</t>
  </si>
  <si>
    <t>SF1747446662NYK</t>
  </si>
  <si>
    <t>CUTAB00000603</t>
  </si>
  <si>
    <t>1292-Rani-36</t>
  </si>
  <si>
    <t>NYKF33023156</t>
  </si>
  <si>
    <t>NYK-29802770-5357832-1</t>
  </si>
  <si>
    <t>TINYK11092885</t>
  </si>
  <si>
    <t>NYK-30083828-9156756-1-1</t>
  </si>
  <si>
    <t>RET_10447822-6093388</t>
  </si>
  <si>
    <t>R1350160486NYK</t>
  </si>
  <si>
    <t>28449509925311</t>
  </si>
  <si>
    <t>CUTAB00000601</t>
  </si>
  <si>
    <t>1292-Rani-32</t>
  </si>
  <si>
    <t>NYKF33329227</t>
  </si>
  <si>
    <t>NYK-30083828-9156756-1</t>
  </si>
  <si>
    <t>TINYK11171198</t>
  </si>
  <si>
    <t>NYK-31051124-7636285-1-1</t>
  </si>
  <si>
    <t>SF1835756749NYK</t>
  </si>
  <si>
    <t>CUTAB00000598</t>
  </si>
  <si>
    <t>1292-Rani-26</t>
  </si>
  <si>
    <t>NYKF34351522</t>
  </si>
  <si>
    <t>TINYK11521813</t>
  </si>
  <si>
    <t>NYK-31115996-6929406-1-1</t>
  </si>
  <si>
    <t>RET_10834533-7532499</t>
  </si>
  <si>
    <t>Size is very bigger than expected and the bottom palazzo pant is very long it doesn't look good to my child therefore I want to replace the item with smaller size</t>
  </si>
  <si>
    <t>R1411531670NYK</t>
  </si>
  <si>
    <t>88281401810</t>
  </si>
  <si>
    <t>CUTAB00000592</t>
  </si>
  <si>
    <t>1291-Yellow-30</t>
  </si>
  <si>
    <t>NYKF34419917</t>
  </si>
  <si>
    <t>NYK-31115996-6929406-1</t>
  </si>
  <si>
    <t>TINYK11583237</t>
  </si>
  <si>
    <t>NYK-31948428-5807456-3-1</t>
  </si>
  <si>
    <t>RET_11125281-0956231</t>
  </si>
  <si>
    <t>Palazzo is too big</t>
  </si>
  <si>
    <t>28449540105866</t>
  </si>
  <si>
    <t>28449538038851</t>
  </si>
  <si>
    <t>CUTAB00000627</t>
  </si>
  <si>
    <t>1290-Red-36</t>
  </si>
  <si>
    <t>NYKF35324534</t>
  </si>
  <si>
    <t>NYK-31948428-5807456-3</t>
  </si>
  <si>
    <t>TINYK11889754</t>
  </si>
  <si>
    <t>NYK-29736763-4602758-6-1</t>
  </si>
  <si>
    <t>RET_10331080-1526408</t>
  </si>
  <si>
    <t>R1338115223NYK</t>
  </si>
  <si>
    <t>28449509315154</t>
  </si>
  <si>
    <t>NYKF32951526</t>
  </si>
  <si>
    <t>NYK-29736763-4602758-6</t>
  </si>
  <si>
    <t>TINYK11062826</t>
  </si>
  <si>
    <t>RET_10331084-1550450</t>
  </si>
  <si>
    <t>R1337759357NYK</t>
  </si>
  <si>
    <t>CUTAB00000626</t>
  </si>
  <si>
    <t>1290-Red-34</t>
  </si>
  <si>
    <t>TINYK11062835</t>
  </si>
  <si>
    <t>NYK-30089121-6985159-2-1</t>
  </si>
  <si>
    <t>RET_10462810-2245188</t>
  </si>
  <si>
    <t>28449515874375</t>
  </si>
  <si>
    <t>237943146433544</t>
  </si>
  <si>
    <t>CUTAB00000625</t>
  </si>
  <si>
    <t>1290-Red-32</t>
  </si>
  <si>
    <t>NYKF33335143</t>
  </si>
  <si>
    <t>NYK-30089121-6985159-2</t>
  </si>
  <si>
    <t>TINYK11188495</t>
  </si>
  <si>
    <t>NYK-31104937-2747904-1-1</t>
  </si>
  <si>
    <t>28449536457525</t>
  </si>
  <si>
    <t>CUTAB00000623</t>
  </si>
  <si>
    <t>1290-Red-28</t>
  </si>
  <si>
    <t>NYKF34408529</t>
  </si>
  <si>
    <t>TINYK11592132</t>
  </si>
  <si>
    <t>NYK-29397803-2740388-1-1</t>
  </si>
  <si>
    <t>RET_10185998-1045159</t>
  </si>
  <si>
    <t>R1315573405NYK</t>
  </si>
  <si>
    <t>SF1686926274NYK</t>
  </si>
  <si>
    <t>CUTAB00000622</t>
  </si>
  <si>
    <t>1290-Red-26</t>
  </si>
  <si>
    <t>NYKF32531631</t>
  </si>
  <si>
    <t>NYK-29397803-2740388-1</t>
  </si>
  <si>
    <t>TINYK10917922</t>
  </si>
  <si>
    <t>NYK-32642110-3420788-3-1</t>
  </si>
  <si>
    <t>RET_11369069-6921652</t>
  </si>
  <si>
    <t>28449541685033</t>
  </si>
  <si>
    <t>NKFP0000001616</t>
  </si>
  <si>
    <t>CUTAB00000636</t>
  </si>
  <si>
    <t>1290-Purple-38</t>
  </si>
  <si>
    <t>NYKF36082214</t>
  </si>
  <si>
    <t>NYK-32642110-3420788-3</t>
  </si>
  <si>
    <t>TINYK12165576</t>
  </si>
  <si>
    <t>NYK-32348645-2049554-2-1</t>
  </si>
  <si>
    <t>RET_11267060-9692489</t>
  </si>
  <si>
    <t>Didn't fit well</t>
  </si>
  <si>
    <t>R1513801165NYK</t>
  </si>
  <si>
    <t>237943173318750</t>
  </si>
  <si>
    <t>CUTAB00000635</t>
  </si>
  <si>
    <t>1290-Purple-36</t>
  </si>
  <si>
    <t>NYKF35770657</t>
  </si>
  <si>
    <t>NYK-32348645-2049554-2</t>
  </si>
  <si>
    <t>TINYK12037751</t>
  </si>
  <si>
    <t>NYK-32487937-6183751-2-1</t>
  </si>
  <si>
    <t>RET_11362057-2878115</t>
  </si>
  <si>
    <t>Item return to seller initiated at Jaipur DC</t>
  </si>
  <si>
    <t>R1539922187NYK</t>
  </si>
  <si>
    <t>28449521341191</t>
  </si>
  <si>
    <t>CUTAB00000580</t>
  </si>
  <si>
    <t>1288-Rani-38</t>
  </si>
  <si>
    <t>NYKF35923856</t>
  </si>
  <si>
    <t>NYK-32487937-6183751-2</t>
  </si>
  <si>
    <t>TINYK12152675</t>
  </si>
  <si>
    <t>NYK-31800157-7011058-1-1</t>
  </si>
  <si>
    <t>SF1835846898NYK</t>
  </si>
  <si>
    <t>CUTAB00000578</t>
  </si>
  <si>
    <t>1288-Rani-34</t>
  </si>
  <si>
    <t>NYKF35162864</t>
  </si>
  <si>
    <t>TINYK11954532</t>
  </si>
  <si>
    <t>NYK-32316605-4944698-1-1</t>
  </si>
  <si>
    <t>28449522286272</t>
  </si>
  <si>
    <t>CUTAB00000576</t>
  </si>
  <si>
    <t>1288-Rani-30</t>
  </si>
  <si>
    <t>NYKF35734102</t>
  </si>
  <si>
    <t>TINYK12137580</t>
  </si>
  <si>
    <t>NYK-32071160-7302384-1-1</t>
  </si>
  <si>
    <t>RET_11231196-7188665</t>
  </si>
  <si>
    <t>R1513795576NYK</t>
  </si>
  <si>
    <t>SF2167352793NYK</t>
  </si>
  <si>
    <t>NYKF35459197</t>
  </si>
  <si>
    <t>NYK-32071160-7302384-1</t>
  </si>
  <si>
    <t>TINYK11999349</t>
  </si>
  <si>
    <t>NYK-30403406-7954139-1-1</t>
  </si>
  <si>
    <t>RET_10563544-4490655</t>
  </si>
  <si>
    <t>I did not like the fabric. Also, the material was not good enough for the children to wear in the summers. ?</t>
  </si>
  <si>
    <t>28449516403026</t>
  </si>
  <si>
    <t>28449503114801</t>
  </si>
  <si>
    <t>NYKF33673237</t>
  </si>
  <si>
    <t>NYK-30403406-7954139-1</t>
  </si>
  <si>
    <t>TINYK11377505</t>
  </si>
  <si>
    <t>NYK-30918855-5337076-1-1</t>
  </si>
  <si>
    <t>RET_10737823-4463732</t>
  </si>
  <si>
    <t>The size of lehega skirt is too big and the size of top is just right. If I order size 9 years- not sure if top will fit and lehenga skirt will still fit correctly? 9 to 10 years size is out of stocks</t>
  </si>
  <si>
    <t>28449536779046</t>
  </si>
  <si>
    <t>28449515083795</t>
  </si>
  <si>
    <t>CUTAB00000571</t>
  </si>
  <si>
    <t>1287-Rani-36</t>
  </si>
  <si>
    <t>NYKF34211814</t>
  </si>
  <si>
    <t>NYK-30918855-5337076-1</t>
  </si>
  <si>
    <t>TINYK11474108</t>
  </si>
  <si>
    <t>NYK-30949412-2933297-1-1</t>
  </si>
  <si>
    <t>RET_10739846-5336812</t>
  </si>
  <si>
    <t>28449536799151</t>
  </si>
  <si>
    <t>88281251030</t>
  </si>
  <si>
    <t>CUTAB00000619</t>
  </si>
  <si>
    <t>1284-Blue-36</t>
  </si>
  <si>
    <t>NYKF34244115</t>
  </si>
  <si>
    <t>NYK-30949412-2933297-1</t>
  </si>
  <si>
    <t>TINYK11487137</t>
  </si>
  <si>
    <t>NYK-31926074-0353317-1-1</t>
  </si>
  <si>
    <t>RET_11142386-0832105</t>
  </si>
  <si>
    <t>28449540198782</t>
  </si>
  <si>
    <t>SF1835865670NYK</t>
  </si>
  <si>
    <t>CUTAB00000618</t>
  </si>
  <si>
    <t>1284-Blue-34</t>
  </si>
  <si>
    <t>NYKF35300615</t>
  </si>
  <si>
    <t>NYK-31926074-0353317-1</t>
  </si>
  <si>
    <t>TINYK11912265</t>
  </si>
  <si>
    <t>NYK-31465612-7402138-1-1</t>
  </si>
  <si>
    <t>RET_10985932-1257041</t>
  </si>
  <si>
    <t>Larger size and fitting not good</t>
  </si>
  <si>
    <t>R1411531786NYK</t>
  </si>
  <si>
    <t>SF1686995413NYK</t>
  </si>
  <si>
    <t>NYKF34797258</t>
  </si>
  <si>
    <t>NYK-31465612-7402138-1</t>
  </si>
  <si>
    <t>TINYK11739800</t>
  </si>
  <si>
    <t>NYK-32160803-9807227-3-1</t>
  </si>
  <si>
    <t>RET_11199358-5477646</t>
  </si>
  <si>
    <t>R1501558503NYK</t>
  </si>
  <si>
    <t>28449520195733</t>
  </si>
  <si>
    <t>CUTAB00000616</t>
  </si>
  <si>
    <t>1284-Blue-30</t>
  </si>
  <si>
    <t>NYKF35559589</t>
  </si>
  <si>
    <t>NYK-32160803-9807227-3</t>
  </si>
  <si>
    <t>TINYK11983201</t>
  </si>
  <si>
    <t>NYK-31431282-2567660-1-1</t>
  </si>
  <si>
    <t>RET_10969995-2401525</t>
  </si>
  <si>
    <t>Too long pant</t>
  </si>
  <si>
    <t>R1425551038NYK</t>
  </si>
  <si>
    <t>28449517993205</t>
  </si>
  <si>
    <t>NYKF34760264</t>
  </si>
  <si>
    <t>NYK-31431282-2567660-1</t>
  </si>
  <si>
    <t>TINYK11733096</t>
  </si>
  <si>
    <t>NYK-30339552-4763317-1-1</t>
  </si>
  <si>
    <t>RET_10557144-7891258</t>
  </si>
  <si>
    <t>28449516375483</t>
  </si>
  <si>
    <t>28449504362293</t>
  </si>
  <si>
    <t>CUTAB00000613</t>
  </si>
  <si>
    <t>1284-Blue-24</t>
  </si>
  <si>
    <t>NYKF33605050</t>
  </si>
  <si>
    <t>NYK-30339552-4763317-1</t>
  </si>
  <si>
    <t>TINYK11289307</t>
  </si>
  <si>
    <t>NYK-31716843-3422799-1-1</t>
  </si>
  <si>
    <t>RET_11095348-7866075</t>
  </si>
  <si>
    <t>28449539946012</t>
  </si>
  <si>
    <t>SF1835806628NYK</t>
  </si>
  <si>
    <t>CUTAB00000910</t>
  </si>
  <si>
    <t>1283-Blue-22</t>
  </si>
  <si>
    <t>NYKF35071403</t>
  </si>
  <si>
    <t>NYK-31716843-3422799-1</t>
  </si>
  <si>
    <t>TINYK11855803</t>
  </si>
  <si>
    <t>NYK-31441538-7193404-4-1</t>
  </si>
  <si>
    <t>RET_11006727-1116957</t>
  </si>
  <si>
    <t>28449539533292</t>
  </si>
  <si>
    <t>SF1686985719NYK</t>
  </si>
  <si>
    <t>CUTAB00000909</t>
  </si>
  <si>
    <t>1283-Blue-20</t>
  </si>
  <si>
    <t>NYKF34770335</t>
  </si>
  <si>
    <t>NYK-31441538-7193404-4</t>
  </si>
  <si>
    <t>TINYK11759271</t>
  </si>
  <si>
    <t>NYK-31996311-5116477-3-1</t>
  </si>
  <si>
    <t>RET_11197898-9387434</t>
  </si>
  <si>
    <t>R1466702762NYK</t>
  </si>
  <si>
    <t>237943172972176</t>
  </si>
  <si>
    <t>CUTAB00000907</t>
  </si>
  <si>
    <t>1283-Blue-16</t>
  </si>
  <si>
    <t>NYKF35375861</t>
  </si>
  <si>
    <t>NYK-31996311-5116477-3</t>
  </si>
  <si>
    <t>TINYK11964654</t>
  </si>
  <si>
    <t>NYK-27925422-0446561-1-1</t>
  </si>
  <si>
    <t>RET_9670032-0420985</t>
  </si>
  <si>
    <t>R1237569486NYK</t>
  </si>
  <si>
    <t>28449485700455</t>
  </si>
  <si>
    <t>CUTAB00000355</t>
  </si>
  <si>
    <t>1281-Pink-32</t>
  </si>
  <si>
    <t>NYKF30811321</t>
  </si>
  <si>
    <t>NYK-27925422-0446561-1</t>
  </si>
  <si>
    <t>TINYK10383421</t>
  </si>
  <si>
    <t>NYK-28099918-0145512-5-1</t>
  </si>
  <si>
    <t>RET_10031139-0558895</t>
  </si>
  <si>
    <t>R1289737270NYK</t>
  </si>
  <si>
    <t>SF1603431834NYK</t>
  </si>
  <si>
    <t>CUTAB00000353</t>
  </si>
  <si>
    <t>1281-Pink-28</t>
  </si>
  <si>
    <t>NYKF30999428</t>
  </si>
  <si>
    <t>NYK-28099918-0145512-5</t>
  </si>
  <si>
    <t>TINYK10753881</t>
  </si>
  <si>
    <t>NYK-29241040-9972573-1-1</t>
  </si>
  <si>
    <t>RET_10157928-9741034</t>
  </si>
  <si>
    <t>R1309104908NYK</t>
  </si>
  <si>
    <t>237943146708003</t>
  </si>
  <si>
    <t>CUTAB00000352</t>
  </si>
  <si>
    <t>1281-Pink-26</t>
  </si>
  <si>
    <t>NYKF32315823</t>
  </si>
  <si>
    <t>NYK-29241040-9972573-1</t>
  </si>
  <si>
    <t>TINYK10912129</t>
  </si>
  <si>
    <t>NYK-31865292-9445829-1-1</t>
  </si>
  <si>
    <t>RET_11149283-3112858</t>
  </si>
  <si>
    <t>Product received very late than expected delivery time.</t>
  </si>
  <si>
    <t>R1483706172NYK</t>
  </si>
  <si>
    <t>28449537802225</t>
  </si>
  <si>
    <t>CUTAB00000361</t>
  </si>
  <si>
    <t>1281-Orchid-28</t>
  </si>
  <si>
    <t>NYKF35233896</t>
  </si>
  <si>
    <t>NYK-31865292-9445829-1</t>
  </si>
  <si>
    <t>TINYK11939356</t>
  </si>
  <si>
    <t>NYK-28505950-9465306-5-1</t>
  </si>
  <si>
    <t>RET_9907346-3468419</t>
  </si>
  <si>
    <t>R1271748553NYK</t>
  </si>
  <si>
    <t>28449500088093</t>
  </si>
  <si>
    <t>NYKF31449636</t>
  </si>
  <si>
    <t>NYK-28505950-9465306-5</t>
  </si>
  <si>
    <t>TINYK10647557</t>
  </si>
  <si>
    <t>NYK-28418800-3336228-2-1</t>
  </si>
  <si>
    <t>RET_9859514-1914471</t>
  </si>
  <si>
    <t>28449506501504</t>
  </si>
  <si>
    <t>59358329542</t>
  </si>
  <si>
    <t>CUTAB00000357</t>
  </si>
  <si>
    <t>1281-Orchid-20</t>
  </si>
  <si>
    <t>NYKF31353937</t>
  </si>
  <si>
    <t>NYK-28418800-3336228-2</t>
  </si>
  <si>
    <t>TINYK10587965</t>
  </si>
  <si>
    <t>NYK-32315949-3753080-1-1</t>
  </si>
  <si>
    <t>RET_11332797-9490028</t>
  </si>
  <si>
    <t>R1528810404NYK</t>
  </si>
  <si>
    <t>28449522282120</t>
  </si>
  <si>
    <t>Received Wrong Product</t>
  </si>
  <si>
    <t>CUTAB00000798</t>
  </si>
  <si>
    <t>1280-Pink-24</t>
  </si>
  <si>
    <t>NYKF35733352</t>
  </si>
  <si>
    <t>NYK-32315949-3753080-1</t>
  </si>
  <si>
    <t>TINYK12139332</t>
  </si>
  <si>
    <t>NYK-30130779-5878714-1-1</t>
  </si>
  <si>
    <t>RET_10484864-3890341</t>
  </si>
  <si>
    <t>R1355934626NYK</t>
  </si>
  <si>
    <t>88280479711</t>
  </si>
  <si>
    <t>CUTAB00000494</t>
  </si>
  <si>
    <t>1280-Green-32</t>
  </si>
  <si>
    <t>NYKF33382283</t>
  </si>
  <si>
    <t>NYK-30130779-5878714-1</t>
  </si>
  <si>
    <t>TINYK11208573</t>
  </si>
  <si>
    <t>NYK-29615076-8025288-2-1</t>
  </si>
  <si>
    <t>RET_10277196-0622089</t>
  </si>
  <si>
    <t xml:space="preserve">Too big fr 11 to 12 year of age </t>
  </si>
  <si>
    <t>Scan Bulk Update</t>
  </si>
  <si>
    <t>28449513431143</t>
  </si>
  <si>
    <t>237943147088070</t>
  </si>
  <si>
    <t>CUTAB00000188</t>
  </si>
  <si>
    <t>1279-Purple-38</t>
  </si>
  <si>
    <t>NYKF32821050</t>
  </si>
  <si>
    <t>NYK-29615076-8025288-2</t>
  </si>
  <si>
    <t>TINYK11021692</t>
  </si>
  <si>
    <t>NYK-32153170-4319140-1-1</t>
  </si>
  <si>
    <t>RET_11332685-8813963</t>
  </si>
  <si>
    <t xml:space="preserve">Not fitted </t>
  </si>
  <si>
    <t>R1528795472NYK</t>
  </si>
  <si>
    <t>28449521953761</t>
  </si>
  <si>
    <t>CUTAB00000332</t>
  </si>
  <si>
    <t>1278-Multicolor-34</t>
  </si>
  <si>
    <t>NYKF35551320</t>
  </si>
  <si>
    <t>NYK-32153170-4319140-1</t>
  </si>
  <si>
    <t>TINYK12115179</t>
  </si>
  <si>
    <t>NYK-28961729-2021872-5-1</t>
  </si>
  <si>
    <t>RET_10052573-2673478</t>
  </si>
  <si>
    <t xml:space="preserve">Need to return </t>
  </si>
  <si>
    <t>R1292118779NYK</t>
  </si>
  <si>
    <t>237943145599995</t>
  </si>
  <si>
    <t>NYKF31952168</t>
  </si>
  <si>
    <t>NYK-28961729-2021872-5</t>
  </si>
  <si>
    <t>TINYK10775873</t>
  </si>
  <si>
    <t>NYK-28303973-2872080-1-1</t>
  </si>
  <si>
    <t>RET_9789195-3530460</t>
  </si>
  <si>
    <t>28449505158543</t>
  </si>
  <si>
    <t>SF1603456896NYK</t>
  </si>
  <si>
    <t>CUTAB00000331</t>
  </si>
  <si>
    <t>1278-Multicolor-32</t>
  </si>
  <si>
    <t>NYKF31228810</t>
  </si>
  <si>
    <t>NYK-28303973-2872080-1</t>
  </si>
  <si>
    <t>TINYK10507113</t>
  </si>
  <si>
    <t>NYK-30922078-2238833-1-1</t>
  </si>
  <si>
    <t>RET_10766532-0653574</t>
  </si>
  <si>
    <t>R1402069497NYK</t>
  </si>
  <si>
    <t>237943150418154</t>
  </si>
  <si>
    <t>CUTAB00000329</t>
  </si>
  <si>
    <t>1278-Multicolor-28</t>
  </si>
  <si>
    <t>NYKF34215545</t>
  </si>
  <si>
    <t>NYK-30922078-2238833-1</t>
  </si>
  <si>
    <t>TINYK11518181</t>
  </si>
  <si>
    <t>NYK-31865124-9005726-1-1</t>
  </si>
  <si>
    <t>RET_11142830-3855782</t>
  </si>
  <si>
    <t>28449540203800</t>
  </si>
  <si>
    <t>28449519082070</t>
  </si>
  <si>
    <t>CUTAB00000328</t>
  </si>
  <si>
    <t>1278-Multicolor-26</t>
  </si>
  <si>
    <t>NYKF35233693</t>
  </si>
  <si>
    <t>NYK-31865124-9005726-1</t>
  </si>
  <si>
    <t>TINYK11924806</t>
  </si>
  <si>
    <t>NYK-32040988-2970821-5-1</t>
  </si>
  <si>
    <t>RET_11176534-0622926</t>
  </si>
  <si>
    <t>28449540347064</t>
  </si>
  <si>
    <t>237943173003024</t>
  </si>
  <si>
    <t>CUTAB00000326</t>
  </si>
  <si>
    <t>1278-Multicolor-22</t>
  </si>
  <si>
    <t>NYKF35425691</t>
  </si>
  <si>
    <t>NYK-32040988-2970821-5</t>
  </si>
  <si>
    <t>TINYK11946498</t>
  </si>
  <si>
    <t>NYK-30744741-1833511-2-1</t>
  </si>
  <si>
    <t>RET_10685806-0066902</t>
  </si>
  <si>
    <t xml:space="preserve">Its not looking fresh </t>
  </si>
  <si>
    <t>28449536513326</t>
  </si>
  <si>
    <t>237943147953384</t>
  </si>
  <si>
    <t>CUTAB00000325</t>
  </si>
  <si>
    <t>1278-Multicolor-20</t>
  </si>
  <si>
    <t>NYKF34029984</t>
  </si>
  <si>
    <t>NYK-30744741-1833511-2</t>
  </si>
  <si>
    <t>TINYK11431407</t>
  </si>
  <si>
    <t>NYK-27600237-8244931-1-1</t>
  </si>
  <si>
    <t>RET_9534347-0978303</t>
  </si>
  <si>
    <t xml:space="preserve">Gown is very tight and long in lenght. </t>
  </si>
  <si>
    <t>28449498969386</t>
  </si>
  <si>
    <t>28449485140923</t>
  </si>
  <si>
    <t>CUTAB00000339</t>
  </si>
  <si>
    <t>1277-Wine-32</t>
  </si>
  <si>
    <t>NYKF30462494</t>
  </si>
  <si>
    <t>NYK-27600237-8244931-1</t>
  </si>
  <si>
    <t>TINYK10250384</t>
  </si>
  <si>
    <t>NYK-30632478-3835993-2-1</t>
  </si>
  <si>
    <t>RET_10659054-6495203</t>
  </si>
  <si>
    <t>28449522881681</t>
  </si>
  <si>
    <t>28449511150204</t>
  </si>
  <si>
    <t>CUTAB00000337</t>
  </si>
  <si>
    <t>1277-Wine-28</t>
  </si>
  <si>
    <t>NYKF33912883</t>
  </si>
  <si>
    <t>NYK-30632478-3835993-2</t>
  </si>
  <si>
    <t>TINYK11399591</t>
  </si>
  <si>
    <t>NYK-30675093-5369351-1-1</t>
  </si>
  <si>
    <t>RET_10654892-2816032</t>
  </si>
  <si>
    <t>R1379512507NYK</t>
  </si>
  <si>
    <t>237943150123476</t>
  </si>
  <si>
    <t>CUTAB00000275</t>
  </si>
  <si>
    <t>1277-Rose-32</t>
  </si>
  <si>
    <t>NYKF33957465</t>
  </si>
  <si>
    <t>NYK-30675093-5369351-1</t>
  </si>
  <si>
    <t>TINYK11393250</t>
  </si>
  <si>
    <t>88317313302</t>
  </si>
  <si>
    <t>CUTAB00000272</t>
  </si>
  <si>
    <t>1277-Rose-26</t>
  </si>
  <si>
    <t>TINYK11486200</t>
  </si>
  <si>
    <t>NYK-27842748-9220564-1-1</t>
  </si>
  <si>
    <t>RET_9679879-0928493</t>
  </si>
  <si>
    <t>R1239086997NYK</t>
  </si>
  <si>
    <t>28449485552114</t>
  </si>
  <si>
    <t>CUTAB00000269</t>
  </si>
  <si>
    <t>1277-Rose-20</t>
  </si>
  <si>
    <t>NYKF30722899</t>
  </si>
  <si>
    <t>NYK-27842748-9220564-1</t>
  </si>
  <si>
    <t>TINYK10424595</t>
  </si>
  <si>
    <t>NYK-32044543-1362242-3-1</t>
  </si>
  <si>
    <t>28449521600040</t>
  </si>
  <si>
    <t>CUTAB00000280</t>
  </si>
  <si>
    <t>1276-N.Blue-30</t>
  </si>
  <si>
    <t>NYKF35429762</t>
  </si>
  <si>
    <t>TINYK11943914</t>
  </si>
  <si>
    <t>NYK-31474025-8096330-1-1</t>
  </si>
  <si>
    <t>RET_10988617-2160615</t>
  </si>
  <si>
    <t>28449539462872</t>
  </si>
  <si>
    <t>28449518140791</t>
  </si>
  <si>
    <t>CUTAB00000292</t>
  </si>
  <si>
    <t>1276-L.Blue-38</t>
  </si>
  <si>
    <t>NYKF34806094</t>
  </si>
  <si>
    <t>NYK-31474025-8096330-1</t>
  </si>
  <si>
    <t>TINYK11746863</t>
  </si>
  <si>
    <t>NYK-29681548-7453397-1-1</t>
  </si>
  <si>
    <t>RET_10279542-4191923</t>
  </si>
  <si>
    <t>CourierPartner missing for PinCode 400102, unable to Manifest.</t>
  </si>
  <si>
    <t>28449515333743</t>
  </si>
  <si>
    <t>SF1687093707NYK</t>
  </si>
  <si>
    <t>NYKF32891434</t>
  </si>
  <si>
    <t>NYK-29681548-7453397-1</t>
  </si>
  <si>
    <t>TINYK11098540</t>
  </si>
  <si>
    <t>NYK-29318745-2983139-1-1</t>
  </si>
  <si>
    <t>SF1686829682NYK</t>
  </si>
  <si>
    <t>NYKF32414763</t>
  </si>
  <si>
    <t>TINYK10874738</t>
  </si>
  <si>
    <t>NYK-29782528-4192083-1-1</t>
  </si>
  <si>
    <t>RET_10496084-6869072</t>
  </si>
  <si>
    <t>28449516057156</t>
  </si>
  <si>
    <t>237943148201081</t>
  </si>
  <si>
    <t>CUTAB00000291</t>
  </si>
  <si>
    <t>1276-L.Blue-36</t>
  </si>
  <si>
    <t>NYKF33331579</t>
  </si>
  <si>
    <t>NYK-29782528-4192083-1</t>
  </si>
  <si>
    <t>TINYK11231541</t>
  </si>
  <si>
    <t>NYK-30074641-5268553-1-1</t>
  </si>
  <si>
    <t>28449509925370</t>
  </si>
  <si>
    <t>CUTAB00000290</t>
  </si>
  <si>
    <t>1276-L.Blue-34</t>
  </si>
  <si>
    <t>NYKF33319232</t>
  </si>
  <si>
    <t>TINYK11207906</t>
  </si>
  <si>
    <t>NYK-30310527-2167437-2-1</t>
  </si>
  <si>
    <t>RET_10555121-6625951</t>
  </si>
  <si>
    <t>28449516368284</t>
  </si>
  <si>
    <t>SF1747512457NYK</t>
  </si>
  <si>
    <t>CUTAB00000288</t>
  </si>
  <si>
    <t>1276-L.Blue-30</t>
  </si>
  <si>
    <t>NYKF33573314</t>
  </si>
  <si>
    <t>NYK-30310527-2167437-2</t>
  </si>
  <si>
    <t>TINYK11291155</t>
  </si>
  <si>
    <t>NYK-32065093-5820157-2-1</t>
  </si>
  <si>
    <t>RET_11229665-1132384</t>
  </si>
  <si>
    <t>R1513779371NYK</t>
  </si>
  <si>
    <t>237943172999071</t>
  </si>
  <si>
    <t>CUTAB00000285</t>
  </si>
  <si>
    <t>1276-L.Blue-24</t>
  </si>
  <si>
    <t>NYKF35452310</t>
  </si>
  <si>
    <t>NYK-32065093-5820157-2</t>
  </si>
  <si>
    <t>TINYK12003543</t>
  </si>
  <si>
    <t>NYK-31630972-6435094-1-1</t>
  </si>
  <si>
    <t>RET_11017285-6899664</t>
  </si>
  <si>
    <t>R1435755019NYK</t>
  </si>
  <si>
    <t>28449537155366</t>
  </si>
  <si>
    <t>CUTAB00000324</t>
  </si>
  <si>
    <t>1275-Lavender-38</t>
  </si>
  <si>
    <t>NYKF34976746</t>
  </si>
  <si>
    <t>NYK-31630972-6435094-1</t>
  </si>
  <si>
    <t>TINYK11764847</t>
  </si>
  <si>
    <t>NYK-30269146-8906812-1-1</t>
  </si>
  <si>
    <t>SF1747508854NYK</t>
  </si>
  <si>
    <t>NYKF33529695</t>
  </si>
  <si>
    <t>TINYK11240883</t>
  </si>
  <si>
    <t>RET_11017291-6955564</t>
  </si>
  <si>
    <t>R1449336977NYK</t>
  </si>
  <si>
    <t>CUTAB00000323</t>
  </si>
  <si>
    <t>1275-Lavender-36</t>
  </si>
  <si>
    <t>TINYK11764949</t>
  </si>
  <si>
    <t>RET_9907340-3430458</t>
  </si>
  <si>
    <t>R1271748034NYK</t>
  </si>
  <si>
    <t>CUTAB00000318</t>
  </si>
  <si>
    <t>1275-Lavender-26</t>
  </si>
  <si>
    <t>TINYK10647248</t>
  </si>
  <si>
    <t>NYK-28558465-0159790-1-1</t>
  </si>
  <si>
    <t>28449499840982</t>
  </si>
  <si>
    <t>CUTAB00000311</t>
  </si>
  <si>
    <t>1275-Green-28</t>
  </si>
  <si>
    <t>NYKF31506840</t>
  </si>
  <si>
    <t>TINYK10628315</t>
  </si>
  <si>
    <t>NYK-28295721-1992252-2-1</t>
  </si>
  <si>
    <t>RET_9785094-2606293</t>
  </si>
  <si>
    <t>28449505143714</t>
  </si>
  <si>
    <t>28449487677756</t>
  </si>
  <si>
    <t>CUTAB00000308</t>
  </si>
  <si>
    <t>1274-P.Blue-38</t>
  </si>
  <si>
    <t>NYKF31218675</t>
  </si>
  <si>
    <t>NYK-28295721-1992252-2</t>
  </si>
  <si>
    <t>TINYK10505565</t>
  </si>
  <si>
    <t>NYK-29085889-0063662-1-1</t>
  </si>
  <si>
    <t>88279349432</t>
  </si>
  <si>
    <t>CUTAB00000305</t>
  </si>
  <si>
    <t>1274-P.Blue-32</t>
  </si>
  <si>
    <t>NYKF32099727</t>
  </si>
  <si>
    <t>TINYK10841098</t>
  </si>
  <si>
    <t>CUTAB00000300</t>
  </si>
  <si>
    <t>1274-Lilac-38</t>
  </si>
  <si>
    <t>NYK-28588849-4582270-1-1</t>
  </si>
  <si>
    <t>RET_9865089-2058038</t>
  </si>
  <si>
    <t>Label says 12-13 years but it's way too big, sizing S size for adults.</t>
  </si>
  <si>
    <t>R1259766886NYK</t>
  </si>
  <si>
    <t>88278051960</t>
  </si>
  <si>
    <t>NYKF31540491</t>
  </si>
  <si>
    <t>NYK-28588849-4582270-1</t>
  </si>
  <si>
    <t>TINYK10595158</t>
  </si>
  <si>
    <t>NYK-28828501-6396898-1-1</t>
  </si>
  <si>
    <t>SF1686792107NYK</t>
  </si>
  <si>
    <t>CUTAB00000268</t>
  </si>
  <si>
    <t>1273-Peach-38</t>
  </si>
  <si>
    <t>NYKF31804722</t>
  </si>
  <si>
    <t>TINYK10706014</t>
  </si>
  <si>
    <t>NYK-28796921-7706815-1-1</t>
  </si>
  <si>
    <t>RET_9960153-1952643</t>
  </si>
  <si>
    <t xml:space="preserve">Size too large </t>
  </si>
  <si>
    <t>28449511961950</t>
  </si>
  <si>
    <t>28449501062585</t>
  </si>
  <si>
    <t>CUTAB00000267</t>
  </si>
  <si>
    <t>1273-Peach-36</t>
  </si>
  <si>
    <t>NYKF31769594</t>
  </si>
  <si>
    <t>NYK-28796921-7706815-1</t>
  </si>
  <si>
    <t>TINYK10680184</t>
  </si>
  <si>
    <t>NYK-28598622-1568879-1-1</t>
  </si>
  <si>
    <t>RET_9874725-7105961</t>
  </si>
  <si>
    <t xml:space="preserve">Size is different </t>
  </si>
  <si>
    <t>R1266785096NYK</t>
  </si>
  <si>
    <t>28449500258215</t>
  </si>
  <si>
    <t>NYKF31551229</t>
  </si>
  <si>
    <t>NYK-28598622-1568879-1</t>
  </si>
  <si>
    <t>TINYK10610952</t>
  </si>
  <si>
    <t>NYK-29615644-9303366-2-1</t>
  </si>
  <si>
    <t>RET_10277180-0549013</t>
  </si>
  <si>
    <t xml:space="preserve">To big </t>
  </si>
  <si>
    <t>28449513431106</t>
  </si>
  <si>
    <t>237943147090306</t>
  </si>
  <si>
    <t>CUTAB00000266</t>
  </si>
  <si>
    <t>1273-Peach-34</t>
  </si>
  <si>
    <t>NYKF32821709</t>
  </si>
  <si>
    <t>NYK-29615644-9303366-2</t>
  </si>
  <si>
    <t>TINYK11021787</t>
  </si>
  <si>
    <t>NYK-28570476-5787105-1-1</t>
  </si>
  <si>
    <t>28449499841170</t>
  </si>
  <si>
    <t>NYKF31520278</t>
  </si>
  <si>
    <t>TINYK10619877</t>
  </si>
  <si>
    <t>NYK-27598860-5330878-1-1</t>
  </si>
  <si>
    <t>28449459911571</t>
  </si>
  <si>
    <t>NYKF30460955</t>
  </si>
  <si>
    <t>TINYK10271735</t>
  </si>
  <si>
    <t>NYK-27530990-4813069-4-1</t>
  </si>
  <si>
    <t>RET_9495308-7763749</t>
  </si>
  <si>
    <t>R1213234005NYK</t>
  </si>
  <si>
    <t>88276054823</t>
  </si>
  <si>
    <t>CUTAB00000261</t>
  </si>
  <si>
    <t>1273-Peach-24</t>
  </si>
  <si>
    <t>NYKF30386430</t>
  </si>
  <si>
    <t>NYK-27530990-4813069-4</t>
  </si>
  <si>
    <t>TINYK10202764</t>
  </si>
  <si>
    <t>NYK-27738494-4328639-2-1</t>
  </si>
  <si>
    <t>RET_9581274-2700593</t>
  </si>
  <si>
    <t>28449499181324</t>
  </si>
  <si>
    <t>28449485323063</t>
  </si>
  <si>
    <t>CUTAB00000256</t>
  </si>
  <si>
    <t>1272-Sky-30</t>
  </si>
  <si>
    <t>NYKF30610473</t>
  </si>
  <si>
    <t>NYK-27738494-4328639-2</t>
  </si>
  <si>
    <t>TINYK10301452</t>
  </si>
  <si>
    <t>CUTAB00000253</t>
  </si>
  <si>
    <t>1272-Sky-24</t>
  </si>
  <si>
    <t>RET_9492889-6003858</t>
  </si>
  <si>
    <t>R1212859765NYK</t>
  </si>
  <si>
    <t>TINYK10202817</t>
  </si>
  <si>
    <t>NYK-32103741-8046267-10-1</t>
  </si>
  <si>
    <t>RET_11197662-8217860</t>
  </si>
  <si>
    <t>28449540444191</t>
  </si>
  <si>
    <t>28449520084735</t>
  </si>
  <si>
    <t>CUTAB00000243</t>
  </si>
  <si>
    <t>1271-Blue-36</t>
  </si>
  <si>
    <t>NYKF35495972</t>
  </si>
  <si>
    <t>NYK-32103741-8046267-10</t>
  </si>
  <si>
    <t>TINYK11992172</t>
  </si>
  <si>
    <t>NYK-28057648-8612436-1-1</t>
  </si>
  <si>
    <t>RET_9665017-1510716</t>
  </si>
  <si>
    <t>28449499522983</t>
  </si>
  <si>
    <t>88277342996</t>
  </si>
  <si>
    <t>NYKF30952990</t>
  </si>
  <si>
    <t>NYK-28057648-8612436-1</t>
  </si>
  <si>
    <t>TINYK10387946</t>
  </si>
  <si>
    <t>NYK-28060918-7196372-1-1</t>
  </si>
  <si>
    <t>RET_9697621-9779910</t>
  </si>
  <si>
    <t>R1241824349NYK</t>
  </si>
  <si>
    <t>SF1603429912NYK</t>
  </si>
  <si>
    <t>CUTAB00000242</t>
  </si>
  <si>
    <t>1271-Blue-34</t>
  </si>
  <si>
    <t>NYKF30956537</t>
  </si>
  <si>
    <t>NYK-28060918-7196372-1</t>
  </si>
  <si>
    <t>TINYK10423274</t>
  </si>
  <si>
    <t>NYK-30225045-8436687-2-1</t>
  </si>
  <si>
    <t>RET_10471935-7792637</t>
  </si>
  <si>
    <t>28449515958412</t>
  </si>
  <si>
    <t>59360044936</t>
  </si>
  <si>
    <t>CUTAB00000239</t>
  </si>
  <si>
    <t>1271-Blue-28</t>
  </si>
  <si>
    <t>NYKF33483662</t>
  </si>
  <si>
    <t>NYK-30225045-8436687-2</t>
  </si>
  <si>
    <t>TINYK11201755</t>
  </si>
  <si>
    <t>NYK-29241413-0956337-5-1</t>
  </si>
  <si>
    <t>RET_10198701-1938310</t>
  </si>
  <si>
    <t>R1318697254NYK</t>
  </si>
  <si>
    <t>SF1686909554NYK</t>
  </si>
  <si>
    <t>CUTAB00000230</t>
  </si>
  <si>
    <t>1270-Pista-26</t>
  </si>
  <si>
    <t>NYKF32316303</t>
  </si>
  <si>
    <t>NYK-29241413-0956337-5</t>
  </si>
  <si>
    <t>TINYK10936861</t>
  </si>
  <si>
    <t>RET_9448636-9639314</t>
  </si>
  <si>
    <t>R1207452145NYK</t>
  </si>
  <si>
    <t>CUTAB00000229</t>
  </si>
  <si>
    <t>1270-Pista-24</t>
  </si>
  <si>
    <t>TINYK10157223</t>
  </si>
  <si>
    <t>NYK-29566921-9388788-1-1</t>
  </si>
  <si>
    <t>RET_10290529-5217169</t>
  </si>
  <si>
    <t>R1332918596NYK</t>
  </si>
  <si>
    <t>28449508981556</t>
  </si>
  <si>
    <t>CUTAB00000225</t>
  </si>
  <si>
    <t>1268-Pista-32</t>
  </si>
  <si>
    <t>NYKF32770289</t>
  </si>
  <si>
    <t>NYK-29566921-9388788-1</t>
  </si>
  <si>
    <t>TINYK11029888</t>
  </si>
  <si>
    <t>NYK-28727219-1546733-2-1</t>
  </si>
  <si>
    <t>RET_9926894-0148292</t>
  </si>
  <si>
    <t>28449511806756</t>
  </si>
  <si>
    <t>237943138767844</t>
  </si>
  <si>
    <t>NYKF31691733</t>
  </si>
  <si>
    <t>NYK-28727219-1546733-2</t>
  </si>
  <si>
    <t>TINYK10649980</t>
  </si>
  <si>
    <t>NYK-29970171-7482923-1-1</t>
  </si>
  <si>
    <t>28449509672983</t>
  </si>
  <si>
    <t>CUTAB00000222</t>
  </si>
  <si>
    <t>1268-Pista-26</t>
  </si>
  <si>
    <t>NYKF33205832</t>
  </si>
  <si>
    <t>TINYK11207419</t>
  </si>
  <si>
    <t>NYK-28583394-0678681-1-1</t>
  </si>
  <si>
    <t>RET_9905341-1945363</t>
  </si>
  <si>
    <t>Too small but tomorrow our Eid than i return</t>
  </si>
  <si>
    <t>28449511716412</t>
  </si>
  <si>
    <t>28449499846070</t>
  </si>
  <si>
    <t>CUTAB00000221</t>
  </si>
  <si>
    <t>1268-Pista-24</t>
  </si>
  <si>
    <t>NYKF31534254</t>
  </si>
  <si>
    <t>NYK-28583394-0678681-1</t>
  </si>
  <si>
    <t>TINYK10627096</t>
  </si>
  <si>
    <t>NYK-30846703-6725989-1-1</t>
  </si>
  <si>
    <t>RET_10744557-0768349</t>
  </si>
  <si>
    <t>28449536809135</t>
  </si>
  <si>
    <t>28449514330842</t>
  </si>
  <si>
    <t>CUTAB00000220</t>
  </si>
  <si>
    <t>1267-Rani-38</t>
  </si>
  <si>
    <t>NYKF34135428</t>
  </si>
  <si>
    <t>NYK-30846703-6725989-1</t>
  </si>
  <si>
    <t>TINYK11484068</t>
  </si>
  <si>
    <t>NYK-29990375-1009727-7-1</t>
  </si>
  <si>
    <t>28449510386736</t>
  </si>
  <si>
    <t>CUTAB00000218</t>
  </si>
  <si>
    <t>1267-Rani-34</t>
  </si>
  <si>
    <t>NYKF33228243</t>
  </si>
  <si>
    <t>TINYK11094316</t>
  </si>
  <si>
    <t>NYK-28195538-3606547-1-1</t>
  </si>
  <si>
    <t>RET_9825244-2011634</t>
  </si>
  <si>
    <t>The product is very delayed and size small?</t>
  </si>
  <si>
    <t>R1256710976NYK</t>
  </si>
  <si>
    <t>28449487484464</t>
  </si>
  <si>
    <t>NYKF31105046</t>
  </si>
  <si>
    <t>NYK-28195538-3606547-1</t>
  </si>
  <si>
    <t>TINYK10538226</t>
  </si>
  <si>
    <t>NYK-30309590-0250926-1-1</t>
  </si>
  <si>
    <t>28449504359736</t>
  </si>
  <si>
    <t>CUTAB00000217</t>
  </si>
  <si>
    <t>1267-Rani-32</t>
  </si>
  <si>
    <t>NYKF33572276</t>
  </si>
  <si>
    <t>TINYK11328794</t>
  </si>
  <si>
    <t>NYK-29878029-4401305-2-1</t>
  </si>
  <si>
    <t>RET_10393853-4874388</t>
  </si>
  <si>
    <t>28449515557824</t>
  </si>
  <si>
    <t>28449508814540</t>
  </si>
  <si>
    <t>NYKF33106632</t>
  </si>
  <si>
    <t>NYK-29878029-4401305-2</t>
  </si>
  <si>
    <t>TINYK11127001</t>
  </si>
  <si>
    <t>NYK-29081786-7395200-1-1</t>
  </si>
  <si>
    <t>SF1686811696NYK</t>
  </si>
  <si>
    <t>NYKF32095478</t>
  </si>
  <si>
    <t>TINYK10968010</t>
  </si>
  <si>
    <t>NYK-28439019-3759037-2-1</t>
  </si>
  <si>
    <t>28449500335576</t>
  </si>
  <si>
    <t>CUTAB00000216</t>
  </si>
  <si>
    <t>1267-Rani-30</t>
  </si>
  <si>
    <t>NYKF31375492</t>
  </si>
  <si>
    <t>TINYK10580280</t>
  </si>
  <si>
    <t>NYK-29205510-2716426-1-1</t>
  </si>
  <si>
    <t>RET_10124910-1343658</t>
  </si>
  <si>
    <t>28449512752316</t>
  </si>
  <si>
    <t>SF1686905174NYK</t>
  </si>
  <si>
    <t>CUTAB00000215</t>
  </si>
  <si>
    <t>1267-Rani-28</t>
  </si>
  <si>
    <t>NYKF32275876</t>
  </si>
  <si>
    <t>NYK-29205510-2716426-1</t>
  </si>
  <si>
    <t>TINYK10860109</t>
  </si>
  <si>
    <t>NYK-29199706-5051545-1-1</t>
  </si>
  <si>
    <t>RET_10124915-1382878</t>
  </si>
  <si>
    <t>28449512752342</t>
  </si>
  <si>
    <t>SF1686905280NYK</t>
  </si>
  <si>
    <t>CUTAB00000214</t>
  </si>
  <si>
    <t>1267-Rani-26</t>
  </si>
  <si>
    <t>NYKF32269270</t>
  </si>
  <si>
    <t>NYK-29199706-5051545-1</t>
  </si>
  <si>
    <t>TINYK10860395</t>
  </si>
  <si>
    <t>NYK-31465207-4564045-1-1</t>
  </si>
  <si>
    <t>RET_10996585-7539097</t>
  </si>
  <si>
    <t xml:space="preserve">Top is loose and pant is tight </t>
  </si>
  <si>
    <t>28449539483253</t>
  </si>
  <si>
    <t>SF1686995778NYK</t>
  </si>
  <si>
    <t>CUTAB00000062</t>
  </si>
  <si>
    <t>1266-Rani-38</t>
  </si>
  <si>
    <t>NYKF34796817</t>
  </si>
  <si>
    <t>NYK-31465207-4564045-1</t>
  </si>
  <si>
    <t>TINYK11742980</t>
  </si>
  <si>
    <t>NYK-31392302-0126578-1-1</t>
  </si>
  <si>
    <t>RET_10971401-9654433</t>
  </si>
  <si>
    <t>28449539378916</t>
  </si>
  <si>
    <t>28449516985404</t>
  </si>
  <si>
    <t>CUTAB00000061</t>
  </si>
  <si>
    <t>1266-Rani-36</t>
  </si>
  <si>
    <t>NYKF34718113</t>
  </si>
  <si>
    <t>NYK-31392302-0126578-1</t>
  </si>
  <si>
    <t>TINYK11735873</t>
  </si>
  <si>
    <t>RET_10290540-5258711</t>
  </si>
  <si>
    <t>R1332919061NYK</t>
  </si>
  <si>
    <t>CUTAB00000059</t>
  </si>
  <si>
    <t>1266-Rani-32</t>
  </si>
  <si>
    <t>TINYK11029869</t>
  </si>
  <si>
    <t>NYK-31747284-4401517-1-1</t>
  </si>
  <si>
    <t>RET_11059342-7008117</t>
  </si>
  <si>
    <t>Not liked.</t>
  </si>
  <si>
    <t>R1449313676NYK</t>
  </si>
  <si>
    <t>SF1835811030NYK</t>
  </si>
  <si>
    <t>CUTAB00000057</t>
  </si>
  <si>
    <t>1266-Rani-28</t>
  </si>
  <si>
    <t>NYKF35104901</t>
  </si>
  <si>
    <t>NYK-31747284-4401517-1</t>
  </si>
  <si>
    <t>TINYK11814046</t>
  </si>
  <si>
    <t>NYK-30978292-5481090-1-1</t>
  </si>
  <si>
    <t>RET_10772492-7679312</t>
  </si>
  <si>
    <t>Too gaudy and shiny. Doesn't look classy</t>
  </si>
  <si>
    <t>28449536943653</t>
  </si>
  <si>
    <t>237943150473141</t>
  </si>
  <si>
    <t>CUTAB00000204</t>
  </si>
  <si>
    <t>1265-Rani-38</t>
  </si>
  <si>
    <t>NYKF34274379</t>
  </si>
  <si>
    <t>NYK-30978292-5481090-1</t>
  </si>
  <si>
    <t>TINYK11515189</t>
  </si>
  <si>
    <t>NYK-30695267-8260653-1-1</t>
  </si>
  <si>
    <t>RET_10722682-0794364</t>
  </si>
  <si>
    <t>R1387747776NYK</t>
  </si>
  <si>
    <t>28449511323631</t>
  </si>
  <si>
    <t>CUTAB00000202</t>
  </si>
  <si>
    <t>1265-Rani-34</t>
  </si>
  <si>
    <t>NYKF33978760</t>
  </si>
  <si>
    <t>NYK-30695267-8260653-1</t>
  </si>
  <si>
    <t>TINYK11491805</t>
  </si>
  <si>
    <t>NYK-29814519-9506490-1-1</t>
  </si>
  <si>
    <t>RET_10350168-1309073</t>
  </si>
  <si>
    <t xml:space="preserve">Very large size </t>
  </si>
  <si>
    <t>28449515274976</t>
  </si>
  <si>
    <t>SF1747484073NYK</t>
  </si>
  <si>
    <t>CUTAB00000212</t>
  </si>
  <si>
    <t>1264-Orange-38</t>
  </si>
  <si>
    <t>NYKF33036146</t>
  </si>
  <si>
    <t>NYK-29814519-9506490-1</t>
  </si>
  <si>
    <t>TINYK11104340</t>
  </si>
  <si>
    <t>RET_10277162-0473944</t>
  </si>
  <si>
    <t xml:space="preserve">Way to big fr 11 to 12 year age </t>
  </si>
  <si>
    <t>28449513431014</t>
  </si>
  <si>
    <t>TINYK11021604</t>
  </si>
  <si>
    <t>RET_9664631-9475863</t>
  </si>
  <si>
    <t xml:space="preserve">Too large for a 11 yr </t>
  </si>
  <si>
    <t>28449499521771</t>
  </si>
  <si>
    <t>TINYK10388001</t>
  </si>
  <si>
    <t>NYK-28155359-7031068-1-1</t>
  </si>
  <si>
    <t>RET_9702865-9001133</t>
  </si>
  <si>
    <t>R1242024884NYK</t>
  </si>
  <si>
    <t>59358123790</t>
  </si>
  <si>
    <t>CUTAB00000211</t>
  </si>
  <si>
    <t>1264-Orange-36</t>
  </si>
  <si>
    <t>NYKF31060253</t>
  </si>
  <si>
    <t>NYK-28155359-7031068-1</t>
  </si>
  <si>
    <t>TINYK10418482</t>
  </si>
  <si>
    <t>NYK-29447167-0328257-1-1</t>
  </si>
  <si>
    <t>RET_10215356-4459265</t>
  </si>
  <si>
    <t>28449513153475</t>
  </si>
  <si>
    <t>SF1686932977NYK</t>
  </si>
  <si>
    <t>CUTAB00000207</t>
  </si>
  <si>
    <t>1264-Orange-28</t>
  </si>
  <si>
    <t>NYKF32620305</t>
  </si>
  <si>
    <t>NYK-29447167-0328257-1</t>
  </si>
  <si>
    <t>TINYK10954937</t>
  </si>
  <si>
    <t>NYK-27991810-9641920-1-1</t>
  </si>
  <si>
    <t>28449484741013</t>
  </si>
  <si>
    <t>CUTAB00000205</t>
  </si>
  <si>
    <t>1264-Orange-24</t>
  </si>
  <si>
    <t>NYKF30882015</t>
  </si>
  <si>
    <t>TINYK10420503</t>
  </si>
  <si>
    <t>NYK-32356595-2556873-1-1</t>
  </si>
  <si>
    <t>RET_11343235-6755120</t>
  </si>
  <si>
    <t>Bag in transit for return at HMH_Hanumangarh</t>
  </si>
  <si>
    <t>R1539924226NYK</t>
  </si>
  <si>
    <t>28449520863986</t>
  </si>
  <si>
    <t>CUTAB00000196</t>
  </si>
  <si>
    <t>1263-Lilac-38</t>
  </si>
  <si>
    <t>NYKF35780231</t>
  </si>
  <si>
    <t>NYK-32356595-2556873-1</t>
  </si>
  <si>
    <t>TINYK12150999</t>
  </si>
  <si>
    <t>NYK-27939229-4391262-1-1</t>
  </si>
  <si>
    <t>RET_9675064-7896405</t>
  </si>
  <si>
    <t>28449499578106</t>
  </si>
  <si>
    <t>28449485700606</t>
  </si>
  <si>
    <t>CUTAB00000195</t>
  </si>
  <si>
    <t>1263-Lilac-36</t>
  </si>
  <si>
    <t>NYKF30826389</t>
  </si>
  <si>
    <t>NYK-27939229-4391262-1</t>
  </si>
  <si>
    <t>TINYK10415863</t>
  </si>
  <si>
    <t>NYK-28634918-1857275-1-1</t>
  </si>
  <si>
    <t>237943137508894</t>
  </si>
  <si>
    <t>CUTAB00000193</t>
  </si>
  <si>
    <t>1263-Lilac-32</t>
  </si>
  <si>
    <t>NYKF31591310</t>
  </si>
  <si>
    <t>TINYK10694334</t>
  </si>
  <si>
    <t>NYK-27650877-9852281-1-1</t>
  </si>
  <si>
    <t>RET_9588911-5615496</t>
  </si>
  <si>
    <t>CourierPartner missing for PinCode 387620, unable to Manifest.</t>
  </si>
  <si>
    <t>28449499535653</t>
  </si>
  <si>
    <t>237943108815824</t>
  </si>
  <si>
    <t>CUTAB00000189</t>
  </si>
  <si>
    <t>1263-Lilac-24</t>
  </si>
  <si>
    <t>NYKF30518381</t>
  </si>
  <si>
    <t>NYK-27650877-9852281-1</t>
  </si>
  <si>
    <t>TINYK10386176</t>
  </si>
  <si>
    <t>NYK-30695161-8056350-1-1</t>
  </si>
  <si>
    <t>RET_10707212-9744404</t>
  </si>
  <si>
    <t xml:space="preserve">Sparles are not good and comfortable. It’s spreading everywhere </t>
  </si>
  <si>
    <t>R1387749504NYK</t>
  </si>
  <si>
    <t>28449513754646</t>
  </si>
  <si>
    <t>CUTAB00000341</t>
  </si>
  <si>
    <t>1262-Green-20</t>
  </si>
  <si>
    <t>NYKF33978638</t>
  </si>
  <si>
    <t>NYK-30695161-8056350-1</t>
  </si>
  <si>
    <t>TINYK11447865</t>
  </si>
  <si>
    <t>RET_11323984-2883944</t>
  </si>
  <si>
    <t xml:space="preserve">Large size </t>
  </si>
  <si>
    <t>R1513797956NYK</t>
  </si>
  <si>
    <t>CUTAB00000777</t>
  </si>
  <si>
    <t>1258-Multi-32</t>
  </si>
  <si>
    <t>TINYK12100500</t>
  </si>
  <si>
    <t>NYK-31719755-8789426-1-1</t>
  </si>
  <si>
    <t>RET_11061414-3261311</t>
  </si>
  <si>
    <t>R1466727944NYK</t>
  </si>
  <si>
    <t>SF1835807244NYK</t>
  </si>
  <si>
    <t>NYKF35074809</t>
  </si>
  <si>
    <t>NYK-31719755-8789426-1</t>
  </si>
  <si>
    <t>TINYK11809109</t>
  </si>
  <si>
    <t>NYK-31802321-1812651-2-1</t>
  </si>
  <si>
    <t>RET_11102645-8009102</t>
  </si>
  <si>
    <t>Dont need</t>
  </si>
  <si>
    <t>28449539982681</t>
  </si>
  <si>
    <t>SF1835819658NYK</t>
  </si>
  <si>
    <t>CUTAB00000776</t>
  </si>
  <si>
    <t>1258-Multi-30</t>
  </si>
  <si>
    <t>NYKF35165079</t>
  </si>
  <si>
    <t>NYK-31802321-1812651-2</t>
  </si>
  <si>
    <t>TINYK11864766</t>
  </si>
  <si>
    <t>NYK-30796209-8413384-1-1</t>
  </si>
  <si>
    <t>RET_10733961-2293494</t>
  </si>
  <si>
    <t>R1389977486NYK</t>
  </si>
  <si>
    <t>88317493110</t>
  </si>
  <si>
    <t>CUTAB00000772</t>
  </si>
  <si>
    <t>1258-Multi-22</t>
  </si>
  <si>
    <t>NYKF34082685</t>
  </si>
  <si>
    <t>NYK-30796209-8413384-1</t>
  </si>
  <si>
    <t>TINYK11495370</t>
  </si>
  <si>
    <t>NYK-31132163-0388050-1-1</t>
  </si>
  <si>
    <t>28449536190884</t>
  </si>
  <si>
    <t>CUTAB00000150</t>
  </si>
  <si>
    <t>1255-Peach-38</t>
  </si>
  <si>
    <t>NYKF34437172</t>
  </si>
  <si>
    <t>TINYK11562044</t>
  </si>
  <si>
    <t>RET_10776173-7772390</t>
  </si>
  <si>
    <t>28449536962936</t>
  </si>
  <si>
    <t>TINYK11518313</t>
  </si>
  <si>
    <t>NYK-30586983-1897902-1-1</t>
  </si>
  <si>
    <t>RET_10637684-8539951</t>
  </si>
  <si>
    <t>While ordering, size 36 was mentioned as 10-11 years but when I received the product- the tag shows that it is 11-12 years. Size is too large hence returning the item.</t>
  </si>
  <si>
    <t>R1375948989NYK</t>
  </si>
  <si>
    <t>28449511016541</t>
  </si>
  <si>
    <t>CUTAB00000149</t>
  </si>
  <si>
    <t>1255-Peach-36</t>
  </si>
  <si>
    <t>NYKF33865290</t>
  </si>
  <si>
    <t>NYK-30586983-1897902-1</t>
  </si>
  <si>
    <t>TINYK11370861</t>
  </si>
  <si>
    <t>NYK-29001598-9069107-1-1</t>
  </si>
  <si>
    <t>RET_10021223-6418521</t>
  </si>
  <si>
    <t>The waist is fine but length of pants is too too long</t>
  </si>
  <si>
    <t>28449512262541</t>
  </si>
  <si>
    <t>88279247383</t>
  </si>
  <si>
    <t>NYKF31998647</t>
  </si>
  <si>
    <t>NYK-29001598-9069107-1</t>
  </si>
  <si>
    <t>TINYK10755752</t>
  </si>
  <si>
    <t>NYK-29876232-1289146-2-1</t>
  </si>
  <si>
    <t>RET_10349624-8748580</t>
  </si>
  <si>
    <t>R1341022932NYK</t>
  </si>
  <si>
    <t>SF1747486604NYK</t>
  </si>
  <si>
    <t>CUTAB00000148</t>
  </si>
  <si>
    <t>1255-Peach-34</t>
  </si>
  <si>
    <t>NYKF33104654</t>
  </si>
  <si>
    <t>NYK-29876232-1289146-2</t>
  </si>
  <si>
    <t>TINYK11083182</t>
  </si>
  <si>
    <t>RET_9745072-5182602</t>
  </si>
  <si>
    <t xml:space="preserve">The top's size is perfect but the bottom is too tight on waist ...the length is also too much </t>
  </si>
  <si>
    <t>R1247242651NYK</t>
  </si>
  <si>
    <t>TINYK10464963</t>
  </si>
  <si>
    <t>NYK-30324986-0520800-1-1</t>
  </si>
  <si>
    <t>RET_10549856-6289823</t>
  </si>
  <si>
    <t>28449516340074</t>
  </si>
  <si>
    <t>88280680283</t>
  </si>
  <si>
    <t>CUTAB00000147</t>
  </si>
  <si>
    <t>1255-Peach-32</t>
  </si>
  <si>
    <t>NYKF33589441</t>
  </si>
  <si>
    <t>NYK-30324986-0520800-1</t>
  </si>
  <si>
    <t>TINYK11283561</t>
  </si>
  <si>
    <t>NYK-31095906-4993579-1-1</t>
  </si>
  <si>
    <t>RET_10812868-2074060</t>
  </si>
  <si>
    <t>R1408524539NYK</t>
  </si>
  <si>
    <t>59494660094</t>
  </si>
  <si>
    <t>CUTAB00000146</t>
  </si>
  <si>
    <t>1255-Peach-30</t>
  </si>
  <si>
    <t>NYKF34399048</t>
  </si>
  <si>
    <t>NYK-31095906-4993579-1</t>
  </si>
  <si>
    <t>TINYK11558542</t>
  </si>
  <si>
    <t>RET_9907357-3506055</t>
  </si>
  <si>
    <t>R1271747932NYK</t>
  </si>
  <si>
    <t>CUTAB00000145</t>
  </si>
  <si>
    <t>1255-Peach-28</t>
  </si>
  <si>
    <t>TINYK10647413</t>
  </si>
  <si>
    <t>NYK-31466487-1128798-1-1</t>
  </si>
  <si>
    <t>SF1687013419NYK</t>
  </si>
  <si>
    <t>CUTAB00000144</t>
  </si>
  <si>
    <t>1255-Peach-26</t>
  </si>
  <si>
    <t>NYKF34798179</t>
  </si>
  <si>
    <t>TINYK11740059</t>
  </si>
  <si>
    <t>NYK-30655334-2917380-3-1</t>
  </si>
  <si>
    <t>RET_10672705-4439164</t>
  </si>
  <si>
    <t>28449535946326</t>
  </si>
  <si>
    <t>237943150117084</t>
  </si>
  <si>
    <t>CUTAB00000143</t>
  </si>
  <si>
    <t>1255-Peach-24</t>
  </si>
  <si>
    <t>NYKF33936720</t>
  </si>
  <si>
    <t>NYK-30655334-2917380-3</t>
  </si>
  <si>
    <t>TINYK11606001</t>
  </si>
  <si>
    <t>NYK-30469303-6289995-1-1</t>
  </si>
  <si>
    <t>RET_10593469-0710503</t>
  </si>
  <si>
    <t>28449516555733</t>
  </si>
  <si>
    <t>88280879271</t>
  </si>
  <si>
    <t>NYKF33784346</t>
  </si>
  <si>
    <t>NYK-30469303-6289995-1</t>
  </si>
  <si>
    <t>TINYK11331386</t>
  </si>
  <si>
    <t>NYK-28296194-2771503-1-1</t>
  </si>
  <si>
    <t>RET_9795909-9179332</t>
  </si>
  <si>
    <t>R1253170990NYK</t>
  </si>
  <si>
    <t>88277689636</t>
  </si>
  <si>
    <t>NYKF31219204</t>
  </si>
  <si>
    <t>NYK-28296194-2771503-1</t>
  </si>
  <si>
    <t>TINYK10504680</t>
  </si>
  <si>
    <t>NYK-27990007-3812017-1-1</t>
  </si>
  <si>
    <t>28449484740766</t>
  </si>
  <si>
    <t>CUTAB00000140</t>
  </si>
  <si>
    <t>1254-Rani-34</t>
  </si>
  <si>
    <t>NYKF30880171</t>
  </si>
  <si>
    <t>TINYK10388138</t>
  </si>
  <si>
    <t>NYK-29702333-5492666-1-1</t>
  </si>
  <si>
    <t>RET_10299232-0680502</t>
  </si>
  <si>
    <t>R1334829682NYK</t>
  </si>
  <si>
    <t>SF1687093932NYK</t>
  </si>
  <si>
    <t>CUTAB00000137</t>
  </si>
  <si>
    <t>1254-Rani-28</t>
  </si>
  <si>
    <t>NYKF32913678</t>
  </si>
  <si>
    <t>NYK-29702333-5492666-1</t>
  </si>
  <si>
    <t>TINYK11113255</t>
  </si>
  <si>
    <t>NYK-28087954-6316976-1-1</t>
  </si>
  <si>
    <t>RET_9833611-9697553</t>
  </si>
  <si>
    <t>R1257519712NYK</t>
  </si>
  <si>
    <t>237943138144461</t>
  </si>
  <si>
    <t>CUTAB00000135</t>
  </si>
  <si>
    <t>1254-Rani-24</t>
  </si>
  <si>
    <t>NYKF30986075</t>
  </si>
  <si>
    <t>NYK-28087954-6316976-1</t>
  </si>
  <si>
    <t>TINYK10554414</t>
  </si>
  <si>
    <t>NYK-30332286-4821967-1-1</t>
  </si>
  <si>
    <t>RET_10565111-0013984</t>
  </si>
  <si>
    <t>Didn’t fit well</t>
  </si>
  <si>
    <t>28449516407473</t>
  </si>
  <si>
    <t>28449504362514</t>
  </si>
  <si>
    <t>CUTAB00000134</t>
  </si>
  <si>
    <t>1253-P.Blue-38</t>
  </si>
  <si>
    <t>NYKF33597519</t>
  </si>
  <si>
    <t>NYK-30332286-4821967-1</t>
  </si>
  <si>
    <t>TINYK11312666</t>
  </si>
  <si>
    <t>NYK-28252178-3695081-1-1</t>
  </si>
  <si>
    <t>RET_9746066-0907174</t>
  </si>
  <si>
    <t>28449504971363</t>
  </si>
  <si>
    <t>59358254421</t>
  </si>
  <si>
    <t>NYKF31168779</t>
  </si>
  <si>
    <t>NYK-28252178-3695081-1</t>
  </si>
  <si>
    <t>TINYK10461385</t>
  </si>
  <si>
    <t>NYK-29739594-9137836-1-1</t>
  </si>
  <si>
    <t>RET_10397384-6346474</t>
  </si>
  <si>
    <t>Quality of fabric not upto the mark</t>
  </si>
  <si>
    <t>R1345431763NYK</t>
  </si>
  <si>
    <t>28449509325691</t>
  </si>
  <si>
    <t>CUTAB00000133</t>
  </si>
  <si>
    <t>1253-P.Blue-36</t>
  </si>
  <si>
    <t>NYKF32954514</t>
  </si>
  <si>
    <t>NYK-29739594-9137836-1</t>
  </si>
  <si>
    <t>TINYK11126429</t>
  </si>
  <si>
    <t>RET_11068522-8707570</t>
  </si>
  <si>
    <t>R1466708420NYK</t>
  </si>
  <si>
    <t>CUTAB00000132</t>
  </si>
  <si>
    <t>1253-P.Blue-34</t>
  </si>
  <si>
    <t>TINYK11830713</t>
  </si>
  <si>
    <t>NYK-28420432-8065295-1-1</t>
  </si>
  <si>
    <t>28449500308291</t>
  </si>
  <si>
    <t>CUTAB00000131</t>
  </si>
  <si>
    <t>1253-P.Blue-32</t>
  </si>
  <si>
    <t>NYKF31355723</t>
  </si>
  <si>
    <t>TINYK10563103</t>
  </si>
  <si>
    <t>CUTAB00000130</t>
  </si>
  <si>
    <t>1253-P.Blue-30</t>
  </si>
  <si>
    <t>NYK-29557550-2153800-1-1</t>
  </si>
  <si>
    <t>28449508208701</t>
  </si>
  <si>
    <t>CUTAB00000129</t>
  </si>
  <si>
    <t>1253-P.Blue-28</t>
  </si>
  <si>
    <t>NYKF32760228</t>
  </si>
  <si>
    <t>TINYK11016501</t>
  </si>
  <si>
    <t>NYK-29731432-6880368-4-1</t>
  </si>
  <si>
    <t>59359323461</t>
  </si>
  <si>
    <t>CUTAB00000128</t>
  </si>
  <si>
    <t>1253-P.Blue-26</t>
  </si>
  <si>
    <t>NYKF32945524</t>
  </si>
  <si>
    <t>TINYK11035324</t>
  </si>
  <si>
    <t>NYK-27650555-9083703-1-1</t>
  </si>
  <si>
    <t>RET_9588910-5533624</t>
  </si>
  <si>
    <t>28449499537366</t>
  </si>
  <si>
    <t>237943108824681</t>
  </si>
  <si>
    <t>CUTAB00000127</t>
  </si>
  <si>
    <t>1253-P.Blue-24</t>
  </si>
  <si>
    <t>NYKF30517997</t>
  </si>
  <si>
    <t>NYK-27650555-9083703-1</t>
  </si>
  <si>
    <t>TINYK10385797</t>
  </si>
  <si>
    <t>NYK-27982773-5899748-1-1</t>
  </si>
  <si>
    <t>SF1478263831NYK</t>
  </si>
  <si>
    <t>CUTAB00000102</t>
  </si>
  <si>
    <t>1252-Green-38</t>
  </si>
  <si>
    <t>NYKF30872663</t>
  </si>
  <si>
    <t>TINYK10420198</t>
  </si>
  <si>
    <t>NYK-31899770-5045088-1-1</t>
  </si>
  <si>
    <t>RET_11121469-2451779</t>
  </si>
  <si>
    <t xml:space="preserve">Don't like the quality of cloth </t>
  </si>
  <si>
    <t>28449540098472</t>
  </si>
  <si>
    <t>28449519230374</t>
  </si>
  <si>
    <t>CUTAB00000099</t>
  </si>
  <si>
    <t>1252-Green-32</t>
  </si>
  <si>
    <t>NYKF35271906</t>
  </si>
  <si>
    <t>NYK-31899770-5045088-1</t>
  </si>
  <si>
    <t>TINYK11898336</t>
  </si>
  <si>
    <t>NYK-30209797-0266531-1-1</t>
  </si>
  <si>
    <t>RET_10585329-5417473</t>
  </si>
  <si>
    <t>Size too large</t>
  </si>
  <si>
    <t>R1369189526NYK</t>
  </si>
  <si>
    <t>28449504058235</t>
  </si>
  <si>
    <t>NYKF33468360</t>
  </si>
  <si>
    <t>NYK-30209797-0266531-1</t>
  </si>
  <si>
    <t>TINYK11321568</t>
  </si>
  <si>
    <t>CUTAB00000022</t>
  </si>
  <si>
    <t>1248-Maroon-30</t>
  </si>
  <si>
    <t>NYK-31230380-8834715-1-1</t>
  </si>
  <si>
    <t>59494711710</t>
  </si>
  <si>
    <t>CUTAB00000009</t>
  </si>
  <si>
    <t>1245-Pink-36</t>
  </si>
  <si>
    <t>NYKF34542398</t>
  </si>
  <si>
    <t>TINYK11693833</t>
  </si>
  <si>
    <t>NYK-28474770-4574117-1-1</t>
  </si>
  <si>
    <t>RET_9854609-7677381</t>
  </si>
  <si>
    <t>This size is not fit for my kid</t>
  </si>
  <si>
    <t>R1261279410NYK</t>
  </si>
  <si>
    <t>28449500423883</t>
  </si>
  <si>
    <t>NYKF31415150</t>
  </si>
  <si>
    <t>NYK-28474770-4574117-1</t>
  </si>
  <si>
    <t>TINYK10592229</t>
  </si>
  <si>
    <t>NYK-29712205-0081296-1-1</t>
  </si>
  <si>
    <t>RET_10292832-0918843</t>
  </si>
  <si>
    <t>R1333280755NYK</t>
  </si>
  <si>
    <t>88280021535</t>
  </si>
  <si>
    <t>CUTAB00000003</t>
  </si>
  <si>
    <t>1245-Pink-24</t>
  </si>
  <si>
    <t>NYKF32924710</t>
  </si>
  <si>
    <t>NYK-29712205-0081296-1</t>
  </si>
  <si>
    <t>TINYK11027179</t>
  </si>
  <si>
    <t>NYK-28733641-2119958-4-1</t>
  </si>
  <si>
    <t>RET_9927737-7424086</t>
  </si>
  <si>
    <t>28449511809033</t>
  </si>
  <si>
    <t>88278227074</t>
  </si>
  <si>
    <t>CUTAB00000002</t>
  </si>
  <si>
    <t>1245-Pink-22</t>
  </si>
  <si>
    <t>NYKF31699044</t>
  </si>
  <si>
    <t>NYK-28733641-2119958-4</t>
  </si>
  <si>
    <t>TINYK10649199</t>
  </si>
  <si>
    <t>NYK-32066839-9427040-1-1</t>
  </si>
  <si>
    <t>RET_11219808-4716130</t>
  </si>
  <si>
    <t>28449540523991</t>
  </si>
  <si>
    <t>SF2167352648NYK</t>
  </si>
  <si>
    <t>CUTAB00000001</t>
  </si>
  <si>
    <t>1245-Pink-20</t>
  </si>
  <si>
    <t>NYKF35454335</t>
  </si>
  <si>
    <t>NYK-32066839-9427040-1</t>
  </si>
  <si>
    <t>TINYK11983303</t>
  </si>
  <si>
    <t>CUTAB00000110</t>
  </si>
  <si>
    <t>1244-Rani-38</t>
  </si>
  <si>
    <t>NYK-29381875-8498585-3-1</t>
  </si>
  <si>
    <t>RET_10189081-1174481</t>
  </si>
  <si>
    <t>28449513034685</t>
  </si>
  <si>
    <t>SF1686923202NYK</t>
  </si>
  <si>
    <t>CUTAB00000086</t>
  </si>
  <si>
    <t>1241-Red-38</t>
  </si>
  <si>
    <t>NYKF32508490</t>
  </si>
  <si>
    <t>NYK-29381875-8498585-3</t>
  </si>
  <si>
    <t>TINYK10929593</t>
  </si>
  <si>
    <t>NYK-29773527-8126628-2-1</t>
  </si>
  <si>
    <t>RET_10305147-6839166</t>
  </si>
  <si>
    <t>28449513578806</t>
  </si>
  <si>
    <t>237943147242383</t>
  </si>
  <si>
    <t>CUTAB00000085</t>
  </si>
  <si>
    <t>1241-Red-36</t>
  </si>
  <si>
    <t>NYKF32991222</t>
  </si>
  <si>
    <t>NYK-29773527-8126628-2</t>
  </si>
  <si>
    <t>TINYK11056026</t>
  </si>
  <si>
    <t>NYK-31909923-7825439-1-1</t>
  </si>
  <si>
    <t>RET_11169516-3451586</t>
  </si>
  <si>
    <t>Child is tight</t>
  </si>
  <si>
    <t>28449540314072</t>
  </si>
  <si>
    <t>SF1835832275NYK</t>
  </si>
  <si>
    <t>CUTAB00000663</t>
  </si>
  <si>
    <t>1238-Lilac-28</t>
  </si>
  <si>
    <t>NYKF35283538</t>
  </si>
  <si>
    <t>NYK-31909923-7825439-1</t>
  </si>
  <si>
    <t>TINYK11937375</t>
  </si>
  <si>
    <t>NYK-29481557-2308380-1-1</t>
  </si>
  <si>
    <t>RET_10247482-4537930</t>
  </si>
  <si>
    <t>R1325897767NYK</t>
  </si>
  <si>
    <t>28449506957156</t>
  </si>
  <si>
    <t>CUTAB00000662</t>
  </si>
  <si>
    <t>1238-Lilac-26</t>
  </si>
  <si>
    <t>NYKF32677386</t>
  </si>
  <si>
    <t>NYK-29481557-2308380-1</t>
  </si>
  <si>
    <t>TINYK10989441</t>
  </si>
  <si>
    <t>NYK-31976662-8133615-4-1</t>
  </si>
  <si>
    <t>RET_11161675-8352771</t>
  </si>
  <si>
    <t>R1466705344NYK</t>
  </si>
  <si>
    <t>88281854824</t>
  </si>
  <si>
    <t>CUTAB00000756</t>
  </si>
  <si>
    <t>1235-Blue-38</t>
  </si>
  <si>
    <t>NYKF35355032</t>
  </si>
  <si>
    <t>NYK-31976662-8133615-4</t>
  </si>
  <si>
    <t>TINYK11947090</t>
  </si>
  <si>
    <t>RET_10889980-2381673</t>
  </si>
  <si>
    <t>R1425559032NYK</t>
  </si>
  <si>
    <t>CUTAB00000751</t>
  </si>
  <si>
    <t>1235-Blue-28</t>
  </si>
  <si>
    <t>TINYK11646051</t>
  </si>
  <si>
    <t>NYK-32436420-2359330-2-1</t>
  </si>
  <si>
    <t>28449525004372</t>
  </si>
  <si>
    <t>CUTAB00000717</t>
  </si>
  <si>
    <t>1233-Grey-18</t>
  </si>
  <si>
    <t>NYKF35869195</t>
  </si>
  <si>
    <t>TINYK12111404</t>
  </si>
  <si>
    <t>NYK-31913686-8806740-1-1</t>
  </si>
  <si>
    <t>RET_11158661-9826313</t>
  </si>
  <si>
    <t>R1449320482NYK</t>
  </si>
  <si>
    <t>28449519217402</t>
  </si>
  <si>
    <t>CUTAB00000517</t>
  </si>
  <si>
    <t>1222-SeaGreen-24</t>
  </si>
  <si>
    <t>NYKF35287395</t>
  </si>
  <si>
    <t>NYK-31913686-8806740-1</t>
  </si>
  <si>
    <t>TINYK11923155</t>
  </si>
  <si>
    <t>NYK-30940622-3807072-1-1</t>
  </si>
  <si>
    <t>RET_10759190-2481435</t>
  </si>
  <si>
    <t>R1401108282NYK</t>
  </si>
  <si>
    <t>28449514654570</t>
  </si>
  <si>
    <t>CUTAB00000515</t>
  </si>
  <si>
    <t>1222-SeaGreen-20</t>
  </si>
  <si>
    <t>NYKF34234732</t>
  </si>
  <si>
    <t>NYK-30940622-3807072-1</t>
  </si>
  <si>
    <t>TINYK11528794</t>
  </si>
  <si>
    <t>NYK-32146272-9178363-4-1</t>
  </si>
  <si>
    <t>RET_11223635-2677021</t>
  </si>
  <si>
    <t>R1435769875NYK</t>
  </si>
  <si>
    <t>237943173096010</t>
  </si>
  <si>
    <t>CUTAB00000514</t>
  </si>
  <si>
    <t>1221-Rani-36</t>
  </si>
  <si>
    <t>NYKF35544010</t>
  </si>
  <si>
    <t>NYK-32146272-9178363-4</t>
  </si>
  <si>
    <t>TINYK11990210</t>
  </si>
  <si>
    <t>NYK-31889316-2835948-2-1</t>
  </si>
  <si>
    <t>SF1835862927NYK</t>
  </si>
  <si>
    <t>CUTAB00000513</t>
  </si>
  <si>
    <t>1221-Rani-34</t>
  </si>
  <si>
    <t>NYKF35259941</t>
  </si>
  <si>
    <t>TINYK11872224</t>
  </si>
  <si>
    <t>NYK-29898614-3803205-1-1</t>
  </si>
  <si>
    <t>RET_10394090-5738466</t>
  </si>
  <si>
    <t xml:space="preserve">Very heavy dress n cheap fabric in such a big amount </t>
  </si>
  <si>
    <t>28449515521041</t>
  </si>
  <si>
    <t>28449508817524</t>
  </si>
  <si>
    <t>CUTAB00000510</t>
  </si>
  <si>
    <t>1221-Rani-28</t>
  </si>
  <si>
    <t>NYKF33128779</t>
  </si>
  <si>
    <t>NYK-29898614-3803205-1</t>
  </si>
  <si>
    <t>TINYK11147407</t>
  </si>
  <si>
    <t>NYK-32403335-4829423-1-1</t>
  </si>
  <si>
    <t>RET_11352044-7344695</t>
  </si>
  <si>
    <t>28449541599235</t>
  </si>
  <si>
    <t>28449522526081</t>
  </si>
  <si>
    <t>CUTAB00000509</t>
  </si>
  <si>
    <t>1221-Rani-26</t>
  </si>
  <si>
    <t>NYKF35832606</t>
  </si>
  <si>
    <t>NYK-32403335-4829423-1</t>
  </si>
  <si>
    <t>TINYK12146909</t>
  </si>
  <si>
    <t>NYK-29516753-8463871-2-1</t>
  </si>
  <si>
    <t>237943145938261</t>
  </si>
  <si>
    <t>CUTAB00000506</t>
  </si>
  <si>
    <t>1221-Rani-20</t>
  </si>
  <si>
    <t>NYKF32717634</t>
  </si>
  <si>
    <t>TINYK10952644</t>
  </si>
  <si>
    <t>NYK-30773510-3860689-1-1</t>
  </si>
  <si>
    <t>RET_10706287-2828532</t>
  </si>
  <si>
    <t>28449536639680</t>
  </si>
  <si>
    <t>88317454912</t>
  </si>
  <si>
    <t>CUTAB00000422</t>
  </si>
  <si>
    <t>1212-Multi-30</t>
  </si>
  <si>
    <t>NYKF34059359</t>
  </si>
  <si>
    <t>NYK-30773510-3860689-1</t>
  </si>
  <si>
    <t>TINYK11449712</t>
  </si>
  <si>
    <t>NYK-30076443-8287822-3-1</t>
  </si>
  <si>
    <t>RET_10458667-7431584</t>
  </si>
  <si>
    <t>Outer layer is good but inner is not satisfying and layers are less</t>
  </si>
  <si>
    <t>28449515860946</t>
  </si>
  <si>
    <t>28449503857486</t>
  </si>
  <si>
    <t>NYKF33321163</t>
  </si>
  <si>
    <t>NYK-30076443-8287822-3</t>
  </si>
  <si>
    <t>TINYK11194083</t>
  </si>
  <si>
    <t>NYK-31505342-7129980-2-1</t>
  </si>
  <si>
    <t>RET_10989987-4870661</t>
  </si>
  <si>
    <t>28449539456432</t>
  </si>
  <si>
    <t>SF1686995873NYK</t>
  </si>
  <si>
    <t>CUTAB00000421</t>
  </si>
  <si>
    <t>1212-Multi-28</t>
  </si>
  <si>
    <t>NYKF34840505</t>
  </si>
  <si>
    <t>NYK-31505342-7129980-2</t>
  </si>
  <si>
    <t>TINYK11735350</t>
  </si>
  <si>
    <t>NYK-30804956-8439577-1-1</t>
  </si>
  <si>
    <t>RET_10770286-4977816</t>
  </si>
  <si>
    <t>R1402070637NYK</t>
  </si>
  <si>
    <t>88317536926</t>
  </si>
  <si>
    <t>NYKF34092005</t>
  </si>
  <si>
    <t>NYK-30804956-8439577-1</t>
  </si>
  <si>
    <t>TINYK11514537</t>
  </si>
  <si>
    <t>NYK-30710657-3502978-1-1</t>
  </si>
  <si>
    <t>28449513755372</t>
  </si>
  <si>
    <t>NYKF33994364</t>
  </si>
  <si>
    <t>TINYK11458274</t>
  </si>
  <si>
    <t>NYK-30400922-0705829-2-1</t>
  </si>
  <si>
    <t>RET_10581803-6055405</t>
  </si>
  <si>
    <t xml:space="preserve">Delivery took 2 days late and we planned this for the my kids birthday which passed </t>
  </si>
  <si>
    <t>R1367968849NYK</t>
  </si>
  <si>
    <t>SF1835633676NYK</t>
  </si>
  <si>
    <t>NYKF33670585</t>
  </si>
  <si>
    <t>NYK-30400922-0705829-2</t>
  </si>
  <si>
    <t>TINYK11311638</t>
  </si>
  <si>
    <t>NYK-31924788-7373075-2-1</t>
  </si>
  <si>
    <t>RET_11173414-4942627</t>
  </si>
  <si>
    <t>Fabric rough and itchy?</t>
  </si>
  <si>
    <t>R1483696919NYK</t>
  </si>
  <si>
    <t>28449538043353</t>
  </si>
  <si>
    <t>CUTAB00000420</t>
  </si>
  <si>
    <t>1212-Multi-26</t>
  </si>
  <si>
    <t>NYKF35299332</t>
  </si>
  <si>
    <t>NYK-31924788-7373075-2</t>
  </si>
  <si>
    <t>TINYK11957995</t>
  </si>
  <si>
    <t>NYK-31809224-9003300-1-1</t>
  </si>
  <si>
    <t>RET_11083606-7429770</t>
  </si>
  <si>
    <t>Inner cloth is rough</t>
  </si>
  <si>
    <t>R1466724231NYK</t>
  </si>
  <si>
    <t>28449518991641</t>
  </si>
  <si>
    <t>CUTAB00000419</t>
  </si>
  <si>
    <t>1212-Multi-24</t>
  </si>
  <si>
    <t>NYKF35172859</t>
  </si>
  <si>
    <t>NYK-31809224-9003300-1</t>
  </si>
  <si>
    <t>TINYK11882466</t>
  </si>
  <si>
    <t>NYK-30215131-5175933-1-1</t>
  </si>
  <si>
    <t>28449502728806</t>
  </si>
  <si>
    <t>NYKF33473916</t>
  </si>
  <si>
    <t>TINYK11197959</t>
  </si>
  <si>
    <t>NYK-29997486-5802275-1-1</t>
  </si>
  <si>
    <t>RET_10520701-9804820</t>
  </si>
  <si>
    <t>28449516181896</t>
  </si>
  <si>
    <t>28449510396116</t>
  </si>
  <si>
    <t>CUTAB00000418</t>
  </si>
  <si>
    <t>1212-Multi-22</t>
  </si>
  <si>
    <t>NYKF33235950</t>
  </si>
  <si>
    <t>NYK-29997486-5802275-1</t>
  </si>
  <si>
    <t>TINYK11252306</t>
  </si>
  <si>
    <t>NYK-31627638-9795060-2-1</t>
  </si>
  <si>
    <t>RET_11014793-3942034</t>
  </si>
  <si>
    <t xml:space="preserve">Poor quality </t>
  </si>
  <si>
    <t>28449539569611</t>
  </si>
  <si>
    <t>59494857925</t>
  </si>
  <si>
    <t>CUTAB00000410</t>
  </si>
  <si>
    <t>1209-Orange-28</t>
  </si>
  <si>
    <t>NYKF34972918</t>
  </si>
  <si>
    <t>NYK-31627638-9795060-2</t>
  </si>
  <si>
    <t>TINYK11767103</t>
  </si>
  <si>
    <t>NYK-29894419-6184195-2-1</t>
  </si>
  <si>
    <t>RET_10394205-6139418</t>
  </si>
  <si>
    <t>R1345133722NYK</t>
  </si>
  <si>
    <t>237943147410324</t>
  </si>
  <si>
    <t>CUTAB00000409</t>
  </si>
  <si>
    <t>1209-Orange-26</t>
  </si>
  <si>
    <t>NYKF33124125</t>
  </si>
  <si>
    <t>NYK-29894419-6184195-2</t>
  </si>
  <si>
    <t>TINYK11140544</t>
  </si>
  <si>
    <t>NYK-31139193-9537143-1-1</t>
  </si>
  <si>
    <t>SF1835686339NYK</t>
  </si>
  <si>
    <t>CUTAB00000408</t>
  </si>
  <si>
    <t>1209-Orange-24</t>
  </si>
  <si>
    <t>NYKF34444865</t>
  </si>
  <si>
    <t>TINYK11573909</t>
  </si>
  <si>
    <t>NYK-30258296-6661486-2-1</t>
  </si>
  <si>
    <t>RET_10580842-1020014</t>
  </si>
  <si>
    <t>Emergency - without QC</t>
  </si>
  <si>
    <t>28449516495986</t>
  </si>
  <si>
    <t>28449504196102</t>
  </si>
  <si>
    <t>CUTAB00000433</t>
  </si>
  <si>
    <t>1189-Rani-18</t>
  </si>
  <si>
    <t>NYKF33518207</t>
  </si>
  <si>
    <t>NYK-30258296-6661486-2</t>
  </si>
  <si>
    <t>TINYK11310789</t>
  </si>
  <si>
    <t>NYK-30616596-8633064-2-1</t>
  </si>
  <si>
    <t>RET_10689893-3223084</t>
  </si>
  <si>
    <t>Very faded and very dull</t>
  </si>
  <si>
    <t>28449536537944</t>
  </si>
  <si>
    <t>237943147828191</t>
  </si>
  <si>
    <t>CUTAB00000468</t>
  </si>
  <si>
    <t>1180-Blue-24</t>
  </si>
  <si>
    <t>NYKF33896097</t>
  </si>
  <si>
    <t>NYK-30616596-8633064-2</t>
  </si>
  <si>
    <t>TINYK11418504</t>
  </si>
  <si>
    <t>NYK-30308470-8176641-4-1</t>
  </si>
  <si>
    <t>RET_10543578-6855821</t>
  </si>
  <si>
    <t>28449516307421</t>
  </si>
  <si>
    <t>237943148473355</t>
  </si>
  <si>
    <t>CUTAB00000466</t>
  </si>
  <si>
    <t>1180-Blue-20</t>
  </si>
  <si>
    <t>NYKF33571313</t>
  </si>
  <si>
    <t>NYK-30308470-8176641-4</t>
  </si>
  <si>
    <t>TINYK11293645</t>
  </si>
  <si>
    <t>NYK-32366739-2647158-1-1</t>
  </si>
  <si>
    <t>RET_11303279-2141135</t>
  </si>
  <si>
    <t>R1528804983NYK</t>
  </si>
  <si>
    <t>28449520862321</t>
  </si>
  <si>
    <t>CUTAB00000465</t>
  </si>
  <si>
    <t>1180-Blue-18</t>
  </si>
  <si>
    <t>NYKF35791502</t>
  </si>
  <si>
    <t>NYK-32366739-2647158-1</t>
  </si>
  <si>
    <t>TINYK12106506</t>
  </si>
  <si>
    <t>NYK-30439429-4165267-1-1</t>
  </si>
  <si>
    <t>RET_10582051-7278396</t>
  </si>
  <si>
    <t>28449516500153</t>
  </si>
  <si>
    <t>28449504621363</t>
  </si>
  <si>
    <t>CUTAB00000477</t>
  </si>
  <si>
    <t>1167-Blue-32</t>
  </si>
  <si>
    <t>NYKF33710573</t>
  </si>
  <si>
    <t>NYK-30439429-4165267-1</t>
  </si>
  <si>
    <t>TINYK11316323</t>
  </si>
  <si>
    <t>NYK-31867866-5644421-1-1</t>
  </si>
  <si>
    <t>RET_11134743-2313620</t>
  </si>
  <si>
    <t>If you have 38 size, pls replace it or else arrange pick up and refund the amount</t>
  </si>
  <si>
    <t>28449540156115</t>
  </si>
  <si>
    <t>SF1835863113NYK</t>
  </si>
  <si>
    <t>CUTAB00000093</t>
  </si>
  <si>
    <t>1143-Cream-36</t>
  </si>
  <si>
    <t>NYKF35236807</t>
  </si>
  <si>
    <t>NYK-31867866-5644421-1</t>
  </si>
  <si>
    <t>TINYK11897359</t>
  </si>
  <si>
    <t>NYK-30956504-6156039-1-1</t>
  </si>
  <si>
    <t>RET_10787005-2480902</t>
  </si>
  <si>
    <t>R1404318747NYK</t>
  </si>
  <si>
    <t>28449514471144</t>
  </si>
  <si>
    <t>CUTAB00000091</t>
  </si>
  <si>
    <t>1143-Cream-32</t>
  </si>
  <si>
    <t>NYKF34251354</t>
  </si>
  <si>
    <t>NYK-30956504-6156039-1</t>
  </si>
  <si>
    <t>TINYK11524770</t>
  </si>
  <si>
    <t>NYK-30940814-4313719-1-1</t>
  </si>
  <si>
    <t>59494562396</t>
  </si>
  <si>
    <t>CUTAB00000088</t>
  </si>
  <si>
    <t>1143-Cream-26</t>
  </si>
  <si>
    <t>NYKF34234942</t>
  </si>
  <si>
    <t>TINYK11565660</t>
  </si>
  <si>
    <t>NYK-29353610-3646617-1-1</t>
  </si>
  <si>
    <t>59359103650</t>
  </si>
  <si>
    <t>NYKF32460235</t>
  </si>
  <si>
    <t>TINYK10917168</t>
  </si>
  <si>
    <t>ExtOrderNo</t>
  </si>
  <si>
    <t>Ext Return No</t>
  </si>
  <si>
    <t>Remarks</t>
  </si>
  <si>
    <t>Status</t>
  </si>
  <si>
    <t>Transporter Remarks</t>
  </si>
  <si>
    <t>AWB NO</t>
  </si>
  <si>
    <t>Forward Awb No</t>
  </si>
  <si>
    <t>Transporter</t>
  </si>
  <si>
    <t>Reason</t>
  </si>
  <si>
    <t>Return Qty</t>
  </si>
  <si>
    <t>Order Qty</t>
  </si>
  <si>
    <t>SKU</t>
  </si>
  <si>
    <t>Return Type</t>
  </si>
  <si>
    <t>Return Date</t>
  </si>
  <si>
    <t>Design No.</t>
  </si>
  <si>
    <t>OrderNo</t>
  </si>
  <si>
    <t>Web Order No</t>
  </si>
  <si>
    <t>Return No</t>
  </si>
  <si>
    <t>KPI</t>
  </si>
  <si>
    <t>Total Returns</t>
  </si>
  <si>
    <t>Most Common Reason</t>
  </si>
  <si>
    <t>Value</t>
  </si>
  <si>
    <t>Row Labels</t>
  </si>
  <si>
    <t>Grand Total</t>
  </si>
  <si>
    <t>Count of Return No</t>
  </si>
  <si>
    <t>Disliked product quality</t>
  </si>
  <si>
    <t>Size Issue</t>
  </si>
  <si>
    <t>Explanation</t>
  </si>
  <si>
    <t>Total number of return entries.</t>
  </si>
  <si>
    <t>Total Return Quantity</t>
  </si>
  <si>
    <t>Total quantity of items returned.</t>
  </si>
  <si>
    <t>Unique Products Returned</t>
  </si>
  <si>
    <t>Number of different designs returned.</t>
  </si>
  <si>
    <t>Delivered Returns</t>
  </si>
  <si>
    <t>Count of delivered-return type.</t>
  </si>
  <si>
    <t>RTO Returns</t>
  </si>
  <si>
    <t>Count of RTO (Return to Origin) type.</t>
  </si>
  <si>
    <t>Delivered vs RTO %</t>
  </si>
  <si>
    <t>Share of delivered returns.</t>
  </si>
  <si>
    <t>Identifies top return reason.</t>
  </si>
  <si>
    <t>Size Issue (count - 195)</t>
  </si>
  <si>
    <t>Sum of Return Qty</t>
  </si>
  <si>
    <t>Reduce RTO (Return-to-Origin) Shipments</t>
  </si>
  <si>
    <r>
      <t xml:space="preserve">→ Implement a </t>
    </r>
    <r>
      <rPr>
        <b/>
        <sz val="11"/>
        <color theme="1"/>
        <rFont val="Calibri"/>
        <family val="2"/>
        <scheme val="minor"/>
      </rPr>
      <t>pre-delivery confirmation step</t>
    </r>
    <r>
      <rPr>
        <sz val="11"/>
        <color theme="1"/>
        <rFont val="Calibri"/>
        <family val="2"/>
        <scheme val="minor"/>
      </rPr>
      <t xml:space="preserve"> (SMS or WhatsApp).</t>
    </r>
  </si>
  <si>
    <r>
      <t xml:space="preserve">→ Limit </t>
    </r>
    <r>
      <rPr>
        <b/>
        <sz val="11"/>
        <color theme="1"/>
        <rFont val="Calibri"/>
        <family val="2"/>
        <scheme val="minor"/>
      </rPr>
      <t>Cash-on-Delivery</t>
    </r>
    <r>
      <rPr>
        <sz val="11"/>
        <color theme="1"/>
        <rFont val="Calibri"/>
        <family val="2"/>
        <scheme val="minor"/>
      </rPr>
      <t xml:space="preserve"> in high-RTO pin codes.</t>
    </r>
  </si>
  <si>
    <t>→ Cross-verify addresses flagged in multiple RTO cases.</t>
  </si>
  <si>
    <t>Address Size &amp; Fit-Related Returns</t>
  </si>
  <si>
    <t>→ Update product size charts, add body-fit references, and real-model photos.</t>
  </si>
  <si>
    <t>Recommendations</t>
  </si>
  <si>
    <r>
      <t xml:space="preserve">→ Review the “Reason for Return” categories (most likely </t>
    </r>
    <r>
      <rPr>
        <i/>
        <sz val="11"/>
        <color theme="1"/>
        <rFont val="Calibri"/>
        <family val="2"/>
        <scheme val="minor"/>
      </rPr>
      <t>Size issue</t>
    </r>
    <r>
      <rPr>
        <sz val="11"/>
        <color theme="1"/>
        <rFont val="Calibri"/>
        <family val="2"/>
        <scheme val="minor"/>
      </rPr>
      <t xml:space="preserve"> or </t>
    </r>
    <r>
      <rPr>
        <i/>
        <sz val="11"/>
        <color theme="1"/>
        <rFont val="Calibri"/>
        <family val="2"/>
        <scheme val="minor"/>
      </rPr>
      <t>Fit problem</t>
    </r>
    <r>
      <rPr>
        <sz val="11"/>
        <color theme="1"/>
        <rFont val="Calibri"/>
        <family val="2"/>
        <scheme val="minor"/>
      </rPr>
      <t>).</t>
    </r>
  </si>
  <si>
    <t>Quality &amp; Visual Consistency Check</t>
  </si>
  <si>
    <r>
      <t xml:space="preserve">→  Run a quick </t>
    </r>
    <r>
      <rPr>
        <b/>
        <sz val="11"/>
        <color theme="1"/>
        <rFont val="Calibri"/>
        <family val="2"/>
        <scheme val="minor"/>
      </rPr>
      <t>QC inspection</t>
    </r>
    <r>
      <rPr>
        <sz val="11"/>
        <color theme="1"/>
        <rFont val="Calibri"/>
        <family val="2"/>
        <scheme val="minor"/>
      </rPr>
      <t xml:space="preserve"> for color mismatch or stitching issues.</t>
    </r>
  </si>
  <si>
    <t>→ Keep attention to product quality as it gives impact on returns</t>
  </si>
  <si>
    <t>Customer Communication &amp; Expectation Setting</t>
  </si>
  <si>
    <t>→ Automate confirmation emails summarizing product details before dispatch.</t>
  </si>
  <si>
    <r>
      <t xml:space="preserve">→ Add short “notes” or packaging inserts (e.g., </t>
    </r>
    <r>
      <rPr>
        <i/>
        <sz val="11"/>
        <color theme="1"/>
        <rFont val="Calibri"/>
        <family val="2"/>
        <scheme val="minor"/>
      </rPr>
      <t>“Size runs small – order one size up”</t>
    </r>
    <r>
      <rPr>
        <sz val="11"/>
        <color theme="1"/>
        <rFont val="Calibri"/>
        <family val="2"/>
        <scheme val="minor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</si>
</sst>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Arial Unicode MS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/>
    <xf numFmtId="10" fontId="0" fillId="0" borderId="0" xfId="0" applyNumberForma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/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0" fontId="7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[Nyka_Return_All.xlsx]Sheet3!PivotTable14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/>
              <a:t>Return</a:t>
            </a:r>
            <a:r>
              <a:rPr lang="en-US" b="1" baseline="0"/>
              <a:t> Type Split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Sheet3!$E$2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F9-49B4-905B-56D11015FEB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F9-49B4-905B-56D11015FEB9}"/>
              </c:ext>
            </c:extLst>
          </c:dPt>
          <c:cat>
            <c:strRef>
              <c:f>Sheet3!$D$3:$D$5</c:f>
              <c:strCache>
                <c:ptCount val="2"/>
                <c:pt idx="0">
                  <c:v>Delivered Return</c:v>
                </c:pt>
                <c:pt idx="1">
                  <c:v>RTO</c:v>
                </c:pt>
              </c:strCache>
            </c:strRef>
          </c:cat>
          <c:val>
            <c:numRef>
              <c:f>Sheet3!$E$3:$E$5</c:f>
              <c:numCache>
                <c:formatCode>0.00%</c:formatCode>
                <c:ptCount val="2"/>
                <c:pt idx="0">
                  <c:v>0.77521613832853031</c:v>
                </c:pt>
                <c:pt idx="1">
                  <c:v>0.22478386167146974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F9-49B4-905B-56D11015F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50000"/>
        <a:lumOff val="5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[Nyka_Return_All.xlsx]Sheet3!PivotTable13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all" spc="120" normalizeH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>
                    <a:lumMod val="50000"/>
                  </a:schemeClr>
                </a:solidFill>
              </a:rPr>
              <a:t>Return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all" spc="120" normalizeH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Sheet3!$A$3:$A$10</c:f>
              <c:strCache>
                <c:ptCount val="7"/>
                <c:pt idx="0">
                  <c:v>Size Issue</c:v>
                </c:pt>
                <c:pt idx="1">
                  <c:v>RTO</c:v>
                </c:pt>
                <c:pt idx="2">
                  <c:v>Disliked product quality</c:v>
                </c:pt>
                <c:pt idx="3">
                  <c:v>Don't need it anymore</c:v>
                </c:pt>
                <c:pt idx="4">
                  <c:v>Received wrong size</c:v>
                </c:pt>
                <c:pt idx="5">
                  <c:v>Emergency - without QC</c:v>
                </c:pt>
                <c:pt idx="6">
                  <c:v>Received Wrong Product</c:v>
                </c:pt>
              </c:strCache>
            </c:strRef>
          </c:cat>
          <c:val>
            <c:numRef>
              <c:f>Sheet3!$B$3:$B$10</c:f>
              <c:numCache>
                <c:formatCode>General</c:formatCode>
                <c:ptCount val="7"/>
                <c:pt idx="0">
                  <c:v>195</c:v>
                </c:pt>
                <c:pt idx="1">
                  <c:v>78</c:v>
                </c:pt>
                <c:pt idx="2">
                  <c:v>56</c:v>
                </c:pt>
                <c:pt idx="3">
                  <c:v>14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9-4818-86CF-F1741E1A11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69976863"/>
        <c:axId val="1669977343"/>
      </c:barChart>
      <c:catAx>
        <c:axId val="166997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977343"/>
        <c:crosses val="autoZero"/>
        <c:auto val="1"/>
        <c:lblAlgn val="ctr"/>
        <c:lblOffset val="100"/>
        <c:noMultiLvlLbl val="0"/>
      </c:catAx>
      <c:valAx>
        <c:axId val="16699773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69976863"/>
        <c:crosses val="autoZero"/>
        <c:crossBetween val="between"/>
      </c:valAx>
      <c:spPr>
        <a:noFill/>
        <a:ln>
          <a:solidFill>
            <a:schemeClr val="tx1">
              <a:lumMod val="85000"/>
              <a:lumOff val="15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22000">
          <a:schemeClr val="accent1">
            <a:lumMod val="45000"/>
            <a:lumOff val="55000"/>
          </a:schemeClr>
        </a:gs>
        <a:gs pos="63000">
          <a:schemeClr val="accent1">
            <a:lumMod val="45000"/>
            <a:lumOff val="55000"/>
          </a:schemeClr>
        </a:gs>
        <a:gs pos="81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[Nyka_Return_All.xlsx]Sheet3!PivotTable15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Return Designs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Sheet3!$G$3:$G$15</c:f>
              <c:strCache>
                <c:ptCount val="12"/>
                <c:pt idx="0">
                  <c:v>1311-Pink-24</c:v>
                </c:pt>
                <c:pt idx="1">
                  <c:v>1311-Pink-36</c:v>
                </c:pt>
                <c:pt idx="2">
                  <c:v>1212-Multi-28</c:v>
                </c:pt>
                <c:pt idx="3">
                  <c:v>2410-Fuchsia-34</c:v>
                </c:pt>
                <c:pt idx="4">
                  <c:v>1255-Peach-24</c:v>
                </c:pt>
                <c:pt idx="5">
                  <c:v>1305-Sky Blue-32</c:v>
                </c:pt>
                <c:pt idx="6">
                  <c:v>1273-Peach-34</c:v>
                </c:pt>
                <c:pt idx="7">
                  <c:v>1264-Orange-38</c:v>
                </c:pt>
                <c:pt idx="8">
                  <c:v>TK-1006-Cream-26</c:v>
                </c:pt>
                <c:pt idx="9">
                  <c:v>1267-Rani-32</c:v>
                </c:pt>
                <c:pt idx="10">
                  <c:v>1288-Rani-30</c:v>
                </c:pt>
                <c:pt idx="11">
                  <c:v>1276-L.Blue-38</c:v>
                </c:pt>
              </c:strCache>
            </c:strRef>
          </c:cat>
          <c:val>
            <c:numRef>
              <c:f>Sheet3!$H$3:$H$15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8-41D7-8EF0-038C910F393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85293615"/>
        <c:axId val="1485292175"/>
      </c:barChart>
      <c:catAx>
        <c:axId val="148529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92175"/>
        <c:crosses val="autoZero"/>
        <c:auto val="1"/>
        <c:lblAlgn val="ctr"/>
        <c:lblOffset val="100"/>
        <c:noMultiLvlLbl val="0"/>
      </c:catAx>
      <c:valAx>
        <c:axId val="14852921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8529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138952</xdr:colOff>
      <xdr:row>9</xdr:row>
      <xdr:rowOff>99059</xdr:rowOff>
    </xdr:from>
    <xdr:to>
      <xdr:col>6</xdr:col>
      <xdr:colOff>860611</xdr:colOff>
      <xdr:row>30</xdr:row>
      <xdr:rowOff>134469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6E7E7C-0763-472C-BE3C-F758752D0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235132</xdr:colOff>
      <xdr:row>22</xdr:row>
      <xdr:rowOff>62049</xdr:rowOff>
    </xdr:from>
    <xdr:ext cx="754380" cy="31149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381BA8-AAF8-CB55-0E40-D7B9A31B2407}"/>
            </a:ext>
          </a:extLst>
        </xdr:cNvPr>
        <xdr:cNvSpPr txBox="1"/>
      </xdr:nvSpPr>
      <xdr:spPr>
        <a:xfrm>
          <a:off x="2673532" y="4829992"/>
          <a:ext cx="75438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 b="1">
              <a:solidFill>
                <a:schemeClr val="bg1"/>
              </a:solidFill>
            </a:rPr>
            <a:t>77.52%</a:t>
          </a:r>
        </a:p>
      </xdr:txBody>
    </xdr:sp>
    <xdr:clientData/>
  </xdr:oneCellAnchor>
  <xdr:oneCellAnchor>
    <xdr:from>
      <xdr:col>2</xdr:col>
      <xdr:colOff>188323</xdr:colOff>
      <xdr:row>15</xdr:row>
      <xdr:rowOff>164375</xdr:rowOff>
    </xdr:from>
    <xdr:ext cx="727443" cy="31149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70FAF7-F37E-77EC-7AB9-0EEAA16EBA04}"/>
            </a:ext>
          </a:extLst>
        </xdr:cNvPr>
        <xdr:cNvSpPr txBox="1"/>
      </xdr:nvSpPr>
      <xdr:spPr>
        <a:xfrm>
          <a:off x="1407523" y="3636918"/>
          <a:ext cx="72744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 b="1">
              <a:solidFill>
                <a:schemeClr val="bg1"/>
              </a:solidFill>
            </a:rPr>
            <a:t>22.48%</a:t>
          </a:r>
        </a:p>
      </xdr:txBody>
    </xdr:sp>
    <xdr:clientData/>
  </xdr:oneCellAnchor>
  <xdr:twoCellAnchor>
    <xdr:from>
      <xdr:col>6</xdr:col>
      <xdr:colOff>987009</xdr:colOff>
      <xdr:row>9</xdr:row>
      <xdr:rowOff>119225</xdr:rowOff>
    </xdr:from>
    <xdr:to>
      <xdr:col>11</xdr:col>
      <xdr:colOff>215153</xdr:colOff>
      <xdr:row>30</xdr:row>
      <xdr:rowOff>134469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543F48-A978-44D1-9F8D-6ACCF3B27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313763</xdr:colOff>
      <xdr:row>31</xdr:row>
      <xdr:rowOff>80682</xdr:rowOff>
    </xdr:from>
    <xdr:to>
      <xdr:col>10</xdr:col>
      <xdr:colOff>2017505</xdr:colOff>
      <xdr:row>48</xdr:row>
      <xdr:rowOff>84492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5354AAE-E370-4640-AA8E-1BBF1A269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-commerce\Nyka_sheet.xlsx" TargetMode="External"/><Relationship Id="rId1" Type="http://schemas.openxmlformats.org/officeDocument/2006/relationships/externalLinkPath" Target="Nyka_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Sept_25"/>
      <sheetName val="Sept Insights"/>
      <sheetName val="Sept_25_All"/>
      <sheetName val="Sept_25_Completed"/>
      <sheetName val="Sept_25_Return"/>
      <sheetName val="Sept_25_RTO"/>
      <sheetName val="Sept_25_Cancelled"/>
      <sheetName val="Sales_Oct_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Sufiyan Mujawar" refreshedDate="45981.621552083336" createdVersion="8" refreshedVersion="8" minRefreshableVersion="3" recordCount="347" xr:uid="{494834F6-E43B-403F-919C-B518B2427BAF}">
  <cacheSource type="worksheet">
    <worksheetSource name="SellerPanel_Return"/>
  </cacheSource>
  <cacheFields count="18">
    <cacheField name="Return No" numFmtId="0">
      <sharedItems count="340">
        <s v="TINYK10917168"/>
        <s v="TINYK11565660"/>
        <s v="TINYK11524770"/>
        <s v="TINYK11897359"/>
        <s v="TINYK11316323"/>
        <s v="TINYK12106506"/>
        <s v="TINYK11293645"/>
        <s v="TINYK11418504"/>
        <s v="TINYK11310789"/>
        <s v="TINYK11573909"/>
        <s v="TINYK11140544"/>
        <s v="TINYK11767103"/>
        <s v="TINYK11252306"/>
        <s v="TINYK11197959"/>
        <s v="TINYK11882466"/>
        <s v="TINYK11957995"/>
        <s v="TINYK11311638"/>
        <s v="TINYK11458274"/>
        <s v="TINYK11514537"/>
        <s v="TINYK11735350"/>
        <s v="TINYK11194083"/>
        <s v="TINYK11449712"/>
        <s v="TINYK10952644"/>
        <s v="TINYK12146909"/>
        <s v="TINYK11147407"/>
        <s v="TINYK11872224"/>
        <s v="TINYK11990210"/>
        <s v="TINYK11528794"/>
        <s v="TINYK11923155"/>
        <s v="TINYK12111404"/>
        <s v="TINYK11646051"/>
        <s v="TINYK11947090"/>
        <s v="TINYK10989441"/>
        <s v="TINYK11937375"/>
        <s v="TINYK11056026"/>
        <s v="TINYK10929593"/>
        <s v="TINYK10420198"/>
        <s v="TINYK11983303"/>
        <s v="TINYK10649199"/>
        <s v="TINYK11027179"/>
        <s v="TINYK10592229"/>
        <s v="TINYK11693833"/>
        <s v="TINYK10841098"/>
        <s v="TINYK11321568"/>
        <s v="TINYK11898336"/>
        <s v="TINYK10385797"/>
        <s v="TINYK11035324"/>
        <s v="TINYK11016501"/>
        <s v="TINYK10694334"/>
        <s v="TINYK10563103"/>
        <s v="TINYK11830713"/>
        <s v="TINYK11126429"/>
        <s v="TINYK10461385"/>
        <s v="TINYK11312666"/>
        <s v="TINYK10554414"/>
        <s v="TINYK11113255"/>
        <s v="TINYK10388138"/>
        <s v="TINYK10504680"/>
        <s v="TINYK11331386"/>
        <s v="TINYK11606001"/>
        <s v="TINYK11740059"/>
        <s v="TINYK10647413"/>
        <s v="TINYK11558542"/>
        <s v="TINYK11283561"/>
        <s v="TINYK10464963"/>
        <s v="TINYK11083182"/>
        <s v="TINYK10755752"/>
        <s v="TINYK11370861"/>
        <s v="TINYK11518313"/>
        <s v="TINYK11562044"/>
        <s v="TINYK11495370"/>
        <s v="TINYK11864766"/>
        <s v="TINYK11809109"/>
        <s v="TINYK12100500"/>
        <s v="TINYK11447865"/>
        <s v="TINYK10386176"/>
        <s v="TINYK10415863"/>
        <s v="TINYK12150999"/>
        <s v="TINYK10420503"/>
        <s v="TINYK10954937"/>
        <s v="TINYK10418482"/>
        <s v="TINYK10388001"/>
        <s v="TINYK11021604"/>
        <s v="TINYK11104340"/>
        <s v="TINYK11491805"/>
        <s v="TINYK11515189"/>
        <s v="TINYK11814046"/>
        <s v="TINYK11029869"/>
        <s v="TINYK11735873"/>
        <s v="TINYK11742980"/>
        <s v="TINYK10860395"/>
        <s v="TINYK10860109"/>
        <s v="TINYK10580280"/>
        <s v="TINYK10968010"/>
        <s v="TINYK11127001"/>
        <s v="TINYK11328794"/>
        <s v="TINYK10538226"/>
        <s v="TINYK11094316"/>
        <s v="TINYK11484068"/>
        <s v="TINYK10627096"/>
        <s v="TINYK11207419"/>
        <s v="TINYK10649980"/>
        <s v="TINYK11029888"/>
        <s v="TINYK10157223"/>
        <s v="TINYK10936861"/>
        <s v="TINYK11201755"/>
        <s v="TINYK10423274"/>
        <s v="TINYK10387946"/>
        <s v="TINYK11992172"/>
        <s v="TINYK10202817"/>
        <s v="TINYK11521813"/>
        <s v="TINYK10301452"/>
        <s v="TINYK10202764"/>
        <s v="TINYK10271735"/>
        <s v="TINYK10619877"/>
        <s v="TINYK11021787"/>
        <s v="TINYK10610952"/>
        <s v="TINYK10680184"/>
        <s v="TINYK10706014"/>
        <s v="TINYK10595158"/>
        <s v="TINYK10874738"/>
        <s v="TINYK10505565"/>
        <s v="TINYK10628315"/>
        <s v="TINYK10647248"/>
        <s v="TINYK11764949"/>
        <s v="TINYK11240883"/>
        <s v="TINYK11764847"/>
        <s v="TINYK12003543"/>
        <s v="TINYK11291155"/>
        <s v="TINYK11207906"/>
        <s v="TINYK11231541"/>
        <s v="TINYK11098540"/>
        <s v="TINYK11746863"/>
        <s v="TINYK11943914"/>
        <s v="TINYK10424595"/>
        <s v="TINYK11486200"/>
        <s v="TINYK11393250"/>
        <s v="TINYK11399591"/>
        <s v="TINYK10250384"/>
        <s v="TINYK11431407"/>
        <s v="TINYK11946498"/>
        <s v="TINYK11924806"/>
        <s v="TINYK11518181"/>
        <s v="TINYK10507113"/>
        <s v="TINYK10775873"/>
        <s v="TINYK12115179"/>
        <s v="TINYK11021692"/>
        <s v="TINYK11208573"/>
        <s v="TINYK12139332"/>
        <s v="TINYK10587965"/>
        <s v="TINYK10647557"/>
        <s v="TINYK11939356"/>
        <s v="TINYK10912129"/>
        <s v="TINYK10753881"/>
        <s v="TINYK10383421"/>
        <s v="TINYK11964654"/>
        <s v="TINYK11759271"/>
        <s v="TINYK11855803"/>
        <s v="TINYK11289307"/>
        <s v="TINYK11733096"/>
        <s v="TINYK11983201"/>
        <s v="TINYK11739800"/>
        <s v="TINYK11912265"/>
        <s v="TINYK11487137"/>
        <s v="TINYK11474108"/>
        <s v="TINYK11377505"/>
        <s v="TINYK11999349"/>
        <s v="TINYK12137580"/>
        <s v="TINYK11954532"/>
        <s v="TINYK12152675"/>
        <s v="TINYK12037751"/>
        <s v="TINYK12165576"/>
        <s v="TINYK10917922"/>
        <s v="TINYK11592132"/>
        <s v="TINYK11188495"/>
        <s v="TINYK11062835"/>
        <s v="TINYK11062826"/>
        <s v="TINYK11889754"/>
        <s v="TINYK11583237"/>
        <s v="TINYK11171198"/>
        <s v="TINYK11092885"/>
        <s v="TINYK11092818"/>
        <s v="TINYK11640038"/>
        <s v="TINYK12060111"/>
        <s v="TINYK11533209"/>
        <s v="TINYK12155123"/>
        <s v="TINYK11074462"/>
        <s v="TINYK12123006"/>
        <s v="TINYK11486205"/>
        <s v="TINYK11947513"/>
        <s v="TINYK11946517"/>
        <s v="TINYK11991683"/>
        <s v="TINYK11905087"/>
        <s v="TINYK11449034"/>
        <s v="TINYK12147023"/>
        <s v="TINYK11884661"/>
        <s v="TINYK11967017"/>
        <s v="TINYK12023473"/>
        <s v="TINYK11661245"/>
        <s v="TINYK11835298"/>
        <s v="TINYK11788690"/>
        <s v="TINYK11963185"/>
        <s v="TINYK12158383"/>
        <s v="TINYK11970555"/>
        <s v="TINYK12079454"/>
        <s v="TINYK11989337"/>
        <s v="TINYK12001863"/>
        <s v="TINYK12014011"/>
        <s v="TINYK12081371"/>
        <s v="TINYK11804931"/>
        <s v="TINYK11935524"/>
        <s v="TINYK11677847"/>
        <s v="TINYK11503437"/>
        <s v="TINYK11546453"/>
        <s v="TINYK12054265"/>
        <s v="TINYK12100838"/>
        <s v="TINYK12132795"/>
        <s v="TINYK11925961"/>
        <s v="TINYK11700466"/>
        <s v="TINYK12062739"/>
        <s v="TINYK11812015"/>
        <s v="TINYK12044179"/>
        <s v="TINYK12074744"/>
        <s v="TINYK12119176"/>
        <s v="TINYK11535124"/>
        <s v="TINYK11988483"/>
        <s v="TINYK11792329"/>
        <s v="TINYK11809819"/>
        <s v="TINYK11784757"/>
        <s v="TINYK11885906"/>
        <s v="TINYK11898953"/>
        <s v="TINYK12034208"/>
        <s v="TINYK11858150"/>
        <s v="TINYK11983719"/>
        <s v="TINYK11497691"/>
        <s v="TINYK12023700"/>
        <s v="TINYK11740251"/>
        <s v="TINYK11932768"/>
        <s v="TINYK11795075"/>
        <s v="TINYK11791726"/>
        <s v="TINYK11842467"/>
        <s v="TINYK12090323"/>
        <s v="TINYK11724219"/>
        <s v="TINYK11887448"/>
        <s v="TINYK12142744"/>
        <s v="TINYK12092857"/>
        <s v="TINYK11925963"/>
        <s v="TINYK12068109"/>
        <s v="TINYK12035667"/>
        <s v="TINYK12093963"/>
        <s v="TINYK12097715"/>
        <s v="TINYK12044790"/>
        <s v="TINYK11522595"/>
        <s v="TINYK11835348"/>
        <s v="TINYK11712490"/>
        <s v="TINYK11833049"/>
        <s v="TINYK11008777"/>
        <s v="TINYK10679122"/>
        <s v="TINYK11898204"/>
        <s v="TINYK11703860"/>
        <s v="TINYK11651676"/>
        <s v="TINYK12033035"/>
        <s v="TINYK11977995"/>
        <s v="TINYK11887432"/>
        <s v="TINYK11799295"/>
        <s v="TINYK11547679"/>
        <s v="TINYK11716628"/>
        <s v="TINYK11833196"/>
        <s v="TINYK11896804"/>
        <s v="TINYK11676136"/>
        <s v="TINYK11665004"/>
        <s v="TINYK11585975"/>
        <s v="TINYK11910018"/>
        <s v="TINYK12043131"/>
        <s v="TINYK11215171"/>
        <s v="TINYK11797342"/>
        <s v="TINYK11824727"/>
        <s v="TINYK11406736"/>
        <s v="TINYK11489389"/>
        <s v="TINYK11514458"/>
        <s v="TINYK12038957"/>
        <s v="TINYK12103919"/>
        <s v="TINYK12023783"/>
        <s v="TINYK12041143"/>
        <s v="TINYK11897340"/>
        <s v="TINYK11456126"/>
        <s v="TINYK12007813"/>
        <s v="TINYK11610563"/>
        <s v="TINYK11901730"/>
        <s v="TINYK11968719"/>
        <s v="TINYK11047238"/>
        <s v="TINYK11548009"/>
        <s v="TINYK11208404"/>
        <s v="TINYK12040248"/>
        <s v="TINYK12065509"/>
        <s v="TINYK11659793"/>
        <s v="TINYK11886821"/>
        <s v="TINYK11782243"/>
        <s v="TINYK11646019"/>
        <s v="TINYK12142242"/>
        <s v="TINYK11359520"/>
        <s v="TINYK11646400"/>
        <s v="TINYK11592714"/>
        <s v="TINYK11656747"/>
        <s v="TINYK11823774"/>
        <s v="TINYK12050782"/>
        <s v="TINYK12154520"/>
        <s v="TINYK10424533"/>
        <s v="TINYK11247202"/>
        <s v="TINYK11402970"/>
        <s v="TINYK11483679"/>
        <s v="TINYK11650206"/>
        <s v="TINYK12036834"/>
        <s v="TINYK11472282"/>
        <s v="TINYK11460382"/>
        <s v="TINYK11551890"/>
        <s v="TINYK11905377"/>
        <s v="TINYK11672266"/>
        <s v="TINYK11924265"/>
        <s v="TINYK11685687"/>
        <s v="TINYK11518309"/>
        <s v="TINYK11645586"/>
        <s v="TINYK11773968"/>
        <s v="TINYK11830929"/>
        <s v="TINYK11480759"/>
        <s v="TINYK11728657"/>
        <s v="TINYK11562473"/>
        <s v="TINYK11977585"/>
        <s v="TINYK11859005"/>
        <s v="TINYK12107621"/>
        <s v="TINYK11844071"/>
        <s v="TINYK12120472"/>
        <s v="TINYK11772325"/>
        <s v="TINYK11822106"/>
        <s v="TINYK11897670"/>
        <s v="TINYK12049138"/>
        <s v="TINYK12150222"/>
        <s v="TINYK11638766"/>
        <s v="TINYK11744671"/>
        <s v="TINYK12131525"/>
      </sharedItems>
    </cacheField>
    <cacheField name="Web Order No" numFmtId="0">
      <sharedItems/>
    </cacheField>
    <cacheField name="OrderNo" numFmtId="0">
      <sharedItems count="320">
        <s v="NYKF32460235"/>
        <s v="NYKF34234942"/>
        <s v="NYKF34251354"/>
        <s v="NYKF35236807"/>
        <s v="NYKF33710573"/>
        <s v="NYKF35791502"/>
        <s v="NYKF33571313"/>
        <s v="NYKF33896097"/>
        <s v="NYKF33518207"/>
        <s v="NYKF34444865"/>
        <s v="NYKF33124125"/>
        <s v="NYKF34972918"/>
        <s v="NYKF33235950"/>
        <s v="NYKF33473916"/>
        <s v="NYKF35172859"/>
        <s v="NYKF35299332"/>
        <s v="NYKF33670585"/>
        <s v="NYKF33994364"/>
        <s v="NYKF34092005"/>
        <s v="NYKF34840505"/>
        <s v="NYKF33321163"/>
        <s v="NYKF34059359"/>
        <s v="NYKF32717634"/>
        <s v="NYKF35832606"/>
        <s v="NYKF33128779"/>
        <s v="NYKF35259941"/>
        <s v="NYKF35544010"/>
        <s v="NYKF34234732"/>
        <s v="NYKF35287395"/>
        <s v="NYKF35869195"/>
        <s v="NYKF34486144"/>
        <s v="NYKF35355032"/>
        <s v="NYKF32677386"/>
        <s v="NYKF35283538"/>
        <s v="NYKF32991222"/>
        <s v="NYKF32508490"/>
        <s v="NYKF30872663"/>
        <s v="NYKF35454335"/>
        <s v="NYKF31699044"/>
        <s v="NYKF32924710"/>
        <s v="NYKF31415150"/>
        <s v="NYKF34542398"/>
        <s v="NYKF32099727"/>
        <s v="NYKF33468360"/>
        <s v="NYKF35271906"/>
        <s v="NYKF30517997"/>
        <s v="NYKF32945524"/>
        <s v="NYKF32760228"/>
        <s v="NYKF31591310"/>
        <s v="NYKF31355723"/>
        <s v="NYKF34923947"/>
        <s v="NYKF32954514"/>
        <s v="NYKF31168779"/>
        <s v="NYKF33597519"/>
        <s v="NYKF30986075"/>
        <s v="NYKF32913678"/>
        <s v="NYKF30880171"/>
        <s v="NYKF31219204"/>
        <s v="NYKF33784346"/>
        <s v="NYKF33936720"/>
        <s v="NYKF34798179"/>
        <s v="NYKF31449636"/>
        <s v="NYKF34399048"/>
        <s v="NYKF33589441"/>
        <s v="NYKF31060253"/>
        <s v="NYKF33104654"/>
        <s v="NYKF31998647"/>
        <s v="NYKF33865290"/>
        <s v="NYKF34191465"/>
        <s v="NYKF34437172"/>
        <s v="NYKF34082685"/>
        <s v="NYKF35165079"/>
        <s v="NYKF35074809"/>
        <s v="NYKF35551320"/>
        <s v="NYKF33978638"/>
        <s v="NYKF30518381"/>
        <s v="NYKF30826389"/>
        <s v="NYKF35780231"/>
        <s v="NYKF30882015"/>
        <s v="NYKF32620305"/>
        <s v="NYKF30952990"/>
        <s v="NYKF32821709"/>
        <s v="NYKF33036146"/>
        <s v="NYKF33978760"/>
        <s v="NYKF34274379"/>
        <s v="NYKF35104901"/>
        <s v="NYKF32770289"/>
        <s v="NYKF34718113"/>
        <s v="NYKF34796817"/>
        <s v="NYKF32269270"/>
        <s v="NYKF32275876"/>
        <s v="NYKF31375492"/>
        <s v="NYKF32095478"/>
        <s v="NYKF33106632"/>
        <s v="NYKF33572276"/>
        <s v="NYKF31105046"/>
        <s v="NYKF33228243"/>
        <s v="NYKF34135428"/>
        <s v="NYKF31534254"/>
        <s v="NYKF33205832"/>
        <s v="NYKF31691733"/>
        <s v="NYKF30386430"/>
        <s v="NYKF32316303"/>
        <s v="NYKF33483662"/>
        <s v="NYKF30956537"/>
        <s v="NYKF35495972"/>
        <s v="NYKF34351522"/>
        <s v="NYKF30610473"/>
        <s v="NYKF30460955"/>
        <s v="NYKF31520278"/>
        <s v="NYKF31551229"/>
        <s v="NYKF31769594"/>
        <s v="NYKF31804722"/>
        <s v="NYKF31540491"/>
        <s v="NYKF32414763"/>
        <s v="NYKF31218675"/>
        <s v="NYKF31506840"/>
        <s v="NYKF34976746"/>
        <s v="NYKF33529695"/>
        <s v="NYKF35452310"/>
        <s v="NYKF33573314"/>
        <s v="NYKF33319232"/>
        <s v="NYKF33331579"/>
        <s v="NYKF32891434"/>
        <s v="NYKF34806094"/>
        <s v="NYKF35429762"/>
        <s v="NYKF30722899"/>
        <s v="NYKF33956807"/>
        <s v="NYKF33957465"/>
        <s v="NYKF33912883"/>
        <s v="NYKF30462494"/>
        <s v="NYKF34029984"/>
        <s v="NYKF35425691"/>
        <s v="NYKF35233693"/>
        <s v="NYKF34215545"/>
        <s v="NYKF31228810"/>
        <s v="NYKF31952168"/>
        <s v="NYKF32821050"/>
        <s v="NYKF33382283"/>
        <s v="NYKF35733352"/>
        <s v="NYKF31353937"/>
        <s v="NYKF35233896"/>
        <s v="NYKF32315823"/>
        <s v="NYKF30999428"/>
        <s v="NYKF30811321"/>
        <s v="NYKF35375861"/>
        <s v="NYKF34770335"/>
        <s v="NYKF35071403"/>
        <s v="NYKF33605050"/>
        <s v="NYKF34760264"/>
        <s v="NYKF35559589"/>
        <s v="NYKF34797258"/>
        <s v="NYKF35300615"/>
        <s v="NYKF34244115"/>
        <s v="NYKF34211814"/>
        <s v="NYKF33673237"/>
        <s v="NYKF35459197"/>
        <s v="NYKF35734102"/>
        <s v="NYKF35162864"/>
        <s v="NYKF35923856"/>
        <s v="NYKF35770657"/>
        <s v="NYKF36082214"/>
        <s v="NYKF32531631"/>
        <s v="NYKF34408529"/>
        <s v="NYKF33335143"/>
        <s v="NYKF32951526"/>
        <s v="NYKF35324534"/>
        <s v="NYKF34419917"/>
        <s v="NYKF33329227"/>
        <s v="NYKF33023156"/>
        <s v="NYKF33108175"/>
        <s v="NYKF34634301"/>
        <s v="NYKF35751918"/>
        <s v="NYKF34221023"/>
        <s v="NYKF35904626"/>
        <s v="NYKF32799337"/>
        <s v="NYKF35765619"/>
        <s v="NYKF35502487"/>
        <s v="NYKF35432590"/>
        <s v="NYKF35558716"/>
        <s v="NYKF34585714"/>
        <s v="NYKF34121455"/>
        <s v="NYKF35601816"/>
        <s v="NYKF35125631"/>
        <s v="NYKF35237628"/>
        <s v="NYKF35010271"/>
        <s v="NYKF34669648"/>
        <s v="NYKF34834478"/>
        <s v="NYKF34757915"/>
        <s v="NYKF34901739"/>
        <s v="NYKF35927249"/>
        <s v="NYKF35555816"/>
        <s v="NYKF35702194"/>
        <s v="NYKF35525088"/>
        <s v="NYKF35493072"/>
        <s v="NYKF35496099"/>
        <s v="NYKF35730681"/>
        <s v="NYKF35027201"/>
        <s v="NYKF35149181"/>
        <s v="NYKF34682049"/>
        <s v="NYKF34076140"/>
        <s v="NYKF34271922"/>
        <s v="NYKF35702787"/>
        <s v="NYKF35491846"/>
        <s v="NYKF35810927"/>
        <s v="NYKF35277055"/>
        <s v="NYKF34545654"/>
        <s v="NYKF35788691"/>
        <s v="NYKF35075032"/>
        <s v="NYKF35624874"/>
        <s v="NYKF35606279"/>
        <s v="NYKF35673027"/>
        <s v="NYKF34390118"/>
        <s v="NYKF35394965"/>
        <s v="NYKF35023092"/>
        <s v="NYKF35059052"/>
        <s v="NYKF34975517"/>
        <s v="NYKF35123176"/>
        <s v="NYKF35435342"/>
        <s v="NYKF35197741"/>
        <s v="NYKF35360875"/>
        <s v="NYKF34200496"/>
        <s v="NYKF35427934"/>
        <s v="NYKF34862634"/>
        <s v="NYKF35473695"/>
        <s v="NYKF34764318"/>
        <s v="NYKF35078084"/>
        <s v="NYKF34965512"/>
        <s v="NYKF35752199"/>
        <s v="NYKF34787416"/>
        <s v="NYKF35265763"/>
        <s v="NYKF35738808"/>
        <s v="NYKF35811861"/>
        <s v="NYKF35257763"/>
        <s v="NYKF35728653"/>
        <s v="NYKF35698434"/>
        <s v="NYKF35820288"/>
        <s v="NYKF35839732"/>
        <s v="NYKF35721112"/>
        <s v="NYKF34274810"/>
        <s v="NYKF35113315"/>
        <s v="NYKF34771666"/>
        <s v="NYKF34962381"/>
        <s v="NYKF32783292"/>
        <s v="NYKF31641137"/>
        <s v="NYKF35308044"/>
        <s v="NYKF34716555"/>
        <s v="NYKF34545860"/>
        <s v="NYKF35664912"/>
        <s v="NYKF35433862"/>
        <s v="NYKF35155492"/>
        <s v="NYKF34974383"/>
        <s v="NYKF34437436"/>
        <s v="NYKF34683715"/>
        <s v="NYKF34661200"/>
        <s v="NYKF34561830"/>
        <s v="NYKF34406912"/>
        <s v="NYKF34990036"/>
        <s v="NYKF35433281"/>
        <s v="NYKF33478137"/>
        <s v="NYKF34959251"/>
        <s v="NYKF34966624"/>
        <s v="NYKF34004262"/>
        <s v="NYKF34140018"/>
        <s v="NYKF34144582"/>
        <s v="NYKF35413340"/>
        <s v="NYKF35935950"/>
        <s v="NYKF35656463"/>
        <s v="NYKF35738082"/>
        <s v="NYKF34133264"/>
        <s v="NYKF35441293"/>
        <s v="NYKF34468967"/>
        <s v="NYKF35092877"/>
        <s v="NYKF35155455"/>
        <s v="NYKF33004377"/>
        <s v="NYKF34366225"/>
        <s v="NYKF33337922"/>
        <s v="NYKF35547656"/>
        <s v="NYKF35541582"/>
        <s v="NYKF34593755"/>
        <s v="NYKF35283943"/>
        <s v="NYKF34955800"/>
        <s v="NYKF35551888"/>
        <s v="NYKF33788384"/>
        <s v="NYKF34476626"/>
        <s v="NYKF34672312"/>
        <s v="NYKF35049430"/>
        <s v="NYKF35568088"/>
        <s v="NYKF35914506"/>
        <s v="NYKF30723027"/>
        <s v="NYKF33475990"/>
        <s v="NYKF33950287"/>
        <s v="NYKF34022634"/>
        <s v="NYKF34653165"/>
        <s v="NYKF35632751"/>
        <s v="NYKF34175718"/>
        <s v="NYKF34201332"/>
        <s v="NYKF34336109"/>
        <s v="NYKF35347775"/>
        <s v="NYKF34645709"/>
        <s v="NYKF35336562"/>
        <s v="NYKF34733705"/>
        <s v="NYKF34536982"/>
        <s v="NYKF35016756"/>
        <s v="NYKF34065944"/>
        <s v="NYKF34852274"/>
        <s v="NYKF34378528"/>
        <s v="NYKF35544479"/>
        <s v="NYKF34893208"/>
        <s v="NYKF35779611"/>
        <s v="NYKF35157929"/>
        <s v="NYKF35792846"/>
        <s v="NYKF34914190"/>
        <s v="NYKF35150401"/>
        <s v="NYKF35280614"/>
        <s v="NYKF35681761"/>
        <s v="NYKF35873696"/>
        <s v="NYKF34552725"/>
        <s v="NYKF34790974"/>
        <s v="NYKF35782386"/>
      </sharedItems>
    </cacheField>
    <cacheField name="Design No." numFmtId="0">
      <sharedItems count="282">
        <s v="1143-Cream-26"/>
        <s v="1143-Cream-32"/>
        <s v="1143-Cream-36"/>
        <s v="1167-Blue-32"/>
        <s v="1180-Blue-18"/>
        <s v="1180-Blue-20"/>
        <s v="1180-Blue-24"/>
        <s v="1189-Rani-18"/>
        <s v="1209-Orange-24"/>
        <s v="1209-Orange-26"/>
        <s v="1209-Orange-28"/>
        <s v="1212-Multi-22"/>
        <s v="1212-Multi-24"/>
        <s v="1212-Multi-26"/>
        <s v="1212-Multi-28"/>
        <s v="1212-Multi-30"/>
        <s v="1221-Rani-20"/>
        <s v="1221-Rani-26"/>
        <s v="1221-Rani-28"/>
        <s v="1221-Rani-34"/>
        <s v="1221-Rani-36"/>
        <s v="1222-SeaGreen-20"/>
        <s v="1222-SeaGreen-24"/>
        <s v="1233-Grey-18"/>
        <s v="1235-Blue-28"/>
        <s v="1235-Blue-38"/>
        <s v="1238-Lilac-26"/>
        <s v="1238-Lilac-28"/>
        <s v="1241-Red-36"/>
        <s v="1241-Red-38"/>
        <s v="1244-Rani-38"/>
        <s v="1245-Pink-20"/>
        <s v="1245-Pink-22"/>
        <s v="1245-Pink-24"/>
        <s v="1245-Pink-36"/>
        <s v="1248-Maroon-30"/>
        <s v="1252-Green-32"/>
        <s v="1252-Green-38"/>
        <s v="1253-P.Blue-24"/>
        <s v="1253-P.Blue-26"/>
        <s v="1253-P.Blue-28"/>
        <s v="1253-P.Blue-30"/>
        <s v="1253-P.Blue-32"/>
        <s v="1253-P.Blue-34"/>
        <s v="1253-P.Blue-36"/>
        <s v="1253-P.Blue-38"/>
        <s v="1254-Rani-24"/>
        <s v="1254-Rani-28"/>
        <s v="1254-Rani-34"/>
        <s v="1255-Peach-24"/>
        <s v="1255-Peach-26"/>
        <s v="1255-Peach-28"/>
        <s v="1255-Peach-30"/>
        <s v="1255-Peach-32"/>
        <s v="1255-Peach-34"/>
        <s v="1255-Peach-36"/>
        <s v="1255-Peach-38"/>
        <s v="1258-Multi-22"/>
        <s v="1258-Multi-30"/>
        <s v="1258-Multi-32"/>
        <s v="1262-Green-20"/>
        <s v="1263-Lilac-24"/>
        <s v="1263-Lilac-32"/>
        <s v="1263-Lilac-36"/>
        <s v="1263-Lilac-38"/>
        <s v="1264-Orange-24"/>
        <s v="1264-Orange-28"/>
        <s v="1264-Orange-36"/>
        <s v="1264-Orange-38"/>
        <s v="1265-Rani-34"/>
        <s v="1265-Rani-38"/>
        <s v="1266-Rani-28"/>
        <s v="1266-Rani-32"/>
        <s v="1266-Rani-36"/>
        <s v="1266-Rani-38"/>
        <s v="1267-Rani-26"/>
        <s v="1267-Rani-28"/>
        <s v="1267-Rani-30"/>
        <s v="1267-Rani-32"/>
        <s v="1267-Rani-34"/>
        <s v="1267-Rani-38"/>
        <s v="1268-Pista-24"/>
        <s v="1268-Pista-26"/>
        <s v="1268-Pista-32"/>
        <s v="1270-Pista-24"/>
        <s v="1270-Pista-26"/>
        <s v="1271-Blue-28"/>
        <s v="1271-Blue-34"/>
        <s v="1271-Blue-36"/>
        <s v="1272-Sky-24"/>
        <s v="1272-Sky-30"/>
        <s v="1273-Peach-24"/>
        <s v="1273-Peach-34"/>
        <s v="1273-Peach-36"/>
        <s v="1273-Peach-38"/>
        <s v="1274-Lilac-38"/>
        <s v="1274-P.Blue-32"/>
        <s v="1274-P.Blue-38"/>
        <s v="1275-Green-28"/>
        <s v="1275-Lavender-26"/>
        <s v="1275-Lavender-36"/>
        <s v="1275-Lavender-38"/>
        <s v="1276-L.Blue-24"/>
        <s v="1276-L.Blue-30"/>
        <s v="1276-L.Blue-34"/>
        <s v="1276-L.Blue-36"/>
        <s v="1276-L.Blue-38"/>
        <s v="1276-N.Blue-30"/>
        <s v="1277-Rose-20"/>
        <s v="1277-Rose-26"/>
        <s v="1277-Rose-32"/>
        <s v="1277-Wine-28"/>
        <s v="1277-Wine-32"/>
        <s v="1278-Multicolor-20"/>
        <s v="1278-Multicolor-22"/>
        <s v="1278-Multicolor-26"/>
        <s v="1278-Multicolor-28"/>
        <s v="1278-Multicolor-32"/>
        <s v="1278-Multicolor-34"/>
        <s v="1279-Purple-38"/>
        <s v="1280-Green-32"/>
        <s v="1280-Pink-24"/>
        <s v="1281-Orchid-20"/>
        <s v="1281-Orchid-28"/>
        <s v="1281-Pink-26"/>
        <s v="1281-Pink-28"/>
        <s v="1281-Pink-32"/>
        <s v="1283-Blue-16"/>
        <s v="1283-Blue-20"/>
        <s v="1283-Blue-22"/>
        <s v="1284-Blue-24"/>
        <s v="1284-Blue-30"/>
        <s v="1284-Blue-34"/>
        <s v="1284-Blue-36"/>
        <s v="1287-Rani-36"/>
        <s v="1288-Rani-30"/>
        <s v="1288-Rani-34"/>
        <s v="1288-Rani-38"/>
        <s v="1290-Purple-36"/>
        <s v="1290-Purple-38"/>
        <s v="1290-Red-26"/>
        <s v="1290-Red-28"/>
        <s v="1290-Red-32"/>
        <s v="1290-Red-34"/>
        <s v="1290-Red-36"/>
        <s v="1291-Yellow-30"/>
        <s v="1292-Rani-26"/>
        <s v="1292-Rani-32"/>
        <s v="1292-Rani-36"/>
        <s v="1293-Orange-34"/>
        <s v="1293-Orange-36"/>
        <s v="1293-Orange-38"/>
        <s v="1295-Blue-24"/>
        <s v="1295-Maroon-22"/>
        <s v="1295-Maroon-28"/>
        <s v="1295-Maroon-30"/>
        <s v="1295-Maroon-34"/>
        <s v="1296-Lavender-36"/>
        <s v="1296-Lavender-38"/>
        <s v="1298-Magenta-28"/>
        <s v="1300-Green-30"/>
        <s v="1300-Green-38"/>
        <s v="1301-Black-24"/>
        <s v="1301-Black-34"/>
        <s v="1301-Black-36"/>
        <s v="1301-Black-38"/>
        <s v="1305-Sky Blue-26"/>
        <s v="1305-Sky Blue-28"/>
        <s v="1305-Sky Blue-30"/>
        <s v="1305-Sky Blue-32"/>
        <s v="1305-Sky Blue-34"/>
        <s v="1305-Sky Blue-36"/>
        <s v="1306-Sea Green-36"/>
        <s v="1307-Firozi-32"/>
        <s v="1308-Cream-24"/>
        <s v="1308-Cream-32"/>
        <s v="1308-Cream-34"/>
        <s v="1308-Cream-36"/>
        <s v="1308-Cream-38"/>
        <s v="1311-Pink-24"/>
        <s v="1311-Pink-32"/>
        <s v="1311-Pink-34"/>
        <s v="1311-Pink-36"/>
        <s v="1311-Pink-38"/>
        <s v="1312-Cream-30"/>
        <s v="1316-Pink-22"/>
        <s v="1317-White-16"/>
        <s v="1317-White-18"/>
        <s v="1317-White-26"/>
        <s v="1318-Yellow-38"/>
        <s v="1319-Grey-36"/>
        <s v="1323-Cream-38"/>
        <s v="1326-Pink-28"/>
        <s v="1326-Pink-30"/>
        <s v="1326-Pink-34"/>
        <s v="1326-Pink-38"/>
        <s v="1327-Pista Green-34"/>
        <s v="1335-Pink-28"/>
        <s v="1335-Pink-38"/>
        <s v="1336-Rani-34"/>
        <s v="1337-Cream-30"/>
        <s v="1337-Cream-34"/>
        <s v="1337-Cream-38"/>
        <s v="2313-Pink-38"/>
        <s v="2321-Fawn-34"/>
        <s v="2328-Orange-32"/>
        <s v="2362-White-32"/>
        <s v="2366-M.Blue-28"/>
        <s v="2366-M.Blue-30"/>
        <s v="2366-Peach-22"/>
        <s v="2366-Peach-32"/>
        <s v="2366-Peach-34"/>
        <s v="2377-Lavender-36"/>
        <s v="2377-NeonYellow-20"/>
        <s v="2377-NeonYellow-32"/>
        <s v="2377-NeonYellow-34"/>
        <s v="2394-Green-30"/>
        <s v="2394-Green-32"/>
        <s v="2407-SkyBlue-32"/>
        <s v="2408-Pink-20"/>
        <s v="2408-Pink-28"/>
        <s v="2408-Pink-32"/>
        <s v="2408-Pink-34"/>
        <s v="2408-Pink-36"/>
        <s v="2410-Fuchsia-24"/>
        <s v="2410-Fuchsia-26"/>
        <s v="2410-Fuchsia-30"/>
        <s v="2410-Fuchsia-32"/>
        <s v="2410-Fuchsia-34"/>
        <s v="2410-Fuchsia-36"/>
        <s v="2410-Fuchsia-38"/>
        <s v="2425-Pink-20"/>
        <s v="2426-Pink-24"/>
        <s v="2433-Cream-26"/>
        <s v="2433-Cream-34"/>
        <s v="2433-Cream-36"/>
        <s v="2441-N.Green-36"/>
        <s v="2445-Pink-24"/>
        <s v="2445-Pink-34"/>
        <s v="2451-Yellow-30"/>
        <s v="2458-Fawn-28"/>
        <s v="2461-Blue-28"/>
        <s v="2467-Cream-34"/>
        <s v="2470-Green-28"/>
        <s v="4288-Lilac-28"/>
        <s v="4306-Blue-26"/>
        <s v="4455-Rasberry-38"/>
        <s v="4485-Green-40"/>
        <s v="4507-Mustard-26"/>
        <s v="4585-Orchid-28"/>
        <s v="4585-Orchid-30"/>
        <s v="4594-R.Green-24"/>
        <s v="4676-Wine-24"/>
        <s v="7908-Neon Lemon-34"/>
        <s v="7908-Neon Lemon-38"/>
        <s v="7928-Rani-26"/>
        <s v="7928-Rani-32"/>
        <s v="9005-Fawn-40"/>
        <s v="9021-D.Rose-34"/>
        <s v="9021-D.Rose-38"/>
        <s v="Tk-1001-Purple-22"/>
        <s v="TK-1002-Purple-24"/>
        <s v="TK-1002-Purple-28"/>
        <s v="TK-1002-Purple-30"/>
        <s v="TK-1002-Purple-32"/>
        <s v="TK-1002-Purple-34"/>
        <s v="TK-1003-Purple-24"/>
        <s v="TK-1003-Purple-28"/>
        <s v="TK-1003-Purple-30"/>
        <s v="TK-1003-Purple-32"/>
        <s v="TK-1003-Purple-34"/>
        <s v="TK-1003-Purple-38"/>
        <s v="TK-1004-Blue-22"/>
        <s v="TK-1004-Red-28"/>
        <s v="TK-1004-Red-30"/>
        <s v="TK-1005-Orange-28"/>
        <s v="TK-1005-Orange-30"/>
        <s v="TK-1005-Orange-34"/>
        <s v="TK-1005-Orange-38"/>
        <s v="TK-1006-Cream-26"/>
        <s v="TK-1006-Cream-34"/>
        <s v="TK-1007-Green-38"/>
      </sharedItems>
    </cacheField>
    <cacheField name="Return Date" numFmtId="14">
      <sharedItems containsSemiMixedTypes="0" containsNonDate="0" containsDate="1" containsString="0" minDate="2025-04-29T00:00:00" maxDate="2025-10-29T00:00:00"/>
    </cacheField>
    <cacheField name="Return Type" numFmtId="0">
      <sharedItems count="2">
        <s v="RTO"/>
        <s v="Delivered Return"/>
      </sharedItems>
    </cacheField>
    <cacheField name="SKU" numFmtId="0">
      <sharedItems/>
    </cacheField>
    <cacheField name="Order Qty" numFmtId="0">
      <sharedItems containsSemiMixedTypes="0" containsString="0" containsNumber="1" containsInteger="1" minValue="1" maxValue="1"/>
    </cacheField>
    <cacheField name="Return Qty" numFmtId="0">
      <sharedItems containsSemiMixedTypes="0" containsString="0" containsNumber="1" containsInteger="1" minValue="1" maxValue="1"/>
    </cacheField>
    <cacheField name="Reason" numFmtId="0">
      <sharedItems count="7">
        <s v="RTO"/>
        <s v="Size Issue"/>
        <s v="Disliked product quality"/>
        <s v="Emergency - without QC"/>
        <s v="Don't need it anymore"/>
        <s v="Received Wrong Product"/>
        <s v="Received wrong size"/>
      </sharedItems>
    </cacheField>
    <cacheField name="Transporter" numFmtId="0">
      <sharedItems/>
    </cacheField>
    <cacheField name="Forward Awb No" numFmtId="0">
      <sharedItems/>
    </cacheField>
    <cacheField name="AWB NO" numFmtId="0">
      <sharedItems/>
    </cacheField>
    <cacheField name="Transporter Remarks" numFmtId="0">
      <sharedItems/>
    </cacheField>
    <cacheField name="Status" numFmtId="0">
      <sharedItems/>
    </cacheField>
    <cacheField name="Remarks" numFmtId="0">
      <sharedItems/>
    </cacheField>
    <cacheField name="Ext Return No" numFmtId="0">
      <sharedItems/>
    </cacheField>
    <cacheField name="ExtOrderN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">
  <r>
    <x v="0"/>
    <s v="NYK-29353610-3646617-1-1"/>
    <x v="0"/>
    <x v="0"/>
    <d v="2025-07-11T00:00:00"/>
    <x v="0"/>
    <s v="CUTAB00000088"/>
    <n v="1"/>
    <n v="1"/>
    <x v="0"/>
    <s v="BLUEDART"/>
    <s v="59359103650"/>
    <s v=""/>
    <s v=""/>
    <s v="Reverse PickUP Delivered"/>
    <s v=""/>
    <s v=""/>
    <s v="NYK-29353610-3646617-1-1"/>
  </r>
  <r>
    <x v="1"/>
    <s v="NYK-30940814-4313719-1-1"/>
    <x v="1"/>
    <x v="0"/>
    <d v="2025-09-08T00:00:00"/>
    <x v="0"/>
    <s v="CUTAB00000088"/>
    <n v="1"/>
    <n v="1"/>
    <x v="0"/>
    <s v="BLUEDART"/>
    <s v="59494562396"/>
    <s v=""/>
    <s v=""/>
    <s v="Reverse PickUP Delivered"/>
    <s v=""/>
    <s v=""/>
    <s v="NYK-30940814-4313719-1-1"/>
  </r>
  <r>
    <x v="2"/>
    <s v="NYK-30956504-6156039-1"/>
    <x v="2"/>
    <x v="1"/>
    <d v="2025-09-18T00:00:00"/>
    <x v="1"/>
    <s v="CUTAB00000091"/>
    <n v="1"/>
    <n v="1"/>
    <x v="1"/>
    <s v="Shadowfax Reverse"/>
    <s v="28449514471144"/>
    <s v="R1404318747NYK"/>
    <s v="Item Return To Seller Delivered at BOM_ReayRoad_FM"/>
    <s v="Reverse PickUP Delivered"/>
    <s v="Product didn't fit- Too Small"/>
    <s v="RET_10787005-2480902"/>
    <s v="NYK-30956504-6156039-1-1"/>
  </r>
  <r>
    <x v="3"/>
    <s v="NYK-31867866-5644421-1"/>
    <x v="3"/>
    <x v="2"/>
    <d v="2025-10-11T00:00:00"/>
    <x v="1"/>
    <s v="CUTAB00000093"/>
    <n v="1"/>
    <n v="1"/>
    <x v="1"/>
    <s v="Delhivery Surface Reverse"/>
    <s v="SF1835863113NYK"/>
    <s v="28449540156115"/>
    <s v="RETURN Accepted"/>
    <s v="Reverse PickUP Delivered"/>
    <s v="If you have 38 size, pls replace it or else arrange pick up and refund the amount"/>
    <s v="RET_11134743-2313620"/>
    <s v="NYK-31867866-5644421-1-1"/>
  </r>
  <r>
    <x v="4"/>
    <s v="NYK-30439429-4165267-1"/>
    <x v="4"/>
    <x v="3"/>
    <d v="2025-08-20T00:00:00"/>
    <x v="1"/>
    <s v="CUTAB00000477"/>
    <n v="1"/>
    <n v="1"/>
    <x v="1"/>
    <s v="Delhivery Surface Reverse"/>
    <s v="28449504621363"/>
    <s v="28449516500153"/>
    <s v="RETURN Accepted"/>
    <s v="Reverse PickUP Delivered"/>
    <s v="Product didn't fit- Too Large"/>
    <s v="RET_10582051-7278396"/>
    <s v="NYK-30439429-4165267-1-1"/>
  </r>
  <r>
    <x v="5"/>
    <s v="NYK-32366739-2647158-1"/>
    <x v="5"/>
    <x v="4"/>
    <d v="2025-10-22T00:00:00"/>
    <x v="1"/>
    <s v="CUTAB00000465"/>
    <n v="1"/>
    <n v="1"/>
    <x v="1"/>
    <s v="Shadowfax Reverse"/>
    <s v="28449520862321"/>
    <s v="R1528804983NYK"/>
    <s v="Item return to seller initiated at Jaipur DC"/>
    <s v="Reverse PickUP Done"/>
    <s v="Product didn't fit"/>
    <s v="RET_11303279-2141135"/>
    <s v="NYK-32366739-2647158-1-1"/>
  </r>
  <r>
    <x v="6"/>
    <s v="NYK-30308470-8176641-4"/>
    <x v="6"/>
    <x v="5"/>
    <d v="2025-08-16T00:00:00"/>
    <x v="1"/>
    <s v="CUTAB00000466"/>
    <n v="1"/>
    <n v="1"/>
    <x v="2"/>
    <s v="Delhivery Surface Reverse"/>
    <s v="237943148473355"/>
    <s v="28449516307421"/>
    <s v="RETURN Accepted"/>
    <s v="Reverse PickUP Delivered"/>
    <s v="Didn't like the quality of product"/>
    <s v="RET_10543578-6855821"/>
    <s v="NYK-30308470-8176641-4-1"/>
  </r>
  <r>
    <x v="7"/>
    <s v="NYK-30616596-8633064-2"/>
    <x v="7"/>
    <x v="6"/>
    <d v="2025-08-28T00:00:00"/>
    <x v="1"/>
    <s v="CUTAB00000468"/>
    <n v="1"/>
    <n v="1"/>
    <x v="2"/>
    <s v="Delhivery Surface Reverse"/>
    <s v="237943147828191"/>
    <s v="28449536537944"/>
    <s v="RETURN Accepted"/>
    <s v="Reverse PickUP Delivered"/>
    <s v="Very faded and very dull"/>
    <s v="RET_10689893-3223084"/>
    <s v="NYK-30616596-8633064-2-1"/>
  </r>
  <r>
    <x v="8"/>
    <s v="NYK-30258296-6661486-2"/>
    <x v="8"/>
    <x v="7"/>
    <d v="2025-08-20T00:00:00"/>
    <x v="1"/>
    <s v="CUTAB00000433"/>
    <n v="1"/>
    <n v="1"/>
    <x v="3"/>
    <s v="Delhivery Surface Reverse"/>
    <s v="28449504196102"/>
    <s v="28449516495986"/>
    <s v="RETURN Accepted"/>
    <s v="Reverse PickUP Delivered"/>
    <s v="Emergency - without QC"/>
    <s v="RET_10580842-1020014"/>
    <s v="NYK-30258296-6661486-2-1"/>
  </r>
  <r>
    <x v="9"/>
    <s v="NYK-31139193-9537143-1-1"/>
    <x v="9"/>
    <x v="8"/>
    <d v="2025-09-19T00:00:00"/>
    <x v="0"/>
    <s v="CUTAB00000408"/>
    <n v="1"/>
    <n v="1"/>
    <x v="0"/>
    <s v="Shadowfax"/>
    <s v="SF1835686339NYK"/>
    <s v=""/>
    <s v=""/>
    <s v="Reverse PickUP Delivered"/>
    <s v=""/>
    <s v=""/>
    <s v="NYK-31139193-9537143-1-1"/>
  </r>
  <r>
    <x v="10"/>
    <s v="NYK-29894419-6184195-2"/>
    <x v="10"/>
    <x v="9"/>
    <d v="2025-08-05T00:00:00"/>
    <x v="1"/>
    <s v="CUTAB00000409"/>
    <n v="1"/>
    <n v="1"/>
    <x v="1"/>
    <s v="Shadowfax Reverse"/>
    <s v="237943147410324"/>
    <s v="R1345133722NYK"/>
    <s v="Item Return To Seller Delivered at BOM_ReayRoad_FM"/>
    <s v="Reverse PickUP Delivered"/>
    <s v="Product didn't fit- Too Large"/>
    <s v="RET_10394205-6139418"/>
    <s v="NYK-29894419-6184195-2-1"/>
  </r>
  <r>
    <x v="11"/>
    <s v="NYK-31627638-9795060-2"/>
    <x v="11"/>
    <x v="10"/>
    <d v="2025-09-29T00:00:00"/>
    <x v="1"/>
    <s v="CUTAB00000410"/>
    <n v="1"/>
    <n v="1"/>
    <x v="2"/>
    <s v="Delhivery Surface Reverse"/>
    <s v="59494857925"/>
    <s v="28449539569611"/>
    <s v="RETURN Accepted"/>
    <s v="Reverse PickUP Delivered"/>
    <s v="Poor quality "/>
    <s v="RET_11014793-3942034"/>
    <s v="NYK-31627638-9795060-2-1"/>
  </r>
  <r>
    <x v="12"/>
    <s v="NYK-29997486-5802275-1"/>
    <x v="12"/>
    <x v="11"/>
    <d v="2025-08-13T00:00:00"/>
    <x v="1"/>
    <s v="CUTAB00000418"/>
    <n v="1"/>
    <n v="1"/>
    <x v="1"/>
    <s v="Delhivery Surface Reverse"/>
    <s v="28449510396116"/>
    <s v="28449516181896"/>
    <s v="RETURN Accepted"/>
    <s v="Reverse PickUP Delivered"/>
    <s v="Product didn't fit- Too Small"/>
    <s v="RET_10520701-9804820"/>
    <s v="NYK-29997486-5802275-1-1"/>
  </r>
  <r>
    <x v="13"/>
    <s v="NYK-30215131-5175933-1-1"/>
    <x v="13"/>
    <x v="12"/>
    <d v="2025-08-09T00:00:00"/>
    <x v="0"/>
    <s v="CUTAB00000419"/>
    <n v="1"/>
    <n v="1"/>
    <x v="0"/>
    <s v="DelhiverySurface"/>
    <s v="28449502728806"/>
    <s v=""/>
    <s v=""/>
    <s v="Reverse PickUP Delivered"/>
    <s v=""/>
    <s v=""/>
    <s v="NYK-30215131-5175933-1-1"/>
  </r>
  <r>
    <x v="14"/>
    <s v="NYK-31809224-9003300-1"/>
    <x v="14"/>
    <x v="12"/>
    <d v="2025-10-14T00:00:00"/>
    <x v="1"/>
    <s v="CUTAB00000419"/>
    <n v="1"/>
    <n v="1"/>
    <x v="2"/>
    <s v="Shadowfax Reverse"/>
    <s v="28449518991641"/>
    <s v="R1466724231NYK"/>
    <s v="Item Return To Seller Delivered at BOM_ReayRoad_FM"/>
    <s v="Reverse PickUP Delivered"/>
    <s v="Inner cloth is rough"/>
    <s v="RET_11083606-7429770"/>
    <s v="NYK-31809224-9003300-1-1"/>
  </r>
  <r>
    <x v="15"/>
    <s v="NYK-31924788-7373075-2"/>
    <x v="15"/>
    <x v="13"/>
    <d v="2025-10-24T00:00:00"/>
    <x v="1"/>
    <s v="CUTAB00000420"/>
    <n v="1"/>
    <n v="1"/>
    <x v="2"/>
    <s v="Shadowfax Reverse"/>
    <s v="28449538043353"/>
    <s v="R1483696919NYK"/>
    <s v="Item Return To Seller Delivered at BOM_ReayRoad_FM"/>
    <s v="Reverse PickUP Delivered"/>
    <s v="Fabric rough and itchy?"/>
    <s v="RET_11173414-4942627"/>
    <s v="NYK-31924788-7373075-2-1"/>
  </r>
  <r>
    <x v="16"/>
    <s v="NYK-30400922-0705829-2"/>
    <x v="16"/>
    <x v="14"/>
    <d v="2025-10-09T00:00:00"/>
    <x v="1"/>
    <s v="CUTAB00000421"/>
    <n v="1"/>
    <n v="1"/>
    <x v="4"/>
    <s v="Shadowfax Reverse"/>
    <s v="SF1835633676NYK"/>
    <s v="R1367968849NYK"/>
    <s v="Item Return To Seller Delivered at BOM_ReayRoad_FM"/>
    <s v="Reverse PickUP Delivered"/>
    <s v="Delivery took 2 days late and we planned this for the my kids birthday which passed "/>
    <s v="RET_10581803-6055405"/>
    <s v="NYK-30400922-0705829-2-1"/>
  </r>
  <r>
    <x v="17"/>
    <s v="NYK-30710657-3502978-1-1"/>
    <x v="17"/>
    <x v="14"/>
    <d v="2025-09-03T00:00:00"/>
    <x v="0"/>
    <s v="CUTAB00000421"/>
    <n v="1"/>
    <n v="1"/>
    <x v="0"/>
    <s v="DelhiverySurface"/>
    <s v="28449513755372"/>
    <s v=""/>
    <s v=""/>
    <s v="Reverse PickUP Delivered"/>
    <s v=""/>
    <s v=""/>
    <s v="NYK-30710657-3502978-1-1"/>
  </r>
  <r>
    <x v="18"/>
    <s v="NYK-30804956-8439577-1"/>
    <x v="18"/>
    <x v="14"/>
    <d v="2025-09-11T00:00:00"/>
    <x v="1"/>
    <s v="CUTAB00000421"/>
    <n v="1"/>
    <n v="1"/>
    <x v="1"/>
    <s v="Shadowfax Reverse"/>
    <s v="88317536926"/>
    <s v="R1402070637NYK"/>
    <s v="Item Return To Seller Delivered at BOM_ReayRoad_FM"/>
    <s v="Reverse PickUP Delivered"/>
    <s v="Product didn't fit- Too Small"/>
    <s v="RET_10770286-4977816"/>
    <s v="NYK-30804956-8439577-1-1"/>
  </r>
  <r>
    <x v="19"/>
    <s v="NYK-31505342-7129980-2"/>
    <x v="19"/>
    <x v="14"/>
    <d v="2025-09-27T00:00:00"/>
    <x v="1"/>
    <s v="CUTAB00000421"/>
    <n v="1"/>
    <n v="1"/>
    <x v="1"/>
    <s v="Delhivery Surface Reverse"/>
    <s v="SF1686995873NYK"/>
    <s v="28449539456432"/>
    <s v="RETURN Accepted"/>
    <s v="Reverse PickUP Delivered"/>
    <s v="Product didn't fit"/>
    <s v="RET_10989987-4870661"/>
    <s v="NYK-31505342-7129980-2-1"/>
  </r>
  <r>
    <x v="20"/>
    <s v="NYK-30076443-8287822-3"/>
    <x v="20"/>
    <x v="15"/>
    <d v="2025-08-06T00:00:00"/>
    <x v="1"/>
    <s v="CUTAB00000422"/>
    <n v="1"/>
    <n v="1"/>
    <x v="2"/>
    <s v="Delhivery Surface Reverse"/>
    <s v="28449503857486"/>
    <s v="28449515860946"/>
    <s v="RETURN Accepted"/>
    <s v="Reverse PickUP Delivered"/>
    <s v="Outer layer is good but inner is not satisfying and layers are less"/>
    <s v="RET_10458667-7431584"/>
    <s v="NYK-30076443-8287822-3-1"/>
  </r>
  <r>
    <x v="21"/>
    <s v="NYK-30773510-3860689-1"/>
    <x v="21"/>
    <x v="15"/>
    <d v="2025-09-02T00:00:00"/>
    <x v="1"/>
    <s v="CUTAB00000422"/>
    <n v="1"/>
    <n v="1"/>
    <x v="1"/>
    <s v="Delhivery Surface Reverse"/>
    <s v="88317454912"/>
    <s v="28449536639680"/>
    <s v="RETURN Accepted"/>
    <s v="Reverse PickUP Delivered"/>
    <s v="Product didn't fit- Too Large"/>
    <s v="RET_10706287-2828532"/>
    <s v="NYK-30773510-3860689-1-1"/>
  </r>
  <r>
    <x v="22"/>
    <s v="NYK-29516753-8463871-2-1"/>
    <x v="22"/>
    <x v="16"/>
    <d v="2025-07-16T00:00:00"/>
    <x v="0"/>
    <s v="CUTAB00000506"/>
    <n v="1"/>
    <n v="1"/>
    <x v="0"/>
    <s v="Nykaa Fashion surface"/>
    <s v="237943145938261"/>
    <s v=""/>
    <s v=""/>
    <s v="Reverse PickUP Delivered"/>
    <s v=""/>
    <s v=""/>
    <s v="NYK-29516753-8463871-2-1"/>
  </r>
  <r>
    <x v="23"/>
    <s v="NYK-32403335-4829423-1"/>
    <x v="23"/>
    <x v="17"/>
    <d v="2025-10-25T00:00:00"/>
    <x v="1"/>
    <s v="CUTAB00000509"/>
    <n v="1"/>
    <n v="1"/>
    <x v="1"/>
    <s v="Delhivery Surface Reverse"/>
    <s v="28449522526081"/>
    <s v="28449541599235"/>
    <s v="In Process"/>
    <s v="Confirmed"/>
    <s v="Product didn't fit"/>
    <s v="RET_11352044-7344695"/>
    <s v="NYK-32403335-4829423-1-1"/>
  </r>
  <r>
    <x v="24"/>
    <s v="NYK-29898614-3803205-1"/>
    <x v="24"/>
    <x v="18"/>
    <d v="2025-08-04T00:00:00"/>
    <x v="1"/>
    <s v="CUTAB00000510"/>
    <n v="1"/>
    <n v="1"/>
    <x v="2"/>
    <s v="Delhivery Surface Reverse"/>
    <s v="28449508817524"/>
    <s v="28449515521041"/>
    <s v="RETURN Accepted"/>
    <s v="Reverse PickUP Delivered"/>
    <s v="Very heavy dress n cheap fabric in such a big amount "/>
    <s v="RET_10394090-5738466"/>
    <s v="NYK-29898614-3803205-1-1"/>
  </r>
  <r>
    <x v="25"/>
    <s v="NYK-31889316-2835948-2-1"/>
    <x v="25"/>
    <x v="19"/>
    <d v="2025-10-14T00:00:00"/>
    <x v="0"/>
    <s v="CUTAB00000513"/>
    <n v="1"/>
    <n v="1"/>
    <x v="0"/>
    <s v="Shadowfax"/>
    <s v="SF1835862927NYK"/>
    <s v=""/>
    <s v=""/>
    <s v="Reverse PickUP Delivered"/>
    <s v=""/>
    <s v=""/>
    <s v="NYK-31889316-2835948-2-1"/>
  </r>
  <r>
    <x v="26"/>
    <s v="NYK-32146272-9178363-4"/>
    <x v="26"/>
    <x v="20"/>
    <d v="2025-10-27T00:00:00"/>
    <x v="1"/>
    <s v="CUTAB00000514"/>
    <n v="1"/>
    <n v="1"/>
    <x v="1"/>
    <s v="Shadowfax Reverse"/>
    <s v="237943173096010"/>
    <s v="R1435769875NYK"/>
    <s v="Item Return To Seller Delivered at BOM_ReayRoad_FM"/>
    <s v="Reverse PickUP Delivered"/>
    <s v="Product didn't fit"/>
    <s v="RET_11223635-2677021"/>
    <s v="NYK-32146272-9178363-4-1"/>
  </r>
  <r>
    <x v="27"/>
    <s v="NYK-30940622-3807072-1"/>
    <x v="27"/>
    <x v="21"/>
    <d v="2025-09-13T00:00:00"/>
    <x v="1"/>
    <s v="CUTAB00000515"/>
    <n v="1"/>
    <n v="1"/>
    <x v="1"/>
    <s v="Shadowfax Reverse"/>
    <s v="28449514654570"/>
    <s v="R1401108282NYK"/>
    <s v="Item Return To Seller Delivered at BOM_ReayRoad_FM"/>
    <s v="Reverse PickUP Delivered"/>
    <s v="Product didn't fit- Too Large"/>
    <s v="RET_10759190-2481435"/>
    <s v="NYK-30940622-3807072-1-1"/>
  </r>
  <r>
    <x v="28"/>
    <s v="NYK-31913686-8806740-1"/>
    <x v="28"/>
    <x v="22"/>
    <d v="2025-10-24T00:00:00"/>
    <x v="1"/>
    <s v="CUTAB00000517"/>
    <n v="1"/>
    <n v="1"/>
    <x v="4"/>
    <s v="Shadowfax Reverse"/>
    <s v="28449519217402"/>
    <s v="R1449320482NYK"/>
    <s v="Item Return To Seller Delivered at BOM_ReayRoad_FM"/>
    <s v="Reverse PickUP Delivered"/>
    <s v="Don't need it anymore"/>
    <s v="RET_11158661-9826313"/>
    <s v="NYK-31913686-8806740-1-1"/>
  </r>
  <r>
    <x v="29"/>
    <s v="NYK-32436420-2359330-2-1"/>
    <x v="29"/>
    <x v="23"/>
    <d v="2025-10-23T00:00:00"/>
    <x v="0"/>
    <s v="CUTAB00000717"/>
    <n v="1"/>
    <n v="1"/>
    <x v="0"/>
    <s v="DelhiverySurface"/>
    <s v="28449525004372"/>
    <s v=""/>
    <s v=""/>
    <s v="Confirmed"/>
    <s v=""/>
    <s v=""/>
    <s v="NYK-32436420-2359330-2-1"/>
  </r>
  <r>
    <x v="30"/>
    <s v="NYK-31177835-7193663-1"/>
    <x v="30"/>
    <x v="24"/>
    <d v="2025-09-25T00:00:00"/>
    <x v="1"/>
    <s v="CUTAB00000751"/>
    <n v="1"/>
    <n v="1"/>
    <x v="2"/>
    <s v="Shadowfax Reverse"/>
    <s v="28449538354116"/>
    <s v="R1425559032NYK"/>
    <s v="Item Return To Seller Delivered at BOM_ReayRoad_FM"/>
    <s v="Reverse PickUP Delivered"/>
    <s v="Didn't like the quality of product"/>
    <s v="RET_10889980-2381673"/>
    <s v="NYK-31177835-7193663-1-1"/>
  </r>
  <r>
    <x v="31"/>
    <s v="NYK-31976662-8133615-4"/>
    <x v="31"/>
    <x v="25"/>
    <d v="2025-10-24T00:00:00"/>
    <x v="1"/>
    <s v="CUTAB00000756"/>
    <n v="1"/>
    <n v="1"/>
    <x v="1"/>
    <s v="Shadowfax Reverse"/>
    <s v="88281854824"/>
    <s v="R1466705344NYK"/>
    <s v="Item Return To Seller Delivered at BOM_ReayRoad_FM"/>
    <s v="Reverse PickUP Delivered"/>
    <s v="Product didn't fit"/>
    <s v="RET_11161675-8352771"/>
    <s v="NYK-31976662-8133615-4-1"/>
  </r>
  <r>
    <x v="32"/>
    <s v="NYK-29481557-2308380-1"/>
    <x v="32"/>
    <x v="26"/>
    <d v="2025-07-30T00:00:00"/>
    <x v="1"/>
    <s v="CUTAB00000662"/>
    <n v="1"/>
    <n v="1"/>
    <x v="1"/>
    <s v="Shadowfax Reverse"/>
    <s v="28449506957156"/>
    <s v="R1325897767NYK"/>
    <s v="Item Return To Seller Delivered at BOM_ReayRoad_FM"/>
    <s v="Reverse PickUP Delivered"/>
    <s v="Product didn't fit- Too Small"/>
    <s v="RET_10247482-4537930"/>
    <s v="NYK-29481557-2308380-1-1"/>
  </r>
  <r>
    <x v="33"/>
    <s v="NYK-31909923-7825439-1"/>
    <x v="33"/>
    <x v="27"/>
    <d v="2025-10-17T00:00:00"/>
    <x v="1"/>
    <s v="CUTAB00000663"/>
    <n v="1"/>
    <n v="1"/>
    <x v="1"/>
    <s v="Delhivery Surface Reverse"/>
    <s v="SF1835832275NYK"/>
    <s v="28449540314072"/>
    <s v="RETURN Accepted"/>
    <s v="Reverse PickUP Delivered"/>
    <s v="Child is tight"/>
    <s v="RET_11169516-3451586"/>
    <s v="NYK-31909923-7825439-1-1"/>
  </r>
  <r>
    <x v="34"/>
    <s v="NYK-29773527-8126628-2"/>
    <x v="34"/>
    <x v="28"/>
    <d v="2025-07-26T00:00:00"/>
    <x v="1"/>
    <s v="CUTAB00000085"/>
    <n v="1"/>
    <n v="1"/>
    <x v="1"/>
    <s v="Delhivery Surface Reverse"/>
    <s v="237943147242383"/>
    <s v="28449513578806"/>
    <s v="RETURN Accepted"/>
    <s v="Reverse PickUP Delivered"/>
    <s v="Product didn't fit- Too Large"/>
    <s v="RET_10305147-6839166"/>
    <s v="NYK-29773527-8126628-2-1"/>
  </r>
  <r>
    <x v="35"/>
    <s v="NYK-29381875-8498585-3"/>
    <x v="35"/>
    <x v="29"/>
    <d v="2025-07-15T00:00:00"/>
    <x v="1"/>
    <s v="CUTAB00000086"/>
    <n v="1"/>
    <n v="1"/>
    <x v="1"/>
    <s v="Delhivery Surface Reverse"/>
    <s v="SF1686923202NYK"/>
    <s v="28449513034685"/>
    <s v="RETURN Accepted"/>
    <s v="Reverse PickUP Delivered"/>
    <s v="Product didn't fit- Too Large"/>
    <s v="RET_10189081-1174481"/>
    <s v="NYK-29381875-8498585-3-1"/>
  </r>
  <r>
    <x v="36"/>
    <s v="NYK-27982773-5899748-1-1"/>
    <x v="36"/>
    <x v="30"/>
    <d v="2025-05-29T00:00:00"/>
    <x v="0"/>
    <s v="CUTAB00000110"/>
    <n v="1"/>
    <n v="1"/>
    <x v="0"/>
    <s v="Shadowfax"/>
    <s v="SF1478263831NYK"/>
    <s v=""/>
    <s v=""/>
    <s v="Reverse PickUP Delivered"/>
    <s v=""/>
    <s v=""/>
    <s v="NYK-27982773-5899748-1-1"/>
  </r>
  <r>
    <x v="37"/>
    <s v="NYK-32066839-9427040-1"/>
    <x v="37"/>
    <x v="31"/>
    <d v="2025-10-18T00:00:00"/>
    <x v="1"/>
    <s v="CUTAB00000001"/>
    <n v="1"/>
    <n v="1"/>
    <x v="2"/>
    <s v="Delhivery Surface Reverse"/>
    <s v="SF2167352648NYK"/>
    <s v="28449540523991"/>
    <s v="RETURN Accepted"/>
    <s v="Reverse PickUP Delivered"/>
    <s v="Didn’t like the quality of product"/>
    <s v="RET_11219808-4716130"/>
    <s v="NYK-32066839-9427040-1-1"/>
  </r>
  <r>
    <x v="38"/>
    <s v="NYK-28733641-2119958-4"/>
    <x v="38"/>
    <x v="32"/>
    <d v="2025-06-17T00:00:00"/>
    <x v="1"/>
    <s v="CUTAB00000002"/>
    <n v="1"/>
    <n v="1"/>
    <x v="1"/>
    <s v="Delhivery Surface Reverse"/>
    <s v="88278227074"/>
    <s v="28449511809033"/>
    <s v="RETURN Accepted"/>
    <s v="Reverse PickUP Delivered"/>
    <s v="Product didn't fit- Too Large"/>
    <s v="RET_9927737-7424086"/>
    <s v="NYK-28733641-2119958-4-1"/>
  </r>
  <r>
    <x v="39"/>
    <s v="NYK-29712205-0081296-1"/>
    <x v="39"/>
    <x v="33"/>
    <d v="2025-07-30T00:00:00"/>
    <x v="1"/>
    <s v="CUTAB00000003"/>
    <n v="1"/>
    <n v="1"/>
    <x v="1"/>
    <s v="Shadowfax Reverse"/>
    <s v="88280021535"/>
    <s v="R1333280755NYK"/>
    <s v="Item Return To Seller Delivered at BOM_ReayRoad_FM"/>
    <s v="Reverse PickUP Delivered"/>
    <s v="Fitting issue "/>
    <s v="RET_10292832-0918843"/>
    <s v="NYK-29712205-0081296-1-1"/>
  </r>
  <r>
    <x v="40"/>
    <s v="NYK-28474770-4574117-1"/>
    <x v="40"/>
    <x v="34"/>
    <d v="2025-06-16T00:00:00"/>
    <x v="1"/>
    <s v="CUTAB00000009"/>
    <n v="1"/>
    <n v="1"/>
    <x v="1"/>
    <s v="Shadowfax Reverse"/>
    <s v="28449500423883"/>
    <s v="R1261279410NYK"/>
    <s v="Item Return To Seller Delivered at BOM_LowerParel"/>
    <s v="Reverse PickUP Delivered"/>
    <s v="This size is not fit for my kid"/>
    <s v="RET_9854609-7677381"/>
    <s v="NYK-28474770-4574117-1-1"/>
  </r>
  <r>
    <x v="41"/>
    <s v="NYK-31230380-8834715-1-1"/>
    <x v="41"/>
    <x v="34"/>
    <d v="2025-09-20T00:00:00"/>
    <x v="0"/>
    <s v="CUTAB00000009"/>
    <n v="1"/>
    <n v="1"/>
    <x v="0"/>
    <s v="BLUEDART"/>
    <s v="59494711710"/>
    <s v=""/>
    <s v=""/>
    <s v="Reverse PickUP Delivered"/>
    <s v=""/>
    <s v=""/>
    <s v="NYK-31230380-8834715-1-1"/>
  </r>
  <r>
    <x v="42"/>
    <s v="NYK-29085889-0063662-1-1"/>
    <x v="42"/>
    <x v="35"/>
    <d v="2025-07-05T00:00:00"/>
    <x v="0"/>
    <s v="CUTAB00000022"/>
    <n v="1"/>
    <n v="1"/>
    <x v="0"/>
    <s v="BLUEDART"/>
    <s v="88279349432"/>
    <s v=""/>
    <s v=""/>
    <s v="Reverse PickUP Delivered"/>
    <s v=""/>
    <s v=""/>
    <s v="NYK-29085889-0063662-1-1"/>
  </r>
  <r>
    <x v="43"/>
    <s v="NYK-30209797-0266531-1"/>
    <x v="43"/>
    <x v="36"/>
    <d v="2025-08-30T00:00:00"/>
    <x v="1"/>
    <s v="CUTAB00000099"/>
    <n v="1"/>
    <n v="1"/>
    <x v="1"/>
    <s v="Shadowfax Reverse"/>
    <s v="28449504058235"/>
    <s v="R1369189526NYK"/>
    <s v="Item Return To Seller Delivered at BOM_ReayRoad_FM"/>
    <s v="Reverse PickUP Delivered"/>
    <s v="Size too large"/>
    <s v="RET_10585329-5417473"/>
    <s v="NYK-30209797-0266531-1-1"/>
  </r>
  <r>
    <x v="44"/>
    <s v="NYK-31899770-5045088-1"/>
    <x v="44"/>
    <x v="36"/>
    <d v="2025-10-13T00:00:00"/>
    <x v="1"/>
    <s v="CUTAB00000099"/>
    <n v="1"/>
    <n v="1"/>
    <x v="2"/>
    <s v="Delhivery Surface Reverse"/>
    <s v="28449519230374"/>
    <s v="28449540098472"/>
    <s v="RETURN Accepted"/>
    <s v="Reverse PickUP Delivered"/>
    <s v="Don't like the quality of cloth "/>
    <s v="RET_11121469-2451779"/>
    <s v="NYK-31899770-5045088-1-1"/>
  </r>
  <r>
    <x v="36"/>
    <s v="NYK-27982773-5899748-1-1"/>
    <x v="36"/>
    <x v="37"/>
    <d v="2025-05-29T00:00:00"/>
    <x v="0"/>
    <s v="CUTAB00000102"/>
    <n v="1"/>
    <n v="1"/>
    <x v="0"/>
    <s v="Shadowfax"/>
    <s v="SF1478263831NYK"/>
    <s v=""/>
    <s v=""/>
    <s v="Reverse PickUP Delivered"/>
    <s v=""/>
    <s v=""/>
    <s v="NYK-27982773-5899748-1-1"/>
  </r>
  <r>
    <x v="45"/>
    <s v="NYK-27650555-9083703-1"/>
    <x v="45"/>
    <x v="38"/>
    <d v="2025-05-23T00:00:00"/>
    <x v="1"/>
    <s v="CUTAB00000127"/>
    <n v="1"/>
    <n v="1"/>
    <x v="1"/>
    <s v="Delhivery Surface Reverse"/>
    <s v="237943108824681"/>
    <s v="28449499537366"/>
    <s v="RETURN Accepted"/>
    <s v="Reverse PickUP Delivered"/>
    <s v="CourierPartner missing for PinCode 387620, unable to Manifest."/>
    <s v="RET_9588910-5533624"/>
    <s v="NYK-27650555-9083703-1-1"/>
  </r>
  <r>
    <x v="46"/>
    <s v="NYK-29731432-6880368-4-1"/>
    <x v="46"/>
    <x v="39"/>
    <d v="2025-07-25T00:00:00"/>
    <x v="0"/>
    <s v="CUTAB00000128"/>
    <n v="1"/>
    <n v="1"/>
    <x v="0"/>
    <s v="BLUEDART"/>
    <s v="59359323461"/>
    <s v=""/>
    <s v=""/>
    <s v="Reverse PickUP Delivered"/>
    <s v=""/>
    <s v=""/>
    <s v="NYK-29731432-6880368-4-1"/>
  </r>
  <r>
    <x v="47"/>
    <s v="NYK-29557550-2153800-1-1"/>
    <x v="47"/>
    <x v="40"/>
    <d v="2025-08-01T00:00:00"/>
    <x v="0"/>
    <s v="CUTAB00000129"/>
    <n v="1"/>
    <n v="1"/>
    <x v="0"/>
    <s v="DelhiverySurface"/>
    <s v="28449508208701"/>
    <s v=""/>
    <s v=""/>
    <s v="Reverse PickUP Delivered"/>
    <s v=""/>
    <s v=""/>
    <s v="NYK-29557550-2153800-1-1"/>
  </r>
  <r>
    <x v="48"/>
    <s v="NYK-28634918-1857275-1-1"/>
    <x v="48"/>
    <x v="41"/>
    <d v="2025-06-17T00:00:00"/>
    <x v="0"/>
    <s v="CUTAB00000130"/>
    <n v="1"/>
    <n v="1"/>
    <x v="0"/>
    <s v="Nykaa Fashion surface"/>
    <s v="237943137508894"/>
    <s v=""/>
    <s v=""/>
    <s v="Reverse PickUP Delivered"/>
    <s v=""/>
    <s v=""/>
    <s v="NYK-28634918-1857275-1-1"/>
  </r>
  <r>
    <x v="49"/>
    <s v="NYK-28420432-8065295-1-1"/>
    <x v="49"/>
    <x v="42"/>
    <d v="2025-06-10T00:00:00"/>
    <x v="0"/>
    <s v="CUTAB00000131"/>
    <n v="1"/>
    <n v="1"/>
    <x v="0"/>
    <s v="DelhiverySurface"/>
    <s v="28449500308291"/>
    <s v=""/>
    <s v=""/>
    <s v="Reverse PickUP Delivered"/>
    <s v=""/>
    <s v=""/>
    <s v="NYK-28420432-8065295-1-1"/>
  </r>
  <r>
    <x v="50"/>
    <s v="NYK-31582387-2673727-1"/>
    <x v="50"/>
    <x v="43"/>
    <d v="2025-10-07T00:00:00"/>
    <x v="1"/>
    <s v="CUTAB00000132"/>
    <n v="1"/>
    <n v="1"/>
    <x v="2"/>
    <s v="Shadowfax Reverse"/>
    <s v="28449518341363"/>
    <s v="R1466708420NYK"/>
    <s v="Item Return To Seller Delivered at BOM_ReayRoad_FM"/>
    <s v="Reverse PickUP Delivered"/>
    <s v="Didn't like the quality of product"/>
    <s v="RET_11068522-8707570"/>
    <s v="NYK-31582387-2673727-1-1"/>
  </r>
  <r>
    <x v="51"/>
    <s v="NYK-29739594-9137836-1"/>
    <x v="51"/>
    <x v="44"/>
    <d v="2025-08-05T00:00:00"/>
    <x v="1"/>
    <s v="CUTAB00000133"/>
    <n v="1"/>
    <n v="1"/>
    <x v="2"/>
    <s v="Shadowfax Reverse"/>
    <s v="28449509325691"/>
    <s v="R1345431763NYK"/>
    <s v="Item Return To Seller Delivered at BOM_ReayRoad_FM"/>
    <s v="Reverse PickUP Delivered"/>
    <s v="Quality of fabric not upto the mark"/>
    <s v="RET_10397384-6346474"/>
    <s v="NYK-29739594-9137836-1-1"/>
  </r>
  <r>
    <x v="52"/>
    <s v="NYK-28252178-3695081-1"/>
    <x v="52"/>
    <x v="45"/>
    <d v="2025-07-12T00:00:00"/>
    <x v="1"/>
    <s v="CUTAB00000134"/>
    <n v="1"/>
    <n v="1"/>
    <x v="1"/>
    <s v="Delhivery Surface Reverse"/>
    <s v="59358254421"/>
    <s v="28449504971363"/>
    <s v="RETURN Accepted"/>
    <s v="Reverse PickUP Delivered"/>
    <s v="Product didn't fit- Too Large"/>
    <s v="RET_9746066-0907174"/>
    <s v="NYK-28252178-3695081-1-1"/>
  </r>
  <r>
    <x v="53"/>
    <s v="NYK-30332286-4821967-1"/>
    <x v="53"/>
    <x v="45"/>
    <d v="2025-08-21T00:00:00"/>
    <x v="1"/>
    <s v="CUTAB00000134"/>
    <n v="1"/>
    <n v="1"/>
    <x v="1"/>
    <s v="Delhivery Surface Reverse"/>
    <s v="28449504362514"/>
    <s v="28449516407473"/>
    <s v="RETURN Accepted"/>
    <s v="Reverse PickUP Delivered"/>
    <s v="Didn’t fit well"/>
    <s v="RET_10565111-0013984"/>
    <s v="NYK-30332286-4821967-1-1"/>
  </r>
  <r>
    <x v="54"/>
    <s v="NYK-28087954-6316976-1"/>
    <x v="54"/>
    <x v="46"/>
    <d v="2025-06-09T00:00:00"/>
    <x v="1"/>
    <s v="CUTAB00000135"/>
    <n v="1"/>
    <n v="1"/>
    <x v="2"/>
    <s v="Shadowfax Reverse"/>
    <s v="237943138144461"/>
    <s v="R1257519712NYK"/>
    <s v="Item Return To Seller Delivered at BOM_LowerParel"/>
    <s v="Reverse PickUP Delivered"/>
    <s v="Didn't like the quality of product"/>
    <s v="RET_9833611-9697553"/>
    <s v="NYK-28087954-6316976-1-1"/>
  </r>
  <r>
    <x v="55"/>
    <s v="NYK-29702333-5492666-1"/>
    <x v="55"/>
    <x v="47"/>
    <d v="2025-08-12T00:00:00"/>
    <x v="1"/>
    <s v="CUTAB00000137"/>
    <n v="1"/>
    <n v="1"/>
    <x v="2"/>
    <s v="Shadowfax Reverse"/>
    <s v="SF1687093932NYK"/>
    <s v="R1334829682NYK"/>
    <s v="Item Return To Seller Delivered at BOM_ReayRoad_FM"/>
    <s v="Reverse PickUP Delivered"/>
    <s v="Didn't like the quality of product"/>
    <s v="RET_10299232-0680502"/>
    <s v="NYK-29702333-5492666-1-1"/>
  </r>
  <r>
    <x v="56"/>
    <s v="NYK-27990007-3812017-1-1"/>
    <x v="56"/>
    <x v="48"/>
    <d v="2025-05-14T00:00:00"/>
    <x v="0"/>
    <s v="CUTAB00000140"/>
    <n v="1"/>
    <n v="1"/>
    <x v="0"/>
    <s v="DelhiverySurface"/>
    <s v="28449484740766"/>
    <s v=""/>
    <s v=""/>
    <s v="Confirmed"/>
    <s v=""/>
    <s v=""/>
    <s v="NYK-27990007-3812017-1-1"/>
  </r>
  <r>
    <x v="57"/>
    <s v="NYK-28296194-2771503-1"/>
    <x v="57"/>
    <x v="49"/>
    <d v="2025-05-31T00:00:00"/>
    <x v="1"/>
    <s v="CUTAB00000143"/>
    <n v="1"/>
    <n v="1"/>
    <x v="1"/>
    <s v="Shadowfax Reverse"/>
    <s v="88277689636"/>
    <s v="R1253170990NYK"/>
    <s v="Item Return To Seller Delivered at BOM_LowerParel"/>
    <s v="Reverse PickUP Delivered"/>
    <s v="Product didn't fit- Too Small"/>
    <s v="RET_9795909-9179332"/>
    <s v="NYK-28296194-2771503-1-1"/>
  </r>
  <r>
    <x v="58"/>
    <s v="NYK-30469303-6289995-1"/>
    <x v="58"/>
    <x v="49"/>
    <d v="2025-08-21T00:00:00"/>
    <x v="1"/>
    <s v="CUTAB00000143"/>
    <n v="1"/>
    <n v="1"/>
    <x v="1"/>
    <s v="Delhivery Surface Reverse"/>
    <s v="88280879271"/>
    <s v="28449516555733"/>
    <s v="RETURN Accepted"/>
    <s v="Reverse PickUP Delivered"/>
    <s v="Product didn't fit- Too Small"/>
    <s v="RET_10593469-0710503"/>
    <s v="NYK-30469303-6289995-1-1"/>
  </r>
  <r>
    <x v="59"/>
    <s v="NYK-30655334-2917380-3"/>
    <x v="59"/>
    <x v="49"/>
    <d v="2025-09-12T00:00:00"/>
    <x v="1"/>
    <s v="CUTAB00000143"/>
    <n v="1"/>
    <n v="1"/>
    <x v="1"/>
    <s v="Delhivery Surface Reverse"/>
    <s v="237943150117084"/>
    <s v="28449535946326"/>
    <s v="RETURN Accepted"/>
    <s v="Reverse PickUP Delivered"/>
    <s v="Product didn't fit- Too Large"/>
    <s v="RET_10672705-4439164"/>
    <s v="NYK-30655334-2917380-3-1"/>
  </r>
  <r>
    <x v="60"/>
    <s v="NYK-31466487-1128798-1-1"/>
    <x v="60"/>
    <x v="50"/>
    <d v="2025-10-03T00:00:00"/>
    <x v="0"/>
    <s v="CUTAB00000144"/>
    <n v="1"/>
    <n v="1"/>
    <x v="0"/>
    <s v="Shadowfax"/>
    <s v="SF1687013419NYK"/>
    <s v=""/>
    <s v=""/>
    <s v="Reverse PickUP Delivered"/>
    <s v=""/>
    <s v=""/>
    <s v="NYK-31466487-1128798-1-1"/>
  </r>
  <r>
    <x v="61"/>
    <s v="NYK-28505950-9465306-5"/>
    <x v="61"/>
    <x v="51"/>
    <d v="2025-06-16T00:00:00"/>
    <x v="1"/>
    <s v="CUTAB00000145"/>
    <n v="1"/>
    <n v="1"/>
    <x v="1"/>
    <s v="Shadowfax Reverse"/>
    <s v="28449500088093"/>
    <s v="R1271747932NYK"/>
    <s v="Item Return To Seller Delivered at BOM_LowerParel"/>
    <s v="Reverse PickUP Delivered"/>
    <s v="Product didn't fit- Too Large"/>
    <s v="RET_9907357-3506055"/>
    <s v="NYK-28505950-9465306-5-1"/>
  </r>
  <r>
    <x v="62"/>
    <s v="NYK-31095906-4993579-1"/>
    <x v="62"/>
    <x v="52"/>
    <d v="2025-09-13T00:00:00"/>
    <x v="1"/>
    <s v="CUTAB00000146"/>
    <n v="1"/>
    <n v="1"/>
    <x v="1"/>
    <s v="Shadowfax Reverse"/>
    <s v="59494660094"/>
    <s v="R1408524539NYK"/>
    <s v="Item Return To Seller Delivered at BOM_ReayRoad_FM"/>
    <s v="Reverse PickUP Delivered"/>
    <s v="Product didn't fit- Too Large"/>
    <s v="RET_10812868-2074060"/>
    <s v="NYK-31095906-4993579-1-1"/>
  </r>
  <r>
    <x v="63"/>
    <s v="NYK-30324986-0520800-1"/>
    <x v="63"/>
    <x v="53"/>
    <d v="2025-08-14T00:00:00"/>
    <x v="1"/>
    <s v="CUTAB00000147"/>
    <n v="1"/>
    <n v="1"/>
    <x v="1"/>
    <s v="Delhivery Surface Reverse"/>
    <s v="88280680283"/>
    <s v="28449516340074"/>
    <s v="RETURN Accepted"/>
    <s v="Reverse PickUP Delivered"/>
    <s v="Product didn't fit- Too Large"/>
    <s v="RET_10549856-6289823"/>
    <s v="NYK-30324986-0520800-1-1"/>
  </r>
  <r>
    <x v="64"/>
    <s v="NYK-28155359-7031068-1"/>
    <x v="64"/>
    <x v="54"/>
    <d v="2025-05-29T00:00:00"/>
    <x v="1"/>
    <s v="CUTAB00000148"/>
    <n v="1"/>
    <n v="1"/>
    <x v="1"/>
    <s v="Shadowfax Reverse"/>
    <s v="59358123790"/>
    <s v="R1247242651NYK"/>
    <s v="Item Return To Seller Delivered at BOM_LowerParel"/>
    <s v="Reverse PickUP Delivered"/>
    <s v="The top's size is perfect but the bottom is too tight on waist ...the length is also too much "/>
    <s v="RET_9745072-5182602"/>
    <s v="NYK-28155359-7031068-1-1"/>
  </r>
  <r>
    <x v="65"/>
    <s v="NYK-29876232-1289146-2"/>
    <x v="65"/>
    <x v="54"/>
    <d v="2025-08-05T00:00:00"/>
    <x v="1"/>
    <s v="CUTAB00000148"/>
    <n v="1"/>
    <n v="1"/>
    <x v="1"/>
    <s v="Shadowfax Reverse"/>
    <s v="SF1747486604NYK"/>
    <s v="R1341022932NYK"/>
    <s v="Item Return To Seller Delivered at BOM_ReayRoad_FM"/>
    <s v="Reverse PickUP Delivered"/>
    <s v="Product didn't fit- Too Large"/>
    <s v="RET_10349624-8748580"/>
    <s v="NYK-29876232-1289146-2-1"/>
  </r>
  <r>
    <x v="66"/>
    <s v="NYK-29001598-9069107-1"/>
    <x v="66"/>
    <x v="55"/>
    <d v="2025-06-24T00:00:00"/>
    <x v="1"/>
    <s v="CUTAB00000149"/>
    <n v="1"/>
    <n v="1"/>
    <x v="1"/>
    <s v="Delhivery Surface Reverse"/>
    <s v="88279247383"/>
    <s v="28449512262541"/>
    <s v="RETURN Accepted"/>
    <s v="Reverse PickUP Delivered"/>
    <s v="The waist is fine but length of pants is too too long"/>
    <s v="RET_10021223-6418521"/>
    <s v="NYK-29001598-9069107-1-1"/>
  </r>
  <r>
    <x v="67"/>
    <s v="NYK-30586983-1897902-1"/>
    <x v="67"/>
    <x v="55"/>
    <d v="2025-09-04T00:00:00"/>
    <x v="1"/>
    <s v="CUTAB00000149"/>
    <n v="1"/>
    <n v="1"/>
    <x v="1"/>
    <s v="Shadowfax Reverse"/>
    <s v="28449511016541"/>
    <s v="R1375948989NYK"/>
    <s v="Item Return To Seller Delivered at BOM_ReayRoad_FM"/>
    <s v="Reverse PickUP Delivered"/>
    <s v="While ordering, size 36 was mentioned as 10-11 years but when I received the product- the tag shows that it is 11-12 years. Size is too large hence returning the item."/>
    <s v="RET_10637684-8539951"/>
    <s v="NYK-30586983-1897902-1-1"/>
  </r>
  <r>
    <x v="68"/>
    <s v="NYK-30899964-6014608-2"/>
    <x v="68"/>
    <x v="56"/>
    <d v="2025-09-09T00:00:00"/>
    <x v="1"/>
    <s v="CUTAB00000150"/>
    <n v="1"/>
    <n v="1"/>
    <x v="1"/>
    <s v="Delhivery Surface Reverse"/>
    <s v="88281226946"/>
    <s v="28449536962936"/>
    <s v="RETURN Accepted"/>
    <s v="Reverse PickUP Delivered"/>
    <s v="Product didn't fit- Too Large"/>
    <s v="RET_10776173-7772390"/>
    <s v="NYK-30899964-6014608-2-1"/>
  </r>
  <r>
    <x v="69"/>
    <s v="NYK-31132163-0388050-1-1"/>
    <x v="69"/>
    <x v="56"/>
    <d v="2025-09-13T00:00:00"/>
    <x v="0"/>
    <s v="CUTAB00000150"/>
    <n v="1"/>
    <n v="1"/>
    <x v="0"/>
    <s v="DelhiverySurface"/>
    <s v="28449536190884"/>
    <s v=""/>
    <s v=""/>
    <s v="Reverse PickUP Delivered"/>
    <s v=""/>
    <s v=""/>
    <s v="NYK-31132163-0388050-1-1"/>
  </r>
  <r>
    <x v="70"/>
    <s v="NYK-30796209-8413384-1"/>
    <x v="70"/>
    <x v="57"/>
    <d v="2025-09-10T00:00:00"/>
    <x v="1"/>
    <s v="CUTAB00000772"/>
    <n v="1"/>
    <n v="1"/>
    <x v="1"/>
    <s v="Shadowfax Reverse"/>
    <s v="88317493110"/>
    <s v="R1389977486NYK"/>
    <s v="Item Return To Seller Delivered at BOM_ReayRoad_FM"/>
    <s v="Reverse PickUP Delivered"/>
    <s v="Product didn't fit- Too Small"/>
    <s v="RET_10733961-2293494"/>
    <s v="NYK-30796209-8413384-1-1"/>
  </r>
  <r>
    <x v="71"/>
    <s v="NYK-31802321-1812651-2"/>
    <x v="71"/>
    <x v="58"/>
    <d v="2025-10-08T00:00:00"/>
    <x v="1"/>
    <s v="CUTAB00000776"/>
    <n v="1"/>
    <n v="1"/>
    <x v="1"/>
    <s v="Delhivery Surface Reverse"/>
    <s v="SF1835819658NYK"/>
    <s v="28449539982681"/>
    <s v="RETURN Accepted"/>
    <s v="Reverse PickUP Delivered"/>
    <s v="Dont need"/>
    <s v="RET_11102645-8009102"/>
    <s v="NYK-31802321-1812651-2-1"/>
  </r>
  <r>
    <x v="72"/>
    <s v="NYK-31719755-8789426-1"/>
    <x v="72"/>
    <x v="59"/>
    <d v="2025-10-07T00:00:00"/>
    <x v="1"/>
    <s v="CUTAB00000777"/>
    <n v="1"/>
    <n v="1"/>
    <x v="2"/>
    <s v="Shadowfax Reverse"/>
    <s v="SF1835807244NYK"/>
    <s v="R1466727944NYK"/>
    <s v="Item Return To Seller Delivered at BOM_ReayRoad_FM"/>
    <s v="Reverse PickUP Delivered"/>
    <s v="Didn't like the quality of product"/>
    <s v="RET_11061414-3261311"/>
    <s v="NYK-31719755-8789426-1-1"/>
  </r>
  <r>
    <x v="73"/>
    <s v="NYK-32153170-4319140-1"/>
    <x v="73"/>
    <x v="59"/>
    <d v="2025-10-22T00:00:00"/>
    <x v="1"/>
    <s v="CUTAB00000777"/>
    <n v="1"/>
    <n v="1"/>
    <x v="1"/>
    <s v="Shadowfax Reverse"/>
    <s v="28449521953761"/>
    <s v="R1513797956NYK"/>
    <s v="Item return to seller initiated at OneNCR DC"/>
    <s v="Reverse PickUP Done"/>
    <s v="Large size "/>
    <s v="RET_11323984-2883944"/>
    <s v="NYK-32153170-4319140-1-1"/>
  </r>
  <r>
    <x v="74"/>
    <s v="NYK-30695161-8056350-1"/>
    <x v="74"/>
    <x v="60"/>
    <d v="2025-09-11T00:00:00"/>
    <x v="1"/>
    <s v="CUTAB00000341"/>
    <n v="1"/>
    <n v="1"/>
    <x v="2"/>
    <s v="Shadowfax Reverse"/>
    <s v="28449513754646"/>
    <s v="R1387749504NYK"/>
    <s v="Item Return To Seller Delivered at BOM_ReayRoad_FM"/>
    <s v="Reverse PickUP Delivered"/>
    <s v="Sparles are not good and comfortable. It’s spreading everywhere "/>
    <s v="RET_10707212-9744404"/>
    <s v="NYK-30695161-8056350-1-1"/>
  </r>
  <r>
    <x v="75"/>
    <s v="NYK-27650877-9852281-1"/>
    <x v="75"/>
    <x v="61"/>
    <d v="2025-05-23T00:00:00"/>
    <x v="1"/>
    <s v="CUTAB00000189"/>
    <n v="1"/>
    <n v="1"/>
    <x v="2"/>
    <s v="Delhivery Surface Reverse"/>
    <s v="237943108815824"/>
    <s v="28449499535653"/>
    <s v="RETURN Accepted"/>
    <s v="Reverse PickUP Delivered"/>
    <s v="CourierPartner missing for PinCode 387620, unable to Manifest."/>
    <s v="RET_9588911-5615496"/>
    <s v="NYK-27650877-9852281-1-1"/>
  </r>
  <r>
    <x v="48"/>
    <s v="NYK-28634918-1857275-1-1"/>
    <x v="48"/>
    <x v="62"/>
    <d v="2025-06-17T00:00:00"/>
    <x v="0"/>
    <s v="CUTAB00000193"/>
    <n v="1"/>
    <n v="1"/>
    <x v="0"/>
    <s v="Nykaa Fashion surface"/>
    <s v="237943137508894"/>
    <s v=""/>
    <s v=""/>
    <s v="Reverse PickUP Delivered"/>
    <s v=""/>
    <s v=""/>
    <s v="NYK-28634918-1857275-1-1"/>
  </r>
  <r>
    <x v="76"/>
    <s v="NYK-27939229-4391262-1"/>
    <x v="76"/>
    <x v="63"/>
    <d v="2025-07-09T00:00:00"/>
    <x v="1"/>
    <s v="CUTAB00000195"/>
    <n v="1"/>
    <n v="1"/>
    <x v="1"/>
    <s v="Delhivery Surface Reverse"/>
    <s v="28449485700606"/>
    <s v="28449499578106"/>
    <s v="RETURN Accepted"/>
    <s v="Reverse PickUP Delivered"/>
    <s v="Product didn't fit- Too Large"/>
    <s v="RET_9675064-7896405"/>
    <s v="NYK-27939229-4391262-1-1"/>
  </r>
  <r>
    <x v="77"/>
    <s v="NYK-32356595-2556873-1"/>
    <x v="77"/>
    <x v="64"/>
    <d v="2025-10-26T00:00:00"/>
    <x v="1"/>
    <s v="CUTAB00000196"/>
    <n v="1"/>
    <n v="1"/>
    <x v="1"/>
    <s v="Shadowfax Reverse"/>
    <s v="28449520863986"/>
    <s v="R1539924226NYK"/>
    <s v="Bag in transit for return at HMH_Hanumangarh"/>
    <s v="Reverse PickUP Done"/>
    <s v="Product didn't fit"/>
    <s v="RET_11343235-6755120"/>
    <s v="NYK-32356595-2556873-1-1"/>
  </r>
  <r>
    <x v="78"/>
    <s v="NYK-27991810-9641920-1-1"/>
    <x v="78"/>
    <x v="65"/>
    <d v="2025-07-09T00:00:00"/>
    <x v="0"/>
    <s v="CUTAB00000205"/>
    <n v="1"/>
    <n v="1"/>
    <x v="0"/>
    <s v="DelhiverySurface"/>
    <s v="28449484741013"/>
    <s v=""/>
    <s v=""/>
    <s v="Reverse PickUP Delivered"/>
    <s v=""/>
    <s v=""/>
    <s v="NYK-27991810-9641920-1-1"/>
  </r>
  <r>
    <x v="79"/>
    <s v="NYK-29447167-0328257-1"/>
    <x v="79"/>
    <x v="66"/>
    <d v="2025-07-16T00:00:00"/>
    <x v="1"/>
    <s v="CUTAB00000207"/>
    <n v="1"/>
    <n v="1"/>
    <x v="1"/>
    <s v="Delhivery Surface Reverse"/>
    <s v="SF1686932977NYK"/>
    <s v="28449513153475"/>
    <s v="RETURN Accepted"/>
    <s v="Reverse PickUP Delivered"/>
    <s v="Product didn't fit- Too Large"/>
    <s v="RET_10215356-4459265"/>
    <s v="NYK-29447167-0328257-1-1"/>
  </r>
  <r>
    <x v="80"/>
    <s v="NYK-28155359-7031068-1"/>
    <x v="64"/>
    <x v="67"/>
    <d v="2025-05-23T00:00:00"/>
    <x v="1"/>
    <s v="CUTAB00000211"/>
    <n v="1"/>
    <n v="1"/>
    <x v="1"/>
    <s v="Shadowfax Reverse"/>
    <s v="59358123790"/>
    <s v="R1242024884NYK"/>
    <s v="Item Return To Seller Delivered at BOM_LowerParel"/>
    <s v="Reverse PickUP Delivered"/>
    <s v="Product didn't fit- Too Large"/>
    <s v="RET_9702865-9001133"/>
    <s v="NYK-28155359-7031068-1-1"/>
  </r>
  <r>
    <x v="81"/>
    <s v="NYK-28057648-8612436-1"/>
    <x v="80"/>
    <x v="68"/>
    <d v="2025-05-23T00:00:00"/>
    <x v="1"/>
    <s v="CUTAB00000212"/>
    <n v="1"/>
    <n v="1"/>
    <x v="1"/>
    <s v="Delhivery Surface Reverse"/>
    <s v="88277342996"/>
    <s v="28449499521771"/>
    <s v="RETURN Accepted"/>
    <s v="Reverse PickUP Delivered"/>
    <s v="Too large for a 11 yr "/>
    <s v="RET_9664631-9475863"/>
    <s v="NYK-28057648-8612436-1-1"/>
  </r>
  <r>
    <x v="82"/>
    <s v="NYK-29615644-9303366-2"/>
    <x v="81"/>
    <x v="68"/>
    <d v="2025-07-24T00:00:00"/>
    <x v="1"/>
    <s v="CUTAB00000212"/>
    <n v="1"/>
    <n v="1"/>
    <x v="1"/>
    <s v="Delhivery Surface Reverse"/>
    <s v="237943147090306"/>
    <s v="28449513431014"/>
    <s v="RETURN Accepted"/>
    <s v="Reverse PickUP Delivered"/>
    <s v="Way to big fr 11 to 12 year age "/>
    <s v="RET_10277162-0473944"/>
    <s v="NYK-29615644-9303366-2-1"/>
  </r>
  <r>
    <x v="83"/>
    <s v="NYK-29814519-9506490-1"/>
    <x v="82"/>
    <x v="68"/>
    <d v="2025-07-31T00:00:00"/>
    <x v="1"/>
    <s v="CUTAB00000212"/>
    <n v="1"/>
    <n v="1"/>
    <x v="1"/>
    <s v="Delhivery Surface Reverse"/>
    <s v="SF1747484073NYK"/>
    <s v="28449515274976"/>
    <s v="RETURN Accepted"/>
    <s v="Reverse PickUP Delivered"/>
    <s v="Very large size "/>
    <s v="RET_10350168-1309073"/>
    <s v="NYK-29814519-9506490-1-1"/>
  </r>
  <r>
    <x v="84"/>
    <s v="NYK-30695267-8260653-1"/>
    <x v="83"/>
    <x v="69"/>
    <d v="2025-09-13T00:00:00"/>
    <x v="1"/>
    <s v="CUTAB00000202"/>
    <n v="1"/>
    <n v="1"/>
    <x v="1"/>
    <s v="Shadowfax Reverse"/>
    <s v="28449511323631"/>
    <s v="R1387747776NYK"/>
    <s v="Item Return To Seller Delivered at BOM_ReayRoad_FM"/>
    <s v="Reverse PickUP Delivered"/>
    <s v="Product didn't fit- Too Large"/>
    <s v="RET_10722682-0794364"/>
    <s v="NYK-30695267-8260653-1-1"/>
  </r>
  <r>
    <x v="85"/>
    <s v="NYK-30978292-5481090-1"/>
    <x v="84"/>
    <x v="70"/>
    <d v="2025-09-04T00:00:00"/>
    <x v="1"/>
    <s v="CUTAB00000204"/>
    <n v="1"/>
    <n v="1"/>
    <x v="2"/>
    <s v="Delhivery Surface Reverse"/>
    <s v="237943150473141"/>
    <s v="28449536943653"/>
    <s v="RETURN Accepted"/>
    <s v="Reverse PickUP Delivered"/>
    <s v="Too gaudy and shiny. Doesn't look classy"/>
    <s v="RET_10772492-7679312"/>
    <s v="NYK-30978292-5481090-1-1"/>
  </r>
  <r>
    <x v="86"/>
    <s v="NYK-31747284-4401517-1"/>
    <x v="85"/>
    <x v="71"/>
    <d v="2025-10-07T00:00:00"/>
    <x v="1"/>
    <s v="CUTAB00000057"/>
    <n v="1"/>
    <n v="1"/>
    <x v="2"/>
    <s v="Shadowfax Reverse"/>
    <s v="SF1835811030NYK"/>
    <s v="R1449313676NYK"/>
    <s v="Item Return To Seller Delivered at BOM_ReayRoad_FM"/>
    <s v="Reverse PickUP Delivered"/>
    <s v="Not liked."/>
    <s v="RET_11059342-7008117"/>
    <s v="NYK-31747284-4401517-1-1"/>
  </r>
  <r>
    <x v="87"/>
    <s v="NYK-29566921-9388788-1"/>
    <x v="86"/>
    <x v="72"/>
    <d v="2025-07-30T00:00:00"/>
    <x v="1"/>
    <s v="CUTAB00000059"/>
    <n v="1"/>
    <n v="1"/>
    <x v="1"/>
    <s v="Shadowfax Reverse"/>
    <s v="28449508981556"/>
    <s v="R1332919061NYK"/>
    <s v="Item Return To Seller Delivered at BOM_ReayRoad_FM"/>
    <s v="Reverse PickUP Delivered"/>
    <s v="Product didn't fit- Too Large"/>
    <s v="RET_10290540-5258711"/>
    <s v="NYK-29566921-9388788-1-1"/>
  </r>
  <r>
    <x v="88"/>
    <s v="NYK-31392302-0126578-1"/>
    <x v="87"/>
    <x v="73"/>
    <d v="2025-09-27T00:00:00"/>
    <x v="1"/>
    <s v="CUTAB00000061"/>
    <n v="1"/>
    <n v="1"/>
    <x v="1"/>
    <s v="Delhivery Surface Reverse"/>
    <s v="28449516985404"/>
    <s v="28449539378916"/>
    <s v="RETURN Accepted"/>
    <s v="Reverse PickUP Delivered"/>
    <s v="Product didn't fit"/>
    <s v="RET_10971401-9654433"/>
    <s v="NYK-31392302-0126578-1-1"/>
  </r>
  <r>
    <x v="89"/>
    <s v="NYK-31465207-4564045-1"/>
    <x v="88"/>
    <x v="74"/>
    <d v="2025-09-27T00:00:00"/>
    <x v="1"/>
    <s v="CUTAB00000062"/>
    <n v="1"/>
    <n v="1"/>
    <x v="1"/>
    <s v="Delhivery Surface Reverse"/>
    <s v="SF1686995778NYK"/>
    <s v="28449539483253"/>
    <s v="RETURN Accepted"/>
    <s v="Reverse PickUP Delivered"/>
    <s v="Top is loose and pant is tight "/>
    <s v="RET_10996585-7539097"/>
    <s v="NYK-31465207-4564045-1-1"/>
  </r>
  <r>
    <x v="90"/>
    <s v="NYK-29199706-5051545-1"/>
    <x v="89"/>
    <x v="75"/>
    <d v="2025-07-08T00:00:00"/>
    <x v="1"/>
    <s v="CUTAB00000214"/>
    <n v="1"/>
    <n v="1"/>
    <x v="1"/>
    <s v="Delhivery Surface Reverse"/>
    <s v="SF1686905280NYK"/>
    <s v="28449512752342"/>
    <s v="RETURN Accepted"/>
    <s v="Reverse PickUP Delivered"/>
    <s v="Product didn't fit- Too Small"/>
    <s v="RET_10124915-1382878"/>
    <s v="NYK-29199706-5051545-1-1"/>
  </r>
  <r>
    <x v="91"/>
    <s v="NYK-29205510-2716426-1"/>
    <x v="90"/>
    <x v="76"/>
    <d v="2025-07-08T00:00:00"/>
    <x v="1"/>
    <s v="CUTAB00000215"/>
    <n v="1"/>
    <n v="1"/>
    <x v="1"/>
    <s v="Delhivery Surface Reverse"/>
    <s v="SF1686905174NYK"/>
    <s v="28449512752316"/>
    <s v="RETURN Accepted"/>
    <s v="Reverse PickUP Delivered"/>
    <s v="Product didn't fit- Too Large"/>
    <s v="RET_10124910-1343658"/>
    <s v="NYK-29205510-2716426-1-1"/>
  </r>
  <r>
    <x v="92"/>
    <s v="NYK-28439019-3759037-2-1"/>
    <x v="91"/>
    <x v="77"/>
    <d v="2025-06-12T00:00:00"/>
    <x v="0"/>
    <s v="CUTAB00000216"/>
    <n v="1"/>
    <n v="1"/>
    <x v="0"/>
    <s v="DelhiverySurface"/>
    <s v="28449500335576"/>
    <s v=""/>
    <s v=""/>
    <s v="Reverse PickUP Delivered"/>
    <s v=""/>
    <s v=""/>
    <s v="NYK-28439019-3759037-2-1"/>
  </r>
  <r>
    <x v="93"/>
    <s v="NYK-29081786-7395200-1-1"/>
    <x v="92"/>
    <x v="78"/>
    <d v="2025-07-30T00:00:00"/>
    <x v="0"/>
    <s v="CUTAB00000217"/>
    <n v="1"/>
    <n v="1"/>
    <x v="0"/>
    <s v="Shadowfax"/>
    <s v="SF1686811696NYK"/>
    <s v=""/>
    <s v=""/>
    <s v="Reverse PickUP Delivered"/>
    <s v=""/>
    <s v=""/>
    <s v="NYK-29081786-7395200-1-1"/>
  </r>
  <r>
    <x v="94"/>
    <s v="NYK-29878029-4401305-2"/>
    <x v="93"/>
    <x v="78"/>
    <d v="2025-08-08T00:00:00"/>
    <x v="1"/>
    <s v="CUTAB00000217"/>
    <n v="1"/>
    <n v="1"/>
    <x v="1"/>
    <s v="Delhivery Surface Reverse"/>
    <s v="28449508814540"/>
    <s v="28449515557824"/>
    <s v="RETURN Accepted"/>
    <s v="Reverse PickUP Delivered"/>
    <s v="Product didn't fit- Too Large"/>
    <s v="RET_10393853-4874388"/>
    <s v="NYK-29878029-4401305-2-1"/>
  </r>
  <r>
    <x v="95"/>
    <s v="NYK-30309590-0250926-1-1"/>
    <x v="94"/>
    <x v="78"/>
    <d v="2025-08-21T00:00:00"/>
    <x v="0"/>
    <s v="CUTAB00000217"/>
    <n v="1"/>
    <n v="1"/>
    <x v="0"/>
    <s v="DelhiverySurface"/>
    <s v="28449504359736"/>
    <s v=""/>
    <s v=""/>
    <s v="Reverse PickUP Delivered"/>
    <s v=""/>
    <s v=""/>
    <s v="NYK-30309590-0250926-1-1"/>
  </r>
  <r>
    <x v="96"/>
    <s v="NYK-28195538-3606547-1"/>
    <x v="95"/>
    <x v="79"/>
    <d v="2025-06-11T00:00:00"/>
    <x v="1"/>
    <s v="CUTAB00000218"/>
    <n v="1"/>
    <n v="1"/>
    <x v="1"/>
    <s v="Shadowfax Reverse"/>
    <s v="28449487484464"/>
    <s v="R1256710976NYK"/>
    <s v="Item Return To Seller Delivered at BOM_LowerParel"/>
    <s v="Reverse PickUP Delivered"/>
    <s v="The product is very delayed and size small?"/>
    <s v="RET_9825244-2011634"/>
    <s v="NYK-28195538-3606547-1-1"/>
  </r>
  <r>
    <x v="97"/>
    <s v="NYK-29990375-1009727-7-1"/>
    <x v="96"/>
    <x v="79"/>
    <d v="2025-08-04T00:00:00"/>
    <x v="0"/>
    <s v="CUTAB00000218"/>
    <n v="1"/>
    <n v="1"/>
    <x v="0"/>
    <s v="DelhiverySurface"/>
    <s v="28449510386736"/>
    <s v=""/>
    <s v=""/>
    <s v="Reverse PickUP Delivered"/>
    <s v=""/>
    <s v=""/>
    <s v="NYK-29990375-1009727-7-1"/>
  </r>
  <r>
    <x v="98"/>
    <s v="NYK-30846703-6725989-1"/>
    <x v="97"/>
    <x v="80"/>
    <d v="2025-09-03T00:00:00"/>
    <x v="1"/>
    <s v="CUTAB00000220"/>
    <n v="1"/>
    <n v="1"/>
    <x v="2"/>
    <s v="Delhivery Surface Reverse"/>
    <s v="28449514330842"/>
    <s v="28449536809135"/>
    <s v="RETURN Accepted"/>
    <s v="Reverse PickUP Delivered"/>
    <s v="Didn't like the quality of product"/>
    <s v="RET_10744557-0768349"/>
    <s v="NYK-30846703-6725989-1-1"/>
  </r>
  <r>
    <x v="99"/>
    <s v="NYK-28583394-0678681-1"/>
    <x v="98"/>
    <x v="81"/>
    <d v="2025-06-17T00:00:00"/>
    <x v="1"/>
    <s v="CUTAB00000221"/>
    <n v="1"/>
    <n v="1"/>
    <x v="1"/>
    <s v="Delhivery Surface Reverse"/>
    <s v="28449499846070"/>
    <s v="28449511716412"/>
    <s v="RETURN Accepted"/>
    <s v="Reverse PickUP Delivered"/>
    <s v="Too small but tomorrow our Eid than i return"/>
    <s v="RET_9905341-1945363"/>
    <s v="NYK-28583394-0678681-1-1"/>
  </r>
  <r>
    <x v="100"/>
    <s v="NYK-29970171-7482923-1-1"/>
    <x v="99"/>
    <x v="82"/>
    <d v="2025-08-08T00:00:00"/>
    <x v="0"/>
    <s v="CUTAB00000222"/>
    <n v="1"/>
    <n v="1"/>
    <x v="0"/>
    <s v="DelhiverySurface"/>
    <s v="28449509672983"/>
    <s v=""/>
    <s v=""/>
    <s v="Reverse PickUP Delivered"/>
    <s v=""/>
    <s v=""/>
    <s v="NYK-29970171-7482923-1-1"/>
  </r>
  <r>
    <x v="101"/>
    <s v="NYK-28727219-1546733-2"/>
    <x v="100"/>
    <x v="83"/>
    <d v="2025-06-13T00:00:00"/>
    <x v="1"/>
    <s v="CUTAB00000225"/>
    <n v="1"/>
    <n v="1"/>
    <x v="1"/>
    <s v="Delhivery Surface Reverse"/>
    <s v="237943138767844"/>
    <s v="28449511806756"/>
    <s v="RETURN Accepted"/>
    <s v="Reverse PickUP Delivered"/>
    <s v="Product didn't fit- Too Small"/>
    <s v="RET_9926894-0148292"/>
    <s v="NYK-28727219-1546733-2-1"/>
  </r>
  <r>
    <x v="102"/>
    <s v="NYK-29566921-9388788-1"/>
    <x v="86"/>
    <x v="83"/>
    <d v="2025-07-30T00:00:00"/>
    <x v="1"/>
    <s v="CUTAB00000225"/>
    <n v="1"/>
    <n v="1"/>
    <x v="1"/>
    <s v="Shadowfax Reverse"/>
    <s v="28449508981556"/>
    <s v="R1332918596NYK"/>
    <s v="Item Return To Seller Delivered at BOM_ReayRoad_FM"/>
    <s v="Reverse PickUP Delivered"/>
    <s v="Product didn't fit- Too Large"/>
    <s v="RET_10290529-5217169"/>
    <s v="NYK-29566921-9388788-1-1"/>
  </r>
  <r>
    <x v="103"/>
    <s v="NYK-27530990-4813069-4"/>
    <x v="101"/>
    <x v="84"/>
    <d v="2025-04-29T00:00:00"/>
    <x v="1"/>
    <s v="CUTAB00000229"/>
    <n v="1"/>
    <n v="1"/>
    <x v="1"/>
    <s v="Shadowfax Reverse"/>
    <s v="88276054823"/>
    <s v="R1207452145NYK"/>
    <s v="Item Return To Seller Delivered at BOM_LowerParel"/>
    <s v="Reverse PickUP Delivered"/>
    <s v="Product didn't fit- Too Large"/>
    <s v="RET_9448636-9639314"/>
    <s v="NYK-27530990-4813069-4-1"/>
  </r>
  <r>
    <x v="104"/>
    <s v="NYK-29241413-0956337-5"/>
    <x v="102"/>
    <x v="85"/>
    <d v="2025-07-17T00:00:00"/>
    <x v="1"/>
    <s v="CUTAB00000230"/>
    <n v="1"/>
    <n v="1"/>
    <x v="1"/>
    <s v="Shadowfax Reverse"/>
    <s v="SF1686909554NYK"/>
    <s v="R1318697254NYK"/>
    <s v="Item Return To Seller Delivered at BOM_ReayRoad_FM"/>
    <s v="Reverse PickUP Delivered"/>
    <s v="Product didn't fit- Too Large"/>
    <s v="RET_10198701-1938310"/>
    <s v="NYK-29241413-0956337-5-1"/>
  </r>
  <r>
    <x v="105"/>
    <s v="NYK-30225045-8436687-2"/>
    <x v="103"/>
    <x v="86"/>
    <d v="2025-08-07T00:00:00"/>
    <x v="1"/>
    <s v="CUTAB00000239"/>
    <n v="1"/>
    <n v="1"/>
    <x v="2"/>
    <s v="Delhivery Surface Reverse"/>
    <s v="59360044936"/>
    <s v="28449515958412"/>
    <s v="RETURN Accepted"/>
    <s v="Reverse PickUP Delivered"/>
    <s v="Didn't like the quality of product"/>
    <s v="RET_10471935-7792637"/>
    <s v="NYK-30225045-8436687-2-1"/>
  </r>
  <r>
    <x v="106"/>
    <s v="NYK-28060918-7196372-1"/>
    <x v="104"/>
    <x v="87"/>
    <d v="2025-05-29T00:00:00"/>
    <x v="1"/>
    <s v="CUTAB00000242"/>
    <n v="1"/>
    <n v="1"/>
    <x v="1"/>
    <s v="Shadowfax Reverse"/>
    <s v="SF1603429912NYK"/>
    <s v="R1241824349NYK"/>
    <s v="Item Return To Seller Delivered at BOM_LowerParel"/>
    <s v="Reverse PickUP Delivered"/>
    <s v="Product didn't fit- Too Small"/>
    <s v="RET_9697621-9779910"/>
    <s v="NYK-28060918-7196372-1-1"/>
  </r>
  <r>
    <x v="107"/>
    <s v="NYK-28057648-8612436-1"/>
    <x v="80"/>
    <x v="88"/>
    <d v="2025-05-23T00:00:00"/>
    <x v="1"/>
    <s v="CUTAB00000243"/>
    <n v="1"/>
    <n v="1"/>
    <x v="1"/>
    <s v="Delhivery Surface Reverse"/>
    <s v="88277342996"/>
    <s v="28449499522983"/>
    <s v="RETURN Accepted"/>
    <s v="Reverse PickUP Delivered"/>
    <s v="Product didn't fit- Too Large"/>
    <s v="RET_9665017-1510716"/>
    <s v="NYK-28057648-8612436-1-1"/>
  </r>
  <r>
    <x v="108"/>
    <s v="NYK-32103741-8046267-10"/>
    <x v="105"/>
    <x v="88"/>
    <d v="2025-10-18T00:00:00"/>
    <x v="1"/>
    <s v="CUTAB00000243"/>
    <n v="1"/>
    <n v="1"/>
    <x v="1"/>
    <s v="Delhivery Surface Reverse"/>
    <s v="28449520084735"/>
    <s v="28449540444191"/>
    <s v="RETURN Accepted"/>
    <s v="Reverse PickUP Delivered"/>
    <s v="Product didn't fit"/>
    <s v="RET_11197662-8217860"/>
    <s v="NYK-32103741-8046267-10-1"/>
  </r>
  <r>
    <x v="109"/>
    <s v="NYK-27530990-4813069-4"/>
    <x v="101"/>
    <x v="89"/>
    <d v="2025-05-06T00:00:00"/>
    <x v="1"/>
    <s v="CUTAB00000253"/>
    <n v="1"/>
    <n v="1"/>
    <x v="1"/>
    <s v="Shadowfax Reverse"/>
    <s v="88276054823"/>
    <s v="R1212859765NYK"/>
    <s v="Item Return To Seller Delivered at BOM_LowerParel"/>
    <s v="Reverse PickUP Delivered"/>
    <s v="Product didn't fit- Too Large"/>
    <s v="RET_9492889-6003858"/>
    <s v="NYK-27530990-4813069-4-1"/>
  </r>
  <r>
    <x v="110"/>
    <s v="NYK-31051124-7636285-1-1"/>
    <x v="106"/>
    <x v="89"/>
    <d v="2025-09-02T00:00:00"/>
    <x v="0"/>
    <s v="CUTAB00000253"/>
    <n v="1"/>
    <n v="1"/>
    <x v="0"/>
    <s v="Shadowfax"/>
    <s v="SF1835756749NYK"/>
    <s v=""/>
    <s v=""/>
    <s v="Confirmed"/>
    <s v=""/>
    <s v=""/>
    <s v="NYK-31051124-7636285-1-1"/>
  </r>
  <r>
    <x v="111"/>
    <s v="NYK-27738494-4328639-2"/>
    <x v="107"/>
    <x v="90"/>
    <d v="2025-05-23T00:00:00"/>
    <x v="1"/>
    <s v="CUTAB00000256"/>
    <n v="1"/>
    <n v="1"/>
    <x v="1"/>
    <s v="Delhivery Surface Reverse"/>
    <s v="28449485323063"/>
    <s v="28449499181324"/>
    <s v="RETURN Accepted"/>
    <s v="Reverse PickUP Delivered"/>
    <s v="Product didn't fit- Too Large"/>
    <s v="RET_9581274-2700593"/>
    <s v="NYK-27738494-4328639-2-1"/>
  </r>
  <r>
    <x v="112"/>
    <s v="NYK-27530990-4813069-4"/>
    <x v="101"/>
    <x v="91"/>
    <d v="2025-05-06T00:00:00"/>
    <x v="1"/>
    <s v="CUTAB00000261"/>
    <n v="1"/>
    <n v="1"/>
    <x v="1"/>
    <s v="Shadowfax Reverse"/>
    <s v="88276054823"/>
    <s v="R1213234005NYK"/>
    <s v="Item Return To Seller Delivered at BOM_LowerParel"/>
    <s v="Reverse PickUP Delivered"/>
    <s v="Product didn't fit- Too Large"/>
    <s v="RET_9495308-7763749"/>
    <s v="NYK-27530990-4813069-4-1"/>
  </r>
  <r>
    <x v="113"/>
    <s v="NYK-27598860-5330878-1-1"/>
    <x v="108"/>
    <x v="92"/>
    <d v="2025-05-23T00:00:00"/>
    <x v="0"/>
    <s v="CUTAB00000266"/>
    <n v="1"/>
    <n v="1"/>
    <x v="0"/>
    <s v="DelhiverySurface"/>
    <s v="28449459911571"/>
    <s v=""/>
    <s v=""/>
    <s v="Reverse PickUP Delivered"/>
    <s v=""/>
    <s v=""/>
    <s v="NYK-27598860-5330878-1-1"/>
  </r>
  <r>
    <x v="114"/>
    <s v="NYK-28570476-5787105-1-1"/>
    <x v="109"/>
    <x v="92"/>
    <d v="2025-06-13T00:00:00"/>
    <x v="0"/>
    <s v="CUTAB00000266"/>
    <n v="1"/>
    <n v="1"/>
    <x v="0"/>
    <s v="DelhiverySurface"/>
    <s v="28449499841170"/>
    <s v=""/>
    <s v=""/>
    <s v="Reverse PickUP Delivered"/>
    <s v=""/>
    <s v=""/>
    <s v="NYK-28570476-5787105-1-1"/>
  </r>
  <r>
    <x v="115"/>
    <s v="NYK-29615644-9303366-2"/>
    <x v="81"/>
    <x v="92"/>
    <d v="2025-07-25T00:00:00"/>
    <x v="1"/>
    <s v="CUTAB00000266"/>
    <n v="1"/>
    <n v="1"/>
    <x v="1"/>
    <s v="Delhivery Surface Reverse"/>
    <s v="237943147090306"/>
    <s v="28449513431106"/>
    <s v="RETURN Accepted"/>
    <s v="Reverse PickUP Delivered"/>
    <s v="To big "/>
    <s v="RET_10277180-0549013"/>
    <s v="NYK-29615644-9303366-2-1"/>
  </r>
  <r>
    <x v="116"/>
    <s v="NYK-28598622-1568879-1"/>
    <x v="110"/>
    <x v="93"/>
    <d v="2025-06-16T00:00:00"/>
    <x v="1"/>
    <s v="CUTAB00000267"/>
    <n v="1"/>
    <n v="1"/>
    <x v="1"/>
    <s v="Shadowfax Reverse"/>
    <s v="28449500258215"/>
    <s v="R1266785096NYK"/>
    <s v="Item Return To Seller Delivered at BOM_LowerParel"/>
    <s v="Reverse PickUP Delivered"/>
    <s v="Size is different "/>
    <s v="RET_9874725-7105961"/>
    <s v="NYK-28598622-1568879-1-1"/>
  </r>
  <r>
    <x v="117"/>
    <s v="NYK-28796921-7706815-1"/>
    <x v="111"/>
    <x v="93"/>
    <d v="2025-06-18T00:00:00"/>
    <x v="1"/>
    <s v="CUTAB00000267"/>
    <n v="1"/>
    <n v="1"/>
    <x v="1"/>
    <s v="Delhivery Surface Reverse"/>
    <s v="28449501062585"/>
    <s v="28449511961950"/>
    <s v="RETURN Accepted"/>
    <s v="Reverse PickUP Delivered"/>
    <s v="Size too large "/>
    <s v="RET_9960153-1952643"/>
    <s v="NYK-28796921-7706815-1-1"/>
  </r>
  <r>
    <x v="118"/>
    <s v="NYK-28828501-6396898-1-1"/>
    <x v="112"/>
    <x v="94"/>
    <d v="2025-06-20T00:00:00"/>
    <x v="0"/>
    <s v="CUTAB00000268"/>
    <n v="1"/>
    <n v="1"/>
    <x v="0"/>
    <s v="Shadowfax"/>
    <s v="SF1686792107NYK"/>
    <s v=""/>
    <s v=""/>
    <s v="Reverse PickUP Delivered"/>
    <s v=""/>
    <s v=""/>
    <s v="NYK-28828501-6396898-1-1"/>
  </r>
  <r>
    <x v="119"/>
    <s v="NYK-28588849-4582270-1"/>
    <x v="113"/>
    <x v="95"/>
    <d v="2025-06-10T00:00:00"/>
    <x v="1"/>
    <s v="CUTAB00000300"/>
    <n v="1"/>
    <n v="1"/>
    <x v="1"/>
    <s v="Shadowfax Reverse"/>
    <s v="88278051960"/>
    <s v="R1259766886NYK"/>
    <s v="Item Return To Seller Delivered at BOM_LowerParel"/>
    <s v="Reverse PickUP Delivered"/>
    <s v="Label says 12-13 years but it's way too big, sizing S size for adults."/>
    <s v="RET_9865089-2058038"/>
    <s v="NYK-28588849-4582270-1-1"/>
  </r>
  <r>
    <x v="120"/>
    <s v="NYK-29318745-2983139-1-1"/>
    <x v="114"/>
    <x v="95"/>
    <d v="2025-07-09T00:00:00"/>
    <x v="0"/>
    <s v="CUTAB00000300"/>
    <n v="1"/>
    <n v="1"/>
    <x v="0"/>
    <s v="Shadowfax"/>
    <s v="SF1686829682NYK"/>
    <s v=""/>
    <s v=""/>
    <s v="Reverse PickUP Delivered"/>
    <s v=""/>
    <s v=""/>
    <s v="NYK-29318745-2983139-1-1"/>
  </r>
  <r>
    <x v="42"/>
    <s v="NYK-29085889-0063662-1-1"/>
    <x v="42"/>
    <x v="96"/>
    <d v="2025-07-05T00:00:00"/>
    <x v="0"/>
    <s v="CUTAB00000305"/>
    <n v="1"/>
    <n v="1"/>
    <x v="0"/>
    <s v="BLUEDART"/>
    <s v="88279349432"/>
    <s v=""/>
    <s v=""/>
    <s v="Reverse PickUP Delivered"/>
    <s v=""/>
    <s v=""/>
    <s v="NYK-29085889-0063662-1-1"/>
  </r>
  <r>
    <x v="121"/>
    <s v="NYK-28295721-1992252-2"/>
    <x v="115"/>
    <x v="97"/>
    <d v="2025-07-19T00:00:00"/>
    <x v="1"/>
    <s v="CUTAB00000308"/>
    <n v="1"/>
    <n v="1"/>
    <x v="1"/>
    <s v="Delhivery Surface Reverse"/>
    <s v="28449487677756"/>
    <s v="28449505143714"/>
    <s v="RETURN Accepted"/>
    <s v="Reverse PickUP Delivered"/>
    <s v="Product didn't fit- Too Large"/>
    <s v="RET_9785094-2606293"/>
    <s v="NYK-28295721-1992252-2-1"/>
  </r>
  <r>
    <x v="122"/>
    <s v="NYK-28558465-0159790-1-1"/>
    <x v="116"/>
    <x v="98"/>
    <d v="2025-06-18T00:00:00"/>
    <x v="0"/>
    <s v="CUTAB00000311"/>
    <n v="1"/>
    <n v="1"/>
    <x v="0"/>
    <s v="DelhiverySurface"/>
    <s v="28449499840982"/>
    <s v=""/>
    <s v=""/>
    <s v="Reverse PickUP Delivered"/>
    <s v=""/>
    <s v=""/>
    <s v="NYK-28558465-0159790-1-1"/>
  </r>
  <r>
    <x v="123"/>
    <s v="NYK-28505950-9465306-5"/>
    <x v="61"/>
    <x v="99"/>
    <d v="2025-06-16T00:00:00"/>
    <x v="1"/>
    <s v="CUTAB00000318"/>
    <n v="1"/>
    <n v="1"/>
    <x v="1"/>
    <s v="Shadowfax Reverse"/>
    <s v="28449500088093"/>
    <s v="R1271748034NYK"/>
    <s v="Item Return To Seller Delivered at BOM_LowerParel"/>
    <s v="Reverse PickUP Delivered"/>
    <s v="Product didn't fit- Too Large"/>
    <s v="RET_9907340-3430458"/>
    <s v="NYK-28505950-9465306-5-1"/>
  </r>
  <r>
    <x v="124"/>
    <s v="NYK-31630972-6435094-1"/>
    <x v="117"/>
    <x v="100"/>
    <d v="2025-10-06T00:00:00"/>
    <x v="1"/>
    <s v="CUTAB00000323"/>
    <n v="1"/>
    <n v="1"/>
    <x v="1"/>
    <s v="Shadowfax Reverse"/>
    <s v="28449537155366"/>
    <s v="R1449336977NYK"/>
    <s v="Item Return To Seller Delivered at BOM_ReayRoad_FM"/>
    <s v="Reverse PickUP Delivered"/>
    <s v="Product didn't fit"/>
    <s v="RET_11017291-6955564"/>
    <s v="NYK-31630972-6435094-1-1"/>
  </r>
  <r>
    <x v="125"/>
    <s v="NYK-30269146-8906812-1-1"/>
    <x v="118"/>
    <x v="101"/>
    <d v="2025-09-04T00:00:00"/>
    <x v="0"/>
    <s v="CUTAB00000324"/>
    <n v="1"/>
    <n v="1"/>
    <x v="0"/>
    <s v="Shadowfax"/>
    <s v="SF1747508854NYK"/>
    <s v=""/>
    <s v=""/>
    <s v="Reverse PickUP Delivered"/>
    <s v=""/>
    <s v=""/>
    <s v="NYK-30269146-8906812-1-1"/>
  </r>
  <r>
    <x v="126"/>
    <s v="NYK-31630972-6435094-1"/>
    <x v="117"/>
    <x v="101"/>
    <d v="2025-10-06T00:00:00"/>
    <x v="1"/>
    <s v="CUTAB00000324"/>
    <n v="1"/>
    <n v="1"/>
    <x v="1"/>
    <s v="Shadowfax Reverse"/>
    <s v="28449537155366"/>
    <s v="R1435755019NYK"/>
    <s v="Item Return To Seller Delivered at BOM_ReayRoad_FM"/>
    <s v="Reverse PickUP Delivered"/>
    <s v="Product didn't fit"/>
    <s v="RET_11017285-6899664"/>
    <s v="NYK-31630972-6435094-1-1"/>
  </r>
  <r>
    <x v="127"/>
    <s v="NYK-32065093-5820157-2"/>
    <x v="119"/>
    <x v="102"/>
    <d v="2025-10-24T00:00:00"/>
    <x v="1"/>
    <s v="CUTAB00000285"/>
    <n v="1"/>
    <n v="1"/>
    <x v="2"/>
    <s v="Shadowfax Reverse"/>
    <s v="237943172999071"/>
    <s v="R1513779371NYK"/>
    <s v="Item Return To Seller Delivered at BOM_ReayRoad_FM"/>
    <s v="Reverse PickUP Delivered"/>
    <s v="Didn’t like the quality of product"/>
    <s v="RET_11229665-1132384"/>
    <s v="NYK-32065093-5820157-2-1"/>
  </r>
  <r>
    <x v="128"/>
    <s v="NYK-30310527-2167437-2"/>
    <x v="120"/>
    <x v="103"/>
    <d v="2025-08-16T00:00:00"/>
    <x v="1"/>
    <s v="CUTAB00000288"/>
    <n v="1"/>
    <n v="1"/>
    <x v="1"/>
    <s v="Delhivery Surface Reverse"/>
    <s v="SF1747512457NYK"/>
    <s v="28449516368284"/>
    <s v="RETURN Accepted"/>
    <s v="Reverse PickUP Delivered"/>
    <s v="Product didn't fit- Too Large"/>
    <s v="RET_10555121-6625951"/>
    <s v="NYK-30310527-2167437-2-1"/>
  </r>
  <r>
    <x v="129"/>
    <s v="NYK-30074641-5268553-1-1"/>
    <x v="121"/>
    <x v="104"/>
    <d v="2025-08-11T00:00:00"/>
    <x v="0"/>
    <s v="CUTAB00000290"/>
    <n v="1"/>
    <n v="1"/>
    <x v="0"/>
    <s v="DelhiverySurface"/>
    <s v="28449509925370"/>
    <s v=""/>
    <s v=""/>
    <s v="Reverse PickUP Delivered"/>
    <s v=""/>
    <s v=""/>
    <s v="NYK-30074641-5268553-1-1"/>
  </r>
  <r>
    <x v="130"/>
    <s v="NYK-29782528-4192083-1"/>
    <x v="122"/>
    <x v="105"/>
    <d v="2025-08-29T00:00:00"/>
    <x v="1"/>
    <s v="CUTAB00000291"/>
    <n v="1"/>
    <n v="1"/>
    <x v="1"/>
    <s v="Delhivery Surface Reverse"/>
    <s v="237943148201081"/>
    <s v="28449516057156"/>
    <s v="RETURN Accepted"/>
    <s v="Reverse PickUP Delivered"/>
    <s v="Product didn't fit- Too Large"/>
    <s v="RET_10496084-6869072"/>
    <s v="NYK-29782528-4192083-1-1"/>
  </r>
  <r>
    <x v="120"/>
    <s v="NYK-29318745-2983139-1-1"/>
    <x v="114"/>
    <x v="106"/>
    <d v="2025-07-09T00:00:00"/>
    <x v="0"/>
    <s v="CUTAB00000292"/>
    <n v="1"/>
    <n v="1"/>
    <x v="0"/>
    <s v="Shadowfax"/>
    <s v="SF1686829682NYK"/>
    <s v=""/>
    <s v=""/>
    <s v="Reverse PickUP Delivered"/>
    <s v=""/>
    <s v=""/>
    <s v="NYK-29318745-2983139-1-1"/>
  </r>
  <r>
    <x v="131"/>
    <s v="NYK-29681548-7453397-1"/>
    <x v="123"/>
    <x v="106"/>
    <d v="2025-07-30T00:00:00"/>
    <x v="1"/>
    <s v="CUTAB00000292"/>
    <n v="1"/>
    <n v="1"/>
    <x v="1"/>
    <s v="Delhivery Surface Reverse"/>
    <s v="SF1687093707NYK"/>
    <s v="28449515333743"/>
    <s v="RETURN Accepted"/>
    <s v="Reverse PickUP Delivered"/>
    <s v="CourierPartner missing for PinCode 400102, unable to Manifest."/>
    <s v="RET_10279542-4191923"/>
    <s v="NYK-29681548-7453397-1-1"/>
  </r>
  <r>
    <x v="132"/>
    <s v="NYK-31474025-8096330-1"/>
    <x v="124"/>
    <x v="106"/>
    <d v="2025-09-27T00:00:00"/>
    <x v="1"/>
    <s v="CUTAB00000292"/>
    <n v="1"/>
    <n v="1"/>
    <x v="1"/>
    <s v="Delhivery Surface Reverse"/>
    <s v="28449518140791"/>
    <s v="28449539462872"/>
    <s v="RETURN Accepted"/>
    <s v="Reverse PickUP Delivered"/>
    <s v="Product didn't fit"/>
    <s v="RET_10988617-2160615"/>
    <s v="NYK-31474025-8096330-1-1"/>
  </r>
  <r>
    <x v="133"/>
    <s v="NYK-32044543-1362242-3-1"/>
    <x v="125"/>
    <x v="107"/>
    <d v="2025-10-16T00:00:00"/>
    <x v="0"/>
    <s v="CUTAB00000280"/>
    <n v="1"/>
    <n v="1"/>
    <x v="0"/>
    <s v="DelhiverySurface"/>
    <s v="28449521600040"/>
    <s v=""/>
    <s v=""/>
    <s v="Reverse PickUP Delivered"/>
    <s v=""/>
    <s v=""/>
    <s v="NYK-32044543-1362242-3-1"/>
  </r>
  <r>
    <x v="134"/>
    <s v="NYK-27842748-9220564-1"/>
    <x v="126"/>
    <x v="108"/>
    <d v="2025-05-31T00:00:00"/>
    <x v="1"/>
    <s v="CUTAB00000269"/>
    <n v="1"/>
    <n v="1"/>
    <x v="1"/>
    <s v="Shadowfax Reverse"/>
    <s v="28449485552114"/>
    <s v="R1239086997NYK"/>
    <s v="Item Return To Seller Delivered at BOM_LowerParel"/>
    <s v="Reverse PickUP Delivered"/>
    <s v="Fitting issue "/>
    <s v="RET_9679879-0928493"/>
    <s v="NYK-27842748-9220564-1-1"/>
  </r>
  <r>
    <x v="135"/>
    <s v="NYK-30674454-4025272-1-1"/>
    <x v="127"/>
    <x v="109"/>
    <d v="2025-09-04T00:00:00"/>
    <x v="0"/>
    <s v="CUTAB00000272"/>
    <n v="1"/>
    <n v="1"/>
    <x v="0"/>
    <s v="BLUEDART"/>
    <s v="88317313302"/>
    <s v=""/>
    <s v=""/>
    <s v="Reverse PickUP Delivered"/>
    <s v=""/>
    <s v=""/>
    <s v="NYK-30674454-4025272-1-1"/>
  </r>
  <r>
    <x v="136"/>
    <s v="NYK-30675093-5369351-1"/>
    <x v="128"/>
    <x v="110"/>
    <d v="2025-09-04T00:00:00"/>
    <x v="1"/>
    <s v="CUTAB00000275"/>
    <n v="1"/>
    <n v="1"/>
    <x v="1"/>
    <s v="Shadowfax Reverse"/>
    <s v="237943150123476"/>
    <s v="R1379512507NYK"/>
    <s v="Item Return To Seller Delivered at BOM_ReayRoad_FM"/>
    <s v="Reverse PickUP Delivered"/>
    <s v="Product didn't fit- Too Large"/>
    <s v="RET_10654892-2816032"/>
    <s v="NYK-30675093-5369351-1-1"/>
  </r>
  <r>
    <x v="137"/>
    <s v="NYK-30632478-3835993-2"/>
    <x v="129"/>
    <x v="111"/>
    <d v="2025-08-26T00:00:00"/>
    <x v="1"/>
    <s v="CUTAB00000337"/>
    <n v="1"/>
    <n v="1"/>
    <x v="1"/>
    <s v="Delhivery Surface Reverse"/>
    <s v="28449511150204"/>
    <s v="28449522881681"/>
    <s v="RETURN Accepted"/>
    <s v="Reverse PickUP Delivered"/>
    <s v="Product didn't fit- Too Large"/>
    <s v="RET_10659054-6495203"/>
    <s v="NYK-30632478-3835993-2-1"/>
  </r>
  <r>
    <x v="138"/>
    <s v="NYK-27600237-8244931-1"/>
    <x v="130"/>
    <x v="112"/>
    <d v="2025-05-08T00:00:00"/>
    <x v="1"/>
    <s v="CUTAB00000339"/>
    <n v="1"/>
    <n v="1"/>
    <x v="1"/>
    <s v="Delhivery Surface Reverse"/>
    <s v="28449485140923"/>
    <s v="28449498969386"/>
    <s v="RETURN Accepted"/>
    <s v="Reverse PickUP Delivered"/>
    <s v="Gown is very tight and long in lenght. "/>
    <s v="RET_9534347-0978303"/>
    <s v="NYK-27600237-8244931-1-1"/>
  </r>
  <r>
    <x v="139"/>
    <s v="NYK-30744741-1833511-2"/>
    <x v="131"/>
    <x v="113"/>
    <d v="2025-08-28T00:00:00"/>
    <x v="1"/>
    <s v="CUTAB00000325"/>
    <n v="1"/>
    <n v="1"/>
    <x v="2"/>
    <s v="Delhivery Surface Reverse"/>
    <s v="237943147953384"/>
    <s v="28449536513326"/>
    <s v="RETURN Accepted"/>
    <s v="Reverse PickUP Delivered"/>
    <s v="Its not looking fresh "/>
    <s v="RET_10685806-0066902"/>
    <s v="NYK-30744741-1833511-2-1"/>
  </r>
  <r>
    <x v="140"/>
    <s v="NYK-32040988-2970821-5"/>
    <x v="132"/>
    <x v="114"/>
    <d v="2025-10-14T00:00:00"/>
    <x v="1"/>
    <s v="CUTAB00000326"/>
    <n v="1"/>
    <n v="1"/>
    <x v="1"/>
    <s v="Delhivery Surface Reverse"/>
    <s v="237943173003024"/>
    <s v="28449540347064"/>
    <s v="RETURN Accepted"/>
    <s v="Reverse PickUP Delivered"/>
    <s v="Product didn't fit"/>
    <s v="RET_11176534-0622926"/>
    <s v="NYK-32040988-2970821-5-1"/>
  </r>
  <r>
    <x v="141"/>
    <s v="NYK-31865124-9005726-1"/>
    <x v="133"/>
    <x v="115"/>
    <d v="2025-10-15T00:00:00"/>
    <x v="1"/>
    <s v="CUTAB00000328"/>
    <n v="1"/>
    <n v="1"/>
    <x v="1"/>
    <s v="Delhivery Surface Reverse"/>
    <s v="28449519082070"/>
    <s v="28449540203800"/>
    <s v="RETURN Accepted"/>
    <s v="Reverse PickUP Delivered"/>
    <s v="Product didn't fit"/>
    <s v="RET_11142830-3855782"/>
    <s v="NYK-31865124-9005726-1-1"/>
  </r>
  <r>
    <x v="142"/>
    <s v="NYK-30922078-2238833-1"/>
    <x v="134"/>
    <x v="116"/>
    <d v="2025-09-13T00:00:00"/>
    <x v="1"/>
    <s v="CUTAB00000329"/>
    <n v="1"/>
    <n v="1"/>
    <x v="1"/>
    <s v="Shadowfax Reverse"/>
    <s v="237943150418154"/>
    <s v="R1402069497NYK"/>
    <s v="Item Return To Seller Delivered at BOM_ReayRoad_FM"/>
    <s v="Reverse PickUP Delivered"/>
    <s v="Product didn't fit- Too Large"/>
    <s v="RET_10766532-0653574"/>
    <s v="NYK-30922078-2238833-1-1"/>
  </r>
  <r>
    <x v="143"/>
    <s v="NYK-28303973-2872080-1"/>
    <x v="135"/>
    <x v="117"/>
    <d v="2025-06-17T00:00:00"/>
    <x v="1"/>
    <s v="CUTAB00000331"/>
    <n v="1"/>
    <n v="1"/>
    <x v="1"/>
    <s v="Delhivery Surface Reverse"/>
    <s v="SF1603456896NYK"/>
    <s v="28449505158543"/>
    <s v="RETURN Accepted"/>
    <s v="Reverse PickUP Delivered"/>
    <s v="Product didn't fit- Too Large"/>
    <s v="RET_9789195-3530460"/>
    <s v="NYK-28303973-2872080-1-1"/>
  </r>
  <r>
    <x v="144"/>
    <s v="NYK-28961729-2021872-5"/>
    <x v="136"/>
    <x v="118"/>
    <d v="2025-07-03T00:00:00"/>
    <x v="1"/>
    <s v="CUTAB00000332"/>
    <n v="1"/>
    <n v="1"/>
    <x v="2"/>
    <s v="Shadowfax Reverse"/>
    <s v="237943145599995"/>
    <s v="R1292118779NYK"/>
    <s v="Item Return To Seller Delivered at BOM_ReayRoad_FM"/>
    <s v="Reverse PickUP Delivered"/>
    <s v="Need to return "/>
    <s v="RET_10052573-2673478"/>
    <s v="NYK-28961729-2021872-5-1"/>
  </r>
  <r>
    <x v="145"/>
    <s v="NYK-32153170-4319140-1"/>
    <x v="73"/>
    <x v="118"/>
    <d v="2025-10-23T00:00:00"/>
    <x v="1"/>
    <s v="CUTAB00000332"/>
    <n v="1"/>
    <n v="1"/>
    <x v="1"/>
    <s v="Shadowfax Reverse"/>
    <s v="28449521953761"/>
    <s v="R1528795472NYK"/>
    <s v="Item return to seller initiated at OneNCR DC"/>
    <s v="Reverse PickUP Done"/>
    <s v="Not fitted "/>
    <s v="RET_11332685-8813963"/>
    <s v="NYK-32153170-4319140-1-1"/>
  </r>
  <r>
    <x v="146"/>
    <s v="NYK-29615076-8025288-2"/>
    <x v="137"/>
    <x v="119"/>
    <d v="2025-07-24T00:00:00"/>
    <x v="1"/>
    <s v="CUTAB00000188"/>
    <n v="1"/>
    <n v="1"/>
    <x v="1"/>
    <s v="Delhivery Surface Reverse"/>
    <s v="237943147088070"/>
    <s v="28449513431143"/>
    <s v="Scan Bulk Update"/>
    <s v="Reverse PickUP Delivered"/>
    <s v="Too big fr 11 to 12 year of age "/>
    <s v="RET_10277196-0622089"/>
    <s v="NYK-29615076-8025288-2-1"/>
  </r>
  <r>
    <x v="147"/>
    <s v="NYK-30130779-5878714-1"/>
    <x v="138"/>
    <x v="120"/>
    <d v="2025-08-30T00:00:00"/>
    <x v="1"/>
    <s v="CUTAB00000494"/>
    <n v="1"/>
    <n v="1"/>
    <x v="1"/>
    <s v="Shadowfax Reverse"/>
    <s v="88280479711"/>
    <s v="R1355934626NYK"/>
    <s v="Item Return To Seller Delivered at BOM_ReayRoad_FM"/>
    <s v="Reverse PickUP Delivered"/>
    <s v="Product didn't fit- Too Large"/>
    <s v="RET_10484864-3890341"/>
    <s v="NYK-30130779-5878714-1-1"/>
  </r>
  <r>
    <x v="148"/>
    <s v="NYK-32315949-3753080-1"/>
    <x v="139"/>
    <x v="121"/>
    <d v="2025-10-25T00:00:00"/>
    <x v="1"/>
    <s v="CUTAB00000798"/>
    <n v="1"/>
    <n v="1"/>
    <x v="5"/>
    <s v="Shadowfax Reverse"/>
    <s v="28449522282120"/>
    <s v="R1528810404NYK"/>
    <s v="Item return to seller initiated at Lucknow DC"/>
    <s v="Reverse PickUP Done"/>
    <s v="Images are clear"/>
    <s v="RET_11332797-9490028"/>
    <s v="NYK-32315949-3753080-1-1"/>
  </r>
  <r>
    <x v="149"/>
    <s v="NYK-28418800-3336228-2"/>
    <x v="140"/>
    <x v="122"/>
    <d v="2025-06-11T00:00:00"/>
    <x v="1"/>
    <s v="CUTAB00000357"/>
    <n v="1"/>
    <n v="1"/>
    <x v="1"/>
    <s v="Delhivery Surface Reverse"/>
    <s v="59358329542"/>
    <s v="28449506501504"/>
    <s v="RETURN Accepted"/>
    <s v="Reverse PickUP Delivered"/>
    <s v="Product didn't fit- Too Large"/>
    <s v="RET_9859514-1914471"/>
    <s v="NYK-28418800-3336228-2-1"/>
  </r>
  <r>
    <x v="150"/>
    <s v="NYK-28505950-9465306-5"/>
    <x v="61"/>
    <x v="123"/>
    <d v="2025-06-16T00:00:00"/>
    <x v="1"/>
    <s v="CUTAB00000361"/>
    <n v="1"/>
    <n v="1"/>
    <x v="1"/>
    <s v="Shadowfax Reverse"/>
    <s v="28449500088093"/>
    <s v="R1271748553NYK"/>
    <s v="Item Return To Seller Delivered at BOM_LowerParel"/>
    <s v="Reverse PickUP Delivered"/>
    <s v="Product didn't fit- Too Large"/>
    <s v="RET_9907346-3468419"/>
    <s v="NYK-28505950-9465306-5-1"/>
  </r>
  <r>
    <x v="151"/>
    <s v="NYK-31865292-9445829-1"/>
    <x v="141"/>
    <x v="123"/>
    <d v="2025-10-24T00:00:00"/>
    <x v="1"/>
    <s v="CUTAB00000361"/>
    <n v="1"/>
    <n v="1"/>
    <x v="4"/>
    <s v="Shadowfax Reverse"/>
    <s v="28449537802225"/>
    <s v="R1483706172NYK"/>
    <s v="Item Return To Seller Delivered at BOM_ReayRoad_FM"/>
    <s v="Reverse PickUP Delivered"/>
    <s v="Product received very late than expected delivery time."/>
    <s v="RET_11149283-3112858"/>
    <s v="NYK-31865292-9445829-1-1"/>
  </r>
  <r>
    <x v="152"/>
    <s v="NYK-29241040-9972573-1"/>
    <x v="142"/>
    <x v="124"/>
    <d v="2025-07-14T00:00:00"/>
    <x v="1"/>
    <s v="CUTAB00000352"/>
    <n v="1"/>
    <n v="1"/>
    <x v="2"/>
    <s v="Shadowfax Reverse"/>
    <s v="237943146708003"/>
    <s v="R1309104908NYK"/>
    <s v="Item Return To Seller Delivered at BOM_ReayRoad_FM"/>
    <s v="Reverse PickUP Delivered"/>
    <s v="Didn't like the quality of product"/>
    <s v="RET_10157928-9741034"/>
    <s v="NYK-29241040-9972573-1-1"/>
  </r>
  <r>
    <x v="153"/>
    <s v="NYK-28099918-0145512-5"/>
    <x v="143"/>
    <x v="125"/>
    <d v="2025-07-04T00:00:00"/>
    <x v="1"/>
    <s v="CUTAB00000353"/>
    <n v="1"/>
    <n v="1"/>
    <x v="1"/>
    <s v="Shadowfax Reverse"/>
    <s v="SF1603431834NYK"/>
    <s v="R1289737270NYK"/>
    <s v="Item Return To Seller Delivered at BOM_ReayRoad_FM"/>
    <s v="Reverse PickUP Delivered"/>
    <s v="Product didn't fit- Too Small"/>
    <s v="RET_10031139-0558895"/>
    <s v="NYK-28099918-0145512-5-1"/>
  </r>
  <r>
    <x v="154"/>
    <s v="NYK-27925422-0446561-1"/>
    <x v="144"/>
    <x v="126"/>
    <d v="2025-05-23T00:00:00"/>
    <x v="1"/>
    <s v="CUTAB00000355"/>
    <n v="1"/>
    <n v="1"/>
    <x v="1"/>
    <s v="Shadowfax Reverse"/>
    <s v="28449485700455"/>
    <s v="R1237569486NYK"/>
    <s v="Item Return To Seller Delivered at BOM_LowerParel"/>
    <s v="Reverse PickUP Delivered"/>
    <s v="Product didn't fit- Too Large"/>
    <s v="RET_9670032-0420985"/>
    <s v="NYK-27925422-0446561-1-1"/>
  </r>
  <r>
    <x v="155"/>
    <s v="NYK-31996311-5116477-3"/>
    <x v="145"/>
    <x v="127"/>
    <d v="2025-10-15T00:00:00"/>
    <x v="1"/>
    <s v="CUTAB00000907"/>
    <n v="1"/>
    <n v="1"/>
    <x v="2"/>
    <s v="Shadowfax Reverse"/>
    <s v="237943172972176"/>
    <s v="R1466702762NYK"/>
    <s v="Item Return To Seller Delivered at BOM_ReayRoad_FM"/>
    <s v="Reverse PickUP Delivered"/>
    <s v="Didn't like the quality of product"/>
    <s v="RET_11197898-9387434"/>
    <s v="NYK-31996311-5116477-3-1"/>
  </r>
  <r>
    <x v="156"/>
    <s v="NYK-31441538-7193404-4"/>
    <x v="146"/>
    <x v="128"/>
    <d v="2025-09-27T00:00:00"/>
    <x v="1"/>
    <s v="CUTAB00000909"/>
    <n v="1"/>
    <n v="1"/>
    <x v="1"/>
    <s v="Delhivery Surface Reverse"/>
    <s v="SF1686985719NYK"/>
    <s v="28449539533292"/>
    <s v="RETURN Accepted"/>
    <s v="Reverse PickUP Delivered"/>
    <s v="Product didn't fit"/>
    <s v="RET_11006727-1116957"/>
    <s v="NYK-31441538-7193404-4-1"/>
  </r>
  <r>
    <x v="157"/>
    <s v="NYK-31716843-3422799-1"/>
    <x v="147"/>
    <x v="129"/>
    <d v="2025-10-07T00:00:00"/>
    <x v="1"/>
    <s v="CUTAB00000910"/>
    <n v="1"/>
    <n v="1"/>
    <x v="1"/>
    <s v="Delhivery Surface Reverse"/>
    <s v="SF1835806628NYK"/>
    <s v="28449539946012"/>
    <s v="RETURN Accepted"/>
    <s v="Reverse PickUP Delivered"/>
    <s v="Product didn't fit"/>
    <s v="RET_11095348-7866075"/>
    <s v="NYK-31716843-3422799-1-1"/>
  </r>
  <r>
    <x v="158"/>
    <s v="NYK-30339552-4763317-1"/>
    <x v="148"/>
    <x v="130"/>
    <d v="2025-08-20T00:00:00"/>
    <x v="1"/>
    <s v="CUTAB00000613"/>
    <n v="1"/>
    <n v="1"/>
    <x v="4"/>
    <s v="Delhivery Surface Reverse"/>
    <s v="28449504362293"/>
    <s v="28449516375483"/>
    <s v="RETURN Accepted"/>
    <s v="Reverse PickUP Delivered"/>
    <s v="Change of mind - Don't need it anymore"/>
    <s v="RET_10557144-7891258"/>
    <s v="NYK-30339552-4763317-1-1"/>
  </r>
  <r>
    <x v="159"/>
    <s v="NYK-31431282-2567660-1"/>
    <x v="149"/>
    <x v="131"/>
    <d v="2025-10-03T00:00:00"/>
    <x v="1"/>
    <s v="CUTAB00000616"/>
    <n v="1"/>
    <n v="1"/>
    <x v="1"/>
    <s v="Shadowfax Reverse"/>
    <s v="28449517993205"/>
    <s v="R1425551038NYK"/>
    <s v="Item Return To Seller Delivered at BOM_ReayRoad_FM"/>
    <s v="Reverse PickUP Delivered"/>
    <s v="Too long pant"/>
    <s v="RET_10969995-2401525"/>
    <s v="NYK-31431282-2567660-1-1"/>
  </r>
  <r>
    <x v="160"/>
    <s v="NYK-32160803-9807227-3"/>
    <x v="150"/>
    <x v="131"/>
    <d v="2025-10-24T00:00:00"/>
    <x v="1"/>
    <s v="CUTAB00000616"/>
    <n v="1"/>
    <n v="1"/>
    <x v="1"/>
    <s v="Shadowfax Reverse"/>
    <s v="28449520195733"/>
    <s v="R1501558503NYK"/>
    <s v="Item Return To Seller Delivered at BOM_ReayRoad_FM"/>
    <s v="Reverse PickUP Delivered"/>
    <s v="Product didn't fit"/>
    <s v="RET_11199358-5477646"/>
    <s v="NYK-32160803-9807227-3-1"/>
  </r>
  <r>
    <x v="161"/>
    <s v="NYK-31465612-7402138-1"/>
    <x v="151"/>
    <x v="132"/>
    <d v="2025-09-29T00:00:00"/>
    <x v="1"/>
    <s v="CUTAB00000618"/>
    <n v="1"/>
    <n v="1"/>
    <x v="1"/>
    <s v="Shadowfax Reverse"/>
    <s v="SF1686995413NYK"/>
    <s v="R1411531786NYK"/>
    <s v="Item Return To Seller Delivered at BOM_ReayRoad_FM"/>
    <s v="Reverse PickUP Delivered"/>
    <s v="Larger size and fitting not good"/>
    <s v="RET_10985932-1257041"/>
    <s v="NYK-31465612-7402138-1-1"/>
  </r>
  <r>
    <x v="162"/>
    <s v="NYK-31926074-0353317-1"/>
    <x v="152"/>
    <x v="132"/>
    <d v="2025-10-13T00:00:00"/>
    <x v="1"/>
    <s v="CUTAB00000618"/>
    <n v="1"/>
    <n v="1"/>
    <x v="1"/>
    <s v="Delhivery Surface Reverse"/>
    <s v="SF1835865670NYK"/>
    <s v="28449540198782"/>
    <s v="RETURN Accepted"/>
    <s v="Reverse PickUP Delivered"/>
    <s v="Product didn't fit"/>
    <s v="RET_11142386-0832105"/>
    <s v="NYK-31926074-0353317-1-1"/>
  </r>
  <r>
    <x v="163"/>
    <s v="NYK-30949412-2933297-1"/>
    <x v="153"/>
    <x v="133"/>
    <d v="2025-09-03T00:00:00"/>
    <x v="1"/>
    <s v="CUTAB00000619"/>
    <n v="1"/>
    <n v="1"/>
    <x v="1"/>
    <s v="Delhivery Surface Reverse"/>
    <s v="88281251030"/>
    <s v="28449536799151"/>
    <s v="RETURN Accepted"/>
    <s v="Reverse PickUP Delivered"/>
    <s v="Product didn't fit- Too Large"/>
    <s v="RET_10739846-5336812"/>
    <s v="NYK-30949412-2933297-1-1"/>
  </r>
  <r>
    <x v="164"/>
    <s v="NYK-30918855-5337076-1"/>
    <x v="154"/>
    <x v="134"/>
    <d v="2025-09-03T00:00:00"/>
    <x v="1"/>
    <s v="CUTAB00000571"/>
    <n v="1"/>
    <n v="1"/>
    <x v="1"/>
    <s v="Delhivery Surface Reverse"/>
    <s v="28449515083795"/>
    <s v="28449536779046"/>
    <s v="RETURN Accepted"/>
    <s v="Reverse PickUP Delivered"/>
    <s v="The size of lehega skirt is too big and the size of top is just right. If I order size 9 years- not sure if top will fit and lehenga skirt will still fit correctly? 9 to 10 years size is out of stocks"/>
    <s v="RET_10737823-4463732"/>
    <s v="NYK-30918855-5337076-1-1"/>
  </r>
  <r>
    <x v="165"/>
    <s v="NYK-30403406-7954139-1"/>
    <x v="155"/>
    <x v="135"/>
    <d v="2025-08-25T00:00:00"/>
    <x v="1"/>
    <s v="CUTAB00000576"/>
    <n v="1"/>
    <n v="1"/>
    <x v="2"/>
    <s v="Delhivery Surface Reverse"/>
    <s v="28449503114801"/>
    <s v="28449516403026"/>
    <s v="RETURN Accepted"/>
    <s v="Reverse PickUP Delivered"/>
    <s v="I did not like the fabric. Also, the material was not good enough for the children to wear in the summers. ?"/>
    <s v="RET_10563544-4490655"/>
    <s v="NYK-30403406-7954139-1-1"/>
  </r>
  <r>
    <x v="166"/>
    <s v="NYK-32071160-7302384-1"/>
    <x v="156"/>
    <x v="135"/>
    <d v="2025-10-28T00:00:00"/>
    <x v="1"/>
    <s v="CUTAB00000576"/>
    <n v="1"/>
    <n v="1"/>
    <x v="1"/>
    <s v="Shadowfax Reverse"/>
    <s v="SF2167352793NYK"/>
    <s v="R1513795576NYK"/>
    <s v="Item Return To Seller Delivered at BOM_ReayRoad_FM"/>
    <s v="Reverse PickUP Delivered"/>
    <s v="Product didn't fit"/>
    <s v="RET_11231196-7188665"/>
    <s v="NYK-32071160-7302384-1-1"/>
  </r>
  <r>
    <x v="167"/>
    <s v="NYK-32316605-4944698-1-1"/>
    <x v="157"/>
    <x v="135"/>
    <d v="2025-10-25T00:00:00"/>
    <x v="0"/>
    <s v="CUTAB00000576"/>
    <n v="1"/>
    <n v="1"/>
    <x v="0"/>
    <s v="DelhiverySurface"/>
    <s v="28449522286272"/>
    <s v=""/>
    <s v=""/>
    <s v="Confirmed"/>
    <s v=""/>
    <s v=""/>
    <s v="NYK-32316605-4944698-1-1"/>
  </r>
  <r>
    <x v="168"/>
    <s v="NYK-31800157-7011058-1-1"/>
    <x v="158"/>
    <x v="136"/>
    <d v="2025-10-24T00:00:00"/>
    <x v="0"/>
    <s v="CUTAB00000578"/>
    <n v="1"/>
    <n v="1"/>
    <x v="0"/>
    <s v="Shadowfax"/>
    <s v="SF1835846898NYK"/>
    <s v=""/>
    <s v=""/>
    <s v="Reverse PickUP Delivered"/>
    <s v=""/>
    <s v=""/>
    <s v="NYK-31800157-7011058-1-1"/>
  </r>
  <r>
    <x v="169"/>
    <s v="NYK-32487937-6183751-2"/>
    <x v="159"/>
    <x v="137"/>
    <d v="2025-10-26T00:00:00"/>
    <x v="1"/>
    <s v="CUTAB00000580"/>
    <n v="1"/>
    <n v="1"/>
    <x v="1"/>
    <s v="Shadowfax Reverse"/>
    <s v="28449521341191"/>
    <s v="R1539922187NYK"/>
    <s v="Item return to seller initiated at Jaipur DC"/>
    <s v="Reverse PickUP Done"/>
    <s v="Product didn't fit"/>
    <s v="RET_11362057-2878115"/>
    <s v="NYK-32487937-6183751-2-1"/>
  </r>
  <r>
    <x v="170"/>
    <s v="NYK-32348645-2049554-2"/>
    <x v="160"/>
    <x v="138"/>
    <d v="2025-10-24T00:00:00"/>
    <x v="1"/>
    <s v="CUTAB00000635"/>
    <n v="1"/>
    <n v="1"/>
    <x v="1"/>
    <s v="Shadowfax Reverse"/>
    <s v="237943173318750"/>
    <s v="R1513801165NYK"/>
    <s v="Item Return To Seller Delivered at BOM_ReayRoad_FM"/>
    <s v="Reverse PickUP Delivered"/>
    <s v="Didn't fit well"/>
    <s v="RET_11267060-9692489"/>
    <s v="NYK-32348645-2049554-2-1"/>
  </r>
  <r>
    <x v="171"/>
    <s v="NYK-32642110-3420788-3"/>
    <x v="161"/>
    <x v="139"/>
    <d v="2025-10-27T00:00:00"/>
    <x v="1"/>
    <s v="CUTAB00000636"/>
    <n v="1"/>
    <n v="1"/>
    <x v="1"/>
    <s v="Delhivery Surface Reverse"/>
    <s v="NKFP0000001616"/>
    <s v="28449541685033"/>
    <s v="In Process"/>
    <s v="Confirmed"/>
    <s v="Product didn't fit"/>
    <s v="RET_11369069-6921652"/>
    <s v="NYK-32642110-3420788-3-1"/>
  </r>
  <r>
    <x v="172"/>
    <s v="NYK-29397803-2740388-1"/>
    <x v="162"/>
    <x v="140"/>
    <d v="2025-07-19T00:00:00"/>
    <x v="1"/>
    <s v="CUTAB00000622"/>
    <n v="1"/>
    <n v="1"/>
    <x v="4"/>
    <s v="Shadowfax Reverse"/>
    <s v="SF1686926274NYK"/>
    <s v="R1315573405NYK"/>
    <s v="Item Return To Seller Delivered at BOM_ReayRoad_FM"/>
    <s v="Reverse PickUP Delivered"/>
    <s v="Change of mind - Don't need it anymore"/>
    <s v="RET_10185998-1045159"/>
    <s v="NYK-29397803-2740388-1-1"/>
  </r>
  <r>
    <x v="173"/>
    <s v="NYK-31104937-2747904-1-1"/>
    <x v="163"/>
    <x v="141"/>
    <d v="2025-09-11T00:00:00"/>
    <x v="0"/>
    <s v="CUTAB00000623"/>
    <n v="1"/>
    <n v="1"/>
    <x v="0"/>
    <s v="DelhiverySurface"/>
    <s v="28449536457525"/>
    <s v=""/>
    <s v=""/>
    <s v="Reverse PickUP Delivered"/>
    <s v=""/>
    <s v=""/>
    <s v="NYK-31104937-2747904-1-1"/>
  </r>
  <r>
    <x v="174"/>
    <s v="NYK-30089121-6985159-2"/>
    <x v="164"/>
    <x v="142"/>
    <d v="2025-08-04T00:00:00"/>
    <x v="1"/>
    <s v="CUTAB00000625"/>
    <n v="1"/>
    <n v="1"/>
    <x v="4"/>
    <s v="Delhivery Surface Reverse"/>
    <s v="237943146433544"/>
    <s v="28449515874375"/>
    <s v="RETURN Accepted"/>
    <s v="Reverse PickUP Delivered"/>
    <s v="Change of mind - Don't need it anymore"/>
    <s v="RET_10462810-2245188"/>
    <s v="NYK-30089121-6985159-2-1"/>
  </r>
  <r>
    <x v="175"/>
    <s v="NYK-29736763-4602758-6"/>
    <x v="165"/>
    <x v="143"/>
    <d v="2025-08-05T00:00:00"/>
    <x v="1"/>
    <s v="CUTAB00000626"/>
    <n v="1"/>
    <n v="1"/>
    <x v="1"/>
    <s v="Shadowfax Reverse"/>
    <s v="28449509315154"/>
    <s v="R1337759357NYK"/>
    <s v="Item Return To Seller Delivered at BOM_ReayRoad_FM"/>
    <s v="Reverse PickUP Delivered"/>
    <s v="Product didn't fit- Too Large"/>
    <s v="RET_10331084-1550450"/>
    <s v="NYK-29736763-4602758-6-1"/>
  </r>
  <r>
    <x v="176"/>
    <s v="NYK-29736763-4602758-6"/>
    <x v="165"/>
    <x v="144"/>
    <d v="2025-08-05T00:00:00"/>
    <x v="1"/>
    <s v="CUTAB00000627"/>
    <n v="1"/>
    <n v="1"/>
    <x v="1"/>
    <s v="Shadowfax Reverse"/>
    <s v="28449509315154"/>
    <s v="R1338115223NYK"/>
    <s v="Item Return To Seller Delivered at BOM_ReayRoad_FM"/>
    <s v="Reverse PickUP Delivered"/>
    <s v="Product didn't fit- Too Large"/>
    <s v="RET_10331080-1526408"/>
    <s v="NYK-29736763-4602758-6-1"/>
  </r>
  <r>
    <x v="177"/>
    <s v="NYK-31948428-5807456-3"/>
    <x v="166"/>
    <x v="144"/>
    <d v="2025-10-10T00:00:00"/>
    <x v="1"/>
    <s v="CUTAB00000627"/>
    <n v="1"/>
    <n v="1"/>
    <x v="1"/>
    <s v="Delhivery Surface Reverse"/>
    <s v="28449538038851"/>
    <s v="28449540105866"/>
    <s v="RETURN Accepted"/>
    <s v="Reverse PickUP Delivered"/>
    <s v="Palazzo is too big"/>
    <s v="RET_11125281-0956231"/>
    <s v="NYK-31948428-5807456-3-1"/>
  </r>
  <r>
    <x v="178"/>
    <s v="NYK-31115996-6929406-1"/>
    <x v="167"/>
    <x v="145"/>
    <d v="2025-10-16T00:00:00"/>
    <x v="1"/>
    <s v="CUTAB00000592"/>
    <n v="1"/>
    <n v="1"/>
    <x v="1"/>
    <s v="Shadowfax Reverse"/>
    <s v="88281401810"/>
    <s v="R1411531670NYK"/>
    <s v="Item Return To Seller Delivered at BOM_ReayRoad_FM"/>
    <s v="Reverse PickUP Delivered"/>
    <s v="Size is very bigger than expected and the bottom palazzo pant is very long it doesn't look good to my child therefore I want to replace the item with smaller size"/>
    <s v="RET_10834533-7532499"/>
    <s v="NYK-31115996-6929406-1-1"/>
  </r>
  <r>
    <x v="110"/>
    <s v="NYK-31051124-7636285-1-1"/>
    <x v="106"/>
    <x v="146"/>
    <d v="2025-09-02T00:00:00"/>
    <x v="0"/>
    <s v="CUTAB00000598"/>
    <n v="1"/>
    <n v="1"/>
    <x v="0"/>
    <s v="Shadowfax"/>
    <s v="SF1835756749NYK"/>
    <s v=""/>
    <s v=""/>
    <s v="Confirmed"/>
    <s v=""/>
    <s v=""/>
    <s v="NYK-31051124-7636285-1-1"/>
  </r>
  <r>
    <x v="179"/>
    <s v="NYK-30083828-9156756-1"/>
    <x v="168"/>
    <x v="147"/>
    <d v="2025-08-30T00:00:00"/>
    <x v="1"/>
    <s v="CUTAB00000601"/>
    <n v="1"/>
    <n v="1"/>
    <x v="1"/>
    <s v="Shadowfax Reverse"/>
    <s v="28449509925311"/>
    <s v="R1350160486NYK"/>
    <s v="Item Return To Seller Delivered at BOM_ReayRoad_FM"/>
    <s v="Reverse PickUP Delivered"/>
    <s v="Product didn't fit- Too Large"/>
    <s v="RET_10447822-6093388"/>
    <s v="NYK-30083828-9156756-1-1"/>
  </r>
  <r>
    <x v="180"/>
    <s v="NYK-29802770-5357832-1"/>
    <x v="169"/>
    <x v="148"/>
    <d v="2025-08-01T00:00:00"/>
    <x v="1"/>
    <s v="CUTAB00000603"/>
    <n v="1"/>
    <n v="1"/>
    <x v="1"/>
    <s v="Delhivery Surface Reverse"/>
    <s v="SF1747446662NYK"/>
    <s v="28449515293036"/>
    <s v="RETURN Accepted"/>
    <s v="Reverse PickUP Delivered"/>
    <s v="Product didn't fit- Too Large"/>
    <s v="RET_10354791-8860742"/>
    <s v="NYK-29802770-5357832-1-1"/>
  </r>
  <r>
    <x v="181"/>
    <s v="NYK-29879501-9146182-1"/>
    <x v="170"/>
    <x v="149"/>
    <d v="2025-07-30T00:00:00"/>
    <x v="1"/>
    <s v="CUTAB00000610"/>
    <n v="1"/>
    <n v="1"/>
    <x v="1"/>
    <s v="Delhivery Surface Reverse"/>
    <s v="SF1747486632NYK"/>
    <s v="28449515308742"/>
    <s v="RETURN Accepted"/>
    <s v="Reverse PickUP Delivered"/>
    <s v="the top is too small"/>
    <s v="RET_10350967-4642189"/>
    <s v="NYK-29879501-9146182-1-1"/>
  </r>
  <r>
    <x v="182"/>
    <s v="NYK-31315036-5475093-1"/>
    <x v="171"/>
    <x v="150"/>
    <d v="2025-09-25T00:00:00"/>
    <x v="1"/>
    <s v="CUTAB00000611"/>
    <n v="1"/>
    <n v="1"/>
    <x v="1"/>
    <s v="Shadowfax Reverse"/>
    <s v="28449517682103"/>
    <s v="R1411537506NYK"/>
    <s v="Item Return To Seller Delivered at BOM_ReayRoad_FM"/>
    <s v="Reverse PickUP Delivered"/>
    <s v="Product didn't fit"/>
    <s v="RET_10898592-6788352"/>
    <s v="NYK-31315036-5475093-1-1"/>
  </r>
  <r>
    <x v="183"/>
    <s v="NYK-32332070-8458643-1"/>
    <x v="172"/>
    <x v="150"/>
    <d v="2025-10-18T00:00:00"/>
    <x v="1"/>
    <s v="CUTAB00000611"/>
    <n v="1"/>
    <n v="1"/>
    <x v="1"/>
    <s v="Delhivery Surface Reverse"/>
    <s v="28449520860350"/>
    <s v="28449541319460"/>
    <s v="Shipment Received at Facility"/>
    <s v="Reverse PickUP Done"/>
    <s v="Product didn't fit"/>
    <s v="RET_11288105-5597827"/>
    <s v="NYK-32332070-8458643-1-1"/>
  </r>
  <r>
    <x v="184"/>
    <s v="NYK-30927471-8697360-1"/>
    <x v="173"/>
    <x v="151"/>
    <d v="2025-09-13T00:00:00"/>
    <x v="1"/>
    <s v="CUTAB00000612"/>
    <n v="1"/>
    <n v="1"/>
    <x v="1"/>
    <s v="Shadowfax Reverse"/>
    <s v="28449515145244"/>
    <s v="R1406139174NYK"/>
    <s v="Item Return To Seller Delivered at BOM_ReayRoad_FM"/>
    <s v="Reverse PickUP Delivered"/>
    <s v="Product didn't fit- Too Large"/>
    <s v="RET_10789265-4779497"/>
    <s v="NYK-30927471-8697360-1-1"/>
  </r>
  <r>
    <x v="185"/>
    <s v="NYK-32469518-5262792-1"/>
    <x v="174"/>
    <x v="152"/>
    <d v="2025-10-26T00:00:00"/>
    <x v="1"/>
    <s v="CUTAB00000816"/>
    <n v="1"/>
    <n v="1"/>
    <x v="2"/>
    <s v="Delhivery Surface Reverse"/>
    <s v="28449525194595"/>
    <s v="28449541640023"/>
    <s v="In Process"/>
    <s v="Confirmed"/>
    <s v="not so good,looks ch?eap"/>
    <s v="RET_11361510-7135823"/>
    <s v="NYK-32469518-5262792-1-1"/>
  </r>
  <r>
    <x v="186"/>
    <s v="NYK-29594560-5963665-1"/>
    <x v="175"/>
    <x v="153"/>
    <d v="2025-07-28T00:00:00"/>
    <x v="1"/>
    <s v="CUTAB00000550"/>
    <n v="1"/>
    <n v="1"/>
    <x v="2"/>
    <s v="Delhivery Surface Reverse"/>
    <s v="237943146004676"/>
    <s v="28449515186404"/>
    <s v="RETURN Accepted"/>
    <s v="Reverse PickUP Delivered"/>
    <s v="I have order it for my daughter, but unfortunately the fabric quality is not good. It’s causing irritation to her skin"/>
    <s v="RET_10326342-1887741"/>
    <s v="NYK-29594560-5963665-1-1"/>
  </r>
  <r>
    <x v="187"/>
    <s v="NYK-32344119-5144661-1-1"/>
    <x v="176"/>
    <x v="153"/>
    <d v="2025-10-24T00:00:00"/>
    <x v="0"/>
    <s v="CUTAB00000550"/>
    <n v="1"/>
    <n v="1"/>
    <x v="0"/>
    <s v="DelhiverySurface"/>
    <s v="28449522419611"/>
    <s v=""/>
    <s v=""/>
    <s v="Confirmed"/>
    <s v=""/>
    <s v=""/>
    <s v="NYK-32344119-5144661-1-1"/>
  </r>
  <r>
    <x v="188"/>
    <s v="NYK-30674454-4025272-1-1"/>
    <x v="127"/>
    <x v="154"/>
    <d v="2025-09-04T00:00:00"/>
    <x v="0"/>
    <s v="CUTAB00000553"/>
    <n v="1"/>
    <n v="1"/>
    <x v="0"/>
    <s v="BLUEDART"/>
    <s v="88317311250"/>
    <s v=""/>
    <s v=""/>
    <s v="Reverse PickUP Delivered"/>
    <s v=""/>
    <s v=""/>
    <s v="NYK-30674454-4025272-1-1"/>
  </r>
  <r>
    <x v="189"/>
    <s v="NYK-32109356-5845996-1-1"/>
    <x v="177"/>
    <x v="154"/>
    <d v="2025-10-17T00:00:00"/>
    <x v="0"/>
    <s v="CUTAB00000553"/>
    <n v="1"/>
    <n v="1"/>
    <x v="0"/>
    <s v="DelhiverySurface"/>
    <s v="28449521771691"/>
    <s v=""/>
    <s v=""/>
    <s v="Reverse PickUP Delivered"/>
    <s v=""/>
    <s v=""/>
    <s v="NYK-32109356-5845996-1-1"/>
  </r>
  <r>
    <x v="190"/>
    <s v="NYK-32047154-5971578-2"/>
    <x v="178"/>
    <x v="155"/>
    <d v="2025-10-24T00:00:00"/>
    <x v="1"/>
    <s v="CUTAB00000554"/>
    <n v="1"/>
    <n v="1"/>
    <x v="1"/>
    <s v="Shadowfax Reverse"/>
    <s v="28449521584194"/>
    <s v="R1466716292NYK"/>
    <s v="Item Return To Seller Delivered at BOM_ReayRoad_FM"/>
    <s v="Reverse PickUP Delivered"/>
    <s v="Product didn't fit"/>
    <s v="RET_11180654-8659502"/>
    <s v="NYK-32047154-5971578-2-1"/>
  </r>
  <r>
    <x v="191"/>
    <s v="NYK-32160012-8271138-3"/>
    <x v="179"/>
    <x v="156"/>
    <d v="2025-10-13T00:00:00"/>
    <x v="1"/>
    <s v="CUTAB00000556"/>
    <n v="1"/>
    <n v="1"/>
    <x v="2"/>
    <s v="Delhivery Surface Reverse"/>
    <s v="28449520198706"/>
    <s v="28449540523766"/>
    <s v="Shipment Received at Facility"/>
    <s v="Reverse PickUP Done"/>
    <s v="Not good "/>
    <s v="RET_11219671-3987016"/>
    <s v="NYK-32160012-8271138-3-1"/>
  </r>
  <r>
    <x v="192"/>
    <s v="NYK-31270452-6115336-1-1"/>
    <x v="180"/>
    <x v="157"/>
    <d v="2025-10-07T00:00:00"/>
    <x v="0"/>
    <s v="CUTAB00000651"/>
    <n v="1"/>
    <n v="1"/>
    <x v="0"/>
    <s v="Shadowfax"/>
    <s v="SF1686963997NYK"/>
    <s v=""/>
    <s v=""/>
    <s v="Confirmed"/>
    <s v=""/>
    <s v=""/>
    <s v="NYK-31270452-6115336-1-1"/>
  </r>
  <r>
    <x v="193"/>
    <s v="NYK-30833115-5142635-1"/>
    <x v="181"/>
    <x v="158"/>
    <d v="2025-09-05T00:00:00"/>
    <x v="1"/>
    <s v="CUTAB00000652"/>
    <n v="1"/>
    <n v="1"/>
    <x v="1"/>
    <s v="Shadowfax Reverse"/>
    <s v="SF1835670118NYK"/>
    <s v="R1388737834NYK"/>
    <s v="Item Return To Seller Delivered at BOM_ReayRoad_FM"/>
    <s v="Reverse PickUP Delivered"/>
    <s v="Too large "/>
    <s v="RET_10714398-6600487"/>
    <s v="NYK-30833115-5142635-1-1"/>
  </r>
  <r>
    <x v="194"/>
    <s v="NYK-32199223-8670853-1"/>
    <x v="182"/>
    <x v="159"/>
    <d v="2025-10-25T00:00:00"/>
    <x v="1"/>
    <s v="CUTAB00000655"/>
    <n v="1"/>
    <n v="1"/>
    <x v="1"/>
    <s v="Shadowfax Reverse"/>
    <s v="237943173170361"/>
    <s v="R1501567551NYK"/>
    <s v="Item return to seller initiated at Nagpur DC"/>
    <s v="Reverse PickUP Done"/>
    <s v="Product didn't fit"/>
    <s v="RET_11344897-5634427"/>
    <s v="NYK-32199223-8670853-1-1"/>
  </r>
  <r>
    <x v="195"/>
    <s v="NYK-31766459-2986994-1-1"/>
    <x v="183"/>
    <x v="160"/>
    <d v="2025-10-16T00:00:00"/>
    <x v="0"/>
    <s v="CUTAB00000982"/>
    <n v="1"/>
    <n v="1"/>
    <x v="0"/>
    <s v="Shadowfax"/>
    <s v="SF1835844585NYK"/>
    <s v=""/>
    <s v=""/>
    <s v="Reverse PickUP Delivered"/>
    <s v=""/>
    <s v=""/>
    <s v="NYK-31766459-2986994-1-1"/>
  </r>
  <r>
    <x v="196"/>
    <s v="NYK-31868651-7429006-1"/>
    <x v="184"/>
    <x v="161"/>
    <d v="2025-10-18T00:00:00"/>
    <x v="1"/>
    <s v="CUTAB00000986"/>
    <n v="1"/>
    <n v="1"/>
    <x v="2"/>
    <s v="Delhivery Surface Reverse"/>
    <s v="SF1835832531NYK"/>
    <s v="28449540441133"/>
    <s v="RETURN Accepted"/>
    <s v="Reverse PickUP Delivered"/>
    <s v="Didn't like the quality of product"/>
    <s v="RET_11200365-9490673"/>
    <s v="NYK-31868651-7429006-1-1"/>
  </r>
  <r>
    <x v="197"/>
    <s v="NYK-31662330-6964550-1-1"/>
    <x v="185"/>
    <x v="162"/>
    <d v="2025-10-15T00:00:00"/>
    <x v="0"/>
    <s v="CUTAB00001033"/>
    <n v="1"/>
    <n v="1"/>
    <x v="0"/>
    <s v="Shadowfax"/>
    <s v="SF1687031292NYK"/>
    <s v=""/>
    <s v=""/>
    <s v="Confirmed"/>
    <s v=""/>
    <s v=""/>
    <s v="NYK-31662330-6964550-1-1"/>
  </r>
  <r>
    <x v="198"/>
    <s v="NYK-31347508-8364900-2"/>
    <x v="186"/>
    <x v="163"/>
    <d v="2025-09-25T00:00:00"/>
    <x v="1"/>
    <s v="CUTAB00001038"/>
    <n v="1"/>
    <n v="1"/>
    <x v="1"/>
    <s v="Shadowfax Reverse"/>
    <s v="237943177158880"/>
    <s v="R1411553161NYK"/>
    <s v="Item Return To Seller Delivered at BOM_ReayRoad_FM"/>
    <s v="Reverse PickUP Delivered"/>
    <s v="Product didn't fit"/>
    <s v="RET_10921387-4052438"/>
    <s v="NYK-31347508-8364900-2-1"/>
  </r>
  <r>
    <x v="199"/>
    <s v="NYK-31499640-2616619-1-1"/>
    <x v="187"/>
    <x v="164"/>
    <d v="2025-10-06T00:00:00"/>
    <x v="0"/>
    <s v="CUTAB00001039"/>
    <n v="1"/>
    <n v="1"/>
    <x v="0"/>
    <s v="Shadowfax"/>
    <s v="SF1687013345NYK"/>
    <s v=""/>
    <s v=""/>
    <s v="Reverse PickUP Delivered"/>
    <s v=""/>
    <s v=""/>
    <s v="NYK-31499640-2616619-1-1"/>
  </r>
  <r>
    <x v="200"/>
    <s v="NYK-31429148-8045001-1"/>
    <x v="188"/>
    <x v="165"/>
    <d v="2025-10-01T00:00:00"/>
    <x v="1"/>
    <s v="CUTAB00001040"/>
    <n v="1"/>
    <n v="1"/>
    <x v="1"/>
    <s v="Shadowfax Reverse"/>
    <s v="SF1686986082NYK"/>
    <s v="R1435780312NYK"/>
    <s v="Item Return To Seller Delivered at BOM_ReayRoad_FM"/>
    <s v="Reverse PickUP Delivered"/>
    <s v="Product didn't fit"/>
    <s v="RET_11031366-8872941"/>
    <s v="NYK-31429148-8045001-1-1"/>
  </r>
  <r>
    <x v="201"/>
    <s v="NYK-31561969-4371133-1"/>
    <x v="189"/>
    <x v="166"/>
    <d v="2025-10-24T00:00:00"/>
    <x v="1"/>
    <s v="CUTAB00000808"/>
    <n v="1"/>
    <n v="1"/>
    <x v="1"/>
    <s v="Shadowfax Reverse"/>
    <s v="237943177265825"/>
    <s v="R1425555737NYK"/>
    <s v="Item Return To Seller Delivered at BOM_ReayRoad_FM"/>
    <s v="Reverse PickUP Delivered"/>
    <s v="Fit is okay also?The wuality isnt great"/>
    <s v="RET_10989084-8978864"/>
    <s v="NYK-31561969-4371133-1-1"/>
  </r>
  <r>
    <x v="202"/>
    <s v="NYK-32491152-2699460-1-1"/>
    <x v="190"/>
    <x v="166"/>
    <d v="2025-10-27T00:00:00"/>
    <x v="0"/>
    <s v="CUTAB00000808"/>
    <n v="1"/>
    <n v="1"/>
    <x v="0"/>
    <s v="DelhiverySurface"/>
    <s v="28449525197760"/>
    <s v=""/>
    <s v=""/>
    <s v="Confirmed"/>
    <s v=""/>
    <s v=""/>
    <s v="NYK-32491152-2699460-1-1"/>
  </r>
  <r>
    <x v="203"/>
    <s v="NYK-32157259-2807901-1-1"/>
    <x v="191"/>
    <x v="167"/>
    <d v="2025-10-17T00:00:00"/>
    <x v="0"/>
    <s v="CUTAB00000809"/>
    <n v="1"/>
    <n v="1"/>
    <x v="0"/>
    <s v="DelhiverySurface"/>
    <s v="28449521862326"/>
    <s v=""/>
    <s v=""/>
    <s v="Reverse PickUP Delivered"/>
    <s v=""/>
    <s v=""/>
    <s v="NYK-32157259-2807901-1-1"/>
  </r>
  <r>
    <x v="204"/>
    <s v="NYK-32288582-6003557-1-1"/>
    <x v="192"/>
    <x v="167"/>
    <d v="2025-10-27T00:00:00"/>
    <x v="0"/>
    <s v="CUTAB00000809"/>
    <n v="1"/>
    <n v="1"/>
    <x v="0"/>
    <s v="DelhiverySurface"/>
    <s v="28449522217720"/>
    <s v=""/>
    <s v=""/>
    <s v="Reverse PickUP Delivered"/>
    <s v=""/>
    <s v=""/>
    <s v="NYK-32288582-6003557-1-1"/>
  </r>
  <r>
    <x v="205"/>
    <s v="NYK-32129664-7490745-1"/>
    <x v="193"/>
    <x v="168"/>
    <d v="2025-10-13T00:00:00"/>
    <x v="1"/>
    <s v="CUTAB00000810"/>
    <n v="1"/>
    <n v="1"/>
    <x v="1"/>
    <s v="Delhivery Surface Reverse"/>
    <s v="28449520086835"/>
    <s v="28449540532590"/>
    <s v="Shipment Received at Facility"/>
    <s v="Reverse PickUP Done"/>
    <s v="Product didn't fit"/>
    <s v="RET_11223056-8513610"/>
    <s v="NYK-32129664-7490745-1-1"/>
  </r>
  <r>
    <x v="206"/>
    <s v="NYK-32101334-4082801-1"/>
    <x v="194"/>
    <x v="169"/>
    <d v="2025-10-24T00:00:00"/>
    <x v="1"/>
    <s v="CUTAB00000811"/>
    <n v="1"/>
    <n v="1"/>
    <x v="1"/>
    <s v="Shadowfax Reverse"/>
    <s v="SF2167305866NYK"/>
    <s v="R1501578977NYK"/>
    <s v="Item Return To Seller Delivered at BOM_ReayRoad_FM"/>
    <s v="Reverse PickUP Delivered"/>
    <s v="Size issue "/>
    <s v="RET_11228235-4813118"/>
    <s v="NYK-32101334-4082801-1-1"/>
  </r>
  <r>
    <x v="207"/>
    <s v="NYK-32103884-8258750-2"/>
    <x v="195"/>
    <x v="169"/>
    <d v="2025-10-27T00:00:00"/>
    <x v="1"/>
    <s v="CUTAB00000811"/>
    <n v="1"/>
    <n v="1"/>
    <x v="4"/>
    <s v="Shadowfax Reverse"/>
    <s v="28449521767373"/>
    <s v="R1513785054NYK"/>
    <s v="Item Return To Seller Delivered at BOM_ReayRoad_FM"/>
    <s v="Reverse PickUP Delivered"/>
    <s v="Don't need it anymore"/>
    <s v="RET_11228488-5879960"/>
    <s v="NYK-32103884-8258750-2-1"/>
  </r>
  <r>
    <x v="208"/>
    <s v="NYK-32313368-8164526-1"/>
    <x v="196"/>
    <x v="169"/>
    <d v="2025-10-20T00:00:00"/>
    <x v="1"/>
    <s v="CUTAB00000811"/>
    <n v="1"/>
    <n v="1"/>
    <x v="4"/>
    <s v="Shadowfax Reverse"/>
    <s v="28449520692921"/>
    <s v="R1513779741NYK"/>
    <s v="Item return to seller initiated at Kolkata 2 DC"/>
    <s v="Reverse PickUP Done"/>
    <s v="Ordered same two products."/>
    <s v="RET_11297726-5515369"/>
    <s v="NYK-32313368-8164526-1-1"/>
  </r>
  <r>
    <x v="209"/>
    <s v="NYK-31677921-2330968-1"/>
    <x v="197"/>
    <x v="170"/>
    <d v="2025-09-30T00:00:00"/>
    <x v="1"/>
    <s v="CUTAB00000812"/>
    <n v="1"/>
    <n v="1"/>
    <x v="1"/>
    <s v="Shadowfax Reverse"/>
    <s v="SF1835801418NYK"/>
    <s v="R1408538838NYK"/>
    <s v="Item Return To Seller Delivered at BOM_ReayRoad_FM"/>
    <s v="Reverse PickUP Delivered"/>
    <s v="Product didn't fit"/>
    <s v="RET_11039384-2048765"/>
    <s v="NYK-31677921-2330968-1-1"/>
  </r>
  <r>
    <x v="210"/>
    <s v="NYK-31787713-8512967-3"/>
    <x v="198"/>
    <x v="171"/>
    <d v="2025-10-15T00:00:00"/>
    <x v="1"/>
    <s v="CUTAB00000813"/>
    <n v="1"/>
    <n v="1"/>
    <x v="1"/>
    <s v="Delhivery Surface Reverse"/>
    <s v="28449537624720"/>
    <s v="28449540282922"/>
    <s v="RETURN Accepted"/>
    <s v="Reverse PickUP Delivered"/>
    <s v="Product didn't fit"/>
    <s v="RET_11155204-9649180"/>
    <s v="NYK-31787713-8512967-3-1"/>
  </r>
  <r>
    <x v="211"/>
    <s v="NYK-31359099-7298263-5"/>
    <x v="199"/>
    <x v="172"/>
    <d v="2025-09-22T00:00:00"/>
    <x v="1"/>
    <s v="CUTAB00001024"/>
    <n v="1"/>
    <n v="1"/>
    <x v="1"/>
    <s v="Delhivery Surface Reverse"/>
    <s v="SF1686976809NYK"/>
    <s v="28449539219014"/>
    <s v="RETURN Accepted"/>
    <s v="Reverse PickUP Delivered"/>
    <s v="Long "/>
    <s v="RET_10933945-1350683"/>
    <s v="NYK-31359099-7298263-5-1"/>
  </r>
  <r>
    <x v="212"/>
    <s v="NYK-30789927-2605916-2"/>
    <x v="200"/>
    <x v="173"/>
    <d v="2025-09-11T00:00:00"/>
    <x v="1"/>
    <s v="CUTAB00000826"/>
    <n v="1"/>
    <n v="1"/>
    <x v="1"/>
    <s v="Shadowfax Reverse"/>
    <s v="28449511467890"/>
    <s v="R1398647278NYK"/>
    <s v="Item Return To Seller Delivered at BOM_ReayRoad_FM"/>
    <s v="Reverse PickUP Delivered"/>
    <s v="Product didn't fit- Too Small"/>
    <s v="RET_10760484-8743513"/>
    <s v="NYK-30789927-2605916-2-1"/>
  </r>
  <r>
    <x v="213"/>
    <s v="NYK-30975718-8670841-1"/>
    <x v="201"/>
    <x v="174"/>
    <d v="2025-09-19T00:00:00"/>
    <x v="1"/>
    <s v="CUTAB00000830"/>
    <n v="1"/>
    <n v="1"/>
    <x v="1"/>
    <s v="Shadowfax Reverse"/>
    <s v="28449514382480"/>
    <s v="R1406646423NYK"/>
    <s v="Item Return To Seller Delivered at BOM_ReayRoad_FM"/>
    <s v="Reverse PickUP Delivered"/>
    <s v="Product didn't fit- Too Small"/>
    <s v="RET_10802827-6415437"/>
    <s v="NYK-30975718-8670841-1-1"/>
  </r>
  <r>
    <x v="214"/>
    <s v="NYK-32289130-7004935-3-1"/>
    <x v="202"/>
    <x v="175"/>
    <d v="2025-10-18T00:00:00"/>
    <x v="0"/>
    <s v="CUTAB00000834"/>
    <n v="1"/>
    <n v="1"/>
    <x v="0"/>
    <s v="DelhiverySurface"/>
    <s v="28449522218431"/>
    <s v=""/>
    <s v=""/>
    <s v="Confirmed"/>
    <s v=""/>
    <s v=""/>
    <s v="NYK-32289130-7004935-3-1"/>
  </r>
  <r>
    <x v="215"/>
    <s v="NYK-32100329-2337696-1"/>
    <x v="203"/>
    <x v="176"/>
    <d v="2025-10-22T00:00:00"/>
    <x v="1"/>
    <s v="CUTAB00000835"/>
    <n v="1"/>
    <n v="1"/>
    <x v="1"/>
    <s v="Shadowfax Reverse"/>
    <s v="SF2167305892NYK"/>
    <s v="R1501561600NYK"/>
    <s v="Item return to seller initiated at OneNCR DC"/>
    <s v="Reverse PickUP Done"/>
    <s v="Product didn't fit"/>
    <s v="RET_11308694-5732412"/>
    <s v="NYK-32100329-2337696-1-1"/>
  </r>
  <r>
    <x v="216"/>
    <s v="NYK-32383960-3307873-1"/>
    <x v="204"/>
    <x v="176"/>
    <d v="2025-10-24T00:00:00"/>
    <x v="1"/>
    <s v="CUTAB00000835"/>
    <n v="1"/>
    <n v="1"/>
    <x v="6"/>
    <s v="Shadowfax Reverse"/>
    <s v="28449522522360"/>
    <s v="R1528806663NYK"/>
    <s v="Item return to seller initiated at Bangalore DC"/>
    <s v="Reverse PickUP Done"/>
    <s v="Images are clear"/>
    <s v="RET_11296862-0777825"/>
    <s v="NYK-32383960-3307873-1-1"/>
  </r>
  <r>
    <x v="217"/>
    <s v="NYK-31904124-2720620-3"/>
    <x v="205"/>
    <x v="177"/>
    <d v="2025-10-13T00:00:00"/>
    <x v="1"/>
    <s v="CUTAB00000836"/>
    <n v="1"/>
    <n v="1"/>
    <x v="1"/>
    <s v="Delhivery Surface Reverse"/>
    <s v="237943174769522"/>
    <s v="28449540264674"/>
    <s v="RETURN Accepted"/>
    <s v="Reverse PickUP Delivered"/>
    <s v="Product didn't fit"/>
    <s v="RET_11156040-5399415"/>
    <s v="NYK-31904124-2720620-3-1"/>
  </r>
  <r>
    <x v="218"/>
    <s v="NYK-31233401-1484894-2"/>
    <x v="206"/>
    <x v="178"/>
    <d v="2025-09-30T00:00:00"/>
    <x v="1"/>
    <s v="CUTAB00000837"/>
    <n v="1"/>
    <n v="1"/>
    <x v="1"/>
    <s v="Delhivery Surface Reverse"/>
    <s v="28449538497675"/>
    <s v="28449539239222"/>
    <s v="RETURN Accepted"/>
    <s v="Reverse PickUP Delivered"/>
    <s v="Bottom is too long. "/>
    <s v="RET_10935942-2175226"/>
    <s v="NYK-31233401-1484894-2-1"/>
  </r>
  <r>
    <x v="219"/>
    <s v="NYK-32364231-8149782-1"/>
    <x v="207"/>
    <x v="178"/>
    <d v="2025-10-18T00:00:00"/>
    <x v="1"/>
    <s v="CUTAB00000837"/>
    <n v="1"/>
    <n v="1"/>
    <x v="4"/>
    <s v="Delhivery Surface Reverse"/>
    <s v="28449520862822"/>
    <s v="28449541241222"/>
    <s v="Bag Received at Facility"/>
    <s v="Reverse PickUP Done"/>
    <s v="Don't need it anymore"/>
    <s v="RET_11270776-4661851"/>
    <s v="NYK-32364231-8149782-1-1"/>
  </r>
  <r>
    <x v="220"/>
    <s v="NYK-31720011-9201255-1"/>
    <x v="208"/>
    <x v="179"/>
    <d v="2025-10-09T00:00:00"/>
    <x v="1"/>
    <s v="CUTAB00000854"/>
    <n v="1"/>
    <n v="1"/>
    <x v="1"/>
    <s v="Shadowfax Reverse"/>
    <s v="28449537440664"/>
    <s v="R1466711624NYK"/>
    <s v="Item Return To Seller Delivered at BOM_ReayRoad_FM"/>
    <s v="Reverse PickUP Delivered"/>
    <s v="Product didn't fit"/>
    <s v="RET_11058190-9839200"/>
    <s v="NYK-31720011-9201255-1-1"/>
  </r>
  <r>
    <x v="221"/>
    <s v="NYK-32220090-1314062-1"/>
    <x v="209"/>
    <x v="179"/>
    <d v="2025-10-17T00:00:00"/>
    <x v="1"/>
    <s v="CUTAB00000854"/>
    <n v="1"/>
    <n v="1"/>
    <x v="1"/>
    <s v="Shadowfax Reverse"/>
    <s v="237943175000360"/>
    <s v="R1513778360NYK"/>
    <s v="Item return to seller initiated at OneNCR DC"/>
    <s v="Reverse PickUP Done"/>
    <s v="Product didn't fit"/>
    <s v="RET_11271681-8978783"/>
    <s v="NYK-32220090-1314062-1-1"/>
  </r>
  <r>
    <x v="222"/>
    <s v="NYK-32203238-7053158-1"/>
    <x v="210"/>
    <x v="179"/>
    <d v="2025-10-19T00:00:00"/>
    <x v="1"/>
    <s v="CUTAB00000854"/>
    <n v="1"/>
    <n v="1"/>
    <x v="1"/>
    <s v="Shadowfax Reverse"/>
    <s v="28449520406046"/>
    <s v="R1513773688NYK"/>
    <s v="Item return to seller initiated at Hyderabad DC"/>
    <s v="Reverse PickUP Done"/>
    <s v="Product didn't fit"/>
    <s v="RET_11294583-9368863"/>
    <s v="NYK-32203238-7053158-1-1"/>
  </r>
  <r>
    <x v="223"/>
    <s v="NYK-32262475-6219677-1"/>
    <x v="211"/>
    <x v="179"/>
    <d v="2025-10-28T00:00:00"/>
    <x v="1"/>
    <s v="CUTAB00000854"/>
    <n v="1"/>
    <n v="1"/>
    <x v="2"/>
    <s v="Shadowfax Reverse"/>
    <s v="237943173230082"/>
    <s v="R1528810161NYK"/>
    <s v="Item Return To Seller Delivered at BOM_ReayRoad_FM"/>
    <s v="Reverse PickUP Delivered"/>
    <s v="The jacket is not fitting well and the material is not comfortable to my girl "/>
    <s v="RET_11316652-1424586"/>
    <s v="NYK-32262475-6219677-1-1"/>
  </r>
  <r>
    <x v="224"/>
    <s v="NYK-31087614-6668006-1"/>
    <x v="212"/>
    <x v="180"/>
    <d v="2025-09-18T00:00:00"/>
    <x v="1"/>
    <s v="CUTAB00000858"/>
    <n v="1"/>
    <n v="1"/>
    <x v="1"/>
    <s v="Shadowfax Reverse"/>
    <s v="59494642421"/>
    <s v="R1407579221NYK"/>
    <s v="Item Return To Seller Delivered at BOM_ReayRoad_FM"/>
    <s v="Reverse PickUP Delivered"/>
    <s v="This product is too much loose...and high price "/>
    <s v="RET_10801607-9266995"/>
    <s v="NYK-31087614-6668006-1-1"/>
  </r>
  <r>
    <x v="225"/>
    <s v="NYK-32013425-0494829-1"/>
    <x v="213"/>
    <x v="180"/>
    <d v="2025-10-13T00:00:00"/>
    <x v="1"/>
    <s v="CUTAB00000858"/>
    <n v="1"/>
    <n v="1"/>
    <x v="1"/>
    <s v="Delhivery Surface Reverse"/>
    <s v="28449519516070"/>
    <s v="28449540498942"/>
    <s v="Bag Received at Facility"/>
    <s v="Reverse PickUP Done"/>
    <s v="Product didn't fit"/>
    <s v="RET_11209551-6022817"/>
    <s v="NYK-32013425-0494829-1-1"/>
  </r>
  <r>
    <x v="226"/>
    <s v="NYK-31674274-4845196-1-1"/>
    <x v="214"/>
    <x v="181"/>
    <d v="2025-09-30T00:00:00"/>
    <x v="0"/>
    <s v="CUTAB00000859"/>
    <n v="1"/>
    <n v="1"/>
    <x v="0"/>
    <s v="Shadowfax"/>
    <s v="SF1687030758NYK"/>
    <s v=""/>
    <s v=""/>
    <s v="Reverse PickUP Delivered"/>
    <s v=""/>
    <s v=""/>
    <s v="NYK-31674274-4845196-1-1"/>
  </r>
  <r>
    <x v="227"/>
    <s v="NYK-31705601-9785728-1"/>
    <x v="215"/>
    <x v="181"/>
    <d v="2025-10-09T00:00:00"/>
    <x v="1"/>
    <s v="CUTAB00000859"/>
    <n v="1"/>
    <n v="1"/>
    <x v="2"/>
    <s v="Shadowfax Reverse"/>
    <s v="28449537351451"/>
    <s v="R1449329604NYK"/>
    <s v="Item Return To Seller Delivered at BOM_ReayRoad_FM"/>
    <s v="Reverse PickUP Delivered"/>
    <s v="Child don't like it "/>
    <s v="RET_11056293-4581984"/>
    <s v="NYK-31705601-9785728-1-1"/>
  </r>
  <r>
    <x v="228"/>
    <s v="NYK-31629958-4317763-1-1"/>
    <x v="216"/>
    <x v="182"/>
    <d v="2025-10-03T00:00:00"/>
    <x v="0"/>
    <s v="CUTAB00000860"/>
    <n v="1"/>
    <n v="1"/>
    <x v="0"/>
    <s v="DelhiverySurface"/>
    <s v="28449518495514"/>
    <s v=""/>
    <s v=""/>
    <s v="Reverse PickUP Delivered"/>
    <s v=""/>
    <s v=""/>
    <s v="NYK-31629958-4317763-1-1"/>
  </r>
  <r>
    <x v="229"/>
    <s v="NYK-31904124-2720620-3"/>
    <x v="205"/>
    <x v="182"/>
    <d v="2025-10-09T00:00:00"/>
    <x v="1"/>
    <s v="CUTAB00000860"/>
    <n v="1"/>
    <n v="1"/>
    <x v="1"/>
    <s v="Delhivery Surface Reverse"/>
    <s v="237943174769522"/>
    <s v="28449540078065"/>
    <s v="RETURN Accepted"/>
    <s v="Reverse PickUP Delivered"/>
    <s v="Product didn't fit"/>
    <s v="RET_11120650-8586385"/>
    <s v="NYK-31904124-2720620-3-1"/>
  </r>
  <r>
    <x v="230"/>
    <s v="NYK-31763834-7494212-1"/>
    <x v="217"/>
    <x v="182"/>
    <d v="2025-10-16T00:00:00"/>
    <x v="1"/>
    <s v="CUTAB00000860"/>
    <n v="1"/>
    <n v="1"/>
    <x v="1"/>
    <s v="Shadowfax Reverse"/>
    <s v="SF1687035766NYK"/>
    <s v="R1483712332NYK"/>
    <s v="Item Return To Seller Delivered at BOM_ReayRoad_FM"/>
    <s v="Reverse PickUP Delivered"/>
    <s v="Product didn't fit"/>
    <s v="RET_11124877-7576961"/>
    <s v="NYK-31763834-7494212-1-1"/>
  </r>
  <r>
    <x v="231"/>
    <s v="NYK-32049810-3825208-1"/>
    <x v="218"/>
    <x v="182"/>
    <d v="2025-10-16T00:00:00"/>
    <x v="1"/>
    <s v="CUTAB00000860"/>
    <n v="1"/>
    <n v="1"/>
    <x v="1"/>
    <s v="Delhivery Surface Reverse"/>
    <s v="28449521599384"/>
    <s v="28449541187786"/>
    <s v="Vehicle delayed - Controllable"/>
    <s v="Reverse PickUP Done"/>
    <s v="Product didn't fit"/>
    <s v="RET_11258135-8569122"/>
    <s v="NYK-32049810-3825208-1-1"/>
  </r>
  <r>
    <x v="232"/>
    <s v="NYK-31832259-9519883-1-1"/>
    <x v="219"/>
    <x v="183"/>
    <d v="2025-10-08T00:00:00"/>
    <x v="0"/>
    <s v="CUTAB00000861"/>
    <n v="1"/>
    <n v="1"/>
    <x v="0"/>
    <s v="DelhiverySurface"/>
    <s v="28449519088064"/>
    <s v=""/>
    <s v=""/>
    <s v="Reverse PickUP Delivered"/>
    <s v=""/>
    <s v=""/>
    <s v="NYK-31832259-9519883-1-1"/>
  </r>
  <r>
    <x v="233"/>
    <s v="NYK-31981984-0737396-1"/>
    <x v="220"/>
    <x v="183"/>
    <d v="2025-10-24T00:00:00"/>
    <x v="1"/>
    <s v="CUTAB00000861"/>
    <n v="1"/>
    <n v="1"/>
    <x v="1"/>
    <s v="Shadowfax Reverse"/>
    <s v="28449519748212"/>
    <s v="R1435759437NYK"/>
    <s v="Item Return To Seller Delivered at BOM_ReayRoad_FM"/>
    <s v="Reverse PickUP Delivered"/>
    <s v="Product didn't fit"/>
    <s v="RET_11218887-0147253"/>
    <s v="NYK-31981984-0737396-1-1"/>
  </r>
  <r>
    <x v="234"/>
    <s v="NYK-30908455-4081333-3"/>
    <x v="221"/>
    <x v="184"/>
    <d v="2025-09-04T00:00:00"/>
    <x v="1"/>
    <s v="CUTAB00000865"/>
    <n v="1"/>
    <n v="1"/>
    <x v="1"/>
    <s v="Delhivery Surface Reverse"/>
    <s v="88281223726"/>
    <s v="28449536868974"/>
    <s v="RETURN Accepted"/>
    <s v="Reverse PickUP Delivered"/>
    <s v="Product didn't fit- Too Large"/>
    <s v="RET_10757466-1027464"/>
    <s v="NYK-30908455-4081333-3-1"/>
  </r>
  <r>
    <x v="235"/>
    <s v="NYK-32042946-6725129-3"/>
    <x v="222"/>
    <x v="185"/>
    <d v="2025-10-18T00:00:00"/>
    <x v="1"/>
    <s v="CUTAB00000916"/>
    <n v="1"/>
    <n v="1"/>
    <x v="4"/>
    <s v="Delhivery Surface Reverse"/>
    <s v="237943174868966"/>
    <s v="28449540405676"/>
    <s v="RETURN Accepted"/>
    <s v="Reverse PickUP Delivered"/>
    <s v="Don't need it anymore"/>
    <s v="RET_11190879-1410513"/>
    <s v="NYK-32042946-6725129-3-1"/>
  </r>
  <r>
    <x v="236"/>
    <s v="NYK-31525645-8429071-1-1"/>
    <x v="223"/>
    <x v="186"/>
    <d v="2025-10-03T00:00:00"/>
    <x v="0"/>
    <s v="CUTAB00000919"/>
    <n v="1"/>
    <n v="1"/>
    <x v="0"/>
    <s v="Shadowfax"/>
    <s v="SF1687015921NYK"/>
    <s v=""/>
    <s v=""/>
    <s v="Reverse PickUP Delivered"/>
    <s v=""/>
    <s v=""/>
    <s v="NYK-31525645-8429071-1-1"/>
  </r>
  <r>
    <x v="237"/>
    <s v="NYK-32084133-3585100-3"/>
    <x v="224"/>
    <x v="187"/>
    <d v="2025-10-16T00:00:00"/>
    <x v="1"/>
    <s v="CUTAB00000920"/>
    <n v="1"/>
    <n v="1"/>
    <x v="2"/>
    <s v="Shadowfax Reverse"/>
    <s v="88281886162"/>
    <s v="R1466713119NYK"/>
    <s v="Item Return To Seller Delivered at BOM_ReayRoad_FM"/>
    <s v="Reverse PickUP Delivered"/>
    <s v="Didn’t like the quality of product"/>
    <s v="RET_11166961-7976920"/>
    <s v="NYK-32084133-3585100-3-1"/>
  </r>
  <r>
    <x v="238"/>
    <s v="NYK-31435390-2024207-3"/>
    <x v="225"/>
    <x v="188"/>
    <d v="2025-10-04T00:00:00"/>
    <x v="1"/>
    <s v="CUTAB00000924"/>
    <n v="1"/>
    <n v="1"/>
    <x v="1"/>
    <s v="Shadowfax Reverse"/>
    <s v="SF1687008573NYK"/>
    <s v="R1435767983NYK"/>
    <s v="Item Return To Seller Delivered at BOM_ReayRoad_FM"/>
    <s v="Reverse PickUP Delivered"/>
    <s v="Product didn't fit"/>
    <s v="RET_11013718-8229586"/>
    <s v="NYK-31435390-2024207-3-1"/>
  </r>
  <r>
    <x v="239"/>
    <s v="NYK-31722596-3134200-1"/>
    <x v="226"/>
    <x v="189"/>
    <d v="2025-10-03T00:00:00"/>
    <x v="1"/>
    <s v="CUTAB00001072"/>
    <n v="1"/>
    <n v="1"/>
    <x v="1"/>
    <s v="Delhivery Surface Reverse"/>
    <s v="28449537439872"/>
    <s v="28449539679522"/>
    <s v="RETURN Accepted"/>
    <s v="Reverse PickUP Delivered"/>
    <s v="Fitting shi nhi h"/>
    <s v="RET_11039647-5863660"/>
    <s v="NYK-31722596-3134200-1-1"/>
  </r>
  <r>
    <x v="240"/>
    <s v="NYK-31620805-3394006-2"/>
    <x v="227"/>
    <x v="190"/>
    <d v="2025-10-07T00:00:00"/>
    <x v="1"/>
    <s v="CUTAB00000970"/>
    <n v="1"/>
    <n v="1"/>
    <x v="1"/>
    <s v="Delhivery Surface Reverse"/>
    <s v="28449537160211"/>
    <s v="28449539871451"/>
    <s v="RETURN Accepted"/>
    <s v="Reverse PickUP Delivered"/>
    <s v="Product didn't fit"/>
    <s v="RET_11081251-3689547"/>
    <s v="NYK-31620805-3394006-2-1"/>
  </r>
  <r>
    <x v="241"/>
    <s v="NYK-32332425-8763194-1"/>
    <x v="228"/>
    <x v="191"/>
    <d v="2025-10-21T00:00:00"/>
    <x v="1"/>
    <s v="CUTAB00000978"/>
    <n v="1"/>
    <n v="1"/>
    <x v="1"/>
    <s v="Shadowfax Reverse"/>
    <s v="237943173317475"/>
    <s v="R1528816333NYK"/>
    <s v="Item return to seller initiated at Mumbai DC"/>
    <s v="Reverse PickUP Done"/>
    <s v="Product didn't fit"/>
    <s v="RET_11293096-0170157"/>
    <s v="NYK-32332425-8763194-1-1"/>
  </r>
  <r>
    <x v="242"/>
    <s v="NYK-31456870-0331850-1"/>
    <x v="229"/>
    <x v="192"/>
    <d v="2025-09-25T00:00:00"/>
    <x v="1"/>
    <s v="CUTAB00001075"/>
    <n v="1"/>
    <n v="1"/>
    <x v="1"/>
    <s v="Delhivery Surface Reverse"/>
    <s v="28449518148771"/>
    <s v="28449539405925"/>
    <s v="RETURN Accepted"/>
    <s v="Reverse PickUP Delivered"/>
    <s v="Product didn't fit"/>
    <s v="RET_10971247-8851606"/>
    <s v="NYK-31456870-0331850-1-1"/>
  </r>
  <r>
    <x v="243"/>
    <s v="NYK-31894453-3885723-4"/>
    <x v="230"/>
    <x v="193"/>
    <d v="2025-10-11T00:00:00"/>
    <x v="1"/>
    <s v="CUTAB00001076"/>
    <n v="1"/>
    <n v="1"/>
    <x v="1"/>
    <s v="Delhivery Surface Reverse"/>
    <s v="SF1835832770NYK"/>
    <s v="28449540106684"/>
    <s v="RETURN Accepted"/>
    <s v="Reverse PickUP Delivered"/>
    <s v="Product didn't fit"/>
    <s v="RET_11125553-3208294"/>
    <s v="NYK-31894453-3885723-4-1"/>
  </r>
  <r>
    <x v="244"/>
    <s v="NYK-32320642-1335453-1"/>
    <x v="231"/>
    <x v="194"/>
    <d v="2025-10-25T00:00:00"/>
    <x v="1"/>
    <s v="CUTAB00001078"/>
    <n v="1"/>
    <n v="1"/>
    <x v="2"/>
    <s v="Shadowfax Reverse"/>
    <s v="28449520694520"/>
    <s v="R1539930696NYK"/>
    <s v="Bag in transit for return at OneNCR DC"/>
    <s v="Reverse PickUP Done"/>
    <s v="Didn't like the quality of product"/>
    <s v="RET_11350588-7677064"/>
    <s v="NYK-32320642-1335453-1-1"/>
  </r>
  <r>
    <x v="245"/>
    <s v="NYK-32384772-4272833-1"/>
    <x v="232"/>
    <x v="195"/>
    <d v="2025-10-27T00:00:00"/>
    <x v="1"/>
    <s v="CUTAB00001080"/>
    <n v="1"/>
    <n v="1"/>
    <x v="1"/>
    <s v="Shadowfax Reverse"/>
    <s v="28449520981240"/>
    <s v="R1483694966NYK"/>
    <s v="Item Return To Seller Delivered at BOM_ReayRoad_FM"/>
    <s v="Reverse PickUP Delivered"/>
    <s v="Product didn't fit"/>
    <s v="RET_11289637-2494478"/>
    <s v="NYK-32384772-4272833-1-1"/>
  </r>
  <r>
    <x v="246"/>
    <s v="NYK-31887295-8600129-1"/>
    <x v="233"/>
    <x v="196"/>
    <d v="2025-10-13T00:00:00"/>
    <x v="1"/>
    <s v="CUTAB00001086"/>
    <n v="1"/>
    <n v="1"/>
    <x v="1"/>
    <s v="Delhivery Surface Reverse"/>
    <s v="SF1835832675NYK"/>
    <s v="28449540249845"/>
    <s v="RETURN Accepted"/>
    <s v="Reverse PickUP Delivered"/>
    <s v="Product didn't fit"/>
    <s v="RET_11148415-9444042"/>
    <s v="NYK-31887295-8600129-1-1"/>
  </r>
  <r>
    <x v="247"/>
    <s v="NYK-32311571-6211906-2-1"/>
    <x v="234"/>
    <x v="197"/>
    <d v="2025-10-19T00:00:00"/>
    <x v="0"/>
    <s v="CUTAB00001202"/>
    <n v="1"/>
    <n v="1"/>
    <x v="0"/>
    <s v="DelhiverySurface"/>
    <s v="28449522286762"/>
    <s v=""/>
    <s v=""/>
    <s v="Confirmed"/>
    <s v=""/>
    <s v=""/>
    <s v="NYK-32311571-6211906-2-1"/>
  </r>
  <r>
    <x v="247"/>
    <s v="NYK-32311571-6211906-2-1"/>
    <x v="234"/>
    <x v="198"/>
    <d v="2025-10-19T00:00:00"/>
    <x v="0"/>
    <s v="CUTAB00001207"/>
    <n v="1"/>
    <n v="1"/>
    <x v="0"/>
    <s v="DelhiverySurface"/>
    <s v="28449522286762"/>
    <s v=""/>
    <s v=""/>
    <s v="Confirmed"/>
    <s v=""/>
    <s v=""/>
    <s v="NYK-32311571-6211906-2-1"/>
  </r>
  <r>
    <x v="248"/>
    <s v="NYK-32285125-0110600-2"/>
    <x v="235"/>
    <x v="199"/>
    <d v="2025-10-24T00:00:00"/>
    <x v="1"/>
    <s v="CUTAB00001213"/>
    <n v="1"/>
    <n v="1"/>
    <x v="2"/>
    <s v="Shadowfax Reverse"/>
    <s v="28449520588444"/>
    <s v="R1501570561NYK"/>
    <s v="Item Return To Seller Delivered at BOM_ReayRoad_FM"/>
    <s v="Reverse PickUP Delivered"/>
    <s v="Didn't like the quality of product"/>
    <s v="RET_11256903-3262086"/>
    <s v="NYK-32285125-0110600-2-1"/>
  </r>
  <r>
    <x v="249"/>
    <s v="NYK-32392126-4703941-1"/>
    <x v="236"/>
    <x v="200"/>
    <d v="2025-10-21T00:00:00"/>
    <x v="1"/>
    <s v="CUTAB00001219"/>
    <n v="1"/>
    <n v="1"/>
    <x v="1"/>
    <s v="Delhivery Surface Reverse"/>
    <s v="28449520983211"/>
    <s v="28449541418101"/>
    <s v="Shipment Received at Facility"/>
    <s v="Reverse PickUP Done"/>
    <s v="Product didn't fit"/>
    <s v="RET_11306026-7221759"/>
    <s v="NYK-32392126-4703941-1-1"/>
  </r>
  <r>
    <x v="250"/>
    <s v="NYK-32409883-7186888-1"/>
    <x v="237"/>
    <x v="201"/>
    <d v="2025-10-21T00:00:00"/>
    <x v="1"/>
    <s v="CUTAB00001221"/>
    <n v="1"/>
    <n v="1"/>
    <x v="1"/>
    <s v="Delhivery Surface Reverse"/>
    <s v="237943175135364"/>
    <s v="28449541422850"/>
    <s v="Shipment Received at Facility"/>
    <s v="Reverse PickUP Done"/>
    <s v="Product didn't fit"/>
    <s v="RET_11310324-8047395"/>
    <s v="NYK-32409883-7186888-1-1"/>
  </r>
  <r>
    <x v="251"/>
    <s v="NYK-32305000-4269490-4"/>
    <x v="238"/>
    <x v="202"/>
    <d v="2025-10-24T00:00:00"/>
    <x v="1"/>
    <s v="CUTAB00001223"/>
    <n v="1"/>
    <n v="1"/>
    <x v="1"/>
    <s v="Shadowfax Reverse"/>
    <s v="88282000461"/>
    <s v="R1501575299NYK"/>
    <s v="Item Return To Seller Delivered at BOM_ReayRoad_FM"/>
    <s v="Reverse PickUP Delivered"/>
    <s v="Product didn't fit"/>
    <s v="RET_11264312-7448954"/>
    <s v="NYK-32305000-4269490-4-1"/>
  </r>
  <r>
    <x v="252"/>
    <s v="NYK-30978670-6566019-3"/>
    <x v="239"/>
    <x v="203"/>
    <d v="2025-09-11T00:00:00"/>
    <x v="1"/>
    <s v="TINAD00000164"/>
    <n v="1"/>
    <n v="1"/>
    <x v="1"/>
    <s v="Shadowfax Reverse"/>
    <s v="SF1835753151NYK"/>
    <s v="R1404653885NYK"/>
    <s v="Item Return To Seller Delivered at BOM_ReayRoad_FM"/>
    <s v="Reverse PickUP Delivered"/>
    <s v="I dint like the fit of the pant. Extremely loose. "/>
    <s v="RET_10783029-0655854"/>
    <s v="NYK-30978670-6566019-3-1"/>
  </r>
  <r>
    <x v="253"/>
    <s v="NYK-31754627-8007910-1"/>
    <x v="240"/>
    <x v="204"/>
    <d v="2025-10-06T00:00:00"/>
    <x v="1"/>
    <s v="TINAD00000547"/>
    <n v="1"/>
    <n v="1"/>
    <x v="2"/>
    <s v="Delhivery Surface Reverse"/>
    <s v="28449537506420"/>
    <s v="28449539777673"/>
    <s v="RETURN Accepted"/>
    <s v="Reverse PickUP Delivered"/>
    <s v="Fabric quality not good."/>
    <s v="RET_11057464-4024770"/>
    <s v="NYK-31754627-8007910-1-1"/>
  </r>
  <r>
    <x v="254"/>
    <s v="NYK-31442695-9517703-2"/>
    <x v="241"/>
    <x v="205"/>
    <d v="2025-09-26T00:00:00"/>
    <x v="1"/>
    <s v="TINAD00000556"/>
    <n v="1"/>
    <n v="1"/>
    <x v="2"/>
    <s v="Shadowfax Reverse"/>
    <s v="59494803594"/>
    <s v="R1408517501NYK"/>
    <s v="Item Return To Seller Delivered at BOM_ReayRoad_FM"/>
    <s v="Reverse PickUP Delivered"/>
    <s v="Didn't like the quality of product"/>
    <s v="RET_10952291-2451022"/>
    <s v="NYK-31442695-9517703-2-1"/>
  </r>
  <r>
    <x v="255"/>
    <s v="NYK-31617881-6065113-1"/>
    <x v="242"/>
    <x v="206"/>
    <d v="2025-10-07T00:00:00"/>
    <x v="1"/>
    <s v="TINAD00000250"/>
    <n v="1"/>
    <n v="1"/>
    <x v="1"/>
    <s v="Shadowfax Reverse"/>
    <s v="28449518479580"/>
    <s v="R1466719375NYK"/>
    <s v="Item Return To Seller Delivered at BOM_ReayRoad_FM"/>
    <s v="Reverse PickUP Delivered"/>
    <s v="Size issues "/>
    <s v="RET_11071042-5673204"/>
    <s v="NYK-31617881-6065113-1-1"/>
  </r>
  <r>
    <x v="256"/>
    <s v="NYK-29579439-6484505-1"/>
    <x v="243"/>
    <x v="207"/>
    <d v="2025-07-30T00:00:00"/>
    <x v="1"/>
    <s v="TINAD00000005"/>
    <n v="1"/>
    <n v="1"/>
    <x v="1"/>
    <s v="Shadowfax Reverse"/>
    <s v="28449508147635"/>
    <s v="R1330291429NYK"/>
    <s v="Item Return To Seller Delivered at BOM_ReayRoad_FM"/>
    <s v="Reverse PickUP Delivered"/>
    <s v="Product didn't fit- Too Large"/>
    <s v="RET_10269158-9349478"/>
    <s v="NYK-29579439-6484505-1-1"/>
  </r>
  <r>
    <x v="257"/>
    <s v="NYK-28680361-4828262-2-1"/>
    <x v="244"/>
    <x v="208"/>
    <d v="2025-06-19T00:00:00"/>
    <x v="0"/>
    <s v="TINAD00000006"/>
    <n v="1"/>
    <n v="1"/>
    <x v="0"/>
    <s v="DelhiverySurface"/>
    <s v="28449501299421"/>
    <s v=""/>
    <s v=""/>
    <s v="Reverse PickUP Delivered"/>
    <s v=""/>
    <s v=""/>
    <s v="NYK-28680361-4828262-2-1"/>
  </r>
  <r>
    <x v="258"/>
    <s v="NYK-31932645-4823425-2-1"/>
    <x v="245"/>
    <x v="209"/>
    <d v="2025-10-24T00:00:00"/>
    <x v="0"/>
    <s v="TINAD00000079"/>
    <n v="1"/>
    <n v="1"/>
    <x v="0"/>
    <s v="Shadowfax"/>
    <s v="SF1835865163NYK"/>
    <s v=""/>
    <s v=""/>
    <s v="Reverse PickUP Delivered"/>
    <s v=""/>
    <s v=""/>
    <s v="NYK-31932645-4823425-2-1"/>
  </r>
  <r>
    <x v="259"/>
    <s v="NYK-31390982-6502598-1"/>
    <x v="246"/>
    <x v="210"/>
    <d v="2025-10-09T00:00:00"/>
    <x v="1"/>
    <s v="TINAD00000084"/>
    <n v="1"/>
    <n v="1"/>
    <x v="1"/>
    <s v="Shadowfax Reverse"/>
    <s v="28449516985091"/>
    <s v="R1411539252NYK"/>
    <s v="Item Return To Seller Delivered at BOM_ReayRoad_FM"/>
    <s v="Reverse PickUP Delivered"/>
    <s v="Product didn't fit"/>
    <s v="RET_10944357-1043166"/>
    <s v="NYK-31390982-6502598-1-1"/>
  </r>
  <r>
    <x v="260"/>
    <s v="NYK-31233598-3281228-4"/>
    <x v="247"/>
    <x v="211"/>
    <d v="2025-09-29T00:00:00"/>
    <x v="1"/>
    <s v="TINAD00000085"/>
    <n v="1"/>
    <n v="1"/>
    <x v="2"/>
    <s v="Shadowfax Reverse"/>
    <s v="SF1686952929NYK"/>
    <s v="R1425573457NYK"/>
    <s v="Item Return To Seller Delivered at BOM_ReayRoad_FM"/>
    <s v="Reverse PickUP Delivered"/>
    <s v="Didn't like the quality of product"/>
    <s v="RET_10910991-0737764"/>
    <s v="NYK-31233598-3281228-4-1"/>
  </r>
  <r>
    <x v="261"/>
    <s v="NYK-32255483-9312759-2"/>
    <x v="248"/>
    <x v="211"/>
    <d v="2025-10-27T00:00:00"/>
    <x v="1"/>
    <s v="TINAD00000085"/>
    <n v="1"/>
    <n v="1"/>
    <x v="2"/>
    <s v="Shadowfax Reverse"/>
    <s v="28449520501946"/>
    <s v="R1501560064NYK"/>
    <s v="Item Return To Seller Delivered at BOM_ReayRoad_FM"/>
    <s v="Reverse PickUP Delivered"/>
    <s v="Didn’t like the quality of product"/>
    <s v="RET_11252967-6180685"/>
    <s v="NYK-32255483-9312759-2-1"/>
  </r>
  <r>
    <x v="262"/>
    <s v="NYK-32048316-0083109-1"/>
    <x v="249"/>
    <x v="212"/>
    <d v="2025-10-24T00:00:00"/>
    <x v="1"/>
    <s v="TINAD00000203"/>
    <n v="1"/>
    <n v="1"/>
    <x v="1"/>
    <s v="Shadowfax Reverse"/>
    <s v="28449519874610"/>
    <s v="R1483685153NYK"/>
    <s v="Item Return To Seller Delivered at BOM_ReayRoad_FM"/>
    <s v="Reverse PickUP Delivered"/>
    <s v="Images are clear"/>
    <s v="RET_11196428-8317676"/>
    <s v="NYK-32048316-0083109-1-1"/>
  </r>
  <r>
    <x v="263"/>
    <s v="NYK-31793412-1444463-1"/>
    <x v="250"/>
    <x v="213"/>
    <d v="2025-10-11T00:00:00"/>
    <x v="1"/>
    <s v="TINAD00000205"/>
    <n v="1"/>
    <n v="1"/>
    <x v="1"/>
    <s v="Delhivery Surface Reverse"/>
    <s v="28449518911572"/>
    <s v="28449540119004"/>
    <s v="RETURN Accepted"/>
    <s v="Reverse PickUP Delivered"/>
    <s v="Product didn't fit"/>
    <s v="RET_11125981-6271848"/>
    <s v="NYK-31793412-1444463-1-1"/>
  </r>
  <r>
    <x v="264"/>
    <s v="NYK-31628925-2346748-1"/>
    <x v="251"/>
    <x v="214"/>
    <d v="2025-10-04T00:00:00"/>
    <x v="1"/>
    <s v="TINAD00000211"/>
    <n v="1"/>
    <n v="1"/>
    <x v="1"/>
    <s v="Shadowfax Reverse"/>
    <s v="28449537154795"/>
    <s v="R1435754808NYK"/>
    <s v="Item Return To Seller Delivered at BOM_ReayRoad_FM"/>
    <s v="Reverse PickUP Delivered"/>
    <s v="Product didn't fit"/>
    <s v="RET_11047860-4430015"/>
    <s v="NYK-31628925-2346748-1-1"/>
  </r>
  <r>
    <x v="265"/>
    <s v="NYK-31132402-1044484-1"/>
    <x v="252"/>
    <x v="215"/>
    <d v="2025-09-11T00:00:00"/>
    <x v="1"/>
    <s v="TINAD00000212"/>
    <n v="1"/>
    <n v="1"/>
    <x v="2"/>
    <s v="Delhivery Surface Reverse"/>
    <s v="59494668295"/>
    <s v="28449538612033"/>
    <s v="RETURN Accepted"/>
    <s v="Reverse PickUP Delivered"/>
    <s v="Not value for money poor quality"/>
    <s v="RET_10808706-5900595"/>
    <s v="NYK-31132402-1044484-1-1"/>
  </r>
  <r>
    <x v="266"/>
    <s v="NYK-31360624-1451798-1-1"/>
    <x v="253"/>
    <x v="216"/>
    <d v="2025-09-24T00:00:00"/>
    <x v="0"/>
    <s v="TINAD00000521"/>
    <n v="1"/>
    <n v="1"/>
    <x v="0"/>
    <s v="DelhiverySurface"/>
    <s v="28449517831133"/>
    <s v=""/>
    <s v=""/>
    <s v="Reverse PickUP Delivered"/>
    <s v=""/>
    <s v=""/>
    <s v="NYK-31360624-1451798-1-1"/>
  </r>
  <r>
    <x v="267"/>
    <s v="NYK-31617881-6065113-1"/>
    <x v="242"/>
    <x v="217"/>
    <d v="2025-09-30T00:00:00"/>
    <x v="1"/>
    <s v="TINAD00000522"/>
    <n v="1"/>
    <n v="1"/>
    <x v="1"/>
    <s v="Shadowfax Reverse"/>
    <s v="28449518479580"/>
    <s v="R1435778873NYK"/>
    <s v="Item return to seller initiated at Lucknow DC"/>
    <s v="Reverse PickUP Done"/>
    <s v="Size"/>
    <s v="RET_11071048-5741867"/>
    <s v="NYK-31617881-6065113-1-1"/>
  </r>
  <r>
    <x v="266"/>
    <s v="NYK-31360624-1451798-1-1"/>
    <x v="253"/>
    <x v="218"/>
    <d v="2025-09-24T00:00:00"/>
    <x v="0"/>
    <s v="TINAD00000514"/>
    <n v="1"/>
    <n v="1"/>
    <x v="0"/>
    <s v="DelhiverySurface"/>
    <s v="28449517831133"/>
    <s v=""/>
    <s v=""/>
    <s v="Reverse PickUP Delivered"/>
    <s v=""/>
    <s v=""/>
    <s v="NYK-31360624-1451798-1-1"/>
  </r>
  <r>
    <x v="268"/>
    <s v="NYK-31793412-1444463-1"/>
    <x v="250"/>
    <x v="219"/>
    <d v="2025-10-13T00:00:00"/>
    <x v="1"/>
    <s v="TINAD00000108"/>
    <n v="1"/>
    <n v="1"/>
    <x v="1"/>
    <s v="Delhivery Surface Reverse"/>
    <s v="28449518911572"/>
    <s v="28449540121476"/>
    <s v="RETURN Accepted"/>
    <s v="Reverse PickUP Delivered"/>
    <s v="Product didn't fit"/>
    <s v="RET_11125972-6221925"/>
    <s v="NYK-31793412-1444463-1-1"/>
  </r>
  <r>
    <x v="269"/>
    <s v="NYK-31339915-2903347-1"/>
    <x v="254"/>
    <x v="220"/>
    <d v="2025-09-22T00:00:00"/>
    <x v="1"/>
    <s v="TINAD00000112"/>
    <n v="1"/>
    <n v="1"/>
    <x v="1"/>
    <s v="Delhivery Surface Reverse"/>
    <s v="SF1686972325NYK"/>
    <s v="28449539111575"/>
    <s v="RETURN Accepted"/>
    <s v="Reverse PickUP Delivered"/>
    <s v="Product didn't fit"/>
    <s v="RET_10908525-7281813"/>
    <s v="NYK-31339915-2903347-1-1"/>
  </r>
  <r>
    <x v="270"/>
    <s v="NYK-31248590-8773922-1"/>
    <x v="255"/>
    <x v="221"/>
    <d v="2025-09-20T00:00:00"/>
    <x v="1"/>
    <s v="TINAD00000114"/>
    <n v="1"/>
    <n v="1"/>
    <x v="2"/>
    <s v="Delhivery Surface Reverse"/>
    <s v="SF1835701926NYK"/>
    <s v="28449539139542"/>
    <s v="RETURN Accepted"/>
    <s v="Reverse PickUP Delivered"/>
    <s v="Febric is not good ?Nd not looks good "/>
    <s v="RET_10914766-2373477"/>
    <s v="NYK-31248590-8773922-1-1"/>
  </r>
  <r>
    <x v="271"/>
    <s v="NYK-31103383-1253828-1"/>
    <x v="256"/>
    <x v="222"/>
    <d v="2025-09-12T00:00:00"/>
    <x v="1"/>
    <s v="TINAD00000115"/>
    <n v="1"/>
    <n v="1"/>
    <x v="2"/>
    <s v="Delhivery Surface Reverse"/>
    <s v="88281395285"/>
    <s v="28449538664942"/>
    <s v="RETURN Accepted"/>
    <s v="Reverse PickUP Delivered"/>
    <s v="The dress is not good and fabric is worst and the quality is very bad "/>
    <s v="RET_10813635-6143332"/>
    <s v="NYK-31103383-1253828-1-1"/>
  </r>
  <r>
    <x v="272"/>
    <s v="NYK-31643892-7480367-2"/>
    <x v="257"/>
    <x v="223"/>
    <d v="2025-10-16T00:00:00"/>
    <x v="1"/>
    <s v="TINAD00000116"/>
    <n v="1"/>
    <n v="1"/>
    <x v="2"/>
    <s v="Shadowfax Reverse"/>
    <s v="SF1687030600NYK"/>
    <s v="R1483697238NYK"/>
    <s v="Item Return To Seller Delivered at BOM_ReayRoad_FM"/>
    <s v="Reverse PickUP Delivered"/>
    <s v="Didn't like the quality of product"/>
    <s v="RET_11146656-9447335"/>
    <s v="NYK-31643892-7480367-2-1"/>
  </r>
  <r>
    <x v="273"/>
    <s v="NYK-32047794-8474444-1"/>
    <x v="258"/>
    <x v="224"/>
    <d v="2025-10-17T00:00:00"/>
    <x v="1"/>
    <s v="TINAD00000256"/>
    <n v="1"/>
    <n v="1"/>
    <x v="1"/>
    <s v="Shadowfax Reverse"/>
    <s v="28449519870771"/>
    <s v="R1466723446NYK"/>
    <s v="Item received at RTS destination hub BOM_ReayRoad_FM"/>
    <s v="Reverse PickUP Done"/>
    <s v="Product didn't fit"/>
    <s v="RET_11201539-3998523"/>
    <s v="NYK-32047794-8474444-1-1"/>
  </r>
  <r>
    <x v="274"/>
    <s v="NYK-30219565-5511255-1"/>
    <x v="259"/>
    <x v="225"/>
    <d v="2025-08-30T00:00:00"/>
    <x v="1"/>
    <s v="TINAD00000257"/>
    <n v="1"/>
    <n v="1"/>
    <x v="1"/>
    <s v="Shadowfax Reverse"/>
    <s v="28449504085900"/>
    <s v="R1355934755NYK"/>
    <s v="Item Return To Seller Delivered at BOM_ReayRoad_FM"/>
    <s v="Reverse PickUP Delivered"/>
    <s v="Product didn't fit- Too Large"/>
    <s v="RET_10483607-8222126"/>
    <s v="NYK-30219565-5511255-1-1"/>
  </r>
  <r>
    <x v="275"/>
    <s v="NYK-31614771-8712561-1"/>
    <x v="260"/>
    <x v="225"/>
    <d v="2025-10-03T00:00:00"/>
    <x v="1"/>
    <s v="TINAD00000257"/>
    <n v="1"/>
    <n v="1"/>
    <x v="1"/>
    <s v="Shadowfax Reverse"/>
    <s v="28449537157772"/>
    <s v="R1449322674NYK"/>
    <s v="Item Return To Seller Delivered at BOM_ReayRoad_FM"/>
    <s v="Reverse PickUP Delivered"/>
    <s v="Product didn't fit"/>
    <s v="RET_11038452-3497778"/>
    <s v="NYK-31614771-8712561-1-1"/>
  </r>
  <r>
    <x v="276"/>
    <s v="NYK-31621872-6205969-2-1"/>
    <x v="261"/>
    <x v="226"/>
    <d v="2025-10-14T00:00:00"/>
    <x v="0"/>
    <s v="TINAD00000259"/>
    <n v="1"/>
    <n v="1"/>
    <x v="0"/>
    <s v="Shadowfax"/>
    <s v="SF1835792148NYK"/>
    <s v=""/>
    <s v=""/>
    <s v="Reverse PickUP Delivered"/>
    <s v=""/>
    <s v=""/>
    <s v="NYK-31621872-6205969-2-1"/>
  </r>
  <r>
    <x v="277"/>
    <s v="NYK-30720007-2408942-1"/>
    <x v="262"/>
    <x v="227"/>
    <d v="2025-09-04T00:00:00"/>
    <x v="1"/>
    <s v="TINAD00000260"/>
    <n v="1"/>
    <n v="1"/>
    <x v="1"/>
    <s v="Shadowfax Reverse"/>
    <s v="SF1835652186NYK"/>
    <s v="R1380428836NYK"/>
    <s v="Item Return To Seller Delivered at BOM_ReayRoad_FM"/>
    <s v="Reverse PickUP Delivered"/>
    <s v="Product didn't fit- Too Large"/>
    <s v="RET_10673770-9216566"/>
    <s v="NYK-30720007-2408942-1-1"/>
  </r>
  <r>
    <x v="278"/>
    <s v="NYK-30830148-9216797-1"/>
    <x v="263"/>
    <x v="228"/>
    <d v="2025-09-11T00:00:00"/>
    <x v="1"/>
    <s v="TINAD00000261"/>
    <n v="1"/>
    <n v="1"/>
    <x v="1"/>
    <s v="Shadowfax Reverse"/>
    <s v="SF1835662020NYK"/>
    <s v="R1393013878NYK"/>
    <s v="Item Return To Seller Delivered at BOM_ReayRoad_FM"/>
    <s v="Reverse PickUP Delivered"/>
    <s v="Product didn't fit- Too Large"/>
    <s v="RET_10751918-0954819"/>
    <s v="NYK-30830148-9216797-1-1"/>
  </r>
  <r>
    <x v="279"/>
    <s v="NYK-30855526-7943386-1"/>
    <x v="264"/>
    <x v="228"/>
    <d v="2025-09-11T00:00:00"/>
    <x v="1"/>
    <s v="TINAD00000261"/>
    <n v="1"/>
    <n v="1"/>
    <x v="1"/>
    <s v="Shadowfax Reverse"/>
    <s v="SF1835662165NYK"/>
    <s v="R1402708918NYK"/>
    <s v="Item Return To Seller Delivered at BOM_ReayRoad_FM"/>
    <s v="Reverse PickUP Delivered"/>
    <s v="Product didn't fit- Too Large"/>
    <s v="RET_10772728-8937659"/>
    <s v="NYK-30855526-7943386-1-1"/>
  </r>
  <r>
    <x v="280"/>
    <s v="NYK-32030101-8465440-1-1"/>
    <x v="265"/>
    <x v="228"/>
    <d v="2025-10-16T00:00:00"/>
    <x v="0"/>
    <s v="TINAD00000261"/>
    <n v="1"/>
    <n v="1"/>
    <x v="0"/>
    <s v="Shadowfax"/>
    <s v="SF1835856296NYK"/>
    <s v=""/>
    <s v=""/>
    <s v="Confirmed"/>
    <s v=""/>
    <s v=""/>
    <s v="NYK-32030101-8465440-1-1"/>
  </r>
  <r>
    <x v="281"/>
    <s v="NYK-32499144-8063121-1"/>
    <x v="266"/>
    <x v="229"/>
    <d v="2025-10-22T00:00:00"/>
    <x v="1"/>
    <s v="TINAD00000262"/>
    <n v="1"/>
    <n v="1"/>
    <x v="2"/>
    <s v="Delhivery Surface Reverse"/>
    <s v="28449521353706"/>
    <s v="28449541466224"/>
    <s v="Bag Added To Trip"/>
    <s v="Reverse PickUP Done"/>
    <s v="Didn't like the quality of product"/>
    <s v="RET_11320167-7788078"/>
    <s v="NYK-32499144-8063121-1-1"/>
  </r>
  <r>
    <x v="282"/>
    <s v="NYK-32247778-2847338-4"/>
    <x v="267"/>
    <x v="230"/>
    <d v="2025-10-15T00:00:00"/>
    <x v="1"/>
    <s v="TINAD00000263"/>
    <n v="1"/>
    <n v="1"/>
    <x v="2"/>
    <s v="Delhivery Surface Reverse"/>
    <s v="28449520507222"/>
    <s v="28449541122760"/>
    <s v="Shipment Received at Facility"/>
    <s v="Reverse PickUP Done"/>
    <s v="Didn’t like the quality of product"/>
    <s v="RET_11241699-3896503"/>
    <s v="NYK-32247778-2847338-4-1"/>
  </r>
  <r>
    <x v="283"/>
    <s v="NYK-32320008-0448539-2-1"/>
    <x v="268"/>
    <x v="230"/>
    <d v="2025-10-25T00:00:00"/>
    <x v="0"/>
    <s v="TINAD00000263"/>
    <n v="1"/>
    <n v="1"/>
    <x v="0"/>
    <s v="DelhiverySurface"/>
    <s v="28449522285023"/>
    <s v=""/>
    <s v=""/>
    <s v="Reverse PickUP Delivered"/>
    <s v=""/>
    <s v=""/>
    <s v="NYK-32320008-0448539-2-1"/>
  </r>
  <r>
    <x v="284"/>
    <s v="NYK-31793412-1444463-1"/>
    <x v="250"/>
    <x v="231"/>
    <d v="2025-10-13T00:00:00"/>
    <x v="1"/>
    <s v="TINAD00000626"/>
    <n v="1"/>
    <n v="1"/>
    <x v="1"/>
    <s v="Delhivery Surface Reverse"/>
    <s v="28449518911572"/>
    <s v="28449540119984"/>
    <s v="RETURN Accepted"/>
    <s v="Reverse PickUP Delivered"/>
    <s v="Product didn't fit"/>
    <s v="RET_11125961-6152244"/>
    <s v="NYK-31793412-1444463-1-1"/>
  </r>
  <r>
    <x v="285"/>
    <s v="NYK-30844782-2332057-1"/>
    <x v="269"/>
    <x v="232"/>
    <d v="2025-08-28T00:00:00"/>
    <x v="1"/>
    <s v="TINAD00000033"/>
    <n v="1"/>
    <n v="1"/>
    <x v="1"/>
    <s v="Delhivery Surface Reverse"/>
    <s v="SF1835670019NYK"/>
    <s v="28449536651370"/>
    <s v="RETURN Accepted"/>
    <s v="Reverse PickUP Delivered"/>
    <s v="Product didn't fit- Too Small"/>
    <s v="RET_10712879-9613220"/>
    <s v="NYK-30844782-2332057-1-1"/>
  </r>
  <r>
    <x v="286"/>
    <s v="NYK-32055251-5141451-3"/>
    <x v="270"/>
    <x v="233"/>
    <d v="2025-10-27T00:00:00"/>
    <x v="1"/>
    <s v="TINAD00000267"/>
    <n v="1"/>
    <n v="1"/>
    <x v="4"/>
    <s v="Shadowfax Reverse"/>
    <s v="SF1835859838NYK"/>
    <s v="R1513794993NYK"/>
    <s v="Item Return To Seller Delivered at BOM_ReayRoad_FM"/>
    <s v="Reverse PickUP Delivered"/>
    <s v="Don't need it anymore"/>
    <s v="RET_11233458-5300546"/>
    <s v="NYK-32055251-5141451-3-1"/>
  </r>
  <r>
    <x v="287"/>
    <s v="NYK-31161812-0233907-1-1"/>
    <x v="271"/>
    <x v="234"/>
    <d v="2025-09-20T00:00:00"/>
    <x v="0"/>
    <s v="TINAD00000271"/>
    <n v="1"/>
    <n v="1"/>
    <x v="0"/>
    <s v="Shadowfax"/>
    <s v="SF1835689647NYK"/>
    <s v=""/>
    <s v=""/>
    <s v="Reverse PickUP Delivered"/>
    <s v=""/>
    <s v=""/>
    <s v="NYK-31161812-0233907-1-1"/>
  </r>
  <r>
    <x v="288"/>
    <s v="NYK-31736410-1067072-6"/>
    <x v="272"/>
    <x v="235"/>
    <d v="2025-10-11T00:00:00"/>
    <x v="1"/>
    <s v="TINAD00000272"/>
    <n v="1"/>
    <n v="1"/>
    <x v="1"/>
    <s v="Shadowfax Reverse"/>
    <s v="SF1835810283NYK"/>
    <s v="R1435771649NYK"/>
    <s v="Item Return To Seller Delivered at BOM_ReayRoad_FM"/>
    <s v="Reverse PickUP Delivered"/>
    <s v="Product didn't fit"/>
    <s v="RET_11121978-5188918"/>
    <s v="NYK-31736410-1067072-6-1"/>
  </r>
  <r>
    <x v="289"/>
    <s v="NYK-31793370-1336364-2-1"/>
    <x v="273"/>
    <x v="236"/>
    <d v="2025-10-11T00:00:00"/>
    <x v="0"/>
    <s v="TINAD00000643"/>
    <n v="1"/>
    <n v="1"/>
    <x v="0"/>
    <s v="Shadowfax"/>
    <s v="SF1835847182NYK"/>
    <s v=""/>
    <s v=""/>
    <s v="Confirmed"/>
    <s v=""/>
    <s v=""/>
    <s v="NYK-31793370-1336364-2-1"/>
  </r>
  <r>
    <x v="290"/>
    <s v="NYK-29785723-0211354-1"/>
    <x v="274"/>
    <x v="237"/>
    <d v="2025-07-30T00:00:00"/>
    <x v="1"/>
    <s v="TINAD00000100"/>
    <n v="1"/>
    <n v="1"/>
    <x v="1"/>
    <s v="Shadowfax Reverse"/>
    <s v="88280146813"/>
    <s v="R1336440592NYK"/>
    <s v="Item Return To Seller Delivered at BOM_ReayRoad_FM"/>
    <s v="Reverse PickUP Delivered"/>
    <s v="Product didn't fit- Too Large"/>
    <s v="RET_10310944-5356548"/>
    <s v="NYK-29785723-0211354-1-1"/>
  </r>
  <r>
    <x v="291"/>
    <s v="NYK-31065076-3815090-3"/>
    <x v="275"/>
    <x v="238"/>
    <d v="2025-09-13T00:00:00"/>
    <x v="1"/>
    <s v="TINAD00000105"/>
    <n v="1"/>
    <n v="1"/>
    <x v="1"/>
    <s v="Shadowfax Reverse"/>
    <s v="SF1835758582NYK"/>
    <s v="R1408446922NYK"/>
    <s v="Item Return To Seller Delivered at BOM_ReayRoad_FM"/>
    <s v="Reverse PickUP Delivered"/>
    <s v="The fit is not proper as mentioned in the website.please return"/>
    <s v="RET_10814187-9183962"/>
    <s v="NYK-31065076-3815090-3-1"/>
  </r>
  <r>
    <x v="292"/>
    <s v="NYK-30091549-0703626-2"/>
    <x v="276"/>
    <x v="239"/>
    <d v="2025-08-30T00:00:00"/>
    <x v="1"/>
    <s v="TINAD00000289"/>
    <n v="1"/>
    <n v="1"/>
    <x v="4"/>
    <s v="Shadowfax Reverse"/>
    <s v="237943148204500"/>
    <s v="R1349941558NYK"/>
    <s v="Item Return To Seller Delivered at BOM_ReayRoad_FM"/>
    <s v="Reverse PickUP Delivered"/>
    <s v="Change of mind - Don't need it anymore"/>
    <s v="RET_10443069-0521065"/>
    <s v="NYK-30091549-0703626-2-1"/>
  </r>
  <r>
    <x v="293"/>
    <s v="NYK-32149690-5827160-1-1"/>
    <x v="277"/>
    <x v="240"/>
    <d v="2025-10-25T00:00:00"/>
    <x v="0"/>
    <s v="TINAD00000602"/>
    <n v="1"/>
    <n v="1"/>
    <x v="0"/>
    <s v="DelhiverySurface"/>
    <s v="28449521848750"/>
    <s v=""/>
    <s v=""/>
    <s v="Reverse PickUP Delivered"/>
    <s v=""/>
    <s v=""/>
    <s v="NYK-32149690-5827160-1-1"/>
  </r>
  <r>
    <x v="294"/>
    <s v="NYK-32144171-4739451-1"/>
    <x v="278"/>
    <x v="241"/>
    <d v="2025-10-18T00:00:00"/>
    <x v="1"/>
    <s v="TINAD00000696"/>
    <n v="1"/>
    <n v="1"/>
    <x v="2"/>
    <s v="Delhivery Surface Reverse"/>
    <s v="28449521862363"/>
    <s v="28449541252691"/>
    <s v="Bag Received at Facility"/>
    <s v="Reverse PickUP Done"/>
    <s v="Poor quality"/>
    <s v="RET_11275056-4403916"/>
    <s v="NYK-32144171-4739451-1-1"/>
  </r>
  <r>
    <x v="295"/>
    <s v="NYK-31277861-1135817-2-1"/>
    <x v="279"/>
    <x v="242"/>
    <d v="2025-09-22T00:00:00"/>
    <x v="0"/>
    <s v="TINAD00000281"/>
    <n v="1"/>
    <n v="1"/>
    <x v="0"/>
    <s v="DelhiverySurface"/>
    <s v="28449517644664"/>
    <s v=""/>
    <s v=""/>
    <s v="Reverse PickUP Delivered"/>
    <s v=""/>
    <s v=""/>
    <s v="NYK-31277861-1135817-2-1"/>
  </r>
  <r>
    <x v="296"/>
    <s v="NYK-31910269-9146435-3"/>
    <x v="280"/>
    <x v="243"/>
    <d v="2025-10-10T00:00:00"/>
    <x v="1"/>
    <s v="TINAD00000753"/>
    <n v="1"/>
    <n v="1"/>
    <x v="4"/>
    <s v="Shadowfax Reverse"/>
    <s v="SF1835832287NYK"/>
    <s v="R1483689335NYK"/>
    <s v="Item Return To Seller Delivered at BOM_ReayRoad_FM"/>
    <s v="Reverse PickUP Delivered"/>
    <s v="Don't need it anymore"/>
    <s v="RET_11131252-8925183"/>
    <s v="NYK-31910269-9146435-3-1"/>
  </r>
  <r>
    <x v="297"/>
    <s v="NYK-31611576-1333839-1"/>
    <x v="281"/>
    <x v="244"/>
    <d v="2025-10-04T00:00:00"/>
    <x v="1"/>
    <s v="BETAE00000460"/>
    <n v="1"/>
    <n v="1"/>
    <x v="6"/>
    <s v="Shadowfax Reverse"/>
    <s v="SF1687022985NYK"/>
    <s v="R1449324317NYK"/>
    <s v="Item Return To Seller Delivered at BOM_ReayRoad_FM"/>
    <s v="Reverse PickUP Delivered"/>
    <s v="Images are clear"/>
    <s v="RET_11016043-0446764"/>
    <s v="NYK-31611576-1333839-1-1"/>
  </r>
  <r>
    <x v="298"/>
    <s v="NYK-31177835-7193663-1"/>
    <x v="30"/>
    <x v="245"/>
    <d v="2025-09-25T00:00:00"/>
    <x v="1"/>
    <s v="BETAE00000416"/>
    <n v="1"/>
    <n v="1"/>
    <x v="2"/>
    <s v="Shadowfax Reverse"/>
    <s v="28449538354116"/>
    <s v="R1425560583NYK"/>
    <s v="Item Return To Seller Delivered at BOM_ReayRoad_FM"/>
    <s v="Reverse PickUP Delivered"/>
    <s v="Didn't like the quality of product"/>
    <s v="RET_10890006-2625327"/>
    <s v="NYK-31177835-7193663-1-1"/>
  </r>
  <r>
    <x v="299"/>
    <s v="NYK-32153685-5409393-1"/>
    <x v="282"/>
    <x v="246"/>
    <d v="2025-10-25T00:00:00"/>
    <x v="1"/>
    <s v="BETAE00000247"/>
    <n v="1"/>
    <n v="1"/>
    <x v="2"/>
    <s v="Shadowfax Reverse"/>
    <s v="237943174947053"/>
    <s v="R1435776196NYK"/>
    <s v="Bag in transit for return at Satna DC"/>
    <s v="Reverse PickUP Done"/>
    <s v="Didn't like the quality of product"/>
    <s v="RET_11309465-1031280"/>
    <s v="NYK-32153685-5409393-1-1"/>
  </r>
  <r>
    <x v="300"/>
    <s v="NYK-30513986-5815935-1"/>
    <x v="283"/>
    <x v="247"/>
    <d v="2025-09-13T00:00:00"/>
    <x v="1"/>
    <s v="BETAE00000070"/>
    <n v="1"/>
    <n v="1"/>
    <x v="2"/>
    <s v="Shadowfax Reverse"/>
    <s v="237943149976933"/>
    <s v="R1375557238NYK"/>
    <s v="Item Return To Seller Delivered at BOM_ReayRoad_FM"/>
    <s v="Reverse PickUP Delivered"/>
    <s v="Didn't like the quality of product"/>
    <s v="RET_10630279-6221045"/>
    <s v="NYK-30513986-5815935-1-1"/>
  </r>
  <r>
    <x v="301"/>
    <s v="NYK-31177835-7193663-1"/>
    <x v="30"/>
    <x v="248"/>
    <d v="2025-09-25T00:00:00"/>
    <x v="1"/>
    <s v="BETAE00000206"/>
    <n v="1"/>
    <n v="1"/>
    <x v="2"/>
    <s v="Shadowfax Reverse"/>
    <s v="28449538354116"/>
    <s v="R1425573251NYK"/>
    <s v="Item Return To Seller Delivered at BOM_ReayRoad_FM"/>
    <s v="Reverse PickUP Delivered"/>
    <s v="Didn't like the quality of product"/>
    <s v="RET_10889988-2466851"/>
    <s v="NYK-31177835-7193663-1-1"/>
  </r>
  <r>
    <x v="302"/>
    <s v="NYK-31168865-0045079-2"/>
    <x v="284"/>
    <x v="249"/>
    <d v="2025-09-15T00:00:00"/>
    <x v="1"/>
    <s v="BETAE00000277"/>
    <n v="1"/>
    <n v="1"/>
    <x v="2"/>
    <s v="Delhivery Surface Reverse"/>
    <s v="28449538118231"/>
    <s v="28449538814414"/>
    <s v="RETURN Accepted"/>
    <s v="Reverse PickUP Delivered"/>
    <s v="Didn't like the quality of product"/>
    <s v="RET_10847620-1078575"/>
    <s v="NYK-31168865-0045079-2-1"/>
  </r>
  <r>
    <x v="303"/>
    <s v="NYK-31349897-2781504-1-1"/>
    <x v="285"/>
    <x v="249"/>
    <d v="2025-09-26T00:00:00"/>
    <x v="0"/>
    <s v="BETAE00000277"/>
    <n v="1"/>
    <n v="1"/>
    <x v="0"/>
    <s v="Shadowfax"/>
    <s v="SF1835705821NYK"/>
    <s v=""/>
    <s v=""/>
    <s v="Reverse PickUP Delivered"/>
    <s v=""/>
    <s v=""/>
    <s v="NYK-31349897-2781504-1-1"/>
  </r>
  <r>
    <x v="304"/>
    <s v="NYK-31696742-7413251-1"/>
    <x v="286"/>
    <x v="250"/>
    <d v="2025-10-06T00:00:00"/>
    <x v="1"/>
    <s v="BETAE00000278"/>
    <n v="1"/>
    <n v="1"/>
    <x v="1"/>
    <s v="Delhivery Surface Reverse"/>
    <s v="28449518648755"/>
    <s v="28449539810680"/>
    <s v="RETURN Accepted"/>
    <s v="Reverse PickUP Delivered"/>
    <s v="Not like the fit"/>
    <s v="RET_11066577-2684108"/>
    <s v="NYK-31696742-7413251-1-1"/>
  </r>
  <r>
    <x v="305"/>
    <s v="NYK-32168444-6797570-2"/>
    <x v="287"/>
    <x v="250"/>
    <d v="2025-10-28T00:00:00"/>
    <x v="1"/>
    <s v="BETAE00000278"/>
    <n v="1"/>
    <n v="1"/>
    <x v="1"/>
    <s v="Shadowfax Reverse"/>
    <s v="28449520403401"/>
    <s v="R1513788798NYK"/>
    <s v="Item Return To Seller Delivered at BOM_ReayRoad_FM"/>
    <s v="Reverse PickUP Delivered"/>
    <s v="Product didn't fit"/>
    <s v="RET_11252994-6331274"/>
    <s v="NYK-32168444-6797570-2-1"/>
  </r>
  <r>
    <x v="306"/>
    <s v="NYK-32479200-5788339-1"/>
    <x v="288"/>
    <x v="251"/>
    <d v="2025-10-26T00:00:00"/>
    <x v="1"/>
    <s v="BETAE00000047"/>
    <n v="1"/>
    <n v="1"/>
    <x v="1"/>
    <s v="Delhivery Surface Reverse"/>
    <s v="28449521349554"/>
    <s v="28449541646533"/>
    <s v="In Process"/>
    <s v="Confirmed"/>
    <s v="Product didn't fit"/>
    <s v="RET_11358330-6383002"/>
    <s v="NYK-32479200-5788339-1-1"/>
  </r>
  <r>
    <x v="307"/>
    <s v="NYK-27842882-9650538-1"/>
    <x v="289"/>
    <x v="252"/>
    <d v="2025-05-31T00:00:00"/>
    <x v="1"/>
    <s v="BETAE00000036"/>
    <n v="1"/>
    <n v="1"/>
    <x v="1"/>
    <s v="Shadowfax Reverse"/>
    <s v="28449485554085"/>
    <s v="R1238709472NYK"/>
    <s v="Item Return To Seller Delivered at BOM_LowerParel"/>
    <s v="Reverse PickUP Delivered"/>
    <s v="Fitting issue "/>
    <s v="RET_9679874-0878625"/>
    <s v="NYK-27842882-9650538-1-1"/>
  </r>
  <r>
    <x v="308"/>
    <s v="NYK-30217597-0541007-1-1"/>
    <x v="290"/>
    <x v="253"/>
    <d v="2025-08-16T00:00:00"/>
    <x v="0"/>
    <s v="BETAE00000102"/>
    <n v="1"/>
    <n v="1"/>
    <x v="0"/>
    <s v="DelhiverySurface"/>
    <s v="28449502753752"/>
    <s v=""/>
    <s v=""/>
    <s v="Reverse PickUP Delivered"/>
    <s v=""/>
    <s v=""/>
    <s v="NYK-30217597-0541007-1-1"/>
  </r>
  <r>
    <x v="309"/>
    <s v="NYK-30668007-7237521-2-1"/>
    <x v="291"/>
    <x v="254"/>
    <d v="2025-08-28T00:00:00"/>
    <x v="0"/>
    <s v="BETAE00000104"/>
    <n v="1"/>
    <n v="1"/>
    <x v="0"/>
    <s v="DelhiverySurface"/>
    <s v="28449503655061"/>
    <s v=""/>
    <s v=""/>
    <s v="Reverse PickUP Delivered"/>
    <s v=""/>
    <s v=""/>
    <s v="NYK-30668007-7237521-2-1"/>
  </r>
  <r>
    <x v="310"/>
    <s v="NYK-30737310-2189418-1"/>
    <x v="292"/>
    <x v="255"/>
    <d v="2025-09-11T00:00:00"/>
    <x v="1"/>
    <s v="BETAE00000195"/>
    <n v="1"/>
    <n v="1"/>
    <x v="1"/>
    <s v="Shadowfax Reverse"/>
    <s v="88317396366"/>
    <s v="R1391562859NYK"/>
    <s v="Item Return To Seller Delivered at BOM_ReayRoad_FM"/>
    <s v="Reverse PickUP Delivered"/>
    <s v="Product didn't fit- Too Small"/>
    <s v="RET_10738133-6373718"/>
    <s v="NYK-30737310-2189418-1-1"/>
  </r>
  <r>
    <x v="311"/>
    <s v="NYK-31332584-5461792-1"/>
    <x v="293"/>
    <x v="256"/>
    <d v="2025-09-19T00:00:00"/>
    <x v="1"/>
    <s v="BETAE00000198"/>
    <n v="1"/>
    <n v="1"/>
    <x v="1"/>
    <s v="Shadowfax Reverse"/>
    <s v="SF1835706294NYK"/>
    <s v="R1411554302NYK"/>
    <s v="Item Return To Seller Delivered at BOM_ReayRoad_FM"/>
    <s v="Reverse PickUP Delivered"/>
    <s v="Product didn't fit"/>
    <s v="RET_10904148-5475569"/>
    <s v="NYK-31332584-5461792-1-1"/>
  </r>
  <r>
    <x v="312"/>
    <s v="NYK-32226811-6848074-1"/>
    <x v="294"/>
    <x v="257"/>
    <d v="2025-10-16T00:00:00"/>
    <x v="1"/>
    <s v="BETAE00000116"/>
    <n v="1"/>
    <n v="1"/>
    <x v="4"/>
    <s v="Delhivery Surface Reverse"/>
    <s v="28449520407575"/>
    <s v="28449541115270"/>
    <s v="Bag Received at Facility"/>
    <s v="Reverse PickUP Done"/>
    <s v="Don't need it anymore"/>
    <s v="RET_11240496-8390031"/>
    <s v="NYK-32226811-6848074-1-1"/>
  </r>
  <r>
    <x v="313"/>
    <s v="NYK-30885086-0851173-1"/>
    <x v="295"/>
    <x v="258"/>
    <d v="2025-09-10T00:00:00"/>
    <x v="1"/>
    <s v="BETAE00000124"/>
    <n v="1"/>
    <n v="1"/>
    <x v="1"/>
    <s v="Shadowfax Reverse"/>
    <s v="SF1835746360NYK"/>
    <s v="R1391563410NYK"/>
    <s v="Item Return To Seller Delivered at BOM_ReayRoad_FM"/>
    <s v="Reverse PickUP Delivered"/>
    <s v="Product didn't fit- Too Large"/>
    <s v="RET_10742265-9431967"/>
    <s v="NYK-30885086-0851173-1-1"/>
  </r>
  <r>
    <x v="314"/>
    <s v="NYK-30909378-5749551-2"/>
    <x v="296"/>
    <x v="259"/>
    <d v="2025-09-02T00:00:00"/>
    <x v="1"/>
    <s v="BETAE00000126"/>
    <n v="1"/>
    <n v="1"/>
    <x v="1"/>
    <s v="Delhivery Surface Reverse"/>
    <s v="59494546322"/>
    <s v="28449536708954"/>
    <s v="RETURN Accepted"/>
    <s v="Reverse PickUP Delivered"/>
    <s v="I need 10 - 11 years size which is not available"/>
    <s v="RET_10724364-9541427"/>
    <s v="NYK-30909378-5749551-2-1"/>
  </r>
  <r>
    <x v="315"/>
    <s v="NYK-31036967-8015861-1-1"/>
    <x v="297"/>
    <x v="260"/>
    <d v="2025-09-09T00:00:00"/>
    <x v="0"/>
    <s v="CUTAB00000765"/>
    <n v="1"/>
    <n v="1"/>
    <x v="0"/>
    <s v="Nykaa Fashion surface"/>
    <s v="237943149779076"/>
    <s v=""/>
    <s v=""/>
    <s v="Reverse PickUP Delivered"/>
    <s v=""/>
    <s v=""/>
    <s v="NYK-31036967-8015861-1-1"/>
  </r>
  <r>
    <x v="316"/>
    <s v="NYK-31969926-0178192-5"/>
    <x v="298"/>
    <x v="261"/>
    <d v="2025-10-15T00:00:00"/>
    <x v="1"/>
    <s v="CUTAB00000733"/>
    <n v="1"/>
    <n v="1"/>
    <x v="2"/>
    <s v="Shadowfax Reverse"/>
    <s v="SF1835839658NYK"/>
    <s v="R1449314597NYK"/>
    <s v="Item Return To Seller Delivered at BOM_ReayRoad_FM"/>
    <s v="Reverse PickUP Delivered"/>
    <s v="Didn't like the quality of product"/>
    <s v="RET_11146186-7323619"/>
    <s v="NYK-31969926-0178192-5-1"/>
  </r>
  <r>
    <x v="317"/>
    <s v="NYK-31325558-8637151-3"/>
    <x v="299"/>
    <x v="262"/>
    <d v="2025-09-25T00:00:00"/>
    <x v="1"/>
    <s v="CUTAB00000735"/>
    <n v="1"/>
    <n v="1"/>
    <x v="1"/>
    <s v="Shadowfax Reverse"/>
    <s v="28449516761990"/>
    <s v="R1411533039NYK"/>
    <s v="Item Return To Seller Delivered at BOM_ReayRoad_FM"/>
    <s v="Reverse PickUP Delivered"/>
    <s v="Product didn't fit"/>
    <s v="RET_10927603-9754368"/>
    <s v="NYK-31325558-8637151-3-1"/>
  </r>
  <r>
    <x v="318"/>
    <s v="NYK-31959067-0449307-1"/>
    <x v="300"/>
    <x v="263"/>
    <d v="2025-10-17T00:00:00"/>
    <x v="1"/>
    <s v="CUTAB00000736"/>
    <n v="1"/>
    <n v="1"/>
    <x v="2"/>
    <s v="Delhivery Surface Reverse"/>
    <s v="SF1835838610NYK"/>
    <s v="28449540237234"/>
    <s v="RETURN Accepted"/>
    <s v="Reverse PickUP Delivered"/>
    <s v="Didn’t like the quality of product"/>
    <s v="RET_11151285-5377960"/>
    <s v="NYK-31959067-0449307-1-1"/>
  </r>
  <r>
    <x v="319"/>
    <s v="NYK-31406525-2024343-1"/>
    <x v="301"/>
    <x v="264"/>
    <d v="2025-09-25T00:00:00"/>
    <x v="1"/>
    <s v="CUTAB00000737"/>
    <n v="1"/>
    <n v="1"/>
    <x v="1"/>
    <s v="Shadowfax Reverse"/>
    <s v="28449516991715"/>
    <s v="R1408530010NYK"/>
    <s v="Item Return To Seller Delivered at BOM_ReayRoad_FM"/>
    <s v="Reverse PickUP Delivered"/>
    <s v="Return"/>
    <s v="RET_10928027-1882065"/>
    <s v="NYK-31406525-2024343-1-1"/>
  </r>
  <r>
    <x v="320"/>
    <s v="NYK-30899964-6014608-2"/>
    <x v="68"/>
    <x v="265"/>
    <d v="2025-09-09T00:00:00"/>
    <x v="1"/>
    <s v="CUTAB00000738"/>
    <n v="1"/>
    <n v="1"/>
    <x v="1"/>
    <s v="Delhivery Surface Reverse"/>
    <s v="88281226946"/>
    <s v="28449536962951"/>
    <s v="RETURN Accepted"/>
    <s v="Reverse PickUP Delivered"/>
    <s v="Product didn't fit- Too Large"/>
    <s v="RET_10776178-7800171"/>
    <s v="NYK-30899964-6014608-2-1"/>
  </r>
  <r>
    <x v="321"/>
    <s v="NYK-31225565-9703099-1"/>
    <x v="302"/>
    <x v="266"/>
    <d v="2025-09-20T00:00:00"/>
    <x v="1"/>
    <s v="CUTAB00000741"/>
    <n v="1"/>
    <n v="1"/>
    <x v="1"/>
    <s v="Shadowfax Reverse"/>
    <s v="237943177489921"/>
    <s v="R1425555779NYK"/>
    <s v="Item Return To Seller Delivered at BOM_ReayRoad_FM"/>
    <s v="Reverse PickUP Delivered"/>
    <s v="Product didn't fit"/>
    <s v="RET_10898069-4153322"/>
    <s v="NYK-31225565-9703099-1-1"/>
  </r>
  <r>
    <x v="322"/>
    <s v="NYK-31668484-3065085-1-1"/>
    <x v="303"/>
    <x v="267"/>
    <d v="2025-10-03T00:00:00"/>
    <x v="0"/>
    <s v="CUTAB00000743"/>
    <n v="1"/>
    <n v="1"/>
    <x v="0"/>
    <s v="DelhiverySurface"/>
    <s v="28449518653412"/>
    <s v=""/>
    <s v=""/>
    <s v="Reverse PickUP Delivered"/>
    <s v=""/>
    <s v=""/>
    <s v="NYK-31668484-3065085-1-1"/>
  </r>
  <r>
    <x v="323"/>
    <s v="NYK-31582387-2673727-1"/>
    <x v="50"/>
    <x v="268"/>
    <d v="2025-09-30T00:00:00"/>
    <x v="1"/>
    <s v="CUTAB00000744"/>
    <n v="1"/>
    <n v="1"/>
    <x v="2"/>
    <s v="Shadowfax Reverse"/>
    <s v="28449518341363"/>
    <s v="R1466718511NYK"/>
    <s v="Item return to seller initiated at Lucknow DC"/>
    <s v="Reverse PickUP Done"/>
    <s v="Didn't like the quality of product"/>
    <s v="RET_11068512-8651919"/>
    <s v="NYK-31582387-2673727-1-1"/>
  </r>
  <r>
    <x v="324"/>
    <s v="NYK-30779844-6487433-1"/>
    <x v="304"/>
    <x v="269"/>
    <d v="2025-09-18T00:00:00"/>
    <x v="1"/>
    <s v="CUTAB00000745"/>
    <n v="1"/>
    <n v="1"/>
    <x v="1"/>
    <s v="Shadowfax Reverse"/>
    <s v="28449513986151"/>
    <s v="R1391563080NYK"/>
    <s v="Item Return To Seller Delivered at BOM_ReayRoad_FM"/>
    <s v="Reverse PickUP Delivered"/>
    <s v="Product didn't fit- Too Large"/>
    <s v="RET_10739942-6024336"/>
    <s v="NYK-30779844-6487433-1-1"/>
  </r>
  <r>
    <x v="325"/>
    <s v="NYK-31515973-4208651-1-1"/>
    <x v="305"/>
    <x v="270"/>
    <d v="2025-09-27T00:00:00"/>
    <x v="0"/>
    <s v="CUTAB00000746"/>
    <n v="1"/>
    <n v="1"/>
    <x v="0"/>
    <s v="DelhiverySurface"/>
    <s v="28449517339991"/>
    <s v=""/>
    <s v=""/>
    <s v="Reverse PickUP Delivered"/>
    <s v=""/>
    <s v=""/>
    <s v="NYK-31515973-4208651-1-1"/>
  </r>
  <r>
    <x v="326"/>
    <s v="NYK-31076512-9644964-1-1"/>
    <x v="306"/>
    <x v="271"/>
    <d v="2025-09-12T00:00:00"/>
    <x v="0"/>
    <s v="CUTAB00000748"/>
    <n v="1"/>
    <n v="1"/>
    <x v="0"/>
    <s v="DelhiverySurface"/>
    <s v="28449536312496"/>
    <s v=""/>
    <s v=""/>
    <s v="Reverse PickUP Delivered"/>
    <s v=""/>
    <s v=""/>
    <s v="NYK-31076512-9644964-1-1"/>
  </r>
  <r>
    <x v="327"/>
    <s v="NYK-32146701-0587693-3"/>
    <x v="307"/>
    <x v="272"/>
    <d v="2025-10-17T00:00:00"/>
    <x v="1"/>
    <s v="CUTAB00001003"/>
    <n v="1"/>
    <n v="1"/>
    <x v="1"/>
    <s v="Shadowfax Reverse"/>
    <s v="237943173100221"/>
    <s v="R1483694620NYK"/>
    <s v="Item Return To Seller Delivered at BOM_ReayRoad_FM"/>
    <s v="Reverse PickUP Delivered"/>
    <s v="Product didn't fit"/>
    <s v="RET_11203653-2256310"/>
    <s v="NYK-32146701-0587693-3-1"/>
  </r>
  <r>
    <x v="328"/>
    <s v="NYK-31553759-4986884-2"/>
    <x v="308"/>
    <x v="273"/>
    <d v="2025-10-03T00:00:00"/>
    <x v="1"/>
    <s v="CUTAB00000999"/>
    <n v="1"/>
    <n v="1"/>
    <x v="1"/>
    <s v="DelhiverySurface"/>
    <s v="28449517434200"/>
    <s v=""/>
    <s v="In Process"/>
    <s v="Confirmed"/>
    <s v="Product didn't fit- Too Small"/>
    <s v="RET_11111304-2456607"/>
    <s v="NYK-31553759-4986884-2-1"/>
  </r>
  <r>
    <x v="329"/>
    <s v="NYK-32356081-0529117-2"/>
    <x v="309"/>
    <x v="274"/>
    <d v="2025-10-22T00:00:00"/>
    <x v="1"/>
    <s v="CUTAB00001000"/>
    <n v="1"/>
    <n v="1"/>
    <x v="1"/>
    <s v="Delhivery Surface Reverse"/>
    <s v="28449520863651"/>
    <s v="28449541476945"/>
    <s v="Shipment Received at Facility"/>
    <s v="Reverse PickUP Done"/>
    <s v="Product didn't fit"/>
    <s v="RET_11324366-0726972"/>
    <s v="NYK-32356081-0529117-2-1"/>
  </r>
  <r>
    <x v="330"/>
    <s v="NYK-31795752-7519084-1"/>
    <x v="310"/>
    <x v="275"/>
    <d v="2025-10-07T00:00:00"/>
    <x v="1"/>
    <s v="CUTAB00001123"/>
    <n v="1"/>
    <n v="1"/>
    <x v="1"/>
    <s v="Delhivery Surface Reverse"/>
    <s v="28449537627170"/>
    <s v="28449539916236"/>
    <s v="RETURN Accepted"/>
    <s v="Reverse PickUP Delivered"/>
    <s v="Product didn't fit"/>
    <s v="RET_11090451-7411221"/>
    <s v="NYK-31795752-7519084-1-1"/>
  </r>
  <r>
    <x v="331"/>
    <s v="NYK-32368002-4692261-1"/>
    <x v="311"/>
    <x v="276"/>
    <d v="2025-10-23T00:00:00"/>
    <x v="1"/>
    <s v="CUTAB00001124"/>
    <n v="1"/>
    <n v="1"/>
    <x v="1"/>
    <s v="Delhivery Surface Reverse"/>
    <s v="28449520865143"/>
    <s v="28449541350400"/>
    <s v="In Process"/>
    <s v="Confirmed"/>
    <s v="Product didn't fit"/>
    <s v="RET_11291046-9094067"/>
    <s v="NYK-32368002-4692261-1-1"/>
  </r>
  <r>
    <x v="332"/>
    <s v="NYK-31573263-0331618-1"/>
    <x v="312"/>
    <x v="277"/>
    <d v="2025-10-09T00:00:00"/>
    <x v="1"/>
    <s v="CUTAB00001126"/>
    <n v="1"/>
    <n v="1"/>
    <x v="1"/>
    <s v="Shadowfax Reverse"/>
    <s v="28449518341164"/>
    <s v="R1449322185NYK"/>
    <s v="Item Return To Seller Delivered at BOM_ReayRoad_FM"/>
    <s v="Reverse PickUP Delivered"/>
    <s v="Product didn't fit"/>
    <s v="RET_11016898-4983882"/>
    <s v="NYK-31573263-0331618-1-1"/>
  </r>
  <r>
    <x v="333"/>
    <s v="NYK-31788819-0787813-1-1"/>
    <x v="313"/>
    <x v="278"/>
    <d v="2025-10-24T00:00:00"/>
    <x v="0"/>
    <s v="CUTAB00001128"/>
    <n v="1"/>
    <n v="1"/>
    <x v="0"/>
    <s v="Shadowfax"/>
    <s v="SF1835844854NYK"/>
    <s v=""/>
    <s v=""/>
    <s v="Reverse PickUP Delivered"/>
    <s v=""/>
    <s v=""/>
    <s v="NYK-31788819-0787813-1-1"/>
  </r>
  <r>
    <x v="334"/>
    <s v="NYK-31907074-0824688-1"/>
    <x v="314"/>
    <x v="279"/>
    <d v="2025-10-11T00:00:00"/>
    <x v="1"/>
    <s v="CUTAB00000988"/>
    <n v="1"/>
    <n v="1"/>
    <x v="2"/>
    <s v="Delhivery Surface Reverse"/>
    <s v="237943174772495"/>
    <s v="28449540119413"/>
    <s v="RETURN Accepted"/>
    <s v="Reverse PickUP Delivered"/>
    <s v="Fabric quality is not good "/>
    <s v="RET_11126886-2151141"/>
    <s v="NYK-31907074-0824688-1-1"/>
  </r>
  <r>
    <x v="335"/>
    <s v="NYK-32270140-1371945-1"/>
    <x v="315"/>
    <x v="279"/>
    <d v="2025-10-28T00:00:00"/>
    <x v="1"/>
    <s v="CUTAB00000988"/>
    <n v="1"/>
    <n v="1"/>
    <x v="1"/>
    <s v="Shadowfax Reverse"/>
    <s v="28449520588234"/>
    <s v="R1513784266NYK"/>
    <s v="Item Return To Seller Delivered at BOM_ReayRoad_FM"/>
    <s v="Reverse PickUP Delivered"/>
    <s v="Product didn't fit"/>
    <s v="RET_11273312-4600604"/>
    <s v="NYK-32270140-1371945-1-1"/>
  </r>
  <r>
    <x v="336"/>
    <s v="NYK-32440765-0552166-1"/>
    <x v="316"/>
    <x v="279"/>
    <d v="2025-10-26T00:00:00"/>
    <x v="1"/>
    <s v="CUTAB00000988"/>
    <n v="1"/>
    <n v="1"/>
    <x v="1"/>
    <s v="Shadowfax Reverse"/>
    <s v="28449521149844"/>
    <s v="R1539906411NYK"/>
    <s v="Item return to seller initiated at OneNCR DC"/>
    <s v="Reverse PickUP Done"/>
    <s v="Product didn't fit"/>
    <s v="RET_11361835-9398169"/>
    <s v="NYK-32440765-0552166-1-1"/>
  </r>
  <r>
    <x v="337"/>
    <s v="NYK-31240240-1641781-2"/>
    <x v="317"/>
    <x v="280"/>
    <d v="2025-09-18T00:00:00"/>
    <x v="1"/>
    <s v="CUTAB00000992"/>
    <n v="1"/>
    <n v="1"/>
    <x v="1"/>
    <s v="Shadowfax Reverse"/>
    <s v="SF1835696355NYK"/>
    <s v="R1411536481NYK"/>
    <s v="Item Return To Seller Delivered at BOM_ReayRoad_FM"/>
    <s v="Reverse PickUP Delivered"/>
    <s v="Product didn't fit"/>
    <s v="RET_10901183-1392610"/>
    <s v="NYK-31240240-1641781-2-1"/>
  </r>
  <r>
    <x v="338"/>
    <s v="NYK-31459966-5800223-1"/>
    <x v="318"/>
    <x v="280"/>
    <d v="2025-09-29T00:00:00"/>
    <x v="1"/>
    <s v="CUTAB00000992"/>
    <n v="1"/>
    <n v="1"/>
    <x v="1"/>
    <s v="Shadowfax Reverse"/>
    <s v="SF1686995860NYK"/>
    <s v="R1425556350NYK"/>
    <s v="Item Return To Seller Delivered at BOM_ReayRoad_FM"/>
    <s v="Reverse PickUP Delivered"/>
    <s v="Product didn't fit"/>
    <s v="RET_10999032-5687030"/>
    <s v="NYK-31459966-5800223-1-1"/>
  </r>
  <r>
    <x v="339"/>
    <s v="NYK-32358464-7475621-1"/>
    <x v="319"/>
    <x v="281"/>
    <d v="2025-10-24T00:00:00"/>
    <x v="1"/>
    <s v="CUTAB00001159"/>
    <n v="1"/>
    <n v="1"/>
    <x v="1"/>
    <s v="Delhivery Surface Reverse"/>
    <s v="28449522418664"/>
    <s v="28449541410611"/>
    <s v="Trip Arrived"/>
    <s v="Reverse PickUP Done"/>
    <s v="Product didn't fit"/>
    <s v="RET_11307663-0713847"/>
    <s v="NYK-32358464-7475621-1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3FBDC-617E-4826-B5F4-E08B400A6E1A}" name="PivotTable1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G2:H15" firstHeaderRow="1" firstDataRow="1" firstDataCol="1"/>
  <pivotFields count="18">
    <pivotField showAll="0">
      <items count="341">
        <item x="103"/>
        <item x="112"/>
        <item x="109"/>
        <item x="138"/>
        <item x="113"/>
        <item x="111"/>
        <item x="154"/>
        <item x="45"/>
        <item x="75"/>
        <item x="107"/>
        <item x="81"/>
        <item x="56"/>
        <item x="76"/>
        <item x="80"/>
        <item x="36"/>
        <item x="78"/>
        <item x="106"/>
        <item x="307"/>
        <item x="134"/>
        <item x="52"/>
        <item x="64"/>
        <item x="57"/>
        <item x="121"/>
        <item x="143"/>
        <item x="96"/>
        <item x="54"/>
        <item x="49"/>
        <item x="92"/>
        <item x="149"/>
        <item x="40"/>
        <item x="119"/>
        <item x="116"/>
        <item x="114"/>
        <item x="99"/>
        <item x="122"/>
        <item x="123"/>
        <item x="61"/>
        <item x="150"/>
        <item x="38"/>
        <item x="101"/>
        <item x="257"/>
        <item x="117"/>
        <item x="48"/>
        <item x="118"/>
        <item x="153"/>
        <item x="66"/>
        <item x="144"/>
        <item x="42"/>
        <item x="91"/>
        <item x="90"/>
        <item x="120"/>
        <item x="152"/>
        <item x="0"/>
        <item x="172"/>
        <item x="35"/>
        <item x="104"/>
        <item x="22"/>
        <item x="79"/>
        <item x="93"/>
        <item x="32"/>
        <item x="256"/>
        <item x="47"/>
        <item x="82"/>
        <item x="146"/>
        <item x="115"/>
        <item x="39"/>
        <item x="87"/>
        <item x="102"/>
        <item x="46"/>
        <item x="290"/>
        <item x="34"/>
        <item x="176"/>
        <item x="175"/>
        <item x="186"/>
        <item x="65"/>
        <item x="181"/>
        <item x="180"/>
        <item x="97"/>
        <item x="131"/>
        <item x="83"/>
        <item x="55"/>
        <item x="51"/>
        <item x="94"/>
        <item x="10"/>
        <item x="24"/>
        <item x="179"/>
        <item x="174"/>
        <item x="20"/>
        <item x="13"/>
        <item x="105"/>
        <item x="100"/>
        <item x="129"/>
        <item x="292"/>
        <item x="147"/>
        <item x="274"/>
        <item x="130"/>
        <item x="125"/>
        <item x="308"/>
        <item x="12"/>
        <item x="63"/>
        <item x="158"/>
        <item x="128"/>
        <item x="6"/>
        <item x="8"/>
        <item x="16"/>
        <item x="53"/>
        <item x="4"/>
        <item x="43"/>
        <item x="95"/>
        <item x="58"/>
        <item x="300"/>
        <item x="67"/>
        <item x="165"/>
        <item x="136"/>
        <item x="137"/>
        <item x="309"/>
        <item x="277"/>
        <item x="7"/>
        <item x="139"/>
        <item x="74"/>
        <item x="193"/>
        <item x="21"/>
        <item x="285"/>
        <item x="17"/>
        <item x="314"/>
        <item x="313"/>
        <item x="164"/>
        <item x="324"/>
        <item x="310"/>
        <item x="98"/>
        <item x="135"/>
        <item x="188"/>
        <item x="163"/>
        <item x="278"/>
        <item x="84"/>
        <item x="70"/>
        <item x="234"/>
        <item x="212"/>
        <item x="279"/>
        <item x="18"/>
        <item x="85"/>
        <item x="142"/>
        <item x="320"/>
        <item x="68"/>
        <item x="110"/>
        <item x="252"/>
        <item x="2"/>
        <item x="27"/>
        <item x="184"/>
        <item x="224"/>
        <item x="213"/>
        <item x="265"/>
        <item x="291"/>
        <item x="315"/>
        <item x="62"/>
        <item x="69"/>
        <item x="326"/>
        <item x="1"/>
        <item x="9"/>
        <item x="178"/>
        <item x="271"/>
        <item x="173"/>
        <item x="302"/>
        <item x="59"/>
        <item x="287"/>
        <item x="337"/>
        <item x="182"/>
        <item x="321"/>
        <item x="298"/>
        <item x="30"/>
        <item x="301"/>
        <item x="311"/>
        <item x="260"/>
        <item x="303"/>
        <item x="295"/>
        <item x="198"/>
        <item x="270"/>
        <item x="317"/>
        <item x="269"/>
        <item x="211"/>
        <item x="319"/>
        <item x="41"/>
        <item x="218"/>
        <item x="259"/>
        <item x="254"/>
        <item x="266"/>
        <item x="242"/>
        <item x="325"/>
        <item x="159"/>
        <item x="19"/>
        <item x="88"/>
        <item x="161"/>
        <item x="60"/>
        <item x="236"/>
        <item x="89"/>
        <item x="338"/>
        <item x="132"/>
        <item x="156"/>
        <item x="126"/>
        <item x="124"/>
        <item x="11"/>
        <item x="332"/>
        <item x="322"/>
        <item x="297"/>
        <item x="228"/>
        <item x="200"/>
        <item x="239"/>
        <item x="226"/>
        <item x="238"/>
        <item x="275"/>
        <item x="264"/>
        <item x="209"/>
        <item x="72"/>
        <item x="227"/>
        <item x="220"/>
        <item x="86"/>
        <item x="333"/>
        <item x="304"/>
        <item x="276"/>
        <item x="50"/>
        <item x="323"/>
        <item x="255"/>
        <item x="267"/>
        <item x="199"/>
        <item x="253"/>
        <item x="240"/>
        <item x="330"/>
        <item x="157"/>
        <item x="232"/>
        <item x="328"/>
        <item x="71"/>
        <item x="25"/>
        <item x="14"/>
        <item x="195"/>
        <item x="229"/>
        <item x="296"/>
        <item x="263"/>
        <item x="243"/>
        <item x="177"/>
        <item x="268"/>
        <item x="284"/>
        <item x="3"/>
        <item x="334"/>
        <item x="258"/>
        <item x="44"/>
        <item x="230"/>
        <item x="288"/>
        <item x="192"/>
        <item x="316"/>
        <item x="272"/>
        <item x="162"/>
        <item x="28"/>
        <item x="318"/>
        <item x="141"/>
        <item x="217"/>
        <item x="246"/>
        <item x="237"/>
        <item x="210"/>
        <item x="33"/>
        <item x="151"/>
        <item x="133"/>
        <item x="140"/>
        <item x="190"/>
        <item x="31"/>
        <item x="189"/>
        <item x="168"/>
        <item x="15"/>
        <item x="201"/>
        <item x="155"/>
        <item x="196"/>
        <item x="289"/>
        <item x="203"/>
        <item x="327"/>
        <item x="262"/>
        <item x="160"/>
        <item x="37"/>
        <item x="233"/>
        <item x="225"/>
        <item x="205"/>
        <item x="26"/>
        <item x="191"/>
        <item x="108"/>
        <item x="166"/>
        <item x="206"/>
        <item x="127"/>
        <item x="286"/>
        <item x="207"/>
        <item x="197"/>
        <item x="235"/>
        <item x="282"/>
        <item x="261"/>
        <item x="231"/>
        <item x="248"/>
        <item x="312"/>
        <item x="170"/>
        <item x="280"/>
        <item x="293"/>
        <item x="283"/>
        <item x="273"/>
        <item x="221"/>
        <item x="251"/>
        <item x="335"/>
        <item x="305"/>
        <item x="214"/>
        <item x="183"/>
        <item x="219"/>
        <item x="294"/>
        <item x="247"/>
        <item x="222"/>
        <item x="204"/>
        <item x="208"/>
        <item x="241"/>
        <item x="245"/>
        <item x="249"/>
        <item x="250"/>
        <item x="73"/>
        <item x="215"/>
        <item x="281"/>
        <item x="5"/>
        <item x="329"/>
        <item x="29"/>
        <item x="145"/>
        <item x="223"/>
        <item x="331"/>
        <item x="187"/>
        <item x="339"/>
        <item x="216"/>
        <item x="167"/>
        <item x="148"/>
        <item x="299"/>
        <item x="244"/>
        <item x="23"/>
        <item x="194"/>
        <item x="336"/>
        <item x="77"/>
        <item x="169"/>
        <item x="306"/>
        <item x="185"/>
        <item x="202"/>
        <item x="171"/>
        <item t="default"/>
      </items>
    </pivotField>
    <pivotField showAll="0"/>
    <pivotField showAll="0">
      <items count="321">
        <item x="101"/>
        <item x="108"/>
        <item x="130"/>
        <item x="45"/>
        <item x="75"/>
        <item x="107"/>
        <item x="126"/>
        <item x="289"/>
        <item x="144"/>
        <item x="76"/>
        <item x="36"/>
        <item x="56"/>
        <item x="78"/>
        <item x="80"/>
        <item x="104"/>
        <item x="54"/>
        <item x="143"/>
        <item x="64"/>
        <item x="95"/>
        <item x="52"/>
        <item x="115"/>
        <item x="57"/>
        <item x="135"/>
        <item x="140"/>
        <item x="49"/>
        <item x="91"/>
        <item x="40"/>
        <item x="61"/>
        <item x="116"/>
        <item x="109"/>
        <item x="98"/>
        <item x="113"/>
        <item x="110"/>
        <item x="48"/>
        <item x="244"/>
        <item x="100"/>
        <item x="38"/>
        <item x="111"/>
        <item x="112"/>
        <item x="136"/>
        <item x="66"/>
        <item x="92"/>
        <item x="42"/>
        <item x="89"/>
        <item x="90"/>
        <item x="142"/>
        <item x="102"/>
        <item x="114"/>
        <item x="0"/>
        <item x="35"/>
        <item x="162"/>
        <item x="79"/>
        <item x="32"/>
        <item x="22"/>
        <item x="47"/>
        <item x="86"/>
        <item x="243"/>
        <item x="175"/>
        <item x="137"/>
        <item x="81"/>
        <item x="123"/>
        <item x="55"/>
        <item x="39"/>
        <item x="46"/>
        <item x="165"/>
        <item x="51"/>
        <item x="34"/>
        <item x="274"/>
        <item x="169"/>
        <item x="82"/>
        <item x="65"/>
        <item x="93"/>
        <item x="170"/>
        <item x="10"/>
        <item x="24"/>
        <item x="99"/>
        <item x="96"/>
        <item x="12"/>
        <item x="121"/>
        <item x="20"/>
        <item x="168"/>
        <item x="122"/>
        <item x="164"/>
        <item x="276"/>
        <item x="138"/>
        <item x="43"/>
        <item x="13"/>
        <item x="290"/>
        <item x="259"/>
        <item x="103"/>
        <item x="8"/>
        <item x="118"/>
        <item x="6"/>
        <item x="94"/>
        <item x="120"/>
        <item x="63"/>
        <item x="53"/>
        <item x="148"/>
        <item x="16"/>
        <item x="155"/>
        <item x="4"/>
        <item x="58"/>
        <item x="283"/>
        <item x="67"/>
        <item x="7"/>
        <item x="129"/>
        <item x="59"/>
        <item x="291"/>
        <item x="127"/>
        <item x="128"/>
        <item x="74"/>
        <item x="83"/>
        <item x="17"/>
        <item x="262"/>
        <item x="292"/>
        <item x="131"/>
        <item x="21"/>
        <item x="304"/>
        <item x="200"/>
        <item x="70"/>
        <item x="18"/>
        <item x="181"/>
        <item x="269"/>
        <item x="97"/>
        <item x="263"/>
        <item x="264"/>
        <item x="295"/>
        <item x="68"/>
        <item x="221"/>
        <item x="296"/>
        <item x="154"/>
        <item x="134"/>
        <item x="173"/>
        <item x="27"/>
        <item x="1"/>
        <item x="153"/>
        <item x="2"/>
        <item x="201"/>
        <item x="84"/>
        <item x="239"/>
        <item x="297"/>
        <item x="106"/>
        <item x="275"/>
        <item x="306"/>
        <item x="212"/>
        <item x="62"/>
        <item x="256"/>
        <item x="163"/>
        <item x="167"/>
        <item x="69"/>
        <item x="252"/>
        <item x="9"/>
        <item x="271"/>
        <item x="284"/>
        <item x="30"/>
        <item x="302"/>
        <item x="41"/>
        <item x="206"/>
        <item x="247"/>
        <item x="317"/>
        <item x="255"/>
        <item x="180"/>
        <item x="279"/>
        <item x="171"/>
        <item x="299"/>
        <item x="293"/>
        <item x="254"/>
        <item x="186"/>
        <item x="285"/>
        <item x="199"/>
        <item x="253"/>
        <item x="246"/>
        <item x="87"/>
        <item x="301"/>
        <item x="188"/>
        <item x="149"/>
        <item x="225"/>
        <item x="146"/>
        <item x="241"/>
        <item x="229"/>
        <item x="318"/>
        <item x="88"/>
        <item x="151"/>
        <item x="60"/>
        <item x="124"/>
        <item x="187"/>
        <item x="19"/>
        <item x="305"/>
        <item x="223"/>
        <item x="308"/>
        <item x="189"/>
        <item x="312"/>
        <item x="50"/>
        <item x="281"/>
        <item x="260"/>
        <item x="242"/>
        <item x="227"/>
        <item x="261"/>
        <item x="11"/>
        <item x="251"/>
        <item x="216"/>
        <item x="117"/>
        <item x="257"/>
        <item x="185"/>
        <item x="303"/>
        <item x="214"/>
        <item x="197"/>
        <item x="286"/>
        <item x="215"/>
        <item x="147"/>
        <item x="72"/>
        <item x="208"/>
        <item x="226"/>
        <item x="272"/>
        <item x="85"/>
        <item x="240"/>
        <item x="217"/>
        <item x="183"/>
        <item x="198"/>
        <item x="313"/>
        <item x="273"/>
        <item x="250"/>
        <item x="310"/>
        <item x="158"/>
        <item x="71"/>
        <item x="14"/>
        <item x="219"/>
        <item x="133"/>
        <item x="141"/>
        <item x="3"/>
        <item x="184"/>
        <item x="233"/>
        <item x="25"/>
        <item x="230"/>
        <item x="44"/>
        <item x="205"/>
        <item x="314"/>
        <item x="33"/>
        <item x="280"/>
        <item x="28"/>
        <item x="15"/>
        <item x="152"/>
        <item x="245"/>
        <item x="166"/>
        <item x="300"/>
        <item x="298"/>
        <item x="31"/>
        <item x="220"/>
        <item x="145"/>
        <item x="213"/>
        <item x="265"/>
        <item x="132"/>
        <item x="222"/>
        <item x="125"/>
        <item x="178"/>
        <item x="258"/>
        <item x="249"/>
        <item x="218"/>
        <item x="270"/>
        <item x="119"/>
        <item x="37"/>
        <item x="156"/>
        <item x="224"/>
        <item x="203"/>
        <item x="194"/>
        <item x="105"/>
        <item x="195"/>
        <item x="177"/>
        <item x="193"/>
        <item x="278"/>
        <item x="26"/>
        <item x="307"/>
        <item x="277"/>
        <item x="73"/>
        <item x="282"/>
        <item x="191"/>
        <item x="179"/>
        <item x="150"/>
        <item x="287"/>
        <item x="182"/>
        <item x="210"/>
        <item x="209"/>
        <item x="294"/>
        <item x="267"/>
        <item x="248"/>
        <item x="211"/>
        <item x="315"/>
        <item x="235"/>
        <item x="192"/>
        <item x="202"/>
        <item x="238"/>
        <item x="234"/>
        <item x="196"/>
        <item x="139"/>
        <item x="157"/>
        <item x="268"/>
        <item x="231"/>
        <item x="172"/>
        <item x="228"/>
        <item x="176"/>
        <item x="160"/>
        <item x="309"/>
        <item x="77"/>
        <item x="319"/>
        <item x="207"/>
        <item x="5"/>
        <item x="311"/>
        <item x="204"/>
        <item x="232"/>
        <item x="236"/>
        <item x="23"/>
        <item x="237"/>
        <item x="29"/>
        <item x="316"/>
        <item x="174"/>
        <item x="288"/>
        <item x="159"/>
        <item x="190"/>
        <item x="266"/>
        <item x="161"/>
        <item t="default"/>
      </items>
    </pivotField>
    <pivotField axis="axisRow" showAll="0" measureFilter="1" sortType="descending">
      <items count="2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dataField="1" showAll="0"/>
    <pivotField showAll="0">
      <items count="8">
        <item x="2"/>
        <item x="4"/>
        <item x="3"/>
        <item x="5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 v="179"/>
    </i>
    <i>
      <x v="182"/>
    </i>
    <i>
      <x v="14"/>
    </i>
    <i>
      <x v="228"/>
    </i>
    <i>
      <x v="49"/>
    </i>
    <i>
      <x v="169"/>
    </i>
    <i>
      <x v="92"/>
    </i>
    <i>
      <x v="68"/>
    </i>
    <i>
      <x v="279"/>
    </i>
    <i>
      <x v="78"/>
    </i>
    <i>
      <x v="135"/>
    </i>
    <i>
      <x v="106"/>
    </i>
    <i t="grand">
      <x/>
    </i>
  </rowItems>
  <colItems count="1">
    <i/>
  </colItems>
  <dataFields count="1">
    <dataField name="Sum of Return Qty" fld="8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90532-A616-42EB-8A83-BA927772941D}" name="PivotTable1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2:E5" firstHeaderRow="1" firstDataRow="1" firstDataCol="1"/>
  <pivotFields count="18">
    <pivotField dataField="1" showAll="0">
      <items count="341">
        <item x="103"/>
        <item x="112"/>
        <item x="109"/>
        <item x="138"/>
        <item x="113"/>
        <item x="111"/>
        <item x="154"/>
        <item x="45"/>
        <item x="75"/>
        <item x="107"/>
        <item x="81"/>
        <item x="56"/>
        <item x="76"/>
        <item x="80"/>
        <item x="36"/>
        <item x="78"/>
        <item x="106"/>
        <item x="307"/>
        <item x="134"/>
        <item x="52"/>
        <item x="64"/>
        <item x="57"/>
        <item x="121"/>
        <item x="143"/>
        <item x="96"/>
        <item x="54"/>
        <item x="49"/>
        <item x="92"/>
        <item x="149"/>
        <item x="40"/>
        <item x="119"/>
        <item x="116"/>
        <item x="114"/>
        <item x="99"/>
        <item x="122"/>
        <item x="123"/>
        <item x="61"/>
        <item x="150"/>
        <item x="38"/>
        <item x="101"/>
        <item x="257"/>
        <item x="117"/>
        <item x="48"/>
        <item x="118"/>
        <item x="153"/>
        <item x="66"/>
        <item x="144"/>
        <item x="42"/>
        <item x="91"/>
        <item x="90"/>
        <item x="120"/>
        <item x="152"/>
        <item x="0"/>
        <item x="172"/>
        <item x="35"/>
        <item x="104"/>
        <item x="22"/>
        <item x="79"/>
        <item x="93"/>
        <item x="32"/>
        <item x="256"/>
        <item x="47"/>
        <item x="82"/>
        <item x="146"/>
        <item x="115"/>
        <item x="39"/>
        <item x="87"/>
        <item x="102"/>
        <item x="46"/>
        <item x="290"/>
        <item x="34"/>
        <item x="176"/>
        <item x="175"/>
        <item x="186"/>
        <item x="65"/>
        <item x="181"/>
        <item x="180"/>
        <item x="97"/>
        <item x="131"/>
        <item x="83"/>
        <item x="55"/>
        <item x="51"/>
        <item x="94"/>
        <item x="10"/>
        <item x="24"/>
        <item x="179"/>
        <item x="174"/>
        <item x="20"/>
        <item x="13"/>
        <item x="105"/>
        <item x="100"/>
        <item x="129"/>
        <item x="292"/>
        <item x="147"/>
        <item x="274"/>
        <item x="130"/>
        <item x="125"/>
        <item x="308"/>
        <item x="12"/>
        <item x="63"/>
        <item x="158"/>
        <item x="128"/>
        <item x="6"/>
        <item x="8"/>
        <item x="16"/>
        <item x="53"/>
        <item x="4"/>
        <item x="43"/>
        <item x="95"/>
        <item x="58"/>
        <item x="300"/>
        <item x="67"/>
        <item x="165"/>
        <item x="136"/>
        <item x="137"/>
        <item x="309"/>
        <item x="277"/>
        <item x="7"/>
        <item x="139"/>
        <item x="74"/>
        <item x="193"/>
        <item x="21"/>
        <item x="285"/>
        <item x="17"/>
        <item x="314"/>
        <item x="313"/>
        <item x="164"/>
        <item x="324"/>
        <item x="310"/>
        <item x="98"/>
        <item x="135"/>
        <item x="188"/>
        <item x="163"/>
        <item x="278"/>
        <item x="84"/>
        <item x="70"/>
        <item x="234"/>
        <item x="212"/>
        <item x="279"/>
        <item x="18"/>
        <item x="85"/>
        <item x="142"/>
        <item x="320"/>
        <item x="68"/>
        <item x="110"/>
        <item x="252"/>
        <item x="2"/>
        <item x="27"/>
        <item x="184"/>
        <item x="224"/>
        <item x="213"/>
        <item x="265"/>
        <item x="291"/>
        <item x="315"/>
        <item x="62"/>
        <item x="69"/>
        <item x="326"/>
        <item x="1"/>
        <item x="9"/>
        <item x="178"/>
        <item x="271"/>
        <item x="173"/>
        <item x="302"/>
        <item x="59"/>
        <item x="287"/>
        <item x="337"/>
        <item x="182"/>
        <item x="321"/>
        <item x="298"/>
        <item x="30"/>
        <item x="301"/>
        <item x="311"/>
        <item x="260"/>
        <item x="303"/>
        <item x="295"/>
        <item x="198"/>
        <item x="270"/>
        <item x="317"/>
        <item x="269"/>
        <item x="211"/>
        <item x="319"/>
        <item x="41"/>
        <item x="218"/>
        <item x="259"/>
        <item x="254"/>
        <item x="266"/>
        <item x="242"/>
        <item x="325"/>
        <item x="159"/>
        <item x="19"/>
        <item x="88"/>
        <item x="161"/>
        <item x="60"/>
        <item x="236"/>
        <item x="89"/>
        <item x="338"/>
        <item x="132"/>
        <item x="156"/>
        <item x="126"/>
        <item x="124"/>
        <item x="11"/>
        <item x="332"/>
        <item x="322"/>
        <item x="297"/>
        <item x="228"/>
        <item x="200"/>
        <item x="239"/>
        <item x="226"/>
        <item x="238"/>
        <item x="275"/>
        <item x="264"/>
        <item x="209"/>
        <item x="72"/>
        <item x="227"/>
        <item x="220"/>
        <item x="86"/>
        <item x="333"/>
        <item x="304"/>
        <item x="276"/>
        <item x="50"/>
        <item x="323"/>
        <item x="255"/>
        <item x="267"/>
        <item x="199"/>
        <item x="253"/>
        <item x="240"/>
        <item x="330"/>
        <item x="157"/>
        <item x="232"/>
        <item x="328"/>
        <item x="71"/>
        <item x="25"/>
        <item x="14"/>
        <item x="195"/>
        <item x="229"/>
        <item x="296"/>
        <item x="263"/>
        <item x="243"/>
        <item x="177"/>
        <item x="268"/>
        <item x="284"/>
        <item x="3"/>
        <item x="334"/>
        <item x="258"/>
        <item x="44"/>
        <item x="230"/>
        <item x="288"/>
        <item x="192"/>
        <item x="316"/>
        <item x="272"/>
        <item x="162"/>
        <item x="28"/>
        <item x="318"/>
        <item x="141"/>
        <item x="217"/>
        <item x="246"/>
        <item x="237"/>
        <item x="210"/>
        <item x="33"/>
        <item x="151"/>
        <item x="133"/>
        <item x="140"/>
        <item x="190"/>
        <item x="31"/>
        <item x="189"/>
        <item x="168"/>
        <item x="15"/>
        <item x="201"/>
        <item x="155"/>
        <item x="196"/>
        <item x="289"/>
        <item x="203"/>
        <item x="327"/>
        <item x="262"/>
        <item x="160"/>
        <item x="37"/>
        <item x="233"/>
        <item x="225"/>
        <item x="205"/>
        <item x="26"/>
        <item x="191"/>
        <item x="108"/>
        <item x="166"/>
        <item x="206"/>
        <item x="127"/>
        <item x="286"/>
        <item x="207"/>
        <item x="197"/>
        <item x="235"/>
        <item x="282"/>
        <item x="261"/>
        <item x="231"/>
        <item x="248"/>
        <item x="312"/>
        <item x="170"/>
        <item x="280"/>
        <item x="293"/>
        <item x="283"/>
        <item x="273"/>
        <item x="221"/>
        <item x="251"/>
        <item x="335"/>
        <item x="305"/>
        <item x="214"/>
        <item x="183"/>
        <item x="219"/>
        <item x="294"/>
        <item x="247"/>
        <item x="222"/>
        <item x="204"/>
        <item x="208"/>
        <item x="241"/>
        <item x="245"/>
        <item x="249"/>
        <item x="250"/>
        <item x="73"/>
        <item x="215"/>
        <item x="281"/>
        <item x="5"/>
        <item x="329"/>
        <item x="29"/>
        <item x="145"/>
        <item x="223"/>
        <item x="331"/>
        <item x="187"/>
        <item x="339"/>
        <item x="216"/>
        <item x="167"/>
        <item x="148"/>
        <item x="299"/>
        <item x="244"/>
        <item x="23"/>
        <item x="194"/>
        <item x="336"/>
        <item x="77"/>
        <item x="169"/>
        <item x="306"/>
        <item x="185"/>
        <item x="202"/>
        <item x="171"/>
        <item t="default"/>
      </items>
    </pivotField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 sortType="descending">
      <items count="8">
        <item x="2"/>
        <item x="4"/>
        <item x="3"/>
        <item x="5"/>
        <item x="6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Return No" fld="0" subtotal="count" showDataAs="percentOfTotal" baseField="5" baseItem="0" numFmtId="10"/>
  </dataFields>
  <chartFormats count="3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CA6F5-EB3C-4F51-B51E-23516CD86B28}" name="PivotTable1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B10" firstHeaderRow="1" firstDataRow="1" firstDataCol="1"/>
  <pivotFields count="18">
    <pivotField dataField="1" showAll="0">
      <items count="341">
        <item x="103"/>
        <item x="112"/>
        <item x="109"/>
        <item x="138"/>
        <item x="113"/>
        <item x="111"/>
        <item x="154"/>
        <item x="45"/>
        <item x="75"/>
        <item x="107"/>
        <item x="81"/>
        <item x="56"/>
        <item x="76"/>
        <item x="80"/>
        <item x="36"/>
        <item x="78"/>
        <item x="106"/>
        <item x="307"/>
        <item x="134"/>
        <item x="52"/>
        <item x="64"/>
        <item x="57"/>
        <item x="121"/>
        <item x="143"/>
        <item x="96"/>
        <item x="54"/>
        <item x="49"/>
        <item x="92"/>
        <item x="149"/>
        <item x="40"/>
        <item x="119"/>
        <item x="116"/>
        <item x="114"/>
        <item x="99"/>
        <item x="122"/>
        <item x="123"/>
        <item x="61"/>
        <item x="150"/>
        <item x="38"/>
        <item x="101"/>
        <item x="257"/>
        <item x="117"/>
        <item x="48"/>
        <item x="118"/>
        <item x="153"/>
        <item x="66"/>
        <item x="144"/>
        <item x="42"/>
        <item x="91"/>
        <item x="90"/>
        <item x="120"/>
        <item x="152"/>
        <item x="0"/>
        <item x="172"/>
        <item x="35"/>
        <item x="104"/>
        <item x="22"/>
        <item x="79"/>
        <item x="93"/>
        <item x="32"/>
        <item x="256"/>
        <item x="47"/>
        <item x="82"/>
        <item x="146"/>
        <item x="115"/>
        <item x="39"/>
        <item x="87"/>
        <item x="102"/>
        <item x="46"/>
        <item x="290"/>
        <item x="34"/>
        <item x="176"/>
        <item x="175"/>
        <item x="186"/>
        <item x="65"/>
        <item x="181"/>
        <item x="180"/>
        <item x="97"/>
        <item x="131"/>
        <item x="83"/>
        <item x="55"/>
        <item x="51"/>
        <item x="94"/>
        <item x="10"/>
        <item x="24"/>
        <item x="179"/>
        <item x="174"/>
        <item x="20"/>
        <item x="13"/>
        <item x="105"/>
        <item x="100"/>
        <item x="129"/>
        <item x="292"/>
        <item x="147"/>
        <item x="274"/>
        <item x="130"/>
        <item x="125"/>
        <item x="308"/>
        <item x="12"/>
        <item x="63"/>
        <item x="158"/>
        <item x="128"/>
        <item x="6"/>
        <item x="8"/>
        <item x="16"/>
        <item x="53"/>
        <item x="4"/>
        <item x="43"/>
        <item x="95"/>
        <item x="58"/>
        <item x="300"/>
        <item x="67"/>
        <item x="165"/>
        <item x="136"/>
        <item x="137"/>
        <item x="309"/>
        <item x="277"/>
        <item x="7"/>
        <item x="139"/>
        <item x="74"/>
        <item x="193"/>
        <item x="21"/>
        <item x="285"/>
        <item x="17"/>
        <item x="314"/>
        <item x="313"/>
        <item x="164"/>
        <item x="324"/>
        <item x="310"/>
        <item x="98"/>
        <item x="135"/>
        <item x="188"/>
        <item x="163"/>
        <item x="278"/>
        <item x="84"/>
        <item x="70"/>
        <item x="234"/>
        <item x="212"/>
        <item x="279"/>
        <item x="18"/>
        <item x="85"/>
        <item x="142"/>
        <item x="320"/>
        <item x="68"/>
        <item x="110"/>
        <item x="252"/>
        <item x="2"/>
        <item x="27"/>
        <item x="184"/>
        <item x="224"/>
        <item x="213"/>
        <item x="265"/>
        <item x="291"/>
        <item x="315"/>
        <item x="62"/>
        <item x="69"/>
        <item x="326"/>
        <item x="1"/>
        <item x="9"/>
        <item x="178"/>
        <item x="271"/>
        <item x="173"/>
        <item x="302"/>
        <item x="59"/>
        <item x="287"/>
        <item x="337"/>
        <item x="182"/>
        <item x="321"/>
        <item x="298"/>
        <item x="30"/>
        <item x="301"/>
        <item x="311"/>
        <item x="260"/>
        <item x="303"/>
        <item x="295"/>
        <item x="198"/>
        <item x="270"/>
        <item x="317"/>
        <item x="269"/>
        <item x="211"/>
        <item x="319"/>
        <item x="41"/>
        <item x="218"/>
        <item x="259"/>
        <item x="254"/>
        <item x="266"/>
        <item x="242"/>
        <item x="325"/>
        <item x="159"/>
        <item x="19"/>
        <item x="88"/>
        <item x="161"/>
        <item x="60"/>
        <item x="236"/>
        <item x="89"/>
        <item x="338"/>
        <item x="132"/>
        <item x="156"/>
        <item x="126"/>
        <item x="124"/>
        <item x="11"/>
        <item x="332"/>
        <item x="322"/>
        <item x="297"/>
        <item x="228"/>
        <item x="200"/>
        <item x="239"/>
        <item x="226"/>
        <item x="238"/>
        <item x="275"/>
        <item x="264"/>
        <item x="209"/>
        <item x="72"/>
        <item x="227"/>
        <item x="220"/>
        <item x="86"/>
        <item x="333"/>
        <item x="304"/>
        <item x="276"/>
        <item x="50"/>
        <item x="323"/>
        <item x="255"/>
        <item x="267"/>
        <item x="199"/>
        <item x="253"/>
        <item x="240"/>
        <item x="330"/>
        <item x="157"/>
        <item x="232"/>
        <item x="328"/>
        <item x="71"/>
        <item x="25"/>
        <item x="14"/>
        <item x="195"/>
        <item x="229"/>
        <item x="296"/>
        <item x="263"/>
        <item x="243"/>
        <item x="177"/>
        <item x="268"/>
        <item x="284"/>
        <item x="3"/>
        <item x="334"/>
        <item x="258"/>
        <item x="44"/>
        <item x="230"/>
        <item x="288"/>
        <item x="192"/>
        <item x="316"/>
        <item x="272"/>
        <item x="162"/>
        <item x="28"/>
        <item x="318"/>
        <item x="141"/>
        <item x="217"/>
        <item x="246"/>
        <item x="237"/>
        <item x="210"/>
        <item x="33"/>
        <item x="151"/>
        <item x="133"/>
        <item x="140"/>
        <item x="190"/>
        <item x="31"/>
        <item x="189"/>
        <item x="168"/>
        <item x="15"/>
        <item x="201"/>
        <item x="155"/>
        <item x="196"/>
        <item x="289"/>
        <item x="203"/>
        <item x="327"/>
        <item x="262"/>
        <item x="160"/>
        <item x="37"/>
        <item x="233"/>
        <item x="225"/>
        <item x="205"/>
        <item x="26"/>
        <item x="191"/>
        <item x="108"/>
        <item x="166"/>
        <item x="206"/>
        <item x="127"/>
        <item x="286"/>
        <item x="207"/>
        <item x="197"/>
        <item x="235"/>
        <item x="282"/>
        <item x="261"/>
        <item x="231"/>
        <item x="248"/>
        <item x="312"/>
        <item x="170"/>
        <item x="280"/>
        <item x="293"/>
        <item x="283"/>
        <item x="273"/>
        <item x="221"/>
        <item x="251"/>
        <item x="335"/>
        <item x="305"/>
        <item x="214"/>
        <item x="183"/>
        <item x="219"/>
        <item x="294"/>
        <item x="247"/>
        <item x="222"/>
        <item x="204"/>
        <item x="208"/>
        <item x="241"/>
        <item x="245"/>
        <item x="249"/>
        <item x="250"/>
        <item x="73"/>
        <item x="215"/>
        <item x="281"/>
        <item x="5"/>
        <item x="329"/>
        <item x="29"/>
        <item x="145"/>
        <item x="223"/>
        <item x="331"/>
        <item x="187"/>
        <item x="339"/>
        <item x="216"/>
        <item x="167"/>
        <item x="148"/>
        <item x="299"/>
        <item x="244"/>
        <item x="23"/>
        <item x="194"/>
        <item x="336"/>
        <item x="77"/>
        <item x="169"/>
        <item x="306"/>
        <item x="185"/>
        <item x="202"/>
        <item x="171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8">
        <item x="2"/>
        <item x="4"/>
        <item x="3"/>
        <item x="5"/>
        <item x="6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8">
    <i>
      <x v="6"/>
    </i>
    <i>
      <x v="5"/>
    </i>
    <i>
      <x/>
    </i>
    <i>
      <x v="1"/>
    </i>
    <i>
      <x v="4"/>
    </i>
    <i>
      <x v="2"/>
    </i>
    <i>
      <x v="3"/>
    </i>
    <i t="grand">
      <x/>
    </i>
  </rowItems>
  <colItems count="1">
    <i/>
  </colItems>
  <dataFields count="1">
    <dataField name="Count of Return No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BC8CA5-3BDF-467A-A062-7B175117888D}" autoFormatId="16" applyNumberFormats="0" applyBorderFormats="0" applyFontFormats="0" applyPatternFormats="0" applyAlignmentFormats="0" applyWidthHeightFormats="0">
  <queryTableRefresh nextId="20" unboundColumnsRight="1">
    <queryTableFields count="18">
      <queryTableField id="1" name="Return No" tableColumnId="1"/>
      <queryTableField id="2" name="Web Order No" tableColumnId="2"/>
      <queryTableField id="17" name="OrderNo" tableColumnId="19"/>
      <queryTableField id="3" name="Design No." tableColumnId="3"/>
      <queryTableField id="4" name="Return Date" tableColumnId="4"/>
      <queryTableField id="5" name="Return Type" tableColumnId="5"/>
      <queryTableField id="6" name="SKU" tableColumnId="6"/>
      <queryTableField id="7" name="Order Qty" tableColumnId="7"/>
      <queryTableField id="8" name="Return Qty" tableColumnId="8"/>
      <queryTableField id="9" name="Reason" tableColumnId="9"/>
      <queryTableField id="10" name="Transporter" tableColumnId="10"/>
      <queryTableField id="11" name="Forward Awb No" tableColumnId="11"/>
      <queryTableField id="12" name="AWB NO" tableColumnId="12"/>
      <queryTableField id="13" name="Transporter Remarks" tableColumnId="13"/>
      <queryTableField id="14" name="Status" tableColumnId="14"/>
      <queryTableField id="15" name="Remarks" tableColumnId="15"/>
      <queryTableField id="16" name="Ext Return No" tableColumnId="16"/>
      <queryTableField id="19" dataBound="0" tableColumnId="17"/>
    </queryTableFields>
    <queryTableDeletedFields count="1">
      <deletedField name="ExtOrderN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85246-C56A-4981-A967-0072FE796BC7}" name="SellerPanel_Return" displayName="SellerPanel_Return" ref="A1:R348" tableType="queryTable" totalsRowShown="0">
  <autoFilter ref="A1:R348" xr:uid="{68085246-C56A-4981-A967-0072FE796BC7}"/>
  <tableColumns count="18">
    <tableColumn id="1" xr3:uid="{31909C2F-00B6-45AA-AD9E-482C69286A1B}" uniqueName="1" name="Return No" queryTableFieldId="1" dataDxfId="15"/>
    <tableColumn id="2" xr3:uid="{AD59129B-42C9-400B-93CD-9B61B6B53BF4}" uniqueName="2" name="Web Order No" queryTableFieldId="2" dataDxfId="14"/>
    <tableColumn id="19" xr3:uid="{80CE4DAB-2C72-40CF-BDF8-87F71725C8AB}" uniqueName="19" name="OrderNo" queryTableFieldId="17" dataDxfId="13"/>
    <tableColumn id="3" xr3:uid="{516A0C24-969D-4880-87D3-CAA17C6A7B3D}" uniqueName="3" name="Design No." queryTableFieldId="3" dataDxfId="12"/>
    <tableColumn id="4" xr3:uid="{FBD99917-D059-4FBB-B1C5-38D1AC5B87B1}" uniqueName="4" name="Return Date" queryTableFieldId="4" dataDxfId="11"/>
    <tableColumn id="5" xr3:uid="{912A79FF-17F4-4399-BAA0-DB811793FA15}" uniqueName="5" name="Return Type" queryTableFieldId="5" dataDxfId="10"/>
    <tableColumn id="6" xr3:uid="{D577C623-9773-43A3-8050-64BA1A30857B}" uniqueName="6" name="SKU" queryTableFieldId="6" dataDxfId="9"/>
    <tableColumn id="7" xr3:uid="{E1CDA8ED-D365-42E6-89D8-94A46B9C2B75}" uniqueName="7" name="Order Qty" queryTableFieldId="7"/>
    <tableColumn id="8" xr3:uid="{9F65C22D-E3BF-4DFD-AA87-2902D695861B}" uniqueName="8" name="Return Qty" queryTableFieldId="8"/>
    <tableColumn id="9" xr3:uid="{7118EEF9-711E-416E-9D6A-175DE55E4132}" uniqueName="9" name="Reason" queryTableFieldId="9" dataDxfId="8"/>
    <tableColumn id="10" xr3:uid="{1BC5B849-1C2C-4F6B-9053-FB0AFD47BB58}" uniqueName="10" name="Transporter" queryTableFieldId="10" dataDxfId="7"/>
    <tableColumn id="11" xr3:uid="{1A66F018-6620-4C66-96CF-449DB9F610FE}" uniqueName="11" name="Forward Awb No" queryTableFieldId="11" dataDxfId="6"/>
    <tableColumn id="12" xr3:uid="{6AA54B72-1430-4B04-B3ED-9C4CDD151672}" uniqueName="12" name="AWB NO" queryTableFieldId="12" dataDxfId="5"/>
    <tableColumn id="13" xr3:uid="{63CE4620-F080-4BD2-95EE-EC5F1EA5CB77}" uniqueName="13" name="Transporter Remarks" queryTableFieldId="13" dataDxfId="4"/>
    <tableColumn id="14" xr3:uid="{A9956D77-A6B8-4B44-BA46-70D89B8A7B77}" uniqueName="14" name="Status" queryTableFieldId="14" dataDxfId="3"/>
    <tableColumn id="15" xr3:uid="{CD3743E3-271B-4B7A-A192-61594EF670C4}" uniqueName="15" name="Remarks" queryTableFieldId="15" dataDxfId="2"/>
    <tableColumn id="16" xr3:uid="{0EF0B6D2-9C53-4BA8-BBA8-3CE5119202B8}" uniqueName="16" name="Ext Return No" queryTableFieldId="16" dataDxfId="1"/>
    <tableColumn id="17" xr3:uid="{7F33FE71-0A6C-4B56-A843-0EAB803EB848}" uniqueName="17" name="ExtOrderNo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CD40-1219-4169-BD37-959E345BCE0D}">
  <dimension ref="A2:H15"/>
  <sheetViews>
    <sheetView workbookViewId="0">
      <selection activeCell="H6" sqref="H6"/>
    </sheetView>
  </sheetViews>
  <sheetFormatPr defaultRowHeight="14.4"/>
  <cols>
    <col min="1" max="1" width="21.33203125" bestFit="1" customWidth="1"/>
    <col min="2" max="2" width="17.5546875" bestFit="1" customWidth="1"/>
    <col min="3" max="3" width="14.109375" bestFit="1" customWidth="1"/>
    <col min="4" max="4" width="14.6640625" bestFit="1" customWidth="1"/>
    <col min="5" max="5" width="17.5546875" bestFit="1" customWidth="1"/>
    <col min="6" max="6" width="14.109375" bestFit="1" customWidth="1"/>
    <col min="7" max="7" width="16.44140625" bestFit="1" customWidth="1"/>
    <col min="8" max="8" width="16.6640625" bestFit="1" customWidth="1"/>
    <col min="9" max="341" width="14.109375" bestFit="1" customWidth="1"/>
    <col min="342" max="342" width="10.77734375" bestFit="1" customWidth="1"/>
  </cols>
  <sheetData>
    <row r="2" spans="1:8">
      <c r="A2" s="2" t="s">
        <v>2794</v>
      </c>
      <c r="B2" t="s">
        <v>2796</v>
      </c>
      <c r="D2" s="2" t="s">
        <v>2794</v>
      </c>
      <c r="E2" t="s">
        <v>2796</v>
      </c>
      <c r="G2" s="2" t="s">
        <v>2794</v>
      </c>
      <c r="H2" t="s">
        <v>2813</v>
      </c>
    </row>
    <row r="3" spans="1:8">
      <c r="A3" s="3" t="s">
        <v>2798</v>
      </c>
      <c r="B3" s="4">
        <v>195</v>
      </c>
      <c r="D3" s="3" t="s">
        <v>9</v>
      </c>
      <c r="E3" s="6">
        <v>0.77521613832853031</v>
      </c>
      <c r="G3" s="3" t="s">
        <v>988</v>
      </c>
      <c r="H3" s="4">
        <v>4</v>
      </c>
    </row>
    <row r="4" spans="1:8">
      <c r="A4" s="3" t="s">
        <v>65</v>
      </c>
      <c r="B4" s="4">
        <v>78</v>
      </c>
      <c r="D4" s="3" t="s">
        <v>65</v>
      </c>
      <c r="E4" s="6">
        <v>0.22478386167146974</v>
      </c>
      <c r="G4" s="3" t="s">
        <v>929</v>
      </c>
      <c r="H4" s="4">
        <v>4</v>
      </c>
    </row>
    <row r="5" spans="1:8">
      <c r="A5" s="3" t="s">
        <v>2797</v>
      </c>
      <c r="B5" s="4">
        <v>56</v>
      </c>
      <c r="D5" s="3" t="s">
        <v>2795</v>
      </c>
      <c r="E5" s="6">
        <v>1</v>
      </c>
      <c r="G5" s="3" t="s">
        <v>2615</v>
      </c>
      <c r="H5" s="4">
        <v>4</v>
      </c>
    </row>
    <row r="6" spans="1:8">
      <c r="A6" s="3" t="s">
        <v>249</v>
      </c>
      <c r="B6" s="4">
        <v>14</v>
      </c>
      <c r="G6" s="3" t="s">
        <v>516</v>
      </c>
      <c r="H6" s="4">
        <v>3</v>
      </c>
    </row>
    <row r="7" spans="1:8">
      <c r="A7" s="3" t="s">
        <v>376</v>
      </c>
      <c r="B7" s="4">
        <v>2</v>
      </c>
      <c r="G7" s="3" t="s">
        <v>2306</v>
      </c>
      <c r="H7" s="4">
        <v>3</v>
      </c>
    </row>
    <row r="8" spans="1:8">
      <c r="A8" s="3" t="s">
        <v>2698</v>
      </c>
      <c r="B8" s="4">
        <v>1</v>
      </c>
      <c r="G8" s="3" t="s">
        <v>1112</v>
      </c>
      <c r="H8" s="4">
        <v>3</v>
      </c>
    </row>
    <row r="9" spans="1:8">
      <c r="A9" s="3" t="s">
        <v>1606</v>
      </c>
      <c r="B9" s="4">
        <v>1</v>
      </c>
      <c r="G9" s="3" t="s">
        <v>1881</v>
      </c>
      <c r="H9" s="4">
        <v>3</v>
      </c>
    </row>
    <row r="10" spans="1:8">
      <c r="A10" s="3" t="s">
        <v>2795</v>
      </c>
      <c r="B10" s="4">
        <v>347</v>
      </c>
      <c r="G10" s="3" t="s">
        <v>2119</v>
      </c>
      <c r="H10" s="4">
        <v>3</v>
      </c>
    </row>
    <row r="11" spans="1:8">
      <c r="G11" s="3" t="s">
        <v>39</v>
      </c>
      <c r="H11" s="4">
        <v>3</v>
      </c>
    </row>
    <row r="12" spans="1:8">
      <c r="G12" s="3" t="s">
        <v>2022</v>
      </c>
      <c r="H12" s="4">
        <v>3</v>
      </c>
    </row>
    <row r="13" spans="1:8">
      <c r="G13" s="3" t="s">
        <v>1442</v>
      </c>
      <c r="H13" s="4">
        <v>3</v>
      </c>
    </row>
    <row r="14" spans="1:8">
      <c r="G14" s="3" t="s">
        <v>1748</v>
      </c>
      <c r="H14" s="4">
        <v>3</v>
      </c>
    </row>
    <row r="15" spans="1:8">
      <c r="G15" s="3" t="s">
        <v>2795</v>
      </c>
      <c r="H15" s="4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DD16-58E2-4769-A8CD-46DF65826AE6}">
  <dimension ref="A1:R348"/>
  <sheetViews>
    <sheetView workbookViewId="0">
      <selection activeCell="D1" sqref="D1"/>
    </sheetView>
  </sheetViews>
  <sheetFormatPr defaultRowHeight="14.4"/>
  <cols>
    <col min="1" max="1" width="14" bestFit="1" customWidth="1"/>
    <col min="2" max="2" width="24.33203125" bestFit="1" customWidth="1"/>
    <col min="3" max="3" width="19" bestFit="1" customWidth="1"/>
    <col min="4" max="4" width="13.21875" bestFit="1" customWidth="1"/>
    <col min="5" max="5" width="14.6640625" bestFit="1" customWidth="1"/>
    <col min="6" max="6" width="14.77734375" bestFit="1" customWidth="1"/>
    <col min="7" max="7" width="11.44140625" bestFit="1" customWidth="1"/>
    <col min="8" max="8" width="12.33203125" bestFit="1" customWidth="1"/>
    <col min="9" max="9" width="34" bestFit="1" customWidth="1"/>
    <col min="10" max="10" width="22.33203125" bestFit="1" customWidth="1"/>
    <col min="11" max="11" width="17.33203125" bestFit="1" customWidth="1"/>
    <col min="12" max="12" width="15.5546875" bestFit="1" customWidth="1"/>
    <col min="13" max="13" width="49" bestFit="1" customWidth="1"/>
    <col min="14" max="14" width="21.88671875" bestFit="1" customWidth="1"/>
    <col min="15" max="15" width="80.88671875" bestFit="1" customWidth="1"/>
    <col min="16" max="16" width="21" bestFit="1" customWidth="1"/>
    <col min="17" max="17" width="13.33203125" bestFit="1" customWidth="1"/>
    <col min="18" max="18" width="25.44140625" bestFit="1" customWidth="1"/>
  </cols>
  <sheetData>
    <row r="1" spans="1:18">
      <c r="A1" t="s">
        <v>2789</v>
      </c>
      <c r="B1" t="s">
        <v>2788</v>
      </c>
      <c r="C1" t="s">
        <v>2787</v>
      </c>
      <c r="D1" t="s">
        <v>2786</v>
      </c>
      <c r="E1" t="s">
        <v>2785</v>
      </c>
      <c r="F1" t="s">
        <v>2784</v>
      </c>
      <c r="G1" t="s">
        <v>2783</v>
      </c>
      <c r="H1" t="s">
        <v>2782</v>
      </c>
      <c r="I1" t="s">
        <v>2781</v>
      </c>
      <c r="J1" t="s">
        <v>2780</v>
      </c>
      <c r="K1" t="s">
        <v>2779</v>
      </c>
      <c r="L1" t="s">
        <v>2778</v>
      </c>
      <c r="M1" t="s">
        <v>2777</v>
      </c>
      <c r="N1" t="s">
        <v>2776</v>
      </c>
      <c r="O1" t="s">
        <v>2775</v>
      </c>
      <c r="P1" t="s">
        <v>2774</v>
      </c>
      <c r="Q1" t="s">
        <v>2773</v>
      </c>
      <c r="R1" t="s">
        <v>2772</v>
      </c>
    </row>
    <row r="2" spans="1:18">
      <c r="A2" t="s">
        <v>2771</v>
      </c>
      <c r="B2" t="s">
        <v>2768</v>
      </c>
      <c r="C2" t="s">
        <v>2770</v>
      </c>
      <c r="D2" t="s">
        <v>2765</v>
      </c>
      <c r="E2" s="1">
        <v>45849</v>
      </c>
      <c r="F2" t="s">
        <v>65</v>
      </c>
      <c r="G2" t="s">
        <v>2764</v>
      </c>
      <c r="H2">
        <v>1</v>
      </c>
      <c r="I2">
        <v>1</v>
      </c>
      <c r="J2" t="s">
        <v>65</v>
      </c>
      <c r="K2" t="s">
        <v>1262</v>
      </c>
      <c r="L2" t="s">
        <v>2769</v>
      </c>
      <c r="M2" t="s">
        <v>61</v>
      </c>
      <c r="N2" t="s">
        <v>61</v>
      </c>
      <c r="O2" t="s">
        <v>16</v>
      </c>
      <c r="P2" t="s">
        <v>61</v>
      </c>
      <c r="Q2" t="s">
        <v>61</v>
      </c>
      <c r="R2" t="s">
        <v>2768</v>
      </c>
    </row>
    <row r="3" spans="1:18">
      <c r="A3" t="s">
        <v>2767</v>
      </c>
      <c r="B3" t="s">
        <v>2762</v>
      </c>
      <c r="C3" t="s">
        <v>2766</v>
      </c>
      <c r="D3" t="s">
        <v>2765</v>
      </c>
      <c r="E3" s="1">
        <v>45908</v>
      </c>
      <c r="F3" t="s">
        <v>65</v>
      </c>
      <c r="G3" t="s">
        <v>2764</v>
      </c>
      <c r="H3">
        <v>1</v>
      </c>
      <c r="I3">
        <v>1</v>
      </c>
      <c r="J3" t="s">
        <v>65</v>
      </c>
      <c r="K3" t="s">
        <v>1262</v>
      </c>
      <c r="L3" t="s">
        <v>2763</v>
      </c>
      <c r="M3" t="s">
        <v>61</v>
      </c>
      <c r="N3" t="s">
        <v>61</v>
      </c>
      <c r="O3" t="s">
        <v>16</v>
      </c>
      <c r="P3" t="s">
        <v>61</v>
      </c>
      <c r="Q3" t="s">
        <v>61</v>
      </c>
      <c r="R3" t="s">
        <v>2762</v>
      </c>
    </row>
    <row r="4" spans="1:18">
      <c r="A4" t="s">
        <v>2761</v>
      </c>
      <c r="B4" t="s">
        <v>2760</v>
      </c>
      <c r="C4" t="s">
        <v>2759</v>
      </c>
      <c r="D4" t="s">
        <v>2758</v>
      </c>
      <c r="E4" s="1">
        <v>45918</v>
      </c>
      <c r="F4" t="s">
        <v>9</v>
      </c>
      <c r="G4" t="s">
        <v>2757</v>
      </c>
      <c r="H4">
        <v>1</v>
      </c>
      <c r="I4">
        <v>1</v>
      </c>
      <c r="J4" t="s">
        <v>2798</v>
      </c>
      <c r="K4" t="s">
        <v>20</v>
      </c>
      <c r="L4" t="s">
        <v>2756</v>
      </c>
      <c r="M4" t="s">
        <v>2755</v>
      </c>
      <c r="N4" t="s">
        <v>17</v>
      </c>
      <c r="O4" t="s">
        <v>16</v>
      </c>
      <c r="P4" t="s">
        <v>110</v>
      </c>
      <c r="Q4" t="s">
        <v>2754</v>
      </c>
      <c r="R4" t="s">
        <v>2753</v>
      </c>
    </row>
    <row r="5" spans="1:18">
      <c r="A5" t="s">
        <v>2752</v>
      </c>
      <c r="B5" t="s">
        <v>2751</v>
      </c>
      <c r="C5" t="s">
        <v>2750</v>
      </c>
      <c r="D5" t="s">
        <v>2749</v>
      </c>
      <c r="E5" s="1">
        <v>45941</v>
      </c>
      <c r="F5" t="s">
        <v>9</v>
      </c>
      <c r="G5" t="s">
        <v>2748</v>
      </c>
      <c r="H5">
        <v>1</v>
      </c>
      <c r="I5">
        <v>1</v>
      </c>
      <c r="J5" t="s">
        <v>2798</v>
      </c>
      <c r="K5" t="s">
        <v>7</v>
      </c>
      <c r="L5" t="s">
        <v>2747</v>
      </c>
      <c r="M5" t="s">
        <v>2746</v>
      </c>
      <c r="N5" t="s">
        <v>53</v>
      </c>
      <c r="O5" t="s">
        <v>16</v>
      </c>
      <c r="P5" t="s">
        <v>2745</v>
      </c>
      <c r="Q5" t="s">
        <v>2744</v>
      </c>
      <c r="R5" t="s">
        <v>2743</v>
      </c>
    </row>
    <row r="6" spans="1:18">
      <c r="A6" t="s">
        <v>2742</v>
      </c>
      <c r="B6" t="s">
        <v>2741</v>
      </c>
      <c r="C6" t="s">
        <v>2740</v>
      </c>
      <c r="D6" t="s">
        <v>2739</v>
      </c>
      <c r="E6" s="1">
        <v>45889</v>
      </c>
      <c r="F6" t="s">
        <v>9</v>
      </c>
      <c r="G6" t="s">
        <v>2738</v>
      </c>
      <c r="H6">
        <v>1</v>
      </c>
      <c r="I6">
        <v>1</v>
      </c>
      <c r="J6" t="s">
        <v>2798</v>
      </c>
      <c r="K6" t="s">
        <v>7</v>
      </c>
      <c r="L6" t="s">
        <v>2737</v>
      </c>
      <c r="M6" t="s">
        <v>2736</v>
      </c>
      <c r="N6" t="s">
        <v>53</v>
      </c>
      <c r="O6" t="s">
        <v>16</v>
      </c>
      <c r="P6" t="s">
        <v>141</v>
      </c>
      <c r="Q6" t="s">
        <v>2735</v>
      </c>
      <c r="R6" t="s">
        <v>2734</v>
      </c>
    </row>
    <row r="7" spans="1:18">
      <c r="A7" t="s">
        <v>2733</v>
      </c>
      <c r="B7" t="s">
        <v>2732</v>
      </c>
      <c r="C7" t="s">
        <v>2731</v>
      </c>
      <c r="D7" t="s">
        <v>2730</v>
      </c>
      <c r="E7" s="1">
        <v>45952</v>
      </c>
      <c r="F7" t="s">
        <v>9</v>
      </c>
      <c r="G7" t="s">
        <v>2729</v>
      </c>
      <c r="H7">
        <v>1</v>
      </c>
      <c r="I7">
        <v>1</v>
      </c>
      <c r="J7" t="s">
        <v>2798</v>
      </c>
      <c r="K7" t="s">
        <v>20</v>
      </c>
      <c r="L7" t="s">
        <v>2728</v>
      </c>
      <c r="M7" t="s">
        <v>2727</v>
      </c>
      <c r="N7" t="s">
        <v>1425</v>
      </c>
      <c r="O7" t="s">
        <v>3</v>
      </c>
      <c r="P7" t="s">
        <v>2</v>
      </c>
      <c r="Q7" t="s">
        <v>2726</v>
      </c>
      <c r="R7" t="s">
        <v>2725</v>
      </c>
    </row>
    <row r="8" spans="1:18">
      <c r="A8" t="s">
        <v>2724</v>
      </c>
      <c r="B8" t="s">
        <v>2723</v>
      </c>
      <c r="C8" t="s">
        <v>2722</v>
      </c>
      <c r="D8" t="s">
        <v>2721</v>
      </c>
      <c r="E8" s="1">
        <v>45885</v>
      </c>
      <c r="F8" t="s">
        <v>9</v>
      </c>
      <c r="G8" t="s">
        <v>2720</v>
      </c>
      <c r="H8">
        <v>1</v>
      </c>
      <c r="I8">
        <v>1</v>
      </c>
      <c r="J8" t="s">
        <v>2797</v>
      </c>
      <c r="K8" t="s">
        <v>7</v>
      </c>
      <c r="L8" t="s">
        <v>2719</v>
      </c>
      <c r="M8" t="s">
        <v>2718</v>
      </c>
      <c r="N8" t="s">
        <v>53</v>
      </c>
      <c r="O8" t="s">
        <v>16</v>
      </c>
      <c r="P8" t="s">
        <v>151</v>
      </c>
      <c r="Q8" t="s">
        <v>2717</v>
      </c>
      <c r="R8" t="s">
        <v>2716</v>
      </c>
    </row>
    <row r="9" spans="1:18">
      <c r="A9" t="s">
        <v>2715</v>
      </c>
      <c r="B9" t="s">
        <v>2714</v>
      </c>
      <c r="C9" t="s">
        <v>2713</v>
      </c>
      <c r="D9" t="s">
        <v>2712</v>
      </c>
      <c r="E9" s="1">
        <v>45897</v>
      </c>
      <c r="F9" t="s">
        <v>9</v>
      </c>
      <c r="G9" t="s">
        <v>2711</v>
      </c>
      <c r="H9">
        <v>1</v>
      </c>
      <c r="I9">
        <v>1</v>
      </c>
      <c r="J9" t="s">
        <v>2797</v>
      </c>
      <c r="K9" t="s">
        <v>7</v>
      </c>
      <c r="L9" t="s">
        <v>2710</v>
      </c>
      <c r="M9" t="s">
        <v>2709</v>
      </c>
      <c r="N9" t="s">
        <v>53</v>
      </c>
      <c r="O9" t="s">
        <v>16</v>
      </c>
      <c r="P9" t="s">
        <v>2708</v>
      </c>
      <c r="Q9" t="s">
        <v>2707</v>
      </c>
      <c r="R9" t="s">
        <v>2706</v>
      </c>
    </row>
    <row r="10" spans="1:18">
      <c r="A10" t="s">
        <v>2705</v>
      </c>
      <c r="B10" t="s">
        <v>2704</v>
      </c>
      <c r="C10" t="s">
        <v>2703</v>
      </c>
      <c r="D10" t="s">
        <v>2702</v>
      </c>
      <c r="E10" s="1">
        <v>45889</v>
      </c>
      <c r="F10" t="s">
        <v>9</v>
      </c>
      <c r="G10" t="s">
        <v>2701</v>
      </c>
      <c r="H10">
        <v>1</v>
      </c>
      <c r="I10">
        <v>1</v>
      </c>
      <c r="J10" t="s">
        <v>2698</v>
      </c>
      <c r="K10" t="s">
        <v>7</v>
      </c>
      <c r="L10" t="s">
        <v>2700</v>
      </c>
      <c r="M10" t="s">
        <v>2699</v>
      </c>
      <c r="N10" t="s">
        <v>53</v>
      </c>
      <c r="O10" t="s">
        <v>16</v>
      </c>
      <c r="P10" t="s">
        <v>2698</v>
      </c>
      <c r="Q10" t="s">
        <v>2697</v>
      </c>
      <c r="R10" t="s">
        <v>2696</v>
      </c>
    </row>
    <row r="11" spans="1:18">
      <c r="A11" t="s">
        <v>2695</v>
      </c>
      <c r="B11" t="s">
        <v>2690</v>
      </c>
      <c r="C11" t="s">
        <v>2694</v>
      </c>
      <c r="D11" t="s">
        <v>2693</v>
      </c>
      <c r="E11" s="1">
        <v>45919</v>
      </c>
      <c r="F11" t="s">
        <v>65</v>
      </c>
      <c r="G11" t="s">
        <v>2692</v>
      </c>
      <c r="H11">
        <v>1</v>
      </c>
      <c r="I11">
        <v>1</v>
      </c>
      <c r="J11" t="s">
        <v>65</v>
      </c>
      <c r="K11" t="s">
        <v>63</v>
      </c>
      <c r="L11" t="s">
        <v>2691</v>
      </c>
      <c r="M11" t="s">
        <v>61</v>
      </c>
      <c r="N11" t="s">
        <v>61</v>
      </c>
      <c r="O11" t="s">
        <v>16</v>
      </c>
      <c r="P11" t="s">
        <v>61</v>
      </c>
      <c r="Q11" t="s">
        <v>61</v>
      </c>
      <c r="R11" t="s">
        <v>2690</v>
      </c>
    </row>
    <row r="12" spans="1:18">
      <c r="A12" t="s">
        <v>2689</v>
      </c>
      <c r="B12" t="s">
        <v>2688</v>
      </c>
      <c r="C12" t="s">
        <v>2687</v>
      </c>
      <c r="D12" t="s">
        <v>2686</v>
      </c>
      <c r="E12" s="1">
        <v>45874</v>
      </c>
      <c r="F12" t="s">
        <v>9</v>
      </c>
      <c r="G12" t="s">
        <v>2685</v>
      </c>
      <c r="H12">
        <v>1</v>
      </c>
      <c r="I12">
        <v>1</v>
      </c>
      <c r="J12" t="s">
        <v>2798</v>
      </c>
      <c r="K12" t="s">
        <v>20</v>
      </c>
      <c r="L12" t="s">
        <v>2684</v>
      </c>
      <c r="M12" t="s">
        <v>2683</v>
      </c>
      <c r="N12" t="s">
        <v>17</v>
      </c>
      <c r="O12" t="s">
        <v>16</v>
      </c>
      <c r="P12" t="s">
        <v>141</v>
      </c>
      <c r="Q12" t="s">
        <v>2682</v>
      </c>
      <c r="R12" t="s">
        <v>2681</v>
      </c>
    </row>
    <row r="13" spans="1:18">
      <c r="A13" t="s">
        <v>2680</v>
      </c>
      <c r="B13" t="s">
        <v>2679</v>
      </c>
      <c r="C13" t="s">
        <v>2678</v>
      </c>
      <c r="D13" t="s">
        <v>2677</v>
      </c>
      <c r="E13" s="1">
        <v>45929</v>
      </c>
      <c r="F13" t="s">
        <v>9</v>
      </c>
      <c r="G13" t="s">
        <v>2676</v>
      </c>
      <c r="H13">
        <v>1</v>
      </c>
      <c r="I13">
        <v>1</v>
      </c>
      <c r="J13" t="s">
        <v>2797</v>
      </c>
      <c r="K13" t="s">
        <v>7</v>
      </c>
      <c r="L13" t="s">
        <v>2675</v>
      </c>
      <c r="M13" t="s">
        <v>2674</v>
      </c>
      <c r="N13" t="s">
        <v>53</v>
      </c>
      <c r="O13" t="s">
        <v>16</v>
      </c>
      <c r="P13" t="s">
        <v>2673</v>
      </c>
      <c r="Q13" t="s">
        <v>2672</v>
      </c>
      <c r="R13" t="s">
        <v>2671</v>
      </c>
    </row>
    <row r="14" spans="1:18">
      <c r="A14" t="s">
        <v>2670</v>
      </c>
      <c r="B14" t="s">
        <v>2669</v>
      </c>
      <c r="C14" t="s">
        <v>2668</v>
      </c>
      <c r="D14" t="s">
        <v>2667</v>
      </c>
      <c r="E14" s="1">
        <v>45882</v>
      </c>
      <c r="F14" t="s">
        <v>9</v>
      </c>
      <c r="G14" t="s">
        <v>2666</v>
      </c>
      <c r="H14">
        <v>1</v>
      </c>
      <c r="I14">
        <v>1</v>
      </c>
      <c r="J14" t="s">
        <v>2798</v>
      </c>
      <c r="K14" t="s">
        <v>7</v>
      </c>
      <c r="L14" t="s">
        <v>2665</v>
      </c>
      <c r="M14" t="s">
        <v>2664</v>
      </c>
      <c r="N14" t="s">
        <v>53</v>
      </c>
      <c r="O14" t="s">
        <v>16</v>
      </c>
      <c r="P14" t="s">
        <v>110</v>
      </c>
      <c r="Q14" t="s">
        <v>2663</v>
      </c>
      <c r="R14" t="s">
        <v>2662</v>
      </c>
    </row>
    <row r="15" spans="1:18">
      <c r="A15" t="s">
        <v>2661</v>
      </c>
      <c r="B15" t="s">
        <v>2658</v>
      </c>
      <c r="C15" t="s">
        <v>2660</v>
      </c>
      <c r="D15" t="s">
        <v>2654</v>
      </c>
      <c r="E15" s="1">
        <v>45878</v>
      </c>
      <c r="F15" t="s">
        <v>65</v>
      </c>
      <c r="G15" t="s">
        <v>2653</v>
      </c>
      <c r="H15">
        <v>1</v>
      </c>
      <c r="I15">
        <v>1</v>
      </c>
      <c r="J15" t="s">
        <v>65</v>
      </c>
      <c r="K15" t="s">
        <v>112</v>
      </c>
      <c r="L15" t="s">
        <v>2659</v>
      </c>
      <c r="M15" t="s">
        <v>61</v>
      </c>
      <c r="N15" t="s">
        <v>61</v>
      </c>
      <c r="O15" t="s">
        <v>16</v>
      </c>
      <c r="P15" t="s">
        <v>61</v>
      </c>
      <c r="Q15" t="s">
        <v>61</v>
      </c>
      <c r="R15" t="s">
        <v>2658</v>
      </c>
    </row>
    <row r="16" spans="1:18">
      <c r="A16" t="s">
        <v>2657</v>
      </c>
      <c r="B16" t="s">
        <v>2656</v>
      </c>
      <c r="C16" t="s">
        <v>2655</v>
      </c>
      <c r="D16" t="s">
        <v>2654</v>
      </c>
      <c r="E16" s="1">
        <v>45944</v>
      </c>
      <c r="F16" t="s">
        <v>9</v>
      </c>
      <c r="G16" t="s">
        <v>2653</v>
      </c>
      <c r="H16">
        <v>1</v>
      </c>
      <c r="I16">
        <v>1</v>
      </c>
      <c r="J16" t="s">
        <v>2797</v>
      </c>
      <c r="K16" t="s">
        <v>20</v>
      </c>
      <c r="L16" t="s">
        <v>2652</v>
      </c>
      <c r="M16" t="s">
        <v>2651</v>
      </c>
      <c r="N16" t="s">
        <v>17</v>
      </c>
      <c r="O16" t="s">
        <v>16</v>
      </c>
      <c r="P16" t="s">
        <v>2650</v>
      </c>
      <c r="Q16" t="s">
        <v>2649</v>
      </c>
      <c r="R16" t="s">
        <v>2648</v>
      </c>
    </row>
    <row r="17" spans="1:18">
      <c r="A17" t="s">
        <v>2647</v>
      </c>
      <c r="B17" t="s">
        <v>2646</v>
      </c>
      <c r="C17" t="s">
        <v>2645</v>
      </c>
      <c r="D17" t="s">
        <v>2644</v>
      </c>
      <c r="E17" s="1">
        <v>45954</v>
      </c>
      <c r="F17" t="s">
        <v>9</v>
      </c>
      <c r="G17" t="s">
        <v>2643</v>
      </c>
      <c r="H17">
        <v>1</v>
      </c>
      <c r="I17">
        <v>1</v>
      </c>
      <c r="J17" t="s">
        <v>2797</v>
      </c>
      <c r="K17" t="s">
        <v>20</v>
      </c>
      <c r="L17" t="s">
        <v>2642</v>
      </c>
      <c r="M17" t="s">
        <v>2641</v>
      </c>
      <c r="N17" t="s">
        <v>17</v>
      </c>
      <c r="O17" t="s">
        <v>16</v>
      </c>
      <c r="P17" t="s">
        <v>2640</v>
      </c>
      <c r="Q17" t="s">
        <v>2639</v>
      </c>
      <c r="R17" t="s">
        <v>2638</v>
      </c>
    </row>
    <row r="18" spans="1:18">
      <c r="A18" t="s">
        <v>2637</v>
      </c>
      <c r="B18" t="s">
        <v>2636</v>
      </c>
      <c r="C18" t="s">
        <v>2635</v>
      </c>
      <c r="D18" t="s">
        <v>2615</v>
      </c>
      <c r="E18" s="1">
        <v>45939</v>
      </c>
      <c r="F18" t="s">
        <v>9</v>
      </c>
      <c r="G18" t="s">
        <v>2614</v>
      </c>
      <c r="H18">
        <v>1</v>
      </c>
      <c r="I18">
        <v>1</v>
      </c>
      <c r="J18" t="s">
        <v>249</v>
      </c>
      <c r="K18" t="s">
        <v>20</v>
      </c>
      <c r="L18" t="s">
        <v>2634</v>
      </c>
      <c r="M18" t="s">
        <v>2633</v>
      </c>
      <c r="N18" t="s">
        <v>17</v>
      </c>
      <c r="O18" t="s">
        <v>16</v>
      </c>
      <c r="P18" t="s">
        <v>2632</v>
      </c>
      <c r="Q18" t="s">
        <v>2631</v>
      </c>
      <c r="R18" t="s">
        <v>2630</v>
      </c>
    </row>
    <row r="19" spans="1:18">
      <c r="A19" t="s">
        <v>2629</v>
      </c>
      <c r="B19" t="s">
        <v>2626</v>
      </c>
      <c r="C19" t="s">
        <v>2628</v>
      </c>
      <c r="D19" t="s">
        <v>2615</v>
      </c>
      <c r="E19" s="1">
        <v>45903</v>
      </c>
      <c r="F19" t="s">
        <v>65</v>
      </c>
      <c r="G19" t="s">
        <v>2614</v>
      </c>
      <c r="H19">
        <v>1</v>
      </c>
      <c r="I19">
        <v>1</v>
      </c>
      <c r="J19" t="s">
        <v>65</v>
      </c>
      <c r="K19" t="s">
        <v>112</v>
      </c>
      <c r="L19" t="s">
        <v>2627</v>
      </c>
      <c r="M19" t="s">
        <v>61</v>
      </c>
      <c r="N19" t="s">
        <v>61</v>
      </c>
      <c r="O19" t="s">
        <v>16</v>
      </c>
      <c r="P19" t="s">
        <v>61</v>
      </c>
      <c r="Q19" t="s">
        <v>61</v>
      </c>
      <c r="R19" t="s">
        <v>2626</v>
      </c>
    </row>
    <row r="20" spans="1:18">
      <c r="A20" t="s">
        <v>2625</v>
      </c>
      <c r="B20" t="s">
        <v>2624</v>
      </c>
      <c r="C20" t="s">
        <v>2623</v>
      </c>
      <c r="D20" t="s">
        <v>2615</v>
      </c>
      <c r="E20" s="1">
        <v>45911</v>
      </c>
      <c r="F20" t="s">
        <v>9</v>
      </c>
      <c r="G20" t="s">
        <v>2614</v>
      </c>
      <c r="H20">
        <v>1</v>
      </c>
      <c r="I20">
        <v>1</v>
      </c>
      <c r="J20" t="s">
        <v>2798</v>
      </c>
      <c r="K20" t="s">
        <v>20</v>
      </c>
      <c r="L20" t="s">
        <v>2622</v>
      </c>
      <c r="M20" t="s">
        <v>2621</v>
      </c>
      <c r="N20" t="s">
        <v>17</v>
      </c>
      <c r="O20" t="s">
        <v>16</v>
      </c>
      <c r="P20" t="s">
        <v>110</v>
      </c>
      <c r="Q20" t="s">
        <v>2620</v>
      </c>
      <c r="R20" t="s">
        <v>2619</v>
      </c>
    </row>
    <row r="21" spans="1:18">
      <c r="A21" t="s">
        <v>2618</v>
      </c>
      <c r="B21" t="s">
        <v>2617</v>
      </c>
      <c r="C21" t="s">
        <v>2616</v>
      </c>
      <c r="D21" t="s">
        <v>2615</v>
      </c>
      <c r="E21" s="1">
        <v>45927</v>
      </c>
      <c r="F21" t="s">
        <v>9</v>
      </c>
      <c r="G21" t="s">
        <v>2614</v>
      </c>
      <c r="H21">
        <v>1</v>
      </c>
      <c r="I21">
        <v>1</v>
      </c>
      <c r="J21" t="s">
        <v>2798</v>
      </c>
      <c r="K21" t="s">
        <v>7</v>
      </c>
      <c r="L21" t="s">
        <v>2613</v>
      </c>
      <c r="M21" t="s">
        <v>2612</v>
      </c>
      <c r="N21" t="s">
        <v>53</v>
      </c>
      <c r="O21" t="s">
        <v>16</v>
      </c>
      <c r="P21" t="s">
        <v>2</v>
      </c>
      <c r="Q21" t="s">
        <v>2611</v>
      </c>
      <c r="R21" t="s">
        <v>2610</v>
      </c>
    </row>
    <row r="22" spans="1:18">
      <c r="A22" t="s">
        <v>2609</v>
      </c>
      <c r="B22" t="s">
        <v>2608</v>
      </c>
      <c r="C22" t="s">
        <v>2607</v>
      </c>
      <c r="D22" t="s">
        <v>2598</v>
      </c>
      <c r="E22" s="1">
        <v>45875</v>
      </c>
      <c r="F22" t="s">
        <v>9</v>
      </c>
      <c r="G22" t="s">
        <v>2597</v>
      </c>
      <c r="H22">
        <v>1</v>
      </c>
      <c r="I22">
        <v>1</v>
      </c>
      <c r="J22" t="s">
        <v>2797</v>
      </c>
      <c r="K22" t="s">
        <v>7</v>
      </c>
      <c r="L22" t="s">
        <v>2606</v>
      </c>
      <c r="M22" t="s">
        <v>2605</v>
      </c>
      <c r="N22" t="s">
        <v>53</v>
      </c>
      <c r="O22" t="s">
        <v>16</v>
      </c>
      <c r="P22" t="s">
        <v>2604</v>
      </c>
      <c r="Q22" t="s">
        <v>2603</v>
      </c>
      <c r="R22" t="s">
        <v>2602</v>
      </c>
    </row>
    <row r="23" spans="1:18">
      <c r="A23" t="s">
        <v>2601</v>
      </c>
      <c r="B23" t="s">
        <v>2600</v>
      </c>
      <c r="C23" t="s">
        <v>2599</v>
      </c>
      <c r="D23" t="s">
        <v>2598</v>
      </c>
      <c r="E23" s="1">
        <v>45902</v>
      </c>
      <c r="F23" t="s">
        <v>9</v>
      </c>
      <c r="G23" t="s">
        <v>2597</v>
      </c>
      <c r="H23">
        <v>1</v>
      </c>
      <c r="I23">
        <v>1</v>
      </c>
      <c r="J23" t="s">
        <v>2798</v>
      </c>
      <c r="K23" t="s">
        <v>7</v>
      </c>
      <c r="L23" t="s">
        <v>2596</v>
      </c>
      <c r="M23" t="s">
        <v>2595</v>
      </c>
      <c r="N23" t="s">
        <v>53</v>
      </c>
      <c r="O23" t="s">
        <v>16</v>
      </c>
      <c r="P23" t="s">
        <v>141</v>
      </c>
      <c r="Q23" t="s">
        <v>2594</v>
      </c>
      <c r="R23" t="s">
        <v>2593</v>
      </c>
    </row>
    <row r="24" spans="1:18">
      <c r="A24" t="s">
        <v>2592</v>
      </c>
      <c r="B24" t="s">
        <v>2587</v>
      </c>
      <c r="C24" t="s">
        <v>2591</v>
      </c>
      <c r="D24" t="s">
        <v>2590</v>
      </c>
      <c r="E24" s="1">
        <v>45854</v>
      </c>
      <c r="F24" t="s">
        <v>65</v>
      </c>
      <c r="G24" t="s">
        <v>2589</v>
      </c>
      <c r="H24">
        <v>1</v>
      </c>
      <c r="I24">
        <v>1</v>
      </c>
      <c r="J24" t="s">
        <v>65</v>
      </c>
      <c r="K24" t="s">
        <v>223</v>
      </c>
      <c r="L24" t="s">
        <v>2588</v>
      </c>
      <c r="M24" t="s">
        <v>61</v>
      </c>
      <c r="N24" t="s">
        <v>61</v>
      </c>
      <c r="O24" t="s">
        <v>16</v>
      </c>
      <c r="P24" t="s">
        <v>61</v>
      </c>
      <c r="Q24" t="s">
        <v>61</v>
      </c>
      <c r="R24" t="s">
        <v>2587</v>
      </c>
    </row>
    <row r="25" spans="1:18">
      <c r="A25" t="s">
        <v>2586</v>
      </c>
      <c r="B25" t="s">
        <v>2585</v>
      </c>
      <c r="C25" t="s">
        <v>2584</v>
      </c>
      <c r="D25" t="s">
        <v>2583</v>
      </c>
      <c r="E25" s="1">
        <v>45955</v>
      </c>
      <c r="F25" t="s">
        <v>9</v>
      </c>
      <c r="G25" t="s">
        <v>2582</v>
      </c>
      <c r="H25">
        <v>1</v>
      </c>
      <c r="I25">
        <v>1</v>
      </c>
      <c r="J25" t="s">
        <v>2798</v>
      </c>
      <c r="K25" t="s">
        <v>7</v>
      </c>
      <c r="L25" t="s">
        <v>2581</v>
      </c>
      <c r="M25" t="s">
        <v>2580</v>
      </c>
      <c r="N25" t="s">
        <v>81</v>
      </c>
      <c r="O25" t="s">
        <v>80</v>
      </c>
      <c r="P25" t="s">
        <v>2</v>
      </c>
      <c r="Q25" t="s">
        <v>2579</v>
      </c>
      <c r="R25" t="s">
        <v>2578</v>
      </c>
    </row>
    <row r="26" spans="1:18">
      <c r="A26" t="s">
        <v>2577</v>
      </c>
      <c r="B26" t="s">
        <v>2576</v>
      </c>
      <c r="C26" t="s">
        <v>2575</v>
      </c>
      <c r="D26" t="s">
        <v>2574</v>
      </c>
      <c r="E26" s="1">
        <v>45873</v>
      </c>
      <c r="F26" t="s">
        <v>9</v>
      </c>
      <c r="G26" t="s">
        <v>2573</v>
      </c>
      <c r="H26">
        <v>1</v>
      </c>
      <c r="I26">
        <v>1</v>
      </c>
      <c r="J26" t="s">
        <v>2797</v>
      </c>
      <c r="K26" t="s">
        <v>7</v>
      </c>
      <c r="L26" t="s">
        <v>2572</v>
      </c>
      <c r="M26" t="s">
        <v>2571</v>
      </c>
      <c r="N26" t="s">
        <v>53</v>
      </c>
      <c r="O26" t="s">
        <v>16</v>
      </c>
      <c r="P26" t="s">
        <v>2570</v>
      </c>
      <c r="Q26" t="s">
        <v>2569</v>
      </c>
      <c r="R26" t="s">
        <v>2568</v>
      </c>
    </row>
    <row r="27" spans="1:18">
      <c r="A27" t="s">
        <v>2567</v>
      </c>
      <c r="B27" t="s">
        <v>2562</v>
      </c>
      <c r="C27" t="s">
        <v>2566</v>
      </c>
      <c r="D27" t="s">
        <v>2565</v>
      </c>
      <c r="E27" s="1">
        <v>45944</v>
      </c>
      <c r="F27" t="s">
        <v>65</v>
      </c>
      <c r="G27" t="s">
        <v>2564</v>
      </c>
      <c r="H27">
        <v>1</v>
      </c>
      <c r="I27">
        <v>1</v>
      </c>
      <c r="J27" t="s">
        <v>65</v>
      </c>
      <c r="K27" t="s">
        <v>63</v>
      </c>
      <c r="L27" t="s">
        <v>2563</v>
      </c>
      <c r="M27" t="s">
        <v>61</v>
      </c>
      <c r="N27" t="s">
        <v>61</v>
      </c>
      <c r="O27" t="s">
        <v>16</v>
      </c>
      <c r="P27" t="s">
        <v>61</v>
      </c>
      <c r="Q27" t="s">
        <v>61</v>
      </c>
      <c r="R27" t="s">
        <v>2562</v>
      </c>
    </row>
    <row r="28" spans="1:18">
      <c r="A28" t="s">
        <v>2561</v>
      </c>
      <c r="B28" t="s">
        <v>2560</v>
      </c>
      <c r="C28" t="s">
        <v>2559</v>
      </c>
      <c r="D28" t="s">
        <v>2558</v>
      </c>
      <c r="E28" s="1">
        <v>45957</v>
      </c>
      <c r="F28" t="s">
        <v>9</v>
      </c>
      <c r="G28" t="s">
        <v>2557</v>
      </c>
      <c r="H28">
        <v>1</v>
      </c>
      <c r="I28">
        <v>1</v>
      </c>
      <c r="J28" t="s">
        <v>2798</v>
      </c>
      <c r="K28" t="s">
        <v>20</v>
      </c>
      <c r="L28" t="s">
        <v>2556</v>
      </c>
      <c r="M28" t="s">
        <v>2555</v>
      </c>
      <c r="N28" t="s">
        <v>17</v>
      </c>
      <c r="O28" t="s">
        <v>16</v>
      </c>
      <c r="P28" t="s">
        <v>2</v>
      </c>
      <c r="Q28" t="s">
        <v>2554</v>
      </c>
      <c r="R28" t="s">
        <v>2553</v>
      </c>
    </row>
    <row r="29" spans="1:18">
      <c r="A29" t="s">
        <v>2552</v>
      </c>
      <c r="B29" t="s">
        <v>2551</v>
      </c>
      <c r="C29" t="s">
        <v>2550</v>
      </c>
      <c r="D29" t="s">
        <v>2549</v>
      </c>
      <c r="E29" s="1">
        <v>45913</v>
      </c>
      <c r="F29" t="s">
        <v>9</v>
      </c>
      <c r="G29" t="s">
        <v>2548</v>
      </c>
      <c r="H29">
        <v>1</v>
      </c>
      <c r="I29">
        <v>1</v>
      </c>
      <c r="J29" t="s">
        <v>2798</v>
      </c>
      <c r="K29" t="s">
        <v>20</v>
      </c>
      <c r="L29" t="s">
        <v>2547</v>
      </c>
      <c r="M29" t="s">
        <v>2546</v>
      </c>
      <c r="N29" t="s">
        <v>17</v>
      </c>
      <c r="O29" t="s">
        <v>16</v>
      </c>
      <c r="P29" t="s">
        <v>141</v>
      </c>
      <c r="Q29" t="s">
        <v>2545</v>
      </c>
      <c r="R29" t="s">
        <v>2544</v>
      </c>
    </row>
    <row r="30" spans="1:18">
      <c r="A30" t="s">
        <v>2543</v>
      </c>
      <c r="B30" t="s">
        <v>2542</v>
      </c>
      <c r="C30" t="s">
        <v>2541</v>
      </c>
      <c r="D30" t="s">
        <v>2540</v>
      </c>
      <c r="E30" s="1">
        <v>45954</v>
      </c>
      <c r="F30" t="s">
        <v>9</v>
      </c>
      <c r="G30" t="s">
        <v>2539</v>
      </c>
      <c r="H30">
        <v>1</v>
      </c>
      <c r="I30">
        <v>1</v>
      </c>
      <c r="J30" t="s">
        <v>249</v>
      </c>
      <c r="K30" t="s">
        <v>20</v>
      </c>
      <c r="L30" t="s">
        <v>2538</v>
      </c>
      <c r="M30" t="s">
        <v>2537</v>
      </c>
      <c r="N30" t="s">
        <v>17</v>
      </c>
      <c r="O30" t="s">
        <v>16</v>
      </c>
      <c r="P30" t="s">
        <v>249</v>
      </c>
      <c r="Q30" t="s">
        <v>2536</v>
      </c>
      <c r="R30" t="s">
        <v>2535</v>
      </c>
    </row>
    <row r="31" spans="1:18">
      <c r="A31" t="s">
        <v>2534</v>
      </c>
      <c r="B31" t="s">
        <v>2529</v>
      </c>
      <c r="C31" t="s">
        <v>2533</v>
      </c>
      <c r="D31" t="s">
        <v>2532</v>
      </c>
      <c r="E31" s="1">
        <v>45953</v>
      </c>
      <c r="F31" t="s">
        <v>65</v>
      </c>
      <c r="G31" t="s">
        <v>2531</v>
      </c>
      <c r="H31">
        <v>1</v>
      </c>
      <c r="I31">
        <v>1</v>
      </c>
      <c r="J31" t="s">
        <v>65</v>
      </c>
      <c r="K31" t="s">
        <v>112</v>
      </c>
      <c r="L31" t="s">
        <v>2530</v>
      </c>
      <c r="M31" t="s">
        <v>61</v>
      </c>
      <c r="N31" t="s">
        <v>61</v>
      </c>
      <c r="O31" t="s">
        <v>80</v>
      </c>
      <c r="P31" t="s">
        <v>61</v>
      </c>
      <c r="Q31" t="s">
        <v>61</v>
      </c>
      <c r="R31" t="s">
        <v>2529</v>
      </c>
    </row>
    <row r="32" spans="1:18">
      <c r="A32" t="s">
        <v>2528</v>
      </c>
      <c r="B32" t="s">
        <v>345</v>
      </c>
      <c r="C32" t="s">
        <v>344</v>
      </c>
      <c r="D32" t="s">
        <v>2527</v>
      </c>
      <c r="E32" s="1">
        <v>45925</v>
      </c>
      <c r="F32" t="s">
        <v>9</v>
      </c>
      <c r="G32" t="s">
        <v>2526</v>
      </c>
      <c r="H32">
        <v>1</v>
      </c>
      <c r="I32">
        <v>1</v>
      </c>
      <c r="J32" t="s">
        <v>2797</v>
      </c>
      <c r="K32" t="s">
        <v>20</v>
      </c>
      <c r="L32" t="s">
        <v>341</v>
      </c>
      <c r="M32" t="s">
        <v>2525</v>
      </c>
      <c r="N32" t="s">
        <v>17</v>
      </c>
      <c r="O32" t="s">
        <v>16</v>
      </c>
      <c r="P32" t="s">
        <v>151</v>
      </c>
      <c r="Q32" t="s">
        <v>2524</v>
      </c>
      <c r="R32" t="s">
        <v>338</v>
      </c>
    </row>
    <row r="33" spans="1:18">
      <c r="A33" t="s">
        <v>2523</v>
      </c>
      <c r="B33" t="s">
        <v>2522</v>
      </c>
      <c r="C33" t="s">
        <v>2521</v>
      </c>
      <c r="D33" t="s">
        <v>2520</v>
      </c>
      <c r="E33" s="1">
        <v>45954</v>
      </c>
      <c r="F33" t="s">
        <v>9</v>
      </c>
      <c r="G33" t="s">
        <v>2519</v>
      </c>
      <c r="H33">
        <v>1</v>
      </c>
      <c r="I33">
        <v>1</v>
      </c>
      <c r="J33" t="s">
        <v>2798</v>
      </c>
      <c r="K33" t="s">
        <v>20</v>
      </c>
      <c r="L33" t="s">
        <v>2518</v>
      </c>
      <c r="M33" t="s">
        <v>2517</v>
      </c>
      <c r="N33" t="s">
        <v>17</v>
      </c>
      <c r="O33" t="s">
        <v>16</v>
      </c>
      <c r="P33" t="s">
        <v>2</v>
      </c>
      <c r="Q33" t="s">
        <v>2516</v>
      </c>
      <c r="R33" t="s">
        <v>2515</v>
      </c>
    </row>
    <row r="34" spans="1:18">
      <c r="A34" t="s">
        <v>2514</v>
      </c>
      <c r="B34" t="s">
        <v>2513</v>
      </c>
      <c r="C34" t="s">
        <v>2512</v>
      </c>
      <c r="D34" t="s">
        <v>2511</v>
      </c>
      <c r="E34" s="1">
        <v>45868</v>
      </c>
      <c r="F34" t="s">
        <v>9</v>
      </c>
      <c r="G34" t="s">
        <v>2510</v>
      </c>
      <c r="H34">
        <v>1</v>
      </c>
      <c r="I34">
        <v>1</v>
      </c>
      <c r="J34" t="s">
        <v>2798</v>
      </c>
      <c r="K34" t="s">
        <v>20</v>
      </c>
      <c r="L34" t="s">
        <v>2509</v>
      </c>
      <c r="M34" t="s">
        <v>2508</v>
      </c>
      <c r="N34" t="s">
        <v>17</v>
      </c>
      <c r="O34" t="s">
        <v>16</v>
      </c>
      <c r="P34" t="s">
        <v>110</v>
      </c>
      <c r="Q34" t="s">
        <v>2507</v>
      </c>
      <c r="R34" t="s">
        <v>2506</v>
      </c>
    </row>
    <row r="35" spans="1:18">
      <c r="A35" t="s">
        <v>2505</v>
      </c>
      <c r="B35" t="s">
        <v>2504</v>
      </c>
      <c r="C35" t="s">
        <v>2503</v>
      </c>
      <c r="D35" t="s">
        <v>2502</v>
      </c>
      <c r="E35" s="1">
        <v>45947</v>
      </c>
      <c r="F35" t="s">
        <v>9</v>
      </c>
      <c r="G35" t="s">
        <v>2501</v>
      </c>
      <c r="H35">
        <v>1</v>
      </c>
      <c r="I35">
        <v>1</v>
      </c>
      <c r="J35" t="s">
        <v>2798</v>
      </c>
      <c r="K35" t="s">
        <v>7</v>
      </c>
      <c r="L35" t="s">
        <v>2500</v>
      </c>
      <c r="M35" t="s">
        <v>2499</v>
      </c>
      <c r="N35" t="s">
        <v>53</v>
      </c>
      <c r="O35" t="s">
        <v>16</v>
      </c>
      <c r="P35" t="s">
        <v>2498</v>
      </c>
      <c r="Q35" t="s">
        <v>2497</v>
      </c>
      <c r="R35" t="s">
        <v>2496</v>
      </c>
    </row>
    <row r="36" spans="1:18">
      <c r="A36" t="s">
        <v>2495</v>
      </c>
      <c r="B36" t="s">
        <v>2494</v>
      </c>
      <c r="C36" t="s">
        <v>2493</v>
      </c>
      <c r="D36" t="s">
        <v>2492</v>
      </c>
      <c r="E36" s="1">
        <v>45864</v>
      </c>
      <c r="F36" t="s">
        <v>9</v>
      </c>
      <c r="G36" t="s">
        <v>2491</v>
      </c>
      <c r="H36">
        <v>1</v>
      </c>
      <c r="I36">
        <v>1</v>
      </c>
      <c r="J36" t="s">
        <v>2798</v>
      </c>
      <c r="K36" t="s">
        <v>7</v>
      </c>
      <c r="L36" t="s">
        <v>2490</v>
      </c>
      <c r="M36" t="s">
        <v>2489</v>
      </c>
      <c r="N36" t="s">
        <v>53</v>
      </c>
      <c r="O36" t="s">
        <v>16</v>
      </c>
      <c r="P36" t="s">
        <v>141</v>
      </c>
      <c r="Q36" t="s">
        <v>2488</v>
      </c>
      <c r="R36" t="s">
        <v>2487</v>
      </c>
    </row>
    <row r="37" spans="1:18">
      <c r="A37" t="s">
        <v>2486</v>
      </c>
      <c r="B37" t="s">
        <v>2485</v>
      </c>
      <c r="C37" t="s">
        <v>2484</v>
      </c>
      <c r="D37" t="s">
        <v>2483</v>
      </c>
      <c r="E37" s="1">
        <v>45853</v>
      </c>
      <c r="F37" t="s">
        <v>9</v>
      </c>
      <c r="G37" t="s">
        <v>2482</v>
      </c>
      <c r="H37">
        <v>1</v>
      </c>
      <c r="I37">
        <v>1</v>
      </c>
      <c r="J37" t="s">
        <v>2798</v>
      </c>
      <c r="K37" t="s">
        <v>7</v>
      </c>
      <c r="L37" t="s">
        <v>2481</v>
      </c>
      <c r="M37" t="s">
        <v>2480</v>
      </c>
      <c r="N37" t="s">
        <v>53</v>
      </c>
      <c r="O37" t="s">
        <v>16</v>
      </c>
      <c r="P37" t="s">
        <v>141</v>
      </c>
      <c r="Q37" t="s">
        <v>2479</v>
      </c>
      <c r="R37" t="s">
        <v>2478</v>
      </c>
    </row>
    <row r="38" spans="1:18">
      <c r="A38" t="s">
        <v>2414</v>
      </c>
      <c r="B38" t="s">
        <v>2409</v>
      </c>
      <c r="C38" t="s">
        <v>2413</v>
      </c>
      <c r="D38" t="s">
        <v>2477</v>
      </c>
      <c r="E38" s="1">
        <v>45806</v>
      </c>
      <c r="F38" t="s">
        <v>65</v>
      </c>
      <c r="G38" t="s">
        <v>2476</v>
      </c>
      <c r="H38">
        <v>1</v>
      </c>
      <c r="I38">
        <v>1</v>
      </c>
      <c r="J38" t="s">
        <v>65</v>
      </c>
      <c r="K38" t="s">
        <v>63</v>
      </c>
      <c r="L38" t="s">
        <v>2410</v>
      </c>
      <c r="M38" t="s">
        <v>61</v>
      </c>
      <c r="N38" t="s">
        <v>61</v>
      </c>
      <c r="O38" t="s">
        <v>16</v>
      </c>
      <c r="P38" t="s">
        <v>61</v>
      </c>
      <c r="Q38" t="s">
        <v>61</v>
      </c>
      <c r="R38" t="s">
        <v>2409</v>
      </c>
    </row>
    <row r="39" spans="1:18">
      <c r="A39" t="s">
        <v>2475</v>
      </c>
      <c r="B39" t="s">
        <v>2474</v>
      </c>
      <c r="C39" t="s">
        <v>2473</v>
      </c>
      <c r="D39" t="s">
        <v>2472</v>
      </c>
      <c r="E39" s="1">
        <v>45948</v>
      </c>
      <c r="F39" t="s">
        <v>9</v>
      </c>
      <c r="G39" t="s">
        <v>2471</v>
      </c>
      <c r="H39">
        <v>1</v>
      </c>
      <c r="I39">
        <v>1</v>
      </c>
      <c r="J39" t="s">
        <v>2797</v>
      </c>
      <c r="K39" t="s">
        <v>7</v>
      </c>
      <c r="L39" t="s">
        <v>2470</v>
      </c>
      <c r="M39" t="s">
        <v>2469</v>
      </c>
      <c r="N39" t="s">
        <v>53</v>
      </c>
      <c r="O39" t="s">
        <v>16</v>
      </c>
      <c r="P39" t="s">
        <v>56</v>
      </c>
      <c r="Q39" t="s">
        <v>2468</v>
      </c>
      <c r="R39" t="s">
        <v>2467</v>
      </c>
    </row>
    <row r="40" spans="1:18">
      <c r="A40" t="s">
        <v>2466</v>
      </c>
      <c r="B40" t="s">
        <v>2465</v>
      </c>
      <c r="C40" t="s">
        <v>2464</v>
      </c>
      <c r="D40" t="s">
        <v>2463</v>
      </c>
      <c r="E40" s="1">
        <v>45825</v>
      </c>
      <c r="F40" t="s">
        <v>9</v>
      </c>
      <c r="G40" t="s">
        <v>2462</v>
      </c>
      <c r="H40">
        <v>1</v>
      </c>
      <c r="I40">
        <v>1</v>
      </c>
      <c r="J40" t="s">
        <v>2798</v>
      </c>
      <c r="K40" t="s">
        <v>7</v>
      </c>
      <c r="L40" t="s">
        <v>2461</v>
      </c>
      <c r="M40" t="s">
        <v>2460</v>
      </c>
      <c r="N40" t="s">
        <v>53</v>
      </c>
      <c r="O40" t="s">
        <v>16</v>
      </c>
      <c r="P40" t="s">
        <v>141</v>
      </c>
      <c r="Q40" t="s">
        <v>2459</v>
      </c>
      <c r="R40" t="s">
        <v>2458</v>
      </c>
    </row>
    <row r="41" spans="1:18">
      <c r="A41" t="s">
        <v>2457</v>
      </c>
      <c r="B41" t="s">
        <v>2456</v>
      </c>
      <c r="C41" t="s">
        <v>2455</v>
      </c>
      <c r="D41" t="s">
        <v>2454</v>
      </c>
      <c r="E41" s="1">
        <v>45868</v>
      </c>
      <c r="F41" t="s">
        <v>9</v>
      </c>
      <c r="G41" t="s">
        <v>2453</v>
      </c>
      <c r="H41">
        <v>1</v>
      </c>
      <c r="I41">
        <v>1</v>
      </c>
      <c r="J41" t="s">
        <v>2798</v>
      </c>
      <c r="K41" t="s">
        <v>20</v>
      </c>
      <c r="L41" t="s">
        <v>2452</v>
      </c>
      <c r="M41" t="s">
        <v>2451</v>
      </c>
      <c r="N41" t="s">
        <v>17</v>
      </c>
      <c r="O41" t="s">
        <v>16</v>
      </c>
      <c r="P41" t="s">
        <v>290</v>
      </c>
      <c r="Q41" t="s">
        <v>2450</v>
      </c>
      <c r="R41" t="s">
        <v>2449</v>
      </c>
    </row>
    <row r="42" spans="1:18">
      <c r="A42" t="s">
        <v>2448</v>
      </c>
      <c r="B42" t="s">
        <v>2447</v>
      </c>
      <c r="C42" t="s">
        <v>2446</v>
      </c>
      <c r="D42" t="s">
        <v>2438</v>
      </c>
      <c r="E42" s="1">
        <v>45824</v>
      </c>
      <c r="F42" t="s">
        <v>9</v>
      </c>
      <c r="G42" t="s">
        <v>2437</v>
      </c>
      <c r="H42">
        <v>1</v>
      </c>
      <c r="I42">
        <v>1</v>
      </c>
      <c r="J42" t="s">
        <v>2798</v>
      </c>
      <c r="K42" t="s">
        <v>20</v>
      </c>
      <c r="L42" t="s">
        <v>2445</v>
      </c>
      <c r="M42" t="s">
        <v>2444</v>
      </c>
      <c r="N42" t="s">
        <v>291</v>
      </c>
      <c r="O42" t="s">
        <v>16</v>
      </c>
      <c r="P42" t="s">
        <v>2443</v>
      </c>
      <c r="Q42" t="s">
        <v>2442</v>
      </c>
      <c r="R42" t="s">
        <v>2441</v>
      </c>
    </row>
    <row r="43" spans="1:18">
      <c r="A43" t="s">
        <v>2440</v>
      </c>
      <c r="B43" t="s">
        <v>2435</v>
      </c>
      <c r="C43" t="s">
        <v>2439</v>
      </c>
      <c r="D43" t="s">
        <v>2438</v>
      </c>
      <c r="E43" s="1">
        <v>45920</v>
      </c>
      <c r="F43" t="s">
        <v>65</v>
      </c>
      <c r="G43" t="s">
        <v>2437</v>
      </c>
      <c r="H43">
        <v>1</v>
      </c>
      <c r="I43">
        <v>1</v>
      </c>
      <c r="J43" t="s">
        <v>65</v>
      </c>
      <c r="K43" t="s">
        <v>1262</v>
      </c>
      <c r="L43" t="s">
        <v>2436</v>
      </c>
      <c r="M43" t="s">
        <v>61</v>
      </c>
      <c r="N43" t="s">
        <v>61</v>
      </c>
      <c r="O43" t="s">
        <v>16</v>
      </c>
      <c r="P43" t="s">
        <v>61</v>
      </c>
      <c r="Q43" t="s">
        <v>61</v>
      </c>
      <c r="R43" t="s">
        <v>2435</v>
      </c>
    </row>
    <row r="44" spans="1:18">
      <c r="A44" t="s">
        <v>1840</v>
      </c>
      <c r="B44" t="s">
        <v>1835</v>
      </c>
      <c r="C44" t="s">
        <v>1839</v>
      </c>
      <c r="D44" t="s">
        <v>2434</v>
      </c>
      <c r="E44" s="1">
        <v>45843</v>
      </c>
      <c r="F44" t="s">
        <v>65</v>
      </c>
      <c r="G44" t="s">
        <v>2433</v>
      </c>
      <c r="H44">
        <v>1</v>
      </c>
      <c r="I44">
        <v>1</v>
      </c>
      <c r="J44" t="s">
        <v>65</v>
      </c>
      <c r="K44" t="s">
        <v>1262</v>
      </c>
      <c r="L44" t="s">
        <v>1836</v>
      </c>
      <c r="M44" t="s">
        <v>61</v>
      </c>
      <c r="N44" t="s">
        <v>61</v>
      </c>
      <c r="O44" t="s">
        <v>16</v>
      </c>
      <c r="P44" t="s">
        <v>61</v>
      </c>
      <c r="Q44" t="s">
        <v>61</v>
      </c>
      <c r="R44" t="s">
        <v>1835</v>
      </c>
    </row>
    <row r="45" spans="1:18">
      <c r="A45" t="s">
        <v>2432</v>
      </c>
      <c r="B45" t="s">
        <v>2431</v>
      </c>
      <c r="C45" t="s">
        <v>2430</v>
      </c>
      <c r="D45" t="s">
        <v>2421</v>
      </c>
      <c r="E45" s="1">
        <v>45899</v>
      </c>
      <c r="F45" t="s">
        <v>9</v>
      </c>
      <c r="G45" t="s">
        <v>2420</v>
      </c>
      <c r="H45">
        <v>1</v>
      </c>
      <c r="I45">
        <v>1</v>
      </c>
      <c r="J45" t="s">
        <v>2798</v>
      </c>
      <c r="K45" t="s">
        <v>20</v>
      </c>
      <c r="L45" t="s">
        <v>2429</v>
      </c>
      <c r="M45" t="s">
        <v>2428</v>
      </c>
      <c r="N45" t="s">
        <v>17</v>
      </c>
      <c r="O45" t="s">
        <v>16</v>
      </c>
      <c r="P45" t="s">
        <v>2427</v>
      </c>
      <c r="Q45" t="s">
        <v>2426</v>
      </c>
      <c r="R45" t="s">
        <v>2425</v>
      </c>
    </row>
    <row r="46" spans="1:18">
      <c r="A46" t="s">
        <v>2424</v>
      </c>
      <c r="B46" t="s">
        <v>2423</v>
      </c>
      <c r="C46" t="s">
        <v>2422</v>
      </c>
      <c r="D46" t="s">
        <v>2421</v>
      </c>
      <c r="E46" s="1">
        <v>45943</v>
      </c>
      <c r="F46" t="s">
        <v>9</v>
      </c>
      <c r="G46" t="s">
        <v>2420</v>
      </c>
      <c r="H46">
        <v>1</v>
      </c>
      <c r="I46">
        <v>1</v>
      </c>
      <c r="J46" t="s">
        <v>2797</v>
      </c>
      <c r="K46" t="s">
        <v>7</v>
      </c>
      <c r="L46" t="s">
        <v>2419</v>
      </c>
      <c r="M46" t="s">
        <v>2418</v>
      </c>
      <c r="N46" t="s">
        <v>53</v>
      </c>
      <c r="O46" t="s">
        <v>16</v>
      </c>
      <c r="P46" t="s">
        <v>2417</v>
      </c>
      <c r="Q46" t="s">
        <v>2416</v>
      </c>
      <c r="R46" t="s">
        <v>2415</v>
      </c>
    </row>
    <row r="47" spans="1:18">
      <c r="A47" t="s">
        <v>2414</v>
      </c>
      <c r="B47" t="s">
        <v>2409</v>
      </c>
      <c r="C47" t="s">
        <v>2413</v>
      </c>
      <c r="D47" t="s">
        <v>2412</v>
      </c>
      <c r="E47" s="1">
        <v>45806</v>
      </c>
      <c r="F47" t="s">
        <v>65</v>
      </c>
      <c r="G47" t="s">
        <v>2411</v>
      </c>
      <c r="H47">
        <v>1</v>
      </c>
      <c r="I47">
        <v>1</v>
      </c>
      <c r="J47" t="s">
        <v>65</v>
      </c>
      <c r="K47" t="s">
        <v>63</v>
      </c>
      <c r="L47" t="s">
        <v>2410</v>
      </c>
      <c r="M47" t="s">
        <v>61</v>
      </c>
      <c r="N47" t="s">
        <v>61</v>
      </c>
      <c r="O47" t="s">
        <v>16</v>
      </c>
      <c r="P47" t="s">
        <v>61</v>
      </c>
      <c r="Q47" t="s">
        <v>61</v>
      </c>
      <c r="R47" t="s">
        <v>2409</v>
      </c>
    </row>
    <row r="48" spans="1:18">
      <c r="A48" t="s">
        <v>2408</v>
      </c>
      <c r="B48" t="s">
        <v>2407</v>
      </c>
      <c r="C48" t="s">
        <v>2406</v>
      </c>
      <c r="D48" t="s">
        <v>2405</v>
      </c>
      <c r="E48" s="1">
        <v>45800</v>
      </c>
      <c r="F48" t="s">
        <v>9</v>
      </c>
      <c r="G48" t="s">
        <v>2404</v>
      </c>
      <c r="H48">
        <v>1</v>
      </c>
      <c r="I48">
        <v>1</v>
      </c>
      <c r="J48" t="s">
        <v>2798</v>
      </c>
      <c r="K48" t="s">
        <v>7</v>
      </c>
      <c r="L48" t="s">
        <v>2403</v>
      </c>
      <c r="M48" t="s">
        <v>2402</v>
      </c>
      <c r="N48" t="s">
        <v>53</v>
      </c>
      <c r="O48" t="s">
        <v>16</v>
      </c>
      <c r="P48" t="s">
        <v>2182</v>
      </c>
      <c r="Q48" t="s">
        <v>2401</v>
      </c>
      <c r="R48" t="s">
        <v>2400</v>
      </c>
    </row>
    <row r="49" spans="1:18">
      <c r="A49" t="s">
        <v>2399</v>
      </c>
      <c r="B49" t="s">
        <v>2394</v>
      </c>
      <c r="C49" t="s">
        <v>2398</v>
      </c>
      <c r="D49" t="s">
        <v>2397</v>
      </c>
      <c r="E49" s="1">
        <v>45863</v>
      </c>
      <c r="F49" t="s">
        <v>65</v>
      </c>
      <c r="G49" t="s">
        <v>2396</v>
      </c>
      <c r="H49">
        <v>1</v>
      </c>
      <c r="I49">
        <v>1</v>
      </c>
      <c r="J49" t="s">
        <v>65</v>
      </c>
      <c r="K49" t="s">
        <v>1262</v>
      </c>
      <c r="L49" t="s">
        <v>2395</v>
      </c>
      <c r="M49" t="s">
        <v>61</v>
      </c>
      <c r="N49" t="s">
        <v>61</v>
      </c>
      <c r="O49" t="s">
        <v>16</v>
      </c>
      <c r="P49" t="s">
        <v>61</v>
      </c>
      <c r="Q49" t="s">
        <v>61</v>
      </c>
      <c r="R49" t="s">
        <v>2394</v>
      </c>
    </row>
    <row r="50" spans="1:18">
      <c r="A50" t="s">
        <v>2393</v>
      </c>
      <c r="B50" t="s">
        <v>2388</v>
      </c>
      <c r="C50" t="s">
        <v>2392</v>
      </c>
      <c r="D50" t="s">
        <v>2391</v>
      </c>
      <c r="E50" s="1">
        <v>45870</v>
      </c>
      <c r="F50" t="s">
        <v>65</v>
      </c>
      <c r="G50" t="s">
        <v>2390</v>
      </c>
      <c r="H50">
        <v>1</v>
      </c>
      <c r="I50">
        <v>1</v>
      </c>
      <c r="J50" t="s">
        <v>65</v>
      </c>
      <c r="K50" t="s">
        <v>112</v>
      </c>
      <c r="L50" t="s">
        <v>2389</v>
      </c>
      <c r="M50" t="s">
        <v>61</v>
      </c>
      <c r="N50" t="s">
        <v>61</v>
      </c>
      <c r="O50" t="s">
        <v>16</v>
      </c>
      <c r="P50" t="s">
        <v>61</v>
      </c>
      <c r="Q50" t="s">
        <v>61</v>
      </c>
      <c r="R50" t="s">
        <v>2388</v>
      </c>
    </row>
    <row r="51" spans="1:18">
      <c r="A51" t="s">
        <v>2179</v>
      </c>
      <c r="B51" t="s">
        <v>2174</v>
      </c>
      <c r="C51" t="s">
        <v>2178</v>
      </c>
      <c r="D51" t="s">
        <v>2387</v>
      </c>
      <c r="E51" s="1">
        <v>45825</v>
      </c>
      <c r="F51" t="s">
        <v>65</v>
      </c>
      <c r="G51" t="s">
        <v>2386</v>
      </c>
      <c r="H51">
        <v>1</v>
      </c>
      <c r="I51">
        <v>1</v>
      </c>
      <c r="J51" t="s">
        <v>65</v>
      </c>
      <c r="K51" t="s">
        <v>223</v>
      </c>
      <c r="L51" t="s">
        <v>2175</v>
      </c>
      <c r="M51" t="s">
        <v>61</v>
      </c>
      <c r="N51" t="s">
        <v>61</v>
      </c>
      <c r="O51" t="s">
        <v>16</v>
      </c>
      <c r="P51" t="s">
        <v>61</v>
      </c>
      <c r="Q51" t="s">
        <v>61</v>
      </c>
      <c r="R51" t="s">
        <v>2174</v>
      </c>
    </row>
    <row r="52" spans="1:18">
      <c r="A52" t="s">
        <v>2385</v>
      </c>
      <c r="B52" t="s">
        <v>2380</v>
      </c>
      <c r="C52" t="s">
        <v>2384</v>
      </c>
      <c r="D52" t="s">
        <v>2383</v>
      </c>
      <c r="E52" s="1">
        <v>45818</v>
      </c>
      <c r="F52" t="s">
        <v>65</v>
      </c>
      <c r="G52" t="s">
        <v>2382</v>
      </c>
      <c r="H52">
        <v>1</v>
      </c>
      <c r="I52">
        <v>1</v>
      </c>
      <c r="J52" t="s">
        <v>65</v>
      </c>
      <c r="K52" t="s">
        <v>112</v>
      </c>
      <c r="L52" t="s">
        <v>2381</v>
      </c>
      <c r="M52" t="s">
        <v>61</v>
      </c>
      <c r="N52" t="s">
        <v>61</v>
      </c>
      <c r="O52" t="s">
        <v>16</v>
      </c>
      <c r="P52" t="s">
        <v>61</v>
      </c>
      <c r="Q52" t="s">
        <v>61</v>
      </c>
      <c r="R52" t="s">
        <v>2380</v>
      </c>
    </row>
    <row r="53" spans="1:18">
      <c r="A53" t="s">
        <v>2379</v>
      </c>
      <c r="B53" t="s">
        <v>158</v>
      </c>
      <c r="C53" t="s">
        <v>157</v>
      </c>
      <c r="D53" t="s">
        <v>2378</v>
      </c>
      <c r="E53" s="1">
        <v>45937</v>
      </c>
      <c r="F53" t="s">
        <v>9</v>
      </c>
      <c r="G53" t="s">
        <v>2377</v>
      </c>
      <c r="H53">
        <v>1</v>
      </c>
      <c r="I53">
        <v>1</v>
      </c>
      <c r="J53" t="s">
        <v>2797</v>
      </c>
      <c r="K53" t="s">
        <v>20</v>
      </c>
      <c r="L53" t="s">
        <v>154</v>
      </c>
      <c r="M53" t="s">
        <v>2376</v>
      </c>
      <c r="N53" t="s">
        <v>17</v>
      </c>
      <c r="O53" t="s">
        <v>16</v>
      </c>
      <c r="P53" t="s">
        <v>151</v>
      </c>
      <c r="Q53" t="s">
        <v>2375</v>
      </c>
      <c r="R53" t="s">
        <v>149</v>
      </c>
    </row>
    <row r="54" spans="1:18">
      <c r="A54" t="s">
        <v>2374</v>
      </c>
      <c r="B54" t="s">
        <v>2373</v>
      </c>
      <c r="C54" t="s">
        <v>2372</v>
      </c>
      <c r="D54" t="s">
        <v>2371</v>
      </c>
      <c r="E54" s="1">
        <v>45874</v>
      </c>
      <c r="F54" t="s">
        <v>9</v>
      </c>
      <c r="G54" t="s">
        <v>2370</v>
      </c>
      <c r="H54">
        <v>1</v>
      </c>
      <c r="I54">
        <v>1</v>
      </c>
      <c r="J54" t="s">
        <v>2797</v>
      </c>
      <c r="K54" t="s">
        <v>20</v>
      </c>
      <c r="L54" t="s">
        <v>2369</v>
      </c>
      <c r="M54" t="s">
        <v>2368</v>
      </c>
      <c r="N54" t="s">
        <v>17</v>
      </c>
      <c r="O54" t="s">
        <v>16</v>
      </c>
      <c r="P54" t="s">
        <v>2367</v>
      </c>
      <c r="Q54" t="s">
        <v>2366</v>
      </c>
      <c r="R54" t="s">
        <v>2365</v>
      </c>
    </row>
    <row r="55" spans="1:18">
      <c r="A55" t="s">
        <v>2364</v>
      </c>
      <c r="B55" t="s">
        <v>2363</v>
      </c>
      <c r="C55" t="s">
        <v>2362</v>
      </c>
      <c r="D55" t="s">
        <v>2354</v>
      </c>
      <c r="E55" s="1">
        <v>45850</v>
      </c>
      <c r="F55" t="s">
        <v>9</v>
      </c>
      <c r="G55" t="s">
        <v>2353</v>
      </c>
      <c r="H55">
        <v>1</v>
      </c>
      <c r="I55">
        <v>1</v>
      </c>
      <c r="J55" t="s">
        <v>2798</v>
      </c>
      <c r="K55" t="s">
        <v>7</v>
      </c>
      <c r="L55" t="s">
        <v>2361</v>
      </c>
      <c r="M55" t="s">
        <v>2360</v>
      </c>
      <c r="N55" t="s">
        <v>53</v>
      </c>
      <c r="O55" t="s">
        <v>16</v>
      </c>
      <c r="P55" t="s">
        <v>141</v>
      </c>
      <c r="Q55" t="s">
        <v>2359</v>
      </c>
      <c r="R55" t="s">
        <v>2358</v>
      </c>
    </row>
    <row r="56" spans="1:18">
      <c r="A56" t="s">
        <v>2357</v>
      </c>
      <c r="B56" t="s">
        <v>2356</v>
      </c>
      <c r="C56" t="s">
        <v>2355</v>
      </c>
      <c r="D56" t="s">
        <v>2354</v>
      </c>
      <c r="E56" s="1">
        <v>45890</v>
      </c>
      <c r="F56" t="s">
        <v>9</v>
      </c>
      <c r="G56" t="s">
        <v>2353</v>
      </c>
      <c r="H56">
        <v>1</v>
      </c>
      <c r="I56">
        <v>1</v>
      </c>
      <c r="J56" t="s">
        <v>2798</v>
      </c>
      <c r="K56" t="s">
        <v>7</v>
      </c>
      <c r="L56" t="s">
        <v>2352</v>
      </c>
      <c r="M56" t="s">
        <v>2351</v>
      </c>
      <c r="N56" t="s">
        <v>53</v>
      </c>
      <c r="O56" t="s">
        <v>16</v>
      </c>
      <c r="P56" t="s">
        <v>2350</v>
      </c>
      <c r="Q56" t="s">
        <v>2349</v>
      </c>
      <c r="R56" t="s">
        <v>2348</v>
      </c>
    </row>
    <row r="57" spans="1:18">
      <c r="A57" t="s">
        <v>2347</v>
      </c>
      <c r="B57" t="s">
        <v>2346</v>
      </c>
      <c r="C57" t="s">
        <v>2345</v>
      </c>
      <c r="D57" t="s">
        <v>2344</v>
      </c>
      <c r="E57" s="1">
        <v>45817</v>
      </c>
      <c r="F57" t="s">
        <v>9</v>
      </c>
      <c r="G57" t="s">
        <v>2343</v>
      </c>
      <c r="H57">
        <v>1</v>
      </c>
      <c r="I57">
        <v>1</v>
      </c>
      <c r="J57" t="s">
        <v>2797</v>
      </c>
      <c r="K57" t="s">
        <v>20</v>
      </c>
      <c r="L57" t="s">
        <v>2342</v>
      </c>
      <c r="M57" t="s">
        <v>2341</v>
      </c>
      <c r="N57" t="s">
        <v>291</v>
      </c>
      <c r="O57" t="s">
        <v>16</v>
      </c>
      <c r="P57" t="s">
        <v>151</v>
      </c>
      <c r="Q57" t="s">
        <v>2340</v>
      </c>
      <c r="R57" t="s">
        <v>2339</v>
      </c>
    </row>
    <row r="58" spans="1:18">
      <c r="A58" t="s">
        <v>2338</v>
      </c>
      <c r="B58" t="s">
        <v>2337</v>
      </c>
      <c r="C58" t="s">
        <v>2336</v>
      </c>
      <c r="D58" t="s">
        <v>2335</v>
      </c>
      <c r="E58" s="1">
        <v>45881</v>
      </c>
      <c r="F58" t="s">
        <v>9</v>
      </c>
      <c r="G58" t="s">
        <v>2334</v>
      </c>
      <c r="H58">
        <v>1</v>
      </c>
      <c r="I58">
        <v>1</v>
      </c>
      <c r="J58" t="s">
        <v>2797</v>
      </c>
      <c r="K58" t="s">
        <v>20</v>
      </c>
      <c r="L58" t="s">
        <v>2333</v>
      </c>
      <c r="M58" t="s">
        <v>2332</v>
      </c>
      <c r="N58" t="s">
        <v>17</v>
      </c>
      <c r="O58" t="s">
        <v>16</v>
      </c>
      <c r="P58" t="s">
        <v>151</v>
      </c>
      <c r="Q58" t="s">
        <v>2331</v>
      </c>
      <c r="R58" t="s">
        <v>2330</v>
      </c>
    </row>
    <row r="59" spans="1:18">
      <c r="A59" t="s">
        <v>2329</v>
      </c>
      <c r="B59" t="s">
        <v>2324</v>
      </c>
      <c r="C59" t="s">
        <v>2328</v>
      </c>
      <c r="D59" t="s">
        <v>2327</v>
      </c>
      <c r="E59" s="1">
        <v>45791</v>
      </c>
      <c r="F59" t="s">
        <v>65</v>
      </c>
      <c r="G59" t="s">
        <v>2326</v>
      </c>
      <c r="H59">
        <v>1</v>
      </c>
      <c r="I59">
        <v>1</v>
      </c>
      <c r="J59" t="s">
        <v>65</v>
      </c>
      <c r="K59" t="s">
        <v>112</v>
      </c>
      <c r="L59" t="s">
        <v>2325</v>
      </c>
      <c r="M59" t="s">
        <v>61</v>
      </c>
      <c r="N59" t="s">
        <v>61</v>
      </c>
      <c r="O59" t="s">
        <v>80</v>
      </c>
      <c r="P59" t="s">
        <v>61</v>
      </c>
      <c r="Q59" t="s">
        <v>61</v>
      </c>
      <c r="R59" t="s">
        <v>2324</v>
      </c>
    </row>
    <row r="60" spans="1:18">
      <c r="A60" t="s">
        <v>2323</v>
      </c>
      <c r="B60" t="s">
        <v>2322</v>
      </c>
      <c r="C60" t="s">
        <v>2321</v>
      </c>
      <c r="D60" t="s">
        <v>2306</v>
      </c>
      <c r="E60" s="1">
        <v>45808</v>
      </c>
      <c r="F60" t="s">
        <v>9</v>
      </c>
      <c r="G60" t="s">
        <v>2305</v>
      </c>
      <c r="H60">
        <v>1</v>
      </c>
      <c r="I60">
        <v>1</v>
      </c>
      <c r="J60" t="s">
        <v>2798</v>
      </c>
      <c r="K60" t="s">
        <v>20</v>
      </c>
      <c r="L60" t="s">
        <v>2320</v>
      </c>
      <c r="M60" t="s">
        <v>2319</v>
      </c>
      <c r="N60" t="s">
        <v>291</v>
      </c>
      <c r="O60" t="s">
        <v>16</v>
      </c>
      <c r="P60" t="s">
        <v>110</v>
      </c>
      <c r="Q60" t="s">
        <v>2318</v>
      </c>
      <c r="R60" t="s">
        <v>2317</v>
      </c>
    </row>
    <row r="61" spans="1:18">
      <c r="A61" t="s">
        <v>2316</v>
      </c>
      <c r="B61" t="s">
        <v>2315</v>
      </c>
      <c r="C61" t="s">
        <v>2314</v>
      </c>
      <c r="D61" t="s">
        <v>2306</v>
      </c>
      <c r="E61" s="1">
        <v>45890</v>
      </c>
      <c r="F61" t="s">
        <v>9</v>
      </c>
      <c r="G61" t="s">
        <v>2305</v>
      </c>
      <c r="H61">
        <v>1</v>
      </c>
      <c r="I61">
        <v>1</v>
      </c>
      <c r="J61" t="s">
        <v>2798</v>
      </c>
      <c r="K61" t="s">
        <v>7</v>
      </c>
      <c r="L61" t="s">
        <v>2313</v>
      </c>
      <c r="M61" t="s">
        <v>2312</v>
      </c>
      <c r="N61" t="s">
        <v>53</v>
      </c>
      <c r="O61" t="s">
        <v>16</v>
      </c>
      <c r="P61" t="s">
        <v>110</v>
      </c>
      <c r="Q61" t="s">
        <v>2311</v>
      </c>
      <c r="R61" t="s">
        <v>2310</v>
      </c>
    </row>
    <row r="62" spans="1:18">
      <c r="A62" t="s">
        <v>2309</v>
      </c>
      <c r="B62" t="s">
        <v>2308</v>
      </c>
      <c r="C62" t="s">
        <v>2307</v>
      </c>
      <c r="D62" t="s">
        <v>2306</v>
      </c>
      <c r="E62" s="1">
        <v>45912</v>
      </c>
      <c r="F62" t="s">
        <v>9</v>
      </c>
      <c r="G62" t="s">
        <v>2305</v>
      </c>
      <c r="H62">
        <v>1</v>
      </c>
      <c r="I62">
        <v>1</v>
      </c>
      <c r="J62" t="s">
        <v>2798</v>
      </c>
      <c r="K62" t="s">
        <v>7</v>
      </c>
      <c r="L62" t="s">
        <v>2304</v>
      </c>
      <c r="M62" t="s">
        <v>2303</v>
      </c>
      <c r="N62" t="s">
        <v>53</v>
      </c>
      <c r="O62" t="s">
        <v>16</v>
      </c>
      <c r="P62" t="s">
        <v>141</v>
      </c>
      <c r="Q62" t="s">
        <v>2302</v>
      </c>
      <c r="R62" t="s">
        <v>2301</v>
      </c>
    </row>
    <row r="63" spans="1:18">
      <c r="A63" t="s">
        <v>2300</v>
      </c>
      <c r="B63" t="s">
        <v>2295</v>
      </c>
      <c r="C63" t="s">
        <v>2299</v>
      </c>
      <c r="D63" t="s">
        <v>2298</v>
      </c>
      <c r="E63" s="1">
        <v>45933</v>
      </c>
      <c r="F63" t="s">
        <v>65</v>
      </c>
      <c r="G63" t="s">
        <v>2297</v>
      </c>
      <c r="H63">
        <v>1</v>
      </c>
      <c r="I63">
        <v>1</v>
      </c>
      <c r="J63" t="s">
        <v>65</v>
      </c>
      <c r="K63" t="s">
        <v>63</v>
      </c>
      <c r="L63" t="s">
        <v>2296</v>
      </c>
      <c r="M63" t="s">
        <v>61</v>
      </c>
      <c r="N63" t="s">
        <v>61</v>
      </c>
      <c r="O63" t="s">
        <v>16</v>
      </c>
      <c r="P63" t="s">
        <v>61</v>
      </c>
      <c r="Q63" t="s">
        <v>61</v>
      </c>
      <c r="R63" t="s">
        <v>2295</v>
      </c>
    </row>
    <row r="64" spans="1:18">
      <c r="A64" t="s">
        <v>2294</v>
      </c>
      <c r="B64" t="s">
        <v>1591</v>
      </c>
      <c r="C64" t="s">
        <v>1590</v>
      </c>
      <c r="D64" t="s">
        <v>2293</v>
      </c>
      <c r="E64" s="1">
        <v>45824</v>
      </c>
      <c r="F64" t="s">
        <v>9</v>
      </c>
      <c r="G64" t="s">
        <v>2292</v>
      </c>
      <c r="H64">
        <v>1</v>
      </c>
      <c r="I64">
        <v>1</v>
      </c>
      <c r="J64" t="s">
        <v>2798</v>
      </c>
      <c r="K64" t="s">
        <v>20</v>
      </c>
      <c r="L64" t="s">
        <v>1589</v>
      </c>
      <c r="M64" t="s">
        <v>2291</v>
      </c>
      <c r="N64" t="s">
        <v>291</v>
      </c>
      <c r="O64" t="s">
        <v>16</v>
      </c>
      <c r="P64" t="s">
        <v>141</v>
      </c>
      <c r="Q64" t="s">
        <v>2290</v>
      </c>
      <c r="R64" t="s">
        <v>1586</v>
      </c>
    </row>
    <row r="65" spans="1:18">
      <c r="A65" t="s">
        <v>2289</v>
      </c>
      <c r="B65" t="s">
        <v>2288</v>
      </c>
      <c r="C65" t="s">
        <v>2287</v>
      </c>
      <c r="D65" t="s">
        <v>2286</v>
      </c>
      <c r="E65" s="1">
        <v>45913</v>
      </c>
      <c r="F65" t="s">
        <v>9</v>
      </c>
      <c r="G65" t="s">
        <v>2285</v>
      </c>
      <c r="H65">
        <v>1</v>
      </c>
      <c r="I65">
        <v>1</v>
      </c>
      <c r="J65" t="s">
        <v>2798</v>
      </c>
      <c r="K65" t="s">
        <v>20</v>
      </c>
      <c r="L65" t="s">
        <v>2284</v>
      </c>
      <c r="M65" t="s">
        <v>2283</v>
      </c>
      <c r="N65" t="s">
        <v>17</v>
      </c>
      <c r="O65" t="s">
        <v>16</v>
      </c>
      <c r="P65" t="s">
        <v>141</v>
      </c>
      <c r="Q65" t="s">
        <v>2282</v>
      </c>
      <c r="R65" t="s">
        <v>2281</v>
      </c>
    </row>
    <row r="66" spans="1:18">
      <c r="A66" t="s">
        <v>2280</v>
      </c>
      <c r="B66" t="s">
        <v>2279</v>
      </c>
      <c r="C66" t="s">
        <v>2278</v>
      </c>
      <c r="D66" t="s">
        <v>2277</v>
      </c>
      <c r="E66" s="1">
        <v>45883</v>
      </c>
      <c r="F66" t="s">
        <v>9</v>
      </c>
      <c r="G66" t="s">
        <v>2276</v>
      </c>
      <c r="H66">
        <v>1</v>
      </c>
      <c r="I66">
        <v>1</v>
      </c>
      <c r="J66" t="s">
        <v>2798</v>
      </c>
      <c r="K66" t="s">
        <v>7</v>
      </c>
      <c r="L66" t="s">
        <v>2275</v>
      </c>
      <c r="M66" t="s">
        <v>2274</v>
      </c>
      <c r="N66" t="s">
        <v>53</v>
      </c>
      <c r="O66" t="s">
        <v>16</v>
      </c>
      <c r="P66" t="s">
        <v>141</v>
      </c>
      <c r="Q66" t="s">
        <v>2273</v>
      </c>
      <c r="R66" t="s">
        <v>2272</v>
      </c>
    </row>
    <row r="67" spans="1:18">
      <c r="A67" t="s">
        <v>2271</v>
      </c>
      <c r="B67" t="s">
        <v>2138</v>
      </c>
      <c r="C67" t="s">
        <v>2137</v>
      </c>
      <c r="D67" t="s">
        <v>2264</v>
      </c>
      <c r="E67" s="1">
        <v>45806</v>
      </c>
      <c r="F67" t="s">
        <v>9</v>
      </c>
      <c r="G67" t="s">
        <v>2263</v>
      </c>
      <c r="H67">
        <v>1</v>
      </c>
      <c r="I67">
        <v>1</v>
      </c>
      <c r="J67" t="s">
        <v>2798</v>
      </c>
      <c r="K67" t="s">
        <v>20</v>
      </c>
      <c r="L67" t="s">
        <v>2134</v>
      </c>
      <c r="M67" t="s">
        <v>2270</v>
      </c>
      <c r="N67" t="s">
        <v>291</v>
      </c>
      <c r="O67" t="s">
        <v>16</v>
      </c>
      <c r="P67" t="s">
        <v>2269</v>
      </c>
      <c r="Q67" t="s">
        <v>2268</v>
      </c>
      <c r="R67" t="s">
        <v>2131</v>
      </c>
    </row>
    <row r="68" spans="1:18">
      <c r="A68" t="s">
        <v>2267</v>
      </c>
      <c r="B68" t="s">
        <v>2266</v>
      </c>
      <c r="C68" t="s">
        <v>2265</v>
      </c>
      <c r="D68" t="s">
        <v>2264</v>
      </c>
      <c r="E68" s="1">
        <v>45874</v>
      </c>
      <c r="F68" t="s">
        <v>9</v>
      </c>
      <c r="G68" t="s">
        <v>2263</v>
      </c>
      <c r="H68">
        <v>1</v>
      </c>
      <c r="I68">
        <v>1</v>
      </c>
      <c r="J68" t="s">
        <v>2798</v>
      </c>
      <c r="K68" t="s">
        <v>20</v>
      </c>
      <c r="L68" t="s">
        <v>2262</v>
      </c>
      <c r="M68" t="s">
        <v>2261</v>
      </c>
      <c r="N68" t="s">
        <v>17</v>
      </c>
      <c r="O68" t="s">
        <v>16</v>
      </c>
      <c r="P68" t="s">
        <v>141</v>
      </c>
      <c r="Q68" t="s">
        <v>2260</v>
      </c>
      <c r="R68" t="s">
        <v>2259</v>
      </c>
    </row>
    <row r="69" spans="1:18">
      <c r="A69" t="s">
        <v>2258</v>
      </c>
      <c r="B69" t="s">
        <v>2257</v>
      </c>
      <c r="C69" t="s">
        <v>2256</v>
      </c>
      <c r="D69" t="s">
        <v>2247</v>
      </c>
      <c r="E69" s="1">
        <v>45832</v>
      </c>
      <c r="F69" t="s">
        <v>9</v>
      </c>
      <c r="G69" t="s">
        <v>2246</v>
      </c>
      <c r="H69">
        <v>1</v>
      </c>
      <c r="I69">
        <v>1</v>
      </c>
      <c r="J69" t="s">
        <v>2798</v>
      </c>
      <c r="K69" t="s">
        <v>7</v>
      </c>
      <c r="L69" t="s">
        <v>2255</v>
      </c>
      <c r="M69" t="s">
        <v>2254</v>
      </c>
      <c r="N69" t="s">
        <v>53</v>
      </c>
      <c r="O69" t="s">
        <v>16</v>
      </c>
      <c r="P69" t="s">
        <v>2253</v>
      </c>
      <c r="Q69" t="s">
        <v>2252</v>
      </c>
      <c r="R69" t="s">
        <v>2251</v>
      </c>
    </row>
    <row r="70" spans="1:18">
      <c r="A70" t="s">
        <v>2250</v>
      </c>
      <c r="B70" t="s">
        <v>2249</v>
      </c>
      <c r="C70" t="s">
        <v>2248</v>
      </c>
      <c r="D70" t="s">
        <v>2247</v>
      </c>
      <c r="E70" s="1">
        <v>45904</v>
      </c>
      <c r="F70" t="s">
        <v>9</v>
      </c>
      <c r="G70" t="s">
        <v>2246</v>
      </c>
      <c r="H70">
        <v>1</v>
      </c>
      <c r="I70">
        <v>1</v>
      </c>
      <c r="J70" t="s">
        <v>2798</v>
      </c>
      <c r="K70" t="s">
        <v>20</v>
      </c>
      <c r="L70" t="s">
        <v>2245</v>
      </c>
      <c r="M70" t="s">
        <v>2244</v>
      </c>
      <c r="N70" t="s">
        <v>17</v>
      </c>
      <c r="O70" t="s">
        <v>16</v>
      </c>
      <c r="P70" t="s">
        <v>2243</v>
      </c>
      <c r="Q70" t="s">
        <v>2242</v>
      </c>
      <c r="R70" t="s">
        <v>2241</v>
      </c>
    </row>
    <row r="71" spans="1:18">
      <c r="A71" t="s">
        <v>2240</v>
      </c>
      <c r="B71" t="s">
        <v>182</v>
      </c>
      <c r="C71" t="s">
        <v>181</v>
      </c>
      <c r="D71" t="s">
        <v>2235</v>
      </c>
      <c r="E71" s="1">
        <v>45909</v>
      </c>
      <c r="F71" t="s">
        <v>9</v>
      </c>
      <c r="G71" t="s">
        <v>2234</v>
      </c>
      <c r="H71">
        <v>1</v>
      </c>
      <c r="I71">
        <v>1</v>
      </c>
      <c r="J71" t="s">
        <v>2798</v>
      </c>
      <c r="K71" t="s">
        <v>7</v>
      </c>
      <c r="L71" t="s">
        <v>178</v>
      </c>
      <c r="M71" t="s">
        <v>2239</v>
      </c>
      <c r="N71" t="s">
        <v>53</v>
      </c>
      <c r="O71" t="s">
        <v>16</v>
      </c>
      <c r="P71" t="s">
        <v>141</v>
      </c>
      <c r="Q71" t="s">
        <v>2238</v>
      </c>
      <c r="R71" t="s">
        <v>175</v>
      </c>
    </row>
    <row r="72" spans="1:18">
      <c r="A72" t="s">
        <v>2237</v>
      </c>
      <c r="B72" t="s">
        <v>2232</v>
      </c>
      <c r="C72" t="s">
        <v>2236</v>
      </c>
      <c r="D72" t="s">
        <v>2235</v>
      </c>
      <c r="E72" s="1">
        <v>45913</v>
      </c>
      <c r="F72" t="s">
        <v>65</v>
      </c>
      <c r="G72" t="s">
        <v>2234</v>
      </c>
      <c r="H72">
        <v>1</v>
      </c>
      <c r="I72">
        <v>1</v>
      </c>
      <c r="J72" t="s">
        <v>65</v>
      </c>
      <c r="K72" t="s">
        <v>112</v>
      </c>
      <c r="L72" t="s">
        <v>2233</v>
      </c>
      <c r="M72" t="s">
        <v>61</v>
      </c>
      <c r="N72" t="s">
        <v>61</v>
      </c>
      <c r="O72" t="s">
        <v>16</v>
      </c>
      <c r="P72" t="s">
        <v>61</v>
      </c>
      <c r="Q72" t="s">
        <v>61</v>
      </c>
      <c r="R72" t="s">
        <v>2232</v>
      </c>
    </row>
    <row r="73" spans="1:18">
      <c r="A73" t="s">
        <v>2231</v>
      </c>
      <c r="B73" t="s">
        <v>2230</v>
      </c>
      <c r="C73" t="s">
        <v>2229</v>
      </c>
      <c r="D73" t="s">
        <v>2228</v>
      </c>
      <c r="E73" s="1">
        <v>45910</v>
      </c>
      <c r="F73" t="s">
        <v>9</v>
      </c>
      <c r="G73" t="s">
        <v>2227</v>
      </c>
      <c r="H73">
        <v>1</v>
      </c>
      <c r="I73">
        <v>1</v>
      </c>
      <c r="J73" t="s">
        <v>2798</v>
      </c>
      <c r="K73" t="s">
        <v>20</v>
      </c>
      <c r="L73" t="s">
        <v>2226</v>
      </c>
      <c r="M73" t="s">
        <v>2225</v>
      </c>
      <c r="N73" t="s">
        <v>17</v>
      </c>
      <c r="O73" t="s">
        <v>16</v>
      </c>
      <c r="P73" t="s">
        <v>110</v>
      </c>
      <c r="Q73" t="s">
        <v>2224</v>
      </c>
      <c r="R73" t="s">
        <v>2223</v>
      </c>
    </row>
    <row r="74" spans="1:18">
      <c r="A74" t="s">
        <v>2222</v>
      </c>
      <c r="B74" t="s">
        <v>2221</v>
      </c>
      <c r="C74" t="s">
        <v>2220</v>
      </c>
      <c r="D74" t="s">
        <v>2219</v>
      </c>
      <c r="E74" s="1">
        <v>45938</v>
      </c>
      <c r="F74" t="s">
        <v>9</v>
      </c>
      <c r="G74" t="s">
        <v>2218</v>
      </c>
      <c r="H74">
        <v>1</v>
      </c>
      <c r="I74">
        <v>1</v>
      </c>
      <c r="J74" t="s">
        <v>2798</v>
      </c>
      <c r="K74" t="s">
        <v>7</v>
      </c>
      <c r="L74" t="s">
        <v>2217</v>
      </c>
      <c r="M74" t="s">
        <v>2216</v>
      </c>
      <c r="N74" t="s">
        <v>53</v>
      </c>
      <c r="O74" t="s">
        <v>16</v>
      </c>
      <c r="P74" t="s">
        <v>2215</v>
      </c>
      <c r="Q74" t="s">
        <v>2214</v>
      </c>
      <c r="R74" t="s">
        <v>2213</v>
      </c>
    </row>
    <row r="75" spans="1:18">
      <c r="A75" t="s">
        <v>2212</v>
      </c>
      <c r="B75" t="s">
        <v>2211</v>
      </c>
      <c r="C75" t="s">
        <v>2210</v>
      </c>
      <c r="D75" t="s">
        <v>2204</v>
      </c>
      <c r="E75" s="1">
        <v>45937</v>
      </c>
      <c r="F75" t="s">
        <v>9</v>
      </c>
      <c r="G75" t="s">
        <v>2203</v>
      </c>
      <c r="H75">
        <v>1</v>
      </c>
      <c r="I75">
        <v>1</v>
      </c>
      <c r="J75" t="s">
        <v>2797</v>
      </c>
      <c r="K75" t="s">
        <v>20</v>
      </c>
      <c r="L75" t="s">
        <v>2209</v>
      </c>
      <c r="M75" t="s">
        <v>2208</v>
      </c>
      <c r="N75" t="s">
        <v>17</v>
      </c>
      <c r="O75" t="s">
        <v>16</v>
      </c>
      <c r="P75" t="s">
        <v>151</v>
      </c>
      <c r="Q75" t="s">
        <v>2207</v>
      </c>
      <c r="R75" t="s">
        <v>2206</v>
      </c>
    </row>
    <row r="76" spans="1:18">
      <c r="A76" t="s">
        <v>2205</v>
      </c>
      <c r="B76" t="s">
        <v>1640</v>
      </c>
      <c r="C76" t="s">
        <v>1639</v>
      </c>
      <c r="D76" t="s">
        <v>2204</v>
      </c>
      <c r="E76" s="1">
        <v>45952</v>
      </c>
      <c r="F76" t="s">
        <v>9</v>
      </c>
      <c r="G76" t="s">
        <v>2203</v>
      </c>
      <c r="H76">
        <v>1</v>
      </c>
      <c r="I76">
        <v>1</v>
      </c>
      <c r="J76" t="s">
        <v>2798</v>
      </c>
      <c r="K76" t="s">
        <v>20</v>
      </c>
      <c r="L76" t="s">
        <v>1636</v>
      </c>
      <c r="M76" t="s">
        <v>2202</v>
      </c>
      <c r="N76" t="s">
        <v>35</v>
      </c>
      <c r="O76" t="s">
        <v>3</v>
      </c>
      <c r="P76" t="s">
        <v>2201</v>
      </c>
      <c r="Q76" t="s">
        <v>2200</v>
      </c>
      <c r="R76" t="s">
        <v>1632</v>
      </c>
    </row>
    <row r="77" spans="1:18">
      <c r="A77" t="s">
        <v>2199</v>
      </c>
      <c r="B77" t="s">
        <v>2198</v>
      </c>
      <c r="C77" t="s">
        <v>2197</v>
      </c>
      <c r="D77" t="s">
        <v>2196</v>
      </c>
      <c r="E77" s="1">
        <v>45911</v>
      </c>
      <c r="F77" t="s">
        <v>9</v>
      </c>
      <c r="G77" t="s">
        <v>2195</v>
      </c>
      <c r="H77">
        <v>1</v>
      </c>
      <c r="I77">
        <v>1</v>
      </c>
      <c r="J77" t="s">
        <v>2797</v>
      </c>
      <c r="K77" t="s">
        <v>20</v>
      </c>
      <c r="L77" t="s">
        <v>2194</v>
      </c>
      <c r="M77" t="s">
        <v>2193</v>
      </c>
      <c r="N77" t="s">
        <v>17</v>
      </c>
      <c r="O77" t="s">
        <v>16</v>
      </c>
      <c r="P77" t="s">
        <v>2192</v>
      </c>
      <c r="Q77" t="s">
        <v>2191</v>
      </c>
      <c r="R77" t="s">
        <v>2190</v>
      </c>
    </row>
    <row r="78" spans="1:18">
      <c r="A78" t="s">
        <v>2189</v>
      </c>
      <c r="B78" t="s">
        <v>2188</v>
      </c>
      <c r="C78" t="s">
        <v>2187</v>
      </c>
      <c r="D78" t="s">
        <v>2186</v>
      </c>
      <c r="E78" s="1">
        <v>45800</v>
      </c>
      <c r="F78" t="s">
        <v>9</v>
      </c>
      <c r="G78" t="s">
        <v>2185</v>
      </c>
      <c r="H78">
        <v>1</v>
      </c>
      <c r="I78">
        <v>1</v>
      </c>
      <c r="J78" t="s">
        <v>2797</v>
      </c>
      <c r="K78" t="s">
        <v>7</v>
      </c>
      <c r="L78" t="s">
        <v>2184</v>
      </c>
      <c r="M78" t="s">
        <v>2183</v>
      </c>
      <c r="N78" t="s">
        <v>53</v>
      </c>
      <c r="O78" t="s">
        <v>16</v>
      </c>
      <c r="P78" t="s">
        <v>2182</v>
      </c>
      <c r="Q78" t="s">
        <v>2181</v>
      </c>
      <c r="R78" t="s">
        <v>2180</v>
      </c>
    </row>
    <row r="79" spans="1:18">
      <c r="A79" t="s">
        <v>2179</v>
      </c>
      <c r="B79" t="s">
        <v>2174</v>
      </c>
      <c r="C79" t="s">
        <v>2178</v>
      </c>
      <c r="D79" t="s">
        <v>2177</v>
      </c>
      <c r="E79" s="1">
        <v>45825</v>
      </c>
      <c r="F79" t="s">
        <v>65</v>
      </c>
      <c r="G79" t="s">
        <v>2176</v>
      </c>
      <c r="H79">
        <v>1</v>
      </c>
      <c r="I79">
        <v>1</v>
      </c>
      <c r="J79" t="s">
        <v>65</v>
      </c>
      <c r="K79" t="s">
        <v>223</v>
      </c>
      <c r="L79" t="s">
        <v>2175</v>
      </c>
      <c r="M79" t="s">
        <v>61</v>
      </c>
      <c r="N79" t="s">
        <v>61</v>
      </c>
      <c r="O79" t="s">
        <v>16</v>
      </c>
      <c r="P79" t="s">
        <v>61</v>
      </c>
      <c r="Q79" t="s">
        <v>61</v>
      </c>
      <c r="R79" t="s">
        <v>2174</v>
      </c>
    </row>
    <row r="80" spans="1:18">
      <c r="A80" t="s">
        <v>2173</v>
      </c>
      <c r="B80" t="s">
        <v>2172</v>
      </c>
      <c r="C80" t="s">
        <v>2171</v>
      </c>
      <c r="D80" t="s">
        <v>2170</v>
      </c>
      <c r="E80" s="1">
        <v>45847</v>
      </c>
      <c r="F80" t="s">
        <v>9</v>
      </c>
      <c r="G80" t="s">
        <v>2169</v>
      </c>
      <c r="H80">
        <v>1</v>
      </c>
      <c r="I80">
        <v>1</v>
      </c>
      <c r="J80" t="s">
        <v>2798</v>
      </c>
      <c r="K80" t="s">
        <v>7</v>
      </c>
      <c r="L80" t="s">
        <v>2168</v>
      </c>
      <c r="M80" t="s">
        <v>2167</v>
      </c>
      <c r="N80" t="s">
        <v>53</v>
      </c>
      <c r="O80" t="s">
        <v>16</v>
      </c>
      <c r="P80" t="s">
        <v>141</v>
      </c>
      <c r="Q80" t="s">
        <v>2166</v>
      </c>
      <c r="R80" t="s">
        <v>2165</v>
      </c>
    </row>
    <row r="81" spans="1:18">
      <c r="A81" t="s">
        <v>2164</v>
      </c>
      <c r="B81" t="s">
        <v>2163</v>
      </c>
      <c r="C81" t="s">
        <v>2162</v>
      </c>
      <c r="D81" t="s">
        <v>2161</v>
      </c>
      <c r="E81" s="1">
        <v>45956</v>
      </c>
      <c r="F81" t="s">
        <v>9</v>
      </c>
      <c r="G81" t="s">
        <v>2160</v>
      </c>
      <c r="H81">
        <v>1</v>
      </c>
      <c r="I81">
        <v>1</v>
      </c>
      <c r="J81" t="s">
        <v>2798</v>
      </c>
      <c r="K81" t="s">
        <v>20</v>
      </c>
      <c r="L81" t="s">
        <v>2159</v>
      </c>
      <c r="M81" t="s">
        <v>2158</v>
      </c>
      <c r="N81" t="s">
        <v>2157</v>
      </c>
      <c r="O81" t="s">
        <v>3</v>
      </c>
      <c r="P81" t="s">
        <v>2</v>
      </c>
      <c r="Q81" t="s">
        <v>2156</v>
      </c>
      <c r="R81" t="s">
        <v>2155</v>
      </c>
    </row>
    <row r="82" spans="1:18">
      <c r="A82" t="s">
        <v>2154</v>
      </c>
      <c r="B82" t="s">
        <v>2149</v>
      </c>
      <c r="C82" t="s">
        <v>2153</v>
      </c>
      <c r="D82" t="s">
        <v>2152</v>
      </c>
      <c r="E82" s="1">
        <v>45847</v>
      </c>
      <c r="F82" t="s">
        <v>65</v>
      </c>
      <c r="G82" t="s">
        <v>2151</v>
      </c>
      <c r="H82">
        <v>1</v>
      </c>
      <c r="I82">
        <v>1</v>
      </c>
      <c r="J82" t="s">
        <v>65</v>
      </c>
      <c r="K82" t="s">
        <v>112</v>
      </c>
      <c r="L82" t="s">
        <v>2150</v>
      </c>
      <c r="M82" t="s">
        <v>61</v>
      </c>
      <c r="N82" t="s">
        <v>61</v>
      </c>
      <c r="O82" t="s">
        <v>16</v>
      </c>
      <c r="P82" t="s">
        <v>61</v>
      </c>
      <c r="Q82" t="s">
        <v>61</v>
      </c>
      <c r="R82" t="s">
        <v>2149</v>
      </c>
    </row>
    <row r="83" spans="1:18">
      <c r="A83" t="s">
        <v>2148</v>
      </c>
      <c r="B83" t="s">
        <v>2147</v>
      </c>
      <c r="C83" t="s">
        <v>2146</v>
      </c>
      <c r="D83" t="s">
        <v>2145</v>
      </c>
      <c r="E83" s="1">
        <v>45854</v>
      </c>
      <c r="F83" t="s">
        <v>9</v>
      </c>
      <c r="G83" t="s">
        <v>2144</v>
      </c>
      <c r="H83">
        <v>1</v>
      </c>
      <c r="I83">
        <v>1</v>
      </c>
      <c r="J83" t="s">
        <v>2798</v>
      </c>
      <c r="K83" t="s">
        <v>7</v>
      </c>
      <c r="L83" t="s">
        <v>2143</v>
      </c>
      <c r="M83" t="s">
        <v>2142</v>
      </c>
      <c r="N83" t="s">
        <v>53</v>
      </c>
      <c r="O83" t="s">
        <v>16</v>
      </c>
      <c r="P83" t="s">
        <v>141</v>
      </c>
      <c r="Q83" t="s">
        <v>2141</v>
      </c>
      <c r="R83" t="s">
        <v>2140</v>
      </c>
    </row>
    <row r="84" spans="1:18">
      <c r="A84" t="s">
        <v>2139</v>
      </c>
      <c r="B84" t="s">
        <v>2138</v>
      </c>
      <c r="C84" t="s">
        <v>2137</v>
      </c>
      <c r="D84" t="s">
        <v>2136</v>
      </c>
      <c r="E84" s="1">
        <v>45800</v>
      </c>
      <c r="F84" t="s">
        <v>9</v>
      </c>
      <c r="G84" t="s">
        <v>2135</v>
      </c>
      <c r="H84">
        <v>1</v>
      </c>
      <c r="I84">
        <v>1</v>
      </c>
      <c r="J84" t="s">
        <v>2798</v>
      </c>
      <c r="K84" t="s">
        <v>20</v>
      </c>
      <c r="L84" t="s">
        <v>2134</v>
      </c>
      <c r="M84" t="s">
        <v>2133</v>
      </c>
      <c r="N84" t="s">
        <v>291</v>
      </c>
      <c r="O84" t="s">
        <v>16</v>
      </c>
      <c r="P84" t="s">
        <v>141</v>
      </c>
      <c r="Q84" t="s">
        <v>2132</v>
      </c>
      <c r="R84" t="s">
        <v>2131</v>
      </c>
    </row>
    <row r="85" spans="1:18">
      <c r="A85" t="s">
        <v>2130</v>
      </c>
      <c r="B85" t="s">
        <v>1930</v>
      </c>
      <c r="C85" t="s">
        <v>1929</v>
      </c>
      <c r="D85" t="s">
        <v>2119</v>
      </c>
      <c r="E85" s="1">
        <v>45800</v>
      </c>
      <c r="F85" t="s">
        <v>9</v>
      </c>
      <c r="G85" t="s">
        <v>2118</v>
      </c>
      <c r="H85">
        <v>1</v>
      </c>
      <c r="I85">
        <v>1</v>
      </c>
      <c r="J85" t="s">
        <v>2798</v>
      </c>
      <c r="K85" t="s">
        <v>7</v>
      </c>
      <c r="L85" t="s">
        <v>1928</v>
      </c>
      <c r="M85" t="s">
        <v>2129</v>
      </c>
      <c r="N85" t="s">
        <v>53</v>
      </c>
      <c r="O85" t="s">
        <v>16</v>
      </c>
      <c r="P85" t="s">
        <v>2128</v>
      </c>
      <c r="Q85" t="s">
        <v>2127</v>
      </c>
      <c r="R85" t="s">
        <v>1925</v>
      </c>
    </row>
    <row r="86" spans="1:18">
      <c r="A86" t="s">
        <v>2126</v>
      </c>
      <c r="B86" t="s">
        <v>1883</v>
      </c>
      <c r="C86" t="s">
        <v>1882</v>
      </c>
      <c r="D86" t="s">
        <v>2119</v>
      </c>
      <c r="E86" s="1">
        <v>45862</v>
      </c>
      <c r="F86" t="s">
        <v>9</v>
      </c>
      <c r="G86" t="s">
        <v>2118</v>
      </c>
      <c r="H86">
        <v>1</v>
      </c>
      <c r="I86">
        <v>1</v>
      </c>
      <c r="J86" t="s">
        <v>2798</v>
      </c>
      <c r="K86" t="s">
        <v>7</v>
      </c>
      <c r="L86" t="s">
        <v>1879</v>
      </c>
      <c r="M86" t="s">
        <v>2125</v>
      </c>
      <c r="N86" t="s">
        <v>53</v>
      </c>
      <c r="O86" t="s">
        <v>16</v>
      </c>
      <c r="P86" t="s">
        <v>2124</v>
      </c>
      <c r="Q86" t="s">
        <v>2123</v>
      </c>
      <c r="R86" t="s">
        <v>1875</v>
      </c>
    </row>
    <row r="87" spans="1:18">
      <c r="A87" t="s">
        <v>2122</v>
      </c>
      <c r="B87" t="s">
        <v>2121</v>
      </c>
      <c r="C87" t="s">
        <v>2120</v>
      </c>
      <c r="D87" t="s">
        <v>2119</v>
      </c>
      <c r="E87" s="1">
        <v>45869</v>
      </c>
      <c r="F87" t="s">
        <v>9</v>
      </c>
      <c r="G87" t="s">
        <v>2118</v>
      </c>
      <c r="H87">
        <v>1</v>
      </c>
      <c r="I87">
        <v>1</v>
      </c>
      <c r="J87" t="s">
        <v>2798</v>
      </c>
      <c r="K87" t="s">
        <v>7</v>
      </c>
      <c r="L87" t="s">
        <v>2117</v>
      </c>
      <c r="M87" t="s">
        <v>2116</v>
      </c>
      <c r="N87" t="s">
        <v>53</v>
      </c>
      <c r="O87" t="s">
        <v>16</v>
      </c>
      <c r="P87" t="s">
        <v>2115</v>
      </c>
      <c r="Q87" t="s">
        <v>2114</v>
      </c>
      <c r="R87" t="s">
        <v>2113</v>
      </c>
    </row>
    <row r="88" spans="1:18">
      <c r="A88" t="s">
        <v>2112</v>
      </c>
      <c r="B88" t="s">
        <v>2111</v>
      </c>
      <c r="C88" t="s">
        <v>2110</v>
      </c>
      <c r="D88" t="s">
        <v>2109</v>
      </c>
      <c r="E88" s="1">
        <v>45913</v>
      </c>
      <c r="F88" t="s">
        <v>9</v>
      </c>
      <c r="G88" t="s">
        <v>2108</v>
      </c>
      <c r="H88">
        <v>1</v>
      </c>
      <c r="I88">
        <v>1</v>
      </c>
      <c r="J88" t="s">
        <v>2798</v>
      </c>
      <c r="K88" t="s">
        <v>20</v>
      </c>
      <c r="L88" t="s">
        <v>2107</v>
      </c>
      <c r="M88" t="s">
        <v>2106</v>
      </c>
      <c r="N88" t="s">
        <v>17</v>
      </c>
      <c r="O88" t="s">
        <v>16</v>
      </c>
      <c r="P88" t="s">
        <v>141</v>
      </c>
      <c r="Q88" t="s">
        <v>2105</v>
      </c>
      <c r="R88" t="s">
        <v>2104</v>
      </c>
    </row>
    <row r="89" spans="1:18">
      <c r="A89" t="s">
        <v>2103</v>
      </c>
      <c r="B89" t="s">
        <v>2102</v>
      </c>
      <c r="C89" t="s">
        <v>2101</v>
      </c>
      <c r="D89" t="s">
        <v>2100</v>
      </c>
      <c r="E89" s="1">
        <v>45904</v>
      </c>
      <c r="F89" t="s">
        <v>9</v>
      </c>
      <c r="G89" t="s">
        <v>2099</v>
      </c>
      <c r="H89">
        <v>1</v>
      </c>
      <c r="I89">
        <v>1</v>
      </c>
      <c r="J89" t="s">
        <v>2797</v>
      </c>
      <c r="K89" t="s">
        <v>7</v>
      </c>
      <c r="L89" t="s">
        <v>2098</v>
      </c>
      <c r="M89" t="s">
        <v>2097</v>
      </c>
      <c r="N89" t="s">
        <v>53</v>
      </c>
      <c r="O89" t="s">
        <v>16</v>
      </c>
      <c r="P89" t="s">
        <v>2096</v>
      </c>
      <c r="Q89" t="s">
        <v>2095</v>
      </c>
      <c r="R89" t="s">
        <v>2094</v>
      </c>
    </row>
    <row r="90" spans="1:18">
      <c r="A90" t="s">
        <v>2093</v>
      </c>
      <c r="B90" t="s">
        <v>2092</v>
      </c>
      <c r="C90" t="s">
        <v>2091</v>
      </c>
      <c r="D90" t="s">
        <v>2090</v>
      </c>
      <c r="E90" s="1">
        <v>45937</v>
      </c>
      <c r="F90" t="s">
        <v>9</v>
      </c>
      <c r="G90" t="s">
        <v>2089</v>
      </c>
      <c r="H90">
        <v>1</v>
      </c>
      <c r="I90">
        <v>1</v>
      </c>
      <c r="J90" t="s">
        <v>2797</v>
      </c>
      <c r="K90" t="s">
        <v>20</v>
      </c>
      <c r="L90" t="s">
        <v>2088</v>
      </c>
      <c r="M90" t="s">
        <v>2087</v>
      </c>
      <c r="N90" t="s">
        <v>17</v>
      </c>
      <c r="O90" t="s">
        <v>16</v>
      </c>
      <c r="P90" t="s">
        <v>2086</v>
      </c>
      <c r="Q90" t="s">
        <v>2085</v>
      </c>
      <c r="R90" t="s">
        <v>2084</v>
      </c>
    </row>
    <row r="91" spans="1:18">
      <c r="A91" t="s">
        <v>2083</v>
      </c>
      <c r="B91" t="s">
        <v>1971</v>
      </c>
      <c r="C91" t="s">
        <v>1970</v>
      </c>
      <c r="D91" t="s">
        <v>2082</v>
      </c>
      <c r="E91" s="1">
        <v>45868</v>
      </c>
      <c r="F91" t="s">
        <v>9</v>
      </c>
      <c r="G91" t="s">
        <v>2081</v>
      </c>
      <c r="H91">
        <v>1</v>
      </c>
      <c r="I91">
        <v>1</v>
      </c>
      <c r="J91" t="s">
        <v>2798</v>
      </c>
      <c r="K91" t="s">
        <v>20</v>
      </c>
      <c r="L91" t="s">
        <v>1967</v>
      </c>
      <c r="M91" t="s">
        <v>2080</v>
      </c>
      <c r="N91" t="s">
        <v>17</v>
      </c>
      <c r="O91" t="s">
        <v>16</v>
      </c>
      <c r="P91" t="s">
        <v>141</v>
      </c>
      <c r="Q91" t="s">
        <v>2079</v>
      </c>
      <c r="R91" t="s">
        <v>1964</v>
      </c>
    </row>
    <row r="92" spans="1:18">
      <c r="A92" t="s">
        <v>2078</v>
      </c>
      <c r="B92" t="s">
        <v>2077</v>
      </c>
      <c r="C92" t="s">
        <v>2076</v>
      </c>
      <c r="D92" t="s">
        <v>2075</v>
      </c>
      <c r="E92" s="1">
        <v>45927</v>
      </c>
      <c r="F92" t="s">
        <v>9</v>
      </c>
      <c r="G92" t="s">
        <v>2074</v>
      </c>
      <c r="H92">
        <v>1</v>
      </c>
      <c r="I92">
        <v>1</v>
      </c>
      <c r="J92" t="s">
        <v>2798</v>
      </c>
      <c r="K92" t="s">
        <v>7</v>
      </c>
      <c r="L92" t="s">
        <v>2073</v>
      </c>
      <c r="M92" t="s">
        <v>2072</v>
      </c>
      <c r="N92" t="s">
        <v>53</v>
      </c>
      <c r="O92" t="s">
        <v>16</v>
      </c>
      <c r="P92" t="s">
        <v>2</v>
      </c>
      <c r="Q92" t="s">
        <v>2071</v>
      </c>
      <c r="R92" t="s">
        <v>2070</v>
      </c>
    </row>
    <row r="93" spans="1:18">
      <c r="A93" t="s">
        <v>2069</v>
      </c>
      <c r="B93" t="s">
        <v>2068</v>
      </c>
      <c r="C93" t="s">
        <v>2067</v>
      </c>
      <c r="D93" t="s">
        <v>2066</v>
      </c>
      <c r="E93" s="1">
        <v>45927</v>
      </c>
      <c r="F93" t="s">
        <v>9</v>
      </c>
      <c r="G93" t="s">
        <v>2065</v>
      </c>
      <c r="H93">
        <v>1</v>
      </c>
      <c r="I93">
        <v>1</v>
      </c>
      <c r="J93" t="s">
        <v>2798</v>
      </c>
      <c r="K93" t="s">
        <v>7</v>
      </c>
      <c r="L93" t="s">
        <v>2064</v>
      </c>
      <c r="M93" t="s">
        <v>2063</v>
      </c>
      <c r="N93" t="s">
        <v>53</v>
      </c>
      <c r="O93" t="s">
        <v>16</v>
      </c>
      <c r="P93" t="s">
        <v>2062</v>
      </c>
      <c r="Q93" t="s">
        <v>2061</v>
      </c>
      <c r="R93" t="s">
        <v>2060</v>
      </c>
    </row>
    <row r="94" spans="1:18">
      <c r="A94" t="s">
        <v>2059</v>
      </c>
      <c r="B94" t="s">
        <v>2058</v>
      </c>
      <c r="C94" t="s">
        <v>2057</v>
      </c>
      <c r="D94" t="s">
        <v>2056</v>
      </c>
      <c r="E94" s="1">
        <v>45846</v>
      </c>
      <c r="F94" t="s">
        <v>9</v>
      </c>
      <c r="G94" t="s">
        <v>2055</v>
      </c>
      <c r="H94">
        <v>1</v>
      </c>
      <c r="I94">
        <v>1</v>
      </c>
      <c r="J94" t="s">
        <v>2798</v>
      </c>
      <c r="K94" t="s">
        <v>7</v>
      </c>
      <c r="L94" t="s">
        <v>2054</v>
      </c>
      <c r="M94" t="s">
        <v>2053</v>
      </c>
      <c r="N94" t="s">
        <v>53</v>
      </c>
      <c r="O94" t="s">
        <v>16</v>
      </c>
      <c r="P94" t="s">
        <v>110</v>
      </c>
      <c r="Q94" t="s">
        <v>2052</v>
      </c>
      <c r="R94" t="s">
        <v>2051</v>
      </c>
    </row>
    <row r="95" spans="1:18">
      <c r="A95" t="s">
        <v>2050</v>
      </c>
      <c r="B95" t="s">
        <v>2049</v>
      </c>
      <c r="C95" t="s">
        <v>2048</v>
      </c>
      <c r="D95" t="s">
        <v>2047</v>
      </c>
      <c r="E95" s="1">
        <v>45846</v>
      </c>
      <c r="F95" t="s">
        <v>9</v>
      </c>
      <c r="G95" t="s">
        <v>2046</v>
      </c>
      <c r="H95">
        <v>1</v>
      </c>
      <c r="I95">
        <v>1</v>
      </c>
      <c r="J95" t="s">
        <v>2798</v>
      </c>
      <c r="K95" t="s">
        <v>7</v>
      </c>
      <c r="L95" t="s">
        <v>2045</v>
      </c>
      <c r="M95" t="s">
        <v>2044</v>
      </c>
      <c r="N95" t="s">
        <v>53</v>
      </c>
      <c r="O95" t="s">
        <v>16</v>
      </c>
      <c r="P95" t="s">
        <v>141</v>
      </c>
      <c r="Q95" t="s">
        <v>2043</v>
      </c>
      <c r="R95" t="s">
        <v>2042</v>
      </c>
    </row>
    <row r="96" spans="1:18">
      <c r="A96" t="s">
        <v>2041</v>
      </c>
      <c r="B96" t="s">
        <v>2036</v>
      </c>
      <c r="C96" t="s">
        <v>2040</v>
      </c>
      <c r="D96" t="s">
        <v>2039</v>
      </c>
      <c r="E96" s="1">
        <v>45820</v>
      </c>
      <c r="F96" t="s">
        <v>65</v>
      </c>
      <c r="G96" t="s">
        <v>2038</v>
      </c>
      <c r="H96">
        <v>1</v>
      </c>
      <c r="I96">
        <v>1</v>
      </c>
      <c r="J96" t="s">
        <v>65</v>
      </c>
      <c r="K96" t="s">
        <v>112</v>
      </c>
      <c r="L96" t="s">
        <v>2037</v>
      </c>
      <c r="M96" t="s">
        <v>61</v>
      </c>
      <c r="N96" t="s">
        <v>61</v>
      </c>
      <c r="O96" t="s">
        <v>16</v>
      </c>
      <c r="P96" t="s">
        <v>61</v>
      </c>
      <c r="Q96" t="s">
        <v>61</v>
      </c>
      <c r="R96" t="s">
        <v>2036</v>
      </c>
    </row>
    <row r="97" spans="1:18">
      <c r="A97" t="s">
        <v>2035</v>
      </c>
      <c r="B97" t="s">
        <v>2032</v>
      </c>
      <c r="C97" t="s">
        <v>2034</v>
      </c>
      <c r="D97" t="s">
        <v>2022</v>
      </c>
      <c r="E97" s="1">
        <v>45868</v>
      </c>
      <c r="F97" t="s">
        <v>65</v>
      </c>
      <c r="G97" t="s">
        <v>2021</v>
      </c>
      <c r="H97">
        <v>1</v>
      </c>
      <c r="I97">
        <v>1</v>
      </c>
      <c r="J97" t="s">
        <v>65</v>
      </c>
      <c r="K97" t="s">
        <v>63</v>
      </c>
      <c r="L97" t="s">
        <v>2033</v>
      </c>
      <c r="M97" t="s">
        <v>61</v>
      </c>
      <c r="N97" t="s">
        <v>61</v>
      </c>
      <c r="O97" t="s">
        <v>16</v>
      </c>
      <c r="P97" t="s">
        <v>61</v>
      </c>
      <c r="Q97" t="s">
        <v>61</v>
      </c>
      <c r="R97" t="s">
        <v>2032</v>
      </c>
    </row>
    <row r="98" spans="1:18">
      <c r="A98" t="s">
        <v>2031</v>
      </c>
      <c r="B98" t="s">
        <v>2030</v>
      </c>
      <c r="C98" t="s">
        <v>2029</v>
      </c>
      <c r="D98" t="s">
        <v>2022</v>
      </c>
      <c r="E98" s="1">
        <v>45877</v>
      </c>
      <c r="F98" t="s">
        <v>9</v>
      </c>
      <c r="G98" t="s">
        <v>2021</v>
      </c>
      <c r="H98">
        <v>1</v>
      </c>
      <c r="I98">
        <v>1</v>
      </c>
      <c r="J98" t="s">
        <v>2798</v>
      </c>
      <c r="K98" t="s">
        <v>7</v>
      </c>
      <c r="L98" t="s">
        <v>2028</v>
      </c>
      <c r="M98" t="s">
        <v>2027</v>
      </c>
      <c r="N98" t="s">
        <v>53</v>
      </c>
      <c r="O98" t="s">
        <v>16</v>
      </c>
      <c r="P98" t="s">
        <v>141</v>
      </c>
      <c r="Q98" t="s">
        <v>2026</v>
      </c>
      <c r="R98" t="s">
        <v>2025</v>
      </c>
    </row>
    <row r="99" spans="1:18">
      <c r="A99" t="s">
        <v>2024</v>
      </c>
      <c r="B99" t="s">
        <v>2019</v>
      </c>
      <c r="C99" t="s">
        <v>2023</v>
      </c>
      <c r="D99" t="s">
        <v>2022</v>
      </c>
      <c r="E99" s="1">
        <v>45890</v>
      </c>
      <c r="F99" t="s">
        <v>65</v>
      </c>
      <c r="G99" t="s">
        <v>2021</v>
      </c>
      <c r="H99">
        <v>1</v>
      </c>
      <c r="I99">
        <v>1</v>
      </c>
      <c r="J99" t="s">
        <v>65</v>
      </c>
      <c r="K99" t="s">
        <v>112</v>
      </c>
      <c r="L99" t="s">
        <v>2020</v>
      </c>
      <c r="M99" t="s">
        <v>61</v>
      </c>
      <c r="N99" t="s">
        <v>61</v>
      </c>
      <c r="O99" t="s">
        <v>16</v>
      </c>
      <c r="P99" t="s">
        <v>61</v>
      </c>
      <c r="Q99" t="s">
        <v>61</v>
      </c>
      <c r="R99" t="s">
        <v>2019</v>
      </c>
    </row>
    <row r="100" spans="1:18">
      <c r="A100" t="s">
        <v>2018</v>
      </c>
      <c r="B100" t="s">
        <v>2017</v>
      </c>
      <c r="C100" t="s">
        <v>2016</v>
      </c>
      <c r="D100" t="s">
        <v>2008</v>
      </c>
      <c r="E100" s="1">
        <v>45819</v>
      </c>
      <c r="F100" t="s">
        <v>9</v>
      </c>
      <c r="G100" t="s">
        <v>2007</v>
      </c>
      <c r="H100">
        <v>1</v>
      </c>
      <c r="I100">
        <v>1</v>
      </c>
      <c r="J100" t="s">
        <v>2798</v>
      </c>
      <c r="K100" t="s">
        <v>20</v>
      </c>
      <c r="L100" t="s">
        <v>2015</v>
      </c>
      <c r="M100" t="s">
        <v>2014</v>
      </c>
      <c r="N100" t="s">
        <v>291</v>
      </c>
      <c r="O100" t="s">
        <v>16</v>
      </c>
      <c r="P100" t="s">
        <v>2013</v>
      </c>
      <c r="Q100" t="s">
        <v>2012</v>
      </c>
      <c r="R100" t="s">
        <v>2011</v>
      </c>
    </row>
    <row r="101" spans="1:18">
      <c r="A101" t="s">
        <v>2010</v>
      </c>
      <c r="B101" t="s">
        <v>2005</v>
      </c>
      <c r="C101" t="s">
        <v>2009</v>
      </c>
      <c r="D101" t="s">
        <v>2008</v>
      </c>
      <c r="E101" s="1">
        <v>45873</v>
      </c>
      <c r="F101" t="s">
        <v>65</v>
      </c>
      <c r="G101" t="s">
        <v>2007</v>
      </c>
      <c r="H101">
        <v>1</v>
      </c>
      <c r="I101">
        <v>1</v>
      </c>
      <c r="J101" t="s">
        <v>65</v>
      </c>
      <c r="K101" t="s">
        <v>112</v>
      </c>
      <c r="L101" t="s">
        <v>2006</v>
      </c>
      <c r="M101" t="s">
        <v>61</v>
      </c>
      <c r="N101" t="s">
        <v>61</v>
      </c>
      <c r="O101" t="s">
        <v>16</v>
      </c>
      <c r="P101" t="s">
        <v>61</v>
      </c>
      <c r="Q101" t="s">
        <v>61</v>
      </c>
      <c r="R101" t="s">
        <v>2005</v>
      </c>
    </row>
    <row r="102" spans="1:18">
      <c r="A102" t="s">
        <v>2004</v>
      </c>
      <c r="B102" t="s">
        <v>2003</v>
      </c>
      <c r="C102" t="s">
        <v>2002</v>
      </c>
      <c r="D102" t="s">
        <v>2001</v>
      </c>
      <c r="E102" s="1">
        <v>45903</v>
      </c>
      <c r="F102" t="s">
        <v>9</v>
      </c>
      <c r="G102" t="s">
        <v>2000</v>
      </c>
      <c r="H102">
        <v>1</v>
      </c>
      <c r="I102">
        <v>1</v>
      </c>
      <c r="J102" t="s">
        <v>2797</v>
      </c>
      <c r="K102" t="s">
        <v>7</v>
      </c>
      <c r="L102" t="s">
        <v>1999</v>
      </c>
      <c r="M102" t="s">
        <v>1998</v>
      </c>
      <c r="N102" t="s">
        <v>53</v>
      </c>
      <c r="O102" t="s">
        <v>16</v>
      </c>
      <c r="P102" t="s">
        <v>151</v>
      </c>
      <c r="Q102" t="s">
        <v>1997</v>
      </c>
      <c r="R102" t="s">
        <v>1996</v>
      </c>
    </row>
    <row r="103" spans="1:18">
      <c r="A103" t="s">
        <v>1995</v>
      </c>
      <c r="B103" t="s">
        <v>1994</v>
      </c>
      <c r="C103" t="s">
        <v>1993</v>
      </c>
      <c r="D103" t="s">
        <v>1992</v>
      </c>
      <c r="E103" s="1">
        <v>45825</v>
      </c>
      <c r="F103" t="s">
        <v>9</v>
      </c>
      <c r="G103" t="s">
        <v>1991</v>
      </c>
      <c r="H103">
        <v>1</v>
      </c>
      <c r="I103">
        <v>1</v>
      </c>
      <c r="J103" t="s">
        <v>2798</v>
      </c>
      <c r="K103" t="s">
        <v>7</v>
      </c>
      <c r="L103" t="s">
        <v>1990</v>
      </c>
      <c r="M103" t="s">
        <v>1989</v>
      </c>
      <c r="N103" t="s">
        <v>53</v>
      </c>
      <c r="O103" t="s">
        <v>16</v>
      </c>
      <c r="P103" t="s">
        <v>1988</v>
      </c>
      <c r="Q103" t="s">
        <v>1987</v>
      </c>
      <c r="R103" t="s">
        <v>1986</v>
      </c>
    </row>
    <row r="104" spans="1:18">
      <c r="A104" t="s">
        <v>1985</v>
      </c>
      <c r="B104" t="s">
        <v>1980</v>
      </c>
      <c r="C104" t="s">
        <v>1984</v>
      </c>
      <c r="D104" t="s">
        <v>1983</v>
      </c>
      <c r="E104" s="1">
        <v>45877</v>
      </c>
      <c r="F104" t="s">
        <v>65</v>
      </c>
      <c r="G104" t="s">
        <v>1982</v>
      </c>
      <c r="H104">
        <v>1</v>
      </c>
      <c r="I104">
        <v>1</v>
      </c>
      <c r="J104" t="s">
        <v>65</v>
      </c>
      <c r="K104" t="s">
        <v>112</v>
      </c>
      <c r="L104" t="s">
        <v>1981</v>
      </c>
      <c r="M104" t="s">
        <v>61</v>
      </c>
      <c r="N104" t="s">
        <v>61</v>
      </c>
      <c r="O104" t="s">
        <v>16</v>
      </c>
      <c r="P104" t="s">
        <v>61</v>
      </c>
      <c r="Q104" t="s">
        <v>61</v>
      </c>
      <c r="R104" t="s">
        <v>1980</v>
      </c>
    </row>
    <row r="105" spans="1:18">
      <c r="A105" t="s">
        <v>1979</v>
      </c>
      <c r="B105" t="s">
        <v>1978</v>
      </c>
      <c r="C105" t="s">
        <v>1977</v>
      </c>
      <c r="D105" t="s">
        <v>1969</v>
      </c>
      <c r="E105" s="1">
        <v>45821</v>
      </c>
      <c r="F105" t="s">
        <v>9</v>
      </c>
      <c r="G105" t="s">
        <v>1968</v>
      </c>
      <c r="H105">
        <v>1</v>
      </c>
      <c r="I105">
        <v>1</v>
      </c>
      <c r="J105" t="s">
        <v>2798</v>
      </c>
      <c r="K105" t="s">
        <v>7</v>
      </c>
      <c r="L105" t="s">
        <v>1976</v>
      </c>
      <c r="M105" t="s">
        <v>1975</v>
      </c>
      <c r="N105" t="s">
        <v>53</v>
      </c>
      <c r="O105" t="s">
        <v>16</v>
      </c>
      <c r="P105" t="s">
        <v>110</v>
      </c>
      <c r="Q105" t="s">
        <v>1974</v>
      </c>
      <c r="R105" t="s">
        <v>1973</v>
      </c>
    </row>
    <row r="106" spans="1:18">
      <c r="A106" t="s">
        <v>1972</v>
      </c>
      <c r="B106" t="s">
        <v>1971</v>
      </c>
      <c r="C106" t="s">
        <v>1970</v>
      </c>
      <c r="D106" t="s">
        <v>1969</v>
      </c>
      <c r="E106" s="1">
        <v>45868</v>
      </c>
      <c r="F106" t="s">
        <v>9</v>
      </c>
      <c r="G106" t="s">
        <v>1968</v>
      </c>
      <c r="H106">
        <v>1</v>
      </c>
      <c r="I106">
        <v>1</v>
      </c>
      <c r="J106" t="s">
        <v>2798</v>
      </c>
      <c r="K106" t="s">
        <v>20</v>
      </c>
      <c r="L106" t="s">
        <v>1967</v>
      </c>
      <c r="M106" t="s">
        <v>1966</v>
      </c>
      <c r="N106" t="s">
        <v>17</v>
      </c>
      <c r="O106" t="s">
        <v>16</v>
      </c>
      <c r="P106" t="s">
        <v>141</v>
      </c>
      <c r="Q106" t="s">
        <v>1965</v>
      </c>
      <c r="R106" t="s">
        <v>1964</v>
      </c>
    </row>
    <row r="107" spans="1:18">
      <c r="A107" t="s">
        <v>1963</v>
      </c>
      <c r="B107" t="s">
        <v>1900</v>
      </c>
      <c r="C107" t="s">
        <v>1899</v>
      </c>
      <c r="D107" t="s">
        <v>1962</v>
      </c>
      <c r="E107" s="1">
        <v>45776</v>
      </c>
      <c r="F107" t="s">
        <v>9</v>
      </c>
      <c r="G107" t="s">
        <v>1961</v>
      </c>
      <c r="H107">
        <v>1</v>
      </c>
      <c r="I107">
        <v>1</v>
      </c>
      <c r="J107" t="s">
        <v>2798</v>
      </c>
      <c r="K107" t="s">
        <v>20</v>
      </c>
      <c r="L107" t="s">
        <v>1896</v>
      </c>
      <c r="M107" t="s">
        <v>1960</v>
      </c>
      <c r="N107" t="s">
        <v>291</v>
      </c>
      <c r="O107" t="s">
        <v>16</v>
      </c>
      <c r="P107" t="s">
        <v>141</v>
      </c>
      <c r="Q107" t="s">
        <v>1959</v>
      </c>
      <c r="R107" t="s">
        <v>1893</v>
      </c>
    </row>
    <row r="108" spans="1:18">
      <c r="A108" t="s">
        <v>1958</v>
      </c>
      <c r="B108" t="s">
        <v>1957</v>
      </c>
      <c r="C108" t="s">
        <v>1956</v>
      </c>
      <c r="D108" t="s">
        <v>1955</v>
      </c>
      <c r="E108" s="1">
        <v>45855</v>
      </c>
      <c r="F108" t="s">
        <v>9</v>
      </c>
      <c r="G108" t="s">
        <v>1954</v>
      </c>
      <c r="H108">
        <v>1</v>
      </c>
      <c r="I108">
        <v>1</v>
      </c>
      <c r="J108" t="s">
        <v>2798</v>
      </c>
      <c r="K108" t="s">
        <v>20</v>
      </c>
      <c r="L108" t="s">
        <v>1953</v>
      </c>
      <c r="M108" t="s">
        <v>1952</v>
      </c>
      <c r="N108" t="s">
        <v>17</v>
      </c>
      <c r="O108" t="s">
        <v>16</v>
      </c>
      <c r="P108" t="s">
        <v>141</v>
      </c>
      <c r="Q108" t="s">
        <v>1951</v>
      </c>
      <c r="R108" t="s">
        <v>1950</v>
      </c>
    </row>
    <row r="109" spans="1:18">
      <c r="A109" t="s">
        <v>1949</v>
      </c>
      <c r="B109" t="s">
        <v>1948</v>
      </c>
      <c r="C109" t="s">
        <v>1947</v>
      </c>
      <c r="D109" t="s">
        <v>1946</v>
      </c>
      <c r="E109" s="1">
        <v>45876</v>
      </c>
      <c r="F109" t="s">
        <v>9</v>
      </c>
      <c r="G109" t="s">
        <v>1945</v>
      </c>
      <c r="H109">
        <v>1</v>
      </c>
      <c r="I109">
        <v>1</v>
      </c>
      <c r="J109" t="s">
        <v>2797</v>
      </c>
      <c r="K109" t="s">
        <v>7</v>
      </c>
      <c r="L109" t="s">
        <v>1944</v>
      </c>
      <c r="M109" t="s">
        <v>1943</v>
      </c>
      <c r="N109" t="s">
        <v>53</v>
      </c>
      <c r="O109" t="s">
        <v>16</v>
      </c>
      <c r="P109" t="s">
        <v>151</v>
      </c>
      <c r="Q109" t="s">
        <v>1942</v>
      </c>
      <c r="R109" t="s">
        <v>1941</v>
      </c>
    </row>
    <row r="110" spans="1:18">
      <c r="A110" t="s">
        <v>1940</v>
      </c>
      <c r="B110" t="s">
        <v>1939</v>
      </c>
      <c r="C110" t="s">
        <v>1938</v>
      </c>
      <c r="D110" t="s">
        <v>1937</v>
      </c>
      <c r="E110" s="1">
        <v>45806</v>
      </c>
      <c r="F110" t="s">
        <v>9</v>
      </c>
      <c r="G110" t="s">
        <v>1936</v>
      </c>
      <c r="H110">
        <v>1</v>
      </c>
      <c r="I110">
        <v>1</v>
      </c>
      <c r="J110" t="s">
        <v>2798</v>
      </c>
      <c r="K110" t="s">
        <v>20</v>
      </c>
      <c r="L110" t="s">
        <v>1935</v>
      </c>
      <c r="M110" t="s">
        <v>1934</v>
      </c>
      <c r="N110" t="s">
        <v>291</v>
      </c>
      <c r="O110" t="s">
        <v>16</v>
      </c>
      <c r="P110" t="s">
        <v>110</v>
      </c>
      <c r="Q110" t="s">
        <v>1933</v>
      </c>
      <c r="R110" t="s">
        <v>1932</v>
      </c>
    </row>
    <row r="111" spans="1:18">
      <c r="A111" t="s">
        <v>1931</v>
      </c>
      <c r="B111" t="s">
        <v>1930</v>
      </c>
      <c r="C111" t="s">
        <v>1929</v>
      </c>
      <c r="D111" t="s">
        <v>1921</v>
      </c>
      <c r="E111" s="1">
        <v>45800</v>
      </c>
      <c r="F111" t="s">
        <v>9</v>
      </c>
      <c r="G111" t="s">
        <v>1920</v>
      </c>
      <c r="H111">
        <v>1</v>
      </c>
      <c r="I111">
        <v>1</v>
      </c>
      <c r="J111" t="s">
        <v>2798</v>
      </c>
      <c r="K111" t="s">
        <v>7</v>
      </c>
      <c r="L111" t="s">
        <v>1928</v>
      </c>
      <c r="M111" t="s">
        <v>1927</v>
      </c>
      <c r="N111" t="s">
        <v>53</v>
      </c>
      <c r="O111" t="s">
        <v>16</v>
      </c>
      <c r="P111" t="s">
        <v>141</v>
      </c>
      <c r="Q111" t="s">
        <v>1926</v>
      </c>
      <c r="R111" t="s">
        <v>1925</v>
      </c>
    </row>
    <row r="112" spans="1:18">
      <c r="A112" t="s">
        <v>1924</v>
      </c>
      <c r="B112" t="s">
        <v>1923</v>
      </c>
      <c r="C112" t="s">
        <v>1922</v>
      </c>
      <c r="D112" t="s">
        <v>1921</v>
      </c>
      <c r="E112" s="1">
        <v>45948</v>
      </c>
      <c r="F112" t="s">
        <v>9</v>
      </c>
      <c r="G112" t="s">
        <v>1920</v>
      </c>
      <c r="H112">
        <v>1</v>
      </c>
      <c r="I112">
        <v>1</v>
      </c>
      <c r="J112" t="s">
        <v>2798</v>
      </c>
      <c r="K112" t="s">
        <v>7</v>
      </c>
      <c r="L112" t="s">
        <v>1919</v>
      </c>
      <c r="M112" t="s">
        <v>1918</v>
      </c>
      <c r="N112" t="s">
        <v>53</v>
      </c>
      <c r="O112" t="s">
        <v>16</v>
      </c>
      <c r="P112" t="s">
        <v>2</v>
      </c>
      <c r="Q112" t="s">
        <v>1917</v>
      </c>
      <c r="R112" t="s">
        <v>1916</v>
      </c>
    </row>
    <row r="113" spans="1:18">
      <c r="A113" t="s">
        <v>1915</v>
      </c>
      <c r="B113" t="s">
        <v>1900</v>
      </c>
      <c r="C113" t="s">
        <v>1899</v>
      </c>
      <c r="D113" t="s">
        <v>1912</v>
      </c>
      <c r="E113" s="1">
        <v>45783</v>
      </c>
      <c r="F113" t="s">
        <v>9</v>
      </c>
      <c r="G113" t="s">
        <v>1911</v>
      </c>
      <c r="H113">
        <v>1</v>
      </c>
      <c r="I113">
        <v>1</v>
      </c>
      <c r="J113" t="s">
        <v>2798</v>
      </c>
      <c r="K113" t="s">
        <v>20</v>
      </c>
      <c r="L113" t="s">
        <v>1896</v>
      </c>
      <c r="M113" t="s">
        <v>1914</v>
      </c>
      <c r="N113" t="s">
        <v>291</v>
      </c>
      <c r="O113" t="s">
        <v>16</v>
      </c>
      <c r="P113" t="s">
        <v>141</v>
      </c>
      <c r="Q113" t="s">
        <v>1913</v>
      </c>
      <c r="R113" t="s">
        <v>1893</v>
      </c>
    </row>
    <row r="114" spans="1:18">
      <c r="A114" t="s">
        <v>1347</v>
      </c>
      <c r="B114" t="s">
        <v>1342</v>
      </c>
      <c r="C114" t="s">
        <v>1346</v>
      </c>
      <c r="D114" t="s">
        <v>1912</v>
      </c>
      <c r="E114" s="1">
        <v>45902</v>
      </c>
      <c r="F114" t="s">
        <v>65</v>
      </c>
      <c r="G114" t="s">
        <v>1911</v>
      </c>
      <c r="H114">
        <v>1</v>
      </c>
      <c r="I114">
        <v>1</v>
      </c>
      <c r="J114" t="s">
        <v>65</v>
      </c>
      <c r="K114" t="s">
        <v>63</v>
      </c>
      <c r="L114" t="s">
        <v>1343</v>
      </c>
      <c r="M114" t="s">
        <v>61</v>
      </c>
      <c r="N114" t="s">
        <v>61</v>
      </c>
      <c r="O114" t="s">
        <v>80</v>
      </c>
      <c r="P114" t="s">
        <v>61</v>
      </c>
      <c r="Q114" t="s">
        <v>61</v>
      </c>
      <c r="R114" t="s">
        <v>1342</v>
      </c>
    </row>
    <row r="115" spans="1:18">
      <c r="A115" t="s">
        <v>1910</v>
      </c>
      <c r="B115" t="s">
        <v>1909</v>
      </c>
      <c r="C115" t="s">
        <v>1908</v>
      </c>
      <c r="D115" t="s">
        <v>1907</v>
      </c>
      <c r="E115" s="1">
        <v>45800</v>
      </c>
      <c r="F115" t="s">
        <v>9</v>
      </c>
      <c r="G115" t="s">
        <v>1906</v>
      </c>
      <c r="H115">
        <v>1</v>
      </c>
      <c r="I115">
        <v>1</v>
      </c>
      <c r="J115" t="s">
        <v>2798</v>
      </c>
      <c r="K115" t="s">
        <v>7</v>
      </c>
      <c r="L115" t="s">
        <v>1905</v>
      </c>
      <c r="M115" t="s">
        <v>1904</v>
      </c>
      <c r="N115" t="s">
        <v>53</v>
      </c>
      <c r="O115" t="s">
        <v>16</v>
      </c>
      <c r="P115" t="s">
        <v>141</v>
      </c>
      <c r="Q115" t="s">
        <v>1903</v>
      </c>
      <c r="R115" t="s">
        <v>1902</v>
      </c>
    </row>
    <row r="116" spans="1:18">
      <c r="A116" t="s">
        <v>1901</v>
      </c>
      <c r="B116" t="s">
        <v>1900</v>
      </c>
      <c r="C116" t="s">
        <v>1899</v>
      </c>
      <c r="D116" t="s">
        <v>1898</v>
      </c>
      <c r="E116" s="1">
        <v>45783</v>
      </c>
      <c r="F116" t="s">
        <v>9</v>
      </c>
      <c r="G116" t="s">
        <v>1897</v>
      </c>
      <c r="H116">
        <v>1</v>
      </c>
      <c r="I116">
        <v>1</v>
      </c>
      <c r="J116" t="s">
        <v>2798</v>
      </c>
      <c r="K116" t="s">
        <v>20</v>
      </c>
      <c r="L116" t="s">
        <v>1896</v>
      </c>
      <c r="M116" t="s">
        <v>1895</v>
      </c>
      <c r="N116" t="s">
        <v>291</v>
      </c>
      <c r="O116" t="s">
        <v>16</v>
      </c>
      <c r="P116" t="s">
        <v>141</v>
      </c>
      <c r="Q116" t="s">
        <v>1894</v>
      </c>
      <c r="R116" t="s">
        <v>1893</v>
      </c>
    </row>
    <row r="117" spans="1:18">
      <c r="A117" t="s">
        <v>1892</v>
      </c>
      <c r="B117" t="s">
        <v>1889</v>
      </c>
      <c r="C117" t="s">
        <v>1891</v>
      </c>
      <c r="D117" t="s">
        <v>1881</v>
      </c>
      <c r="E117" s="1">
        <v>45800</v>
      </c>
      <c r="F117" t="s">
        <v>65</v>
      </c>
      <c r="G117" t="s">
        <v>1880</v>
      </c>
      <c r="H117">
        <v>1</v>
      </c>
      <c r="I117">
        <v>1</v>
      </c>
      <c r="J117" t="s">
        <v>65</v>
      </c>
      <c r="K117" t="s">
        <v>112</v>
      </c>
      <c r="L117" t="s">
        <v>1890</v>
      </c>
      <c r="M117" t="s">
        <v>61</v>
      </c>
      <c r="N117" t="s">
        <v>61</v>
      </c>
      <c r="O117" t="s">
        <v>16</v>
      </c>
      <c r="P117" t="s">
        <v>61</v>
      </c>
      <c r="Q117" t="s">
        <v>61</v>
      </c>
      <c r="R117" t="s">
        <v>1889</v>
      </c>
    </row>
    <row r="118" spans="1:18">
      <c r="A118" t="s">
        <v>1888</v>
      </c>
      <c r="B118" t="s">
        <v>1885</v>
      </c>
      <c r="C118" t="s">
        <v>1887</v>
      </c>
      <c r="D118" t="s">
        <v>1881</v>
      </c>
      <c r="E118" s="1">
        <v>45821</v>
      </c>
      <c r="F118" t="s">
        <v>65</v>
      </c>
      <c r="G118" t="s">
        <v>1880</v>
      </c>
      <c r="H118">
        <v>1</v>
      </c>
      <c r="I118">
        <v>1</v>
      </c>
      <c r="J118" t="s">
        <v>65</v>
      </c>
      <c r="K118" t="s">
        <v>112</v>
      </c>
      <c r="L118" t="s">
        <v>1886</v>
      </c>
      <c r="M118" t="s">
        <v>61</v>
      </c>
      <c r="N118" t="s">
        <v>61</v>
      </c>
      <c r="O118" t="s">
        <v>16</v>
      </c>
      <c r="P118" t="s">
        <v>61</v>
      </c>
      <c r="Q118" t="s">
        <v>61</v>
      </c>
      <c r="R118" t="s">
        <v>1885</v>
      </c>
    </row>
    <row r="119" spans="1:18">
      <c r="A119" t="s">
        <v>1884</v>
      </c>
      <c r="B119" t="s">
        <v>1883</v>
      </c>
      <c r="C119" t="s">
        <v>1882</v>
      </c>
      <c r="D119" t="s">
        <v>1881</v>
      </c>
      <c r="E119" s="1">
        <v>45863</v>
      </c>
      <c r="F119" t="s">
        <v>9</v>
      </c>
      <c r="G119" t="s">
        <v>1880</v>
      </c>
      <c r="H119">
        <v>1</v>
      </c>
      <c r="I119">
        <v>1</v>
      </c>
      <c r="J119" t="s">
        <v>2798</v>
      </c>
      <c r="K119" t="s">
        <v>7</v>
      </c>
      <c r="L119" t="s">
        <v>1879</v>
      </c>
      <c r="M119" t="s">
        <v>1878</v>
      </c>
      <c r="N119" t="s">
        <v>53</v>
      </c>
      <c r="O119" t="s">
        <v>16</v>
      </c>
      <c r="P119" t="s">
        <v>1877</v>
      </c>
      <c r="Q119" t="s">
        <v>1876</v>
      </c>
      <c r="R119" t="s">
        <v>1875</v>
      </c>
    </row>
    <row r="120" spans="1:18">
      <c r="A120" t="s">
        <v>1874</v>
      </c>
      <c r="B120" t="s">
        <v>1873</v>
      </c>
      <c r="C120" t="s">
        <v>1872</v>
      </c>
      <c r="D120" t="s">
        <v>1863</v>
      </c>
      <c r="E120" s="1">
        <v>45824</v>
      </c>
      <c r="F120" t="s">
        <v>9</v>
      </c>
      <c r="G120" t="s">
        <v>1862</v>
      </c>
      <c r="H120">
        <v>1</v>
      </c>
      <c r="I120">
        <v>1</v>
      </c>
      <c r="J120" t="s">
        <v>2798</v>
      </c>
      <c r="K120" t="s">
        <v>20</v>
      </c>
      <c r="L120" t="s">
        <v>1871</v>
      </c>
      <c r="M120" t="s">
        <v>1870</v>
      </c>
      <c r="N120" t="s">
        <v>291</v>
      </c>
      <c r="O120" t="s">
        <v>16</v>
      </c>
      <c r="P120" t="s">
        <v>1869</v>
      </c>
      <c r="Q120" t="s">
        <v>1868</v>
      </c>
      <c r="R120" t="s">
        <v>1867</v>
      </c>
    </row>
    <row r="121" spans="1:18">
      <c r="A121" t="s">
        <v>1866</v>
      </c>
      <c r="B121" t="s">
        <v>1865</v>
      </c>
      <c r="C121" t="s">
        <v>1864</v>
      </c>
      <c r="D121" t="s">
        <v>1863</v>
      </c>
      <c r="E121" s="1">
        <v>45826</v>
      </c>
      <c r="F121" t="s">
        <v>9</v>
      </c>
      <c r="G121" t="s">
        <v>1862</v>
      </c>
      <c r="H121">
        <v>1</v>
      </c>
      <c r="I121">
        <v>1</v>
      </c>
      <c r="J121" t="s">
        <v>2798</v>
      </c>
      <c r="K121" t="s">
        <v>7</v>
      </c>
      <c r="L121" t="s">
        <v>1861</v>
      </c>
      <c r="M121" t="s">
        <v>1860</v>
      </c>
      <c r="N121" t="s">
        <v>53</v>
      </c>
      <c r="O121" t="s">
        <v>16</v>
      </c>
      <c r="P121" t="s">
        <v>1859</v>
      </c>
      <c r="Q121" t="s">
        <v>1858</v>
      </c>
      <c r="R121" t="s">
        <v>1857</v>
      </c>
    </row>
    <row r="122" spans="1:18">
      <c r="A122" t="s">
        <v>1856</v>
      </c>
      <c r="B122" t="s">
        <v>1851</v>
      </c>
      <c r="C122" t="s">
        <v>1855</v>
      </c>
      <c r="D122" t="s">
        <v>1854</v>
      </c>
      <c r="E122" s="1">
        <v>45828</v>
      </c>
      <c r="F122" t="s">
        <v>65</v>
      </c>
      <c r="G122" t="s">
        <v>1853</v>
      </c>
      <c r="H122">
        <v>1</v>
      </c>
      <c r="I122">
        <v>1</v>
      </c>
      <c r="J122" t="s">
        <v>65</v>
      </c>
      <c r="K122" t="s">
        <v>63</v>
      </c>
      <c r="L122" t="s">
        <v>1852</v>
      </c>
      <c r="M122" t="s">
        <v>61</v>
      </c>
      <c r="N122" t="s">
        <v>61</v>
      </c>
      <c r="O122" t="s">
        <v>16</v>
      </c>
      <c r="P122" t="s">
        <v>61</v>
      </c>
      <c r="Q122" t="s">
        <v>61</v>
      </c>
      <c r="R122" t="s">
        <v>1851</v>
      </c>
    </row>
    <row r="123" spans="1:18">
      <c r="A123" t="s">
        <v>1850</v>
      </c>
      <c r="B123" t="s">
        <v>1849</v>
      </c>
      <c r="C123" t="s">
        <v>1848</v>
      </c>
      <c r="D123" t="s">
        <v>1842</v>
      </c>
      <c r="E123" s="1">
        <v>45818</v>
      </c>
      <c r="F123" t="s">
        <v>9</v>
      </c>
      <c r="G123" t="s">
        <v>1841</v>
      </c>
      <c r="H123">
        <v>1</v>
      </c>
      <c r="I123">
        <v>1</v>
      </c>
      <c r="J123" t="s">
        <v>2798</v>
      </c>
      <c r="K123" t="s">
        <v>20</v>
      </c>
      <c r="L123" t="s">
        <v>1847</v>
      </c>
      <c r="M123" t="s">
        <v>1846</v>
      </c>
      <c r="N123" t="s">
        <v>291</v>
      </c>
      <c r="O123" t="s">
        <v>16</v>
      </c>
      <c r="P123" t="s">
        <v>1845</v>
      </c>
      <c r="Q123" t="s">
        <v>1844</v>
      </c>
      <c r="R123" t="s">
        <v>1843</v>
      </c>
    </row>
    <row r="124" spans="1:18">
      <c r="A124" t="s">
        <v>1763</v>
      </c>
      <c r="B124" t="s">
        <v>1760</v>
      </c>
      <c r="C124" t="s">
        <v>1762</v>
      </c>
      <c r="D124" t="s">
        <v>1842</v>
      </c>
      <c r="E124" s="1">
        <v>45847</v>
      </c>
      <c r="F124" t="s">
        <v>65</v>
      </c>
      <c r="G124" t="s">
        <v>1841</v>
      </c>
      <c r="H124">
        <v>1</v>
      </c>
      <c r="I124">
        <v>1</v>
      </c>
      <c r="J124" t="s">
        <v>65</v>
      </c>
      <c r="K124" t="s">
        <v>63</v>
      </c>
      <c r="L124" t="s">
        <v>1761</v>
      </c>
      <c r="M124" t="s">
        <v>61</v>
      </c>
      <c r="N124" t="s">
        <v>61</v>
      </c>
      <c r="O124" t="s">
        <v>16</v>
      </c>
      <c r="P124" t="s">
        <v>61</v>
      </c>
      <c r="Q124" t="s">
        <v>61</v>
      </c>
      <c r="R124" t="s">
        <v>1760</v>
      </c>
    </row>
    <row r="125" spans="1:18">
      <c r="A125" t="s">
        <v>1840</v>
      </c>
      <c r="B125" t="s">
        <v>1835</v>
      </c>
      <c r="C125" t="s">
        <v>1839</v>
      </c>
      <c r="D125" t="s">
        <v>1838</v>
      </c>
      <c r="E125" s="1">
        <v>45843</v>
      </c>
      <c r="F125" t="s">
        <v>65</v>
      </c>
      <c r="G125" t="s">
        <v>1837</v>
      </c>
      <c r="H125">
        <v>1</v>
      </c>
      <c r="I125">
        <v>1</v>
      </c>
      <c r="J125" t="s">
        <v>65</v>
      </c>
      <c r="K125" t="s">
        <v>1262</v>
      </c>
      <c r="L125" t="s">
        <v>1836</v>
      </c>
      <c r="M125" t="s">
        <v>61</v>
      </c>
      <c r="N125" t="s">
        <v>61</v>
      </c>
      <c r="O125" t="s">
        <v>16</v>
      </c>
      <c r="P125" t="s">
        <v>61</v>
      </c>
      <c r="Q125" t="s">
        <v>61</v>
      </c>
      <c r="R125" t="s">
        <v>1835</v>
      </c>
    </row>
    <row r="126" spans="1:18">
      <c r="A126" t="s">
        <v>1834</v>
      </c>
      <c r="B126" t="s">
        <v>1833</v>
      </c>
      <c r="C126" t="s">
        <v>1832</v>
      </c>
      <c r="D126" t="s">
        <v>1831</v>
      </c>
      <c r="E126" s="1">
        <v>45857</v>
      </c>
      <c r="F126" t="s">
        <v>9</v>
      </c>
      <c r="G126" t="s">
        <v>1830</v>
      </c>
      <c r="H126">
        <v>1</v>
      </c>
      <c r="I126">
        <v>1</v>
      </c>
      <c r="J126" t="s">
        <v>2798</v>
      </c>
      <c r="K126" t="s">
        <v>7</v>
      </c>
      <c r="L126" t="s">
        <v>1829</v>
      </c>
      <c r="M126" t="s">
        <v>1828</v>
      </c>
      <c r="N126" t="s">
        <v>53</v>
      </c>
      <c r="O126" t="s">
        <v>16</v>
      </c>
      <c r="P126" t="s">
        <v>141</v>
      </c>
      <c r="Q126" t="s">
        <v>1827</v>
      </c>
      <c r="R126" t="s">
        <v>1826</v>
      </c>
    </row>
    <row r="127" spans="1:18">
      <c r="A127" t="s">
        <v>1825</v>
      </c>
      <c r="B127" t="s">
        <v>1820</v>
      </c>
      <c r="C127" t="s">
        <v>1824</v>
      </c>
      <c r="D127" t="s">
        <v>1823</v>
      </c>
      <c r="E127" s="1">
        <v>45826</v>
      </c>
      <c r="F127" t="s">
        <v>65</v>
      </c>
      <c r="G127" t="s">
        <v>1822</v>
      </c>
      <c r="H127">
        <v>1</v>
      </c>
      <c r="I127">
        <v>1</v>
      </c>
      <c r="J127" t="s">
        <v>65</v>
      </c>
      <c r="K127" t="s">
        <v>112</v>
      </c>
      <c r="L127" t="s">
        <v>1821</v>
      </c>
      <c r="M127" t="s">
        <v>61</v>
      </c>
      <c r="N127" t="s">
        <v>61</v>
      </c>
      <c r="O127" t="s">
        <v>16</v>
      </c>
      <c r="P127" t="s">
        <v>61</v>
      </c>
      <c r="Q127" t="s">
        <v>61</v>
      </c>
      <c r="R127" t="s">
        <v>1820</v>
      </c>
    </row>
    <row r="128" spans="1:18">
      <c r="A128" t="s">
        <v>1819</v>
      </c>
      <c r="B128" t="s">
        <v>1591</v>
      </c>
      <c r="C128" t="s">
        <v>1590</v>
      </c>
      <c r="D128" t="s">
        <v>1818</v>
      </c>
      <c r="E128" s="1">
        <v>45824</v>
      </c>
      <c r="F128" t="s">
        <v>9</v>
      </c>
      <c r="G128" t="s">
        <v>1817</v>
      </c>
      <c r="H128">
        <v>1</v>
      </c>
      <c r="I128">
        <v>1</v>
      </c>
      <c r="J128" t="s">
        <v>2798</v>
      </c>
      <c r="K128" t="s">
        <v>20</v>
      </c>
      <c r="L128" t="s">
        <v>1589</v>
      </c>
      <c r="M128" t="s">
        <v>1816</v>
      </c>
      <c r="N128" t="s">
        <v>291</v>
      </c>
      <c r="O128" t="s">
        <v>16</v>
      </c>
      <c r="P128" t="s">
        <v>141</v>
      </c>
      <c r="Q128" t="s">
        <v>1815</v>
      </c>
      <c r="R128" t="s">
        <v>1586</v>
      </c>
    </row>
    <row r="129" spans="1:18">
      <c r="A129" t="s">
        <v>1814</v>
      </c>
      <c r="B129" t="s">
        <v>1804</v>
      </c>
      <c r="C129" t="s">
        <v>1803</v>
      </c>
      <c r="D129" t="s">
        <v>1813</v>
      </c>
      <c r="E129" s="1">
        <v>45936</v>
      </c>
      <c r="F129" t="s">
        <v>9</v>
      </c>
      <c r="G129" t="s">
        <v>1812</v>
      </c>
      <c r="H129">
        <v>1</v>
      </c>
      <c r="I129">
        <v>1</v>
      </c>
      <c r="J129" t="s">
        <v>2798</v>
      </c>
      <c r="K129" t="s">
        <v>20</v>
      </c>
      <c r="L129" t="s">
        <v>1800</v>
      </c>
      <c r="M129" t="s">
        <v>1811</v>
      </c>
      <c r="N129" t="s">
        <v>17</v>
      </c>
      <c r="O129" t="s">
        <v>16</v>
      </c>
      <c r="P129" t="s">
        <v>2</v>
      </c>
      <c r="Q129" t="s">
        <v>1810</v>
      </c>
      <c r="R129" t="s">
        <v>1797</v>
      </c>
    </row>
    <row r="130" spans="1:18">
      <c r="A130" t="s">
        <v>1809</v>
      </c>
      <c r="B130" t="s">
        <v>1806</v>
      </c>
      <c r="C130" t="s">
        <v>1808</v>
      </c>
      <c r="D130" t="s">
        <v>1802</v>
      </c>
      <c r="E130" s="1">
        <v>45904</v>
      </c>
      <c r="F130" t="s">
        <v>65</v>
      </c>
      <c r="G130" t="s">
        <v>1801</v>
      </c>
      <c r="H130">
        <v>1</v>
      </c>
      <c r="I130">
        <v>1</v>
      </c>
      <c r="J130" t="s">
        <v>65</v>
      </c>
      <c r="K130" t="s">
        <v>63</v>
      </c>
      <c r="L130" t="s">
        <v>1807</v>
      </c>
      <c r="M130" t="s">
        <v>61</v>
      </c>
      <c r="N130" t="s">
        <v>61</v>
      </c>
      <c r="O130" t="s">
        <v>16</v>
      </c>
      <c r="P130" t="s">
        <v>61</v>
      </c>
      <c r="Q130" t="s">
        <v>61</v>
      </c>
      <c r="R130" t="s">
        <v>1806</v>
      </c>
    </row>
    <row r="131" spans="1:18">
      <c r="A131" t="s">
        <v>1805</v>
      </c>
      <c r="B131" t="s">
        <v>1804</v>
      </c>
      <c r="C131" t="s">
        <v>1803</v>
      </c>
      <c r="D131" t="s">
        <v>1802</v>
      </c>
      <c r="E131" s="1">
        <v>45936</v>
      </c>
      <c r="F131" t="s">
        <v>9</v>
      </c>
      <c r="G131" t="s">
        <v>1801</v>
      </c>
      <c r="H131">
        <v>1</v>
      </c>
      <c r="I131">
        <v>1</v>
      </c>
      <c r="J131" t="s">
        <v>2798</v>
      </c>
      <c r="K131" t="s">
        <v>20</v>
      </c>
      <c r="L131" t="s">
        <v>1800</v>
      </c>
      <c r="M131" t="s">
        <v>1799</v>
      </c>
      <c r="N131" t="s">
        <v>17</v>
      </c>
      <c r="O131" t="s">
        <v>16</v>
      </c>
      <c r="P131" t="s">
        <v>2</v>
      </c>
      <c r="Q131" t="s">
        <v>1798</v>
      </c>
      <c r="R131" t="s">
        <v>1797</v>
      </c>
    </row>
    <row r="132" spans="1:18">
      <c r="A132" t="s">
        <v>1796</v>
      </c>
      <c r="B132" t="s">
        <v>1795</v>
      </c>
      <c r="C132" t="s">
        <v>1794</v>
      </c>
      <c r="D132" t="s">
        <v>1793</v>
      </c>
      <c r="E132" s="1">
        <v>45954</v>
      </c>
      <c r="F132" t="s">
        <v>9</v>
      </c>
      <c r="G132" t="s">
        <v>1792</v>
      </c>
      <c r="H132">
        <v>1</v>
      </c>
      <c r="I132">
        <v>1</v>
      </c>
      <c r="J132" t="s">
        <v>2797</v>
      </c>
      <c r="K132" t="s">
        <v>20</v>
      </c>
      <c r="L132" t="s">
        <v>1791</v>
      </c>
      <c r="M132" t="s">
        <v>1790</v>
      </c>
      <c r="N132" t="s">
        <v>17</v>
      </c>
      <c r="O132" t="s">
        <v>16</v>
      </c>
      <c r="P132" t="s">
        <v>56</v>
      </c>
      <c r="Q132" t="s">
        <v>1789</v>
      </c>
      <c r="R132" t="s">
        <v>1788</v>
      </c>
    </row>
    <row r="133" spans="1:18">
      <c r="A133" t="s">
        <v>1787</v>
      </c>
      <c r="B133" t="s">
        <v>1786</v>
      </c>
      <c r="C133" t="s">
        <v>1785</v>
      </c>
      <c r="D133" t="s">
        <v>1784</v>
      </c>
      <c r="E133" s="1">
        <v>45885</v>
      </c>
      <c r="F133" t="s">
        <v>9</v>
      </c>
      <c r="G133" t="s">
        <v>1783</v>
      </c>
      <c r="H133">
        <v>1</v>
      </c>
      <c r="I133">
        <v>1</v>
      </c>
      <c r="J133" t="s">
        <v>2798</v>
      </c>
      <c r="K133" t="s">
        <v>7</v>
      </c>
      <c r="L133" t="s">
        <v>1782</v>
      </c>
      <c r="M133" t="s">
        <v>1781</v>
      </c>
      <c r="N133" t="s">
        <v>53</v>
      </c>
      <c r="O133" t="s">
        <v>16</v>
      </c>
      <c r="P133" t="s">
        <v>141</v>
      </c>
      <c r="Q133" t="s">
        <v>1780</v>
      </c>
      <c r="R133" t="s">
        <v>1779</v>
      </c>
    </row>
    <row r="134" spans="1:18">
      <c r="A134" t="s">
        <v>1778</v>
      </c>
      <c r="B134" t="s">
        <v>1773</v>
      </c>
      <c r="C134" t="s">
        <v>1777</v>
      </c>
      <c r="D134" t="s">
        <v>1776</v>
      </c>
      <c r="E134" s="1">
        <v>45880</v>
      </c>
      <c r="F134" t="s">
        <v>65</v>
      </c>
      <c r="G134" t="s">
        <v>1775</v>
      </c>
      <c r="H134">
        <v>1</v>
      </c>
      <c r="I134">
        <v>1</v>
      </c>
      <c r="J134" t="s">
        <v>65</v>
      </c>
      <c r="K134" t="s">
        <v>112</v>
      </c>
      <c r="L134" t="s">
        <v>1774</v>
      </c>
      <c r="M134" t="s">
        <v>61</v>
      </c>
      <c r="N134" t="s">
        <v>61</v>
      </c>
      <c r="O134" t="s">
        <v>16</v>
      </c>
      <c r="P134" t="s">
        <v>61</v>
      </c>
      <c r="Q134" t="s">
        <v>61</v>
      </c>
      <c r="R134" t="s">
        <v>1773</v>
      </c>
    </row>
    <row r="135" spans="1:18">
      <c r="A135" t="s">
        <v>1772</v>
      </c>
      <c r="B135" t="s">
        <v>1771</v>
      </c>
      <c r="C135" t="s">
        <v>1770</v>
      </c>
      <c r="D135" t="s">
        <v>1769</v>
      </c>
      <c r="E135" s="1">
        <v>45898</v>
      </c>
      <c r="F135" t="s">
        <v>9</v>
      </c>
      <c r="G135" t="s">
        <v>1768</v>
      </c>
      <c r="H135">
        <v>1</v>
      </c>
      <c r="I135">
        <v>1</v>
      </c>
      <c r="J135" t="s">
        <v>2798</v>
      </c>
      <c r="K135" t="s">
        <v>7</v>
      </c>
      <c r="L135" t="s">
        <v>1767</v>
      </c>
      <c r="M135" t="s">
        <v>1766</v>
      </c>
      <c r="N135" t="s">
        <v>53</v>
      </c>
      <c r="O135" t="s">
        <v>16</v>
      </c>
      <c r="P135" t="s">
        <v>141</v>
      </c>
      <c r="Q135" t="s">
        <v>1765</v>
      </c>
      <c r="R135" t="s">
        <v>1764</v>
      </c>
    </row>
    <row r="136" spans="1:18">
      <c r="A136" t="s">
        <v>1763</v>
      </c>
      <c r="B136" t="s">
        <v>1760</v>
      </c>
      <c r="C136" t="s">
        <v>1762</v>
      </c>
      <c r="D136" t="s">
        <v>1748</v>
      </c>
      <c r="E136" s="1">
        <v>45847</v>
      </c>
      <c r="F136" t="s">
        <v>65</v>
      </c>
      <c r="G136" t="s">
        <v>1747</v>
      </c>
      <c r="H136">
        <v>1</v>
      </c>
      <c r="I136">
        <v>1</v>
      </c>
      <c r="J136" t="s">
        <v>65</v>
      </c>
      <c r="K136" t="s">
        <v>63</v>
      </c>
      <c r="L136" t="s">
        <v>1761</v>
      </c>
      <c r="M136" t="s">
        <v>61</v>
      </c>
      <c r="N136" t="s">
        <v>61</v>
      </c>
      <c r="O136" t="s">
        <v>16</v>
      </c>
      <c r="P136" t="s">
        <v>61</v>
      </c>
      <c r="Q136" t="s">
        <v>61</v>
      </c>
      <c r="R136" t="s">
        <v>1760</v>
      </c>
    </row>
    <row r="137" spans="1:18">
      <c r="A137" t="s">
        <v>1759</v>
      </c>
      <c r="B137" t="s">
        <v>1758</v>
      </c>
      <c r="C137" t="s">
        <v>1757</v>
      </c>
      <c r="D137" t="s">
        <v>1748</v>
      </c>
      <c r="E137" s="1">
        <v>45868</v>
      </c>
      <c r="F137" t="s">
        <v>9</v>
      </c>
      <c r="G137" t="s">
        <v>1747</v>
      </c>
      <c r="H137">
        <v>1</v>
      </c>
      <c r="I137">
        <v>1</v>
      </c>
      <c r="J137" t="s">
        <v>2798</v>
      </c>
      <c r="K137" t="s">
        <v>7</v>
      </c>
      <c r="L137" t="s">
        <v>1756</v>
      </c>
      <c r="M137" t="s">
        <v>1755</v>
      </c>
      <c r="N137" t="s">
        <v>53</v>
      </c>
      <c r="O137" t="s">
        <v>16</v>
      </c>
      <c r="P137" t="s">
        <v>1754</v>
      </c>
      <c r="Q137" t="s">
        <v>1753</v>
      </c>
      <c r="R137" t="s">
        <v>1752</v>
      </c>
    </row>
    <row r="138" spans="1:18">
      <c r="A138" t="s">
        <v>1751</v>
      </c>
      <c r="B138" t="s">
        <v>1750</v>
      </c>
      <c r="C138" t="s">
        <v>1749</v>
      </c>
      <c r="D138" t="s">
        <v>1748</v>
      </c>
      <c r="E138" s="1">
        <v>45927</v>
      </c>
      <c r="F138" t="s">
        <v>9</v>
      </c>
      <c r="G138" t="s">
        <v>1747</v>
      </c>
      <c r="H138">
        <v>1</v>
      </c>
      <c r="I138">
        <v>1</v>
      </c>
      <c r="J138" t="s">
        <v>2798</v>
      </c>
      <c r="K138" t="s">
        <v>7</v>
      </c>
      <c r="L138" t="s">
        <v>1746</v>
      </c>
      <c r="M138" t="s">
        <v>1745</v>
      </c>
      <c r="N138" t="s">
        <v>53</v>
      </c>
      <c r="O138" t="s">
        <v>16</v>
      </c>
      <c r="P138" t="s">
        <v>2</v>
      </c>
      <c r="Q138" t="s">
        <v>1744</v>
      </c>
      <c r="R138" t="s">
        <v>1743</v>
      </c>
    </row>
    <row r="139" spans="1:18">
      <c r="A139" t="s">
        <v>1742</v>
      </c>
      <c r="B139" t="s">
        <v>1737</v>
      </c>
      <c r="C139" t="s">
        <v>1741</v>
      </c>
      <c r="D139" t="s">
        <v>1740</v>
      </c>
      <c r="E139" s="1">
        <v>45946</v>
      </c>
      <c r="F139" t="s">
        <v>65</v>
      </c>
      <c r="G139" t="s">
        <v>1739</v>
      </c>
      <c r="H139">
        <v>1</v>
      </c>
      <c r="I139">
        <v>1</v>
      </c>
      <c r="J139" t="s">
        <v>65</v>
      </c>
      <c r="K139" t="s">
        <v>112</v>
      </c>
      <c r="L139" t="s">
        <v>1738</v>
      </c>
      <c r="M139" t="s">
        <v>61</v>
      </c>
      <c r="N139" t="s">
        <v>61</v>
      </c>
      <c r="O139" t="s">
        <v>16</v>
      </c>
      <c r="P139" t="s">
        <v>61</v>
      </c>
      <c r="Q139" t="s">
        <v>61</v>
      </c>
      <c r="R139" t="s">
        <v>1737</v>
      </c>
    </row>
    <row r="140" spans="1:18">
      <c r="A140" t="s">
        <v>1736</v>
      </c>
      <c r="B140" t="s">
        <v>1735</v>
      </c>
      <c r="C140" t="s">
        <v>1734</v>
      </c>
      <c r="D140" t="s">
        <v>1733</v>
      </c>
      <c r="E140" s="1">
        <v>45808</v>
      </c>
      <c r="F140" t="s">
        <v>9</v>
      </c>
      <c r="G140" t="s">
        <v>1732</v>
      </c>
      <c r="H140">
        <v>1</v>
      </c>
      <c r="I140">
        <v>1</v>
      </c>
      <c r="J140" t="s">
        <v>2798</v>
      </c>
      <c r="K140" t="s">
        <v>20</v>
      </c>
      <c r="L140" t="s">
        <v>1731</v>
      </c>
      <c r="M140" t="s">
        <v>1730</v>
      </c>
      <c r="N140" t="s">
        <v>291</v>
      </c>
      <c r="O140" t="s">
        <v>16</v>
      </c>
      <c r="P140" t="s">
        <v>290</v>
      </c>
      <c r="Q140" t="s">
        <v>1729</v>
      </c>
      <c r="R140" t="s">
        <v>1728</v>
      </c>
    </row>
    <row r="141" spans="1:18">
      <c r="A141" t="s">
        <v>1727</v>
      </c>
      <c r="B141" t="s">
        <v>1260</v>
      </c>
      <c r="C141" t="s">
        <v>1263</v>
      </c>
      <c r="D141" t="s">
        <v>1726</v>
      </c>
      <c r="E141" s="1">
        <v>45904</v>
      </c>
      <c r="F141" t="s">
        <v>65</v>
      </c>
      <c r="G141" t="s">
        <v>1725</v>
      </c>
      <c r="H141">
        <v>1</v>
      </c>
      <c r="I141">
        <v>1</v>
      </c>
      <c r="J141" t="s">
        <v>65</v>
      </c>
      <c r="K141" t="s">
        <v>1262</v>
      </c>
      <c r="L141" t="s">
        <v>1724</v>
      </c>
      <c r="M141" t="s">
        <v>61</v>
      </c>
      <c r="N141" t="s">
        <v>61</v>
      </c>
      <c r="O141" t="s">
        <v>16</v>
      </c>
      <c r="P141" t="s">
        <v>61</v>
      </c>
      <c r="Q141" t="s">
        <v>61</v>
      </c>
      <c r="R141" t="s">
        <v>1260</v>
      </c>
    </row>
    <row r="142" spans="1:18">
      <c r="A142" t="s">
        <v>1723</v>
      </c>
      <c r="B142" t="s">
        <v>1722</v>
      </c>
      <c r="C142" t="s">
        <v>1721</v>
      </c>
      <c r="D142" t="s">
        <v>1720</v>
      </c>
      <c r="E142" s="1">
        <v>45904</v>
      </c>
      <c r="F142" t="s">
        <v>9</v>
      </c>
      <c r="G142" t="s">
        <v>1719</v>
      </c>
      <c r="H142">
        <v>1</v>
      </c>
      <c r="I142">
        <v>1</v>
      </c>
      <c r="J142" t="s">
        <v>2798</v>
      </c>
      <c r="K142" t="s">
        <v>20</v>
      </c>
      <c r="L142" t="s">
        <v>1718</v>
      </c>
      <c r="M142" t="s">
        <v>1717</v>
      </c>
      <c r="N142" t="s">
        <v>17</v>
      </c>
      <c r="O142" t="s">
        <v>16</v>
      </c>
      <c r="P142" t="s">
        <v>141</v>
      </c>
      <c r="Q142" t="s">
        <v>1716</v>
      </c>
      <c r="R142" t="s">
        <v>1715</v>
      </c>
    </row>
    <row r="143" spans="1:18">
      <c r="A143" t="s">
        <v>1714</v>
      </c>
      <c r="B143" t="s">
        <v>1713</v>
      </c>
      <c r="C143" t="s">
        <v>1712</v>
      </c>
      <c r="D143" t="s">
        <v>1711</v>
      </c>
      <c r="E143" s="1">
        <v>45895</v>
      </c>
      <c r="F143" t="s">
        <v>9</v>
      </c>
      <c r="G143" t="s">
        <v>1710</v>
      </c>
      <c r="H143">
        <v>1</v>
      </c>
      <c r="I143">
        <v>1</v>
      </c>
      <c r="J143" t="s">
        <v>2798</v>
      </c>
      <c r="K143" t="s">
        <v>7</v>
      </c>
      <c r="L143" t="s">
        <v>1709</v>
      </c>
      <c r="M143" t="s">
        <v>1708</v>
      </c>
      <c r="N143" t="s">
        <v>53</v>
      </c>
      <c r="O143" t="s">
        <v>16</v>
      </c>
      <c r="P143" t="s">
        <v>141</v>
      </c>
      <c r="Q143" t="s">
        <v>1707</v>
      </c>
      <c r="R143" t="s">
        <v>1706</v>
      </c>
    </row>
    <row r="144" spans="1:18">
      <c r="A144" t="s">
        <v>1705</v>
      </c>
      <c r="B144" t="s">
        <v>1704</v>
      </c>
      <c r="C144" t="s">
        <v>1703</v>
      </c>
      <c r="D144" t="s">
        <v>1702</v>
      </c>
      <c r="E144" s="1">
        <v>45785</v>
      </c>
      <c r="F144" t="s">
        <v>9</v>
      </c>
      <c r="G144" t="s">
        <v>1701</v>
      </c>
      <c r="H144">
        <v>1</v>
      </c>
      <c r="I144">
        <v>1</v>
      </c>
      <c r="J144" t="s">
        <v>2798</v>
      </c>
      <c r="K144" t="s">
        <v>7</v>
      </c>
      <c r="L144" t="s">
        <v>1700</v>
      </c>
      <c r="M144" t="s">
        <v>1699</v>
      </c>
      <c r="N144" t="s">
        <v>53</v>
      </c>
      <c r="O144" t="s">
        <v>16</v>
      </c>
      <c r="P144" t="s">
        <v>1698</v>
      </c>
      <c r="Q144" t="s">
        <v>1697</v>
      </c>
      <c r="R144" t="s">
        <v>1696</v>
      </c>
    </row>
    <row r="145" spans="1:18">
      <c r="A145" t="s">
        <v>1695</v>
      </c>
      <c r="B145" t="s">
        <v>1694</v>
      </c>
      <c r="C145" t="s">
        <v>1693</v>
      </c>
      <c r="D145" t="s">
        <v>1692</v>
      </c>
      <c r="E145" s="1">
        <v>45897</v>
      </c>
      <c r="F145" t="s">
        <v>9</v>
      </c>
      <c r="G145" t="s">
        <v>1691</v>
      </c>
      <c r="H145">
        <v>1</v>
      </c>
      <c r="I145">
        <v>1</v>
      </c>
      <c r="J145" t="s">
        <v>2797</v>
      </c>
      <c r="K145" t="s">
        <v>7</v>
      </c>
      <c r="L145" t="s">
        <v>1690</v>
      </c>
      <c r="M145" t="s">
        <v>1689</v>
      </c>
      <c r="N145" t="s">
        <v>53</v>
      </c>
      <c r="O145" t="s">
        <v>16</v>
      </c>
      <c r="P145" t="s">
        <v>1688</v>
      </c>
      <c r="Q145" t="s">
        <v>1687</v>
      </c>
      <c r="R145" t="s">
        <v>1686</v>
      </c>
    </row>
    <row r="146" spans="1:18">
      <c r="A146" t="s">
        <v>1685</v>
      </c>
      <c r="B146" t="s">
        <v>1684</v>
      </c>
      <c r="C146" t="s">
        <v>1683</v>
      </c>
      <c r="D146" t="s">
        <v>1682</v>
      </c>
      <c r="E146" s="1">
        <v>45944</v>
      </c>
      <c r="F146" t="s">
        <v>9</v>
      </c>
      <c r="G146" t="s">
        <v>1681</v>
      </c>
      <c r="H146">
        <v>1</v>
      </c>
      <c r="I146">
        <v>1</v>
      </c>
      <c r="J146" t="s">
        <v>2798</v>
      </c>
      <c r="K146" t="s">
        <v>7</v>
      </c>
      <c r="L146" t="s">
        <v>1680</v>
      </c>
      <c r="M146" t="s">
        <v>1679</v>
      </c>
      <c r="N146" t="s">
        <v>53</v>
      </c>
      <c r="O146" t="s">
        <v>16</v>
      </c>
      <c r="P146" t="s">
        <v>2</v>
      </c>
      <c r="Q146" t="s">
        <v>1678</v>
      </c>
      <c r="R146" t="s">
        <v>1677</v>
      </c>
    </row>
    <row r="147" spans="1:18">
      <c r="A147" t="s">
        <v>1676</v>
      </c>
      <c r="B147" t="s">
        <v>1675</v>
      </c>
      <c r="C147" t="s">
        <v>1674</v>
      </c>
      <c r="D147" t="s">
        <v>1673</v>
      </c>
      <c r="E147" s="1">
        <v>45945</v>
      </c>
      <c r="F147" t="s">
        <v>9</v>
      </c>
      <c r="G147" t="s">
        <v>1672</v>
      </c>
      <c r="H147">
        <v>1</v>
      </c>
      <c r="I147">
        <v>1</v>
      </c>
      <c r="J147" t="s">
        <v>2798</v>
      </c>
      <c r="K147" t="s">
        <v>7</v>
      </c>
      <c r="L147" t="s">
        <v>1671</v>
      </c>
      <c r="M147" t="s">
        <v>1670</v>
      </c>
      <c r="N147" t="s">
        <v>53</v>
      </c>
      <c r="O147" t="s">
        <v>16</v>
      </c>
      <c r="P147" t="s">
        <v>2</v>
      </c>
      <c r="Q147" t="s">
        <v>1669</v>
      </c>
      <c r="R147" t="s">
        <v>1668</v>
      </c>
    </row>
    <row r="148" spans="1:18">
      <c r="A148" t="s">
        <v>1667</v>
      </c>
      <c r="B148" t="s">
        <v>1666</v>
      </c>
      <c r="C148" t="s">
        <v>1665</v>
      </c>
      <c r="D148" t="s">
        <v>1664</v>
      </c>
      <c r="E148" s="1">
        <v>45913</v>
      </c>
      <c r="F148" t="s">
        <v>9</v>
      </c>
      <c r="G148" t="s">
        <v>1663</v>
      </c>
      <c r="H148">
        <v>1</v>
      </c>
      <c r="I148">
        <v>1</v>
      </c>
      <c r="J148" t="s">
        <v>2798</v>
      </c>
      <c r="K148" t="s">
        <v>20</v>
      </c>
      <c r="L148" t="s">
        <v>1662</v>
      </c>
      <c r="M148" t="s">
        <v>1661</v>
      </c>
      <c r="N148" t="s">
        <v>17</v>
      </c>
      <c r="O148" t="s">
        <v>16</v>
      </c>
      <c r="P148" t="s">
        <v>141</v>
      </c>
      <c r="Q148" t="s">
        <v>1660</v>
      </c>
      <c r="R148" t="s">
        <v>1659</v>
      </c>
    </row>
    <row r="149" spans="1:18">
      <c r="A149" t="s">
        <v>1658</v>
      </c>
      <c r="B149" t="s">
        <v>1657</v>
      </c>
      <c r="C149" t="s">
        <v>1656</v>
      </c>
      <c r="D149" t="s">
        <v>1655</v>
      </c>
      <c r="E149" s="1">
        <v>45825</v>
      </c>
      <c r="F149" t="s">
        <v>9</v>
      </c>
      <c r="G149" t="s">
        <v>1654</v>
      </c>
      <c r="H149">
        <v>1</v>
      </c>
      <c r="I149">
        <v>1</v>
      </c>
      <c r="J149" t="s">
        <v>2798</v>
      </c>
      <c r="K149" t="s">
        <v>7</v>
      </c>
      <c r="L149" t="s">
        <v>1653</v>
      </c>
      <c r="M149" t="s">
        <v>1652</v>
      </c>
      <c r="N149" t="s">
        <v>53</v>
      </c>
      <c r="O149" t="s">
        <v>16</v>
      </c>
      <c r="P149" t="s">
        <v>141</v>
      </c>
      <c r="Q149" t="s">
        <v>1651</v>
      </c>
      <c r="R149" t="s">
        <v>1650</v>
      </c>
    </row>
    <row r="150" spans="1:18">
      <c r="A150" t="s">
        <v>1649</v>
      </c>
      <c r="B150" t="s">
        <v>1648</v>
      </c>
      <c r="C150" t="s">
        <v>1647</v>
      </c>
      <c r="D150" t="s">
        <v>1638</v>
      </c>
      <c r="E150" s="1">
        <v>45841</v>
      </c>
      <c r="F150" t="s">
        <v>9</v>
      </c>
      <c r="G150" t="s">
        <v>1637</v>
      </c>
      <c r="H150">
        <v>1</v>
      </c>
      <c r="I150">
        <v>1</v>
      </c>
      <c r="J150" t="s">
        <v>2797</v>
      </c>
      <c r="K150" t="s">
        <v>20</v>
      </c>
      <c r="L150" t="s">
        <v>1646</v>
      </c>
      <c r="M150" t="s">
        <v>1645</v>
      </c>
      <c r="N150" t="s">
        <v>17</v>
      </c>
      <c r="O150" t="s">
        <v>16</v>
      </c>
      <c r="P150" t="s">
        <v>1644</v>
      </c>
      <c r="Q150" t="s">
        <v>1643</v>
      </c>
      <c r="R150" t="s">
        <v>1642</v>
      </c>
    </row>
    <row r="151" spans="1:18">
      <c r="A151" t="s">
        <v>1641</v>
      </c>
      <c r="B151" t="s">
        <v>1640</v>
      </c>
      <c r="C151" t="s">
        <v>1639</v>
      </c>
      <c r="D151" t="s">
        <v>1638</v>
      </c>
      <c r="E151" s="1">
        <v>45953</v>
      </c>
      <c r="F151" t="s">
        <v>9</v>
      </c>
      <c r="G151" t="s">
        <v>1637</v>
      </c>
      <c r="H151">
        <v>1</v>
      </c>
      <c r="I151">
        <v>1</v>
      </c>
      <c r="J151" t="s">
        <v>2798</v>
      </c>
      <c r="K151" t="s">
        <v>20</v>
      </c>
      <c r="L151" t="s">
        <v>1636</v>
      </c>
      <c r="M151" t="s">
        <v>1635</v>
      </c>
      <c r="N151" t="s">
        <v>35</v>
      </c>
      <c r="O151" t="s">
        <v>3</v>
      </c>
      <c r="P151" t="s">
        <v>1634</v>
      </c>
      <c r="Q151" t="s">
        <v>1633</v>
      </c>
      <c r="R151" t="s">
        <v>1632</v>
      </c>
    </row>
    <row r="152" spans="1:18">
      <c r="A152" t="s">
        <v>1631</v>
      </c>
      <c r="B152" t="s">
        <v>1630</v>
      </c>
      <c r="C152" t="s">
        <v>1629</v>
      </c>
      <c r="D152" t="s">
        <v>1628</v>
      </c>
      <c r="E152" s="1">
        <v>45862</v>
      </c>
      <c r="F152" t="s">
        <v>9</v>
      </c>
      <c r="G152" t="s">
        <v>1627</v>
      </c>
      <c r="H152">
        <v>1</v>
      </c>
      <c r="I152">
        <v>1</v>
      </c>
      <c r="J152" t="s">
        <v>2798</v>
      </c>
      <c r="K152" t="s">
        <v>7</v>
      </c>
      <c r="L152" t="s">
        <v>1626</v>
      </c>
      <c r="M152" t="s">
        <v>1625</v>
      </c>
      <c r="N152" t="s">
        <v>1624</v>
      </c>
      <c r="O152" t="s">
        <v>16</v>
      </c>
      <c r="P152" t="s">
        <v>1623</v>
      </c>
      <c r="Q152" t="s">
        <v>1622</v>
      </c>
      <c r="R152" t="s">
        <v>1621</v>
      </c>
    </row>
    <row r="153" spans="1:18">
      <c r="A153" t="s">
        <v>1620</v>
      </c>
      <c r="B153" t="s">
        <v>1619</v>
      </c>
      <c r="C153" t="s">
        <v>1618</v>
      </c>
      <c r="D153" t="s">
        <v>1617</v>
      </c>
      <c r="E153" s="1">
        <v>45899</v>
      </c>
      <c r="F153" t="s">
        <v>9</v>
      </c>
      <c r="G153" t="s">
        <v>1616</v>
      </c>
      <c r="H153">
        <v>1</v>
      </c>
      <c r="I153">
        <v>1</v>
      </c>
      <c r="J153" t="s">
        <v>2798</v>
      </c>
      <c r="K153" t="s">
        <v>20</v>
      </c>
      <c r="L153" t="s">
        <v>1615</v>
      </c>
      <c r="M153" t="s">
        <v>1614</v>
      </c>
      <c r="N153" t="s">
        <v>17</v>
      </c>
      <c r="O153" t="s">
        <v>16</v>
      </c>
      <c r="P153" t="s">
        <v>141</v>
      </c>
      <c r="Q153" t="s">
        <v>1613</v>
      </c>
      <c r="R153" t="s">
        <v>1612</v>
      </c>
    </row>
    <row r="154" spans="1:18">
      <c r="A154" t="s">
        <v>1611</v>
      </c>
      <c r="B154" t="s">
        <v>1610</v>
      </c>
      <c r="C154" t="s">
        <v>1609</v>
      </c>
      <c r="D154" t="s">
        <v>1608</v>
      </c>
      <c r="E154" s="1">
        <v>45955</v>
      </c>
      <c r="F154" t="s">
        <v>9</v>
      </c>
      <c r="G154" t="s">
        <v>1607</v>
      </c>
      <c r="H154">
        <v>1</v>
      </c>
      <c r="I154">
        <v>1</v>
      </c>
      <c r="J154" t="s">
        <v>1606</v>
      </c>
      <c r="K154" t="s">
        <v>20</v>
      </c>
      <c r="L154" t="s">
        <v>1605</v>
      </c>
      <c r="M154" t="s">
        <v>1604</v>
      </c>
      <c r="N154" t="s">
        <v>152</v>
      </c>
      <c r="O154" t="s">
        <v>3</v>
      </c>
      <c r="P154" t="s">
        <v>373</v>
      </c>
      <c r="Q154" t="s">
        <v>1603</v>
      </c>
      <c r="R154" t="s">
        <v>1602</v>
      </c>
    </row>
    <row r="155" spans="1:18">
      <c r="A155" t="s">
        <v>1601</v>
      </c>
      <c r="B155" t="s">
        <v>1600</v>
      </c>
      <c r="C155" t="s">
        <v>1599</v>
      </c>
      <c r="D155" t="s">
        <v>1598</v>
      </c>
      <c r="E155" s="1">
        <v>45819</v>
      </c>
      <c r="F155" t="s">
        <v>9</v>
      </c>
      <c r="G155" t="s">
        <v>1597</v>
      </c>
      <c r="H155">
        <v>1</v>
      </c>
      <c r="I155">
        <v>1</v>
      </c>
      <c r="J155" t="s">
        <v>2798</v>
      </c>
      <c r="K155" t="s">
        <v>7</v>
      </c>
      <c r="L155" t="s">
        <v>1596</v>
      </c>
      <c r="M155" t="s">
        <v>1595</v>
      </c>
      <c r="N155" t="s">
        <v>53</v>
      </c>
      <c r="O155" t="s">
        <v>16</v>
      </c>
      <c r="P155" t="s">
        <v>141</v>
      </c>
      <c r="Q155" t="s">
        <v>1594</v>
      </c>
      <c r="R155" t="s">
        <v>1593</v>
      </c>
    </row>
    <row r="156" spans="1:18">
      <c r="A156" t="s">
        <v>1592</v>
      </c>
      <c r="B156" t="s">
        <v>1591</v>
      </c>
      <c r="C156" t="s">
        <v>1590</v>
      </c>
      <c r="D156" t="s">
        <v>1582</v>
      </c>
      <c r="E156" s="1">
        <v>45824</v>
      </c>
      <c r="F156" t="s">
        <v>9</v>
      </c>
      <c r="G156" t="s">
        <v>1581</v>
      </c>
      <c r="H156">
        <v>1</v>
      </c>
      <c r="I156">
        <v>1</v>
      </c>
      <c r="J156" t="s">
        <v>2798</v>
      </c>
      <c r="K156" t="s">
        <v>20</v>
      </c>
      <c r="L156" t="s">
        <v>1589</v>
      </c>
      <c r="M156" t="s">
        <v>1588</v>
      </c>
      <c r="N156" t="s">
        <v>291</v>
      </c>
      <c r="O156" t="s">
        <v>16</v>
      </c>
      <c r="P156" t="s">
        <v>141</v>
      </c>
      <c r="Q156" t="s">
        <v>1587</v>
      </c>
      <c r="R156" t="s">
        <v>1586</v>
      </c>
    </row>
    <row r="157" spans="1:18">
      <c r="A157" t="s">
        <v>1585</v>
      </c>
      <c r="B157" t="s">
        <v>1584</v>
      </c>
      <c r="C157" t="s">
        <v>1583</v>
      </c>
      <c r="D157" t="s">
        <v>1582</v>
      </c>
      <c r="E157" s="1">
        <v>45954</v>
      </c>
      <c r="F157" t="s">
        <v>9</v>
      </c>
      <c r="G157" t="s">
        <v>1581</v>
      </c>
      <c r="H157">
        <v>1</v>
      </c>
      <c r="I157">
        <v>1</v>
      </c>
      <c r="J157" t="s">
        <v>249</v>
      </c>
      <c r="K157" t="s">
        <v>20</v>
      </c>
      <c r="L157" t="s">
        <v>1580</v>
      </c>
      <c r="M157" t="s">
        <v>1579</v>
      </c>
      <c r="N157" t="s">
        <v>17</v>
      </c>
      <c r="O157" t="s">
        <v>16</v>
      </c>
      <c r="P157" t="s">
        <v>1578</v>
      </c>
      <c r="Q157" t="s">
        <v>1577</v>
      </c>
      <c r="R157" t="s">
        <v>1576</v>
      </c>
    </row>
    <row r="158" spans="1:18">
      <c r="A158" t="s">
        <v>1575</v>
      </c>
      <c r="B158" t="s">
        <v>1574</v>
      </c>
      <c r="C158" t="s">
        <v>1573</v>
      </c>
      <c r="D158" t="s">
        <v>1572</v>
      </c>
      <c r="E158" s="1">
        <v>45852</v>
      </c>
      <c r="F158" t="s">
        <v>9</v>
      </c>
      <c r="G158" t="s">
        <v>1571</v>
      </c>
      <c r="H158">
        <v>1</v>
      </c>
      <c r="I158">
        <v>1</v>
      </c>
      <c r="J158" t="s">
        <v>2797</v>
      </c>
      <c r="K158" t="s">
        <v>20</v>
      </c>
      <c r="L158" t="s">
        <v>1570</v>
      </c>
      <c r="M158" t="s">
        <v>1569</v>
      </c>
      <c r="N158" t="s">
        <v>17</v>
      </c>
      <c r="O158" t="s">
        <v>16</v>
      </c>
      <c r="P158" t="s">
        <v>151</v>
      </c>
      <c r="Q158" t="s">
        <v>1568</v>
      </c>
      <c r="R158" t="s">
        <v>1567</v>
      </c>
    </row>
    <row r="159" spans="1:18">
      <c r="A159" t="s">
        <v>1566</v>
      </c>
      <c r="B159" t="s">
        <v>1565</v>
      </c>
      <c r="C159" t="s">
        <v>1564</v>
      </c>
      <c r="D159" t="s">
        <v>1563</v>
      </c>
      <c r="E159" s="1">
        <v>45842</v>
      </c>
      <c r="F159" t="s">
        <v>9</v>
      </c>
      <c r="G159" t="s">
        <v>1562</v>
      </c>
      <c r="H159">
        <v>1</v>
      </c>
      <c r="I159">
        <v>1</v>
      </c>
      <c r="J159" t="s">
        <v>2798</v>
      </c>
      <c r="K159" t="s">
        <v>20</v>
      </c>
      <c r="L159" t="s">
        <v>1561</v>
      </c>
      <c r="M159" t="s">
        <v>1560</v>
      </c>
      <c r="N159" t="s">
        <v>17</v>
      </c>
      <c r="O159" t="s">
        <v>16</v>
      </c>
      <c r="P159" t="s">
        <v>110</v>
      </c>
      <c r="Q159" t="s">
        <v>1559</v>
      </c>
      <c r="R159" t="s">
        <v>1558</v>
      </c>
    </row>
    <row r="160" spans="1:18">
      <c r="A160" t="s">
        <v>1557</v>
      </c>
      <c r="B160" t="s">
        <v>1556</v>
      </c>
      <c r="C160" t="s">
        <v>1555</v>
      </c>
      <c r="D160" t="s">
        <v>1554</v>
      </c>
      <c r="E160" s="1">
        <v>45800</v>
      </c>
      <c r="F160" t="s">
        <v>9</v>
      </c>
      <c r="G160" t="s">
        <v>1553</v>
      </c>
      <c r="H160">
        <v>1</v>
      </c>
      <c r="I160">
        <v>1</v>
      </c>
      <c r="J160" t="s">
        <v>2798</v>
      </c>
      <c r="K160" t="s">
        <v>20</v>
      </c>
      <c r="L160" t="s">
        <v>1552</v>
      </c>
      <c r="M160" t="s">
        <v>1551</v>
      </c>
      <c r="N160" t="s">
        <v>291</v>
      </c>
      <c r="O160" t="s">
        <v>16</v>
      </c>
      <c r="P160" t="s">
        <v>141</v>
      </c>
      <c r="Q160" t="s">
        <v>1550</v>
      </c>
      <c r="R160" t="s">
        <v>1549</v>
      </c>
    </row>
    <row r="161" spans="1:18">
      <c r="A161" t="s">
        <v>1548</v>
      </c>
      <c r="B161" t="s">
        <v>1547</v>
      </c>
      <c r="C161" t="s">
        <v>1546</v>
      </c>
      <c r="D161" t="s">
        <v>1545</v>
      </c>
      <c r="E161" s="1">
        <v>45945</v>
      </c>
      <c r="F161" t="s">
        <v>9</v>
      </c>
      <c r="G161" t="s">
        <v>1544</v>
      </c>
      <c r="H161">
        <v>1</v>
      </c>
      <c r="I161">
        <v>1</v>
      </c>
      <c r="J161" t="s">
        <v>2797</v>
      </c>
      <c r="K161" t="s">
        <v>20</v>
      </c>
      <c r="L161" t="s">
        <v>1543</v>
      </c>
      <c r="M161" t="s">
        <v>1542</v>
      </c>
      <c r="N161" t="s">
        <v>17</v>
      </c>
      <c r="O161" t="s">
        <v>16</v>
      </c>
      <c r="P161" t="s">
        <v>151</v>
      </c>
      <c r="Q161" t="s">
        <v>1541</v>
      </c>
      <c r="R161" t="s">
        <v>1540</v>
      </c>
    </row>
    <row r="162" spans="1:18">
      <c r="A162" t="s">
        <v>1539</v>
      </c>
      <c r="B162" t="s">
        <v>1538</v>
      </c>
      <c r="C162" t="s">
        <v>1537</v>
      </c>
      <c r="D162" t="s">
        <v>1536</v>
      </c>
      <c r="E162" s="1">
        <v>45927</v>
      </c>
      <c r="F162" t="s">
        <v>9</v>
      </c>
      <c r="G162" t="s">
        <v>1535</v>
      </c>
      <c r="H162">
        <v>1</v>
      </c>
      <c r="I162">
        <v>1</v>
      </c>
      <c r="J162" t="s">
        <v>2798</v>
      </c>
      <c r="K162" t="s">
        <v>7</v>
      </c>
      <c r="L162" t="s">
        <v>1534</v>
      </c>
      <c r="M162" t="s">
        <v>1533</v>
      </c>
      <c r="N162" t="s">
        <v>53</v>
      </c>
      <c r="O162" t="s">
        <v>16</v>
      </c>
      <c r="P162" t="s">
        <v>2</v>
      </c>
      <c r="Q162" t="s">
        <v>1532</v>
      </c>
      <c r="R162" t="s">
        <v>1531</v>
      </c>
    </row>
    <row r="163" spans="1:18">
      <c r="A163" t="s">
        <v>1530</v>
      </c>
      <c r="B163" t="s">
        <v>1529</v>
      </c>
      <c r="C163" t="s">
        <v>1528</v>
      </c>
      <c r="D163" t="s">
        <v>1527</v>
      </c>
      <c r="E163" s="1">
        <v>45937</v>
      </c>
      <c r="F163" t="s">
        <v>9</v>
      </c>
      <c r="G163" t="s">
        <v>1526</v>
      </c>
      <c r="H163">
        <v>1</v>
      </c>
      <c r="I163">
        <v>1</v>
      </c>
      <c r="J163" t="s">
        <v>2798</v>
      </c>
      <c r="K163" t="s">
        <v>7</v>
      </c>
      <c r="L163" t="s">
        <v>1525</v>
      </c>
      <c r="M163" t="s">
        <v>1524</v>
      </c>
      <c r="N163" t="s">
        <v>53</v>
      </c>
      <c r="O163" t="s">
        <v>16</v>
      </c>
      <c r="P163" t="s">
        <v>2</v>
      </c>
      <c r="Q163" t="s">
        <v>1523</v>
      </c>
      <c r="R163" t="s">
        <v>1522</v>
      </c>
    </row>
    <row r="164" spans="1:18">
      <c r="A164" t="s">
        <v>1521</v>
      </c>
      <c r="B164" t="s">
        <v>1520</v>
      </c>
      <c r="C164" t="s">
        <v>1519</v>
      </c>
      <c r="D164" t="s">
        <v>1518</v>
      </c>
      <c r="E164" s="1">
        <v>45889</v>
      </c>
      <c r="F164" t="s">
        <v>9</v>
      </c>
      <c r="G164" t="s">
        <v>1517</v>
      </c>
      <c r="H164">
        <v>1</v>
      </c>
      <c r="I164">
        <v>1</v>
      </c>
      <c r="J164" t="s">
        <v>249</v>
      </c>
      <c r="K164" t="s">
        <v>7</v>
      </c>
      <c r="L164" t="s">
        <v>1516</v>
      </c>
      <c r="M164" t="s">
        <v>1515</v>
      </c>
      <c r="N164" t="s">
        <v>53</v>
      </c>
      <c r="O164" t="s">
        <v>16</v>
      </c>
      <c r="P164" t="s">
        <v>415</v>
      </c>
      <c r="Q164" t="s">
        <v>1514</v>
      </c>
      <c r="R164" t="s">
        <v>1513</v>
      </c>
    </row>
    <row r="165" spans="1:18">
      <c r="A165" t="s">
        <v>1512</v>
      </c>
      <c r="B165" t="s">
        <v>1511</v>
      </c>
      <c r="C165" t="s">
        <v>1510</v>
      </c>
      <c r="D165" t="s">
        <v>1501</v>
      </c>
      <c r="E165" s="1">
        <v>45933</v>
      </c>
      <c r="F165" t="s">
        <v>9</v>
      </c>
      <c r="G165" t="s">
        <v>1500</v>
      </c>
      <c r="H165">
        <v>1</v>
      </c>
      <c r="I165">
        <v>1</v>
      </c>
      <c r="J165" t="s">
        <v>2798</v>
      </c>
      <c r="K165" t="s">
        <v>20</v>
      </c>
      <c r="L165" t="s">
        <v>1509</v>
      </c>
      <c r="M165" t="s">
        <v>1508</v>
      </c>
      <c r="N165" t="s">
        <v>17</v>
      </c>
      <c r="O165" t="s">
        <v>16</v>
      </c>
      <c r="P165" t="s">
        <v>1507</v>
      </c>
      <c r="Q165" t="s">
        <v>1506</v>
      </c>
      <c r="R165" t="s">
        <v>1505</v>
      </c>
    </row>
    <row r="166" spans="1:18">
      <c r="A166" t="s">
        <v>1504</v>
      </c>
      <c r="B166" t="s">
        <v>1503</v>
      </c>
      <c r="C166" t="s">
        <v>1502</v>
      </c>
      <c r="D166" t="s">
        <v>1501</v>
      </c>
      <c r="E166" s="1">
        <v>45954</v>
      </c>
      <c r="F166" t="s">
        <v>9</v>
      </c>
      <c r="G166" t="s">
        <v>1500</v>
      </c>
      <c r="H166">
        <v>1</v>
      </c>
      <c r="I166">
        <v>1</v>
      </c>
      <c r="J166" t="s">
        <v>2798</v>
      </c>
      <c r="K166" t="s">
        <v>20</v>
      </c>
      <c r="L166" t="s">
        <v>1499</v>
      </c>
      <c r="M166" t="s">
        <v>1498</v>
      </c>
      <c r="N166" t="s">
        <v>17</v>
      </c>
      <c r="O166" t="s">
        <v>16</v>
      </c>
      <c r="P166" t="s">
        <v>2</v>
      </c>
      <c r="Q166" t="s">
        <v>1497</v>
      </c>
      <c r="R166" t="s">
        <v>1496</v>
      </c>
    </row>
    <row r="167" spans="1:18">
      <c r="A167" t="s">
        <v>1495</v>
      </c>
      <c r="B167" t="s">
        <v>1494</v>
      </c>
      <c r="C167" t="s">
        <v>1493</v>
      </c>
      <c r="D167" t="s">
        <v>1484</v>
      </c>
      <c r="E167" s="1">
        <v>45929</v>
      </c>
      <c r="F167" t="s">
        <v>9</v>
      </c>
      <c r="G167" t="s">
        <v>1483</v>
      </c>
      <c r="H167">
        <v>1</v>
      </c>
      <c r="I167">
        <v>1</v>
      </c>
      <c r="J167" t="s">
        <v>2798</v>
      </c>
      <c r="K167" t="s">
        <v>20</v>
      </c>
      <c r="L167" t="s">
        <v>1492</v>
      </c>
      <c r="M167" t="s">
        <v>1491</v>
      </c>
      <c r="N167" t="s">
        <v>17</v>
      </c>
      <c r="O167" t="s">
        <v>16</v>
      </c>
      <c r="P167" t="s">
        <v>1490</v>
      </c>
      <c r="Q167" t="s">
        <v>1489</v>
      </c>
      <c r="R167" t="s">
        <v>1488</v>
      </c>
    </row>
    <row r="168" spans="1:18">
      <c r="A168" t="s">
        <v>1487</v>
      </c>
      <c r="B168" t="s">
        <v>1486</v>
      </c>
      <c r="C168" t="s">
        <v>1485</v>
      </c>
      <c r="D168" t="s">
        <v>1484</v>
      </c>
      <c r="E168" s="1">
        <v>45943</v>
      </c>
      <c r="F168" t="s">
        <v>9</v>
      </c>
      <c r="G168" t="s">
        <v>1483</v>
      </c>
      <c r="H168">
        <v>1</v>
      </c>
      <c r="I168">
        <v>1</v>
      </c>
      <c r="J168" t="s">
        <v>2798</v>
      </c>
      <c r="K168" t="s">
        <v>7</v>
      </c>
      <c r="L168" t="s">
        <v>1482</v>
      </c>
      <c r="M168" t="s">
        <v>1481</v>
      </c>
      <c r="N168" t="s">
        <v>53</v>
      </c>
      <c r="O168" t="s">
        <v>16</v>
      </c>
      <c r="P168" t="s">
        <v>2</v>
      </c>
      <c r="Q168" t="s">
        <v>1480</v>
      </c>
      <c r="R168" t="s">
        <v>1479</v>
      </c>
    </row>
    <row r="169" spans="1:18">
      <c r="A169" t="s">
        <v>1478</v>
      </c>
      <c r="B169" t="s">
        <v>1477</v>
      </c>
      <c r="C169" t="s">
        <v>1476</v>
      </c>
      <c r="D169" t="s">
        <v>1475</v>
      </c>
      <c r="E169" s="1">
        <v>45903</v>
      </c>
      <c r="F169" t="s">
        <v>9</v>
      </c>
      <c r="G169" t="s">
        <v>1474</v>
      </c>
      <c r="H169">
        <v>1</v>
      </c>
      <c r="I169">
        <v>1</v>
      </c>
      <c r="J169" t="s">
        <v>2798</v>
      </c>
      <c r="K169" t="s">
        <v>7</v>
      </c>
      <c r="L169" t="s">
        <v>1473</v>
      </c>
      <c r="M169" t="s">
        <v>1472</v>
      </c>
      <c r="N169" t="s">
        <v>53</v>
      </c>
      <c r="O169" t="s">
        <v>16</v>
      </c>
      <c r="P169" t="s">
        <v>141</v>
      </c>
      <c r="Q169" t="s">
        <v>1471</v>
      </c>
      <c r="R169" t="s">
        <v>1470</v>
      </c>
    </row>
    <row r="170" spans="1:18">
      <c r="A170" t="s">
        <v>1469</v>
      </c>
      <c r="B170" t="s">
        <v>1468</v>
      </c>
      <c r="C170" t="s">
        <v>1467</v>
      </c>
      <c r="D170" t="s">
        <v>1466</v>
      </c>
      <c r="E170" s="1">
        <v>45903</v>
      </c>
      <c r="F170" t="s">
        <v>9</v>
      </c>
      <c r="G170" t="s">
        <v>1465</v>
      </c>
      <c r="H170">
        <v>1</v>
      </c>
      <c r="I170">
        <v>1</v>
      </c>
      <c r="J170" t="s">
        <v>2798</v>
      </c>
      <c r="K170" t="s">
        <v>7</v>
      </c>
      <c r="L170" t="s">
        <v>1464</v>
      </c>
      <c r="M170" t="s">
        <v>1463</v>
      </c>
      <c r="N170" t="s">
        <v>53</v>
      </c>
      <c r="O170" t="s">
        <v>16</v>
      </c>
      <c r="P170" t="s">
        <v>1462</v>
      </c>
      <c r="Q170" t="s">
        <v>1461</v>
      </c>
      <c r="R170" t="s">
        <v>1460</v>
      </c>
    </row>
    <row r="171" spans="1:18">
      <c r="A171" t="s">
        <v>1459</v>
      </c>
      <c r="B171" t="s">
        <v>1458</v>
      </c>
      <c r="C171" t="s">
        <v>1457</v>
      </c>
      <c r="D171" t="s">
        <v>1442</v>
      </c>
      <c r="E171" s="1">
        <v>45894</v>
      </c>
      <c r="F171" t="s">
        <v>9</v>
      </c>
      <c r="G171" t="s">
        <v>1441</v>
      </c>
      <c r="H171">
        <v>1</v>
      </c>
      <c r="I171">
        <v>1</v>
      </c>
      <c r="J171" t="s">
        <v>2797</v>
      </c>
      <c r="K171" t="s">
        <v>7</v>
      </c>
      <c r="L171" t="s">
        <v>1456</v>
      </c>
      <c r="M171" t="s">
        <v>1455</v>
      </c>
      <c r="N171" t="s">
        <v>53</v>
      </c>
      <c r="O171" t="s">
        <v>16</v>
      </c>
      <c r="P171" t="s">
        <v>1454</v>
      </c>
      <c r="Q171" t="s">
        <v>1453</v>
      </c>
      <c r="R171" t="s">
        <v>1452</v>
      </c>
    </row>
    <row r="172" spans="1:18">
      <c r="A172" t="s">
        <v>1451</v>
      </c>
      <c r="B172" t="s">
        <v>1450</v>
      </c>
      <c r="C172" t="s">
        <v>1449</v>
      </c>
      <c r="D172" t="s">
        <v>1442</v>
      </c>
      <c r="E172" s="1">
        <v>45958</v>
      </c>
      <c r="F172" t="s">
        <v>9</v>
      </c>
      <c r="G172" t="s">
        <v>1441</v>
      </c>
      <c r="H172">
        <v>1</v>
      </c>
      <c r="I172">
        <v>1</v>
      </c>
      <c r="J172" t="s">
        <v>2798</v>
      </c>
      <c r="K172" t="s">
        <v>20</v>
      </c>
      <c r="L172" t="s">
        <v>1448</v>
      </c>
      <c r="M172" t="s">
        <v>1447</v>
      </c>
      <c r="N172" t="s">
        <v>17</v>
      </c>
      <c r="O172" t="s">
        <v>16</v>
      </c>
      <c r="P172" t="s">
        <v>2</v>
      </c>
      <c r="Q172" t="s">
        <v>1446</v>
      </c>
      <c r="R172" t="s">
        <v>1445</v>
      </c>
    </row>
    <row r="173" spans="1:18">
      <c r="A173" t="s">
        <v>1444</v>
      </c>
      <c r="B173" t="s">
        <v>1439</v>
      </c>
      <c r="C173" t="s">
        <v>1443</v>
      </c>
      <c r="D173" t="s">
        <v>1442</v>
      </c>
      <c r="E173" s="1">
        <v>45955</v>
      </c>
      <c r="F173" t="s">
        <v>65</v>
      </c>
      <c r="G173" t="s">
        <v>1441</v>
      </c>
      <c r="H173">
        <v>1</v>
      </c>
      <c r="I173">
        <v>1</v>
      </c>
      <c r="J173" t="s">
        <v>65</v>
      </c>
      <c r="K173" t="s">
        <v>112</v>
      </c>
      <c r="L173" t="s">
        <v>1440</v>
      </c>
      <c r="M173" t="s">
        <v>61</v>
      </c>
      <c r="N173" t="s">
        <v>61</v>
      </c>
      <c r="O173" t="s">
        <v>80</v>
      </c>
      <c r="P173" t="s">
        <v>61</v>
      </c>
      <c r="Q173" t="s">
        <v>61</v>
      </c>
      <c r="R173" t="s">
        <v>1439</v>
      </c>
    </row>
    <row r="174" spans="1:18">
      <c r="A174" t="s">
        <v>1438</v>
      </c>
      <c r="B174" t="s">
        <v>1433</v>
      </c>
      <c r="C174" t="s">
        <v>1437</v>
      </c>
      <c r="D174" t="s">
        <v>1436</v>
      </c>
      <c r="E174" s="1">
        <v>45954</v>
      </c>
      <c r="F174" t="s">
        <v>65</v>
      </c>
      <c r="G174" t="s">
        <v>1435</v>
      </c>
      <c r="H174">
        <v>1</v>
      </c>
      <c r="I174">
        <v>1</v>
      </c>
      <c r="J174" t="s">
        <v>65</v>
      </c>
      <c r="K174" t="s">
        <v>63</v>
      </c>
      <c r="L174" t="s">
        <v>1434</v>
      </c>
      <c r="M174" t="s">
        <v>61</v>
      </c>
      <c r="N174" t="s">
        <v>61</v>
      </c>
      <c r="O174" t="s">
        <v>16</v>
      </c>
      <c r="P174" t="s">
        <v>61</v>
      </c>
      <c r="Q174" t="s">
        <v>61</v>
      </c>
      <c r="R174" t="s">
        <v>1433</v>
      </c>
    </row>
    <row r="175" spans="1:18">
      <c r="A175" t="s">
        <v>1432</v>
      </c>
      <c r="B175" t="s">
        <v>1431</v>
      </c>
      <c r="C175" t="s">
        <v>1430</v>
      </c>
      <c r="D175" t="s">
        <v>1429</v>
      </c>
      <c r="E175" s="1">
        <v>45956</v>
      </c>
      <c r="F175" t="s">
        <v>9</v>
      </c>
      <c r="G175" t="s">
        <v>1428</v>
      </c>
      <c r="H175">
        <v>1</v>
      </c>
      <c r="I175">
        <v>1</v>
      </c>
      <c r="J175" t="s">
        <v>2798</v>
      </c>
      <c r="K175" t="s">
        <v>20</v>
      </c>
      <c r="L175" t="s">
        <v>1427</v>
      </c>
      <c r="M175" t="s">
        <v>1426</v>
      </c>
      <c r="N175" t="s">
        <v>1425</v>
      </c>
      <c r="O175" t="s">
        <v>3</v>
      </c>
      <c r="P175" t="s">
        <v>2</v>
      </c>
      <c r="Q175" t="s">
        <v>1424</v>
      </c>
      <c r="R175" t="s">
        <v>1423</v>
      </c>
    </row>
    <row r="176" spans="1:18">
      <c r="A176" t="s">
        <v>1422</v>
      </c>
      <c r="B176" t="s">
        <v>1421</v>
      </c>
      <c r="C176" t="s">
        <v>1420</v>
      </c>
      <c r="D176" t="s">
        <v>1419</v>
      </c>
      <c r="E176" s="1">
        <v>45954</v>
      </c>
      <c r="F176" t="s">
        <v>9</v>
      </c>
      <c r="G176" t="s">
        <v>1418</v>
      </c>
      <c r="H176">
        <v>1</v>
      </c>
      <c r="I176">
        <v>1</v>
      </c>
      <c r="J176" t="s">
        <v>2798</v>
      </c>
      <c r="K176" t="s">
        <v>20</v>
      </c>
      <c r="L176" t="s">
        <v>1417</v>
      </c>
      <c r="M176" t="s">
        <v>1416</v>
      </c>
      <c r="N176" t="s">
        <v>17</v>
      </c>
      <c r="O176" t="s">
        <v>16</v>
      </c>
      <c r="P176" t="s">
        <v>1415</v>
      </c>
      <c r="Q176" t="s">
        <v>1414</v>
      </c>
      <c r="R176" t="s">
        <v>1413</v>
      </c>
    </row>
    <row r="177" spans="1:18">
      <c r="A177" t="s">
        <v>1412</v>
      </c>
      <c r="B177" t="s">
        <v>1411</v>
      </c>
      <c r="C177" t="s">
        <v>1410</v>
      </c>
      <c r="D177" t="s">
        <v>1409</v>
      </c>
      <c r="E177" s="1">
        <v>45957</v>
      </c>
      <c r="F177" t="s">
        <v>9</v>
      </c>
      <c r="G177" t="s">
        <v>1408</v>
      </c>
      <c r="H177">
        <v>1</v>
      </c>
      <c r="I177">
        <v>1</v>
      </c>
      <c r="J177" t="s">
        <v>2798</v>
      </c>
      <c r="K177" t="s">
        <v>7</v>
      </c>
      <c r="L177" t="s">
        <v>1407</v>
      </c>
      <c r="M177" t="s">
        <v>1406</v>
      </c>
      <c r="N177" t="s">
        <v>81</v>
      </c>
      <c r="O177" t="s">
        <v>80</v>
      </c>
      <c r="P177" t="s">
        <v>2</v>
      </c>
      <c r="Q177" t="s">
        <v>1405</v>
      </c>
      <c r="R177" t="s">
        <v>1404</v>
      </c>
    </row>
    <row r="178" spans="1:18">
      <c r="A178" t="s">
        <v>1403</v>
      </c>
      <c r="B178" t="s">
        <v>1402</v>
      </c>
      <c r="C178" t="s">
        <v>1401</v>
      </c>
      <c r="D178" t="s">
        <v>1400</v>
      </c>
      <c r="E178" s="1">
        <v>45857</v>
      </c>
      <c r="F178" t="s">
        <v>9</v>
      </c>
      <c r="G178" t="s">
        <v>1399</v>
      </c>
      <c r="H178">
        <v>1</v>
      </c>
      <c r="I178">
        <v>1</v>
      </c>
      <c r="J178" t="s">
        <v>249</v>
      </c>
      <c r="K178" t="s">
        <v>20</v>
      </c>
      <c r="L178" t="s">
        <v>1398</v>
      </c>
      <c r="M178" t="s">
        <v>1397</v>
      </c>
      <c r="N178" t="s">
        <v>17</v>
      </c>
      <c r="O178" t="s">
        <v>16</v>
      </c>
      <c r="P178" t="s">
        <v>415</v>
      </c>
      <c r="Q178" t="s">
        <v>1396</v>
      </c>
      <c r="R178" t="s">
        <v>1395</v>
      </c>
    </row>
    <row r="179" spans="1:18">
      <c r="A179" t="s">
        <v>1394</v>
      </c>
      <c r="B179" t="s">
        <v>1389</v>
      </c>
      <c r="C179" t="s">
        <v>1393</v>
      </c>
      <c r="D179" t="s">
        <v>1392</v>
      </c>
      <c r="E179" s="1">
        <v>45911</v>
      </c>
      <c r="F179" t="s">
        <v>65</v>
      </c>
      <c r="G179" t="s">
        <v>1391</v>
      </c>
      <c r="H179">
        <v>1</v>
      </c>
      <c r="I179">
        <v>1</v>
      </c>
      <c r="J179" t="s">
        <v>65</v>
      </c>
      <c r="K179" t="s">
        <v>112</v>
      </c>
      <c r="L179" t="s">
        <v>1390</v>
      </c>
      <c r="M179" t="s">
        <v>61</v>
      </c>
      <c r="N179" t="s">
        <v>61</v>
      </c>
      <c r="O179" t="s">
        <v>16</v>
      </c>
      <c r="P179" t="s">
        <v>61</v>
      </c>
      <c r="Q179" t="s">
        <v>61</v>
      </c>
      <c r="R179" t="s">
        <v>1389</v>
      </c>
    </row>
    <row r="180" spans="1:18">
      <c r="A180" t="s">
        <v>1388</v>
      </c>
      <c r="B180" t="s">
        <v>1387</v>
      </c>
      <c r="C180" t="s">
        <v>1386</v>
      </c>
      <c r="D180" t="s">
        <v>1385</v>
      </c>
      <c r="E180" s="1">
        <v>45873</v>
      </c>
      <c r="F180" t="s">
        <v>9</v>
      </c>
      <c r="G180" t="s">
        <v>1384</v>
      </c>
      <c r="H180">
        <v>1</v>
      </c>
      <c r="I180">
        <v>1</v>
      </c>
      <c r="J180" t="s">
        <v>249</v>
      </c>
      <c r="K180" t="s">
        <v>7</v>
      </c>
      <c r="L180" t="s">
        <v>1383</v>
      </c>
      <c r="M180" t="s">
        <v>1382</v>
      </c>
      <c r="N180" t="s">
        <v>53</v>
      </c>
      <c r="O180" t="s">
        <v>16</v>
      </c>
      <c r="P180" t="s">
        <v>415</v>
      </c>
      <c r="Q180" t="s">
        <v>1381</v>
      </c>
      <c r="R180" t="s">
        <v>1380</v>
      </c>
    </row>
    <row r="181" spans="1:18">
      <c r="A181" t="s">
        <v>1379</v>
      </c>
      <c r="B181" t="s">
        <v>1373</v>
      </c>
      <c r="C181" t="s">
        <v>1372</v>
      </c>
      <c r="D181" t="s">
        <v>1378</v>
      </c>
      <c r="E181" s="1">
        <v>45874</v>
      </c>
      <c r="F181" t="s">
        <v>9</v>
      </c>
      <c r="G181" t="s">
        <v>1377</v>
      </c>
      <c r="H181">
        <v>1</v>
      </c>
      <c r="I181">
        <v>1</v>
      </c>
      <c r="J181" t="s">
        <v>2798</v>
      </c>
      <c r="K181" t="s">
        <v>20</v>
      </c>
      <c r="L181" t="s">
        <v>1371</v>
      </c>
      <c r="M181" t="s">
        <v>1376</v>
      </c>
      <c r="N181" t="s">
        <v>17</v>
      </c>
      <c r="O181" t="s">
        <v>16</v>
      </c>
      <c r="P181" t="s">
        <v>141</v>
      </c>
      <c r="Q181" t="s">
        <v>1375</v>
      </c>
      <c r="R181" t="s">
        <v>1368</v>
      </c>
    </row>
    <row r="182" spans="1:18">
      <c r="A182" t="s">
        <v>1374</v>
      </c>
      <c r="B182" t="s">
        <v>1373</v>
      </c>
      <c r="C182" t="s">
        <v>1372</v>
      </c>
      <c r="D182" t="s">
        <v>1364</v>
      </c>
      <c r="E182" s="1">
        <v>45874</v>
      </c>
      <c r="F182" t="s">
        <v>9</v>
      </c>
      <c r="G182" t="s">
        <v>1363</v>
      </c>
      <c r="H182">
        <v>1</v>
      </c>
      <c r="I182">
        <v>1</v>
      </c>
      <c r="J182" t="s">
        <v>2798</v>
      </c>
      <c r="K182" t="s">
        <v>20</v>
      </c>
      <c r="L182" t="s">
        <v>1371</v>
      </c>
      <c r="M182" t="s">
        <v>1370</v>
      </c>
      <c r="N182" t="s">
        <v>17</v>
      </c>
      <c r="O182" t="s">
        <v>16</v>
      </c>
      <c r="P182" t="s">
        <v>141</v>
      </c>
      <c r="Q182" t="s">
        <v>1369</v>
      </c>
      <c r="R182" t="s">
        <v>1368</v>
      </c>
    </row>
    <row r="183" spans="1:18">
      <c r="A183" t="s">
        <v>1367</v>
      </c>
      <c r="B183" t="s">
        <v>1366</v>
      </c>
      <c r="C183" t="s">
        <v>1365</v>
      </c>
      <c r="D183" t="s">
        <v>1364</v>
      </c>
      <c r="E183" s="1">
        <v>45940</v>
      </c>
      <c r="F183" t="s">
        <v>9</v>
      </c>
      <c r="G183" t="s">
        <v>1363</v>
      </c>
      <c r="H183">
        <v>1</v>
      </c>
      <c r="I183">
        <v>1</v>
      </c>
      <c r="J183" t="s">
        <v>2798</v>
      </c>
      <c r="K183" t="s">
        <v>7</v>
      </c>
      <c r="L183" t="s">
        <v>1362</v>
      </c>
      <c r="M183" t="s">
        <v>1361</v>
      </c>
      <c r="N183" t="s">
        <v>53</v>
      </c>
      <c r="O183" t="s">
        <v>16</v>
      </c>
      <c r="P183" t="s">
        <v>1360</v>
      </c>
      <c r="Q183" t="s">
        <v>1359</v>
      </c>
      <c r="R183" t="s">
        <v>1358</v>
      </c>
    </row>
    <row r="184" spans="1:18">
      <c r="A184" t="s">
        <v>1357</v>
      </c>
      <c r="B184" t="s">
        <v>1356</v>
      </c>
      <c r="C184" t="s">
        <v>1355</v>
      </c>
      <c r="D184" t="s">
        <v>1354</v>
      </c>
      <c r="E184" s="1">
        <v>45946</v>
      </c>
      <c r="F184" t="s">
        <v>9</v>
      </c>
      <c r="G184" t="s">
        <v>1353</v>
      </c>
      <c r="H184">
        <v>1</v>
      </c>
      <c r="I184">
        <v>1</v>
      </c>
      <c r="J184" t="s">
        <v>2798</v>
      </c>
      <c r="K184" t="s">
        <v>20</v>
      </c>
      <c r="L184" t="s">
        <v>1352</v>
      </c>
      <c r="M184" t="s">
        <v>1351</v>
      </c>
      <c r="N184" t="s">
        <v>17</v>
      </c>
      <c r="O184" t="s">
        <v>16</v>
      </c>
      <c r="P184" t="s">
        <v>1350</v>
      </c>
      <c r="Q184" t="s">
        <v>1349</v>
      </c>
      <c r="R184" t="s">
        <v>1348</v>
      </c>
    </row>
    <row r="185" spans="1:18">
      <c r="A185" t="s">
        <v>1347</v>
      </c>
      <c r="B185" t="s">
        <v>1342</v>
      </c>
      <c r="C185" t="s">
        <v>1346</v>
      </c>
      <c r="D185" t="s">
        <v>1345</v>
      </c>
      <c r="E185" s="1">
        <v>45902</v>
      </c>
      <c r="F185" t="s">
        <v>65</v>
      </c>
      <c r="G185" t="s">
        <v>1344</v>
      </c>
      <c r="H185">
        <v>1</v>
      </c>
      <c r="I185">
        <v>1</v>
      </c>
      <c r="J185" t="s">
        <v>65</v>
      </c>
      <c r="K185" t="s">
        <v>63</v>
      </c>
      <c r="L185" t="s">
        <v>1343</v>
      </c>
      <c r="M185" t="s">
        <v>61</v>
      </c>
      <c r="N185" t="s">
        <v>61</v>
      </c>
      <c r="O185" t="s">
        <v>80</v>
      </c>
      <c r="P185" t="s">
        <v>61</v>
      </c>
      <c r="Q185" t="s">
        <v>61</v>
      </c>
      <c r="R185" t="s">
        <v>1342</v>
      </c>
    </row>
    <row r="186" spans="1:18">
      <c r="A186" t="s">
        <v>1341</v>
      </c>
      <c r="B186" t="s">
        <v>1340</v>
      </c>
      <c r="C186" t="s">
        <v>1339</v>
      </c>
      <c r="D186" t="s">
        <v>1338</v>
      </c>
      <c r="E186" s="1">
        <v>45899</v>
      </c>
      <c r="F186" t="s">
        <v>9</v>
      </c>
      <c r="G186" t="s">
        <v>1337</v>
      </c>
      <c r="H186">
        <v>1</v>
      </c>
      <c r="I186">
        <v>1</v>
      </c>
      <c r="J186" t="s">
        <v>2798</v>
      </c>
      <c r="K186" t="s">
        <v>20</v>
      </c>
      <c r="L186" t="s">
        <v>1336</v>
      </c>
      <c r="M186" t="s">
        <v>1335</v>
      </c>
      <c r="N186" t="s">
        <v>17</v>
      </c>
      <c r="O186" t="s">
        <v>16</v>
      </c>
      <c r="P186" t="s">
        <v>141</v>
      </c>
      <c r="Q186" t="s">
        <v>1334</v>
      </c>
      <c r="R186" t="s">
        <v>1333</v>
      </c>
    </row>
    <row r="187" spans="1:18">
      <c r="A187" t="s">
        <v>1332</v>
      </c>
      <c r="B187" t="s">
        <v>1331</v>
      </c>
      <c r="C187" t="s">
        <v>1330</v>
      </c>
      <c r="D187" t="s">
        <v>1329</v>
      </c>
      <c r="E187" s="1">
        <v>45870</v>
      </c>
      <c r="F187" t="s">
        <v>9</v>
      </c>
      <c r="G187" t="s">
        <v>1328</v>
      </c>
      <c r="H187">
        <v>1</v>
      </c>
      <c r="I187">
        <v>1</v>
      </c>
      <c r="J187" t="s">
        <v>2798</v>
      </c>
      <c r="K187" t="s">
        <v>7</v>
      </c>
      <c r="L187" t="s">
        <v>1327</v>
      </c>
      <c r="M187" t="s">
        <v>1326</v>
      </c>
      <c r="N187" t="s">
        <v>53</v>
      </c>
      <c r="O187" t="s">
        <v>16</v>
      </c>
      <c r="P187" t="s">
        <v>141</v>
      </c>
      <c r="Q187" t="s">
        <v>1325</v>
      </c>
      <c r="R187" t="s">
        <v>1324</v>
      </c>
    </row>
    <row r="188" spans="1:18">
      <c r="A188" t="s">
        <v>1323</v>
      </c>
      <c r="B188" t="s">
        <v>1322</v>
      </c>
      <c r="C188" t="s">
        <v>1321</v>
      </c>
      <c r="D188" t="s">
        <v>1320</v>
      </c>
      <c r="E188" s="1">
        <v>45868</v>
      </c>
      <c r="F188" t="s">
        <v>9</v>
      </c>
      <c r="G188" t="s">
        <v>1319</v>
      </c>
      <c r="H188">
        <v>1</v>
      </c>
      <c r="I188">
        <v>1</v>
      </c>
      <c r="J188" t="s">
        <v>2798</v>
      </c>
      <c r="K188" t="s">
        <v>7</v>
      </c>
      <c r="L188" t="s">
        <v>1318</v>
      </c>
      <c r="M188" t="s">
        <v>1317</v>
      </c>
      <c r="N188" t="s">
        <v>53</v>
      </c>
      <c r="O188" t="s">
        <v>16</v>
      </c>
      <c r="P188" t="s">
        <v>1316</v>
      </c>
      <c r="Q188" t="s">
        <v>1315</v>
      </c>
      <c r="R188" t="s">
        <v>1314</v>
      </c>
    </row>
    <row r="189" spans="1:18">
      <c r="A189" t="s">
        <v>1313</v>
      </c>
      <c r="B189" t="s">
        <v>1312</v>
      </c>
      <c r="C189" t="s">
        <v>1311</v>
      </c>
      <c r="D189" t="s">
        <v>1303</v>
      </c>
      <c r="E189" s="1">
        <v>45925</v>
      </c>
      <c r="F189" t="s">
        <v>9</v>
      </c>
      <c r="G189" t="s">
        <v>1302</v>
      </c>
      <c r="H189">
        <v>1</v>
      </c>
      <c r="I189">
        <v>1</v>
      </c>
      <c r="J189" t="s">
        <v>2798</v>
      </c>
      <c r="K189" t="s">
        <v>20</v>
      </c>
      <c r="L189" t="s">
        <v>1310</v>
      </c>
      <c r="M189" t="s">
        <v>1309</v>
      </c>
      <c r="N189" t="s">
        <v>17</v>
      </c>
      <c r="O189" t="s">
        <v>16</v>
      </c>
      <c r="P189" t="s">
        <v>2</v>
      </c>
      <c r="Q189" t="s">
        <v>1308</v>
      </c>
      <c r="R189" t="s">
        <v>1307</v>
      </c>
    </row>
    <row r="190" spans="1:18">
      <c r="A190" t="s">
        <v>1306</v>
      </c>
      <c r="B190" t="s">
        <v>1305</v>
      </c>
      <c r="C190" t="s">
        <v>1304</v>
      </c>
      <c r="D190" t="s">
        <v>1303</v>
      </c>
      <c r="E190" s="1">
        <v>45948</v>
      </c>
      <c r="F190" t="s">
        <v>9</v>
      </c>
      <c r="G190" t="s">
        <v>1302</v>
      </c>
      <c r="H190">
        <v>1</v>
      </c>
      <c r="I190">
        <v>1</v>
      </c>
      <c r="J190" t="s">
        <v>2798</v>
      </c>
      <c r="K190" t="s">
        <v>7</v>
      </c>
      <c r="L190" t="s">
        <v>1301</v>
      </c>
      <c r="M190" t="s">
        <v>1300</v>
      </c>
      <c r="N190" t="s">
        <v>100</v>
      </c>
      <c r="O190" t="s">
        <v>3</v>
      </c>
      <c r="P190" t="s">
        <v>2</v>
      </c>
      <c r="Q190" t="s">
        <v>1299</v>
      </c>
      <c r="R190" t="s">
        <v>1298</v>
      </c>
    </row>
    <row r="191" spans="1:18">
      <c r="A191" t="s">
        <v>1297</v>
      </c>
      <c r="B191" t="s">
        <v>1296</v>
      </c>
      <c r="C191" t="s">
        <v>1295</v>
      </c>
      <c r="D191" t="s">
        <v>1294</v>
      </c>
      <c r="E191" s="1">
        <v>45913</v>
      </c>
      <c r="F191" t="s">
        <v>9</v>
      </c>
      <c r="G191" t="s">
        <v>1293</v>
      </c>
      <c r="H191">
        <v>1</v>
      </c>
      <c r="I191">
        <v>1</v>
      </c>
      <c r="J191" t="s">
        <v>2798</v>
      </c>
      <c r="K191" t="s">
        <v>20</v>
      </c>
      <c r="L191" t="s">
        <v>1292</v>
      </c>
      <c r="M191" t="s">
        <v>1291</v>
      </c>
      <c r="N191" t="s">
        <v>17</v>
      </c>
      <c r="O191" t="s">
        <v>16</v>
      </c>
      <c r="P191" t="s">
        <v>141</v>
      </c>
      <c r="Q191" t="s">
        <v>1290</v>
      </c>
      <c r="R191" t="s">
        <v>1289</v>
      </c>
    </row>
    <row r="192" spans="1:18">
      <c r="A192" t="s">
        <v>1288</v>
      </c>
      <c r="B192" t="s">
        <v>1287</v>
      </c>
      <c r="C192" t="s">
        <v>1286</v>
      </c>
      <c r="D192" t="s">
        <v>1285</v>
      </c>
      <c r="E192" s="1">
        <v>45956</v>
      </c>
      <c r="F192" t="s">
        <v>9</v>
      </c>
      <c r="G192" t="s">
        <v>1284</v>
      </c>
      <c r="H192">
        <v>1</v>
      </c>
      <c r="I192">
        <v>1</v>
      </c>
      <c r="J192" t="s">
        <v>2797</v>
      </c>
      <c r="K192" t="s">
        <v>7</v>
      </c>
      <c r="L192" t="s">
        <v>1283</v>
      </c>
      <c r="M192" t="s">
        <v>1282</v>
      </c>
      <c r="N192" t="s">
        <v>81</v>
      </c>
      <c r="O192" t="s">
        <v>80</v>
      </c>
      <c r="P192" t="s">
        <v>1281</v>
      </c>
      <c r="Q192" t="s">
        <v>1280</v>
      </c>
      <c r="R192" t="s">
        <v>1279</v>
      </c>
    </row>
    <row r="193" spans="1:18">
      <c r="A193" t="s">
        <v>1278</v>
      </c>
      <c r="B193" t="s">
        <v>1277</v>
      </c>
      <c r="C193" t="s">
        <v>1276</v>
      </c>
      <c r="D193" t="s">
        <v>1268</v>
      </c>
      <c r="E193" s="1">
        <v>45866</v>
      </c>
      <c r="F193" t="s">
        <v>9</v>
      </c>
      <c r="G193" t="s">
        <v>1267</v>
      </c>
      <c r="H193">
        <v>1</v>
      </c>
      <c r="I193">
        <v>1</v>
      </c>
      <c r="J193" t="s">
        <v>2797</v>
      </c>
      <c r="K193" t="s">
        <v>7</v>
      </c>
      <c r="L193" t="s">
        <v>1275</v>
      </c>
      <c r="M193" t="s">
        <v>1274</v>
      </c>
      <c r="N193" t="s">
        <v>53</v>
      </c>
      <c r="O193" t="s">
        <v>16</v>
      </c>
      <c r="P193" t="s">
        <v>1273</v>
      </c>
      <c r="Q193" t="s">
        <v>1272</v>
      </c>
      <c r="R193" t="s">
        <v>1271</v>
      </c>
    </row>
    <row r="194" spans="1:18">
      <c r="A194" t="s">
        <v>1270</v>
      </c>
      <c r="B194" t="s">
        <v>1265</v>
      </c>
      <c r="C194" t="s">
        <v>1269</v>
      </c>
      <c r="D194" t="s">
        <v>1268</v>
      </c>
      <c r="E194" s="1">
        <v>45954</v>
      </c>
      <c r="F194" t="s">
        <v>65</v>
      </c>
      <c r="G194" t="s">
        <v>1267</v>
      </c>
      <c r="H194">
        <v>1</v>
      </c>
      <c r="I194">
        <v>1</v>
      </c>
      <c r="J194" t="s">
        <v>65</v>
      </c>
      <c r="K194" t="s">
        <v>112</v>
      </c>
      <c r="L194" t="s">
        <v>1266</v>
      </c>
      <c r="M194" t="s">
        <v>61</v>
      </c>
      <c r="N194" t="s">
        <v>61</v>
      </c>
      <c r="O194" t="s">
        <v>80</v>
      </c>
      <c r="P194" t="s">
        <v>61</v>
      </c>
      <c r="Q194" t="s">
        <v>61</v>
      </c>
      <c r="R194" t="s">
        <v>1265</v>
      </c>
    </row>
    <row r="195" spans="1:18">
      <c r="A195" t="s">
        <v>1264</v>
      </c>
      <c r="B195" t="s">
        <v>1260</v>
      </c>
      <c r="C195" t="s">
        <v>1263</v>
      </c>
      <c r="D195" t="s">
        <v>1257</v>
      </c>
      <c r="E195" s="1">
        <v>45904</v>
      </c>
      <c r="F195" t="s">
        <v>65</v>
      </c>
      <c r="G195" t="s">
        <v>1256</v>
      </c>
      <c r="H195">
        <v>1</v>
      </c>
      <c r="I195">
        <v>1</v>
      </c>
      <c r="J195" t="s">
        <v>65</v>
      </c>
      <c r="K195" t="s">
        <v>1262</v>
      </c>
      <c r="L195" t="s">
        <v>1261</v>
      </c>
      <c r="M195" t="s">
        <v>61</v>
      </c>
      <c r="N195" t="s">
        <v>61</v>
      </c>
      <c r="O195" t="s">
        <v>16</v>
      </c>
      <c r="P195" t="s">
        <v>61</v>
      </c>
      <c r="Q195" t="s">
        <v>61</v>
      </c>
      <c r="R195" t="s">
        <v>1260</v>
      </c>
    </row>
    <row r="196" spans="1:18">
      <c r="A196" t="s">
        <v>1259</v>
      </c>
      <c r="B196" t="s">
        <v>1254</v>
      </c>
      <c r="C196" t="s">
        <v>1258</v>
      </c>
      <c r="D196" t="s">
        <v>1257</v>
      </c>
      <c r="E196" s="1">
        <v>45947</v>
      </c>
      <c r="F196" t="s">
        <v>65</v>
      </c>
      <c r="G196" t="s">
        <v>1256</v>
      </c>
      <c r="H196">
        <v>1</v>
      </c>
      <c r="I196">
        <v>1</v>
      </c>
      <c r="J196" t="s">
        <v>65</v>
      </c>
      <c r="K196" t="s">
        <v>112</v>
      </c>
      <c r="L196" t="s">
        <v>1255</v>
      </c>
      <c r="M196" t="s">
        <v>61</v>
      </c>
      <c r="N196" t="s">
        <v>61</v>
      </c>
      <c r="O196" t="s">
        <v>16</v>
      </c>
      <c r="P196" t="s">
        <v>61</v>
      </c>
      <c r="Q196" t="s">
        <v>61</v>
      </c>
      <c r="R196" t="s">
        <v>1254</v>
      </c>
    </row>
    <row r="197" spans="1:18">
      <c r="A197" t="s">
        <v>1253</v>
      </c>
      <c r="B197" t="s">
        <v>1252</v>
      </c>
      <c r="C197" t="s">
        <v>1251</v>
      </c>
      <c r="D197" t="s">
        <v>1250</v>
      </c>
      <c r="E197" s="1">
        <v>45954</v>
      </c>
      <c r="F197" t="s">
        <v>9</v>
      </c>
      <c r="G197" t="s">
        <v>1249</v>
      </c>
      <c r="H197">
        <v>1</v>
      </c>
      <c r="I197">
        <v>1</v>
      </c>
      <c r="J197" t="s">
        <v>2798</v>
      </c>
      <c r="K197" t="s">
        <v>20</v>
      </c>
      <c r="L197" t="s">
        <v>1248</v>
      </c>
      <c r="M197" t="s">
        <v>1247</v>
      </c>
      <c r="N197" t="s">
        <v>17</v>
      </c>
      <c r="O197" t="s">
        <v>16</v>
      </c>
      <c r="P197" t="s">
        <v>2</v>
      </c>
      <c r="Q197" t="s">
        <v>1246</v>
      </c>
      <c r="R197" t="s">
        <v>1245</v>
      </c>
    </row>
    <row r="198" spans="1:18">
      <c r="A198" t="s">
        <v>1244</v>
      </c>
      <c r="B198" t="s">
        <v>1243</v>
      </c>
      <c r="C198" t="s">
        <v>1242</v>
      </c>
      <c r="D198" t="s">
        <v>1241</v>
      </c>
      <c r="E198" s="1">
        <v>45943</v>
      </c>
      <c r="F198" t="s">
        <v>9</v>
      </c>
      <c r="G198" t="s">
        <v>1240</v>
      </c>
      <c r="H198">
        <v>1</v>
      </c>
      <c r="I198">
        <v>1</v>
      </c>
      <c r="J198" t="s">
        <v>2797</v>
      </c>
      <c r="K198" t="s">
        <v>7</v>
      </c>
      <c r="L198" t="s">
        <v>1239</v>
      </c>
      <c r="M198" t="s">
        <v>1238</v>
      </c>
      <c r="N198" t="s">
        <v>100</v>
      </c>
      <c r="O198" t="s">
        <v>3</v>
      </c>
      <c r="P198" t="s">
        <v>1237</v>
      </c>
      <c r="Q198" t="s">
        <v>1236</v>
      </c>
      <c r="R198" t="s">
        <v>1235</v>
      </c>
    </row>
    <row r="199" spans="1:18">
      <c r="A199" t="s">
        <v>1234</v>
      </c>
      <c r="B199" t="s">
        <v>1229</v>
      </c>
      <c r="C199" t="s">
        <v>1233</v>
      </c>
      <c r="D199" t="s">
        <v>1232</v>
      </c>
      <c r="E199" s="1">
        <v>45937</v>
      </c>
      <c r="F199" t="s">
        <v>65</v>
      </c>
      <c r="G199" t="s">
        <v>1231</v>
      </c>
      <c r="H199">
        <v>1</v>
      </c>
      <c r="I199">
        <v>1</v>
      </c>
      <c r="J199" t="s">
        <v>65</v>
      </c>
      <c r="K199" t="s">
        <v>63</v>
      </c>
      <c r="L199" t="s">
        <v>1230</v>
      </c>
      <c r="M199" t="s">
        <v>61</v>
      </c>
      <c r="N199" t="s">
        <v>61</v>
      </c>
      <c r="O199" t="s">
        <v>80</v>
      </c>
      <c r="P199" t="s">
        <v>61</v>
      </c>
      <c r="Q199" t="s">
        <v>61</v>
      </c>
      <c r="R199" t="s">
        <v>1229</v>
      </c>
    </row>
    <row r="200" spans="1:18">
      <c r="A200" t="s">
        <v>1228</v>
      </c>
      <c r="B200" t="s">
        <v>1227</v>
      </c>
      <c r="C200" t="s">
        <v>1226</v>
      </c>
      <c r="D200" t="s">
        <v>1225</v>
      </c>
      <c r="E200" s="1">
        <v>45905</v>
      </c>
      <c r="F200" t="s">
        <v>9</v>
      </c>
      <c r="G200" t="s">
        <v>1224</v>
      </c>
      <c r="H200">
        <v>1</v>
      </c>
      <c r="I200">
        <v>1</v>
      </c>
      <c r="J200" t="s">
        <v>2798</v>
      </c>
      <c r="K200" t="s">
        <v>20</v>
      </c>
      <c r="L200" t="s">
        <v>1223</v>
      </c>
      <c r="M200" t="s">
        <v>1222</v>
      </c>
      <c r="N200" t="s">
        <v>17</v>
      </c>
      <c r="O200" t="s">
        <v>16</v>
      </c>
      <c r="P200" t="s">
        <v>1221</v>
      </c>
      <c r="Q200" t="s">
        <v>1220</v>
      </c>
      <c r="R200" t="s">
        <v>1219</v>
      </c>
    </row>
    <row r="201" spans="1:18">
      <c r="A201" t="s">
        <v>1218</v>
      </c>
      <c r="B201" t="s">
        <v>1217</v>
      </c>
      <c r="C201" t="s">
        <v>1216</v>
      </c>
      <c r="D201" t="s">
        <v>1215</v>
      </c>
      <c r="E201" s="1">
        <v>45955</v>
      </c>
      <c r="F201" t="s">
        <v>9</v>
      </c>
      <c r="G201" t="s">
        <v>1214</v>
      </c>
      <c r="H201">
        <v>1</v>
      </c>
      <c r="I201">
        <v>1</v>
      </c>
      <c r="J201" t="s">
        <v>2798</v>
      </c>
      <c r="K201" t="s">
        <v>20</v>
      </c>
      <c r="L201" t="s">
        <v>1213</v>
      </c>
      <c r="M201" t="s">
        <v>1212</v>
      </c>
      <c r="N201" t="s">
        <v>1211</v>
      </c>
      <c r="O201" t="s">
        <v>3</v>
      </c>
      <c r="P201" t="s">
        <v>2</v>
      </c>
      <c r="Q201" t="s">
        <v>1210</v>
      </c>
      <c r="R201" t="s">
        <v>1209</v>
      </c>
    </row>
    <row r="202" spans="1:18">
      <c r="A202" t="s">
        <v>1208</v>
      </c>
      <c r="B202" t="s">
        <v>1203</v>
      </c>
      <c r="C202" t="s">
        <v>1207</v>
      </c>
      <c r="D202" t="s">
        <v>1206</v>
      </c>
      <c r="E202" s="1">
        <v>45946</v>
      </c>
      <c r="F202" t="s">
        <v>65</v>
      </c>
      <c r="G202" t="s">
        <v>1205</v>
      </c>
      <c r="H202">
        <v>1</v>
      </c>
      <c r="I202">
        <v>1</v>
      </c>
      <c r="J202" t="s">
        <v>65</v>
      </c>
      <c r="K202" t="s">
        <v>63</v>
      </c>
      <c r="L202" t="s">
        <v>1204</v>
      </c>
      <c r="M202" t="s">
        <v>61</v>
      </c>
      <c r="N202" t="s">
        <v>61</v>
      </c>
      <c r="O202" t="s">
        <v>16</v>
      </c>
      <c r="P202" t="s">
        <v>61</v>
      </c>
      <c r="Q202" t="s">
        <v>61</v>
      </c>
      <c r="R202" t="s">
        <v>1203</v>
      </c>
    </row>
    <row r="203" spans="1:18">
      <c r="A203" t="s">
        <v>1202</v>
      </c>
      <c r="B203" t="s">
        <v>1201</v>
      </c>
      <c r="C203" t="s">
        <v>1200</v>
      </c>
      <c r="D203" t="s">
        <v>1199</v>
      </c>
      <c r="E203" s="1">
        <v>45948</v>
      </c>
      <c r="F203" t="s">
        <v>9</v>
      </c>
      <c r="G203" t="s">
        <v>1198</v>
      </c>
      <c r="H203">
        <v>1</v>
      </c>
      <c r="I203">
        <v>1</v>
      </c>
      <c r="J203" t="s">
        <v>2797</v>
      </c>
      <c r="K203" t="s">
        <v>7</v>
      </c>
      <c r="L203" t="s">
        <v>1197</v>
      </c>
      <c r="M203" t="s">
        <v>1196</v>
      </c>
      <c r="N203" t="s">
        <v>53</v>
      </c>
      <c r="O203" t="s">
        <v>16</v>
      </c>
      <c r="P203" t="s">
        <v>151</v>
      </c>
      <c r="Q203" t="s">
        <v>1195</v>
      </c>
      <c r="R203" t="s">
        <v>1194</v>
      </c>
    </row>
    <row r="204" spans="1:18">
      <c r="A204" t="s">
        <v>1193</v>
      </c>
      <c r="B204" t="s">
        <v>1188</v>
      </c>
      <c r="C204" t="s">
        <v>1192</v>
      </c>
      <c r="D204" t="s">
        <v>1191</v>
      </c>
      <c r="E204" s="1">
        <v>45945</v>
      </c>
      <c r="F204" t="s">
        <v>65</v>
      </c>
      <c r="G204" t="s">
        <v>1190</v>
      </c>
      <c r="H204">
        <v>1</v>
      </c>
      <c r="I204">
        <v>1</v>
      </c>
      <c r="J204" t="s">
        <v>65</v>
      </c>
      <c r="K204" t="s">
        <v>63</v>
      </c>
      <c r="L204" t="s">
        <v>1189</v>
      </c>
      <c r="M204" t="s">
        <v>61</v>
      </c>
      <c r="N204" t="s">
        <v>61</v>
      </c>
      <c r="O204" t="s">
        <v>80</v>
      </c>
      <c r="P204" t="s">
        <v>61</v>
      </c>
      <c r="Q204" t="s">
        <v>61</v>
      </c>
      <c r="R204" t="s">
        <v>1188</v>
      </c>
    </row>
    <row r="205" spans="1:18">
      <c r="A205" t="s">
        <v>1187</v>
      </c>
      <c r="B205" t="s">
        <v>1186</v>
      </c>
      <c r="C205" t="s">
        <v>1185</v>
      </c>
      <c r="D205" t="s">
        <v>1184</v>
      </c>
      <c r="E205" s="1">
        <v>45925</v>
      </c>
      <c r="F205" t="s">
        <v>9</v>
      </c>
      <c r="G205" t="s">
        <v>1183</v>
      </c>
      <c r="H205">
        <v>1</v>
      </c>
      <c r="I205">
        <v>1</v>
      </c>
      <c r="J205" t="s">
        <v>2798</v>
      </c>
      <c r="K205" t="s">
        <v>20</v>
      </c>
      <c r="L205" t="s">
        <v>1182</v>
      </c>
      <c r="M205" t="s">
        <v>1181</v>
      </c>
      <c r="N205" t="s">
        <v>17</v>
      </c>
      <c r="O205" t="s">
        <v>16</v>
      </c>
      <c r="P205" t="s">
        <v>2</v>
      </c>
      <c r="Q205" t="s">
        <v>1180</v>
      </c>
      <c r="R205" t="s">
        <v>1179</v>
      </c>
    </row>
    <row r="206" spans="1:18">
      <c r="A206" t="s">
        <v>1178</v>
      </c>
      <c r="B206" t="s">
        <v>1173</v>
      </c>
      <c r="C206" t="s">
        <v>1177</v>
      </c>
      <c r="D206" t="s">
        <v>1176</v>
      </c>
      <c r="E206" s="1">
        <v>45936</v>
      </c>
      <c r="F206" t="s">
        <v>65</v>
      </c>
      <c r="G206" t="s">
        <v>1175</v>
      </c>
      <c r="H206">
        <v>1</v>
      </c>
      <c r="I206">
        <v>1</v>
      </c>
      <c r="J206" t="s">
        <v>65</v>
      </c>
      <c r="K206" t="s">
        <v>63</v>
      </c>
      <c r="L206" t="s">
        <v>1174</v>
      </c>
      <c r="M206" t="s">
        <v>61</v>
      </c>
      <c r="N206" t="s">
        <v>61</v>
      </c>
      <c r="O206" t="s">
        <v>16</v>
      </c>
      <c r="P206" t="s">
        <v>61</v>
      </c>
      <c r="Q206" t="s">
        <v>61</v>
      </c>
      <c r="R206" t="s">
        <v>1173</v>
      </c>
    </row>
    <row r="207" spans="1:18">
      <c r="A207" t="s">
        <v>1172</v>
      </c>
      <c r="B207" t="s">
        <v>1171</v>
      </c>
      <c r="C207" t="s">
        <v>1170</v>
      </c>
      <c r="D207" t="s">
        <v>1169</v>
      </c>
      <c r="E207" s="1">
        <v>45931</v>
      </c>
      <c r="F207" t="s">
        <v>9</v>
      </c>
      <c r="G207" t="s">
        <v>1168</v>
      </c>
      <c r="H207">
        <v>1</v>
      </c>
      <c r="I207">
        <v>1</v>
      </c>
      <c r="J207" t="s">
        <v>2798</v>
      </c>
      <c r="K207" t="s">
        <v>20</v>
      </c>
      <c r="L207" t="s">
        <v>1167</v>
      </c>
      <c r="M207" t="s">
        <v>1166</v>
      </c>
      <c r="N207" t="s">
        <v>17</v>
      </c>
      <c r="O207" t="s">
        <v>16</v>
      </c>
      <c r="P207" t="s">
        <v>2</v>
      </c>
      <c r="Q207" t="s">
        <v>1165</v>
      </c>
      <c r="R207" t="s">
        <v>1164</v>
      </c>
    </row>
    <row r="208" spans="1:18">
      <c r="A208" t="s">
        <v>1163</v>
      </c>
      <c r="B208" t="s">
        <v>1162</v>
      </c>
      <c r="C208" t="s">
        <v>1161</v>
      </c>
      <c r="D208" t="s">
        <v>1153</v>
      </c>
      <c r="E208" s="1">
        <v>45954</v>
      </c>
      <c r="F208" t="s">
        <v>9</v>
      </c>
      <c r="G208" t="s">
        <v>1152</v>
      </c>
      <c r="H208">
        <v>1</v>
      </c>
      <c r="I208">
        <v>1</v>
      </c>
      <c r="J208" t="s">
        <v>2798</v>
      </c>
      <c r="K208" t="s">
        <v>20</v>
      </c>
      <c r="L208" t="s">
        <v>1160</v>
      </c>
      <c r="M208" t="s">
        <v>1159</v>
      </c>
      <c r="N208" t="s">
        <v>17</v>
      </c>
      <c r="O208" t="s">
        <v>16</v>
      </c>
      <c r="P208" t="s">
        <v>1158</v>
      </c>
      <c r="Q208" t="s">
        <v>1157</v>
      </c>
      <c r="R208" t="s">
        <v>1156</v>
      </c>
    </row>
    <row r="209" spans="1:18">
      <c r="A209" t="s">
        <v>1155</v>
      </c>
      <c r="B209" t="s">
        <v>1150</v>
      </c>
      <c r="C209" t="s">
        <v>1154</v>
      </c>
      <c r="D209" t="s">
        <v>1153</v>
      </c>
      <c r="E209" s="1">
        <v>45957</v>
      </c>
      <c r="F209" t="s">
        <v>65</v>
      </c>
      <c r="G209" t="s">
        <v>1152</v>
      </c>
      <c r="H209">
        <v>1</v>
      </c>
      <c r="I209">
        <v>1</v>
      </c>
      <c r="J209" t="s">
        <v>65</v>
      </c>
      <c r="K209" t="s">
        <v>112</v>
      </c>
      <c r="L209" t="s">
        <v>1151</v>
      </c>
      <c r="M209" t="s">
        <v>61</v>
      </c>
      <c r="N209" t="s">
        <v>61</v>
      </c>
      <c r="O209" t="s">
        <v>80</v>
      </c>
      <c r="P209" t="s">
        <v>61</v>
      </c>
      <c r="Q209" t="s">
        <v>61</v>
      </c>
      <c r="R209" t="s">
        <v>1150</v>
      </c>
    </row>
    <row r="210" spans="1:18">
      <c r="A210" t="s">
        <v>1149</v>
      </c>
      <c r="B210" t="s">
        <v>1146</v>
      </c>
      <c r="C210" t="s">
        <v>1148</v>
      </c>
      <c r="D210" t="s">
        <v>1143</v>
      </c>
      <c r="E210" s="1">
        <v>45947</v>
      </c>
      <c r="F210" t="s">
        <v>65</v>
      </c>
      <c r="G210" t="s">
        <v>1142</v>
      </c>
      <c r="H210">
        <v>1</v>
      </c>
      <c r="I210">
        <v>1</v>
      </c>
      <c r="J210" t="s">
        <v>65</v>
      </c>
      <c r="K210" t="s">
        <v>112</v>
      </c>
      <c r="L210" t="s">
        <v>1147</v>
      </c>
      <c r="M210" t="s">
        <v>61</v>
      </c>
      <c r="N210" t="s">
        <v>61</v>
      </c>
      <c r="O210" t="s">
        <v>16</v>
      </c>
      <c r="P210" t="s">
        <v>61</v>
      </c>
      <c r="Q210" t="s">
        <v>61</v>
      </c>
      <c r="R210" t="s">
        <v>1146</v>
      </c>
    </row>
    <row r="211" spans="1:18">
      <c r="A211" t="s">
        <v>1145</v>
      </c>
      <c r="B211" t="s">
        <v>1140</v>
      </c>
      <c r="C211" t="s">
        <v>1144</v>
      </c>
      <c r="D211" t="s">
        <v>1143</v>
      </c>
      <c r="E211" s="1">
        <v>45957</v>
      </c>
      <c r="F211" t="s">
        <v>65</v>
      </c>
      <c r="G211" t="s">
        <v>1142</v>
      </c>
      <c r="H211">
        <v>1</v>
      </c>
      <c r="I211">
        <v>1</v>
      </c>
      <c r="J211" t="s">
        <v>65</v>
      </c>
      <c r="K211" t="s">
        <v>112</v>
      </c>
      <c r="L211" t="s">
        <v>1141</v>
      </c>
      <c r="M211" t="s">
        <v>61</v>
      </c>
      <c r="N211" t="s">
        <v>61</v>
      </c>
      <c r="O211" t="s">
        <v>16</v>
      </c>
      <c r="P211" t="s">
        <v>61</v>
      </c>
      <c r="Q211" t="s">
        <v>61</v>
      </c>
      <c r="R211" t="s">
        <v>1140</v>
      </c>
    </row>
    <row r="212" spans="1:18">
      <c r="A212" t="s">
        <v>1139</v>
      </c>
      <c r="B212" t="s">
        <v>1138</v>
      </c>
      <c r="C212" t="s">
        <v>1137</v>
      </c>
      <c r="D212" t="s">
        <v>1136</v>
      </c>
      <c r="E212" s="1">
        <v>45943</v>
      </c>
      <c r="F212" t="s">
        <v>9</v>
      </c>
      <c r="G212" t="s">
        <v>1135</v>
      </c>
      <c r="H212">
        <v>1</v>
      </c>
      <c r="I212">
        <v>1</v>
      </c>
      <c r="J212" t="s">
        <v>2798</v>
      </c>
      <c r="K212" t="s">
        <v>7</v>
      </c>
      <c r="L212" t="s">
        <v>1134</v>
      </c>
      <c r="M212" t="s">
        <v>1133</v>
      </c>
      <c r="N212" t="s">
        <v>100</v>
      </c>
      <c r="O212" t="s">
        <v>3</v>
      </c>
      <c r="P212" t="s">
        <v>2</v>
      </c>
      <c r="Q212" t="s">
        <v>1132</v>
      </c>
      <c r="R212" t="s">
        <v>1131</v>
      </c>
    </row>
    <row r="213" spans="1:18">
      <c r="A213" t="s">
        <v>1130</v>
      </c>
      <c r="B213" t="s">
        <v>1129</v>
      </c>
      <c r="C213" t="s">
        <v>1128</v>
      </c>
      <c r="D213" t="s">
        <v>1112</v>
      </c>
      <c r="E213" s="1">
        <v>45954</v>
      </c>
      <c r="F213" t="s">
        <v>9</v>
      </c>
      <c r="G213" t="s">
        <v>1111</v>
      </c>
      <c r="H213">
        <v>1</v>
      </c>
      <c r="I213">
        <v>1</v>
      </c>
      <c r="J213" t="s">
        <v>2798</v>
      </c>
      <c r="K213" t="s">
        <v>20</v>
      </c>
      <c r="L213" t="s">
        <v>1127</v>
      </c>
      <c r="M213" t="s">
        <v>1126</v>
      </c>
      <c r="N213" t="s">
        <v>17</v>
      </c>
      <c r="O213" t="s">
        <v>16</v>
      </c>
      <c r="P213" t="s">
        <v>1125</v>
      </c>
      <c r="Q213" t="s">
        <v>1124</v>
      </c>
      <c r="R213" t="s">
        <v>1123</v>
      </c>
    </row>
    <row r="214" spans="1:18">
      <c r="A214" t="s">
        <v>1122</v>
      </c>
      <c r="B214" t="s">
        <v>1121</v>
      </c>
      <c r="C214" t="s">
        <v>1120</v>
      </c>
      <c r="D214" t="s">
        <v>1112</v>
      </c>
      <c r="E214" s="1">
        <v>45957</v>
      </c>
      <c r="F214" t="s">
        <v>9</v>
      </c>
      <c r="G214" t="s">
        <v>1111</v>
      </c>
      <c r="H214">
        <v>1</v>
      </c>
      <c r="I214">
        <v>1</v>
      </c>
      <c r="J214" t="s">
        <v>249</v>
      </c>
      <c r="K214" t="s">
        <v>20</v>
      </c>
      <c r="L214" t="s">
        <v>1119</v>
      </c>
      <c r="M214" t="s">
        <v>1118</v>
      </c>
      <c r="N214" t="s">
        <v>17</v>
      </c>
      <c r="O214" t="s">
        <v>16</v>
      </c>
      <c r="P214" t="s">
        <v>249</v>
      </c>
      <c r="Q214" t="s">
        <v>1117</v>
      </c>
      <c r="R214" t="s">
        <v>1116</v>
      </c>
    </row>
    <row r="215" spans="1:18">
      <c r="A215" t="s">
        <v>1115</v>
      </c>
      <c r="B215" t="s">
        <v>1114</v>
      </c>
      <c r="C215" t="s">
        <v>1113</v>
      </c>
      <c r="D215" t="s">
        <v>1112</v>
      </c>
      <c r="E215" s="1">
        <v>45950</v>
      </c>
      <c r="F215" t="s">
        <v>9</v>
      </c>
      <c r="G215" t="s">
        <v>1111</v>
      </c>
      <c r="H215">
        <v>1</v>
      </c>
      <c r="I215">
        <v>1</v>
      </c>
      <c r="J215" t="s">
        <v>249</v>
      </c>
      <c r="K215" t="s">
        <v>20</v>
      </c>
      <c r="L215" t="s">
        <v>1110</v>
      </c>
      <c r="M215" t="s">
        <v>1109</v>
      </c>
      <c r="N215" t="s">
        <v>1108</v>
      </c>
      <c r="O215" t="s">
        <v>3</v>
      </c>
      <c r="P215" t="s">
        <v>1107</v>
      </c>
      <c r="Q215" t="s">
        <v>1106</v>
      </c>
      <c r="R215" t="s">
        <v>1105</v>
      </c>
    </row>
    <row r="216" spans="1:18">
      <c r="A216" t="s">
        <v>1104</v>
      </c>
      <c r="B216" t="s">
        <v>1103</v>
      </c>
      <c r="C216" t="s">
        <v>1102</v>
      </c>
      <c r="D216" t="s">
        <v>1101</v>
      </c>
      <c r="E216" s="1">
        <v>45930</v>
      </c>
      <c r="F216" t="s">
        <v>9</v>
      </c>
      <c r="G216" t="s">
        <v>1100</v>
      </c>
      <c r="H216">
        <v>1</v>
      </c>
      <c r="I216">
        <v>1</v>
      </c>
      <c r="J216" t="s">
        <v>2798</v>
      </c>
      <c r="K216" t="s">
        <v>20</v>
      </c>
      <c r="L216" t="s">
        <v>1099</v>
      </c>
      <c r="M216" t="s">
        <v>1098</v>
      </c>
      <c r="N216" t="s">
        <v>17</v>
      </c>
      <c r="O216" t="s">
        <v>16</v>
      </c>
      <c r="P216" t="s">
        <v>2</v>
      </c>
      <c r="Q216" t="s">
        <v>1097</v>
      </c>
      <c r="R216" t="s">
        <v>1096</v>
      </c>
    </row>
    <row r="217" spans="1:18">
      <c r="A217" t="s">
        <v>1095</v>
      </c>
      <c r="B217" t="s">
        <v>1094</v>
      </c>
      <c r="C217" t="s">
        <v>1093</v>
      </c>
      <c r="D217" t="s">
        <v>1092</v>
      </c>
      <c r="E217" s="1">
        <v>45945</v>
      </c>
      <c r="F217" t="s">
        <v>9</v>
      </c>
      <c r="G217" t="s">
        <v>1091</v>
      </c>
      <c r="H217">
        <v>1</v>
      </c>
      <c r="I217">
        <v>1</v>
      </c>
      <c r="J217" t="s">
        <v>2798</v>
      </c>
      <c r="K217" t="s">
        <v>7</v>
      </c>
      <c r="L217" t="s">
        <v>1090</v>
      </c>
      <c r="M217" t="s">
        <v>1089</v>
      </c>
      <c r="N217" t="s">
        <v>53</v>
      </c>
      <c r="O217" t="s">
        <v>16</v>
      </c>
      <c r="P217" t="s">
        <v>2</v>
      </c>
      <c r="Q217" t="s">
        <v>1088</v>
      </c>
      <c r="R217" t="s">
        <v>1087</v>
      </c>
    </row>
    <row r="218" spans="1:18">
      <c r="A218" t="s">
        <v>1086</v>
      </c>
      <c r="B218" t="s">
        <v>1085</v>
      </c>
      <c r="C218" t="s">
        <v>1084</v>
      </c>
      <c r="D218" t="s">
        <v>1083</v>
      </c>
      <c r="E218" s="1">
        <v>45922</v>
      </c>
      <c r="F218" t="s">
        <v>9</v>
      </c>
      <c r="G218" t="s">
        <v>1082</v>
      </c>
      <c r="H218">
        <v>1</v>
      </c>
      <c r="I218">
        <v>1</v>
      </c>
      <c r="J218" t="s">
        <v>2798</v>
      </c>
      <c r="K218" t="s">
        <v>7</v>
      </c>
      <c r="L218" t="s">
        <v>1081</v>
      </c>
      <c r="M218" t="s">
        <v>1080</v>
      </c>
      <c r="N218" t="s">
        <v>53</v>
      </c>
      <c r="O218" t="s">
        <v>16</v>
      </c>
      <c r="P218" t="s">
        <v>1079</v>
      </c>
      <c r="Q218" t="s">
        <v>1078</v>
      </c>
      <c r="R218" t="s">
        <v>1077</v>
      </c>
    </row>
    <row r="219" spans="1:18">
      <c r="A219" t="s">
        <v>1076</v>
      </c>
      <c r="B219" t="s">
        <v>1075</v>
      </c>
      <c r="C219" t="s">
        <v>1074</v>
      </c>
      <c r="D219" t="s">
        <v>1073</v>
      </c>
      <c r="E219" s="1">
        <v>45911</v>
      </c>
      <c r="F219" t="s">
        <v>9</v>
      </c>
      <c r="G219" t="s">
        <v>1072</v>
      </c>
      <c r="H219">
        <v>1</v>
      </c>
      <c r="I219">
        <v>1</v>
      </c>
      <c r="J219" t="s">
        <v>2798</v>
      </c>
      <c r="K219" t="s">
        <v>20</v>
      </c>
      <c r="L219" t="s">
        <v>1071</v>
      </c>
      <c r="M219" t="s">
        <v>1070</v>
      </c>
      <c r="N219" t="s">
        <v>17</v>
      </c>
      <c r="O219" t="s">
        <v>16</v>
      </c>
      <c r="P219" t="s">
        <v>110</v>
      </c>
      <c r="Q219" t="s">
        <v>1069</v>
      </c>
      <c r="R219" t="s">
        <v>1068</v>
      </c>
    </row>
    <row r="220" spans="1:18">
      <c r="A220" t="s">
        <v>1067</v>
      </c>
      <c r="B220" t="s">
        <v>1066</v>
      </c>
      <c r="C220" t="s">
        <v>1065</v>
      </c>
      <c r="D220" t="s">
        <v>1064</v>
      </c>
      <c r="E220" s="1">
        <v>45919</v>
      </c>
      <c r="F220" t="s">
        <v>9</v>
      </c>
      <c r="G220" t="s">
        <v>1063</v>
      </c>
      <c r="H220">
        <v>1</v>
      </c>
      <c r="I220">
        <v>1</v>
      </c>
      <c r="J220" t="s">
        <v>2798</v>
      </c>
      <c r="K220" t="s">
        <v>20</v>
      </c>
      <c r="L220" t="s">
        <v>1062</v>
      </c>
      <c r="M220" t="s">
        <v>1061</v>
      </c>
      <c r="N220" t="s">
        <v>17</v>
      </c>
      <c r="O220" t="s">
        <v>16</v>
      </c>
      <c r="P220" t="s">
        <v>110</v>
      </c>
      <c r="Q220" t="s">
        <v>1060</v>
      </c>
      <c r="R220" t="s">
        <v>1059</v>
      </c>
    </row>
    <row r="221" spans="1:18">
      <c r="A221" t="s">
        <v>1058</v>
      </c>
      <c r="B221" t="s">
        <v>1053</v>
      </c>
      <c r="C221" t="s">
        <v>1057</v>
      </c>
      <c r="D221" t="s">
        <v>1056</v>
      </c>
      <c r="E221" s="1">
        <v>45948</v>
      </c>
      <c r="F221" t="s">
        <v>65</v>
      </c>
      <c r="G221" t="s">
        <v>1055</v>
      </c>
      <c r="H221">
        <v>1</v>
      </c>
      <c r="I221">
        <v>1</v>
      </c>
      <c r="J221" t="s">
        <v>65</v>
      </c>
      <c r="K221" t="s">
        <v>112</v>
      </c>
      <c r="L221" t="s">
        <v>1054</v>
      </c>
      <c r="M221" t="s">
        <v>61</v>
      </c>
      <c r="N221" t="s">
        <v>61</v>
      </c>
      <c r="O221" t="s">
        <v>80</v>
      </c>
      <c r="P221" t="s">
        <v>61</v>
      </c>
      <c r="Q221" t="s">
        <v>61</v>
      </c>
      <c r="R221" t="s">
        <v>1053</v>
      </c>
    </row>
    <row r="222" spans="1:18">
      <c r="A222" t="s">
        <v>1052</v>
      </c>
      <c r="B222" t="s">
        <v>1051</v>
      </c>
      <c r="C222" t="s">
        <v>1050</v>
      </c>
      <c r="D222" t="s">
        <v>1042</v>
      </c>
      <c r="E222" s="1">
        <v>45952</v>
      </c>
      <c r="F222" t="s">
        <v>9</v>
      </c>
      <c r="G222" t="s">
        <v>1041</v>
      </c>
      <c r="H222">
        <v>1</v>
      </c>
      <c r="I222">
        <v>1</v>
      </c>
      <c r="J222" t="s">
        <v>2798</v>
      </c>
      <c r="K222" t="s">
        <v>20</v>
      </c>
      <c r="L222" t="s">
        <v>1049</v>
      </c>
      <c r="M222" t="s">
        <v>1048</v>
      </c>
      <c r="N222" t="s">
        <v>35</v>
      </c>
      <c r="O222" t="s">
        <v>3</v>
      </c>
      <c r="P222" t="s">
        <v>2</v>
      </c>
      <c r="Q222" t="s">
        <v>1047</v>
      </c>
      <c r="R222" t="s">
        <v>1046</v>
      </c>
    </row>
    <row r="223" spans="1:18">
      <c r="A223" t="s">
        <v>1045</v>
      </c>
      <c r="B223" t="s">
        <v>1044</v>
      </c>
      <c r="C223" t="s">
        <v>1043</v>
      </c>
      <c r="D223" t="s">
        <v>1042</v>
      </c>
      <c r="E223" s="1">
        <v>45954</v>
      </c>
      <c r="F223" t="s">
        <v>9</v>
      </c>
      <c r="G223" t="s">
        <v>1041</v>
      </c>
      <c r="H223">
        <v>1</v>
      </c>
      <c r="I223">
        <v>1</v>
      </c>
      <c r="J223" t="s">
        <v>376</v>
      </c>
      <c r="K223" t="s">
        <v>20</v>
      </c>
      <c r="L223" t="s">
        <v>1040</v>
      </c>
      <c r="M223" t="s">
        <v>1039</v>
      </c>
      <c r="N223" t="s">
        <v>1038</v>
      </c>
      <c r="O223" t="s">
        <v>3</v>
      </c>
      <c r="P223" t="s">
        <v>373</v>
      </c>
      <c r="Q223" t="s">
        <v>1037</v>
      </c>
      <c r="R223" t="s">
        <v>1036</v>
      </c>
    </row>
    <row r="224" spans="1:18">
      <c r="A224" t="s">
        <v>1035</v>
      </c>
      <c r="B224" t="s">
        <v>945</v>
      </c>
      <c r="C224" t="s">
        <v>944</v>
      </c>
      <c r="D224" t="s">
        <v>1034</v>
      </c>
      <c r="E224" s="1">
        <v>45943</v>
      </c>
      <c r="F224" t="s">
        <v>9</v>
      </c>
      <c r="G224" t="s">
        <v>1033</v>
      </c>
      <c r="H224">
        <v>1</v>
      </c>
      <c r="I224">
        <v>1</v>
      </c>
      <c r="J224" t="s">
        <v>2798</v>
      </c>
      <c r="K224" t="s">
        <v>7</v>
      </c>
      <c r="L224" t="s">
        <v>943</v>
      </c>
      <c r="M224" t="s">
        <v>1032</v>
      </c>
      <c r="N224" t="s">
        <v>53</v>
      </c>
      <c r="O224" t="s">
        <v>16</v>
      </c>
      <c r="P224" t="s">
        <v>2</v>
      </c>
      <c r="Q224" t="s">
        <v>1031</v>
      </c>
      <c r="R224" t="s">
        <v>940</v>
      </c>
    </row>
    <row r="225" spans="1:18">
      <c r="A225" t="s">
        <v>1030</v>
      </c>
      <c r="B225" t="s">
        <v>1029</v>
      </c>
      <c r="C225" t="s">
        <v>1028</v>
      </c>
      <c r="D225" t="s">
        <v>1019</v>
      </c>
      <c r="E225" s="1">
        <v>45930</v>
      </c>
      <c r="F225" t="s">
        <v>9</v>
      </c>
      <c r="G225" t="s">
        <v>1018</v>
      </c>
      <c r="H225">
        <v>1</v>
      </c>
      <c r="I225">
        <v>1</v>
      </c>
      <c r="J225" t="s">
        <v>2798</v>
      </c>
      <c r="K225" t="s">
        <v>7</v>
      </c>
      <c r="L225" t="s">
        <v>1027</v>
      </c>
      <c r="M225" t="s">
        <v>1026</v>
      </c>
      <c r="N225" t="s">
        <v>53</v>
      </c>
      <c r="O225" t="s">
        <v>16</v>
      </c>
      <c r="P225" t="s">
        <v>1025</v>
      </c>
      <c r="Q225" t="s">
        <v>1024</v>
      </c>
      <c r="R225" t="s">
        <v>1023</v>
      </c>
    </row>
    <row r="226" spans="1:18">
      <c r="A226" t="s">
        <v>1022</v>
      </c>
      <c r="B226" t="s">
        <v>1021</v>
      </c>
      <c r="C226" t="s">
        <v>1020</v>
      </c>
      <c r="D226" t="s">
        <v>1019</v>
      </c>
      <c r="E226" s="1">
        <v>45948</v>
      </c>
      <c r="F226" t="s">
        <v>9</v>
      </c>
      <c r="G226" t="s">
        <v>1018</v>
      </c>
      <c r="H226">
        <v>1</v>
      </c>
      <c r="I226">
        <v>1</v>
      </c>
      <c r="J226" t="s">
        <v>249</v>
      </c>
      <c r="K226" t="s">
        <v>7</v>
      </c>
      <c r="L226" t="s">
        <v>1017</v>
      </c>
      <c r="M226" t="s">
        <v>1016</v>
      </c>
      <c r="N226" t="s">
        <v>250</v>
      </c>
      <c r="O226" t="s">
        <v>3</v>
      </c>
      <c r="P226" t="s">
        <v>249</v>
      </c>
      <c r="Q226" t="s">
        <v>1015</v>
      </c>
      <c r="R226" t="s">
        <v>1014</v>
      </c>
    </row>
    <row r="227" spans="1:18">
      <c r="A227" t="s">
        <v>1013</v>
      </c>
      <c r="B227" t="s">
        <v>1012</v>
      </c>
      <c r="C227" t="s">
        <v>1011</v>
      </c>
      <c r="D227" t="s">
        <v>988</v>
      </c>
      <c r="E227" s="1">
        <v>45939</v>
      </c>
      <c r="F227" t="s">
        <v>9</v>
      </c>
      <c r="G227" t="s">
        <v>987</v>
      </c>
      <c r="H227">
        <v>1</v>
      </c>
      <c r="I227">
        <v>1</v>
      </c>
      <c r="J227" t="s">
        <v>2798</v>
      </c>
      <c r="K227" t="s">
        <v>20</v>
      </c>
      <c r="L227" t="s">
        <v>1010</v>
      </c>
      <c r="M227" t="s">
        <v>1009</v>
      </c>
      <c r="N227" t="s">
        <v>17</v>
      </c>
      <c r="O227" t="s">
        <v>16</v>
      </c>
      <c r="P227" t="s">
        <v>2</v>
      </c>
      <c r="Q227" t="s">
        <v>1008</v>
      </c>
      <c r="R227" t="s">
        <v>1007</v>
      </c>
    </row>
    <row r="228" spans="1:18">
      <c r="A228" t="s">
        <v>1006</v>
      </c>
      <c r="B228" t="s">
        <v>1005</v>
      </c>
      <c r="C228" t="s">
        <v>1004</v>
      </c>
      <c r="D228" t="s">
        <v>988</v>
      </c>
      <c r="E228" s="1">
        <v>45947</v>
      </c>
      <c r="F228" t="s">
        <v>9</v>
      </c>
      <c r="G228" t="s">
        <v>987</v>
      </c>
      <c r="H228">
        <v>1</v>
      </c>
      <c r="I228">
        <v>1</v>
      </c>
      <c r="J228" t="s">
        <v>2798</v>
      </c>
      <c r="K228" t="s">
        <v>20</v>
      </c>
      <c r="L228" t="s">
        <v>1003</v>
      </c>
      <c r="M228" t="s">
        <v>1002</v>
      </c>
      <c r="N228" t="s">
        <v>35</v>
      </c>
      <c r="O228" t="s">
        <v>3</v>
      </c>
      <c r="P228" t="s">
        <v>2</v>
      </c>
      <c r="Q228" t="s">
        <v>1001</v>
      </c>
      <c r="R228" t="s">
        <v>1000</v>
      </c>
    </row>
    <row r="229" spans="1:18">
      <c r="A229" t="s">
        <v>999</v>
      </c>
      <c r="B229" t="s">
        <v>998</v>
      </c>
      <c r="C229" t="s">
        <v>997</v>
      </c>
      <c r="D229" t="s">
        <v>988</v>
      </c>
      <c r="E229" s="1">
        <v>45949</v>
      </c>
      <c r="F229" t="s">
        <v>9</v>
      </c>
      <c r="G229" t="s">
        <v>987</v>
      </c>
      <c r="H229">
        <v>1</v>
      </c>
      <c r="I229">
        <v>1</v>
      </c>
      <c r="J229" t="s">
        <v>2798</v>
      </c>
      <c r="K229" t="s">
        <v>20</v>
      </c>
      <c r="L229" t="s">
        <v>996</v>
      </c>
      <c r="M229" t="s">
        <v>995</v>
      </c>
      <c r="N229" t="s">
        <v>994</v>
      </c>
      <c r="O229" t="s">
        <v>3</v>
      </c>
      <c r="P229" t="s">
        <v>2</v>
      </c>
      <c r="Q229" t="s">
        <v>993</v>
      </c>
      <c r="R229" t="s">
        <v>992</v>
      </c>
    </row>
    <row r="230" spans="1:18">
      <c r="A230" t="s">
        <v>991</v>
      </c>
      <c r="B230" t="s">
        <v>990</v>
      </c>
      <c r="C230" t="s">
        <v>989</v>
      </c>
      <c r="D230" t="s">
        <v>988</v>
      </c>
      <c r="E230" s="1">
        <v>45958</v>
      </c>
      <c r="F230" t="s">
        <v>9</v>
      </c>
      <c r="G230" t="s">
        <v>987</v>
      </c>
      <c r="H230">
        <v>1</v>
      </c>
      <c r="I230">
        <v>1</v>
      </c>
      <c r="J230" t="s">
        <v>2797</v>
      </c>
      <c r="K230" t="s">
        <v>20</v>
      </c>
      <c r="L230" t="s">
        <v>986</v>
      </c>
      <c r="M230" t="s">
        <v>985</v>
      </c>
      <c r="N230" t="s">
        <v>17</v>
      </c>
      <c r="O230" t="s">
        <v>16</v>
      </c>
      <c r="P230" t="s">
        <v>984</v>
      </c>
      <c r="Q230" t="s">
        <v>983</v>
      </c>
      <c r="R230" t="s">
        <v>982</v>
      </c>
    </row>
    <row r="231" spans="1:18">
      <c r="A231" t="s">
        <v>981</v>
      </c>
      <c r="B231" t="s">
        <v>980</v>
      </c>
      <c r="C231" t="s">
        <v>979</v>
      </c>
      <c r="D231" t="s">
        <v>970</v>
      </c>
      <c r="E231" s="1">
        <v>45918</v>
      </c>
      <c r="F231" t="s">
        <v>9</v>
      </c>
      <c r="G231" t="s">
        <v>969</v>
      </c>
      <c r="H231">
        <v>1</v>
      </c>
      <c r="I231">
        <v>1</v>
      </c>
      <c r="J231" t="s">
        <v>2798</v>
      </c>
      <c r="K231" t="s">
        <v>20</v>
      </c>
      <c r="L231" t="s">
        <v>978</v>
      </c>
      <c r="M231" t="s">
        <v>977</v>
      </c>
      <c r="N231" t="s">
        <v>17</v>
      </c>
      <c r="O231" t="s">
        <v>16</v>
      </c>
      <c r="P231" t="s">
        <v>976</v>
      </c>
      <c r="Q231" t="s">
        <v>975</v>
      </c>
      <c r="R231" t="s">
        <v>974</v>
      </c>
    </row>
    <row r="232" spans="1:18">
      <c r="A232" t="s">
        <v>973</v>
      </c>
      <c r="B232" t="s">
        <v>972</v>
      </c>
      <c r="C232" t="s">
        <v>971</v>
      </c>
      <c r="D232" t="s">
        <v>970</v>
      </c>
      <c r="E232" s="1">
        <v>45943</v>
      </c>
      <c r="F232" t="s">
        <v>9</v>
      </c>
      <c r="G232" t="s">
        <v>969</v>
      </c>
      <c r="H232">
        <v>1</v>
      </c>
      <c r="I232">
        <v>1</v>
      </c>
      <c r="J232" t="s">
        <v>2798</v>
      </c>
      <c r="K232" t="s">
        <v>7</v>
      </c>
      <c r="L232" t="s">
        <v>968</v>
      </c>
      <c r="M232" t="s">
        <v>967</v>
      </c>
      <c r="N232" t="s">
        <v>250</v>
      </c>
      <c r="O232" t="s">
        <v>3</v>
      </c>
      <c r="P232" t="s">
        <v>2</v>
      </c>
      <c r="Q232" t="s">
        <v>966</v>
      </c>
      <c r="R232" t="s">
        <v>965</v>
      </c>
    </row>
    <row r="233" spans="1:18">
      <c r="A233" t="s">
        <v>964</v>
      </c>
      <c r="B233" t="s">
        <v>961</v>
      </c>
      <c r="C233" t="s">
        <v>963</v>
      </c>
      <c r="D233" t="s">
        <v>957</v>
      </c>
      <c r="E233" s="1">
        <v>45930</v>
      </c>
      <c r="F233" t="s">
        <v>65</v>
      </c>
      <c r="G233" t="s">
        <v>956</v>
      </c>
      <c r="H233">
        <v>1</v>
      </c>
      <c r="I233">
        <v>1</v>
      </c>
      <c r="J233" t="s">
        <v>65</v>
      </c>
      <c r="K233" t="s">
        <v>63</v>
      </c>
      <c r="L233" t="s">
        <v>962</v>
      </c>
      <c r="M233" t="s">
        <v>61</v>
      </c>
      <c r="N233" t="s">
        <v>61</v>
      </c>
      <c r="O233" t="s">
        <v>16</v>
      </c>
      <c r="P233" t="s">
        <v>61</v>
      </c>
      <c r="Q233" t="s">
        <v>61</v>
      </c>
      <c r="R233" t="s">
        <v>961</v>
      </c>
    </row>
    <row r="234" spans="1:18">
      <c r="A234" t="s">
        <v>960</v>
      </c>
      <c r="B234" t="s">
        <v>959</v>
      </c>
      <c r="C234" t="s">
        <v>958</v>
      </c>
      <c r="D234" t="s">
        <v>957</v>
      </c>
      <c r="E234" s="1">
        <v>45939</v>
      </c>
      <c r="F234" t="s">
        <v>9</v>
      </c>
      <c r="G234" t="s">
        <v>956</v>
      </c>
      <c r="H234">
        <v>1</v>
      </c>
      <c r="I234">
        <v>1</v>
      </c>
      <c r="J234" t="s">
        <v>2797</v>
      </c>
      <c r="K234" t="s">
        <v>20</v>
      </c>
      <c r="L234" t="s">
        <v>955</v>
      </c>
      <c r="M234" t="s">
        <v>954</v>
      </c>
      <c r="N234" t="s">
        <v>17</v>
      </c>
      <c r="O234" t="s">
        <v>16</v>
      </c>
      <c r="P234" t="s">
        <v>953</v>
      </c>
      <c r="Q234" t="s">
        <v>952</v>
      </c>
      <c r="R234" t="s">
        <v>951</v>
      </c>
    </row>
    <row r="235" spans="1:18">
      <c r="A235" t="s">
        <v>950</v>
      </c>
      <c r="B235" t="s">
        <v>947</v>
      </c>
      <c r="C235" t="s">
        <v>949</v>
      </c>
      <c r="D235" t="s">
        <v>929</v>
      </c>
      <c r="E235" s="1">
        <v>45933</v>
      </c>
      <c r="F235" t="s">
        <v>65</v>
      </c>
      <c r="G235" t="s">
        <v>928</v>
      </c>
      <c r="H235">
        <v>1</v>
      </c>
      <c r="I235">
        <v>1</v>
      </c>
      <c r="J235" t="s">
        <v>65</v>
      </c>
      <c r="K235" t="s">
        <v>112</v>
      </c>
      <c r="L235" t="s">
        <v>948</v>
      </c>
      <c r="M235" t="s">
        <v>61</v>
      </c>
      <c r="N235" t="s">
        <v>61</v>
      </c>
      <c r="O235" t="s">
        <v>16</v>
      </c>
      <c r="P235" t="s">
        <v>61</v>
      </c>
      <c r="Q235" t="s">
        <v>61</v>
      </c>
      <c r="R235" t="s">
        <v>947</v>
      </c>
    </row>
    <row r="236" spans="1:18">
      <c r="A236" t="s">
        <v>946</v>
      </c>
      <c r="B236" t="s">
        <v>945</v>
      </c>
      <c r="C236" t="s">
        <v>944</v>
      </c>
      <c r="D236" t="s">
        <v>929</v>
      </c>
      <c r="E236" s="1">
        <v>45939</v>
      </c>
      <c r="F236" t="s">
        <v>9</v>
      </c>
      <c r="G236" t="s">
        <v>928</v>
      </c>
      <c r="H236">
        <v>1</v>
      </c>
      <c r="I236">
        <v>1</v>
      </c>
      <c r="J236" t="s">
        <v>2798</v>
      </c>
      <c r="K236" t="s">
        <v>7</v>
      </c>
      <c r="L236" t="s">
        <v>943</v>
      </c>
      <c r="M236" t="s">
        <v>942</v>
      </c>
      <c r="N236" t="s">
        <v>53</v>
      </c>
      <c r="O236" t="s">
        <v>16</v>
      </c>
      <c r="P236" t="s">
        <v>2</v>
      </c>
      <c r="Q236" t="s">
        <v>941</v>
      </c>
      <c r="R236" t="s">
        <v>940</v>
      </c>
    </row>
    <row r="237" spans="1:18">
      <c r="A237" t="s">
        <v>939</v>
      </c>
      <c r="B237" t="s">
        <v>938</v>
      </c>
      <c r="C237" t="s">
        <v>937</v>
      </c>
      <c r="D237" t="s">
        <v>929</v>
      </c>
      <c r="E237" s="1">
        <v>45946</v>
      </c>
      <c r="F237" t="s">
        <v>9</v>
      </c>
      <c r="G237" t="s">
        <v>928</v>
      </c>
      <c r="H237">
        <v>1</v>
      </c>
      <c r="I237">
        <v>1</v>
      </c>
      <c r="J237" t="s">
        <v>2798</v>
      </c>
      <c r="K237" t="s">
        <v>20</v>
      </c>
      <c r="L237" t="s">
        <v>936</v>
      </c>
      <c r="M237" t="s">
        <v>935</v>
      </c>
      <c r="N237" t="s">
        <v>17</v>
      </c>
      <c r="O237" t="s">
        <v>16</v>
      </c>
      <c r="P237" t="s">
        <v>2</v>
      </c>
      <c r="Q237" t="s">
        <v>934</v>
      </c>
      <c r="R237" t="s">
        <v>933</v>
      </c>
    </row>
    <row r="238" spans="1:18">
      <c r="A238" t="s">
        <v>932</v>
      </c>
      <c r="B238" t="s">
        <v>931</v>
      </c>
      <c r="C238" t="s">
        <v>930</v>
      </c>
      <c r="D238" t="s">
        <v>929</v>
      </c>
      <c r="E238" s="1">
        <v>45946</v>
      </c>
      <c r="F238" t="s">
        <v>9</v>
      </c>
      <c r="G238" t="s">
        <v>928</v>
      </c>
      <c r="H238">
        <v>1</v>
      </c>
      <c r="I238">
        <v>1</v>
      </c>
      <c r="J238" t="s">
        <v>2798</v>
      </c>
      <c r="K238" t="s">
        <v>7</v>
      </c>
      <c r="L238" t="s">
        <v>927</v>
      </c>
      <c r="M238" t="s">
        <v>926</v>
      </c>
      <c r="N238" t="s">
        <v>925</v>
      </c>
      <c r="O238" t="s">
        <v>3</v>
      </c>
      <c r="P238" t="s">
        <v>2</v>
      </c>
      <c r="Q238" t="s">
        <v>924</v>
      </c>
      <c r="R238" t="s">
        <v>923</v>
      </c>
    </row>
    <row r="239" spans="1:18">
      <c r="A239" t="s">
        <v>922</v>
      </c>
      <c r="B239" t="s">
        <v>919</v>
      </c>
      <c r="C239" t="s">
        <v>921</v>
      </c>
      <c r="D239" t="s">
        <v>915</v>
      </c>
      <c r="E239" s="1">
        <v>45938</v>
      </c>
      <c r="F239" t="s">
        <v>65</v>
      </c>
      <c r="G239" t="s">
        <v>914</v>
      </c>
      <c r="H239">
        <v>1</v>
      </c>
      <c r="I239">
        <v>1</v>
      </c>
      <c r="J239" t="s">
        <v>65</v>
      </c>
      <c r="K239" t="s">
        <v>112</v>
      </c>
      <c r="L239" t="s">
        <v>920</v>
      </c>
      <c r="M239" t="s">
        <v>61</v>
      </c>
      <c r="N239" t="s">
        <v>61</v>
      </c>
      <c r="O239" t="s">
        <v>16</v>
      </c>
      <c r="P239" t="s">
        <v>61</v>
      </c>
      <c r="Q239" t="s">
        <v>61</v>
      </c>
      <c r="R239" t="s">
        <v>919</v>
      </c>
    </row>
    <row r="240" spans="1:18">
      <c r="A240" t="s">
        <v>918</v>
      </c>
      <c r="B240" t="s">
        <v>917</v>
      </c>
      <c r="C240" t="s">
        <v>916</v>
      </c>
      <c r="D240" t="s">
        <v>915</v>
      </c>
      <c r="E240" s="1">
        <v>45954</v>
      </c>
      <c r="F240" t="s">
        <v>9</v>
      </c>
      <c r="G240" t="s">
        <v>914</v>
      </c>
      <c r="H240">
        <v>1</v>
      </c>
      <c r="I240">
        <v>1</v>
      </c>
      <c r="J240" t="s">
        <v>2798</v>
      </c>
      <c r="K240" t="s">
        <v>20</v>
      </c>
      <c r="L240" t="s">
        <v>913</v>
      </c>
      <c r="M240" t="s">
        <v>912</v>
      </c>
      <c r="N240" t="s">
        <v>17</v>
      </c>
      <c r="O240" t="s">
        <v>16</v>
      </c>
      <c r="P240" t="s">
        <v>2</v>
      </c>
      <c r="Q240" t="s">
        <v>911</v>
      </c>
      <c r="R240" t="s">
        <v>910</v>
      </c>
    </row>
    <row r="241" spans="1:18">
      <c r="A241" t="s">
        <v>909</v>
      </c>
      <c r="B241" t="s">
        <v>908</v>
      </c>
      <c r="C241" t="s">
        <v>907</v>
      </c>
      <c r="D241" t="s">
        <v>906</v>
      </c>
      <c r="E241" s="1">
        <v>45904</v>
      </c>
      <c r="F241" t="s">
        <v>9</v>
      </c>
      <c r="G241" t="s">
        <v>905</v>
      </c>
      <c r="H241">
        <v>1</v>
      </c>
      <c r="I241">
        <v>1</v>
      </c>
      <c r="J241" t="s">
        <v>2798</v>
      </c>
      <c r="K241" t="s">
        <v>7</v>
      </c>
      <c r="L241" t="s">
        <v>904</v>
      </c>
      <c r="M241" t="s">
        <v>903</v>
      </c>
      <c r="N241" t="s">
        <v>53</v>
      </c>
      <c r="O241" t="s">
        <v>16</v>
      </c>
      <c r="P241" t="s">
        <v>141</v>
      </c>
      <c r="Q241" t="s">
        <v>902</v>
      </c>
      <c r="R241" t="s">
        <v>901</v>
      </c>
    </row>
    <row r="242" spans="1:18">
      <c r="A242" t="s">
        <v>900</v>
      </c>
      <c r="B242" t="s">
        <v>899</v>
      </c>
      <c r="C242" t="s">
        <v>898</v>
      </c>
      <c r="D242" t="s">
        <v>897</v>
      </c>
      <c r="E242" s="1">
        <v>45948</v>
      </c>
      <c r="F242" t="s">
        <v>9</v>
      </c>
      <c r="G242" t="s">
        <v>896</v>
      </c>
      <c r="H242">
        <v>1</v>
      </c>
      <c r="I242">
        <v>1</v>
      </c>
      <c r="J242" t="s">
        <v>249</v>
      </c>
      <c r="K242" t="s">
        <v>7</v>
      </c>
      <c r="L242" t="s">
        <v>895</v>
      </c>
      <c r="M242" t="s">
        <v>894</v>
      </c>
      <c r="N242" t="s">
        <v>53</v>
      </c>
      <c r="O242" t="s">
        <v>16</v>
      </c>
      <c r="P242" t="s">
        <v>249</v>
      </c>
      <c r="Q242" t="s">
        <v>893</v>
      </c>
      <c r="R242" t="s">
        <v>892</v>
      </c>
    </row>
    <row r="243" spans="1:18">
      <c r="A243" t="s">
        <v>891</v>
      </c>
      <c r="B243" t="s">
        <v>886</v>
      </c>
      <c r="C243" t="s">
        <v>890</v>
      </c>
      <c r="D243" t="s">
        <v>889</v>
      </c>
      <c r="E243" s="1">
        <v>45933</v>
      </c>
      <c r="F243" t="s">
        <v>65</v>
      </c>
      <c r="G243" t="s">
        <v>888</v>
      </c>
      <c r="H243">
        <v>1</v>
      </c>
      <c r="I243">
        <v>1</v>
      </c>
      <c r="J243" t="s">
        <v>65</v>
      </c>
      <c r="K243" t="s">
        <v>63</v>
      </c>
      <c r="L243" t="s">
        <v>887</v>
      </c>
      <c r="M243" t="s">
        <v>61</v>
      </c>
      <c r="N243" t="s">
        <v>61</v>
      </c>
      <c r="O243" t="s">
        <v>16</v>
      </c>
      <c r="P243" t="s">
        <v>61</v>
      </c>
      <c r="Q243" t="s">
        <v>61</v>
      </c>
      <c r="R243" t="s">
        <v>886</v>
      </c>
    </row>
    <row r="244" spans="1:18">
      <c r="A244" t="s">
        <v>885</v>
      </c>
      <c r="B244" t="s">
        <v>884</v>
      </c>
      <c r="C244" t="s">
        <v>883</v>
      </c>
      <c r="D244" t="s">
        <v>882</v>
      </c>
      <c r="E244" s="1">
        <v>45946</v>
      </c>
      <c r="F244" t="s">
        <v>9</v>
      </c>
      <c r="G244" t="s">
        <v>881</v>
      </c>
      <c r="H244">
        <v>1</v>
      </c>
      <c r="I244">
        <v>1</v>
      </c>
      <c r="J244" t="s">
        <v>2797</v>
      </c>
      <c r="K244" t="s">
        <v>20</v>
      </c>
      <c r="L244" t="s">
        <v>880</v>
      </c>
      <c r="M244" t="s">
        <v>879</v>
      </c>
      <c r="N244" t="s">
        <v>17</v>
      </c>
      <c r="O244" t="s">
        <v>16</v>
      </c>
      <c r="P244" t="s">
        <v>56</v>
      </c>
      <c r="Q244" t="s">
        <v>878</v>
      </c>
      <c r="R244" t="s">
        <v>877</v>
      </c>
    </row>
    <row r="245" spans="1:18">
      <c r="A245" t="s">
        <v>876</v>
      </c>
      <c r="B245" t="s">
        <v>875</v>
      </c>
      <c r="C245" t="s">
        <v>874</v>
      </c>
      <c r="D245" t="s">
        <v>873</v>
      </c>
      <c r="E245" s="1">
        <v>45934</v>
      </c>
      <c r="F245" t="s">
        <v>9</v>
      </c>
      <c r="G245" t="s">
        <v>872</v>
      </c>
      <c r="H245">
        <v>1</v>
      </c>
      <c r="I245">
        <v>1</v>
      </c>
      <c r="J245" t="s">
        <v>2798</v>
      </c>
      <c r="K245" t="s">
        <v>20</v>
      </c>
      <c r="L245" t="s">
        <v>871</v>
      </c>
      <c r="M245" t="s">
        <v>870</v>
      </c>
      <c r="N245" t="s">
        <v>17</v>
      </c>
      <c r="O245" t="s">
        <v>16</v>
      </c>
      <c r="P245" t="s">
        <v>2</v>
      </c>
      <c r="Q245" t="s">
        <v>869</v>
      </c>
      <c r="R245" t="s">
        <v>868</v>
      </c>
    </row>
    <row r="246" spans="1:18">
      <c r="A246" t="s">
        <v>867</v>
      </c>
      <c r="B246" t="s">
        <v>866</v>
      </c>
      <c r="C246" t="s">
        <v>865</v>
      </c>
      <c r="D246" t="s">
        <v>864</v>
      </c>
      <c r="E246" s="1">
        <v>45933</v>
      </c>
      <c r="F246" t="s">
        <v>9</v>
      </c>
      <c r="G246" t="s">
        <v>863</v>
      </c>
      <c r="H246">
        <v>1</v>
      </c>
      <c r="I246">
        <v>1</v>
      </c>
      <c r="J246" t="s">
        <v>2798</v>
      </c>
      <c r="K246" t="s">
        <v>7</v>
      </c>
      <c r="L246" t="s">
        <v>862</v>
      </c>
      <c r="M246" t="s">
        <v>861</v>
      </c>
      <c r="N246" t="s">
        <v>53</v>
      </c>
      <c r="O246" t="s">
        <v>16</v>
      </c>
      <c r="P246" t="s">
        <v>860</v>
      </c>
      <c r="Q246" t="s">
        <v>859</v>
      </c>
      <c r="R246" t="s">
        <v>858</v>
      </c>
    </row>
    <row r="247" spans="1:18">
      <c r="A247" t="s">
        <v>857</v>
      </c>
      <c r="B247" t="s">
        <v>856</v>
      </c>
      <c r="C247" t="s">
        <v>855</v>
      </c>
      <c r="D247" t="s">
        <v>854</v>
      </c>
      <c r="E247" s="1">
        <v>45937</v>
      </c>
      <c r="F247" t="s">
        <v>9</v>
      </c>
      <c r="G247" t="s">
        <v>853</v>
      </c>
      <c r="H247">
        <v>1</v>
      </c>
      <c r="I247">
        <v>1</v>
      </c>
      <c r="J247" t="s">
        <v>2798</v>
      </c>
      <c r="K247" t="s">
        <v>7</v>
      </c>
      <c r="L247" t="s">
        <v>852</v>
      </c>
      <c r="M247" t="s">
        <v>851</v>
      </c>
      <c r="N247" t="s">
        <v>53</v>
      </c>
      <c r="O247" t="s">
        <v>16</v>
      </c>
      <c r="P247" t="s">
        <v>2</v>
      </c>
      <c r="Q247" t="s">
        <v>850</v>
      </c>
      <c r="R247" t="s">
        <v>849</v>
      </c>
    </row>
    <row r="248" spans="1:18">
      <c r="A248" t="s">
        <v>848</v>
      </c>
      <c r="B248" t="s">
        <v>847</v>
      </c>
      <c r="C248" t="s">
        <v>846</v>
      </c>
      <c r="D248" t="s">
        <v>845</v>
      </c>
      <c r="E248" s="1">
        <v>45951</v>
      </c>
      <c r="F248" t="s">
        <v>9</v>
      </c>
      <c r="G248" t="s">
        <v>844</v>
      </c>
      <c r="H248">
        <v>1</v>
      </c>
      <c r="I248">
        <v>1</v>
      </c>
      <c r="J248" t="s">
        <v>2798</v>
      </c>
      <c r="K248" t="s">
        <v>20</v>
      </c>
      <c r="L248" t="s">
        <v>843</v>
      </c>
      <c r="M248" t="s">
        <v>842</v>
      </c>
      <c r="N248" t="s">
        <v>841</v>
      </c>
      <c r="O248" t="s">
        <v>3</v>
      </c>
      <c r="P248" t="s">
        <v>2</v>
      </c>
      <c r="Q248" t="s">
        <v>840</v>
      </c>
      <c r="R248" t="s">
        <v>839</v>
      </c>
    </row>
    <row r="249" spans="1:18">
      <c r="A249" t="s">
        <v>838</v>
      </c>
      <c r="B249" t="s">
        <v>837</v>
      </c>
      <c r="C249" t="s">
        <v>836</v>
      </c>
      <c r="D249" t="s">
        <v>835</v>
      </c>
      <c r="E249" s="1">
        <v>45925</v>
      </c>
      <c r="F249" t="s">
        <v>9</v>
      </c>
      <c r="G249" t="s">
        <v>834</v>
      </c>
      <c r="H249">
        <v>1</v>
      </c>
      <c r="I249">
        <v>1</v>
      </c>
      <c r="J249" t="s">
        <v>2798</v>
      </c>
      <c r="K249" t="s">
        <v>7</v>
      </c>
      <c r="L249" t="s">
        <v>833</v>
      </c>
      <c r="M249" t="s">
        <v>832</v>
      </c>
      <c r="N249" t="s">
        <v>53</v>
      </c>
      <c r="O249" t="s">
        <v>16</v>
      </c>
      <c r="P249" t="s">
        <v>2</v>
      </c>
      <c r="Q249" t="s">
        <v>831</v>
      </c>
      <c r="R249" t="s">
        <v>830</v>
      </c>
    </row>
    <row r="250" spans="1:18">
      <c r="A250" t="s">
        <v>829</v>
      </c>
      <c r="B250" t="s">
        <v>828</v>
      </c>
      <c r="C250" t="s">
        <v>827</v>
      </c>
      <c r="D250" t="s">
        <v>826</v>
      </c>
      <c r="E250" s="1">
        <v>45941</v>
      </c>
      <c r="F250" t="s">
        <v>9</v>
      </c>
      <c r="G250" t="s">
        <v>825</v>
      </c>
      <c r="H250">
        <v>1</v>
      </c>
      <c r="I250">
        <v>1</v>
      </c>
      <c r="J250" t="s">
        <v>2798</v>
      </c>
      <c r="K250" t="s">
        <v>7</v>
      </c>
      <c r="L250" t="s">
        <v>824</v>
      </c>
      <c r="M250" t="s">
        <v>823</v>
      </c>
      <c r="N250" t="s">
        <v>53</v>
      </c>
      <c r="O250" t="s">
        <v>16</v>
      </c>
      <c r="P250" t="s">
        <v>2</v>
      </c>
      <c r="Q250" t="s">
        <v>822</v>
      </c>
      <c r="R250" t="s">
        <v>821</v>
      </c>
    </row>
    <row r="251" spans="1:18">
      <c r="A251" t="s">
        <v>820</v>
      </c>
      <c r="B251" t="s">
        <v>819</v>
      </c>
      <c r="C251" t="s">
        <v>818</v>
      </c>
      <c r="D251" t="s">
        <v>817</v>
      </c>
      <c r="E251" s="1">
        <v>45955</v>
      </c>
      <c r="F251" t="s">
        <v>9</v>
      </c>
      <c r="G251" t="s">
        <v>816</v>
      </c>
      <c r="H251">
        <v>1</v>
      </c>
      <c r="I251">
        <v>1</v>
      </c>
      <c r="J251" t="s">
        <v>2797</v>
      </c>
      <c r="K251" t="s">
        <v>20</v>
      </c>
      <c r="L251" t="s">
        <v>815</v>
      </c>
      <c r="M251" t="s">
        <v>814</v>
      </c>
      <c r="N251" t="s">
        <v>813</v>
      </c>
      <c r="O251" t="s">
        <v>3</v>
      </c>
      <c r="P251" t="s">
        <v>151</v>
      </c>
      <c r="Q251" t="s">
        <v>812</v>
      </c>
      <c r="R251" t="s">
        <v>811</v>
      </c>
    </row>
    <row r="252" spans="1:18">
      <c r="A252" t="s">
        <v>810</v>
      </c>
      <c r="B252" t="s">
        <v>809</v>
      </c>
      <c r="C252" t="s">
        <v>808</v>
      </c>
      <c r="D252" t="s">
        <v>807</v>
      </c>
      <c r="E252" s="1">
        <v>45957</v>
      </c>
      <c r="F252" t="s">
        <v>9</v>
      </c>
      <c r="G252" t="s">
        <v>806</v>
      </c>
      <c r="H252">
        <v>1</v>
      </c>
      <c r="I252">
        <v>1</v>
      </c>
      <c r="J252" t="s">
        <v>2798</v>
      </c>
      <c r="K252" t="s">
        <v>20</v>
      </c>
      <c r="L252" t="s">
        <v>805</v>
      </c>
      <c r="M252" t="s">
        <v>804</v>
      </c>
      <c r="N252" t="s">
        <v>17</v>
      </c>
      <c r="O252" t="s">
        <v>16</v>
      </c>
      <c r="P252" t="s">
        <v>2</v>
      </c>
      <c r="Q252" t="s">
        <v>803</v>
      </c>
      <c r="R252" t="s">
        <v>802</v>
      </c>
    </row>
    <row r="253" spans="1:18">
      <c r="A253" t="s">
        <v>801</v>
      </c>
      <c r="B253" t="s">
        <v>800</v>
      </c>
      <c r="C253" t="s">
        <v>799</v>
      </c>
      <c r="D253" t="s">
        <v>798</v>
      </c>
      <c r="E253" s="1">
        <v>45943</v>
      </c>
      <c r="F253" t="s">
        <v>9</v>
      </c>
      <c r="G253" t="s">
        <v>797</v>
      </c>
      <c r="H253">
        <v>1</v>
      </c>
      <c r="I253">
        <v>1</v>
      </c>
      <c r="J253" t="s">
        <v>2798</v>
      </c>
      <c r="K253" t="s">
        <v>7</v>
      </c>
      <c r="L253" t="s">
        <v>796</v>
      </c>
      <c r="M253" t="s">
        <v>795</v>
      </c>
      <c r="N253" t="s">
        <v>53</v>
      </c>
      <c r="O253" t="s">
        <v>16</v>
      </c>
      <c r="P253" t="s">
        <v>2</v>
      </c>
      <c r="Q253" t="s">
        <v>794</v>
      </c>
      <c r="R253" t="s">
        <v>793</v>
      </c>
    </row>
    <row r="254" spans="1:18">
      <c r="A254" t="s">
        <v>790</v>
      </c>
      <c r="B254" t="s">
        <v>785</v>
      </c>
      <c r="C254" t="s">
        <v>789</v>
      </c>
      <c r="D254" t="s">
        <v>792</v>
      </c>
      <c r="E254" s="1">
        <v>45949</v>
      </c>
      <c r="F254" t="s">
        <v>65</v>
      </c>
      <c r="G254" t="s">
        <v>791</v>
      </c>
      <c r="H254">
        <v>1</v>
      </c>
      <c r="I254">
        <v>1</v>
      </c>
      <c r="J254" t="s">
        <v>65</v>
      </c>
      <c r="K254" t="s">
        <v>112</v>
      </c>
      <c r="L254" t="s">
        <v>786</v>
      </c>
      <c r="M254" t="s">
        <v>61</v>
      </c>
      <c r="N254" t="s">
        <v>61</v>
      </c>
      <c r="O254" t="s">
        <v>80</v>
      </c>
      <c r="P254" t="s">
        <v>61</v>
      </c>
      <c r="Q254" t="s">
        <v>61</v>
      </c>
      <c r="R254" t="s">
        <v>785</v>
      </c>
    </row>
    <row r="255" spans="1:18">
      <c r="A255" t="s">
        <v>790</v>
      </c>
      <c r="B255" t="s">
        <v>785</v>
      </c>
      <c r="C255" t="s">
        <v>789</v>
      </c>
      <c r="D255" t="s">
        <v>788</v>
      </c>
      <c r="E255" s="1">
        <v>45949</v>
      </c>
      <c r="F255" t="s">
        <v>65</v>
      </c>
      <c r="G255" t="s">
        <v>787</v>
      </c>
      <c r="H255">
        <v>1</v>
      </c>
      <c r="I255">
        <v>1</v>
      </c>
      <c r="J255" t="s">
        <v>65</v>
      </c>
      <c r="K255" t="s">
        <v>112</v>
      </c>
      <c r="L255" t="s">
        <v>786</v>
      </c>
      <c r="M255" t="s">
        <v>61</v>
      </c>
      <c r="N255" t="s">
        <v>61</v>
      </c>
      <c r="O255" t="s">
        <v>80</v>
      </c>
      <c r="P255" t="s">
        <v>61</v>
      </c>
      <c r="Q255" t="s">
        <v>61</v>
      </c>
      <c r="R255" t="s">
        <v>785</v>
      </c>
    </row>
    <row r="256" spans="1:18">
      <c r="A256" t="s">
        <v>784</v>
      </c>
      <c r="B256" t="s">
        <v>783</v>
      </c>
      <c r="C256" t="s">
        <v>782</v>
      </c>
      <c r="D256" t="s">
        <v>781</v>
      </c>
      <c r="E256" s="1">
        <v>45954</v>
      </c>
      <c r="F256" t="s">
        <v>9</v>
      </c>
      <c r="G256" t="s">
        <v>780</v>
      </c>
      <c r="H256">
        <v>1</v>
      </c>
      <c r="I256">
        <v>1</v>
      </c>
      <c r="J256" t="s">
        <v>2797</v>
      </c>
      <c r="K256" t="s">
        <v>20</v>
      </c>
      <c r="L256" t="s">
        <v>779</v>
      </c>
      <c r="M256" t="s">
        <v>778</v>
      </c>
      <c r="N256" t="s">
        <v>17</v>
      </c>
      <c r="O256" t="s">
        <v>16</v>
      </c>
      <c r="P256" t="s">
        <v>151</v>
      </c>
      <c r="Q256" t="s">
        <v>777</v>
      </c>
      <c r="R256" t="s">
        <v>776</v>
      </c>
    </row>
    <row r="257" spans="1:18">
      <c r="A257" t="s">
        <v>775</v>
      </c>
      <c r="B257" t="s">
        <v>774</v>
      </c>
      <c r="C257" t="s">
        <v>773</v>
      </c>
      <c r="D257" t="s">
        <v>772</v>
      </c>
      <c r="E257" s="1">
        <v>45951</v>
      </c>
      <c r="F257" t="s">
        <v>9</v>
      </c>
      <c r="G257" t="s">
        <v>771</v>
      </c>
      <c r="H257">
        <v>1</v>
      </c>
      <c r="I257">
        <v>1</v>
      </c>
      <c r="J257" t="s">
        <v>2798</v>
      </c>
      <c r="K257" t="s">
        <v>7</v>
      </c>
      <c r="L257" t="s">
        <v>770</v>
      </c>
      <c r="M257" t="s">
        <v>769</v>
      </c>
      <c r="N257" t="s">
        <v>100</v>
      </c>
      <c r="O257" t="s">
        <v>3</v>
      </c>
      <c r="P257" t="s">
        <v>2</v>
      </c>
      <c r="Q257" t="s">
        <v>768</v>
      </c>
      <c r="R257" t="s">
        <v>767</v>
      </c>
    </row>
    <row r="258" spans="1:18">
      <c r="A258" t="s">
        <v>766</v>
      </c>
      <c r="B258" t="s">
        <v>765</v>
      </c>
      <c r="C258" t="s">
        <v>764</v>
      </c>
      <c r="D258" t="s">
        <v>763</v>
      </c>
      <c r="E258" s="1">
        <v>45951</v>
      </c>
      <c r="F258" t="s">
        <v>9</v>
      </c>
      <c r="G258" t="s">
        <v>762</v>
      </c>
      <c r="H258">
        <v>1</v>
      </c>
      <c r="I258">
        <v>1</v>
      </c>
      <c r="J258" t="s">
        <v>2798</v>
      </c>
      <c r="K258" t="s">
        <v>7</v>
      </c>
      <c r="L258" t="s">
        <v>761</v>
      </c>
      <c r="M258" t="s">
        <v>760</v>
      </c>
      <c r="N258" t="s">
        <v>100</v>
      </c>
      <c r="O258" t="s">
        <v>3</v>
      </c>
      <c r="P258" t="s">
        <v>2</v>
      </c>
      <c r="Q258" t="s">
        <v>759</v>
      </c>
      <c r="R258" t="s">
        <v>758</v>
      </c>
    </row>
    <row r="259" spans="1:18">
      <c r="A259" t="s">
        <v>757</v>
      </c>
      <c r="B259" t="s">
        <v>756</v>
      </c>
      <c r="C259" t="s">
        <v>755</v>
      </c>
      <c r="D259" t="s">
        <v>754</v>
      </c>
      <c r="E259" s="1">
        <v>45954</v>
      </c>
      <c r="F259" t="s">
        <v>9</v>
      </c>
      <c r="G259" t="s">
        <v>753</v>
      </c>
      <c r="H259">
        <v>1</v>
      </c>
      <c r="I259">
        <v>1</v>
      </c>
      <c r="J259" t="s">
        <v>2798</v>
      </c>
      <c r="K259" t="s">
        <v>20</v>
      </c>
      <c r="L259" t="s">
        <v>752</v>
      </c>
      <c r="M259" t="s">
        <v>751</v>
      </c>
      <c r="N259" t="s">
        <v>17</v>
      </c>
      <c r="O259" t="s">
        <v>16</v>
      </c>
      <c r="P259" t="s">
        <v>2</v>
      </c>
      <c r="Q259" t="s">
        <v>750</v>
      </c>
      <c r="R259" t="s">
        <v>749</v>
      </c>
    </row>
    <row r="260" spans="1:18">
      <c r="A260" t="s">
        <v>748</v>
      </c>
      <c r="B260" t="s">
        <v>747</v>
      </c>
      <c r="C260" t="s">
        <v>746</v>
      </c>
      <c r="D260" t="s">
        <v>745</v>
      </c>
      <c r="E260" s="1">
        <v>45911</v>
      </c>
      <c r="F260" t="s">
        <v>9</v>
      </c>
      <c r="G260" t="s">
        <v>744</v>
      </c>
      <c r="H260">
        <v>1</v>
      </c>
      <c r="I260">
        <v>1</v>
      </c>
      <c r="J260" t="s">
        <v>2798</v>
      </c>
      <c r="K260" t="s">
        <v>20</v>
      </c>
      <c r="L260" t="s">
        <v>743</v>
      </c>
      <c r="M260" t="s">
        <v>742</v>
      </c>
      <c r="N260" t="s">
        <v>17</v>
      </c>
      <c r="O260" t="s">
        <v>16</v>
      </c>
      <c r="P260" t="s">
        <v>741</v>
      </c>
      <c r="Q260" t="s">
        <v>740</v>
      </c>
      <c r="R260" t="s">
        <v>739</v>
      </c>
    </row>
    <row r="261" spans="1:18">
      <c r="A261" t="s">
        <v>738</v>
      </c>
      <c r="B261" t="s">
        <v>737</v>
      </c>
      <c r="C261" t="s">
        <v>736</v>
      </c>
      <c r="D261" t="s">
        <v>735</v>
      </c>
      <c r="E261" s="1">
        <v>45936</v>
      </c>
      <c r="F261" t="s">
        <v>9</v>
      </c>
      <c r="G261" t="s">
        <v>734</v>
      </c>
      <c r="H261">
        <v>1</v>
      </c>
      <c r="I261">
        <v>1</v>
      </c>
      <c r="J261" t="s">
        <v>2797</v>
      </c>
      <c r="K261" t="s">
        <v>7</v>
      </c>
      <c r="L261" t="s">
        <v>733</v>
      </c>
      <c r="M261" t="s">
        <v>732</v>
      </c>
      <c r="N261" t="s">
        <v>53</v>
      </c>
      <c r="O261" t="s">
        <v>16</v>
      </c>
      <c r="P261" t="s">
        <v>731</v>
      </c>
      <c r="Q261" t="s">
        <v>730</v>
      </c>
      <c r="R261" t="s">
        <v>729</v>
      </c>
    </row>
    <row r="262" spans="1:18">
      <c r="A262" t="s">
        <v>728</v>
      </c>
      <c r="B262" t="s">
        <v>727</v>
      </c>
      <c r="C262" t="s">
        <v>726</v>
      </c>
      <c r="D262" t="s">
        <v>725</v>
      </c>
      <c r="E262" s="1">
        <v>45926</v>
      </c>
      <c r="F262" t="s">
        <v>9</v>
      </c>
      <c r="G262" t="s">
        <v>724</v>
      </c>
      <c r="H262">
        <v>1</v>
      </c>
      <c r="I262">
        <v>1</v>
      </c>
      <c r="J262" t="s">
        <v>2797</v>
      </c>
      <c r="K262" t="s">
        <v>20</v>
      </c>
      <c r="L262" t="s">
        <v>723</v>
      </c>
      <c r="M262" t="s">
        <v>722</v>
      </c>
      <c r="N262" t="s">
        <v>17</v>
      </c>
      <c r="O262" t="s">
        <v>16</v>
      </c>
      <c r="P262" t="s">
        <v>151</v>
      </c>
      <c r="Q262" t="s">
        <v>721</v>
      </c>
      <c r="R262" t="s">
        <v>720</v>
      </c>
    </row>
    <row r="263" spans="1:18">
      <c r="A263" t="s">
        <v>719</v>
      </c>
      <c r="B263" t="s">
        <v>631</v>
      </c>
      <c r="C263" t="s">
        <v>630</v>
      </c>
      <c r="D263" t="s">
        <v>718</v>
      </c>
      <c r="E263" s="1">
        <v>45937</v>
      </c>
      <c r="F263" t="s">
        <v>9</v>
      </c>
      <c r="G263" t="s">
        <v>717</v>
      </c>
      <c r="H263">
        <v>1</v>
      </c>
      <c r="I263">
        <v>1</v>
      </c>
      <c r="J263" t="s">
        <v>2798</v>
      </c>
      <c r="K263" t="s">
        <v>20</v>
      </c>
      <c r="L263" t="s">
        <v>627</v>
      </c>
      <c r="M263" t="s">
        <v>716</v>
      </c>
      <c r="N263" t="s">
        <v>17</v>
      </c>
      <c r="O263" t="s">
        <v>16</v>
      </c>
      <c r="P263" t="s">
        <v>715</v>
      </c>
      <c r="Q263" t="s">
        <v>714</v>
      </c>
      <c r="R263" t="s">
        <v>623</v>
      </c>
    </row>
    <row r="264" spans="1:18">
      <c r="A264" t="s">
        <v>713</v>
      </c>
      <c r="B264" t="s">
        <v>712</v>
      </c>
      <c r="C264" t="s">
        <v>711</v>
      </c>
      <c r="D264" t="s">
        <v>710</v>
      </c>
      <c r="E264" s="1">
        <v>45868</v>
      </c>
      <c r="F264" t="s">
        <v>9</v>
      </c>
      <c r="G264" t="s">
        <v>709</v>
      </c>
      <c r="H264">
        <v>1</v>
      </c>
      <c r="I264">
        <v>1</v>
      </c>
      <c r="J264" t="s">
        <v>2798</v>
      </c>
      <c r="K264" t="s">
        <v>20</v>
      </c>
      <c r="L264" t="s">
        <v>708</v>
      </c>
      <c r="M264" t="s">
        <v>707</v>
      </c>
      <c r="N264" t="s">
        <v>17</v>
      </c>
      <c r="O264" t="s">
        <v>16</v>
      </c>
      <c r="P264" t="s">
        <v>141</v>
      </c>
      <c r="Q264" t="s">
        <v>706</v>
      </c>
      <c r="R264" t="s">
        <v>705</v>
      </c>
    </row>
    <row r="265" spans="1:18">
      <c r="A265" t="s">
        <v>704</v>
      </c>
      <c r="B265" t="s">
        <v>699</v>
      </c>
      <c r="C265" t="s">
        <v>703</v>
      </c>
      <c r="D265" t="s">
        <v>702</v>
      </c>
      <c r="E265" s="1">
        <v>45827</v>
      </c>
      <c r="F265" t="s">
        <v>65</v>
      </c>
      <c r="G265" t="s">
        <v>701</v>
      </c>
      <c r="H265">
        <v>1</v>
      </c>
      <c r="I265">
        <v>1</v>
      </c>
      <c r="J265" t="s">
        <v>65</v>
      </c>
      <c r="K265" t="s">
        <v>112</v>
      </c>
      <c r="L265" t="s">
        <v>700</v>
      </c>
      <c r="M265" t="s">
        <v>61</v>
      </c>
      <c r="N265" t="s">
        <v>61</v>
      </c>
      <c r="O265" t="s">
        <v>16</v>
      </c>
      <c r="P265" t="s">
        <v>61</v>
      </c>
      <c r="Q265" t="s">
        <v>61</v>
      </c>
      <c r="R265" t="s">
        <v>699</v>
      </c>
    </row>
    <row r="266" spans="1:18">
      <c r="A266" t="s">
        <v>698</v>
      </c>
      <c r="B266" t="s">
        <v>693</v>
      </c>
      <c r="C266" t="s">
        <v>697</v>
      </c>
      <c r="D266" t="s">
        <v>696</v>
      </c>
      <c r="E266" s="1">
        <v>45954</v>
      </c>
      <c r="F266" t="s">
        <v>65</v>
      </c>
      <c r="G266" t="s">
        <v>695</v>
      </c>
      <c r="H266">
        <v>1</v>
      </c>
      <c r="I266">
        <v>1</v>
      </c>
      <c r="J266" t="s">
        <v>65</v>
      </c>
      <c r="K266" t="s">
        <v>63</v>
      </c>
      <c r="L266" t="s">
        <v>694</v>
      </c>
      <c r="M266" t="s">
        <v>61</v>
      </c>
      <c r="N266" t="s">
        <v>61</v>
      </c>
      <c r="O266" t="s">
        <v>16</v>
      </c>
      <c r="P266" t="s">
        <v>61</v>
      </c>
      <c r="Q266" t="s">
        <v>61</v>
      </c>
      <c r="R266" t="s">
        <v>693</v>
      </c>
    </row>
    <row r="267" spans="1:18">
      <c r="A267" t="s">
        <v>692</v>
      </c>
      <c r="B267" t="s">
        <v>691</v>
      </c>
      <c r="C267" t="s">
        <v>690</v>
      </c>
      <c r="D267" t="s">
        <v>689</v>
      </c>
      <c r="E267" s="1">
        <v>45939</v>
      </c>
      <c r="F267" t="s">
        <v>9</v>
      </c>
      <c r="G267" t="s">
        <v>688</v>
      </c>
      <c r="H267">
        <v>1</v>
      </c>
      <c r="I267">
        <v>1</v>
      </c>
      <c r="J267" t="s">
        <v>2798</v>
      </c>
      <c r="K267" t="s">
        <v>20</v>
      </c>
      <c r="L267" t="s">
        <v>687</v>
      </c>
      <c r="M267" t="s">
        <v>686</v>
      </c>
      <c r="N267" t="s">
        <v>17</v>
      </c>
      <c r="O267" t="s">
        <v>16</v>
      </c>
      <c r="P267" t="s">
        <v>2</v>
      </c>
      <c r="Q267" t="s">
        <v>685</v>
      </c>
      <c r="R267" t="s">
        <v>684</v>
      </c>
    </row>
    <row r="268" spans="1:18">
      <c r="A268" t="s">
        <v>683</v>
      </c>
      <c r="B268" t="s">
        <v>682</v>
      </c>
      <c r="C268" t="s">
        <v>681</v>
      </c>
      <c r="D268" t="s">
        <v>673</v>
      </c>
      <c r="E268" s="1">
        <v>45929</v>
      </c>
      <c r="F268" t="s">
        <v>9</v>
      </c>
      <c r="G268" t="s">
        <v>672</v>
      </c>
      <c r="H268">
        <v>1</v>
      </c>
      <c r="I268">
        <v>1</v>
      </c>
      <c r="J268" t="s">
        <v>2797</v>
      </c>
      <c r="K268" t="s">
        <v>20</v>
      </c>
      <c r="L268" t="s">
        <v>680</v>
      </c>
      <c r="M268" t="s">
        <v>679</v>
      </c>
      <c r="N268" t="s">
        <v>17</v>
      </c>
      <c r="O268" t="s">
        <v>16</v>
      </c>
      <c r="P268" t="s">
        <v>151</v>
      </c>
      <c r="Q268" t="s">
        <v>678</v>
      </c>
      <c r="R268" t="s">
        <v>677</v>
      </c>
    </row>
    <row r="269" spans="1:18">
      <c r="A269" t="s">
        <v>676</v>
      </c>
      <c r="B269" t="s">
        <v>675</v>
      </c>
      <c r="C269" t="s">
        <v>674</v>
      </c>
      <c r="D269" t="s">
        <v>673</v>
      </c>
      <c r="E269" s="1">
        <v>45957</v>
      </c>
      <c r="F269" t="s">
        <v>9</v>
      </c>
      <c r="G269" t="s">
        <v>672</v>
      </c>
      <c r="H269">
        <v>1</v>
      </c>
      <c r="I269">
        <v>1</v>
      </c>
      <c r="J269" t="s">
        <v>2797</v>
      </c>
      <c r="K269" t="s">
        <v>20</v>
      </c>
      <c r="L269" t="s">
        <v>671</v>
      </c>
      <c r="M269" t="s">
        <v>670</v>
      </c>
      <c r="N269" t="s">
        <v>17</v>
      </c>
      <c r="O269" t="s">
        <v>16</v>
      </c>
      <c r="P269" t="s">
        <v>56</v>
      </c>
      <c r="Q269" t="s">
        <v>669</v>
      </c>
      <c r="R269" t="s">
        <v>668</v>
      </c>
    </row>
    <row r="270" spans="1:18">
      <c r="A270" t="s">
        <v>667</v>
      </c>
      <c r="B270" t="s">
        <v>666</v>
      </c>
      <c r="C270" t="s">
        <v>665</v>
      </c>
      <c r="D270" t="s">
        <v>664</v>
      </c>
      <c r="E270" s="1">
        <v>45954</v>
      </c>
      <c r="F270" t="s">
        <v>9</v>
      </c>
      <c r="G270" t="s">
        <v>663</v>
      </c>
      <c r="H270">
        <v>1</v>
      </c>
      <c r="I270">
        <v>1</v>
      </c>
      <c r="J270" t="s">
        <v>2798</v>
      </c>
      <c r="K270" t="s">
        <v>20</v>
      </c>
      <c r="L270" t="s">
        <v>662</v>
      </c>
      <c r="M270" t="s">
        <v>661</v>
      </c>
      <c r="N270" t="s">
        <v>17</v>
      </c>
      <c r="O270" t="s">
        <v>16</v>
      </c>
      <c r="P270" t="s">
        <v>373</v>
      </c>
      <c r="Q270" t="s">
        <v>660</v>
      </c>
      <c r="R270" t="s">
        <v>659</v>
      </c>
    </row>
    <row r="271" spans="1:18">
      <c r="A271" t="s">
        <v>658</v>
      </c>
      <c r="B271" t="s">
        <v>488</v>
      </c>
      <c r="C271" t="s">
        <v>487</v>
      </c>
      <c r="D271" t="s">
        <v>657</v>
      </c>
      <c r="E271" s="1">
        <v>45941</v>
      </c>
      <c r="F271" t="s">
        <v>9</v>
      </c>
      <c r="G271" t="s">
        <v>656</v>
      </c>
      <c r="H271">
        <v>1</v>
      </c>
      <c r="I271">
        <v>1</v>
      </c>
      <c r="J271" t="s">
        <v>2798</v>
      </c>
      <c r="K271" t="s">
        <v>7</v>
      </c>
      <c r="L271" t="s">
        <v>484</v>
      </c>
      <c r="M271" t="s">
        <v>655</v>
      </c>
      <c r="N271" t="s">
        <v>53</v>
      </c>
      <c r="O271" t="s">
        <v>16</v>
      </c>
      <c r="P271" t="s">
        <v>2</v>
      </c>
      <c r="Q271" t="s">
        <v>654</v>
      </c>
      <c r="R271" t="s">
        <v>481</v>
      </c>
    </row>
    <row r="272" spans="1:18">
      <c r="A272" t="s">
        <v>653</v>
      </c>
      <c r="B272" t="s">
        <v>652</v>
      </c>
      <c r="C272" t="s">
        <v>651</v>
      </c>
      <c r="D272" t="s">
        <v>650</v>
      </c>
      <c r="E272" s="1">
        <v>45934</v>
      </c>
      <c r="F272" t="s">
        <v>9</v>
      </c>
      <c r="G272" t="s">
        <v>649</v>
      </c>
      <c r="H272">
        <v>1</v>
      </c>
      <c r="I272">
        <v>1</v>
      </c>
      <c r="J272" t="s">
        <v>2798</v>
      </c>
      <c r="K272" t="s">
        <v>20</v>
      </c>
      <c r="L272" t="s">
        <v>648</v>
      </c>
      <c r="M272" t="s">
        <v>647</v>
      </c>
      <c r="N272" t="s">
        <v>17</v>
      </c>
      <c r="O272" t="s">
        <v>16</v>
      </c>
      <c r="P272" t="s">
        <v>2</v>
      </c>
      <c r="Q272" t="s">
        <v>646</v>
      </c>
      <c r="R272" t="s">
        <v>645</v>
      </c>
    </row>
    <row r="273" spans="1:18">
      <c r="A273" t="s">
        <v>644</v>
      </c>
      <c r="B273" t="s">
        <v>643</v>
      </c>
      <c r="C273" t="s">
        <v>642</v>
      </c>
      <c r="D273" t="s">
        <v>641</v>
      </c>
      <c r="E273" s="1">
        <v>45911</v>
      </c>
      <c r="F273" t="s">
        <v>9</v>
      </c>
      <c r="G273" t="s">
        <v>640</v>
      </c>
      <c r="H273">
        <v>1</v>
      </c>
      <c r="I273">
        <v>1</v>
      </c>
      <c r="J273" t="s">
        <v>2797</v>
      </c>
      <c r="K273" t="s">
        <v>7</v>
      </c>
      <c r="L273" t="s">
        <v>639</v>
      </c>
      <c r="M273" t="s">
        <v>638</v>
      </c>
      <c r="N273" t="s">
        <v>53</v>
      </c>
      <c r="O273" t="s">
        <v>16</v>
      </c>
      <c r="P273" t="s">
        <v>637</v>
      </c>
      <c r="Q273" t="s">
        <v>636</v>
      </c>
      <c r="R273" t="s">
        <v>635</v>
      </c>
    </row>
    <row r="274" spans="1:18">
      <c r="A274" t="s">
        <v>622</v>
      </c>
      <c r="B274" t="s">
        <v>617</v>
      </c>
      <c r="C274" t="s">
        <v>621</v>
      </c>
      <c r="D274" t="s">
        <v>634</v>
      </c>
      <c r="E274" s="1">
        <v>45924</v>
      </c>
      <c r="F274" t="s">
        <v>65</v>
      </c>
      <c r="G274" t="s">
        <v>633</v>
      </c>
      <c r="H274">
        <v>1</v>
      </c>
      <c r="I274">
        <v>1</v>
      </c>
      <c r="J274" t="s">
        <v>65</v>
      </c>
      <c r="K274" t="s">
        <v>112</v>
      </c>
      <c r="L274" t="s">
        <v>618</v>
      </c>
      <c r="M274" t="s">
        <v>61</v>
      </c>
      <c r="N274" t="s">
        <v>61</v>
      </c>
      <c r="O274" t="s">
        <v>16</v>
      </c>
      <c r="P274" t="s">
        <v>61</v>
      </c>
      <c r="Q274" t="s">
        <v>61</v>
      </c>
      <c r="R274" t="s">
        <v>617</v>
      </c>
    </row>
    <row r="275" spans="1:18">
      <c r="A275" t="s">
        <v>632</v>
      </c>
      <c r="B275" t="s">
        <v>631</v>
      </c>
      <c r="C275" t="s">
        <v>630</v>
      </c>
      <c r="D275" t="s">
        <v>629</v>
      </c>
      <c r="E275" s="1">
        <v>45930</v>
      </c>
      <c r="F275" t="s">
        <v>9</v>
      </c>
      <c r="G275" t="s">
        <v>628</v>
      </c>
      <c r="H275">
        <v>1</v>
      </c>
      <c r="I275">
        <v>1</v>
      </c>
      <c r="J275" t="s">
        <v>2798</v>
      </c>
      <c r="K275" t="s">
        <v>20</v>
      </c>
      <c r="L275" t="s">
        <v>627</v>
      </c>
      <c r="M275" t="s">
        <v>626</v>
      </c>
      <c r="N275" t="s">
        <v>152</v>
      </c>
      <c r="O275" t="s">
        <v>3</v>
      </c>
      <c r="P275" t="s">
        <v>625</v>
      </c>
      <c r="Q275" t="s">
        <v>624</v>
      </c>
      <c r="R275" t="s">
        <v>623</v>
      </c>
    </row>
    <row r="276" spans="1:18">
      <c r="A276" t="s">
        <v>622</v>
      </c>
      <c r="B276" t="s">
        <v>617</v>
      </c>
      <c r="C276" t="s">
        <v>621</v>
      </c>
      <c r="D276" t="s">
        <v>620</v>
      </c>
      <c r="E276" s="1">
        <v>45924</v>
      </c>
      <c r="F276" t="s">
        <v>65</v>
      </c>
      <c r="G276" t="s">
        <v>619</v>
      </c>
      <c r="H276">
        <v>1</v>
      </c>
      <c r="I276">
        <v>1</v>
      </c>
      <c r="J276" t="s">
        <v>65</v>
      </c>
      <c r="K276" t="s">
        <v>112</v>
      </c>
      <c r="L276" t="s">
        <v>618</v>
      </c>
      <c r="M276" t="s">
        <v>61</v>
      </c>
      <c r="N276" t="s">
        <v>61</v>
      </c>
      <c r="O276" t="s">
        <v>16</v>
      </c>
      <c r="P276" t="s">
        <v>61</v>
      </c>
      <c r="Q276" t="s">
        <v>61</v>
      </c>
      <c r="R276" t="s">
        <v>617</v>
      </c>
    </row>
    <row r="277" spans="1:18">
      <c r="A277" t="s">
        <v>616</v>
      </c>
      <c r="B277" t="s">
        <v>488</v>
      </c>
      <c r="C277" t="s">
        <v>487</v>
      </c>
      <c r="D277" t="s">
        <v>615</v>
      </c>
      <c r="E277" s="1">
        <v>45943</v>
      </c>
      <c r="F277" t="s">
        <v>9</v>
      </c>
      <c r="G277" t="s">
        <v>614</v>
      </c>
      <c r="H277">
        <v>1</v>
      </c>
      <c r="I277">
        <v>1</v>
      </c>
      <c r="J277" t="s">
        <v>2798</v>
      </c>
      <c r="K277" t="s">
        <v>7</v>
      </c>
      <c r="L277" t="s">
        <v>484</v>
      </c>
      <c r="M277" t="s">
        <v>613</v>
      </c>
      <c r="N277" t="s">
        <v>53</v>
      </c>
      <c r="O277" t="s">
        <v>16</v>
      </c>
      <c r="P277" t="s">
        <v>2</v>
      </c>
      <c r="Q277" t="s">
        <v>612</v>
      </c>
      <c r="R277" t="s">
        <v>481</v>
      </c>
    </row>
    <row r="278" spans="1:18">
      <c r="A278" t="s">
        <v>611</v>
      </c>
      <c r="B278" t="s">
        <v>610</v>
      </c>
      <c r="C278" t="s">
        <v>609</v>
      </c>
      <c r="D278" t="s">
        <v>608</v>
      </c>
      <c r="E278" s="1">
        <v>45922</v>
      </c>
      <c r="F278" t="s">
        <v>9</v>
      </c>
      <c r="G278" t="s">
        <v>607</v>
      </c>
      <c r="H278">
        <v>1</v>
      </c>
      <c r="I278">
        <v>1</v>
      </c>
      <c r="J278" t="s">
        <v>2798</v>
      </c>
      <c r="K278" t="s">
        <v>7</v>
      </c>
      <c r="L278" t="s">
        <v>606</v>
      </c>
      <c r="M278" t="s">
        <v>605</v>
      </c>
      <c r="N278" t="s">
        <v>53</v>
      </c>
      <c r="O278" t="s">
        <v>16</v>
      </c>
      <c r="P278" t="s">
        <v>2</v>
      </c>
      <c r="Q278" t="s">
        <v>604</v>
      </c>
      <c r="R278" t="s">
        <v>603</v>
      </c>
    </row>
    <row r="279" spans="1:18">
      <c r="A279" t="s">
        <v>602</v>
      </c>
      <c r="B279" t="s">
        <v>601</v>
      </c>
      <c r="C279" t="s">
        <v>600</v>
      </c>
      <c r="D279" t="s">
        <v>599</v>
      </c>
      <c r="E279" s="1">
        <v>45920</v>
      </c>
      <c r="F279" t="s">
        <v>9</v>
      </c>
      <c r="G279" t="s">
        <v>598</v>
      </c>
      <c r="H279">
        <v>1</v>
      </c>
      <c r="I279">
        <v>1</v>
      </c>
      <c r="J279" t="s">
        <v>2797</v>
      </c>
      <c r="K279" t="s">
        <v>7</v>
      </c>
      <c r="L279" t="s">
        <v>597</v>
      </c>
      <c r="M279" t="s">
        <v>596</v>
      </c>
      <c r="N279" t="s">
        <v>53</v>
      </c>
      <c r="O279" t="s">
        <v>16</v>
      </c>
      <c r="P279" t="s">
        <v>595</v>
      </c>
      <c r="Q279" t="s">
        <v>594</v>
      </c>
      <c r="R279" t="s">
        <v>593</v>
      </c>
    </row>
    <row r="280" spans="1:18">
      <c r="A280" t="s">
        <v>592</v>
      </c>
      <c r="B280" t="s">
        <v>591</v>
      </c>
      <c r="C280" t="s">
        <v>590</v>
      </c>
      <c r="D280" t="s">
        <v>589</v>
      </c>
      <c r="E280" s="1">
        <v>45912</v>
      </c>
      <c r="F280" t="s">
        <v>9</v>
      </c>
      <c r="G280" t="s">
        <v>588</v>
      </c>
      <c r="H280">
        <v>1</v>
      </c>
      <c r="I280">
        <v>1</v>
      </c>
      <c r="J280" t="s">
        <v>2797</v>
      </c>
      <c r="K280" t="s">
        <v>7</v>
      </c>
      <c r="L280" t="s">
        <v>587</v>
      </c>
      <c r="M280" t="s">
        <v>586</v>
      </c>
      <c r="N280" t="s">
        <v>53</v>
      </c>
      <c r="O280" t="s">
        <v>16</v>
      </c>
      <c r="P280" t="s">
        <v>585</v>
      </c>
      <c r="Q280" t="s">
        <v>584</v>
      </c>
      <c r="R280" t="s">
        <v>583</v>
      </c>
    </row>
    <row r="281" spans="1:18">
      <c r="A281" t="s">
        <v>582</v>
      </c>
      <c r="B281" t="s">
        <v>581</v>
      </c>
      <c r="C281" t="s">
        <v>580</v>
      </c>
      <c r="D281" t="s">
        <v>579</v>
      </c>
      <c r="E281" s="1">
        <v>45946</v>
      </c>
      <c r="F281" t="s">
        <v>9</v>
      </c>
      <c r="G281" t="s">
        <v>578</v>
      </c>
      <c r="H281">
        <v>1</v>
      </c>
      <c r="I281">
        <v>1</v>
      </c>
      <c r="J281" t="s">
        <v>2797</v>
      </c>
      <c r="K281" t="s">
        <v>20</v>
      </c>
      <c r="L281" t="s">
        <v>577</v>
      </c>
      <c r="M281" t="s">
        <v>576</v>
      </c>
      <c r="N281" t="s">
        <v>17</v>
      </c>
      <c r="O281" t="s">
        <v>16</v>
      </c>
      <c r="P281" t="s">
        <v>151</v>
      </c>
      <c r="Q281" t="s">
        <v>575</v>
      </c>
      <c r="R281" t="s">
        <v>574</v>
      </c>
    </row>
    <row r="282" spans="1:18">
      <c r="A282" t="s">
        <v>573</v>
      </c>
      <c r="B282" t="s">
        <v>572</v>
      </c>
      <c r="C282" t="s">
        <v>571</v>
      </c>
      <c r="D282" t="s">
        <v>570</v>
      </c>
      <c r="E282" s="1">
        <v>45947</v>
      </c>
      <c r="F282" t="s">
        <v>9</v>
      </c>
      <c r="G282" t="s">
        <v>569</v>
      </c>
      <c r="H282">
        <v>1</v>
      </c>
      <c r="I282">
        <v>1</v>
      </c>
      <c r="J282" t="s">
        <v>2798</v>
      </c>
      <c r="K282" t="s">
        <v>20</v>
      </c>
      <c r="L282" t="s">
        <v>568</v>
      </c>
      <c r="M282" t="s">
        <v>567</v>
      </c>
      <c r="N282" t="s">
        <v>566</v>
      </c>
      <c r="O282" t="s">
        <v>3</v>
      </c>
      <c r="P282" t="s">
        <v>2</v>
      </c>
      <c r="Q282" t="s">
        <v>565</v>
      </c>
      <c r="R282" t="s">
        <v>564</v>
      </c>
    </row>
    <row r="283" spans="1:18">
      <c r="A283" t="s">
        <v>563</v>
      </c>
      <c r="B283" t="s">
        <v>562</v>
      </c>
      <c r="C283" t="s">
        <v>561</v>
      </c>
      <c r="D283" t="s">
        <v>553</v>
      </c>
      <c r="E283" s="1">
        <v>45899</v>
      </c>
      <c r="F283" t="s">
        <v>9</v>
      </c>
      <c r="G283" t="s">
        <v>552</v>
      </c>
      <c r="H283">
        <v>1</v>
      </c>
      <c r="I283">
        <v>1</v>
      </c>
      <c r="J283" t="s">
        <v>2798</v>
      </c>
      <c r="K283" t="s">
        <v>20</v>
      </c>
      <c r="L283" t="s">
        <v>560</v>
      </c>
      <c r="M283" t="s">
        <v>559</v>
      </c>
      <c r="N283" t="s">
        <v>17</v>
      </c>
      <c r="O283" t="s">
        <v>16</v>
      </c>
      <c r="P283" t="s">
        <v>141</v>
      </c>
      <c r="Q283" t="s">
        <v>558</v>
      </c>
      <c r="R283" t="s">
        <v>557</v>
      </c>
    </row>
    <row r="284" spans="1:18">
      <c r="A284" t="s">
        <v>556</v>
      </c>
      <c r="B284" t="s">
        <v>555</v>
      </c>
      <c r="C284" t="s">
        <v>554</v>
      </c>
      <c r="D284" t="s">
        <v>553</v>
      </c>
      <c r="E284" s="1">
        <v>45933</v>
      </c>
      <c r="F284" t="s">
        <v>9</v>
      </c>
      <c r="G284" t="s">
        <v>552</v>
      </c>
      <c r="H284">
        <v>1</v>
      </c>
      <c r="I284">
        <v>1</v>
      </c>
      <c r="J284" t="s">
        <v>2798</v>
      </c>
      <c r="K284" t="s">
        <v>20</v>
      </c>
      <c r="L284" t="s">
        <v>551</v>
      </c>
      <c r="M284" t="s">
        <v>550</v>
      </c>
      <c r="N284" t="s">
        <v>17</v>
      </c>
      <c r="O284" t="s">
        <v>16</v>
      </c>
      <c r="P284" t="s">
        <v>2</v>
      </c>
      <c r="Q284" t="s">
        <v>549</v>
      </c>
      <c r="R284" t="s">
        <v>548</v>
      </c>
    </row>
    <row r="285" spans="1:18">
      <c r="A285" t="s">
        <v>547</v>
      </c>
      <c r="B285" t="s">
        <v>542</v>
      </c>
      <c r="C285" t="s">
        <v>546</v>
      </c>
      <c r="D285" t="s">
        <v>545</v>
      </c>
      <c r="E285" s="1">
        <v>45944</v>
      </c>
      <c r="F285" t="s">
        <v>65</v>
      </c>
      <c r="G285" t="s">
        <v>544</v>
      </c>
      <c r="H285">
        <v>1</v>
      </c>
      <c r="I285">
        <v>1</v>
      </c>
      <c r="J285" t="s">
        <v>65</v>
      </c>
      <c r="K285" t="s">
        <v>63</v>
      </c>
      <c r="L285" t="s">
        <v>543</v>
      </c>
      <c r="M285" t="s">
        <v>61</v>
      </c>
      <c r="N285" t="s">
        <v>61</v>
      </c>
      <c r="O285" t="s">
        <v>16</v>
      </c>
      <c r="P285" t="s">
        <v>61</v>
      </c>
      <c r="Q285" t="s">
        <v>61</v>
      </c>
      <c r="R285" t="s">
        <v>542</v>
      </c>
    </row>
    <row r="286" spans="1:18">
      <c r="A286" t="s">
        <v>541</v>
      </c>
      <c r="B286" t="s">
        <v>540</v>
      </c>
      <c r="C286" t="s">
        <v>539</v>
      </c>
      <c r="D286" t="s">
        <v>538</v>
      </c>
      <c r="E286" s="1">
        <v>45904</v>
      </c>
      <c r="F286" t="s">
        <v>9</v>
      </c>
      <c r="G286" t="s">
        <v>537</v>
      </c>
      <c r="H286">
        <v>1</v>
      </c>
      <c r="I286">
        <v>1</v>
      </c>
      <c r="J286" t="s">
        <v>2798</v>
      </c>
      <c r="K286" t="s">
        <v>20</v>
      </c>
      <c r="L286" t="s">
        <v>536</v>
      </c>
      <c r="M286" t="s">
        <v>535</v>
      </c>
      <c r="N286" t="s">
        <v>17</v>
      </c>
      <c r="O286" t="s">
        <v>16</v>
      </c>
      <c r="P286" t="s">
        <v>141</v>
      </c>
      <c r="Q286" t="s">
        <v>534</v>
      </c>
      <c r="R286" t="s">
        <v>533</v>
      </c>
    </row>
    <row r="287" spans="1:18">
      <c r="A287" t="s">
        <v>532</v>
      </c>
      <c r="B287" t="s">
        <v>531</v>
      </c>
      <c r="C287" t="s">
        <v>530</v>
      </c>
      <c r="D287" t="s">
        <v>516</v>
      </c>
      <c r="E287" s="1">
        <v>45911</v>
      </c>
      <c r="F287" t="s">
        <v>9</v>
      </c>
      <c r="G287" t="s">
        <v>515</v>
      </c>
      <c r="H287">
        <v>1</v>
      </c>
      <c r="I287">
        <v>1</v>
      </c>
      <c r="J287" t="s">
        <v>2798</v>
      </c>
      <c r="K287" t="s">
        <v>20</v>
      </c>
      <c r="L287" t="s">
        <v>529</v>
      </c>
      <c r="M287" t="s">
        <v>528</v>
      </c>
      <c r="N287" t="s">
        <v>17</v>
      </c>
      <c r="O287" t="s">
        <v>16</v>
      </c>
      <c r="P287" t="s">
        <v>141</v>
      </c>
      <c r="Q287" t="s">
        <v>527</v>
      </c>
      <c r="R287" t="s">
        <v>526</v>
      </c>
    </row>
    <row r="288" spans="1:18">
      <c r="A288" t="s">
        <v>525</v>
      </c>
      <c r="B288" t="s">
        <v>524</v>
      </c>
      <c r="C288" t="s">
        <v>523</v>
      </c>
      <c r="D288" t="s">
        <v>516</v>
      </c>
      <c r="E288" s="1">
        <v>45911</v>
      </c>
      <c r="F288" t="s">
        <v>9</v>
      </c>
      <c r="G288" t="s">
        <v>515</v>
      </c>
      <c r="H288">
        <v>1</v>
      </c>
      <c r="I288">
        <v>1</v>
      </c>
      <c r="J288" t="s">
        <v>2798</v>
      </c>
      <c r="K288" t="s">
        <v>20</v>
      </c>
      <c r="L288" t="s">
        <v>522</v>
      </c>
      <c r="M288" t="s">
        <v>521</v>
      </c>
      <c r="N288" t="s">
        <v>17</v>
      </c>
      <c r="O288" t="s">
        <v>16</v>
      </c>
      <c r="P288" t="s">
        <v>141</v>
      </c>
      <c r="Q288" t="s">
        <v>520</v>
      </c>
      <c r="R288" t="s">
        <v>519</v>
      </c>
    </row>
    <row r="289" spans="1:18">
      <c r="A289" t="s">
        <v>518</v>
      </c>
      <c r="B289" t="s">
        <v>513</v>
      </c>
      <c r="C289" t="s">
        <v>517</v>
      </c>
      <c r="D289" t="s">
        <v>516</v>
      </c>
      <c r="E289" s="1">
        <v>45946</v>
      </c>
      <c r="F289" t="s">
        <v>65</v>
      </c>
      <c r="G289" t="s">
        <v>515</v>
      </c>
      <c r="H289">
        <v>1</v>
      </c>
      <c r="I289">
        <v>1</v>
      </c>
      <c r="J289" t="s">
        <v>65</v>
      </c>
      <c r="K289" t="s">
        <v>63</v>
      </c>
      <c r="L289" t="s">
        <v>514</v>
      </c>
      <c r="M289" t="s">
        <v>61</v>
      </c>
      <c r="N289" t="s">
        <v>61</v>
      </c>
      <c r="O289" t="s">
        <v>80</v>
      </c>
      <c r="P289" t="s">
        <v>61</v>
      </c>
      <c r="Q289" t="s">
        <v>61</v>
      </c>
      <c r="R289" t="s">
        <v>513</v>
      </c>
    </row>
    <row r="290" spans="1:18">
      <c r="A290" t="s">
        <v>512</v>
      </c>
      <c r="B290" t="s">
        <v>511</v>
      </c>
      <c r="C290" t="s">
        <v>510</v>
      </c>
      <c r="D290" t="s">
        <v>509</v>
      </c>
      <c r="E290" s="1">
        <v>45952</v>
      </c>
      <c r="F290" t="s">
        <v>9</v>
      </c>
      <c r="G290" t="s">
        <v>508</v>
      </c>
      <c r="H290">
        <v>1</v>
      </c>
      <c r="I290">
        <v>1</v>
      </c>
      <c r="J290" t="s">
        <v>2797</v>
      </c>
      <c r="K290" t="s">
        <v>7</v>
      </c>
      <c r="L290" t="s">
        <v>507</v>
      </c>
      <c r="M290" t="s">
        <v>506</v>
      </c>
      <c r="N290" t="s">
        <v>505</v>
      </c>
      <c r="O290" t="s">
        <v>3</v>
      </c>
      <c r="P290" t="s">
        <v>151</v>
      </c>
      <c r="Q290" t="s">
        <v>504</v>
      </c>
      <c r="R290" t="s">
        <v>503</v>
      </c>
    </row>
    <row r="291" spans="1:18">
      <c r="A291" t="s">
        <v>502</v>
      </c>
      <c r="B291" t="s">
        <v>501</v>
      </c>
      <c r="C291" t="s">
        <v>500</v>
      </c>
      <c r="D291" t="s">
        <v>493</v>
      </c>
      <c r="E291" s="1">
        <v>45945</v>
      </c>
      <c r="F291" t="s">
        <v>9</v>
      </c>
      <c r="G291" t="s">
        <v>492</v>
      </c>
      <c r="H291">
        <v>1</v>
      </c>
      <c r="I291">
        <v>1</v>
      </c>
      <c r="J291" t="s">
        <v>2797</v>
      </c>
      <c r="K291" t="s">
        <v>7</v>
      </c>
      <c r="L291" t="s">
        <v>499</v>
      </c>
      <c r="M291" t="s">
        <v>498</v>
      </c>
      <c r="N291" t="s">
        <v>100</v>
      </c>
      <c r="O291" t="s">
        <v>3</v>
      </c>
      <c r="P291" t="s">
        <v>56</v>
      </c>
      <c r="Q291" t="s">
        <v>497</v>
      </c>
      <c r="R291" t="s">
        <v>496</v>
      </c>
    </row>
    <row r="292" spans="1:18">
      <c r="A292" t="s">
        <v>495</v>
      </c>
      <c r="B292" t="s">
        <v>490</v>
      </c>
      <c r="C292" t="s">
        <v>494</v>
      </c>
      <c r="D292" t="s">
        <v>493</v>
      </c>
      <c r="E292" s="1">
        <v>45955</v>
      </c>
      <c r="F292" t="s">
        <v>65</v>
      </c>
      <c r="G292" t="s">
        <v>492</v>
      </c>
      <c r="H292">
        <v>1</v>
      </c>
      <c r="I292">
        <v>1</v>
      </c>
      <c r="J292" t="s">
        <v>65</v>
      </c>
      <c r="K292" t="s">
        <v>112</v>
      </c>
      <c r="L292" t="s">
        <v>491</v>
      </c>
      <c r="M292" t="s">
        <v>61</v>
      </c>
      <c r="N292" t="s">
        <v>61</v>
      </c>
      <c r="O292" t="s">
        <v>16</v>
      </c>
      <c r="P292" t="s">
        <v>61</v>
      </c>
      <c r="Q292" t="s">
        <v>61</v>
      </c>
      <c r="R292" t="s">
        <v>490</v>
      </c>
    </row>
    <row r="293" spans="1:18">
      <c r="A293" t="s">
        <v>489</v>
      </c>
      <c r="B293" t="s">
        <v>488</v>
      </c>
      <c r="C293" t="s">
        <v>487</v>
      </c>
      <c r="D293" t="s">
        <v>486</v>
      </c>
      <c r="E293" s="1">
        <v>45943</v>
      </c>
      <c r="F293" t="s">
        <v>9</v>
      </c>
      <c r="G293" t="s">
        <v>485</v>
      </c>
      <c r="H293">
        <v>1</v>
      </c>
      <c r="I293">
        <v>1</v>
      </c>
      <c r="J293" t="s">
        <v>2798</v>
      </c>
      <c r="K293" t="s">
        <v>7</v>
      </c>
      <c r="L293" t="s">
        <v>484</v>
      </c>
      <c r="M293" t="s">
        <v>483</v>
      </c>
      <c r="N293" t="s">
        <v>53</v>
      </c>
      <c r="O293" t="s">
        <v>16</v>
      </c>
      <c r="P293" t="s">
        <v>2</v>
      </c>
      <c r="Q293" t="s">
        <v>482</v>
      </c>
      <c r="R293" t="s">
        <v>481</v>
      </c>
    </row>
    <row r="294" spans="1:18">
      <c r="A294" t="s">
        <v>480</v>
      </c>
      <c r="B294" t="s">
        <v>479</v>
      </c>
      <c r="C294" t="s">
        <v>478</v>
      </c>
      <c r="D294" t="s">
        <v>477</v>
      </c>
      <c r="E294" s="1">
        <v>45897</v>
      </c>
      <c r="F294" t="s">
        <v>9</v>
      </c>
      <c r="G294" t="s">
        <v>476</v>
      </c>
      <c r="H294">
        <v>1</v>
      </c>
      <c r="I294">
        <v>1</v>
      </c>
      <c r="J294" t="s">
        <v>2798</v>
      </c>
      <c r="K294" t="s">
        <v>7</v>
      </c>
      <c r="L294" t="s">
        <v>475</v>
      </c>
      <c r="M294" t="s">
        <v>474</v>
      </c>
      <c r="N294" t="s">
        <v>53</v>
      </c>
      <c r="O294" t="s">
        <v>16</v>
      </c>
      <c r="P294" t="s">
        <v>110</v>
      </c>
      <c r="Q294" t="s">
        <v>473</v>
      </c>
      <c r="R294" t="s">
        <v>472</v>
      </c>
    </row>
    <row r="295" spans="1:18">
      <c r="A295" t="s">
        <v>471</v>
      </c>
      <c r="B295" t="s">
        <v>470</v>
      </c>
      <c r="C295" t="s">
        <v>469</v>
      </c>
      <c r="D295" t="s">
        <v>468</v>
      </c>
      <c r="E295" s="1">
        <v>45957</v>
      </c>
      <c r="F295" t="s">
        <v>9</v>
      </c>
      <c r="G295" t="s">
        <v>467</v>
      </c>
      <c r="H295">
        <v>1</v>
      </c>
      <c r="I295">
        <v>1</v>
      </c>
      <c r="J295" t="s">
        <v>249</v>
      </c>
      <c r="K295" t="s">
        <v>20</v>
      </c>
      <c r="L295" t="s">
        <v>466</v>
      </c>
      <c r="M295" t="s">
        <v>465</v>
      </c>
      <c r="N295" t="s">
        <v>17</v>
      </c>
      <c r="O295" t="s">
        <v>16</v>
      </c>
      <c r="P295" t="s">
        <v>249</v>
      </c>
      <c r="Q295" t="s">
        <v>464</v>
      </c>
      <c r="R295" t="s">
        <v>463</v>
      </c>
    </row>
    <row r="296" spans="1:18">
      <c r="A296" t="s">
        <v>462</v>
      </c>
      <c r="B296" t="s">
        <v>457</v>
      </c>
      <c r="C296" t="s">
        <v>461</v>
      </c>
      <c r="D296" t="s">
        <v>460</v>
      </c>
      <c r="E296" s="1">
        <v>45920</v>
      </c>
      <c r="F296" t="s">
        <v>65</v>
      </c>
      <c r="G296" t="s">
        <v>459</v>
      </c>
      <c r="H296">
        <v>1</v>
      </c>
      <c r="I296">
        <v>1</v>
      </c>
      <c r="J296" t="s">
        <v>65</v>
      </c>
      <c r="K296" t="s">
        <v>63</v>
      </c>
      <c r="L296" t="s">
        <v>458</v>
      </c>
      <c r="M296" t="s">
        <v>61</v>
      </c>
      <c r="N296" t="s">
        <v>61</v>
      </c>
      <c r="O296" t="s">
        <v>16</v>
      </c>
      <c r="P296" t="s">
        <v>61</v>
      </c>
      <c r="Q296" t="s">
        <v>61</v>
      </c>
      <c r="R296" t="s">
        <v>457</v>
      </c>
    </row>
    <row r="297" spans="1:18">
      <c r="A297" t="s">
        <v>456</v>
      </c>
      <c r="B297" t="s">
        <v>455</v>
      </c>
      <c r="C297" t="s">
        <v>454</v>
      </c>
      <c r="D297" t="s">
        <v>453</v>
      </c>
      <c r="E297" s="1">
        <v>45941</v>
      </c>
      <c r="F297" t="s">
        <v>9</v>
      </c>
      <c r="G297" t="s">
        <v>452</v>
      </c>
      <c r="H297">
        <v>1</v>
      </c>
      <c r="I297">
        <v>1</v>
      </c>
      <c r="J297" t="s">
        <v>2798</v>
      </c>
      <c r="K297" t="s">
        <v>20</v>
      </c>
      <c r="L297" t="s">
        <v>451</v>
      </c>
      <c r="M297" t="s">
        <v>450</v>
      </c>
      <c r="N297" t="s">
        <v>17</v>
      </c>
      <c r="O297" t="s">
        <v>16</v>
      </c>
      <c r="P297" t="s">
        <v>2</v>
      </c>
      <c r="Q297" t="s">
        <v>449</v>
      </c>
      <c r="R297" t="s">
        <v>448</v>
      </c>
    </row>
    <row r="298" spans="1:18">
      <c r="A298" t="s">
        <v>447</v>
      </c>
      <c r="B298" t="s">
        <v>442</v>
      </c>
      <c r="C298" t="s">
        <v>446</v>
      </c>
      <c r="D298" t="s">
        <v>445</v>
      </c>
      <c r="E298" s="1">
        <v>45941</v>
      </c>
      <c r="F298" t="s">
        <v>65</v>
      </c>
      <c r="G298" t="s">
        <v>444</v>
      </c>
      <c r="H298">
        <v>1</v>
      </c>
      <c r="I298">
        <v>1</v>
      </c>
      <c r="J298" t="s">
        <v>65</v>
      </c>
      <c r="K298" t="s">
        <v>63</v>
      </c>
      <c r="L298" t="s">
        <v>443</v>
      </c>
      <c r="M298" t="s">
        <v>61</v>
      </c>
      <c r="N298" t="s">
        <v>61</v>
      </c>
      <c r="O298" t="s">
        <v>80</v>
      </c>
      <c r="P298" t="s">
        <v>61</v>
      </c>
      <c r="Q298" t="s">
        <v>61</v>
      </c>
      <c r="R298" t="s">
        <v>442</v>
      </c>
    </row>
    <row r="299" spans="1:18">
      <c r="A299" t="s">
        <v>441</v>
      </c>
      <c r="B299" t="s">
        <v>440</v>
      </c>
      <c r="C299" t="s">
        <v>439</v>
      </c>
      <c r="D299" t="s">
        <v>438</v>
      </c>
      <c r="E299" s="1">
        <v>45868</v>
      </c>
      <c r="F299" t="s">
        <v>9</v>
      </c>
      <c r="G299" t="s">
        <v>437</v>
      </c>
      <c r="H299">
        <v>1</v>
      </c>
      <c r="I299">
        <v>1</v>
      </c>
      <c r="J299" t="s">
        <v>2798</v>
      </c>
      <c r="K299" t="s">
        <v>20</v>
      </c>
      <c r="L299" t="s">
        <v>436</v>
      </c>
      <c r="M299" t="s">
        <v>435</v>
      </c>
      <c r="N299" t="s">
        <v>17</v>
      </c>
      <c r="O299" t="s">
        <v>16</v>
      </c>
      <c r="P299" t="s">
        <v>141</v>
      </c>
      <c r="Q299" t="s">
        <v>434</v>
      </c>
      <c r="R299" t="s">
        <v>433</v>
      </c>
    </row>
    <row r="300" spans="1:18">
      <c r="A300" t="s">
        <v>432</v>
      </c>
      <c r="B300" t="s">
        <v>431</v>
      </c>
      <c r="C300" t="s">
        <v>430</v>
      </c>
      <c r="D300" t="s">
        <v>429</v>
      </c>
      <c r="E300" s="1">
        <v>45913</v>
      </c>
      <c r="F300" t="s">
        <v>9</v>
      </c>
      <c r="G300" t="s">
        <v>428</v>
      </c>
      <c r="H300">
        <v>1</v>
      </c>
      <c r="I300">
        <v>1</v>
      </c>
      <c r="J300" t="s">
        <v>2798</v>
      </c>
      <c r="K300" t="s">
        <v>20</v>
      </c>
      <c r="L300" t="s">
        <v>427</v>
      </c>
      <c r="M300" t="s">
        <v>426</v>
      </c>
      <c r="N300" t="s">
        <v>17</v>
      </c>
      <c r="O300" t="s">
        <v>16</v>
      </c>
      <c r="P300" t="s">
        <v>425</v>
      </c>
      <c r="Q300" t="s">
        <v>424</v>
      </c>
      <c r="R300" t="s">
        <v>423</v>
      </c>
    </row>
    <row r="301" spans="1:18">
      <c r="A301" t="s">
        <v>422</v>
      </c>
      <c r="B301" t="s">
        <v>421</v>
      </c>
      <c r="C301" t="s">
        <v>420</v>
      </c>
      <c r="D301" t="s">
        <v>419</v>
      </c>
      <c r="E301" s="1">
        <v>45899</v>
      </c>
      <c r="F301" t="s">
        <v>9</v>
      </c>
      <c r="G301" t="s">
        <v>418</v>
      </c>
      <c r="H301">
        <v>1</v>
      </c>
      <c r="I301">
        <v>1</v>
      </c>
      <c r="J301" t="s">
        <v>249</v>
      </c>
      <c r="K301" t="s">
        <v>20</v>
      </c>
      <c r="L301" t="s">
        <v>417</v>
      </c>
      <c r="M301" t="s">
        <v>416</v>
      </c>
      <c r="N301" t="s">
        <v>17</v>
      </c>
      <c r="O301" t="s">
        <v>16</v>
      </c>
      <c r="P301" t="s">
        <v>415</v>
      </c>
      <c r="Q301" t="s">
        <v>414</v>
      </c>
      <c r="R301" t="s">
        <v>413</v>
      </c>
    </row>
    <row r="302" spans="1:18">
      <c r="A302" t="s">
        <v>412</v>
      </c>
      <c r="B302" t="s">
        <v>407</v>
      </c>
      <c r="C302" t="s">
        <v>411</v>
      </c>
      <c r="D302" t="s">
        <v>410</v>
      </c>
      <c r="E302" s="1">
        <v>45955</v>
      </c>
      <c r="F302" t="s">
        <v>65</v>
      </c>
      <c r="G302" t="s">
        <v>409</v>
      </c>
      <c r="H302">
        <v>1</v>
      </c>
      <c r="I302">
        <v>1</v>
      </c>
      <c r="J302" t="s">
        <v>65</v>
      </c>
      <c r="K302" t="s">
        <v>112</v>
      </c>
      <c r="L302" t="s">
        <v>408</v>
      </c>
      <c r="M302" t="s">
        <v>61</v>
      </c>
      <c r="N302" t="s">
        <v>61</v>
      </c>
      <c r="O302" t="s">
        <v>16</v>
      </c>
      <c r="P302" t="s">
        <v>61</v>
      </c>
      <c r="Q302" t="s">
        <v>61</v>
      </c>
      <c r="R302" t="s">
        <v>407</v>
      </c>
    </row>
    <row r="303" spans="1:18">
      <c r="A303" t="s">
        <v>406</v>
      </c>
      <c r="B303" t="s">
        <v>405</v>
      </c>
      <c r="C303" t="s">
        <v>404</v>
      </c>
      <c r="D303" t="s">
        <v>403</v>
      </c>
      <c r="E303" s="1">
        <v>45948</v>
      </c>
      <c r="F303" t="s">
        <v>9</v>
      </c>
      <c r="G303" t="s">
        <v>402</v>
      </c>
      <c r="H303">
        <v>1</v>
      </c>
      <c r="I303">
        <v>1</v>
      </c>
      <c r="J303" t="s">
        <v>2797</v>
      </c>
      <c r="K303" t="s">
        <v>7</v>
      </c>
      <c r="L303" t="s">
        <v>401</v>
      </c>
      <c r="M303" t="s">
        <v>400</v>
      </c>
      <c r="N303" t="s">
        <v>250</v>
      </c>
      <c r="O303" t="s">
        <v>3</v>
      </c>
      <c r="P303" t="s">
        <v>399</v>
      </c>
      <c r="Q303" t="s">
        <v>398</v>
      </c>
      <c r="R303" t="s">
        <v>397</v>
      </c>
    </row>
    <row r="304" spans="1:18">
      <c r="A304" t="s">
        <v>396</v>
      </c>
      <c r="B304" t="s">
        <v>391</v>
      </c>
      <c r="C304" t="s">
        <v>395</v>
      </c>
      <c r="D304" t="s">
        <v>394</v>
      </c>
      <c r="E304" s="1">
        <v>45922</v>
      </c>
      <c r="F304" t="s">
        <v>65</v>
      </c>
      <c r="G304" t="s">
        <v>393</v>
      </c>
      <c r="H304">
        <v>1</v>
      </c>
      <c r="I304">
        <v>1</v>
      </c>
      <c r="J304" t="s">
        <v>65</v>
      </c>
      <c r="K304" t="s">
        <v>112</v>
      </c>
      <c r="L304" t="s">
        <v>392</v>
      </c>
      <c r="M304" t="s">
        <v>61</v>
      </c>
      <c r="N304" t="s">
        <v>61</v>
      </c>
      <c r="O304" t="s">
        <v>16</v>
      </c>
      <c r="P304" t="s">
        <v>61</v>
      </c>
      <c r="Q304" t="s">
        <v>61</v>
      </c>
      <c r="R304" t="s">
        <v>391</v>
      </c>
    </row>
    <row r="305" spans="1:18">
      <c r="A305" t="s">
        <v>390</v>
      </c>
      <c r="B305" t="s">
        <v>389</v>
      </c>
      <c r="C305" t="s">
        <v>388</v>
      </c>
      <c r="D305" t="s">
        <v>387</v>
      </c>
      <c r="E305" s="1">
        <v>45940</v>
      </c>
      <c r="F305" t="s">
        <v>9</v>
      </c>
      <c r="G305" t="s">
        <v>386</v>
      </c>
      <c r="H305">
        <v>1</v>
      </c>
      <c r="I305">
        <v>1</v>
      </c>
      <c r="J305" t="s">
        <v>249</v>
      </c>
      <c r="K305" t="s">
        <v>20</v>
      </c>
      <c r="L305" t="s">
        <v>385</v>
      </c>
      <c r="M305" t="s">
        <v>384</v>
      </c>
      <c r="N305" t="s">
        <v>17</v>
      </c>
      <c r="O305" t="s">
        <v>16</v>
      </c>
      <c r="P305" t="s">
        <v>249</v>
      </c>
      <c r="Q305" t="s">
        <v>383</v>
      </c>
      <c r="R305" t="s">
        <v>382</v>
      </c>
    </row>
    <row r="306" spans="1:18">
      <c r="A306" t="s">
        <v>381</v>
      </c>
      <c r="B306" t="s">
        <v>380</v>
      </c>
      <c r="C306" t="s">
        <v>379</v>
      </c>
      <c r="D306" t="s">
        <v>378</v>
      </c>
      <c r="E306" s="1">
        <v>45934</v>
      </c>
      <c r="F306" t="s">
        <v>9</v>
      </c>
      <c r="G306" t="s">
        <v>377</v>
      </c>
      <c r="H306">
        <v>1</v>
      </c>
      <c r="I306">
        <v>1</v>
      </c>
      <c r="J306" t="s">
        <v>376</v>
      </c>
      <c r="K306" t="s">
        <v>20</v>
      </c>
      <c r="L306" t="s">
        <v>375</v>
      </c>
      <c r="M306" t="s">
        <v>374</v>
      </c>
      <c r="N306" t="s">
        <v>17</v>
      </c>
      <c r="O306" t="s">
        <v>16</v>
      </c>
      <c r="P306" t="s">
        <v>373</v>
      </c>
      <c r="Q306" t="s">
        <v>372</v>
      </c>
      <c r="R306" t="s">
        <v>371</v>
      </c>
    </row>
    <row r="307" spans="1:18">
      <c r="A307" t="s">
        <v>370</v>
      </c>
      <c r="B307" t="s">
        <v>345</v>
      </c>
      <c r="C307" t="s">
        <v>344</v>
      </c>
      <c r="D307" t="s">
        <v>369</v>
      </c>
      <c r="E307" s="1">
        <v>45925</v>
      </c>
      <c r="F307" t="s">
        <v>9</v>
      </c>
      <c r="G307" t="s">
        <v>368</v>
      </c>
      <c r="H307">
        <v>1</v>
      </c>
      <c r="I307">
        <v>1</v>
      </c>
      <c r="J307" t="s">
        <v>2797</v>
      </c>
      <c r="K307" t="s">
        <v>20</v>
      </c>
      <c r="L307" t="s">
        <v>341</v>
      </c>
      <c r="M307" t="s">
        <v>367</v>
      </c>
      <c r="N307" t="s">
        <v>17</v>
      </c>
      <c r="O307" t="s">
        <v>16</v>
      </c>
      <c r="P307" t="s">
        <v>151</v>
      </c>
      <c r="Q307" t="s">
        <v>366</v>
      </c>
      <c r="R307" t="s">
        <v>338</v>
      </c>
    </row>
    <row r="308" spans="1:18">
      <c r="A308" t="s">
        <v>365</v>
      </c>
      <c r="B308" t="s">
        <v>364</v>
      </c>
      <c r="C308" t="s">
        <v>363</v>
      </c>
      <c r="D308" t="s">
        <v>362</v>
      </c>
      <c r="E308" s="1">
        <v>45955</v>
      </c>
      <c r="F308" t="s">
        <v>9</v>
      </c>
      <c r="G308" t="s">
        <v>361</v>
      </c>
      <c r="H308">
        <v>1</v>
      </c>
      <c r="I308">
        <v>1</v>
      </c>
      <c r="J308" t="s">
        <v>2797</v>
      </c>
      <c r="K308" t="s">
        <v>20</v>
      </c>
      <c r="L308" t="s">
        <v>360</v>
      </c>
      <c r="M308" t="s">
        <v>359</v>
      </c>
      <c r="N308" t="s">
        <v>358</v>
      </c>
      <c r="O308" t="s">
        <v>3</v>
      </c>
      <c r="P308" t="s">
        <v>151</v>
      </c>
      <c r="Q308" t="s">
        <v>357</v>
      </c>
      <c r="R308" t="s">
        <v>356</v>
      </c>
    </row>
    <row r="309" spans="1:18">
      <c r="A309" t="s">
        <v>355</v>
      </c>
      <c r="B309" t="s">
        <v>354</v>
      </c>
      <c r="C309" t="s">
        <v>353</v>
      </c>
      <c r="D309" t="s">
        <v>352</v>
      </c>
      <c r="E309" s="1">
        <v>45913</v>
      </c>
      <c r="F309" t="s">
        <v>9</v>
      </c>
      <c r="G309" t="s">
        <v>351</v>
      </c>
      <c r="H309">
        <v>1</v>
      </c>
      <c r="I309">
        <v>1</v>
      </c>
      <c r="J309" t="s">
        <v>2797</v>
      </c>
      <c r="K309" t="s">
        <v>20</v>
      </c>
      <c r="L309" t="s">
        <v>350</v>
      </c>
      <c r="M309" t="s">
        <v>349</v>
      </c>
      <c r="N309" t="s">
        <v>17</v>
      </c>
      <c r="O309" t="s">
        <v>16</v>
      </c>
      <c r="P309" t="s">
        <v>151</v>
      </c>
      <c r="Q309" t="s">
        <v>348</v>
      </c>
      <c r="R309" t="s">
        <v>347</v>
      </c>
    </row>
    <row r="310" spans="1:18">
      <c r="A310" t="s">
        <v>346</v>
      </c>
      <c r="B310" t="s">
        <v>345</v>
      </c>
      <c r="C310" t="s">
        <v>344</v>
      </c>
      <c r="D310" t="s">
        <v>343</v>
      </c>
      <c r="E310" s="1">
        <v>45925</v>
      </c>
      <c r="F310" t="s">
        <v>9</v>
      </c>
      <c r="G310" t="s">
        <v>342</v>
      </c>
      <c r="H310">
        <v>1</v>
      </c>
      <c r="I310">
        <v>1</v>
      </c>
      <c r="J310" t="s">
        <v>2797</v>
      </c>
      <c r="K310" t="s">
        <v>20</v>
      </c>
      <c r="L310" t="s">
        <v>341</v>
      </c>
      <c r="M310" t="s">
        <v>340</v>
      </c>
      <c r="N310" t="s">
        <v>17</v>
      </c>
      <c r="O310" t="s">
        <v>16</v>
      </c>
      <c r="P310" t="s">
        <v>151</v>
      </c>
      <c r="Q310" t="s">
        <v>339</v>
      </c>
      <c r="R310" t="s">
        <v>338</v>
      </c>
    </row>
    <row r="311" spans="1:18">
      <c r="A311" t="s">
        <v>337</v>
      </c>
      <c r="B311" t="s">
        <v>336</v>
      </c>
      <c r="C311" t="s">
        <v>335</v>
      </c>
      <c r="D311" t="s">
        <v>328</v>
      </c>
      <c r="E311" s="1">
        <v>45915</v>
      </c>
      <c r="F311" t="s">
        <v>9</v>
      </c>
      <c r="G311" t="s">
        <v>327</v>
      </c>
      <c r="H311">
        <v>1</v>
      </c>
      <c r="I311">
        <v>1</v>
      </c>
      <c r="J311" t="s">
        <v>2797</v>
      </c>
      <c r="K311" t="s">
        <v>7</v>
      </c>
      <c r="L311" t="s">
        <v>334</v>
      </c>
      <c r="M311" t="s">
        <v>333</v>
      </c>
      <c r="N311" t="s">
        <v>53</v>
      </c>
      <c r="O311" t="s">
        <v>16</v>
      </c>
      <c r="P311" t="s">
        <v>151</v>
      </c>
      <c r="Q311" t="s">
        <v>332</v>
      </c>
      <c r="R311" t="s">
        <v>331</v>
      </c>
    </row>
    <row r="312" spans="1:18">
      <c r="A312" t="s">
        <v>330</v>
      </c>
      <c r="B312" t="s">
        <v>325</v>
      </c>
      <c r="C312" t="s">
        <v>329</v>
      </c>
      <c r="D312" t="s">
        <v>328</v>
      </c>
      <c r="E312" s="1">
        <v>45926</v>
      </c>
      <c r="F312" t="s">
        <v>65</v>
      </c>
      <c r="G312" t="s">
        <v>327</v>
      </c>
      <c r="H312">
        <v>1</v>
      </c>
      <c r="I312">
        <v>1</v>
      </c>
      <c r="J312" t="s">
        <v>65</v>
      </c>
      <c r="K312" t="s">
        <v>63</v>
      </c>
      <c r="L312" t="s">
        <v>326</v>
      </c>
      <c r="M312" t="s">
        <v>61</v>
      </c>
      <c r="N312" t="s">
        <v>61</v>
      </c>
      <c r="O312" t="s">
        <v>16</v>
      </c>
      <c r="P312" t="s">
        <v>61</v>
      </c>
      <c r="Q312" t="s">
        <v>61</v>
      </c>
      <c r="R312" t="s">
        <v>325</v>
      </c>
    </row>
    <row r="313" spans="1:18">
      <c r="A313" t="s">
        <v>324</v>
      </c>
      <c r="B313" t="s">
        <v>323</v>
      </c>
      <c r="C313" t="s">
        <v>322</v>
      </c>
      <c r="D313" t="s">
        <v>313</v>
      </c>
      <c r="E313" s="1">
        <v>45936</v>
      </c>
      <c r="F313" t="s">
        <v>9</v>
      </c>
      <c r="G313" t="s">
        <v>312</v>
      </c>
      <c r="H313">
        <v>1</v>
      </c>
      <c r="I313">
        <v>1</v>
      </c>
      <c r="J313" t="s">
        <v>2798</v>
      </c>
      <c r="K313" t="s">
        <v>7</v>
      </c>
      <c r="L313" t="s">
        <v>321</v>
      </c>
      <c r="M313" t="s">
        <v>320</v>
      </c>
      <c r="N313" t="s">
        <v>53</v>
      </c>
      <c r="O313" t="s">
        <v>16</v>
      </c>
      <c r="P313" t="s">
        <v>319</v>
      </c>
      <c r="Q313" t="s">
        <v>318</v>
      </c>
      <c r="R313" t="s">
        <v>317</v>
      </c>
    </row>
    <row r="314" spans="1:18">
      <c r="A314" t="s">
        <v>316</v>
      </c>
      <c r="B314" t="s">
        <v>315</v>
      </c>
      <c r="C314" t="s">
        <v>314</v>
      </c>
      <c r="D314" t="s">
        <v>313</v>
      </c>
      <c r="E314" s="1">
        <v>45958</v>
      </c>
      <c r="F314" t="s">
        <v>9</v>
      </c>
      <c r="G314" t="s">
        <v>312</v>
      </c>
      <c r="H314">
        <v>1</v>
      </c>
      <c r="I314">
        <v>1</v>
      </c>
      <c r="J314" t="s">
        <v>2798</v>
      </c>
      <c r="K314" t="s">
        <v>20</v>
      </c>
      <c r="L314" t="s">
        <v>311</v>
      </c>
      <c r="M314" t="s">
        <v>310</v>
      </c>
      <c r="N314" t="s">
        <v>17</v>
      </c>
      <c r="O314" t="s">
        <v>16</v>
      </c>
      <c r="P314" t="s">
        <v>2</v>
      </c>
      <c r="Q314" t="s">
        <v>309</v>
      </c>
      <c r="R314" t="s">
        <v>308</v>
      </c>
    </row>
    <row r="315" spans="1:18">
      <c r="A315" t="s">
        <v>307</v>
      </c>
      <c r="B315" t="s">
        <v>306</v>
      </c>
      <c r="C315" t="s">
        <v>305</v>
      </c>
      <c r="D315" t="s">
        <v>304</v>
      </c>
      <c r="E315" s="1">
        <v>45956</v>
      </c>
      <c r="F315" t="s">
        <v>9</v>
      </c>
      <c r="G315" t="s">
        <v>303</v>
      </c>
      <c r="H315">
        <v>1</v>
      </c>
      <c r="I315">
        <v>1</v>
      </c>
      <c r="J315" t="s">
        <v>2798</v>
      </c>
      <c r="K315" t="s">
        <v>7</v>
      </c>
      <c r="L315" t="s">
        <v>302</v>
      </c>
      <c r="M315" t="s">
        <v>301</v>
      </c>
      <c r="N315" t="s">
        <v>81</v>
      </c>
      <c r="O315" t="s">
        <v>80</v>
      </c>
      <c r="P315" t="s">
        <v>2</v>
      </c>
      <c r="Q315" t="s">
        <v>300</v>
      </c>
      <c r="R315" t="s">
        <v>299</v>
      </c>
    </row>
    <row r="316" spans="1:18">
      <c r="A316" t="s">
        <v>298</v>
      </c>
      <c r="B316" t="s">
        <v>297</v>
      </c>
      <c r="C316" t="s">
        <v>296</v>
      </c>
      <c r="D316" t="s">
        <v>295</v>
      </c>
      <c r="E316" s="1">
        <v>45808</v>
      </c>
      <c r="F316" t="s">
        <v>9</v>
      </c>
      <c r="G316" t="s">
        <v>294</v>
      </c>
      <c r="H316">
        <v>1</v>
      </c>
      <c r="I316">
        <v>1</v>
      </c>
      <c r="J316" t="s">
        <v>2798</v>
      </c>
      <c r="K316" t="s">
        <v>20</v>
      </c>
      <c r="L316" t="s">
        <v>293</v>
      </c>
      <c r="M316" t="s">
        <v>292</v>
      </c>
      <c r="N316" t="s">
        <v>291</v>
      </c>
      <c r="O316" t="s">
        <v>16</v>
      </c>
      <c r="P316" t="s">
        <v>290</v>
      </c>
      <c r="Q316" t="s">
        <v>289</v>
      </c>
      <c r="R316" t="s">
        <v>288</v>
      </c>
    </row>
    <row r="317" spans="1:18">
      <c r="A317" t="s">
        <v>287</v>
      </c>
      <c r="B317" t="s">
        <v>282</v>
      </c>
      <c r="C317" t="s">
        <v>286</v>
      </c>
      <c r="D317" t="s">
        <v>285</v>
      </c>
      <c r="E317" s="1">
        <v>45885</v>
      </c>
      <c r="F317" t="s">
        <v>65</v>
      </c>
      <c r="G317" t="s">
        <v>284</v>
      </c>
      <c r="H317">
        <v>1</v>
      </c>
      <c r="I317">
        <v>1</v>
      </c>
      <c r="J317" t="s">
        <v>65</v>
      </c>
      <c r="K317" t="s">
        <v>112</v>
      </c>
      <c r="L317" t="s">
        <v>283</v>
      </c>
      <c r="M317" t="s">
        <v>61</v>
      </c>
      <c r="N317" t="s">
        <v>61</v>
      </c>
      <c r="O317" t="s">
        <v>16</v>
      </c>
      <c r="P317" t="s">
        <v>61</v>
      </c>
      <c r="Q317" t="s">
        <v>61</v>
      </c>
      <c r="R317" t="s">
        <v>282</v>
      </c>
    </row>
    <row r="318" spans="1:18">
      <c r="A318" t="s">
        <v>281</v>
      </c>
      <c r="B318" t="s">
        <v>276</v>
      </c>
      <c r="C318" t="s">
        <v>280</v>
      </c>
      <c r="D318" t="s">
        <v>279</v>
      </c>
      <c r="E318" s="1">
        <v>45897</v>
      </c>
      <c r="F318" t="s">
        <v>65</v>
      </c>
      <c r="G318" t="s">
        <v>278</v>
      </c>
      <c r="H318">
        <v>1</v>
      </c>
      <c r="I318">
        <v>1</v>
      </c>
      <c r="J318" t="s">
        <v>65</v>
      </c>
      <c r="K318" t="s">
        <v>112</v>
      </c>
      <c r="L318" t="s">
        <v>277</v>
      </c>
      <c r="M318" t="s">
        <v>61</v>
      </c>
      <c r="N318" t="s">
        <v>61</v>
      </c>
      <c r="O318" t="s">
        <v>16</v>
      </c>
      <c r="P318" t="s">
        <v>61</v>
      </c>
      <c r="Q318" t="s">
        <v>61</v>
      </c>
      <c r="R318" t="s">
        <v>276</v>
      </c>
    </row>
    <row r="319" spans="1:18">
      <c r="A319" t="s">
        <v>275</v>
      </c>
      <c r="B319" t="s">
        <v>274</v>
      </c>
      <c r="C319" t="s">
        <v>273</v>
      </c>
      <c r="D319" t="s">
        <v>272</v>
      </c>
      <c r="E319" s="1">
        <v>45911</v>
      </c>
      <c r="F319" t="s">
        <v>9</v>
      </c>
      <c r="G319" t="s">
        <v>271</v>
      </c>
      <c r="H319">
        <v>1</v>
      </c>
      <c r="I319">
        <v>1</v>
      </c>
      <c r="J319" t="s">
        <v>2798</v>
      </c>
      <c r="K319" t="s">
        <v>20</v>
      </c>
      <c r="L319" t="s">
        <v>270</v>
      </c>
      <c r="M319" t="s">
        <v>269</v>
      </c>
      <c r="N319" t="s">
        <v>17</v>
      </c>
      <c r="O319" t="s">
        <v>16</v>
      </c>
      <c r="P319" t="s">
        <v>110</v>
      </c>
      <c r="Q319" t="s">
        <v>268</v>
      </c>
      <c r="R319" t="s">
        <v>267</v>
      </c>
    </row>
    <row r="320" spans="1:18">
      <c r="A320" t="s">
        <v>266</v>
      </c>
      <c r="B320" t="s">
        <v>265</v>
      </c>
      <c r="C320" t="s">
        <v>264</v>
      </c>
      <c r="D320" t="s">
        <v>263</v>
      </c>
      <c r="E320" s="1">
        <v>45919</v>
      </c>
      <c r="F320" t="s">
        <v>9</v>
      </c>
      <c r="G320" t="s">
        <v>262</v>
      </c>
      <c r="H320">
        <v>1</v>
      </c>
      <c r="I320">
        <v>1</v>
      </c>
      <c r="J320" t="s">
        <v>2798</v>
      </c>
      <c r="K320" t="s">
        <v>20</v>
      </c>
      <c r="L320" t="s">
        <v>261</v>
      </c>
      <c r="M320" t="s">
        <v>260</v>
      </c>
      <c r="N320" t="s">
        <v>17</v>
      </c>
      <c r="O320" t="s">
        <v>16</v>
      </c>
      <c r="P320" t="s">
        <v>2</v>
      </c>
      <c r="Q320" t="s">
        <v>259</v>
      </c>
      <c r="R320" t="s">
        <v>258</v>
      </c>
    </row>
    <row r="321" spans="1:18">
      <c r="A321" t="s">
        <v>257</v>
      </c>
      <c r="B321" t="s">
        <v>256</v>
      </c>
      <c r="C321" t="s">
        <v>255</v>
      </c>
      <c r="D321" t="s">
        <v>254</v>
      </c>
      <c r="E321" s="1">
        <v>45946</v>
      </c>
      <c r="F321" t="s">
        <v>9</v>
      </c>
      <c r="G321" t="s">
        <v>253</v>
      </c>
      <c r="H321">
        <v>1</v>
      </c>
      <c r="I321">
        <v>1</v>
      </c>
      <c r="J321" t="s">
        <v>249</v>
      </c>
      <c r="K321" t="s">
        <v>7</v>
      </c>
      <c r="L321" t="s">
        <v>252</v>
      </c>
      <c r="M321" t="s">
        <v>251</v>
      </c>
      <c r="N321" t="s">
        <v>250</v>
      </c>
      <c r="O321" t="s">
        <v>3</v>
      </c>
      <c r="P321" t="s">
        <v>249</v>
      </c>
      <c r="Q321" t="s">
        <v>248</v>
      </c>
      <c r="R321" t="s">
        <v>247</v>
      </c>
    </row>
    <row r="322" spans="1:18">
      <c r="A322" t="s">
        <v>246</v>
      </c>
      <c r="B322" t="s">
        <v>245</v>
      </c>
      <c r="C322" t="s">
        <v>244</v>
      </c>
      <c r="D322" t="s">
        <v>243</v>
      </c>
      <c r="E322" s="1">
        <v>45910</v>
      </c>
      <c r="F322" t="s">
        <v>9</v>
      </c>
      <c r="G322" t="s">
        <v>242</v>
      </c>
      <c r="H322">
        <v>1</v>
      </c>
      <c r="I322">
        <v>1</v>
      </c>
      <c r="J322" t="s">
        <v>2798</v>
      </c>
      <c r="K322" t="s">
        <v>20</v>
      </c>
      <c r="L322" t="s">
        <v>241</v>
      </c>
      <c r="M322" t="s">
        <v>240</v>
      </c>
      <c r="N322" t="s">
        <v>17</v>
      </c>
      <c r="O322" t="s">
        <v>16</v>
      </c>
      <c r="P322" t="s">
        <v>141</v>
      </c>
      <c r="Q322" t="s">
        <v>239</v>
      </c>
      <c r="R322" t="s">
        <v>238</v>
      </c>
    </row>
    <row r="323" spans="1:18">
      <c r="A323" t="s">
        <v>237</v>
      </c>
      <c r="B323" t="s">
        <v>236</v>
      </c>
      <c r="C323" t="s">
        <v>235</v>
      </c>
      <c r="D323" t="s">
        <v>234</v>
      </c>
      <c r="E323" s="1">
        <v>45902</v>
      </c>
      <c r="F323" t="s">
        <v>9</v>
      </c>
      <c r="G323" t="s">
        <v>233</v>
      </c>
      <c r="H323">
        <v>1</v>
      </c>
      <c r="I323">
        <v>1</v>
      </c>
      <c r="J323" t="s">
        <v>2798</v>
      </c>
      <c r="K323" t="s">
        <v>7</v>
      </c>
      <c r="L323" t="s">
        <v>232</v>
      </c>
      <c r="M323" t="s">
        <v>231</v>
      </c>
      <c r="N323" t="s">
        <v>53</v>
      </c>
      <c r="O323" t="s">
        <v>16</v>
      </c>
      <c r="P323" t="s">
        <v>230</v>
      </c>
      <c r="Q323" t="s">
        <v>229</v>
      </c>
      <c r="R323" t="s">
        <v>228</v>
      </c>
    </row>
    <row r="324" spans="1:18">
      <c r="A324" t="s">
        <v>227</v>
      </c>
      <c r="B324" t="s">
        <v>221</v>
      </c>
      <c r="C324" t="s">
        <v>226</v>
      </c>
      <c r="D324" t="s">
        <v>225</v>
      </c>
      <c r="E324" s="1">
        <v>45909</v>
      </c>
      <c r="F324" t="s">
        <v>65</v>
      </c>
      <c r="G324" t="s">
        <v>224</v>
      </c>
      <c r="H324">
        <v>1</v>
      </c>
      <c r="I324">
        <v>1</v>
      </c>
      <c r="J324" t="s">
        <v>65</v>
      </c>
      <c r="K324" t="s">
        <v>223</v>
      </c>
      <c r="L324" t="s">
        <v>222</v>
      </c>
      <c r="M324" t="s">
        <v>61</v>
      </c>
      <c r="N324" t="s">
        <v>61</v>
      </c>
      <c r="O324" t="s">
        <v>16</v>
      </c>
      <c r="P324" t="s">
        <v>61</v>
      </c>
      <c r="Q324" t="s">
        <v>61</v>
      </c>
      <c r="R324" t="s">
        <v>221</v>
      </c>
    </row>
    <row r="325" spans="1:18">
      <c r="A325" t="s">
        <v>220</v>
      </c>
      <c r="B325" t="s">
        <v>219</v>
      </c>
      <c r="C325" t="s">
        <v>218</v>
      </c>
      <c r="D325" t="s">
        <v>217</v>
      </c>
      <c r="E325" s="1">
        <v>45945</v>
      </c>
      <c r="F325" t="s">
        <v>9</v>
      </c>
      <c r="G325" t="s">
        <v>216</v>
      </c>
      <c r="H325">
        <v>1</v>
      </c>
      <c r="I325">
        <v>1</v>
      </c>
      <c r="J325" t="s">
        <v>2797</v>
      </c>
      <c r="K325" t="s">
        <v>20</v>
      </c>
      <c r="L325" t="s">
        <v>215</v>
      </c>
      <c r="M325" t="s">
        <v>214</v>
      </c>
      <c r="N325" t="s">
        <v>17</v>
      </c>
      <c r="O325" t="s">
        <v>16</v>
      </c>
      <c r="P325" t="s">
        <v>151</v>
      </c>
      <c r="Q325" t="s">
        <v>213</v>
      </c>
      <c r="R325" t="s">
        <v>212</v>
      </c>
    </row>
    <row r="326" spans="1:18">
      <c r="A326" t="s">
        <v>211</v>
      </c>
      <c r="B326" t="s">
        <v>210</v>
      </c>
      <c r="C326" t="s">
        <v>209</v>
      </c>
      <c r="D326" t="s">
        <v>208</v>
      </c>
      <c r="E326" s="1">
        <v>45925</v>
      </c>
      <c r="F326" t="s">
        <v>9</v>
      </c>
      <c r="G326" t="s">
        <v>207</v>
      </c>
      <c r="H326">
        <v>1</v>
      </c>
      <c r="I326">
        <v>1</v>
      </c>
      <c r="J326" t="s">
        <v>2798</v>
      </c>
      <c r="K326" t="s">
        <v>20</v>
      </c>
      <c r="L326" t="s">
        <v>206</v>
      </c>
      <c r="M326" t="s">
        <v>205</v>
      </c>
      <c r="N326" t="s">
        <v>17</v>
      </c>
      <c r="O326" t="s">
        <v>16</v>
      </c>
      <c r="P326" t="s">
        <v>2</v>
      </c>
      <c r="Q326" t="s">
        <v>204</v>
      </c>
      <c r="R326" t="s">
        <v>203</v>
      </c>
    </row>
    <row r="327" spans="1:18">
      <c r="A327" t="s">
        <v>202</v>
      </c>
      <c r="B327" t="s">
        <v>201</v>
      </c>
      <c r="C327" t="s">
        <v>200</v>
      </c>
      <c r="D327" t="s">
        <v>199</v>
      </c>
      <c r="E327" s="1">
        <v>45947</v>
      </c>
      <c r="F327" t="s">
        <v>9</v>
      </c>
      <c r="G327" t="s">
        <v>198</v>
      </c>
      <c r="H327">
        <v>1</v>
      </c>
      <c r="I327">
        <v>1</v>
      </c>
      <c r="J327" t="s">
        <v>2797</v>
      </c>
      <c r="K327" t="s">
        <v>7</v>
      </c>
      <c r="L327" t="s">
        <v>197</v>
      </c>
      <c r="M327" t="s">
        <v>196</v>
      </c>
      <c r="N327" t="s">
        <v>53</v>
      </c>
      <c r="O327" t="s">
        <v>16</v>
      </c>
      <c r="P327" t="s">
        <v>56</v>
      </c>
      <c r="Q327" t="s">
        <v>195</v>
      </c>
      <c r="R327" t="s">
        <v>194</v>
      </c>
    </row>
    <row r="328" spans="1:18">
      <c r="A328" t="s">
        <v>193</v>
      </c>
      <c r="B328" t="s">
        <v>192</v>
      </c>
      <c r="C328" t="s">
        <v>191</v>
      </c>
      <c r="D328" t="s">
        <v>190</v>
      </c>
      <c r="E328" s="1">
        <v>45925</v>
      </c>
      <c r="F328" t="s">
        <v>9</v>
      </c>
      <c r="G328" t="s">
        <v>189</v>
      </c>
      <c r="H328">
        <v>1</v>
      </c>
      <c r="I328">
        <v>1</v>
      </c>
      <c r="J328" t="s">
        <v>2798</v>
      </c>
      <c r="K328" t="s">
        <v>20</v>
      </c>
      <c r="L328" t="s">
        <v>188</v>
      </c>
      <c r="M328" t="s">
        <v>187</v>
      </c>
      <c r="N328" t="s">
        <v>17</v>
      </c>
      <c r="O328" t="s">
        <v>16</v>
      </c>
      <c r="P328" t="s">
        <v>186</v>
      </c>
      <c r="Q328" t="s">
        <v>185</v>
      </c>
      <c r="R328" t="s">
        <v>184</v>
      </c>
    </row>
    <row r="329" spans="1:18">
      <c r="A329" t="s">
        <v>183</v>
      </c>
      <c r="B329" t="s">
        <v>182</v>
      </c>
      <c r="C329" t="s">
        <v>181</v>
      </c>
      <c r="D329" t="s">
        <v>180</v>
      </c>
      <c r="E329" s="1">
        <v>45909</v>
      </c>
      <c r="F329" t="s">
        <v>9</v>
      </c>
      <c r="G329" t="s">
        <v>179</v>
      </c>
      <c r="H329">
        <v>1</v>
      </c>
      <c r="I329">
        <v>1</v>
      </c>
      <c r="J329" t="s">
        <v>2798</v>
      </c>
      <c r="K329" t="s">
        <v>7</v>
      </c>
      <c r="L329" t="s">
        <v>178</v>
      </c>
      <c r="M329" t="s">
        <v>177</v>
      </c>
      <c r="N329" t="s">
        <v>53</v>
      </c>
      <c r="O329" t="s">
        <v>16</v>
      </c>
      <c r="P329" t="s">
        <v>141</v>
      </c>
      <c r="Q329" t="s">
        <v>176</v>
      </c>
      <c r="R329" t="s">
        <v>175</v>
      </c>
    </row>
    <row r="330" spans="1:18">
      <c r="A330" t="s">
        <v>174</v>
      </c>
      <c r="B330" t="s">
        <v>173</v>
      </c>
      <c r="C330" t="s">
        <v>172</v>
      </c>
      <c r="D330" t="s">
        <v>171</v>
      </c>
      <c r="E330" s="1">
        <v>45920</v>
      </c>
      <c r="F330" t="s">
        <v>9</v>
      </c>
      <c r="G330" t="s">
        <v>170</v>
      </c>
      <c r="H330">
        <v>1</v>
      </c>
      <c r="I330">
        <v>1</v>
      </c>
      <c r="J330" t="s">
        <v>2798</v>
      </c>
      <c r="K330" t="s">
        <v>20</v>
      </c>
      <c r="L330" t="s">
        <v>169</v>
      </c>
      <c r="M330" t="s">
        <v>168</v>
      </c>
      <c r="N330" t="s">
        <v>17</v>
      </c>
      <c r="O330" t="s">
        <v>16</v>
      </c>
      <c r="P330" t="s">
        <v>2</v>
      </c>
      <c r="Q330" t="s">
        <v>167</v>
      </c>
      <c r="R330" t="s">
        <v>166</v>
      </c>
    </row>
    <row r="331" spans="1:18">
      <c r="A331" t="s">
        <v>165</v>
      </c>
      <c r="B331" t="s">
        <v>160</v>
      </c>
      <c r="C331" t="s">
        <v>164</v>
      </c>
      <c r="D331" t="s">
        <v>163</v>
      </c>
      <c r="E331" s="1">
        <v>45933</v>
      </c>
      <c r="F331" t="s">
        <v>65</v>
      </c>
      <c r="G331" t="s">
        <v>162</v>
      </c>
      <c r="H331">
        <v>1</v>
      </c>
      <c r="I331">
        <v>1</v>
      </c>
      <c r="J331" t="s">
        <v>65</v>
      </c>
      <c r="K331" t="s">
        <v>112</v>
      </c>
      <c r="L331" t="s">
        <v>161</v>
      </c>
      <c r="M331" t="s">
        <v>61</v>
      </c>
      <c r="N331" t="s">
        <v>61</v>
      </c>
      <c r="O331" t="s">
        <v>16</v>
      </c>
      <c r="P331" t="s">
        <v>61</v>
      </c>
      <c r="Q331" t="s">
        <v>61</v>
      </c>
      <c r="R331" t="s">
        <v>160</v>
      </c>
    </row>
    <row r="332" spans="1:18">
      <c r="A332" t="s">
        <v>159</v>
      </c>
      <c r="B332" t="s">
        <v>158</v>
      </c>
      <c r="C332" t="s">
        <v>157</v>
      </c>
      <c r="D332" t="s">
        <v>156</v>
      </c>
      <c r="E332" s="1">
        <v>45930</v>
      </c>
      <c r="F332" t="s">
        <v>9</v>
      </c>
      <c r="G332" t="s">
        <v>155</v>
      </c>
      <c r="H332">
        <v>1</v>
      </c>
      <c r="I332">
        <v>1</v>
      </c>
      <c r="J332" t="s">
        <v>2797</v>
      </c>
      <c r="K332" t="s">
        <v>20</v>
      </c>
      <c r="L332" t="s">
        <v>154</v>
      </c>
      <c r="M332" t="s">
        <v>153</v>
      </c>
      <c r="N332" t="s">
        <v>152</v>
      </c>
      <c r="O332" t="s">
        <v>3</v>
      </c>
      <c r="P332" t="s">
        <v>151</v>
      </c>
      <c r="Q332" t="s">
        <v>150</v>
      </c>
      <c r="R332" t="s">
        <v>149</v>
      </c>
    </row>
    <row r="333" spans="1:18">
      <c r="A333" t="s">
        <v>148</v>
      </c>
      <c r="B333" t="s">
        <v>147</v>
      </c>
      <c r="C333" t="s">
        <v>146</v>
      </c>
      <c r="D333" t="s">
        <v>145</v>
      </c>
      <c r="E333" s="1">
        <v>45918</v>
      </c>
      <c r="F333" t="s">
        <v>9</v>
      </c>
      <c r="G333" t="s">
        <v>144</v>
      </c>
      <c r="H333">
        <v>1</v>
      </c>
      <c r="I333">
        <v>1</v>
      </c>
      <c r="J333" t="s">
        <v>2798</v>
      </c>
      <c r="K333" t="s">
        <v>20</v>
      </c>
      <c r="L333" t="s">
        <v>143</v>
      </c>
      <c r="M333" t="s">
        <v>142</v>
      </c>
      <c r="N333" t="s">
        <v>17</v>
      </c>
      <c r="O333" t="s">
        <v>16</v>
      </c>
      <c r="P333" t="s">
        <v>141</v>
      </c>
      <c r="Q333" t="s">
        <v>140</v>
      </c>
      <c r="R333" t="s">
        <v>139</v>
      </c>
    </row>
    <row r="334" spans="1:18">
      <c r="A334" t="s">
        <v>138</v>
      </c>
      <c r="B334" t="s">
        <v>133</v>
      </c>
      <c r="C334" t="s">
        <v>137</v>
      </c>
      <c r="D334" t="s">
        <v>136</v>
      </c>
      <c r="E334" s="1">
        <v>45927</v>
      </c>
      <c r="F334" t="s">
        <v>65</v>
      </c>
      <c r="G334" t="s">
        <v>135</v>
      </c>
      <c r="H334">
        <v>1</v>
      </c>
      <c r="I334">
        <v>1</v>
      </c>
      <c r="J334" t="s">
        <v>65</v>
      </c>
      <c r="K334" t="s">
        <v>112</v>
      </c>
      <c r="L334" t="s">
        <v>134</v>
      </c>
      <c r="M334" t="s">
        <v>61</v>
      </c>
      <c r="N334" t="s">
        <v>61</v>
      </c>
      <c r="O334" t="s">
        <v>16</v>
      </c>
      <c r="P334" t="s">
        <v>61</v>
      </c>
      <c r="Q334" t="s">
        <v>61</v>
      </c>
      <c r="R334" t="s">
        <v>133</v>
      </c>
    </row>
    <row r="335" spans="1:18">
      <c r="A335" t="s">
        <v>132</v>
      </c>
      <c r="B335" t="s">
        <v>127</v>
      </c>
      <c r="C335" t="s">
        <v>131</v>
      </c>
      <c r="D335" t="s">
        <v>130</v>
      </c>
      <c r="E335" s="1">
        <v>45912</v>
      </c>
      <c r="F335" t="s">
        <v>65</v>
      </c>
      <c r="G335" t="s">
        <v>129</v>
      </c>
      <c r="H335">
        <v>1</v>
      </c>
      <c r="I335">
        <v>1</v>
      </c>
      <c r="J335" t="s">
        <v>65</v>
      </c>
      <c r="K335" t="s">
        <v>112</v>
      </c>
      <c r="L335" t="s">
        <v>128</v>
      </c>
      <c r="M335" t="s">
        <v>61</v>
      </c>
      <c r="N335" t="s">
        <v>61</v>
      </c>
      <c r="O335" t="s">
        <v>16</v>
      </c>
      <c r="P335" t="s">
        <v>61</v>
      </c>
      <c r="Q335" t="s">
        <v>61</v>
      </c>
      <c r="R335" t="s">
        <v>127</v>
      </c>
    </row>
    <row r="336" spans="1:18">
      <c r="A336" t="s">
        <v>126</v>
      </c>
      <c r="B336" t="s">
        <v>125</v>
      </c>
      <c r="C336" t="s">
        <v>124</v>
      </c>
      <c r="D336" t="s">
        <v>123</v>
      </c>
      <c r="E336" s="1">
        <v>45947</v>
      </c>
      <c r="F336" t="s">
        <v>9</v>
      </c>
      <c r="G336" t="s">
        <v>122</v>
      </c>
      <c r="H336">
        <v>1</v>
      </c>
      <c r="I336">
        <v>1</v>
      </c>
      <c r="J336" t="s">
        <v>2798</v>
      </c>
      <c r="K336" t="s">
        <v>20</v>
      </c>
      <c r="L336" t="s">
        <v>121</v>
      </c>
      <c r="M336" t="s">
        <v>120</v>
      </c>
      <c r="N336" t="s">
        <v>17</v>
      </c>
      <c r="O336" t="s">
        <v>16</v>
      </c>
      <c r="P336" t="s">
        <v>2</v>
      </c>
      <c r="Q336" t="s">
        <v>119</v>
      </c>
      <c r="R336" t="s">
        <v>118</v>
      </c>
    </row>
    <row r="337" spans="1:18">
      <c r="A337" t="s">
        <v>117</v>
      </c>
      <c r="B337" t="s">
        <v>116</v>
      </c>
      <c r="C337" t="s">
        <v>115</v>
      </c>
      <c r="D337" t="s">
        <v>114</v>
      </c>
      <c r="E337" s="1">
        <v>45933</v>
      </c>
      <c r="F337" t="s">
        <v>9</v>
      </c>
      <c r="G337" t="s">
        <v>113</v>
      </c>
      <c r="H337">
        <v>1</v>
      </c>
      <c r="I337">
        <v>1</v>
      </c>
      <c r="J337" t="s">
        <v>2798</v>
      </c>
      <c r="K337" t="s">
        <v>112</v>
      </c>
      <c r="L337" t="s">
        <v>111</v>
      </c>
      <c r="M337" t="s">
        <v>61</v>
      </c>
      <c r="N337" t="s">
        <v>81</v>
      </c>
      <c r="O337" t="s">
        <v>80</v>
      </c>
      <c r="P337" t="s">
        <v>110</v>
      </c>
      <c r="Q337" t="s">
        <v>109</v>
      </c>
      <c r="R337" t="s">
        <v>108</v>
      </c>
    </row>
    <row r="338" spans="1:18">
      <c r="A338" t="s">
        <v>107</v>
      </c>
      <c r="B338" t="s">
        <v>106</v>
      </c>
      <c r="C338" t="s">
        <v>105</v>
      </c>
      <c r="D338" t="s">
        <v>104</v>
      </c>
      <c r="E338" s="1">
        <v>45952</v>
      </c>
      <c r="F338" t="s">
        <v>9</v>
      </c>
      <c r="G338" t="s">
        <v>103</v>
      </c>
      <c r="H338">
        <v>1</v>
      </c>
      <c r="I338">
        <v>1</v>
      </c>
      <c r="J338" t="s">
        <v>2798</v>
      </c>
      <c r="K338" t="s">
        <v>7</v>
      </c>
      <c r="L338" t="s">
        <v>102</v>
      </c>
      <c r="M338" t="s">
        <v>101</v>
      </c>
      <c r="N338" t="s">
        <v>100</v>
      </c>
      <c r="O338" t="s">
        <v>3</v>
      </c>
      <c r="P338" t="s">
        <v>2</v>
      </c>
      <c r="Q338" t="s">
        <v>99</v>
      </c>
      <c r="R338" t="s">
        <v>98</v>
      </c>
    </row>
    <row r="339" spans="1:18">
      <c r="A339" t="s">
        <v>97</v>
      </c>
      <c r="B339" t="s">
        <v>96</v>
      </c>
      <c r="C339" t="s">
        <v>95</v>
      </c>
      <c r="D339" t="s">
        <v>94</v>
      </c>
      <c r="E339" s="1">
        <v>45937</v>
      </c>
      <c r="F339" t="s">
        <v>9</v>
      </c>
      <c r="G339" t="s">
        <v>93</v>
      </c>
      <c r="H339">
        <v>1</v>
      </c>
      <c r="I339">
        <v>1</v>
      </c>
      <c r="J339" t="s">
        <v>2798</v>
      </c>
      <c r="K339" t="s">
        <v>7</v>
      </c>
      <c r="L339" t="s">
        <v>92</v>
      </c>
      <c r="M339" t="s">
        <v>91</v>
      </c>
      <c r="N339" t="s">
        <v>53</v>
      </c>
      <c r="O339" t="s">
        <v>16</v>
      </c>
      <c r="P339" t="s">
        <v>2</v>
      </c>
      <c r="Q339" t="s">
        <v>90</v>
      </c>
      <c r="R339" t="s">
        <v>89</v>
      </c>
    </row>
    <row r="340" spans="1:18">
      <c r="A340" t="s">
        <v>88</v>
      </c>
      <c r="B340" t="s">
        <v>87</v>
      </c>
      <c r="C340" t="s">
        <v>86</v>
      </c>
      <c r="D340" t="s">
        <v>85</v>
      </c>
      <c r="E340" s="1">
        <v>45953</v>
      </c>
      <c r="F340" t="s">
        <v>9</v>
      </c>
      <c r="G340" t="s">
        <v>84</v>
      </c>
      <c r="H340">
        <v>1</v>
      </c>
      <c r="I340">
        <v>1</v>
      </c>
      <c r="J340" t="s">
        <v>2798</v>
      </c>
      <c r="K340" t="s">
        <v>7</v>
      </c>
      <c r="L340" t="s">
        <v>83</v>
      </c>
      <c r="M340" t="s">
        <v>82</v>
      </c>
      <c r="N340" t="s">
        <v>81</v>
      </c>
      <c r="O340" t="s">
        <v>80</v>
      </c>
      <c r="P340" t="s">
        <v>2</v>
      </c>
      <c r="Q340" t="s">
        <v>79</v>
      </c>
      <c r="R340" t="s">
        <v>78</v>
      </c>
    </row>
    <row r="341" spans="1:18">
      <c r="A341" t="s">
        <v>77</v>
      </c>
      <c r="B341" t="s">
        <v>76</v>
      </c>
      <c r="C341" t="s">
        <v>75</v>
      </c>
      <c r="D341" t="s">
        <v>74</v>
      </c>
      <c r="E341" s="1">
        <v>45939</v>
      </c>
      <c r="F341" t="s">
        <v>9</v>
      </c>
      <c r="G341" t="s">
        <v>73</v>
      </c>
      <c r="H341">
        <v>1</v>
      </c>
      <c r="I341">
        <v>1</v>
      </c>
      <c r="J341" t="s">
        <v>2798</v>
      </c>
      <c r="K341" t="s">
        <v>20</v>
      </c>
      <c r="L341" t="s">
        <v>72</v>
      </c>
      <c r="M341" t="s">
        <v>71</v>
      </c>
      <c r="N341" t="s">
        <v>17</v>
      </c>
      <c r="O341" t="s">
        <v>16</v>
      </c>
      <c r="P341" t="s">
        <v>2</v>
      </c>
      <c r="Q341" t="s">
        <v>70</v>
      </c>
      <c r="R341" t="s">
        <v>69</v>
      </c>
    </row>
    <row r="342" spans="1:18">
      <c r="A342" t="s">
        <v>68</v>
      </c>
      <c r="B342" t="s">
        <v>60</v>
      </c>
      <c r="C342" t="s">
        <v>67</v>
      </c>
      <c r="D342" t="s">
        <v>66</v>
      </c>
      <c r="E342" s="1">
        <v>45954</v>
      </c>
      <c r="F342" t="s">
        <v>65</v>
      </c>
      <c r="G342" t="s">
        <v>64</v>
      </c>
      <c r="H342">
        <v>1</v>
      </c>
      <c r="I342">
        <v>1</v>
      </c>
      <c r="J342" t="s">
        <v>65</v>
      </c>
      <c r="K342" t="s">
        <v>63</v>
      </c>
      <c r="L342" t="s">
        <v>62</v>
      </c>
      <c r="M342" t="s">
        <v>61</v>
      </c>
      <c r="N342" t="s">
        <v>61</v>
      </c>
      <c r="O342" t="s">
        <v>16</v>
      </c>
      <c r="P342" t="s">
        <v>61</v>
      </c>
      <c r="Q342" t="s">
        <v>61</v>
      </c>
      <c r="R342" t="s">
        <v>60</v>
      </c>
    </row>
    <row r="343" spans="1:18">
      <c r="A343" t="s">
        <v>59</v>
      </c>
      <c r="B343" t="s">
        <v>58</v>
      </c>
      <c r="C343" t="s">
        <v>57</v>
      </c>
      <c r="D343" t="s">
        <v>39</v>
      </c>
      <c r="E343" s="1">
        <v>45941</v>
      </c>
      <c r="F343" t="s">
        <v>9</v>
      </c>
      <c r="G343" t="s">
        <v>38</v>
      </c>
      <c r="H343">
        <v>1</v>
      </c>
      <c r="I343">
        <v>1</v>
      </c>
      <c r="J343" t="s">
        <v>2797</v>
      </c>
      <c r="K343" t="s">
        <v>7</v>
      </c>
      <c r="L343" t="s">
        <v>55</v>
      </c>
      <c r="M343" t="s">
        <v>54</v>
      </c>
      <c r="N343" t="s">
        <v>53</v>
      </c>
      <c r="O343" t="s">
        <v>16</v>
      </c>
      <c r="P343" t="s">
        <v>52</v>
      </c>
      <c r="Q343" t="s">
        <v>51</v>
      </c>
      <c r="R343" t="s">
        <v>50</v>
      </c>
    </row>
    <row r="344" spans="1:18">
      <c r="A344" t="s">
        <v>49</v>
      </c>
      <c r="B344" t="s">
        <v>48</v>
      </c>
      <c r="C344" t="s">
        <v>47</v>
      </c>
      <c r="D344" t="s">
        <v>39</v>
      </c>
      <c r="E344" s="1">
        <v>45958</v>
      </c>
      <c r="F344" t="s">
        <v>9</v>
      </c>
      <c r="G344" t="s">
        <v>38</v>
      </c>
      <c r="H344">
        <v>1</v>
      </c>
      <c r="I344">
        <v>1</v>
      </c>
      <c r="J344" t="s">
        <v>2798</v>
      </c>
      <c r="K344" t="s">
        <v>20</v>
      </c>
      <c r="L344" t="s">
        <v>46</v>
      </c>
      <c r="M344" t="s">
        <v>45</v>
      </c>
      <c r="N344" t="s">
        <v>17</v>
      </c>
      <c r="O344" t="s">
        <v>16</v>
      </c>
      <c r="P344" t="s">
        <v>2</v>
      </c>
      <c r="Q344" t="s">
        <v>44</v>
      </c>
      <c r="R344" t="s">
        <v>43</v>
      </c>
    </row>
    <row r="345" spans="1:18">
      <c r="A345" t="s">
        <v>42</v>
      </c>
      <c r="B345" t="s">
        <v>41</v>
      </c>
      <c r="C345" t="s">
        <v>40</v>
      </c>
      <c r="D345" t="s">
        <v>39</v>
      </c>
      <c r="E345" s="1">
        <v>45956</v>
      </c>
      <c r="F345" t="s">
        <v>9</v>
      </c>
      <c r="G345" t="s">
        <v>38</v>
      </c>
      <c r="H345">
        <v>1</v>
      </c>
      <c r="I345">
        <v>1</v>
      </c>
      <c r="J345" t="s">
        <v>2798</v>
      </c>
      <c r="K345" t="s">
        <v>20</v>
      </c>
      <c r="L345" t="s">
        <v>37</v>
      </c>
      <c r="M345" t="s">
        <v>36</v>
      </c>
      <c r="N345" t="s">
        <v>35</v>
      </c>
      <c r="O345" t="s">
        <v>3</v>
      </c>
      <c r="P345" t="s">
        <v>2</v>
      </c>
      <c r="Q345" t="s">
        <v>34</v>
      </c>
      <c r="R345" t="s">
        <v>33</v>
      </c>
    </row>
    <row r="346" spans="1:18">
      <c r="A346" t="s">
        <v>32</v>
      </c>
      <c r="B346" t="s">
        <v>31</v>
      </c>
      <c r="C346" t="s">
        <v>30</v>
      </c>
      <c r="D346" t="s">
        <v>22</v>
      </c>
      <c r="E346" s="1">
        <v>45918</v>
      </c>
      <c r="F346" t="s">
        <v>9</v>
      </c>
      <c r="G346" t="s">
        <v>21</v>
      </c>
      <c r="H346">
        <v>1</v>
      </c>
      <c r="I346">
        <v>1</v>
      </c>
      <c r="J346" t="s">
        <v>2798</v>
      </c>
      <c r="K346" t="s">
        <v>20</v>
      </c>
      <c r="L346" t="s">
        <v>29</v>
      </c>
      <c r="M346" t="s">
        <v>28</v>
      </c>
      <c r="N346" t="s">
        <v>17</v>
      </c>
      <c r="O346" t="s">
        <v>16</v>
      </c>
      <c r="P346" t="s">
        <v>2</v>
      </c>
      <c r="Q346" t="s">
        <v>27</v>
      </c>
      <c r="R346" t="s">
        <v>26</v>
      </c>
    </row>
    <row r="347" spans="1:18">
      <c r="A347" t="s">
        <v>25</v>
      </c>
      <c r="B347" t="s">
        <v>24</v>
      </c>
      <c r="C347" t="s">
        <v>23</v>
      </c>
      <c r="D347" t="s">
        <v>22</v>
      </c>
      <c r="E347" s="1">
        <v>45929</v>
      </c>
      <c r="F347" t="s">
        <v>9</v>
      </c>
      <c r="G347" t="s">
        <v>21</v>
      </c>
      <c r="H347">
        <v>1</v>
      </c>
      <c r="I347">
        <v>1</v>
      </c>
      <c r="J347" t="s">
        <v>2798</v>
      </c>
      <c r="K347" t="s">
        <v>20</v>
      </c>
      <c r="L347" t="s">
        <v>19</v>
      </c>
      <c r="M347" t="s">
        <v>18</v>
      </c>
      <c r="N347" t="s">
        <v>17</v>
      </c>
      <c r="O347" t="s">
        <v>16</v>
      </c>
      <c r="P347" t="s">
        <v>2</v>
      </c>
      <c r="Q347" t="s">
        <v>15</v>
      </c>
      <c r="R347" t="s">
        <v>14</v>
      </c>
    </row>
    <row r="348" spans="1:18">
      <c r="A348" t="s">
        <v>13</v>
      </c>
      <c r="B348" t="s">
        <v>12</v>
      </c>
      <c r="C348" t="s">
        <v>11</v>
      </c>
      <c r="D348" t="s">
        <v>10</v>
      </c>
      <c r="E348" s="1">
        <v>45954</v>
      </c>
      <c r="F348" t="s">
        <v>9</v>
      </c>
      <c r="G348" t="s">
        <v>8</v>
      </c>
      <c r="H348">
        <v>1</v>
      </c>
      <c r="I348">
        <v>1</v>
      </c>
      <c r="J348" t="s">
        <v>2798</v>
      </c>
      <c r="K348" t="s">
        <v>7</v>
      </c>
      <c r="L348" t="s">
        <v>6</v>
      </c>
      <c r="M348" t="s">
        <v>5</v>
      </c>
      <c r="N348" t="s">
        <v>4</v>
      </c>
      <c r="O348" t="s">
        <v>3</v>
      </c>
      <c r="P348" t="s">
        <v>2</v>
      </c>
      <c r="Q348" t="s">
        <v>1</v>
      </c>
      <c r="R348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3561-8983-480F-9642-BB5234232024}">
  <dimension ref="B2:H67"/>
  <sheetViews>
    <sheetView tabSelected="1" topLeftCell="A4" zoomScale="70" zoomScaleNormal="70" workbookViewId="0">
      <selection activeCell="O26" sqref="O26"/>
    </sheetView>
  </sheetViews>
  <sheetFormatPr defaultRowHeight="14.4"/>
  <cols>
    <col min="1" max="5" width="8.88671875" style="5"/>
    <col min="6" max="6" width="35.5546875" style="5" bestFit="1" customWidth="1"/>
    <col min="7" max="7" width="30.44140625" style="5" bestFit="1" customWidth="1"/>
    <col min="8" max="8" width="49.109375" style="5" bestFit="1" customWidth="1"/>
    <col min="9" max="9" width="23.5546875" style="5" bestFit="1" customWidth="1"/>
    <col min="10" max="10" width="5.77734375" style="5" bestFit="1" customWidth="1"/>
    <col min="11" max="11" width="32.21875" style="5" bestFit="1" customWidth="1"/>
    <col min="12" max="16384" width="8.88671875" style="5"/>
  </cols>
  <sheetData>
    <row r="2" spans="6:8" ht="21">
      <c r="F2" s="11" t="s">
        <v>2790</v>
      </c>
      <c r="G2" s="11" t="s">
        <v>2793</v>
      </c>
      <c r="H2" s="11" t="s">
        <v>2799</v>
      </c>
    </row>
    <row r="3" spans="6:8" ht="21">
      <c r="F3" s="12" t="s">
        <v>2791</v>
      </c>
      <c r="G3" s="13">
        <f>COUNTA(SellerPanel_Return[Return No])</f>
        <v>347</v>
      </c>
      <c r="H3" s="14" t="s">
        <v>2800</v>
      </c>
    </row>
    <row r="4" spans="6:8" ht="21">
      <c r="F4" s="12" t="s">
        <v>2801</v>
      </c>
      <c r="G4" s="13">
        <f>SUM(SellerPanel_Return[Return Qty])</f>
        <v>347</v>
      </c>
      <c r="H4" s="14" t="s">
        <v>2802</v>
      </c>
    </row>
    <row r="5" spans="6:8" ht="21">
      <c r="F5" s="12" t="s">
        <v>2803</v>
      </c>
      <c r="G5" s="13">
        <f>COUNTA(_xlfn.UNIQUE(SellerPanel_Return[Design No.]))</f>
        <v>282</v>
      </c>
      <c r="H5" s="14" t="s">
        <v>2804</v>
      </c>
    </row>
    <row r="6" spans="6:8" ht="21">
      <c r="F6" s="12" t="s">
        <v>2805</v>
      </c>
      <c r="G6" s="13">
        <f>COUNTIFS(SellerPanel_Return[[#All],[Return Type]],"Delivered Return")</f>
        <v>269</v>
      </c>
      <c r="H6" s="14" t="s">
        <v>2806</v>
      </c>
    </row>
    <row r="7" spans="6:8" ht="21">
      <c r="F7" s="12" t="s">
        <v>2807</v>
      </c>
      <c r="G7" s="13">
        <f>COUNTIFS(SellerPanel_Return[[#All],[Return Type]],"RTO")</f>
        <v>78</v>
      </c>
      <c r="H7" s="14" t="s">
        <v>2808</v>
      </c>
    </row>
    <row r="8" spans="6:8" ht="21">
      <c r="F8" s="12" t="s">
        <v>2809</v>
      </c>
      <c r="G8" s="15">
        <v>0.7752</v>
      </c>
      <c r="H8" s="14" t="s">
        <v>2810</v>
      </c>
    </row>
    <row r="9" spans="6:8" ht="21">
      <c r="F9" s="12" t="s">
        <v>2792</v>
      </c>
      <c r="G9" s="16" t="s">
        <v>2812</v>
      </c>
      <c r="H9" s="14" t="s">
        <v>2811</v>
      </c>
    </row>
    <row r="50" spans="2:7" ht="25.8">
      <c r="B50" s="10" t="s">
        <v>2820</v>
      </c>
      <c r="C50" s="10"/>
      <c r="D50" s="10"/>
      <c r="E50" s="10"/>
      <c r="F50" s="10"/>
      <c r="G50" s="10"/>
    </row>
    <row r="51" spans="2:7">
      <c r="B51" s="7" t="s">
        <v>2814</v>
      </c>
      <c r="C51" s="7"/>
      <c r="D51" s="7"/>
      <c r="E51" s="7"/>
      <c r="F51" s="7"/>
      <c r="G51" s="7"/>
    </row>
    <row r="52" spans="2:7">
      <c r="B52" s="8" t="s">
        <v>2815</v>
      </c>
      <c r="C52" s="8"/>
      <c r="D52" s="8"/>
      <c r="E52" s="8"/>
      <c r="F52" s="8"/>
      <c r="G52" s="8"/>
    </row>
    <row r="53" spans="2:7">
      <c r="B53" s="8" t="s">
        <v>2816</v>
      </c>
      <c r="C53" s="8"/>
      <c r="D53" s="8"/>
      <c r="E53" s="8"/>
      <c r="F53" s="8"/>
      <c r="G53" s="8"/>
    </row>
    <row r="54" spans="2:7">
      <c r="B54" s="8" t="s">
        <v>2817</v>
      </c>
      <c r="C54" s="8"/>
      <c r="D54" s="8"/>
      <c r="E54" s="8"/>
      <c r="F54" s="8"/>
      <c r="G54" s="8"/>
    </row>
    <row r="55" spans="2:7">
      <c r="B55" s="8"/>
      <c r="C55" s="8"/>
      <c r="D55" s="8"/>
      <c r="E55" s="8"/>
      <c r="F55" s="8"/>
      <c r="G55" s="8"/>
    </row>
    <row r="56" spans="2:7">
      <c r="B56" s="8"/>
      <c r="C56" s="8"/>
      <c r="D56" s="8"/>
      <c r="E56" s="8"/>
      <c r="F56" s="8"/>
      <c r="G56" s="8"/>
    </row>
    <row r="57" spans="2:7">
      <c r="B57" s="7" t="s">
        <v>2818</v>
      </c>
      <c r="C57" s="7"/>
      <c r="D57" s="7"/>
      <c r="E57" s="7"/>
      <c r="F57" s="7"/>
      <c r="G57" s="7"/>
    </row>
    <row r="58" spans="2:7">
      <c r="B58" s="8" t="s">
        <v>2821</v>
      </c>
      <c r="C58" s="8"/>
      <c r="D58" s="8"/>
      <c r="E58" s="8"/>
      <c r="F58" s="8"/>
      <c r="G58" s="8"/>
    </row>
    <row r="59" spans="2:7">
      <c r="B59" s="8" t="s">
        <v>2819</v>
      </c>
      <c r="C59" s="8"/>
      <c r="D59" s="8"/>
      <c r="E59" s="8"/>
      <c r="F59" s="8"/>
      <c r="G59" s="8"/>
    </row>
    <row r="60" spans="2:7">
      <c r="B60" s="8"/>
      <c r="C60" s="8"/>
      <c r="D60" s="8"/>
      <c r="E60" s="8"/>
      <c r="F60" s="8"/>
      <c r="G60" s="8"/>
    </row>
    <row r="61" spans="2:7">
      <c r="B61" s="7" t="s">
        <v>2822</v>
      </c>
      <c r="C61" s="7"/>
      <c r="D61" s="7"/>
      <c r="E61" s="7"/>
      <c r="F61" s="7"/>
      <c r="G61" s="7"/>
    </row>
    <row r="62" spans="2:7">
      <c r="B62" s="8" t="s">
        <v>2823</v>
      </c>
      <c r="C62" s="8"/>
      <c r="D62" s="8"/>
      <c r="E62" s="8"/>
      <c r="F62" s="8"/>
      <c r="G62" s="8"/>
    </row>
    <row r="63" spans="2:7">
      <c r="B63" s="8" t="s">
        <v>2824</v>
      </c>
      <c r="C63" s="8"/>
      <c r="D63" s="8"/>
      <c r="E63" s="8"/>
      <c r="F63" s="8"/>
      <c r="G63" s="8"/>
    </row>
    <row r="64" spans="2:7">
      <c r="B64" s="9"/>
      <c r="C64" s="9"/>
      <c r="D64" s="9"/>
      <c r="E64" s="9"/>
      <c r="F64" s="9"/>
      <c r="G64" s="9"/>
    </row>
    <row r="65" spans="2:7">
      <c r="B65" s="7" t="s">
        <v>2825</v>
      </c>
      <c r="C65" s="7"/>
      <c r="D65" s="7"/>
      <c r="E65" s="7"/>
      <c r="F65" s="7"/>
      <c r="G65" s="7"/>
    </row>
    <row r="66" spans="2:7">
      <c r="B66" s="8" t="s">
        <v>2827</v>
      </c>
      <c r="C66" s="8"/>
      <c r="D66" s="8"/>
      <c r="E66" s="8"/>
      <c r="F66" s="8"/>
      <c r="G66" s="8"/>
    </row>
    <row r="67" spans="2:7">
      <c r="B67" s="8" t="s">
        <v>2826</v>
      </c>
      <c r="C67" s="8"/>
      <c r="D67" s="8"/>
      <c r="E67" s="8"/>
      <c r="F67" s="8"/>
      <c r="G67" s="8"/>
    </row>
  </sheetData>
  <mergeCells count="18">
    <mergeCell ref="B65:G65"/>
    <mergeCell ref="B66:G66"/>
    <mergeCell ref="B67:G67"/>
    <mergeCell ref="B50:G50"/>
    <mergeCell ref="B59:G59"/>
    <mergeCell ref="B60:G60"/>
    <mergeCell ref="B61:G61"/>
    <mergeCell ref="B62:G62"/>
    <mergeCell ref="B63:G63"/>
    <mergeCell ref="B64:G64"/>
    <mergeCell ref="B51:G51"/>
    <mergeCell ref="B52:G52"/>
    <mergeCell ref="B53:G53"/>
    <mergeCell ref="B54:G54"/>
    <mergeCell ref="B55:G55"/>
    <mergeCell ref="B56:G56"/>
    <mergeCell ref="B57:G57"/>
    <mergeCell ref="B58:G5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7BB359-670C-4EA3-9B51-14031BBD37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Return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Sufiyan Mujawar</dc:creator>
  <cp:lastModifiedBy>Mohd Sufiyan Mujawar</cp:lastModifiedBy>
  <dcterms:created xsi:type="dcterms:W3CDTF">2025-11-20T09:15:41Z</dcterms:created>
  <dcterms:modified xsi:type="dcterms:W3CDTF">2025-11-20T10:36:53Z</dcterms:modified>
</cp:coreProperties>
</file>